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ux\Documents\schools\kronshtatsky\стены\"/>
    </mc:Choice>
  </mc:AlternateContent>
  <bookViews>
    <workbookView xWindow="0" yWindow="0" windowWidth="12312" windowHeight="8340" firstSheet="17" activeTab="17"/>
  </bookViews>
  <sheets>
    <sheet name="Table 1" sheetId="1" state="hidden" r:id="rId1"/>
    <sheet name="Table 2" sheetId="2" state="hidden" r:id="rId2"/>
    <sheet name="Table 3" sheetId="3" state="hidden" r:id="rId3"/>
    <sheet name="Table 4" sheetId="4" state="hidden" r:id="rId4"/>
    <sheet name="Table 5" sheetId="5" state="hidden" r:id="rId5"/>
    <sheet name="Table 6" sheetId="6" state="hidden" r:id="rId6"/>
    <sheet name="Table 7" sheetId="7" state="hidden" r:id="rId7"/>
    <sheet name="Table 8" sheetId="8" state="hidden" r:id="rId8"/>
    <sheet name="Table 9" sheetId="9" state="hidden" r:id="rId9"/>
    <sheet name="Table 10" sheetId="10" state="hidden" r:id="rId10"/>
    <sheet name="Table 11" sheetId="11" state="hidden" r:id="rId11"/>
    <sheet name="Table 12" sheetId="12" state="hidden" r:id="rId12"/>
    <sheet name="Table 13" sheetId="13" state="hidden" r:id="rId13"/>
    <sheet name="Table 14" sheetId="14" state="hidden" r:id="rId14"/>
    <sheet name="Table 15" sheetId="15" state="hidden" r:id="rId15"/>
    <sheet name="Table 16" sheetId="16" state="hidden" r:id="rId16"/>
    <sheet name="Table 17" sheetId="17" state="hidden" r:id="rId17"/>
    <sheet name="10.9СС" sheetId="126" r:id="rId18"/>
    <sheet name="10.8Ршт" sheetId="125" r:id="rId19"/>
    <sheet name="10.7Люк" sheetId="124" r:id="rId20"/>
    <sheet name="10.6Люк" sheetId="123" r:id="rId21"/>
    <sheet name="10.5Люк" sheetId="122" r:id="rId22"/>
    <sheet name="10.4Люк" sheetId="121" r:id="rId23"/>
    <sheet name="10.3Прх" sheetId="120" r:id="rId24"/>
    <sheet name="10.2Крс" sheetId="119" r:id="rId25"/>
    <sheet name="10.1Шт" sheetId="118" r:id="rId26"/>
    <sheet name="9.10Грб" sheetId="117" r:id="rId27"/>
    <sheet name="9.9Дм" sheetId="116" r:id="rId28"/>
    <sheet name="9.8ШтрШп" sheetId="115" r:id="rId29"/>
    <sheet name="9.7ШтрШТ" sheetId="114" r:id="rId30"/>
    <sheet name="9.6Штр" sheetId="113" r:id="rId31"/>
    <sheet name="9.4Подъ" sheetId="112" r:id="rId32"/>
    <sheet name="9.3Крск" sheetId="111" r:id="rId33"/>
    <sheet name="9.2Шп" sheetId="110" r:id="rId34"/>
    <sheet name="9.1Шт" sheetId="109" r:id="rId35"/>
    <sheet name="8.4_НЗ" sheetId="108" r:id="rId36"/>
    <sheet name="8.3" sheetId="107" r:id="rId37"/>
    <sheet name="8.2" sheetId="106" r:id="rId38"/>
    <sheet name="8.1" sheetId="105" r:id="rId39"/>
    <sheet name="7.3Крс" sheetId="104" r:id="rId40"/>
    <sheet name="7.2звукИз" sheetId="103" r:id="rId41"/>
    <sheet name="7.1WD8" sheetId="99" r:id="rId42"/>
    <sheet name="Общ (3)" sheetId="92" r:id="rId43"/>
    <sheet name="Общ (2)" sheetId="91" r:id="rId44"/>
    <sheet name="Общ" sheetId="90" r:id="rId45"/>
    <sheet name="FK15" sheetId="98" r:id="rId46"/>
    <sheet name="FK13" sheetId="97" r:id="rId47"/>
    <sheet name="FK" sheetId="96" r:id="rId48"/>
    <sheet name="FK3" sheetId="95" r:id="rId49"/>
    <sheet name="FK2" sheetId="94" r:id="rId50"/>
    <sheet name="10ДопКрс" sheetId="93" r:id="rId51"/>
    <sheet name="923" sheetId="89" r:id="rId52"/>
    <sheet name="912" sheetId="88" r:id="rId53"/>
    <sheet name="874" sheetId="87" r:id="rId54"/>
    <sheet name="839" sheetId="86" r:id="rId55"/>
    <sheet name="733" sheetId="84" r:id="rId56"/>
    <sheet name="696" sheetId="83" r:id="rId57"/>
    <sheet name="666" sheetId="82" r:id="rId58"/>
    <sheet name="549" sheetId="85" r:id="rId59"/>
    <sheet name="545" sheetId="81" r:id="rId60"/>
    <sheet name="542" sheetId="80" r:id="rId61"/>
    <sheet name="538" sheetId="79" r:id="rId62"/>
    <sheet name="522" sheetId="78" r:id="rId63"/>
    <sheet name="518" sheetId="77" r:id="rId64"/>
    <sheet name="501" sheetId="76" r:id="rId65"/>
    <sheet name="488" sheetId="75" r:id="rId66"/>
    <sheet name="WD" sheetId="68" r:id="rId67"/>
    <sheet name="6.5ПГП4в" sheetId="71" r:id="rId68"/>
    <sheet name="6.4блк4в" sheetId="70" r:id="rId69"/>
    <sheet name="6.3крп4в" sheetId="69" r:id="rId70"/>
    <sheet name="6.2леса" sheetId="60" r:id="rId71"/>
    <sheet name="3.8Деф" sheetId="65" r:id="rId72"/>
    <sheet name="4.2РВР" sheetId="67" r:id="rId73"/>
    <sheet name="4.1" sheetId="66" r:id="rId74"/>
    <sheet name="3.3ШтРем" sheetId="59" r:id="rId75"/>
    <sheet name="Лист1" sheetId="51" state="hidden" r:id="rId76"/>
    <sheet name="-1эт" sheetId="18" state="hidden" r:id="rId77"/>
    <sheet name="1эт" sheetId="19" state="hidden" r:id="rId78"/>
    <sheet name="2эт" sheetId="20" state="hidden" r:id="rId79"/>
    <sheet name="3эт" sheetId="21" state="hidden" r:id="rId80"/>
    <sheet name="-1этСтен" sheetId="22" state="hidden" r:id="rId81"/>
    <sheet name="1этСтен" sheetId="23" state="hidden" r:id="rId82"/>
    <sheet name="2этСтен" sheetId="24" state="hidden" r:id="rId83"/>
    <sheet name="3этСтен" sheetId="25" state="hidden" r:id="rId84"/>
    <sheet name="Из КП" sheetId="27" r:id="rId85"/>
    <sheet name="1.1-Ст" sheetId="28" r:id="rId86"/>
    <sheet name="1.1п" sheetId="30" r:id="rId87"/>
    <sheet name="1.2-Ст" sheetId="32" r:id="rId88"/>
    <sheet name="1.2п" sheetId="31" state="hidden" r:id="rId89"/>
    <sheet name="1.3-Ст" sheetId="33" r:id="rId90"/>
    <sheet name="1.3п" sheetId="35" r:id="rId91"/>
    <sheet name="1.3.1FK12" sheetId="57" r:id="rId92"/>
    <sheet name="4.1-WD6 5" sheetId="58" r:id="rId93"/>
    <sheet name="1.4.1FK16 и 4 Ост" sheetId="55" r:id="rId94"/>
    <sheet name="1.4-Ст" sheetId="34" r:id="rId95"/>
    <sheet name="2.1-Ст" sheetId="39" r:id="rId96"/>
    <sheet name="2.1п" sheetId="36" r:id="rId97"/>
    <sheet name="2.2-Ст" sheetId="40" r:id="rId98"/>
    <sheet name="2.2п" sheetId="37" r:id="rId99"/>
    <sheet name="2.3-Ст" sheetId="41" r:id="rId100"/>
    <sheet name="2.3п" sheetId="38" r:id="rId101"/>
    <sheet name="3.1-Ст" sheetId="45" r:id="rId102"/>
    <sheet name="3.1п" sheetId="42" r:id="rId103"/>
    <sheet name="3.2-Ст" sheetId="46" r:id="rId104"/>
    <sheet name="3.2п" sheetId="44" r:id="rId105"/>
    <sheet name="3.3п" sheetId="43" r:id="rId106"/>
    <sheet name="1Дм" sheetId="47" r:id="rId107"/>
    <sheet name="5.5Фн4в" sheetId="74" r:id="rId108"/>
    <sheet name="5.4Бз4в" sheetId="73" r:id="rId109"/>
    <sheet name="3.7-Шп.фин.отк" sheetId="63" r:id="rId110"/>
    <sheet name="3.6-Шп.Баз.отк" sheetId="64" r:id="rId111"/>
    <sheet name="3.5-Шп.фин" sheetId="62" r:id="rId112"/>
    <sheet name="3.4-Шп.Баз" sheetId="61" r:id="rId113"/>
    <sheet name="5.2Баз4в" sheetId="72" r:id="rId114"/>
    <sheet name="5.1-Шп.Баз прошл" sheetId="48" r:id="rId115"/>
    <sheet name="Перегр" sheetId="49" r:id="rId116"/>
    <sheet name="1.5-FK9" sheetId="52" r:id="rId117"/>
    <sheet name="1.6-FK13" sheetId="53" r:id="rId118"/>
    <sheet name="1.7-FK2" sheetId="54" r:id="rId119"/>
  </sheets>
  <calcPr calcId="152511"/>
  <fileRecoveryPr autoRecover="0"/>
</workbook>
</file>

<file path=xl/calcChain.xml><?xml version="1.0" encoding="utf-8"?>
<calcChain xmlns="http://schemas.openxmlformats.org/spreadsheetml/2006/main">
  <c r="B9" i="126" l="1"/>
  <c r="B8" i="126"/>
  <c r="B10" i="126" s="1"/>
  <c r="F3" i="126" s="1"/>
  <c r="B7" i="126"/>
  <c r="F3" i="125"/>
  <c r="C10" i="125"/>
  <c r="C9" i="125"/>
  <c r="C8" i="125"/>
  <c r="C11" i="125" s="1"/>
  <c r="C7" i="125"/>
  <c r="C6" i="125"/>
  <c r="F4" i="126" l="1"/>
  <c r="C6" i="60"/>
  <c r="E26" i="105" l="1"/>
  <c r="E25" i="105"/>
  <c r="F9" i="106" l="1"/>
  <c r="F8" i="106"/>
  <c r="Q17" i="93" l="1"/>
  <c r="K25" i="93"/>
  <c r="E38" i="93"/>
  <c r="K3" i="120" l="1"/>
  <c r="B26" i="120"/>
  <c r="E23" i="120"/>
  <c r="K21" i="120"/>
  <c r="H33" i="120"/>
  <c r="B9" i="106" l="1"/>
  <c r="B10" i="106"/>
  <c r="B8" i="106"/>
  <c r="F10" i="106"/>
  <c r="F5" i="106" s="1"/>
  <c r="F4" i="106" l="1"/>
  <c r="E40" i="105" l="1"/>
  <c r="B20" i="105" l="1"/>
  <c r="B19" i="105"/>
  <c r="B17" i="105"/>
  <c r="H15" i="119" l="1"/>
  <c r="E18" i="119"/>
  <c r="B14" i="119"/>
  <c r="K26" i="118" l="1"/>
  <c r="H36" i="118"/>
  <c r="E35" i="118"/>
  <c r="B36" i="118"/>
  <c r="M3" i="118" s="1"/>
  <c r="M4" i="118" l="1"/>
  <c r="N19" i="118"/>
  <c r="M5" i="118" s="1"/>
  <c r="C25" i="117"/>
  <c r="C11" i="117"/>
  <c r="C10" i="117"/>
  <c r="C30" i="117"/>
  <c r="C29" i="117"/>
  <c r="C13" i="117"/>
  <c r="C6" i="117"/>
  <c r="G44" i="117"/>
  <c r="K41" i="117"/>
  <c r="C38" i="117" l="1"/>
  <c r="J3" i="117" s="1"/>
  <c r="H3" i="116" l="1"/>
  <c r="N30" i="115" l="1"/>
  <c r="O3" i="115" s="1"/>
  <c r="O4" i="115" s="1"/>
  <c r="H30" i="115"/>
  <c r="E30" i="115"/>
  <c r="B30" i="115"/>
  <c r="K28" i="115"/>
  <c r="Q22" i="115"/>
  <c r="N29" i="114"/>
  <c r="H29" i="114"/>
  <c r="E29" i="114"/>
  <c r="B29" i="114"/>
  <c r="K27" i="114"/>
  <c r="Q21" i="114"/>
  <c r="O3" i="114" l="1"/>
  <c r="Q21" i="113"/>
  <c r="N29" i="113"/>
  <c r="K27" i="113"/>
  <c r="H29" i="113"/>
  <c r="B29" i="113"/>
  <c r="E29" i="113"/>
  <c r="O3" i="113" l="1"/>
  <c r="C33" i="110" l="1"/>
  <c r="I4" i="110" s="1"/>
  <c r="B33" i="110"/>
  <c r="G26" i="110"/>
  <c r="F26" i="110"/>
  <c r="I6" i="110"/>
  <c r="I5" i="110"/>
  <c r="I3" i="110"/>
  <c r="H19" i="109"/>
  <c r="J6" i="109" s="1"/>
  <c r="B28" i="109"/>
  <c r="E23" i="109"/>
  <c r="J5" i="109" s="1"/>
  <c r="E18" i="109"/>
  <c r="J4" i="109" s="1"/>
  <c r="J3" i="109"/>
  <c r="N11" i="108"/>
  <c r="B38" i="108"/>
  <c r="N3" i="108" s="1"/>
  <c r="E31" i="108"/>
  <c r="N5" i="108" s="1"/>
  <c r="I42" i="108" l="1"/>
  <c r="N8" i="108" s="1"/>
  <c r="H42" i="108"/>
  <c r="N7" i="108" s="1"/>
  <c r="J42" i="108"/>
  <c r="E43" i="108"/>
  <c r="N6" i="108" s="1"/>
  <c r="M35" i="108"/>
  <c r="N9" i="108" s="1"/>
  <c r="N35" i="108"/>
  <c r="N10" i="108" s="1"/>
  <c r="E26" i="108"/>
  <c r="N4" i="108" s="1"/>
  <c r="H18" i="105" l="1"/>
  <c r="H17" i="105"/>
  <c r="B26" i="105"/>
  <c r="B23" i="105"/>
  <c r="B25" i="105"/>
  <c r="B18" i="105"/>
  <c r="B16" i="105"/>
  <c r="H33" i="105"/>
  <c r="K9" i="105" s="1"/>
  <c r="H26" i="105"/>
  <c r="K8" i="105" s="1"/>
  <c r="K7" i="105"/>
  <c r="K10" i="105" s="1"/>
  <c r="K11" i="105" s="1"/>
  <c r="K12" i="105" s="1"/>
  <c r="B40" i="105"/>
  <c r="K6" i="105" s="1"/>
  <c r="E22" i="105"/>
  <c r="K4" i="105" s="1"/>
  <c r="H19" i="105" l="1"/>
  <c r="K5" i="105" s="1"/>
  <c r="B10" i="107"/>
  <c r="B11" i="106"/>
  <c r="F3" i="106" s="1"/>
  <c r="B27" i="105"/>
  <c r="K3" i="105" s="1"/>
  <c r="B8" i="103" l="1"/>
  <c r="B9" i="103"/>
  <c r="B7" i="103"/>
  <c r="B6" i="103"/>
  <c r="B16" i="104" l="1"/>
  <c r="B10" i="103"/>
  <c r="B10" i="98" l="1"/>
  <c r="G3" i="98" s="1"/>
  <c r="B15" i="97"/>
  <c r="H20" i="97"/>
  <c r="E20" i="97"/>
  <c r="H6" i="97"/>
  <c r="H5" i="97"/>
  <c r="H4" i="97"/>
  <c r="H3" i="97"/>
  <c r="G6" i="96"/>
  <c r="G5" i="96"/>
  <c r="G4" i="96"/>
  <c r="G3" i="96"/>
  <c r="B120" i="92"/>
  <c r="B127" i="92"/>
  <c r="B126" i="92"/>
  <c r="B125" i="92"/>
  <c r="B124" i="92"/>
  <c r="B123" i="92"/>
  <c r="B122" i="92"/>
  <c r="B121" i="92"/>
  <c r="B275" i="90"/>
  <c r="B277" i="90"/>
  <c r="B279" i="90"/>
  <c r="B280" i="90"/>
  <c r="B281" i="90"/>
  <c r="B194" i="90"/>
  <c r="B193" i="90" s="1"/>
  <c r="B196" i="90"/>
  <c r="B195" i="90" s="1"/>
  <c r="B199" i="90"/>
  <c r="B198" i="90" s="1"/>
  <c r="B201" i="90"/>
  <c r="B200" i="90" s="1"/>
  <c r="B203" i="90"/>
  <c r="B202" i="90" s="1"/>
  <c r="B205" i="90"/>
  <c r="B204" i="90" s="1"/>
  <c r="B206" i="90"/>
  <c r="B207" i="90"/>
  <c r="B208" i="90"/>
  <c r="B209" i="90"/>
  <c r="B211" i="90"/>
  <c r="B210" i="90" s="1"/>
  <c r="B214" i="90"/>
  <c r="B220" i="90"/>
  <c r="B221" i="90"/>
  <c r="B223" i="90"/>
  <c r="B226" i="90"/>
  <c r="B228" i="90"/>
  <c r="B230" i="90"/>
  <c r="B231" i="90"/>
  <c r="B232" i="90"/>
  <c r="B235" i="90"/>
  <c r="B236" i="90"/>
  <c r="B237" i="90"/>
  <c r="B243" i="90"/>
  <c r="B248" i="90"/>
  <c r="B247" i="90" s="1"/>
  <c r="B250" i="90"/>
  <c r="B251" i="90"/>
  <c r="B255" i="90"/>
  <c r="B256" i="90"/>
  <c r="B189" i="90"/>
  <c r="B188" i="90" s="1"/>
  <c r="B186" i="90"/>
  <c r="B185" i="90"/>
  <c r="B184" i="90" s="1"/>
  <c r="B183" i="90"/>
  <c r="B182" i="90" s="1"/>
  <c r="B180" i="90"/>
  <c r="B177" i="90"/>
  <c r="B176" i="90" s="1"/>
  <c r="B171" i="90"/>
  <c r="B170" i="90"/>
  <c r="B168" i="90"/>
  <c r="B166" i="90"/>
  <c r="B164" i="90"/>
  <c r="B163" i="90"/>
  <c r="B161" i="90"/>
  <c r="B158" i="90"/>
  <c r="B156" i="90"/>
  <c r="B153" i="90"/>
  <c r="B152" i="90"/>
  <c r="B151" i="90" s="1"/>
  <c r="B150" i="90"/>
  <c r="B149" i="90" s="1"/>
  <c r="B146" i="90"/>
  <c r="B145" i="90" s="1"/>
  <c r="B143" i="90"/>
  <c r="B142" i="90"/>
  <c r="B141" i="90"/>
  <c r="B137" i="90"/>
  <c r="B133" i="90"/>
  <c r="B131" i="90"/>
  <c r="B128" i="90"/>
  <c r="B127" i="90"/>
  <c r="B124" i="90"/>
  <c r="B123" i="90"/>
  <c r="B122" i="90" s="1"/>
  <c r="B121" i="90"/>
  <c r="B120" i="90" s="1"/>
  <c r="B119" i="90"/>
  <c r="B118" i="90" s="1"/>
  <c r="B117" i="90"/>
  <c r="B116" i="90"/>
  <c r="B115" i="90" s="1"/>
  <c r="B114" i="90"/>
  <c r="B113" i="90" s="1"/>
  <c r="B109" i="90"/>
  <c r="B254" i="90" l="1"/>
  <c r="I4" i="94" l="1"/>
  <c r="E9" i="94"/>
  <c r="B14" i="95"/>
  <c r="E11" i="95"/>
  <c r="H10" i="95"/>
  <c r="B12" i="94"/>
  <c r="H9" i="94"/>
  <c r="H38" i="93"/>
  <c r="B38" i="93"/>
  <c r="P3" i="93" s="1"/>
  <c r="N38" i="93"/>
  <c r="H3" i="95" l="1"/>
  <c r="B75" i="90"/>
  <c r="B74" i="90" s="1"/>
  <c r="B95" i="91"/>
  <c r="B94" i="91" s="1"/>
  <c r="B92" i="91"/>
  <c r="B91" i="91"/>
  <c r="B90" i="91"/>
  <c r="B89" i="91"/>
  <c r="B88" i="91"/>
  <c r="B86" i="91"/>
  <c r="B83" i="91"/>
  <c r="B82" i="91" s="1"/>
  <c r="B77" i="91"/>
  <c r="B76" i="91"/>
  <c r="B74" i="91"/>
  <c r="B72" i="91"/>
  <c r="B70" i="91"/>
  <c r="B69" i="91"/>
  <c r="B65" i="91"/>
  <c r="B62" i="91"/>
  <c r="B60" i="91"/>
  <c r="B56" i="91"/>
  <c r="B55" i="91"/>
  <c r="B54" i="91"/>
  <c r="B53" i="91"/>
  <c r="B274" i="90" s="1"/>
  <c r="B49" i="91"/>
  <c r="B46" i="91"/>
  <c r="B45" i="91"/>
  <c r="B44" i="91"/>
  <c r="B40" i="91"/>
  <c r="B36" i="91"/>
  <c r="B34" i="91"/>
  <c r="B30" i="91"/>
  <c r="B28" i="91"/>
  <c r="B23" i="91"/>
  <c r="B21" i="91"/>
  <c r="B20" i="91"/>
  <c r="B17" i="91"/>
  <c r="B16" i="91" s="1"/>
  <c r="B14" i="91"/>
  <c r="B13" i="91"/>
  <c r="B12" i="91"/>
  <c r="B10" i="91"/>
  <c r="B9" i="91" s="1"/>
  <c r="B8" i="91"/>
  <c r="B278" i="90" s="1"/>
  <c r="B3" i="91"/>
  <c r="B48" i="91" l="1"/>
  <c r="B276" i="90"/>
  <c r="B52" i="91"/>
  <c r="B273" i="90"/>
  <c r="B7" i="91"/>
  <c r="B23" i="90" l="1"/>
  <c r="B265" i="90"/>
  <c r="B266" i="90"/>
  <c r="B268" i="90"/>
  <c r="B46" i="90"/>
  <c r="B47" i="90" s="1"/>
  <c r="B102" i="90"/>
  <c r="B103" i="90" s="1"/>
  <c r="B100" i="90"/>
  <c r="B91" i="90"/>
  <c r="B93" i="90"/>
  <c r="B90" i="90"/>
  <c r="B86" i="90"/>
  <c r="B88" i="90"/>
  <c r="B87" i="90" s="1"/>
  <c r="B99" i="90"/>
  <c r="B98" i="90" s="1"/>
  <c r="B97" i="90"/>
  <c r="B96" i="90" s="1"/>
  <c r="B95" i="90"/>
  <c r="B82" i="90"/>
  <c r="B81" i="90" s="1"/>
  <c r="B83" i="90"/>
  <c r="B84" i="90"/>
  <c r="B79" i="90"/>
  <c r="B76" i="90"/>
  <c r="B63" i="90"/>
  <c r="B52" i="90"/>
  <c r="B51" i="90"/>
  <c r="B49" i="90"/>
  <c r="B44" i="90"/>
  <c r="B42" i="90"/>
  <c r="B43" i="90" s="1"/>
  <c r="B45" i="90"/>
  <c r="B41" i="90"/>
  <c r="B34" i="90"/>
  <c r="B30" i="90"/>
  <c r="B27" i="90"/>
  <c r="B21" i="90"/>
  <c r="B22" i="90"/>
  <c r="B20" i="90"/>
  <c r="B18" i="90"/>
  <c r="B17" i="90" s="1"/>
  <c r="B16" i="90"/>
  <c r="B15" i="90" s="1"/>
  <c r="B14" i="90"/>
  <c r="B10" i="90"/>
  <c r="B6" i="90"/>
  <c r="B4" i="90"/>
  <c r="B8" i="90" s="1"/>
  <c r="B7" i="90" s="1"/>
  <c r="B263" i="90" l="1"/>
  <c r="B264" i="90"/>
  <c r="B269" i="90"/>
  <c r="B40" i="90"/>
  <c r="B50" i="90"/>
  <c r="B19" i="90"/>
  <c r="B13" i="90"/>
  <c r="G28" i="67"/>
  <c r="G33" i="67"/>
  <c r="G24" i="67"/>
  <c r="C15" i="67"/>
  <c r="C44" i="67"/>
  <c r="C34" i="67"/>
  <c r="C24" i="67"/>
  <c r="C23" i="67"/>
  <c r="C37" i="67"/>
  <c r="B262" i="90" l="1"/>
  <c r="G36" i="67"/>
  <c r="D19" i="70"/>
  <c r="D30" i="70" s="1"/>
  <c r="O4" i="70" s="1"/>
  <c r="D21" i="70"/>
  <c r="N19" i="70"/>
  <c r="N26" i="70" s="1"/>
  <c r="O6" i="70" s="1"/>
  <c r="N34" i="70"/>
  <c r="O8" i="70" s="1"/>
  <c r="I34" i="70"/>
  <c r="O7" i="70" s="1"/>
  <c r="C33" i="71"/>
  <c r="C32" i="71"/>
  <c r="I28" i="71"/>
  <c r="D25" i="71"/>
  <c r="N24" i="71"/>
  <c r="D34" i="70"/>
  <c r="O3" i="70" s="1"/>
  <c r="I21" i="70"/>
  <c r="O5" i="70" s="1"/>
  <c r="J18" i="68" l="1"/>
  <c r="G18" i="68"/>
  <c r="E18" i="68"/>
  <c r="I15" i="66" l="1"/>
  <c r="G15" i="66"/>
  <c r="C17" i="66"/>
  <c r="I12" i="66"/>
  <c r="G12" i="66"/>
  <c r="F12" i="66"/>
  <c r="D12" i="66"/>
  <c r="C12" i="66"/>
  <c r="B12" i="66"/>
  <c r="E12" i="66"/>
  <c r="C15" i="66"/>
  <c r="C16" i="66" s="1"/>
  <c r="J4" i="66" s="1"/>
  <c r="B14" i="66"/>
  <c r="C18" i="66" l="1"/>
  <c r="I16" i="66"/>
  <c r="I18" i="66" s="1"/>
  <c r="J9" i="66" l="1"/>
  <c r="G16" i="66"/>
  <c r="F16" i="66"/>
  <c r="E16" i="66"/>
  <c r="D16" i="66"/>
  <c r="B16" i="66"/>
  <c r="J5" i="66" l="1"/>
  <c r="D18" i="66"/>
  <c r="J3" i="66"/>
  <c r="B18" i="66"/>
  <c r="J6" i="66"/>
  <c r="E18" i="66"/>
  <c r="J7" i="66"/>
  <c r="F18" i="66"/>
  <c r="J8" i="66"/>
  <c r="G18" i="66"/>
  <c r="G3" i="65"/>
  <c r="G26" i="65" l="1"/>
  <c r="G5" i="65" s="1"/>
  <c r="C26" i="65"/>
  <c r="G4" i="65" l="1"/>
  <c r="G18" i="64"/>
  <c r="K19" i="64"/>
  <c r="C11" i="64"/>
  <c r="G17" i="63"/>
  <c r="K15" i="63"/>
  <c r="C8" i="63"/>
  <c r="J3" i="63" s="1"/>
  <c r="K24" i="62"/>
  <c r="G32" i="62"/>
  <c r="C20" i="62"/>
  <c r="G45" i="61"/>
  <c r="K42" i="61"/>
  <c r="C39" i="61"/>
  <c r="J3" i="61" s="1"/>
  <c r="J3" i="64" l="1"/>
  <c r="J3" i="62"/>
  <c r="C7" i="60" l="1"/>
  <c r="C14" i="60"/>
  <c r="C13" i="60"/>
  <c r="C12" i="60"/>
  <c r="C11" i="60"/>
  <c r="C10" i="60"/>
  <c r="C9" i="60"/>
  <c r="C8" i="60"/>
  <c r="C15" i="60" l="1"/>
  <c r="E3" i="60" s="1"/>
  <c r="D14" i="59" l="1"/>
  <c r="F14" i="59"/>
  <c r="C14" i="59"/>
  <c r="E14" i="59"/>
  <c r="G14" i="59"/>
  <c r="B14" i="59"/>
  <c r="K4" i="58" l="1"/>
  <c r="K3" i="58"/>
  <c r="D11" i="57" l="1"/>
  <c r="D16" i="57"/>
  <c r="I12" i="57"/>
  <c r="K4" i="55"/>
  <c r="K3" i="57" l="1"/>
  <c r="C26" i="55"/>
  <c r="D26" i="55" s="1"/>
  <c r="C20" i="55"/>
  <c r="D20" i="55" s="1"/>
  <c r="D25" i="55"/>
  <c r="D24" i="55"/>
  <c r="D23" i="55"/>
  <c r="D22" i="55"/>
  <c r="D21" i="55"/>
  <c r="D19" i="55"/>
  <c r="H10" i="55"/>
  <c r="I10" i="55" s="1"/>
  <c r="I8" i="55"/>
  <c r="I9" i="55"/>
  <c r="I11" i="55"/>
  <c r="I12" i="55"/>
  <c r="I13" i="55"/>
  <c r="I14" i="55"/>
  <c r="I7" i="55"/>
  <c r="C15" i="55"/>
  <c r="C13" i="55"/>
  <c r="C12" i="55"/>
  <c r="D12" i="55" s="1"/>
  <c r="D8" i="55"/>
  <c r="D9" i="55"/>
  <c r="D10" i="55"/>
  <c r="D11" i="55"/>
  <c r="D14" i="55"/>
  <c r="D7" i="55"/>
  <c r="D27" i="55" l="1"/>
  <c r="D9" i="54"/>
  <c r="H3" i="54"/>
  <c r="D9" i="53" l="1"/>
  <c r="H3" i="53" s="1"/>
  <c r="F3" i="34"/>
  <c r="F10" i="34"/>
  <c r="F17" i="34" s="1"/>
  <c r="D22" i="52" l="1"/>
  <c r="H3" i="52" s="1"/>
  <c r="G10" i="49" l="1"/>
  <c r="G11" i="49"/>
  <c r="G12" i="49"/>
  <c r="G13" i="49"/>
  <c r="G14" i="49"/>
  <c r="G15" i="49"/>
  <c r="G16" i="49"/>
  <c r="G9" i="49"/>
  <c r="C35" i="48" l="1"/>
  <c r="G33" i="48"/>
  <c r="G40" i="48" s="1"/>
  <c r="K31" i="48"/>
  <c r="J3" i="48" l="1"/>
  <c r="K31" i="47"/>
  <c r="G33" i="47" l="1"/>
  <c r="C35" i="47" l="1"/>
  <c r="G40" i="47"/>
  <c r="D3" i="45"/>
  <c r="D3" i="46"/>
  <c r="D6" i="44"/>
  <c r="D44" i="43"/>
  <c r="D80" i="42"/>
  <c r="D3" i="40"/>
  <c r="D3" i="41"/>
  <c r="D3" i="39"/>
  <c r="J3" i="47" l="1"/>
  <c r="D21" i="38"/>
  <c r="D13" i="37"/>
  <c r="D51" i="36"/>
  <c r="I3" i="27" l="1"/>
  <c r="E3" i="32" l="1"/>
  <c r="C12" i="30"/>
  <c r="E3" i="28" s="1"/>
  <c r="C12" i="35"/>
  <c r="E3" i="33" s="1"/>
  <c r="C12" i="31" l="1"/>
  <c r="K7" i="27" l="1"/>
  <c r="K6" i="27"/>
  <c r="I6" i="27"/>
  <c r="I5" i="27"/>
  <c r="I2" i="27"/>
  <c r="I7" i="27"/>
  <c r="E21" i="23" l="1"/>
  <c r="E13" i="23"/>
  <c r="E10" i="23"/>
  <c r="E9" i="24"/>
  <c r="E11" i="24"/>
  <c r="E12" i="24"/>
  <c r="E15" i="24"/>
  <c r="E20" i="24"/>
  <c r="E23" i="24"/>
  <c r="E26" i="24"/>
  <c r="E28" i="24"/>
  <c r="E33" i="24"/>
  <c r="E36" i="24"/>
  <c r="E39" i="24"/>
  <c r="E41" i="24"/>
  <c r="E42" i="24"/>
  <c r="E43" i="24"/>
  <c r="E44" i="24"/>
  <c r="E47" i="24"/>
  <c r="E50" i="24"/>
  <c r="E52" i="24"/>
  <c r="E57" i="24"/>
  <c r="E59" i="24"/>
  <c r="E60" i="24"/>
  <c r="E51" i="24"/>
  <c r="E35" i="24"/>
  <c r="E27" i="24"/>
  <c r="E24" i="24"/>
  <c r="E19" i="24"/>
  <c r="E16" i="24"/>
  <c r="E8" i="24"/>
  <c r="E6" i="24"/>
  <c r="E5" i="24"/>
  <c r="E7" i="24"/>
  <c r="E10" i="24"/>
  <c r="E13" i="24"/>
  <c r="E14" i="24"/>
  <c r="E17" i="24"/>
  <c r="E18" i="24"/>
  <c r="E21" i="24"/>
  <c r="E22" i="24"/>
  <c r="E25" i="24"/>
  <c r="E29" i="24"/>
  <c r="E30" i="24"/>
  <c r="E31" i="24"/>
  <c r="E32" i="24"/>
  <c r="E34" i="24"/>
  <c r="E37" i="24"/>
  <c r="E38" i="24"/>
  <c r="E40" i="24"/>
  <c r="E45" i="24"/>
  <c r="E46" i="24"/>
  <c r="E48" i="24"/>
  <c r="E49" i="24"/>
  <c r="E53" i="24"/>
  <c r="E54" i="24"/>
  <c r="E55" i="24"/>
  <c r="E56" i="24"/>
  <c r="E58" i="24"/>
  <c r="E61" i="24"/>
  <c r="E6" i="23"/>
  <c r="E7" i="23"/>
  <c r="E8" i="23"/>
  <c r="E9" i="23"/>
  <c r="E11" i="23"/>
  <c r="E12" i="23"/>
  <c r="E14" i="23"/>
  <c r="E15" i="23"/>
  <c r="E16" i="23"/>
  <c r="E17" i="23"/>
  <c r="E18" i="23"/>
  <c r="E19" i="23"/>
  <c r="E20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5" i="23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4" i="22"/>
  <c r="D16" i="55"/>
  <c r="I15" i="55"/>
  <c r="K3" i="55" l="1"/>
  <c r="B101" i="90"/>
  <c r="B267" i="90" s="1"/>
  <c r="I3" i="94" l="1"/>
</calcChain>
</file>

<file path=xl/sharedStrings.xml><?xml version="1.0" encoding="utf-8"?>
<sst xmlns="http://schemas.openxmlformats.org/spreadsheetml/2006/main" count="9727" uniqueCount="1127">
  <si>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подвала</t>
    </r>
  </si>
  <si>
    <r>
      <rPr>
        <i/>
        <sz val="13"/>
        <rFont val="ISOCPEUR"/>
        <family val="2"/>
      </rPr>
      <t>Ном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ер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пом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еще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ния</t>
    </r>
  </si>
  <si>
    <r>
      <rPr>
        <i/>
        <sz val="13"/>
        <rFont val="ISOCPEUR"/>
        <family val="2"/>
      </rPr>
      <t>Наименование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помещения</t>
    </r>
  </si>
  <si>
    <r>
      <rPr>
        <i/>
        <sz val="13"/>
        <rFont val="ISOCPEUR"/>
        <family val="2"/>
      </rPr>
      <t>СТЕНЫ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ИЛИ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ПЕРЕГОРОДКИ</t>
    </r>
  </si>
  <si>
    <r>
      <rPr>
        <i/>
        <sz val="13"/>
        <rFont val="ISOCPEUR"/>
        <family val="2"/>
      </rPr>
      <t>Основной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тип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потолка</t>
    </r>
  </si>
  <si>
    <r>
      <rPr>
        <i/>
        <sz val="13"/>
        <rFont val="ISOCPEUR"/>
        <family val="2"/>
      </rPr>
      <t>ПЛИНТУС</t>
    </r>
  </si>
  <si>
    <r>
      <rPr>
        <i/>
        <sz val="13"/>
        <rFont val="ISOCPEUR"/>
        <family val="2"/>
      </rPr>
      <t>Примечание</t>
    </r>
  </si>
  <si>
    <r>
      <rPr>
        <i/>
        <sz val="13"/>
        <rFont val="ISOCPEUR"/>
        <family val="2"/>
      </rPr>
      <t>Железобетон</t>
    </r>
  </si>
  <si>
    <r>
      <rPr>
        <i/>
        <sz val="13"/>
        <rFont val="ISOCPEUR"/>
        <family val="2"/>
      </rPr>
      <t>Кирпич</t>
    </r>
  </si>
  <si>
    <r>
      <rPr>
        <i/>
        <sz val="13"/>
        <rFont val="ISOCPEUR"/>
        <family val="2"/>
      </rPr>
      <t>Газобетон</t>
    </r>
  </si>
  <si>
    <r>
      <rPr>
        <i/>
        <sz val="13"/>
        <rFont val="ISOCPEUR"/>
        <family val="2"/>
      </rPr>
      <t>Утеплитель</t>
    </r>
  </si>
  <si>
    <r>
      <rPr>
        <i/>
        <sz val="13"/>
        <rFont val="ISOCPEUR"/>
        <family val="2"/>
      </rPr>
      <t>Финишный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слой</t>
    </r>
  </si>
  <si>
    <r>
      <rPr>
        <i/>
        <sz val="13"/>
        <rFont val="ISOCPEUR"/>
        <family val="2"/>
      </rPr>
      <t>Вид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отделки</t>
    </r>
  </si>
  <si>
    <r>
      <rPr>
        <i/>
        <sz val="13"/>
        <rFont val="ISOCPEUR"/>
        <family val="2"/>
      </rPr>
      <t>Площадь,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м²</t>
    </r>
  </si>
  <si>
    <r>
      <rPr>
        <i/>
        <sz val="13"/>
        <rFont val="ISOCPEUR"/>
        <family val="2"/>
      </rPr>
      <t>м.п.</t>
    </r>
  </si>
  <si>
    <r>
      <rPr>
        <i/>
        <sz val="11"/>
        <rFont val="ISOCPEUR"/>
        <family val="2"/>
      </rPr>
      <t>0.01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</si>
  <si>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№1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</si>
  <si>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</si>
  <si>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</si>
  <si>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</si>
  <si>
    <r>
      <rPr>
        <i/>
        <sz val="11"/>
        <rFont val="ISOCPEUR"/>
        <family val="2"/>
      </rPr>
      <t>см.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раздел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АИ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</si>
  <si>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затирка;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"Бетоноконтакт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</si>
  <si>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0.08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</si>
  <si>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CC1</t>
    </r>
  </si>
  <si>
    <r>
      <rPr>
        <i/>
        <sz val="11"/>
        <rFont val="ISOCPEUR"/>
        <family val="2"/>
      </rPr>
      <t>0.02</t>
    </r>
  </si>
  <si>
    <r>
      <rPr>
        <i/>
        <sz val="11"/>
        <rFont val="ISOCPEUR"/>
        <family val="2"/>
      </rPr>
      <t>Венткамера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</si>
  <si>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</si>
  <si>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0.09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</si>
  <si>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прокладки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коммуникаций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</si>
  <si>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обеспыливание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поверхности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ж/б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грунтовкой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Политакс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88PU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2/50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аналог)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</si>
  <si>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обеспыливание</t>
    </r>
  </si>
  <si>
    <r>
      <rPr>
        <i/>
        <sz val="11"/>
        <rFont val="ISOCPEUR"/>
        <family val="2"/>
      </rPr>
      <t>0.03</t>
    </r>
  </si>
  <si>
    <r>
      <rPr>
        <i/>
        <sz val="11"/>
        <rFont val="ISOCPEUR"/>
        <family val="2"/>
      </rPr>
      <t>Коридор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</si>
  <si>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пропитка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гидрофобизирующим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составом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BOSTIK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SMP;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</si>
  <si>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0.10</t>
    </r>
  </si>
  <si>
    <r>
      <rPr>
        <i/>
        <sz val="11"/>
        <rFont val="ISOCPEUR"/>
        <family val="2"/>
      </rPr>
      <t>0.11</t>
    </r>
  </si>
  <si>
    <r>
      <rPr>
        <i/>
        <sz val="11"/>
        <rFont val="ISOCPEUR"/>
        <family val="2"/>
      </rPr>
      <t>0.04</t>
    </r>
  </si>
  <si>
    <r>
      <rPr>
        <i/>
        <sz val="11"/>
        <rFont val="ISOCPEUR"/>
        <family val="2"/>
      </rPr>
      <t>Насосная</t>
    </r>
  </si>
  <si>
    <r>
      <rPr>
        <i/>
        <sz val="11"/>
        <rFont val="ISOCPEUR"/>
        <family val="2"/>
      </rPr>
      <t>0.12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</si>
  <si>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№5</t>
    </r>
  </si>
  <si>
    <r>
      <rPr>
        <i/>
        <sz val="11"/>
        <rFont val="ISOCPEUR"/>
        <family val="2"/>
      </rPr>
      <t>0.05</t>
    </r>
  </si>
  <si>
    <r>
      <rPr>
        <i/>
        <sz val="11"/>
        <rFont val="ISOCPEUR"/>
        <family val="2"/>
      </rPr>
      <t>0.13</t>
    </r>
  </si>
  <si>
    <r>
      <rPr>
        <i/>
        <sz val="11"/>
        <rFont val="ISOCPEUR"/>
        <family val="2"/>
      </rPr>
      <t>0.06</t>
    </r>
  </si>
  <si>
    <r>
      <rPr>
        <i/>
        <sz val="11"/>
        <rFont val="ISOCPEUR"/>
        <family val="2"/>
      </rPr>
      <t>ИТП</t>
    </r>
  </si>
  <si>
    <r>
      <rPr>
        <i/>
        <sz val="11"/>
        <rFont val="ISOCPEUR"/>
        <family val="2"/>
      </rPr>
      <t>0.14</t>
    </r>
  </si>
  <si>
    <r>
      <rPr>
        <i/>
        <sz val="11"/>
        <rFont val="ISOCPEUR"/>
        <family val="2"/>
      </rPr>
      <t>0.07</t>
    </r>
  </si>
  <si>
    <r>
      <rPr>
        <i/>
        <sz val="11"/>
        <rFont val="ISOCPEUR"/>
        <family val="2"/>
      </rPr>
      <t>0.15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</si>
  <si>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CC2</t>
    </r>
  </si>
  <si>
    <r>
      <rPr>
        <i/>
        <sz val="11"/>
        <rFont val="ISOCPEUR"/>
        <family val="2"/>
      </rPr>
      <t>0.23</t>
    </r>
  </si>
  <si>
    <r>
      <rPr>
        <i/>
        <sz val="11"/>
        <rFont val="ISOCPEUR"/>
        <family val="2"/>
      </rPr>
      <t>0.16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</si>
  <si>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отработанных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ламп</t>
    </r>
  </si>
  <si>
    <r>
      <rPr>
        <i/>
        <sz val="11"/>
        <rFont val="ISOCPEUR"/>
        <family val="2"/>
      </rPr>
      <t>0.24</t>
    </r>
  </si>
  <si>
    <r>
      <rPr>
        <i/>
        <sz val="11"/>
        <rFont val="ISOCPEUR"/>
        <family val="2"/>
      </rPr>
      <t>0.17</t>
    </r>
  </si>
  <si>
    <r>
      <rPr>
        <i/>
        <sz val="11"/>
        <rFont val="ISOCPEUR"/>
        <family val="2"/>
      </rPr>
      <t>0.25</t>
    </r>
  </si>
  <si>
    <r>
      <rPr>
        <i/>
        <sz val="11"/>
        <rFont val="ISOCPEUR"/>
        <family val="2"/>
      </rPr>
      <t>0.18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</si>
  <si>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№6</t>
    </r>
  </si>
  <si>
    <r>
      <rPr>
        <i/>
        <sz val="11"/>
        <rFont val="ISOCPEUR"/>
        <family val="2"/>
      </rPr>
      <t>0.26</t>
    </r>
  </si>
  <si>
    <r>
      <rPr>
        <i/>
        <sz val="11"/>
        <rFont val="ISOCPEUR"/>
        <family val="2"/>
      </rPr>
      <t>0.19</t>
    </r>
  </si>
  <si>
    <r>
      <rPr>
        <i/>
        <sz val="11"/>
        <rFont val="ISOCPEUR"/>
        <family val="2"/>
      </rPr>
      <t>0.27</t>
    </r>
  </si>
  <si>
    <r>
      <rPr>
        <i/>
        <sz val="11"/>
        <rFont val="ISOCPEUR"/>
        <family val="2"/>
      </rPr>
      <t>0.20</t>
    </r>
  </si>
  <si>
    <r>
      <rPr>
        <i/>
        <sz val="11"/>
        <rFont val="ISOCPEUR"/>
        <family val="2"/>
      </rPr>
      <t>0.28</t>
    </r>
  </si>
  <si>
    <r>
      <rPr>
        <i/>
        <sz val="11"/>
        <rFont val="ISOCPEUR"/>
        <family val="2"/>
      </rPr>
      <t>0.21</t>
    </r>
  </si>
  <si>
    <r>
      <rPr>
        <i/>
        <sz val="11"/>
        <rFont val="ISOCPEUR"/>
        <family val="2"/>
      </rPr>
      <t>0.22</t>
    </r>
  </si>
  <si>
    <r>
      <rPr>
        <i/>
        <sz val="13"/>
        <rFont val="ISOCPEUR"/>
        <family val="2"/>
      </rPr>
      <t>ГСП</t>
    </r>
  </si>
  <si>
    <r>
      <rPr>
        <i/>
        <sz val="13"/>
        <rFont val="ISOCPEUR"/>
        <family val="2"/>
      </rPr>
      <t>ПГП</t>
    </r>
  </si>
  <si>
    <r>
      <rPr>
        <i/>
        <sz val="11"/>
        <rFont val="ISOCPEUR"/>
        <family val="2"/>
      </rPr>
      <t>1.01</t>
    </r>
  </si>
  <si>
    <r>
      <rPr>
        <i/>
        <sz val="11"/>
        <rFont val="ISOCPEUR"/>
        <family val="2"/>
      </rPr>
      <t>Тамбур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</si>
  <si>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</si>
  <si>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Работы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черновой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отделке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необходимост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выравнивания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стен</t>
    </r>
  </si>
  <si>
    <r>
      <rPr>
        <i/>
        <sz val="11"/>
        <rFont val="ISOCPEUR"/>
        <family val="2"/>
      </rPr>
      <t>1.02</t>
    </r>
  </si>
  <si>
    <r>
      <rPr>
        <i/>
        <sz val="11"/>
        <rFont val="ISOCPEUR"/>
        <family val="2"/>
      </rPr>
      <t>Зона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ожидания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родителей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стойкой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зарядки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мобильных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устройств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</si>
  <si>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</si>
  <si>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1.03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</si>
  <si>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посетителей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</si>
  <si>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</si>
  <si>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1.04</t>
    </r>
  </si>
  <si>
    <r>
      <rPr>
        <i/>
        <sz val="11"/>
        <rFont val="ISOCPEUR"/>
        <family val="2"/>
      </rPr>
      <t>Вестибюль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многофункциональн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двухсветным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пространством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общественных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мероприятий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мест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эстрадой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в
</t>
    </r>
    <r>
      <rPr>
        <i/>
        <sz val="11"/>
        <rFont val="ISOCPEUR"/>
        <family val="2"/>
      </rPr>
      <t>уровне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пола)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</si>
  <si>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</si>
  <si>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1.05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</si>
  <si>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охраны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диспетчерским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пультом</t>
    </r>
  </si>
  <si>
    <r>
      <rPr>
        <i/>
        <sz val="11"/>
        <rFont val="ISOCPEUR"/>
        <family val="2"/>
      </rPr>
      <t>1.06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</si>
  <si>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</si>
  <si>
    <r>
      <rPr>
        <i/>
        <sz val="11"/>
        <rFont val="ISOCPEUR"/>
        <family val="2"/>
      </rPr>
      <t>1.07</t>
    </r>
  </si>
  <si>
    <r>
      <rPr>
        <i/>
        <sz val="11"/>
        <rFont val="ISOCPEUR"/>
        <family val="2"/>
      </rPr>
      <t>Гардероб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учителей</t>
    </r>
  </si>
  <si>
    <r>
      <rPr>
        <i/>
        <sz val="11"/>
        <rFont val="ISOCPEUR"/>
        <family val="2"/>
      </rPr>
      <t>1.08</t>
    </r>
  </si>
  <si>
    <r>
      <rPr>
        <i/>
        <sz val="11"/>
        <rFont val="ISOCPEUR"/>
        <family val="2"/>
      </rPr>
      <t>Гардероб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начальной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школы</t>
    </r>
  </si>
  <si>
    <r>
      <rPr>
        <i/>
        <sz val="11"/>
        <rFont val="ISOCPEUR"/>
        <family val="2"/>
      </rPr>
      <t>1.09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</si>
  <si>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</si>
  <si>
    <r>
      <rPr>
        <i/>
        <sz val="11"/>
        <rFont val="ISOCPEUR"/>
        <family val="2"/>
      </rPr>
      <t>1.10</t>
    </r>
  </si>
  <si>
    <r>
      <rPr>
        <i/>
        <sz val="11"/>
        <rFont val="ISOCPEUR"/>
        <family val="2"/>
      </rPr>
      <t>1.20</t>
    </r>
  </si>
  <si>
    <r>
      <rPr>
        <i/>
        <sz val="11"/>
        <rFont val="ISOCPEUR"/>
        <family val="2"/>
      </rPr>
      <t>Холл</t>
    </r>
  </si>
  <si>
    <r>
      <rPr>
        <i/>
        <sz val="11"/>
        <rFont val="ISOCPEUR"/>
        <family val="2"/>
      </rPr>
      <t>1.11</t>
    </r>
  </si>
  <si>
    <r>
      <rPr>
        <i/>
        <sz val="11"/>
        <rFont val="ISOCPEUR"/>
        <family val="2"/>
      </rPr>
      <t>1.21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</si>
  <si>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приготовления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дезинфицирующих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растворов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</si>
  <si>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</si>
  <si>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1.12</t>
    </r>
  </si>
  <si>
    <r>
      <rPr>
        <i/>
        <sz val="11"/>
        <rFont val="ISOCPEUR"/>
        <family val="2"/>
      </rPr>
      <t>Игровая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организации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спальных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</t>
    </r>
  </si>
  <si>
    <r>
      <rPr>
        <i/>
        <sz val="11"/>
        <rFont val="ISOCPEUR"/>
        <family val="2"/>
      </rPr>
      <t>1.22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</si>
  <si>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</t>
    </r>
  </si>
  <si>
    <r>
      <rPr>
        <i/>
        <sz val="11"/>
        <rFont val="ISOCPEUR"/>
        <family val="2"/>
      </rPr>
      <t>1.13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</si>
  <si>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</si>
  <si>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1.23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</si>
  <si>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уборочного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инвентаря</t>
    </r>
  </si>
  <si>
    <r>
      <rPr>
        <i/>
        <sz val="11"/>
        <rFont val="ISOCPEUR"/>
        <family val="2"/>
      </rPr>
      <t>1.14</t>
    </r>
  </si>
  <si>
    <r>
      <rPr>
        <i/>
        <sz val="11"/>
        <rFont val="ISOCPEUR"/>
        <family val="2"/>
      </rPr>
      <t>1.24</t>
    </r>
  </si>
  <si>
    <r>
      <rPr>
        <i/>
        <sz val="11"/>
        <rFont val="ISOCPEUR"/>
        <family val="2"/>
      </rPr>
      <t>Кладовая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инвентаря</t>
    </r>
  </si>
  <si>
    <r>
      <rPr>
        <i/>
        <sz val="11"/>
        <rFont val="ISOCPEUR"/>
        <family val="2"/>
      </rPr>
      <t>1.15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</si>
  <si>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</si>
  <si>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1.25</t>
    </r>
  </si>
  <si>
    <r>
      <rPr>
        <i/>
        <sz val="11"/>
        <rFont val="ISOCPEUR"/>
        <family val="2"/>
      </rPr>
      <t>Артистическая</t>
    </r>
  </si>
  <si>
    <r>
      <rPr>
        <i/>
        <sz val="11"/>
        <rFont val="ISOCPEUR"/>
        <family val="2"/>
      </rPr>
      <t>1.16</t>
    </r>
  </si>
  <si>
    <r>
      <rPr>
        <i/>
        <sz val="11"/>
        <rFont val="ISOCPEUR"/>
        <family val="2"/>
      </rPr>
      <t>С/у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(медблок)</t>
    </r>
  </si>
  <si>
    <r>
      <rPr>
        <i/>
        <sz val="11"/>
        <rFont val="ISOCPEUR"/>
        <family val="2"/>
      </rPr>
      <t>1.26</t>
    </r>
  </si>
  <si>
    <r>
      <rPr>
        <i/>
        <sz val="11"/>
        <rFont val="ISOCPEUR"/>
        <family val="2"/>
      </rPr>
      <t>1.27</t>
    </r>
  </si>
  <si>
    <r>
      <rPr>
        <i/>
        <sz val="11"/>
        <rFont val="ISOCPEUR"/>
        <family val="2"/>
      </rPr>
      <t>1.17</t>
    </r>
  </si>
  <si>
    <r>
      <rPr>
        <i/>
        <sz val="11"/>
        <rFont val="ISOCPEUR"/>
        <family val="2"/>
      </rPr>
      <t>Процедурный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</si>
  <si>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1.28</t>
    </r>
  </si>
  <si>
    <r>
      <rPr>
        <i/>
        <sz val="11"/>
        <rFont val="ISOCPEUR"/>
        <family val="2"/>
      </rPr>
      <t>Серверная</t>
    </r>
  </si>
  <si>
    <r>
      <rPr>
        <i/>
        <sz val="11"/>
        <rFont val="ISOCPEUR"/>
        <family val="2"/>
      </rPr>
      <t>1.18</t>
    </r>
  </si>
  <si>
    <r>
      <rPr>
        <i/>
        <sz val="11"/>
        <rFont val="ISOCPEUR"/>
        <family val="2"/>
      </rPr>
      <t>Прививочный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</si>
  <si>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1.29</t>
    </r>
  </si>
  <si>
    <r>
      <rPr>
        <i/>
        <sz val="11"/>
        <rFont val="ISOCPEUR"/>
        <family val="2"/>
      </rPr>
      <t>Электрощитовая</t>
    </r>
  </si>
  <si>
    <r>
      <rPr>
        <i/>
        <sz val="11"/>
        <rFont val="ISOCPEUR"/>
        <family val="2"/>
      </rPr>
      <t>1.30</t>
    </r>
  </si>
  <si>
    <r>
      <rPr>
        <i/>
        <sz val="11"/>
        <rFont val="ISOCPEUR"/>
        <family val="2"/>
      </rPr>
      <t>Рекреация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коридорного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типа</t>
    </r>
  </si>
  <si>
    <r>
      <rPr>
        <i/>
        <sz val="11"/>
        <rFont val="ISOCPEUR"/>
        <family val="2"/>
      </rPr>
      <t>1.31</t>
    </r>
  </si>
  <si>
    <r>
      <rPr>
        <i/>
        <sz val="11"/>
        <rFont val="ISOCPEUR"/>
        <family val="2"/>
      </rPr>
      <t>1.32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</si>
  <si>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№1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</si>
  <si>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1.33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</si>
  <si>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№2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</si>
  <si>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1.34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</si>
  <si>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№3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</si>
  <si>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1.35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</si>
  <si>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</si>
  <si>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1.36</t>
    </r>
  </si>
  <si>
    <r>
      <rPr>
        <i/>
        <sz val="11"/>
        <rFont val="ISOCPEUR"/>
        <family val="2"/>
      </rPr>
      <t>Лифтовой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холл</t>
    </r>
  </si>
  <si>
    <r>
      <rPr>
        <i/>
        <sz val="11"/>
        <rFont val="ISOCPEUR"/>
        <family val="2"/>
      </rPr>
      <t>1.37</t>
    </r>
  </si>
  <si>
    <r>
      <rPr>
        <i/>
        <sz val="11"/>
        <rFont val="ISOCPEUR"/>
        <family val="2"/>
      </rPr>
      <t>Умывальная</t>
    </r>
  </si>
  <si>
    <r>
      <rPr>
        <i/>
        <sz val="11"/>
        <rFont val="ISOCPEUR"/>
        <family val="2"/>
      </rPr>
      <t>1.38</t>
    </r>
  </si>
  <si>
    <r>
      <rPr>
        <i/>
        <sz val="11"/>
        <rFont val="ISOCPEUR"/>
        <family val="2"/>
      </rPr>
      <t>Обеденный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150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</t>
    </r>
  </si>
  <si>
    <r>
      <rPr>
        <i/>
        <sz val="13"/>
        <rFont val="ISOCPEUR"/>
        <family val="2"/>
      </rPr>
      <t>0,000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=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163,65</t>
    </r>
  </si>
  <si>
    <r>
      <rPr>
        <i/>
        <sz val="11"/>
        <rFont val="ISOCPEUR"/>
        <family val="2"/>
      </rPr>
      <t>1.39</t>
    </r>
  </si>
  <si>
    <r>
      <rPr>
        <i/>
        <sz val="11"/>
        <rFont val="ISOCPEUR"/>
        <family val="2"/>
      </rPr>
      <t>Моечная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столовой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посуды</t>
    </r>
  </si>
  <si>
    <r>
      <rPr>
        <i/>
        <sz val="11"/>
        <rFont val="ISOCPEUR"/>
        <family val="2"/>
      </rPr>
      <t>1.40</t>
    </r>
  </si>
  <si>
    <r>
      <rPr>
        <i/>
        <sz val="11"/>
        <rFont val="ISOCPEUR"/>
        <family val="2"/>
      </rPr>
      <t>Холодный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цех</t>
    </r>
  </si>
  <si>
    <r>
      <rPr>
        <i/>
        <sz val="11"/>
        <rFont val="ISOCPEUR"/>
        <family val="2"/>
      </rPr>
      <t>1.41</t>
    </r>
  </si>
  <si>
    <r>
      <rPr>
        <i/>
        <sz val="11"/>
        <rFont val="ISOCPEUR"/>
        <family val="2"/>
      </rPr>
      <t>Горячий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цех</t>
    </r>
  </si>
  <si>
    <r>
      <rPr>
        <i/>
        <sz val="11"/>
        <rFont val="ISOCPEUR"/>
        <family val="2"/>
      </rPr>
      <t>1.42</t>
    </r>
  </si>
  <si>
    <r>
      <rPr>
        <i/>
        <sz val="11"/>
        <rFont val="ISOCPEUR"/>
        <family val="2"/>
      </rPr>
      <t>Моечная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кухонной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посуды</t>
    </r>
  </si>
  <si>
    <r>
      <rPr>
        <i/>
        <sz val="11"/>
        <rFont val="ISOCPEUR"/>
        <family val="2"/>
      </rPr>
      <t>1.43</t>
    </r>
  </si>
  <si>
    <r>
      <rPr>
        <i/>
        <sz val="11"/>
        <rFont val="ISOCPEUR"/>
        <family val="2"/>
      </rPr>
      <t>Кладовая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сухих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продуктов</t>
    </r>
  </si>
  <si>
    <r>
      <rPr>
        <i/>
        <sz val="11"/>
        <rFont val="ISOCPEUR"/>
        <family val="2"/>
      </rPr>
      <t>1.44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</si>
  <si>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холодильным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оборудованием</t>
    </r>
  </si>
  <si>
    <r>
      <rPr>
        <i/>
        <sz val="11"/>
        <rFont val="ISOCPEUR"/>
        <family val="2"/>
      </rPr>
      <t>1.45</t>
    </r>
  </si>
  <si>
    <r>
      <rPr>
        <i/>
        <sz val="11"/>
        <rFont val="ISOCPEUR"/>
        <family val="2"/>
      </rPr>
      <t>Кладовая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овощей</t>
    </r>
  </si>
  <si>
    <r>
      <rPr>
        <i/>
        <sz val="11"/>
        <rFont val="ISOCPEUR"/>
        <family val="2"/>
      </rPr>
      <t>1.46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</si>
  <si>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персонала</t>
    </r>
  </si>
  <si>
    <r>
      <rPr>
        <i/>
        <sz val="11"/>
        <rFont val="ISOCPEUR"/>
        <family val="2"/>
      </rPr>
      <t>1.47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</si>
  <si>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временного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отходов</t>
    </r>
  </si>
  <si>
    <r>
      <rPr>
        <i/>
        <sz val="11"/>
        <rFont val="ISOCPEUR"/>
        <family val="2"/>
      </rPr>
      <t>1.48</t>
    </r>
  </si>
  <si>
    <r>
      <rPr>
        <i/>
        <sz val="11"/>
        <rFont val="ISOCPEUR"/>
        <family val="2"/>
      </rPr>
      <t>Раздаточная</t>
    </r>
  </si>
  <si>
    <r>
      <rPr>
        <i/>
        <sz val="11"/>
        <rFont val="ISOCPEUR"/>
        <family val="2"/>
      </rPr>
      <t>1.49</t>
    </r>
  </si>
  <si>
    <r>
      <rPr>
        <i/>
        <sz val="11"/>
        <rFont val="ISOCPEUR"/>
        <family val="2"/>
      </rPr>
      <t>1.50</t>
    </r>
  </si>
  <si>
    <r>
      <rPr>
        <i/>
        <sz val="11"/>
        <rFont val="ISOCPEUR"/>
        <family val="2"/>
      </rPr>
      <t>Моечная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оборотной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тары</t>
    </r>
  </si>
  <si>
    <r>
      <rPr>
        <i/>
        <sz val="11"/>
        <rFont val="ISOCPEUR"/>
        <family val="2"/>
      </rPr>
      <t>1.51</t>
    </r>
  </si>
  <si>
    <r>
      <rPr>
        <i/>
        <sz val="11"/>
        <rFont val="ISOCPEUR"/>
        <family val="2"/>
      </rPr>
      <t>Загрузочная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</si>
  <si>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сетке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</si>
  <si>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1.52</t>
    </r>
  </si>
  <si>
    <r>
      <rPr>
        <i/>
        <sz val="11"/>
        <rFont val="ISOCPEUR"/>
        <family val="2"/>
      </rPr>
      <t>1.53</t>
    </r>
  </si>
  <si>
    <r>
      <rPr>
        <i/>
        <sz val="11"/>
        <rFont val="ISOCPEUR"/>
        <family val="2"/>
      </rPr>
      <t>1.54</t>
    </r>
  </si>
  <si>
    <r>
      <rPr>
        <i/>
        <sz val="11"/>
        <rFont val="ISOCPEUR"/>
        <family val="2"/>
      </rPr>
      <t>Гардероб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душем</t>
    </r>
  </si>
  <si>
    <r>
      <rPr>
        <i/>
        <sz val="11"/>
        <rFont val="ISOCPEUR"/>
        <family val="2"/>
      </rPr>
      <t>1.55</t>
    </r>
  </si>
  <si>
    <r>
      <rPr>
        <i/>
        <sz val="11"/>
        <rFont val="ISOCPEUR"/>
        <family val="2"/>
      </rPr>
      <t>Цех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первичной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обработки</t>
    </r>
  </si>
  <si>
    <r>
      <rPr>
        <i/>
        <sz val="11"/>
        <rFont val="ISOCPEUR"/>
        <family val="2"/>
      </rPr>
      <t>1.56</t>
    </r>
  </si>
  <si>
    <r>
      <rPr>
        <i/>
        <sz val="11"/>
        <rFont val="ISOCPEUR"/>
        <family val="2"/>
      </rPr>
      <t>Цех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вторичной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обработки</t>
    </r>
  </si>
  <si>
    <r>
      <rPr>
        <i/>
        <sz val="11"/>
        <rFont val="ISOCPEUR"/>
        <family val="2"/>
      </rPr>
      <t>1.57</t>
    </r>
  </si>
  <si>
    <r>
      <rPr>
        <i/>
        <sz val="11"/>
        <rFont val="ISOCPEUR"/>
        <family val="2"/>
      </rPr>
      <t>Мясо-рыбный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цех</t>
    </r>
  </si>
  <si>
    <r>
      <rPr>
        <i/>
        <sz val="11"/>
        <rFont val="ISOCPEUR"/>
        <family val="2"/>
      </rPr>
      <t>1.58</t>
    </r>
  </si>
  <si>
    <r>
      <rPr>
        <i/>
        <sz val="11"/>
        <rFont val="ISOCPEUR"/>
        <family val="2"/>
      </rPr>
      <t>1.59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</si>
  <si>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</si>
  <si>
    <r>
      <rPr>
        <i/>
        <sz val="11"/>
        <rFont val="ISOCPEUR"/>
        <family val="2"/>
      </rPr>
      <t>1.60</t>
    </r>
  </si>
  <si>
    <r>
      <rPr>
        <i/>
        <sz val="11"/>
        <rFont val="ISOCPEUR"/>
        <family val="2"/>
      </rPr>
      <t>Вестибюль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посетителей</t>
    </r>
  </si>
  <si>
    <r>
      <rPr>
        <i/>
        <sz val="11"/>
        <rFont val="ISOCPEUR"/>
        <family val="2"/>
      </rPr>
      <t>1.61</t>
    </r>
  </si>
  <si>
    <r>
      <rPr>
        <i/>
        <sz val="11"/>
        <rFont val="ISOCPEUR"/>
        <family val="2"/>
      </rPr>
      <t>Пост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охраны</t>
    </r>
  </si>
  <si>
    <r>
      <rPr>
        <i/>
        <sz val="11"/>
        <rFont val="ISOCPEUR"/>
        <family val="2"/>
      </rPr>
      <t>1.62</t>
    </r>
  </si>
  <si>
    <r>
      <rPr>
        <i/>
        <sz val="11"/>
        <rFont val="ISOCPEUR"/>
        <family val="2"/>
      </rPr>
      <t>Туалет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посетителей)</t>
    </r>
  </si>
  <si>
    <r>
      <rPr>
        <i/>
        <sz val="11"/>
        <rFont val="ISOCPEUR"/>
        <family val="2"/>
      </rPr>
      <t>1.63</t>
    </r>
  </si>
  <si>
    <r>
      <rPr>
        <i/>
        <sz val="11"/>
        <rFont val="ISOCPEUR"/>
        <family val="2"/>
      </rPr>
      <t>1.64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</si>
  <si>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комната</t>
    </r>
  </si>
  <si>
    <r>
      <rPr>
        <i/>
        <sz val="11"/>
        <rFont val="ISOCPEUR"/>
        <family val="2"/>
      </rPr>
      <t>1.65</t>
    </r>
  </si>
  <si>
    <r>
      <rPr>
        <i/>
        <sz val="11"/>
        <rFont val="ISOCPEUR"/>
        <family val="2"/>
      </rPr>
      <t>Буфет</t>
    </r>
  </si>
  <si>
    <r>
      <rPr>
        <i/>
        <sz val="11"/>
        <rFont val="ISOCPEUR"/>
        <family val="2"/>
      </rPr>
      <t>Шпатлевание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выше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отм.
</t>
    </r>
    <r>
      <rPr>
        <i/>
        <sz val="11"/>
        <rFont val="ISOCPEUR"/>
        <family val="2"/>
      </rPr>
      <t>+2,200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ур.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ч.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п.</t>
    </r>
  </si>
  <si>
    <r>
      <rPr>
        <i/>
        <sz val="11"/>
        <rFont val="ISOCPEUR"/>
        <family val="2"/>
      </rPr>
      <t>1.66</t>
    </r>
  </si>
  <si>
    <r>
      <rPr>
        <i/>
        <sz val="11"/>
        <rFont val="ISOCPEUR"/>
        <family val="2"/>
      </rPr>
      <t>Туалет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т.ч.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МГН)</t>
    </r>
  </si>
  <si>
    <r>
      <rPr>
        <i/>
        <sz val="11"/>
        <rFont val="ISOCPEUR"/>
        <family val="2"/>
      </rPr>
      <t>1.67</t>
    </r>
  </si>
  <si>
    <r>
      <rPr>
        <i/>
        <sz val="11"/>
        <rFont val="ISOCPEUR"/>
        <family val="2"/>
      </rPr>
      <t>Групповая</t>
    </r>
  </si>
  <si>
    <r>
      <rPr>
        <i/>
        <sz val="11"/>
        <rFont val="ISOCPEUR"/>
        <family val="2"/>
      </rPr>
      <t>1.68</t>
    </r>
  </si>
  <si>
    <r>
      <rPr>
        <i/>
        <sz val="11"/>
        <rFont val="ISOCPEUR"/>
        <family val="2"/>
      </rPr>
      <t>Спальная</t>
    </r>
  </si>
  <si>
    <r>
      <rPr>
        <i/>
        <sz val="11"/>
        <rFont val="ISOCPEUR"/>
        <family val="2"/>
      </rPr>
      <t>1.69</t>
    </r>
  </si>
  <si>
    <r>
      <rPr>
        <i/>
        <sz val="11"/>
        <rFont val="ISOCPEUR"/>
        <family val="2"/>
      </rPr>
      <t>1.70</t>
    </r>
  </si>
  <si>
    <r>
      <rPr>
        <i/>
        <sz val="11"/>
        <rFont val="ISOCPEUR"/>
        <family val="2"/>
      </rPr>
      <t>1.71</t>
    </r>
  </si>
  <si>
    <r>
      <rPr>
        <i/>
        <sz val="11"/>
        <rFont val="ISOCPEUR"/>
        <family val="2"/>
      </rPr>
      <t>1.72</t>
    </r>
  </si>
  <si>
    <r>
      <rPr>
        <i/>
        <sz val="11"/>
        <rFont val="ISOCPEUR"/>
        <family val="2"/>
      </rPr>
      <t>1.73</t>
    </r>
  </si>
  <si>
    <r>
      <rPr>
        <i/>
        <sz val="11"/>
        <rFont val="ISOCPEUR"/>
        <family val="2"/>
      </rPr>
      <t>1.74</t>
    </r>
  </si>
  <si>
    <r>
      <rPr>
        <i/>
        <sz val="11"/>
        <rFont val="ISOCPEUR"/>
        <family val="2"/>
      </rPr>
      <t>1.75</t>
    </r>
  </si>
  <si>
    <r>
      <rPr>
        <i/>
        <sz val="11"/>
        <rFont val="ISOCPEUR"/>
        <family val="2"/>
      </rPr>
      <t>1.76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</si>
  <si>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гардеробом,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душем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туалетом</t>
    </r>
  </si>
  <si>
    <r>
      <rPr>
        <i/>
        <sz val="11"/>
        <rFont val="ISOCPEUR"/>
        <family val="2"/>
      </rPr>
      <t>1.77</t>
    </r>
  </si>
  <si>
    <r>
      <rPr>
        <i/>
        <sz val="11"/>
        <rFont val="ISOCPEUR"/>
        <family val="2"/>
      </rPr>
      <t>1.78</t>
    </r>
  </si>
  <si>
    <r>
      <rPr>
        <i/>
        <sz val="11"/>
        <rFont val="ISOCPEUR"/>
        <family val="2"/>
      </rPr>
      <t>1.79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</si>
  <si>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</si>
  <si>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"Бетоноконтакт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М100
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стальной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оцинкованной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</si>
  <si>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1.80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</si>
  <si>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№6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Л1)</t>
    </r>
  </si>
  <si>
    <r>
      <rPr>
        <i/>
        <sz val="11"/>
        <rFont val="ISOCPEUR"/>
        <family val="2"/>
      </rPr>
      <t>1.81</t>
    </r>
  </si>
  <si>
    <r>
      <rPr>
        <i/>
        <sz val="11"/>
        <rFont val="ISOCPEUR"/>
        <family val="2"/>
      </rPr>
      <t>1.82</t>
    </r>
  </si>
  <si>
    <r>
      <rPr>
        <i/>
        <sz val="11"/>
        <rFont val="ISOCPEUR"/>
        <family val="2"/>
      </rPr>
      <t>2.11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</si>
  <si>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(МГН)</t>
    </r>
  </si>
  <si>
    <r>
      <rPr>
        <i/>
        <sz val="11"/>
        <rFont val="ISOCPEUR"/>
        <family val="2"/>
      </rPr>
      <t>2.01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</si>
  <si>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2-4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</t>
    </r>
  </si>
  <si>
    <r>
      <rPr>
        <i/>
        <sz val="11"/>
        <rFont val="ISOCPEUR"/>
        <family val="2"/>
      </rPr>
      <t>2.12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</si>
  <si>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</si>
  <si>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2.02</t>
    </r>
  </si>
  <si>
    <r>
      <rPr>
        <i/>
        <sz val="11"/>
        <rFont val="ISOCPEUR"/>
        <family val="2"/>
      </rPr>
      <t>Лабораторно-исслед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изучения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естествознания</t>
    </r>
  </si>
  <si>
    <r>
      <rPr>
        <i/>
        <sz val="11"/>
        <rFont val="ISOCPEUR"/>
        <family val="2"/>
      </rPr>
      <t>2.13</t>
    </r>
  </si>
  <si>
    <r>
      <rPr>
        <i/>
        <sz val="11"/>
        <rFont val="ISOCPEUR"/>
        <family val="2"/>
      </rPr>
      <t>Душевая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</si>
  <si>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2.03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</si>
  <si>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рабочим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местом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учителей</t>
    </r>
  </si>
  <si>
    <r>
      <rPr>
        <i/>
        <sz val="11"/>
        <rFont val="ISOCPEUR"/>
        <family val="2"/>
      </rPr>
      <t>2.14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</si>
  <si>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</si>
  <si>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2.04</t>
    </r>
  </si>
  <si>
    <r>
      <rPr>
        <i/>
        <sz val="11"/>
        <rFont val="ISOCPEUR"/>
        <family val="2"/>
      </rPr>
      <t>2.15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</si>
  <si>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</si>
  <si>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2.05</t>
    </r>
  </si>
  <si>
    <r>
      <rPr>
        <i/>
        <sz val="11"/>
        <rFont val="ISOCPEUR"/>
        <family val="2"/>
      </rPr>
      <t>Универсальное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внеурочное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время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числе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групп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продленного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дня</t>
    </r>
  </si>
  <si>
    <r>
      <rPr>
        <i/>
        <sz val="11"/>
        <rFont val="ISOCPEUR"/>
        <family val="2"/>
      </rPr>
      <t>2.16</t>
    </r>
  </si>
  <si>
    <r>
      <rPr>
        <i/>
        <sz val="11"/>
        <rFont val="ISOCPEUR"/>
        <family val="2"/>
      </rPr>
      <t>2.06</t>
    </r>
  </si>
  <si>
    <r>
      <rPr>
        <i/>
        <sz val="11"/>
        <rFont val="ISOCPEUR"/>
        <family val="2"/>
      </rPr>
      <t>2.17</t>
    </r>
  </si>
  <si>
    <r>
      <rPr>
        <i/>
        <sz val="11"/>
        <rFont val="ISOCPEUR"/>
        <family val="2"/>
      </rPr>
      <t>Душевая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</si>
  <si>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2.07</t>
    </r>
  </si>
  <si>
    <r>
      <rPr>
        <i/>
        <sz val="11"/>
        <rFont val="ISOCPEUR"/>
        <family val="2"/>
      </rPr>
      <t>2.18</t>
    </r>
  </si>
  <si>
    <r>
      <rPr>
        <i/>
        <sz val="11"/>
        <rFont val="ISOCPEUR"/>
        <family val="2"/>
      </rPr>
      <t>Инвентарная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(снарядная)</t>
    </r>
  </si>
  <si>
    <r>
      <rPr>
        <i/>
        <sz val="11"/>
        <rFont val="ISOCPEUR"/>
        <family val="2"/>
      </rPr>
      <t>2.08</t>
    </r>
  </si>
  <si>
    <r>
      <rPr>
        <i/>
        <sz val="11"/>
        <rFont val="ISOCPEUR"/>
        <family val="2"/>
      </rPr>
      <t>2.19</t>
    </r>
  </si>
  <si>
    <r>
      <rPr>
        <i/>
        <sz val="11"/>
        <rFont val="ISOCPEUR"/>
        <family val="2"/>
      </rPr>
      <t>Спортивный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15х24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</t>
    </r>
  </si>
  <si>
    <r>
      <rPr>
        <i/>
        <sz val="11"/>
        <rFont val="ISOCPEUR"/>
        <family val="2"/>
      </rPr>
      <t>2.09</t>
    </r>
  </si>
  <si>
    <r>
      <rPr>
        <i/>
        <sz val="11"/>
        <rFont val="ISOCPEUR"/>
        <family val="2"/>
      </rPr>
      <t>2.20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</si>
  <si>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инструктора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душем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туалетом)</t>
    </r>
  </si>
  <si>
    <r>
      <rPr>
        <i/>
        <sz val="11"/>
        <rFont val="ISOCPEUR"/>
        <family val="2"/>
      </rPr>
      <t>2.30</t>
    </r>
  </si>
  <si>
    <r>
      <rPr>
        <i/>
        <sz val="11"/>
        <rFont val="ISOCPEUR"/>
        <family val="2"/>
      </rPr>
      <t>2.21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</si>
  <si>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индивидуальных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т.ч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учителем-логопедо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</t>
    </r>
  </si>
  <si>
    <r>
      <rPr>
        <i/>
        <sz val="11"/>
        <rFont val="ISOCPEUR"/>
        <family val="2"/>
      </rPr>
      <t>2.31</t>
    </r>
  </si>
  <si>
    <r>
      <rPr>
        <i/>
        <sz val="11"/>
        <rFont val="ISOCPEUR"/>
        <family val="2"/>
      </rPr>
      <t>2.22</t>
    </r>
  </si>
  <si>
    <r>
      <rPr>
        <i/>
        <sz val="11"/>
        <rFont val="ISOCPEUR"/>
        <family val="2"/>
      </rPr>
      <t>2.32</t>
    </r>
  </si>
  <si>
    <r>
      <rPr>
        <i/>
        <sz val="11"/>
        <rFont val="ISOCPEUR"/>
        <family val="2"/>
      </rPr>
      <t>2.33</t>
    </r>
  </si>
  <si>
    <r>
      <rPr>
        <i/>
        <sz val="11"/>
        <rFont val="ISOCPEUR"/>
        <family val="2"/>
      </rPr>
      <t>Лифтовой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холл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(зона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безопасности)</t>
    </r>
  </si>
  <si>
    <r>
      <rPr>
        <i/>
        <sz val="11"/>
        <rFont val="ISOCPEUR"/>
        <family val="2"/>
      </rPr>
      <t>2.23</t>
    </r>
  </si>
  <si>
    <r>
      <rPr>
        <i/>
        <sz val="11"/>
        <rFont val="ISOCPEUR"/>
        <family val="2"/>
      </rPr>
      <t>2.34</t>
    </r>
  </si>
  <si>
    <r>
      <rPr>
        <i/>
        <sz val="11"/>
        <rFont val="ISOCPEUR"/>
        <family val="2"/>
      </rPr>
      <t>2.24</t>
    </r>
  </si>
  <si>
    <r>
      <rPr>
        <i/>
        <sz val="11"/>
        <rFont val="ISOCPEUR"/>
        <family val="2"/>
      </rPr>
      <t>2.35</t>
    </r>
  </si>
  <si>
    <r>
      <rPr>
        <i/>
        <sz val="11"/>
        <rFont val="ISOCPEUR"/>
        <family val="2"/>
      </rPr>
      <t>2.25</t>
    </r>
  </si>
  <si>
    <r>
      <rPr>
        <i/>
        <sz val="11"/>
        <rFont val="ISOCPEUR"/>
        <family val="2"/>
      </rPr>
      <t>2.36</t>
    </r>
  </si>
  <si>
    <r>
      <rPr>
        <i/>
        <sz val="11"/>
        <rFont val="ISOCPEUR"/>
        <family val="2"/>
      </rPr>
      <t>2.26</t>
    </r>
  </si>
  <si>
    <r>
      <rPr>
        <i/>
        <sz val="11"/>
        <rFont val="ISOCPEUR"/>
        <family val="2"/>
      </rPr>
      <t>2.27</t>
    </r>
  </si>
  <si>
    <r>
      <rPr>
        <i/>
        <sz val="11"/>
        <rFont val="ISOCPEUR"/>
        <family val="2"/>
      </rPr>
      <t>2.37</t>
    </r>
  </si>
  <si>
    <r>
      <rPr>
        <i/>
        <sz val="11"/>
        <rFont val="ISOCPEUR"/>
        <family val="2"/>
      </rPr>
      <t>2.28</t>
    </r>
  </si>
  <si>
    <r>
      <rPr>
        <i/>
        <sz val="11"/>
        <rFont val="ISOCPEUR"/>
        <family val="2"/>
      </rPr>
      <t>Рекреация</t>
    </r>
  </si>
  <si>
    <r>
      <rPr>
        <i/>
        <sz val="11"/>
        <rFont val="ISOCPEUR"/>
        <family val="2"/>
      </rPr>
      <t>2.38</t>
    </r>
  </si>
  <si>
    <r>
      <rPr>
        <i/>
        <sz val="11"/>
        <rFont val="ISOCPEUR"/>
        <family val="2"/>
      </rPr>
      <t>2.46</t>
    </r>
  </si>
  <si>
    <r>
      <rPr>
        <i/>
        <sz val="11"/>
        <rFont val="ISOCPEUR"/>
        <family val="2"/>
      </rPr>
      <t>2.47</t>
    </r>
  </si>
  <si>
    <r>
      <rPr>
        <i/>
        <sz val="11"/>
        <rFont val="ISOCPEUR"/>
        <family val="2"/>
      </rPr>
      <t>Многофункциональн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физкультурный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активных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игр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детьми</t>
    </r>
  </si>
  <si>
    <r>
      <rPr>
        <i/>
        <sz val="11"/>
        <rFont val="ISOCPEUR"/>
        <family val="2"/>
      </rPr>
      <t>2.39</t>
    </r>
  </si>
  <si>
    <r>
      <rPr>
        <i/>
        <sz val="11"/>
        <rFont val="ISOCPEUR"/>
        <family val="2"/>
      </rPr>
      <t>2.40</t>
    </r>
  </si>
  <si>
    <r>
      <rPr>
        <i/>
        <sz val="11"/>
        <rFont val="ISOCPEUR"/>
        <family val="2"/>
      </rPr>
      <t>2.48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</si>
  <si>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физкультурного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зала</t>
    </r>
  </si>
  <si>
    <r>
      <rPr>
        <i/>
        <sz val="11"/>
        <rFont val="ISOCPEUR"/>
        <family val="2"/>
      </rPr>
      <t>2.41</t>
    </r>
  </si>
  <si>
    <r>
      <rPr>
        <i/>
        <sz val="11"/>
        <rFont val="ISOCPEUR"/>
        <family val="2"/>
      </rPr>
      <t>2.49</t>
    </r>
  </si>
  <si>
    <r>
      <rPr>
        <i/>
        <sz val="11"/>
        <rFont val="ISOCPEUR"/>
        <family val="2"/>
      </rPr>
      <t>Музыкальный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</si>
  <si>
    <r>
      <rPr>
        <i/>
        <sz val="11"/>
        <rFont val="ISOCPEUR"/>
        <family val="2"/>
      </rPr>
      <t>2.42</t>
    </r>
  </si>
  <si>
    <r>
      <rPr>
        <i/>
        <sz val="11"/>
        <rFont val="ISOCPEUR"/>
        <family val="2"/>
      </rPr>
      <t>2.50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</si>
  <si>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музыкального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зала</t>
    </r>
  </si>
  <si>
    <r>
      <rPr>
        <i/>
        <sz val="11"/>
        <rFont val="ISOCPEUR"/>
        <family val="2"/>
      </rPr>
      <t>2.43</t>
    </r>
  </si>
  <si>
    <r>
      <rPr>
        <i/>
        <sz val="11"/>
        <rFont val="ISOCPEUR"/>
        <family val="2"/>
      </rPr>
      <t>2.44</t>
    </r>
  </si>
  <si>
    <r>
      <rPr>
        <i/>
        <sz val="11"/>
        <rFont val="ISOCPEUR"/>
        <family val="2"/>
      </rPr>
      <t>2.45</t>
    </r>
  </si>
  <si>
    <r>
      <rPr>
        <i/>
        <sz val="11"/>
        <rFont val="ISOCPEUR"/>
        <family val="2"/>
      </rPr>
      <t>2.51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</si>
  <si>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</si>
  <si>
    <r>
      <rPr>
        <i/>
        <sz val="11"/>
        <rFont val="ISOCPEUR"/>
        <family val="2"/>
      </rPr>
      <t>2.52</t>
    </r>
  </si>
  <si>
    <r>
      <rPr>
        <i/>
        <sz val="11"/>
        <rFont val="ISOCPEUR"/>
        <family val="2"/>
      </rPr>
      <t>2.53</t>
    </r>
  </si>
  <si>
    <r>
      <rPr>
        <i/>
        <sz val="11"/>
        <rFont val="ISOCPEUR"/>
        <family val="2"/>
      </rPr>
      <t>Хозяйственная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кладовая</t>
    </r>
  </si>
  <si>
    <r>
      <rPr>
        <i/>
        <sz val="11"/>
        <rFont val="ISOCPEUR"/>
        <family val="2"/>
      </rPr>
      <t>2.54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</si>
  <si>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стальной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оцинкованной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</si>
  <si>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2.55</t>
    </r>
  </si>
  <si>
    <r>
      <rPr>
        <i/>
        <sz val="11"/>
        <rFont val="ISOCPEUR"/>
        <family val="2"/>
      </rPr>
      <t>2.56</t>
    </r>
  </si>
  <si>
    <r>
      <rPr>
        <i/>
        <sz val="11"/>
        <rFont val="ISOCPEUR"/>
        <family val="2"/>
      </rPr>
      <t>2.57</t>
    </r>
  </si>
  <si>
    <r>
      <rPr>
        <i/>
        <sz val="11"/>
        <rFont val="ISOCPEUR"/>
        <family val="2"/>
      </rPr>
      <t>2.58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</si>
  <si>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затирка;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</si>
  <si>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3.01</t>
    </r>
  </si>
  <si>
    <r>
      <rPr>
        <i/>
        <sz val="11"/>
        <rFont val="ISOCPEUR"/>
        <family val="2"/>
      </rPr>
      <t>3.11</t>
    </r>
  </si>
  <si>
    <r>
      <rPr>
        <i/>
        <sz val="11"/>
        <rFont val="ISOCPEUR"/>
        <family val="2"/>
      </rPr>
      <t>3.02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</si>
  <si>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иностранного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языка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два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помещения</t>
    </r>
  </si>
  <si>
    <r>
      <rPr>
        <i/>
        <sz val="11"/>
        <rFont val="ISOCPEUR"/>
        <family val="2"/>
      </rPr>
      <t>3.12</t>
    </r>
  </si>
  <si>
    <r>
      <rPr>
        <i/>
        <sz val="11"/>
        <rFont val="ISOCPEUR"/>
        <family val="2"/>
      </rPr>
      <t>Многофункциональн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информационный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библиотечный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центр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индивидуальных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групповых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занятий,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медиатеки,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читательских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выдачи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книг</t>
    </r>
  </si>
  <si>
    <r>
      <rPr>
        <i/>
        <sz val="11"/>
        <rFont val="ISOCPEUR"/>
        <family val="2"/>
      </rPr>
      <t>3.03</t>
    </r>
  </si>
  <si>
    <r>
      <rPr>
        <i/>
        <sz val="11"/>
        <rFont val="ISOCPEUR"/>
        <family val="2"/>
      </rPr>
      <t>Административный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</si>
  <si>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3.13</t>
    </r>
  </si>
  <si>
    <r>
      <rPr>
        <i/>
        <sz val="11"/>
        <rFont val="ISOCPEUR"/>
        <family val="2"/>
      </rPr>
      <t>Книгохранилище</t>
    </r>
  </si>
  <si>
    <r>
      <rPr>
        <i/>
        <sz val="11"/>
        <rFont val="ISOCPEUR"/>
        <family val="2"/>
      </rPr>
      <t>3.04</t>
    </r>
  </si>
  <si>
    <r>
      <rPr>
        <i/>
        <sz val="11"/>
        <rFont val="ISOCPEUR"/>
        <family val="2"/>
      </rPr>
      <t>3.14</t>
    </r>
  </si>
  <si>
    <r>
      <rPr>
        <i/>
        <sz val="11"/>
        <rFont val="ISOCPEUR"/>
        <family val="2"/>
      </rPr>
      <t>3.05</t>
    </r>
  </si>
  <si>
    <r>
      <rPr>
        <i/>
        <sz val="11"/>
        <rFont val="ISOCPEUR"/>
        <family val="2"/>
      </rPr>
      <t>3.15</t>
    </r>
  </si>
  <si>
    <r>
      <rPr>
        <i/>
        <sz val="11"/>
        <rFont val="ISOCPEUR"/>
        <family val="2"/>
      </rPr>
      <t>3.06</t>
    </r>
  </si>
  <si>
    <r>
      <rPr>
        <i/>
        <sz val="11"/>
        <rFont val="ISOCPEUR"/>
        <family val="2"/>
      </rPr>
      <t>3.16</t>
    </r>
  </si>
  <si>
    <r>
      <rPr>
        <i/>
        <sz val="11"/>
        <rFont val="ISOCPEUR"/>
        <family val="2"/>
      </rPr>
      <t>3.07</t>
    </r>
  </si>
  <si>
    <r>
      <rPr>
        <i/>
        <sz val="11"/>
        <rFont val="ISOCPEUR"/>
        <family val="2"/>
      </rPr>
      <t>3.17</t>
    </r>
  </si>
  <si>
    <r>
      <rPr>
        <i/>
        <sz val="11"/>
        <rFont val="ISOCPEUR"/>
        <family val="2"/>
      </rPr>
      <t>3.08</t>
    </r>
  </si>
  <si>
    <r>
      <rPr>
        <i/>
        <sz val="11"/>
        <rFont val="ISOCPEUR"/>
        <family val="2"/>
      </rPr>
      <t>3.18</t>
    </r>
  </si>
  <si>
    <r>
      <rPr>
        <i/>
        <sz val="11"/>
        <rFont val="ISOCPEUR"/>
        <family val="2"/>
      </rPr>
      <t>3.09</t>
    </r>
  </si>
  <si>
    <r>
      <rPr>
        <i/>
        <sz val="11"/>
        <rFont val="ISOCPEUR"/>
        <family val="2"/>
      </rPr>
      <t>3.19</t>
    </r>
  </si>
  <si>
    <r>
      <rPr>
        <i/>
        <sz val="11"/>
        <rFont val="ISOCPEUR"/>
        <family val="2"/>
      </rPr>
      <t>3.20</t>
    </r>
  </si>
  <si>
    <r>
      <rPr>
        <i/>
        <sz val="11"/>
        <rFont val="ISOCPEUR"/>
        <family val="2"/>
      </rPr>
      <t>3.28</t>
    </r>
  </si>
  <si>
    <r>
      <rPr>
        <i/>
        <sz val="11"/>
        <rFont val="ISOCPEUR"/>
        <family val="2"/>
      </rPr>
      <t>3.21</t>
    </r>
  </si>
  <si>
    <r>
      <rPr>
        <i/>
        <sz val="11"/>
        <rFont val="ISOCPEUR"/>
        <family val="2"/>
      </rPr>
      <t>3.29</t>
    </r>
  </si>
  <si>
    <r>
      <rPr>
        <i/>
        <sz val="11"/>
        <rFont val="ISOCPEUR"/>
        <family val="2"/>
      </rPr>
      <t xml:space="preserve">(армированная
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</si>
  <si>
    <r>
      <rPr>
        <i/>
        <sz val="11"/>
        <rFont val="ISOCPEUR"/>
        <family val="2"/>
      </rPr>
      <t>3.23</t>
    </r>
  </si>
  <si>
    <r>
      <rPr>
        <i/>
        <sz val="11"/>
        <rFont val="ISOCPEUR"/>
        <family val="2"/>
      </rPr>
      <t>3.31</t>
    </r>
  </si>
  <si>
    <r>
      <rPr>
        <i/>
        <sz val="11"/>
        <rFont val="ISOCPEUR"/>
        <family val="2"/>
      </rPr>
      <t>Шпатлевание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выше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отм.
</t>
    </r>
    <r>
      <rPr>
        <i/>
        <sz val="11"/>
        <rFont val="ISOCPEUR"/>
        <family val="2"/>
      </rPr>
      <t>+2,200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ур.</t>
    </r>
  </si>
  <si>
    <r>
      <rPr>
        <i/>
        <sz val="11"/>
        <rFont val="ISOCPEUR"/>
        <family val="2"/>
      </rPr>
      <t>3.24</t>
    </r>
  </si>
  <si>
    <r>
      <rPr>
        <i/>
        <sz val="11"/>
        <rFont val="ISOCPEUR"/>
        <family val="2"/>
      </rPr>
      <t>3.32</t>
    </r>
  </si>
  <si>
    <r>
      <rPr>
        <i/>
        <sz val="11"/>
        <rFont val="ISOCPEUR"/>
        <family val="2"/>
      </rPr>
      <t xml:space="preserve">черновой
</t>
    </r>
    <r>
      <rPr>
        <i/>
        <sz val="11"/>
        <rFont val="ISOCPEUR"/>
        <family val="2"/>
      </rPr>
      <t>отделке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при</t>
    </r>
  </si>
  <si>
    <r>
      <rPr>
        <i/>
        <sz val="11"/>
        <rFont val="ISOCPEUR"/>
        <family val="2"/>
      </rPr>
      <t>3.25</t>
    </r>
  </si>
  <si>
    <r>
      <rPr>
        <i/>
        <sz val="11"/>
        <rFont val="ISOCPEUR"/>
        <family val="2"/>
      </rPr>
      <t>3.33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</si>
  <si>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(open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space)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администрации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рабочими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местами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музыкального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руководителя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воспитателя</t>
    </r>
  </si>
  <si>
    <r>
      <rPr>
        <i/>
        <sz val="11"/>
        <rFont val="ISOCPEUR"/>
        <family val="2"/>
      </rPr>
      <t>3.26</t>
    </r>
  </si>
  <si>
    <r>
      <rPr>
        <i/>
        <sz val="11"/>
        <rFont val="ISOCPEUR"/>
        <family val="2"/>
      </rPr>
      <t>3.34</t>
    </r>
  </si>
  <si>
    <r>
      <rPr>
        <i/>
        <sz val="11"/>
        <rFont val="ISOCPEUR"/>
        <family val="2"/>
      </rPr>
      <t>Вспомогательное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помещение</t>
    </r>
  </si>
  <si>
    <r>
      <rPr>
        <i/>
        <sz val="11"/>
        <rFont val="ISOCPEUR"/>
        <family val="2"/>
      </rPr>
      <t>3.27</t>
    </r>
  </si>
  <si>
    <r>
      <rPr>
        <i/>
        <sz val="11"/>
        <rFont val="ISOCPEUR"/>
        <family val="2"/>
      </rPr>
      <t>3.35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</si>
  <si>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развивающих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зонирования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раздвижной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перегородкой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</si>
  <si>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</si>
  <si>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</si>
  <si>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</si>
  <si>
    <r>
      <rPr>
        <i/>
        <sz val="11"/>
        <rFont val="ISOCPEUR"/>
        <family val="2"/>
      </rPr>
      <t>3.36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</si>
  <si>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приёма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сортировки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грязного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белья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</si>
  <si>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</si>
  <si>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</si>
  <si>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3.37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</si>
  <si>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чистого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белья</t>
    </r>
  </si>
  <si>
    <r>
      <rPr>
        <i/>
        <sz val="11"/>
        <rFont val="ISOCPEUR"/>
        <family val="2"/>
      </rPr>
      <t>3.38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</si>
  <si>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М100
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стальной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оцинкованной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</si>
  <si>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3.39</t>
    </r>
  </si>
  <si>
    <r>
      <rPr>
        <i/>
        <sz val="11"/>
        <rFont val="ISOCPEUR"/>
        <family val="2"/>
      </rPr>
      <t>3.40</t>
    </r>
  </si>
  <si>
    <r>
      <rPr>
        <i/>
        <sz val="11"/>
        <rFont val="ISOCPEUR"/>
        <family val="2"/>
      </rPr>
      <t>3.41</t>
    </r>
  </si>
  <si>
    <r>
      <rPr>
        <i/>
        <sz val="11"/>
        <rFont val="ISOCPEUR"/>
        <family val="2"/>
      </rPr>
      <t>3.42</t>
    </r>
  </si>
  <si>
    <r>
      <rPr>
        <i/>
        <sz val="11"/>
        <rFont val="ISOCPEUR"/>
        <family val="2"/>
      </rPr>
      <t>3.43</t>
    </r>
  </si>
  <si>
    <r>
      <rPr>
        <i/>
        <sz val="11"/>
        <rFont val="ISOCPEUR"/>
        <family val="2"/>
      </rPr>
      <t>3.44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</si>
  <si>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</si>
  <si>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</si>
  <si>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затирка;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</si>
  <si>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3.45</t>
    </r>
  </si>
  <si>
    <t>Утеплитель</t>
  </si>
  <si>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</si>
  <si>
    <r>
      <rPr>
        <i/>
        <sz val="11"/>
        <rFont val="ISOCPEUR"/>
        <family val="2"/>
      </rPr>
      <t>Шпатлевание стен
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выше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отм.
+2,200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ур.</t>
    </r>
  </si>
  <si>
    <t>3.01</t>
  </si>
  <si>
    <t>3.02</t>
  </si>
  <si>
    <t>3.03</t>
  </si>
  <si>
    <t>3.04</t>
  </si>
  <si>
    <t>3.05</t>
  </si>
  <si>
    <t>3.06</t>
  </si>
  <si>
    <t>3.07</t>
  </si>
  <si>
    <t>3.08</t>
  </si>
  <si>
    <t>3.09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</si>
  <si>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</si>
  <si>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</si>
  <si>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</si>
  <si>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</si>
  <si>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</si>
  <si>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</si>
  <si>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</si>
  <si>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</si>
  <si>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</si>
  <si>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3.28</t>
  </si>
  <si>
    <t>3.29</t>
  </si>
  <si>
    <t>3.31</t>
  </si>
  <si>
    <t>3.32</t>
  </si>
  <si>
    <t>3.33</t>
  </si>
  <si>
    <t>3.34</t>
  </si>
  <si>
    <t>3.35</t>
  </si>
  <si>
    <t>3.36</t>
  </si>
  <si>
    <t>3.37</t>
  </si>
  <si>
    <t>3.38</t>
  </si>
  <si>
    <t>3.39</t>
  </si>
  <si>
    <t>3.40</t>
  </si>
  <si>
    <t>3.41</t>
  </si>
  <si>
    <t>3.42</t>
  </si>
  <si>
    <t>3.43</t>
  </si>
  <si>
    <t>3.44</t>
  </si>
  <si>
    <t>3.45</t>
  </si>
  <si>
    <t>0.01</t>
  </si>
  <si>
    <t>0.02</t>
  </si>
  <si>
    <t>0.03</t>
  </si>
  <si>
    <t>0.04</t>
  </si>
  <si>
    <t>0.05</t>
  </si>
  <si>
    <t>0.06</t>
  </si>
  <si>
    <t>0.07</t>
  </si>
  <si>
    <t>0.08</t>
  </si>
  <si>
    <t>0.09</t>
  </si>
  <si>
    <t>0.10</t>
  </si>
  <si>
    <t>0.11</t>
  </si>
  <si>
    <t>0.12</t>
  </si>
  <si>
    <t>0.13</t>
  </si>
  <si>
    <t>0.14</t>
  </si>
  <si>
    <t>0.15</t>
  </si>
  <si>
    <t>0.16</t>
  </si>
  <si>
    <t>0.17</t>
  </si>
  <si>
    <t>0.18</t>
  </si>
  <si>
    <t>0.19</t>
  </si>
  <si>
    <t>0.20</t>
  </si>
  <si>
    <t>0.21</t>
  </si>
  <si>
    <t>0.22</t>
  </si>
  <si>
    <t>0.23</t>
  </si>
  <si>
    <t>0.24</t>
  </si>
  <si>
    <t>0.25</t>
  </si>
  <si>
    <t>0.26</t>
  </si>
  <si>
    <t>0.27</t>
  </si>
  <si>
    <t>0.28</t>
  </si>
  <si>
    <t>1.04</t>
  </si>
  <si>
    <t>2.01</t>
  </si>
  <si>
    <t>2.02</t>
  </si>
  <si>
    <t>2.03</t>
  </si>
  <si>
    <t>2.04</t>
  </si>
  <si>
    <t>2.05</t>
  </si>
  <si>
    <t>2.06</t>
  </si>
  <si>
    <t>2.07</t>
  </si>
  <si>
    <t>2.08</t>
  </si>
  <si>
    <t>2.09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</si>
  <si>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</si>
  <si>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</si>
  <si>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</si>
  <si>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</si>
  <si>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</si>
  <si>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</si>
  <si>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</si>
  <si>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</si>
  <si>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</si>
  <si>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</si>
  <si>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</si>
  <si>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</si>
  <si>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</si>
  <si>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</si>
  <si>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</si>
  <si>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</si>
  <si>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</si>
  <si>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</si>
  <si>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</si>
  <si>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</si>
  <si>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</si>
  <si>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</si>
  <si>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</si>
  <si>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</si>
  <si>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</si>
  <si>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</si>
  <si>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</si>
  <si>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</si>
  <si>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2.40</t>
  </si>
  <si>
    <t>2.41</t>
  </si>
  <si>
    <t>2.42</t>
  </si>
  <si>
    <t>2.43</t>
  </si>
  <si>
    <t>2.44</t>
  </si>
  <si>
    <t>2.45</t>
  </si>
  <si>
    <t>2.46</t>
  </si>
  <si>
    <t>2.47</t>
  </si>
  <si>
    <t>2.48</t>
  </si>
  <si>
    <t>2.49</t>
  </si>
  <si>
    <t>2.50</t>
  </si>
  <si>
    <t>2.51</t>
  </si>
  <si>
    <t>2.52</t>
  </si>
  <si>
    <t>2.53</t>
  </si>
  <si>
    <t>2.54</t>
  </si>
  <si>
    <t>2.55</t>
  </si>
  <si>
    <t>2.56</t>
  </si>
  <si>
    <t>2.57</t>
  </si>
  <si>
    <t>2.58</t>
  </si>
  <si>
    <t>1.01</t>
  </si>
  <si>
    <t>1.02</t>
  </si>
  <si>
    <t>1.03</t>
  </si>
  <si>
    <t>1.05</t>
  </si>
  <si>
    <t>1.06</t>
  </si>
  <si>
    <t>1.07</t>
  </si>
  <si>
    <t>1.08</t>
  </si>
  <si>
    <t>1.09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</si>
  <si>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</si>
  <si>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</si>
  <si>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</si>
  <si>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</si>
  <si>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</si>
  <si>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</si>
  <si>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</si>
  <si>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</si>
  <si>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</si>
  <si>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</si>
  <si>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</si>
  <si>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</si>
  <si>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</si>
  <si>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</si>
  <si>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</si>
  <si>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</si>
  <si>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</si>
  <si>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</si>
  <si>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</si>
  <si>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</si>
  <si>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</si>
  <si>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</si>
  <si>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</si>
  <si>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</si>
  <si>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</si>
  <si>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</si>
  <si>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</si>
  <si>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</si>
  <si>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</si>
  <si>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</si>
  <si>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</si>
  <si>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</si>
  <si>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</si>
  <si>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</si>
  <si>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</si>
  <si>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</si>
  <si>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</si>
  <si>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</si>
  <si>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</si>
  <si>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</si>
  <si>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</si>
  <si>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</si>
  <si>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</si>
  <si>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</si>
  <si>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</si>
  <si>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</si>
  <si>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</si>
  <si>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</si>
  <si>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</si>
  <si>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</si>
  <si>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</si>
  <si>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</si>
  <si>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</si>
  <si>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</si>
  <si>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</si>
  <si>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</si>
  <si>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</si>
  <si>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</si>
  <si>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</si>
  <si>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</si>
  <si>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</si>
  <si>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</si>
  <si>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</si>
  <si>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</si>
  <si>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</si>
  <si>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</si>
  <si>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</si>
  <si>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</si>
  <si>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</si>
  <si>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</si>
  <si>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</si>
  <si>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</si>
  <si>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r>
      <rPr>
        <i/>
        <sz val="10"/>
        <rFont val="ГОСТ тип А"/>
        <family val="2"/>
        <charset val="204"/>
      </rPr>
      <t>Ведомость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отделки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подвала</t>
    </r>
  </si>
  <si>
    <r>
      <rPr>
        <i/>
        <sz val="10"/>
        <rFont val="ГОСТ тип А"/>
        <family val="2"/>
        <charset val="204"/>
      </rPr>
      <t>Ном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ер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пом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еще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ния</t>
    </r>
  </si>
  <si>
    <r>
      <rPr>
        <i/>
        <sz val="10"/>
        <rFont val="ГОСТ тип А"/>
        <family val="2"/>
        <charset val="204"/>
      </rPr>
      <t>Площадь,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м²</t>
    </r>
  </si>
  <si>
    <r>
      <rPr>
        <i/>
        <sz val="10"/>
        <rFont val="ГОСТ тип А"/>
        <family val="2"/>
        <charset val="204"/>
      </rPr>
      <t>Ведомость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отделки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помещений</t>
    </r>
    <r>
      <rPr>
        <sz val="10"/>
        <rFont val="ГОСТ тип А"/>
        <family val="2"/>
        <charset val="204"/>
      </rPr>
      <t xml:space="preserve">  </t>
    </r>
  </si>
  <si>
    <r>
      <rPr>
        <i/>
        <sz val="10"/>
        <rFont val="ГОСТ тип А"/>
        <family val="2"/>
        <charset val="204"/>
      </rPr>
      <t>Номер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помещения</t>
    </r>
  </si>
  <si>
    <t>3.22-3.27</t>
  </si>
  <si>
    <t>Пропущены</t>
  </si>
  <si>
    <t>FK12</t>
  </si>
  <si>
    <t>Облицовка поверхности стен СКБ с затиркой швов / керамической, керамогранитной плиткой до 0,2м2/шт</t>
  </si>
  <si>
    <t>1, 2, 3 этажи. Тип: FK9</t>
  </si>
  <si>
    <t>м2</t>
  </si>
  <si>
    <t>1, 2, 3 этажи. Тип: FK16</t>
  </si>
  <si>
    <t>1 этаж. Тип: FK31</t>
  </si>
  <si>
    <t>Облицовка поверхности стен СКБ с затиркой швов / керамической, керамогранитной плиткой от 0,2м2/шт</t>
  </si>
  <si>
    <t>1, 2, 3 этажи. Тип: FK4</t>
  </si>
  <si>
    <t>1, 2, 3 этажи. Тип: FK10</t>
  </si>
  <si>
    <t>1, 2, 3 этажи. Тип: FK12</t>
  </si>
  <si>
    <t>1, 2, 3 этажи. Тип: FK27</t>
  </si>
  <si>
    <t>Ведомость работ и используемых материалов</t>
  </si>
  <si>
    <t>№ п.п.</t>
  </si>
  <si>
    <t>Наименование затрат</t>
  </si>
  <si>
    <t>Описание</t>
  </si>
  <si>
    <t>Ед. изм.</t>
  </si>
  <si>
    <t>Объем</t>
  </si>
  <si>
    <t>Облицовка поверхности стен СКБ с затиркой швов / керамической, керамогранитной плиткой</t>
  </si>
  <si>
    <t>Спецификация выполненных работ</t>
  </si>
  <si>
    <t>Помещения:</t>
  </si>
  <si>
    <t>Объем, м²</t>
  </si>
  <si>
    <t>1.06 Санузел для МГН 5,6</t>
  </si>
  <si>
    <t>сумма:</t>
  </si>
  <si>
    <t>Тип</t>
  </si>
  <si>
    <t>1.13 Санузел для девочек 15,0</t>
  </si>
  <si>
    <t>2.14 Санузел для мальчиков 8,1</t>
  </si>
  <si>
    <t>2.18 Инвентарная (снарядная) 30,6</t>
  </si>
  <si>
    <t>2.24 Санузел для девочек 15,0</t>
  </si>
  <si>
    <t>2.25 Санузел для мальчиков 15,0</t>
  </si>
  <si>
    <t>3.10 Санузел для девочек 15,1</t>
  </si>
  <si>
    <t>3.11 Санузел для мальчиков 15,1</t>
  </si>
  <si>
    <t>2.39 Туалет (в т.ч. МГН) 28,9</t>
  </si>
  <si>
    <t>2.46 Туалет (в т.ч. МГН) 28,9</t>
  </si>
  <si>
    <t>3.27 Туалет (в т.ч. МГН) 28,9</t>
  </si>
  <si>
    <t>3.32 Туалет (в т.ч. МГН) 28,9</t>
  </si>
  <si>
    <t>FK4</t>
  </si>
  <si>
    <t>FK10</t>
  </si>
  <si>
    <t>1, 2, 3 этажи. 
Тип: FK4</t>
  </si>
  <si>
    <t>1, 2, 3 этажи. 
Тип: FK10</t>
  </si>
  <si>
    <t>1.37 Умывальная 11,4</t>
  </si>
  <si>
    <t>1.38 Обеденный зал на 150 мест 165,9</t>
  </si>
  <si>
    <t>1.65 Буфет 6,3</t>
  </si>
  <si>
    <t>1.71 Буфет 6,3</t>
  </si>
  <si>
    <t>2.38 Буфет 6,3</t>
  </si>
  <si>
    <t>2.43 Буфет 6,3</t>
  </si>
  <si>
    <t>3.24 Буфет 6,3</t>
  </si>
  <si>
    <t>3.31 Буфет 6,3</t>
  </si>
  <si>
    <t>2.11 Раздевальная для мальчиков (МГН) 12,7</t>
  </si>
  <si>
    <t>2.20 Комната инструктора (с душем и туалетом) 16,7</t>
  </si>
  <si>
    <t>1.62 Туалет для МГН (для посетителей)</t>
  </si>
  <si>
    <t>1.66 Туалет (в т.ч. МГН)</t>
  </si>
  <si>
    <t>1.72 Туалет (в т.ч. МГН)</t>
  </si>
  <si>
    <t>1.76 Комната персонала с гардеробом, душем и туалетом</t>
  </si>
  <si>
    <t>2.22 Санузел персонала</t>
  </si>
  <si>
    <t>Итог:</t>
  </si>
  <si>
    <t>1, 2, 3 этажи. 
Тип: FK12</t>
  </si>
  <si>
    <t>1, 2, 3 этажи. 
Тип: FK16</t>
  </si>
  <si>
    <t>Гардероб для начальной школы</t>
  </si>
  <si>
    <t>Учебный кабинет 1 класс</t>
  </si>
  <si>
    <t>Игровая с возможностью организации спальных мест</t>
  </si>
  <si>
    <t>Холл</t>
  </si>
  <si>
    <t>Коридор</t>
  </si>
  <si>
    <t>Рекреация коридорного типа</t>
  </si>
  <si>
    <t>ЛК №1 (тип Н2)</t>
  </si>
  <si>
    <t>ЛК №4 (тип Н2)</t>
  </si>
  <si>
    <t>Обеденный зал на 150 мест</t>
  </si>
  <si>
    <t>Вестибюль с зоной для посетителей</t>
  </si>
  <si>
    <t>Раздевальная комната</t>
  </si>
  <si>
    <t>Групповая</t>
  </si>
  <si>
    <t>Спальная</t>
  </si>
  <si>
    <t xml:space="preserve">Групповая </t>
  </si>
  <si>
    <t>ЛК №5 (тип Н2)</t>
  </si>
  <si>
    <t>ЛК №6 (тип Л2)</t>
  </si>
  <si>
    <t xml:space="preserve">Коридор </t>
  </si>
  <si>
    <t>Спортивный зал 15х24 м</t>
  </si>
  <si>
    <t>Рекреация</t>
  </si>
  <si>
    <t>ЛК №4 (Тип Н2)</t>
  </si>
  <si>
    <t>Многофункциональный информационный библиотечный центр с зонами для индивидуальных и групповых занятий, медиатеки, хранения (закрытый фонд) и выдачи книг</t>
  </si>
  <si>
    <t>3.21</t>
  </si>
  <si>
    <t>3.25</t>
  </si>
  <si>
    <t>3.26</t>
  </si>
  <si>
    <t>3.30</t>
  </si>
  <si>
    <t>Штукатурка стен</t>
  </si>
  <si>
    <t>Многофункциональный информационный библиотечный центр</t>
  </si>
  <si>
    <t>Пом.</t>
  </si>
  <si>
    <t>Гипсовыми смесями финишная + грунт глубокого проникновения (в том числе "зеркала" под приборы отопления), м2</t>
  </si>
  <si>
    <t xml:space="preserve">Шпаклевка стен </t>
  </si>
  <si>
    <t>Комната охраны с диспетчерским пультом</t>
  </si>
  <si>
    <t>Санузел для МГН</t>
  </si>
  <si>
    <t>Гардероб для учителей</t>
  </si>
  <si>
    <t>Санузел для девочек</t>
  </si>
  <si>
    <t>Санузел для мальчиков</t>
  </si>
  <si>
    <t>1.19</t>
  </si>
  <si>
    <t>Кабинет Врача</t>
  </si>
  <si>
    <t>санузел персонала</t>
  </si>
  <si>
    <t>Артистическая</t>
  </si>
  <si>
    <t>Серверная</t>
  </si>
  <si>
    <t>ЛК №3 (тип Н2)</t>
  </si>
  <si>
    <t>Пост охраны</t>
  </si>
  <si>
    <t>Учебный кабинет 2-4 класс</t>
  </si>
  <si>
    <t>Лабораторно-исследовательский комплекс для изучения естесствознания</t>
  </si>
  <si>
    <t>Кабинет с рабочим местом для учителей</t>
  </si>
  <si>
    <t>Универсальное помещение с возможностью проведения занятий во внеурочное время в том числе для групп продленного дня</t>
  </si>
  <si>
    <t>2.10</t>
  </si>
  <si>
    <t>Раздевальная для девочек (МГН)</t>
  </si>
  <si>
    <t>Раздевальная для мальчиков (МГН)</t>
  </si>
  <si>
    <t>Раздевальная для мальчиков</t>
  </si>
  <si>
    <t>Раздевальная для девочек</t>
  </si>
  <si>
    <t>Комната инструктора (с душем и туалетом)</t>
  </si>
  <si>
    <t>Кабинет для индивидуальных занятий, в т.ч. С учителем-логопедом</t>
  </si>
  <si>
    <t>2.29</t>
  </si>
  <si>
    <t>Технический центр</t>
  </si>
  <si>
    <t>ЛК №1 (Тип Н2)</t>
  </si>
  <si>
    <t>ЛК №2 (Тип Н2)</t>
  </si>
  <si>
    <t>ЛК №3 (Тип Н2)</t>
  </si>
  <si>
    <t>Раздевальная</t>
  </si>
  <si>
    <t>Многофункциональный физкультурный зал для проведения активных игр и занятий с детьми</t>
  </si>
  <si>
    <t>Помещение хранения для физкультурного зала</t>
  </si>
  <si>
    <t>Кабинет иностранного языка с возможностью деления трансформируемой перегородкой на два помещения</t>
  </si>
  <si>
    <t>Административный кабинет</t>
  </si>
  <si>
    <t>3.10</t>
  </si>
  <si>
    <t>3.20</t>
  </si>
  <si>
    <t>3.23</t>
  </si>
  <si>
    <t>Помещения:2</t>
  </si>
  <si>
    <t>Шпаклевка колонн и простенкров толщиной до 500мм.</t>
  </si>
  <si>
    <t>Пом.:</t>
  </si>
  <si>
    <t>Штукатурка стен. Гипсовая по бетону + Бетонконтакт, м2.</t>
  </si>
  <si>
    <t>Штукатурка стен. Цементная + Грунт глубокого проникновения (по бетону и блоку ячеистому под плитку), м2.</t>
  </si>
  <si>
    <t>Штукатурка стен. Гипсовая по Блоку ячеистому, кирпичу и ПГП + Грунт глубокого проникновения, м2.</t>
  </si>
  <si>
    <t>Шпаклевка стен. Цементными смесями финишная + грунт глубокого проникновения, м2</t>
  </si>
  <si>
    <t>Шпаклевка стен. Гипсовыми смесями финишная + грунт глубокого проникновения, м2</t>
  </si>
  <si>
    <t>Цементными смесями финишная + грунт глубокого проникновения, м2</t>
  </si>
  <si>
    <t>Гипсовая по Блоку ячеистому, кирпичу и ПГП + Грунт глубокого проникновения, м2. Высота от пола h = 1.5 м.</t>
  </si>
  <si>
    <t>Цементная + Грунт глубокого проникновения (по бетону и блоку ячеистому под плитку), м2. Высота от пола h = 1.5 м.</t>
  </si>
  <si>
    <t>Гипсовая по бетону + Бетонконтакт, м2. Высота от пола h = 1.5 м.</t>
  </si>
  <si>
    <t>1,08</t>
  </si>
  <si>
    <t>1,04</t>
  </si>
  <si>
    <t>1,27</t>
  </si>
  <si>
    <t>1,30</t>
  </si>
  <si>
    <t>1,09</t>
  </si>
  <si>
    <t>1,10</t>
  </si>
  <si>
    <t>1,33</t>
  </si>
  <si>
    <t>1,31</t>
  </si>
  <si>
    <t>1,11</t>
  </si>
  <si>
    <t>1,12</t>
  </si>
  <si>
    <t>1,20</t>
  </si>
  <si>
    <t>1,17</t>
  </si>
  <si>
    <t>1,18</t>
  </si>
  <si>
    <t>1,19</t>
  </si>
  <si>
    <t>1,77</t>
  </si>
  <si>
    <t>1,64</t>
  </si>
  <si>
    <t>1,67</t>
  </si>
  <si>
    <t>1,68</t>
  </si>
  <si>
    <t>1,79</t>
  </si>
  <si>
    <t>1,60</t>
  </si>
  <si>
    <t>1,61</t>
  </si>
  <si>
    <t>1,80</t>
  </si>
  <si>
    <t>1,78</t>
  </si>
  <si>
    <t>1,74</t>
  </si>
  <si>
    <t>1,73</t>
  </si>
  <si>
    <t>1,69</t>
  </si>
  <si>
    <t>2,21</t>
  </si>
  <si>
    <t>2,58</t>
  </si>
  <si>
    <t>2,31</t>
  </si>
  <si>
    <t>2,01</t>
  </si>
  <si>
    <t>2,27</t>
  </si>
  <si>
    <t>2,02</t>
  </si>
  <si>
    <t>2,03</t>
  </si>
  <si>
    <t>2,28</t>
  </si>
  <si>
    <t>2,32</t>
  </si>
  <si>
    <t>2,30</t>
  </si>
  <si>
    <t>2,04</t>
  </si>
  <si>
    <t>2,05</t>
  </si>
  <si>
    <t>2,06</t>
  </si>
  <si>
    <t>2,07</t>
  </si>
  <si>
    <t>2,08</t>
  </si>
  <si>
    <t>2,15</t>
  </si>
  <si>
    <t>2,12</t>
  </si>
  <si>
    <t>2,20</t>
  </si>
  <si>
    <t>2,35</t>
  </si>
  <si>
    <t>2,36</t>
  </si>
  <si>
    <t>2,52</t>
  </si>
  <si>
    <t>2,53</t>
  </si>
  <si>
    <t>2,51</t>
  </si>
  <si>
    <t>2,37</t>
  </si>
  <si>
    <t>2,40</t>
  </si>
  <si>
    <t>2,41</t>
  </si>
  <si>
    <t>2,56</t>
  </si>
  <si>
    <t>2,49</t>
  </si>
  <si>
    <t>2,42</t>
  </si>
  <si>
    <t>2,44</t>
  </si>
  <si>
    <t>2,45</t>
  </si>
  <si>
    <t>2,47</t>
  </si>
  <si>
    <t>2,57</t>
  </si>
  <si>
    <t>3,45</t>
  </si>
  <si>
    <t>3,17</t>
  </si>
  <si>
    <t>3,01</t>
  </si>
  <si>
    <t>3,02</t>
  </si>
  <si>
    <t>3,03</t>
  </si>
  <si>
    <t>3,04</t>
  </si>
  <si>
    <t>3,44</t>
  </si>
  <si>
    <t>3,18</t>
  </si>
  <si>
    <t>3,05</t>
  </si>
  <si>
    <t>3,20</t>
  </si>
  <si>
    <t>3,12</t>
  </si>
  <si>
    <t>3,08</t>
  </si>
  <si>
    <t>3,38</t>
  </si>
  <si>
    <t>3,41</t>
  </si>
  <si>
    <t>3,42</t>
  </si>
  <si>
    <t>3,23</t>
  </si>
  <si>
    <t>3,25</t>
  </si>
  <si>
    <t>3,26</t>
  </si>
  <si>
    <t>3,28</t>
  </si>
  <si>
    <t>3,29</t>
  </si>
  <si>
    <t>3,30</t>
  </si>
  <si>
    <t>3,35</t>
  </si>
  <si>
    <t>3,33</t>
  </si>
  <si>
    <t>3,43</t>
  </si>
  <si>
    <t>Демонтаж шпатлевки и/или штукатурки на поверхности стен</t>
  </si>
  <si>
    <t>Уборка мусора от демонтажных работ с погрузкой в мешки и в контейнеры</t>
  </si>
  <si>
    <t>т</t>
  </si>
  <si>
    <t>Наименование</t>
  </si>
  <si>
    <t>Затарка материала в ручную</t>
  </si>
  <si>
    <t>Подготовка поверхности СКБ / стен / по штукатурке / 2мм</t>
  </si>
  <si>
    <t>WD6</t>
  </si>
  <si>
    <t>WD1</t>
  </si>
  <si>
    <t>WD4</t>
  </si>
  <si>
    <t>WD5</t>
  </si>
  <si>
    <t>WD8</t>
  </si>
  <si>
    <t>WD10</t>
  </si>
  <si>
    <t>1 эт</t>
  </si>
  <si>
    <t>2 эт</t>
  </si>
  <si>
    <t>3 эт</t>
  </si>
  <si>
    <t>WD11</t>
  </si>
  <si>
    <t>WD12</t>
  </si>
  <si>
    <t>WD13</t>
  </si>
  <si>
    <t>10</t>
  </si>
  <si>
    <t>6</t>
  </si>
  <si>
    <t>Монтаж, демонтаж, аренда строительных лесов</t>
  </si>
  <si>
    <t>м3</t>
  </si>
  <si>
    <t>Лакокрасочные работы СКБ / окраска стен / в 2 слоя</t>
  </si>
  <si>
    <t>Штукатурка поверхностей откосов сухими смесями с предварительной огрунтовкой поверхности / толщ. свыше 20 мм</t>
  </si>
  <si>
    <t>Зашивка приборов отопления / ГВЛВ / в 2 слоя на каркасе</t>
  </si>
  <si>
    <t>1, 2, 3 этажи. Тип:WD6. ГКЛ 2 слоя КНАУФ-Файерборд (толщина 12,5 мм) на металлическом каркасе с решеткой для воздухообмена.</t>
  </si>
  <si>
    <t>1, 2, 3 этажи. Тип:WD5. Зашивка вертикальных труб отопления ГKЛ тип С112 по серии Knauf толщиной 52мм. Двуслойная обшивка из КНАУФ-листов ГСП-А 12.5мм с одной стороны на одинарном металлическом каркасе из профиля ПП 60x27 Knauf.</t>
  </si>
  <si>
    <t>Газобетон</t>
  </si>
  <si>
    <t>№ пом.</t>
  </si>
  <si>
    <t>ед. изм</t>
  </si>
  <si>
    <t>объем</t>
  </si>
  <si>
    <t>сумма</t>
  </si>
  <si>
    <t>1 этаж. 
Тип: FK9</t>
  </si>
  <si>
    <t>1, 2, 3 этажи. Тип: FK13. Покраска</t>
  </si>
  <si>
    <t>Ед. изм</t>
  </si>
  <si>
    <t>Этаж</t>
  </si>
  <si>
    <t>1</t>
  </si>
  <si>
    <t>2</t>
  </si>
  <si>
    <t>3</t>
  </si>
  <si>
    <t>1, 2, 3 этажи. Тип: FK2. Покраска</t>
  </si>
  <si>
    <t>высота</t>
  </si>
  <si>
    <t>длина</t>
  </si>
  <si>
    <t>№ 
пом.</t>
  </si>
  <si>
    <t>Площадь,
м2.</t>
  </si>
  <si>
    <t>3 этаж. 
Тип: FK4</t>
  </si>
  <si>
    <t>Сумма:</t>
  </si>
  <si>
    <t>Гипсовая по бетону + Бетонконтакт, м2</t>
  </si>
  <si>
    <t>Гипсовая по Блоку ячеистому, кирпичу и ПГП + Грунт глубокого проникновения, м2</t>
  </si>
  <si>
    <t>Гипсовая по блоку, кирпичу и ПГП + грунт глубокого проникновения, м2</t>
  </si>
  <si>
    <t>Цементная + Грунт глубокого проникновения (по бетону, блоку ячеистому и ПГП под плитку), м2</t>
  </si>
  <si>
    <t xml:space="preserve">Штукатурка стен  </t>
  </si>
  <si>
    <t>Штукатурка колонн и простенков до 500 мм</t>
  </si>
  <si>
    <t>1 этаж</t>
  </si>
  <si>
    <t>2 этаж</t>
  </si>
  <si>
    <t>3 этаж</t>
  </si>
  <si>
    <r>
      <rPr>
        <b/>
        <sz val="12"/>
        <rFont val="ГОСТ тип А"/>
        <family val="2"/>
        <charset val="204"/>
      </rPr>
      <t xml:space="preserve">Гипсовая </t>
    </r>
    <r>
      <rPr>
        <sz val="12"/>
        <rFont val="ГОСТ тип А"/>
        <family val="2"/>
        <charset val="204"/>
      </rPr>
      <t xml:space="preserve">по бетону + </t>
    </r>
    <r>
      <rPr>
        <b/>
        <sz val="12"/>
        <rFont val="ГОСТ тип А"/>
        <family val="2"/>
        <charset val="204"/>
      </rPr>
      <t>Бетонконтакт</t>
    </r>
    <r>
      <rPr>
        <sz val="12"/>
        <rFont val="ГОСТ тип А"/>
        <family val="2"/>
        <charset val="204"/>
      </rPr>
      <t>, м2</t>
    </r>
  </si>
  <si>
    <r>
      <rPr>
        <b/>
        <sz val="12"/>
        <rFont val="ГОСТ тип А"/>
        <family val="2"/>
        <charset val="204"/>
      </rPr>
      <t>Гипсовая</t>
    </r>
    <r>
      <rPr>
        <sz val="12"/>
        <rFont val="ГОСТ тип А"/>
        <family val="2"/>
        <charset val="204"/>
      </rPr>
      <t xml:space="preserve"> по Блоку ячеистому, кирпичу и ПГП + </t>
    </r>
    <r>
      <rPr>
        <b/>
        <sz val="12"/>
        <rFont val="ГОСТ тип А"/>
        <family val="2"/>
        <charset val="204"/>
      </rPr>
      <t>Грунт глубокого проникновения</t>
    </r>
    <r>
      <rPr>
        <sz val="12"/>
        <rFont val="ГОСТ тип А"/>
        <family val="2"/>
        <charset val="204"/>
      </rPr>
      <t>, м2</t>
    </r>
  </si>
  <si>
    <r>
      <rPr>
        <b/>
        <sz val="12"/>
        <rFont val="ГОСТ тип А"/>
        <family val="2"/>
        <charset val="204"/>
      </rPr>
      <t>Цементная</t>
    </r>
    <r>
      <rPr>
        <sz val="12"/>
        <rFont val="ГОСТ тип А"/>
        <family val="2"/>
        <charset val="204"/>
      </rPr>
      <t xml:space="preserve"> + </t>
    </r>
    <r>
      <rPr>
        <b/>
        <sz val="12"/>
        <rFont val="ГОСТ тип А"/>
        <family val="2"/>
        <charset val="204"/>
      </rPr>
      <t>Грунт глубокого проникновения</t>
    </r>
    <r>
      <rPr>
        <sz val="12"/>
        <rFont val="ГОСТ тип А"/>
        <family val="2"/>
        <charset val="204"/>
      </rPr>
      <t xml:space="preserve"> (по бетону, блоку ячеистому и ПГП под плитку), м2</t>
    </r>
  </si>
  <si>
    <r>
      <rPr>
        <b/>
        <sz val="12"/>
        <rFont val="ГОСТ тип А"/>
        <family val="2"/>
        <charset val="204"/>
      </rPr>
      <t>Гипсовая</t>
    </r>
    <r>
      <rPr>
        <sz val="12"/>
        <rFont val="ГОСТ тип А"/>
        <family val="2"/>
        <charset val="204"/>
      </rPr>
      <t xml:space="preserve"> по бетону + </t>
    </r>
    <r>
      <rPr>
        <b/>
        <sz val="12"/>
        <rFont val="ГОСТ тип А"/>
        <family val="2"/>
        <charset val="204"/>
      </rPr>
      <t>Бетонконтакт</t>
    </r>
    <r>
      <rPr>
        <sz val="12"/>
        <rFont val="ГОСТ тип А"/>
        <family val="2"/>
        <charset val="204"/>
      </rPr>
      <t>, м2</t>
    </r>
  </si>
  <si>
    <r>
      <rPr>
        <b/>
        <sz val="12"/>
        <rFont val="ГОСТ тип А"/>
        <family val="2"/>
        <charset val="204"/>
      </rPr>
      <t>Гипсовая</t>
    </r>
    <r>
      <rPr>
        <sz val="12"/>
        <rFont val="ГОСТ тип А"/>
        <family val="2"/>
        <charset val="204"/>
      </rPr>
      <t xml:space="preserve"> по блоку, кирпичу и ПГП + грунт глубокого проникновения, м2</t>
    </r>
  </si>
  <si>
    <r>
      <rPr>
        <b/>
        <sz val="12"/>
        <rFont val="ГОСТ тип А"/>
        <family val="2"/>
        <charset val="204"/>
      </rPr>
      <t>Цементная + Грунт глубокого проникновения</t>
    </r>
    <r>
      <rPr>
        <sz val="12"/>
        <rFont val="ГОСТ тип А"/>
        <family val="2"/>
        <charset val="204"/>
      </rPr>
      <t xml:space="preserve"> (по бетону, блоку ячеистому и ПГП под плитку, м2</t>
    </r>
  </si>
  <si>
    <t>№ п.п</t>
  </si>
  <si>
    <t>№ пом</t>
  </si>
  <si>
    <t>Объем, м2:</t>
  </si>
  <si>
    <t>ММП(1.04)</t>
  </si>
  <si>
    <t>3.22</t>
  </si>
  <si>
    <t>Ремонт гипсовой шпаклевки стен, колонн, простенок ш. до 500 мм. Базовый слой 2 мм.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</si>
  <si>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</si>
  <si>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</si>
  <si>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</si>
  <si>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</si>
  <si>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</si>
  <si>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</si>
  <si>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</si>
  <si>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</si>
  <si>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</si>
  <si>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</si>
  <si>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</si>
  <si>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</si>
  <si>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</si>
  <si>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</si>
  <si>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</si>
  <si>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</si>
  <si>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</si>
  <si>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</si>
  <si>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</si>
  <si>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</si>
  <si>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</si>
  <si>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</si>
  <si>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</si>
  <si>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</si>
  <si>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</si>
  <si>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</si>
  <si>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</si>
  <si>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53</t>
  </si>
  <si>
    <t>54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</si>
  <si>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</si>
  <si>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</si>
  <si>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</si>
  <si>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</si>
  <si>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</si>
  <si>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</si>
  <si>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</si>
  <si>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</si>
  <si>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</si>
  <si>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</si>
  <si>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</si>
  <si>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55</t>
  </si>
  <si>
    <t>56</t>
  </si>
  <si>
    <t>57</t>
  </si>
  <si>
    <t>58</t>
  </si>
  <si>
    <t>4</t>
  </si>
  <si>
    <t>5</t>
  </si>
  <si>
    <t>7</t>
  </si>
  <si>
    <t>8</t>
  </si>
  <si>
    <t>9</t>
  </si>
  <si>
    <t>11</t>
  </si>
  <si>
    <t>12</t>
  </si>
  <si>
    <t>13</t>
  </si>
  <si>
    <t>14</t>
  </si>
  <si>
    <t>Ремонт гипсовой шпаклевки откосов. Базовый слой 2 мм.</t>
  </si>
  <si>
    <t>Ремонт гипсовой шпаклевки откосов. Финишный слой.</t>
  </si>
  <si>
    <t>Ремонт гипсовой шпаклевки стен, колонн, простенок ш. до 500 мм. Финишный слой.</t>
  </si>
  <si>
    <t xml:space="preserve">Пом. </t>
  </si>
  <si>
    <t>Шпаклевка, шлифовка</t>
  </si>
  <si>
    <t>Покраска</t>
  </si>
  <si>
    <t>Демонтаж шпаклевки.</t>
  </si>
  <si>
    <t>Покраска стен 2 слоя</t>
  </si>
  <si>
    <t>Подготовка поверхности СКБ / стен / ЖБ /
Ремонт гипсовой шпаклевки откосов. Финишный слой 5 мм.</t>
  </si>
  <si>
    <t>Штукатурка откосов т. 60 мм, шириной 320 мм.</t>
  </si>
  <si>
    <t>Шпаклевка стен, базовая</t>
  </si>
  <si>
    <t>Шпаклевка стен, финишная</t>
  </si>
  <si>
    <t>Гипсовыми смесями базовая + грунтовка глубокого проникновения</t>
  </si>
  <si>
    <t>Гипсовыми смесями финишная + грунтовка глубокого проникновения</t>
  </si>
  <si>
    <t>КНАУФ (по ПГП под плитку), м2</t>
  </si>
  <si>
    <t>Штукатурка стен ,  колонн и простенков до 500 мм</t>
  </si>
  <si>
    <t>Затарка материала вручную на 2-й и 3-й этаж</t>
  </si>
  <si>
    <t>Штукатурка стен сухими смесями с установкой маяков с предварительной огрунтовкой / толщ. от 11,5 мм до 16 мм</t>
  </si>
  <si>
    <t>Штукатурка стен сухими смесями с установкой маяков с предварительной огрунтовкой / толщ. от 21,5 до 26 мм</t>
  </si>
  <si>
    <t>Штукатурка стен цементным, цементно-песчаным раствором с предварительной огрунтовкой / толщ. до 20 мм / высотой до 4 метров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</si>
  <si>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</si>
  <si>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НЗ № 1702 от 17.02.2026, поз. №№ 3 и 5</t>
  </si>
  <si>
    <t>НЗ № 1702 от 17.02.2026, поз. № 1</t>
  </si>
  <si>
    <t>НЗ № 1702 от 17.02.2026, поз. №№ 2 и 4</t>
  </si>
  <si>
    <t>НЗ № 1702 от 17.02.2026, поз. № № 9 и 10</t>
  </si>
  <si>
    <t>НЗ № 1702 от 17.02.2026, поз. № 7</t>
  </si>
  <si>
    <t>НЗ № 1702 от 17.02.2026, поз. № 6</t>
  </si>
  <si>
    <t>НЗ № 1702 от 17.02.2026, поз. № 8</t>
  </si>
  <si>
    <t>Затарка материала вручную</t>
  </si>
  <si>
    <t>НЗ № 1702 от 17.02.2026, поз. № 11</t>
  </si>
  <si>
    <t>Кладка перегородок из кирпича без устройства перемычек, включая армирование, крепление к стенам, заделку примыканий, зачеканку швов / толщ. 120 мм</t>
  </si>
  <si>
    <t>Поз.</t>
  </si>
  <si>
    <t>Ед.изм.</t>
  </si>
  <si>
    <t>Кладка внутренних стен из блоков ячеистого бетона без устройства перемычек, включая армирование, устройство примыканий</t>
  </si>
  <si>
    <t>Объем.</t>
  </si>
  <si>
    <t>3,15</t>
  </si>
  <si>
    <t>коридор</t>
  </si>
  <si>
    <t>Устройство перегородок из ПГП без устройства перемычек, включая проклейку углов примыкания армирующей лентой, толщ. до 115 мм</t>
  </si>
  <si>
    <t>3.24</t>
  </si>
  <si>
    <t>3.27</t>
  </si>
  <si>
    <t>Подвал</t>
  </si>
  <si>
    <t>1-й этаж</t>
  </si>
  <si>
    <t>3-й этаж</t>
  </si>
  <si>
    <t>Подвал. Внутренние стены из газобетона толщ. 200 мм</t>
  </si>
  <si>
    <t xml:space="preserve"> 1-й этаж. Внутренние стены из газобетона толщ. 200 мм</t>
  </si>
  <si>
    <t>2-й этаж. Внутренние стены из газобетона толщ. 200 мм</t>
  </si>
  <si>
    <t>3-й этаж. Внутренние стены из газобетона толщ. 200 мм</t>
  </si>
  <si>
    <t>2-й этаж</t>
  </si>
  <si>
    <t>Подготовка поверхности СКБ / стен / ГКЛ, ПГП / 2мм</t>
  </si>
  <si>
    <t xml:space="preserve"> Шпаклевка стен по зашивкам под окраску гипсовая базовая. WD5, WD6, WD8, WD10, WD11, WD12, WD13.</t>
  </si>
  <si>
    <t>Шпаклевка стен по зашивкам под окраску гипсовая финишная. WD5, WD6, WD8, WD10, WD11, WD12, WD13.</t>
  </si>
  <si>
    <t>Шпаклевка люков ревизионных под окраску гипсовая базовая</t>
  </si>
  <si>
    <t>Шпаклевка люков ревизионных под окраску гипсовая финишная</t>
  </si>
  <si>
    <t>1-й, 2-й и 3-й этаж стены, колонны и простенки шириной до 500 мм. Грунтовка, шпатлевка на гипсовой основе. Базовый слой 2 мм.</t>
  </si>
  <si>
    <t>Шпаклевка технических ниш ЭОМ. Базовый слой.</t>
  </si>
  <si>
    <t>Шпаклевка технических ниш ЭОМ. Финишный слой.</t>
  </si>
  <si>
    <t>1-й, 2-й и 3-й этаж стены, колонны и простенки шириной до 500 мм. Грунтовка, шпатлевка на гипсовой основе. Финишный слой 2 мм.</t>
  </si>
  <si>
    <t>Штукатурка внутренних стен по утеплителю по стеклотканевой сетке / толщ. до 10мм</t>
  </si>
  <si>
    <t>Стены тамбуров по утеплителю и пом. 1.51 (загрузочная). Базовый армированный штукатурный слой - клеевой состав с армирующей стеклосеткой 10 мм</t>
  </si>
  <si>
    <t>Заделка отверстий в стенах в местах прохода коммуникаций / до 150 см2</t>
  </si>
  <si>
    <t>шт</t>
  </si>
  <si>
    <t>Подвал. Грунтовка, шпатлевка на цементной основе стен, колонн и простенков шириной до 500 мм. Финишный слой 2 мм</t>
  </si>
  <si>
    <t>Подвал. Грунтовка, шпатлевка на цементной основе стен, колонн и простенков шириной до 500 мм. Базовый слой 2 мм</t>
  </si>
  <si>
    <t>Зенитный фонарь и второй свет пом.2.008.  грунтовка, шпатлевка на гипсовой основе (до 2 мм) в 2 раза, (Базовый слой)</t>
  </si>
  <si>
    <t>Зенитный фонарь и второй свет пом.2.008.  грунтовка, шпатлевка на гипсовой основе (до 2 мм) в 2 раза, (Финишный слой)</t>
  </si>
  <si>
    <t>Штукатурка стен гипсовыми смесями с предварительной огрунтовкой СКБ / толщ. от 21 до 40 мм / высотой от 4,01 до 8 метров</t>
  </si>
  <si>
    <t>Цементная штукатурка стен толщиной 20 мм. Грунт глубокого проникновения. За исключением слицовки. 1-3 этажи + Подвал</t>
  </si>
  <si>
    <t>Гипсовая штукатурка стен по бетону толщиной 20 мм. Бетонконтакт. За исключением объема штукатурки выше 4,0 м. и слицовки. 1-3 этажи</t>
  </si>
  <si>
    <t>Гипсовая штукатурка стен по кирпичу, газоблоку и ПГП толщиной до 20мм в технических нишах ЭОМ.</t>
  </si>
  <si>
    <t>Гипсовая штукатурка стен по блоку, ПГП толщиной 20 мм. Грунт глубокого проникновения. За исключением объема штукатурки выше 4,0 м. и слицовки. 1-3 этажи</t>
  </si>
  <si>
    <t>Штукатурка стен по ПГП под облицовку плиткой и стен выше плитки толщиной 20 мм.</t>
  </si>
  <si>
    <t>Гипсовая штукатурка стен по бетону толщиной 20 мм. Бетонконтакт. Объем  штукатурки выше 4,0 м. 1-3 этажи</t>
  </si>
  <si>
    <t>Гипсовая штукатурка стен по блоку, ПГП толщиной 20 мм. Грунт глубокого проникновения. Объем  штукатурки выше 4,0 м. 1-3 этажи</t>
  </si>
  <si>
    <t>Гипсовая штукатурка стенок зенитного фонаря и второго света пом. 2.007 по бетону  средняя толщина 20 мм.</t>
  </si>
  <si>
    <t>FK1. Покраска Gutver Prometeks RAL 9016 (белый) - Матовая краска. Класс пожарной опасности: КМ0 (подвал, 1, 2, 3 этажи)</t>
  </si>
  <si>
    <t>FK8.1. Покраска по WD12 и WD13, Gutver Prometeks RAL 6005 Матовая краска. Класс пожарной опасности: КМ0</t>
  </si>
  <si>
    <t>FK1. Покраска ниш ЭОМ и СС Gutver Prometeks RAL 9016 (белый) Матовая.  Класс пожарной опасности: КМ0</t>
  </si>
  <si>
    <t>Подвал. Покраска стен и откосов Gutver Prometeks RAL 9016 (белый) Матовая, влагостойкая, моющаяся краска. КМ0</t>
  </si>
  <si>
    <t>Подвал. Покраска торцов ЛМ Gutver Prometeks RAL 9016 (белый) - Матовая, влагостойкая, моющаяся краска. КМ0</t>
  </si>
  <si>
    <t>Выравнивание поверхностей откосов толщ. до 5 мм с предварительной огрунтовкой поверхности</t>
  </si>
  <si>
    <t>Монтаж ревизионных люков доступа</t>
  </si>
  <si>
    <t>КР28.4. Плитка Kerama Marazzi 8000N Белое солнце 20x30, белая, глянцевая, моноколор. Затирка: Церезит CE 40, цвет серебристо-серый 04. Горизонтальная и вертикальная отделка подоконников и откосов</t>
  </si>
  <si>
    <t>FK16. Облицовка плиткой люков ревизионных "Стил" Керамическая плитка Kerama Marazzi, калейдоскоп 5009, размер 200х200х6,9, КМ0. Затирка: Церезит CE 40, цвет серебристо-серый 04, шов 2мм</t>
  </si>
  <si>
    <t>FK9. Облицовка плиткой люков ревизионных "Стил" Настенная плитка Kerama Marazzi 8000N Белое солнце 20x30, белая, глянцевая, моноколор .Затирка: Церезит CE 40, цвет серебристо-серый 04</t>
  </si>
  <si>
    <t>FK12. Керамогранит Грани Таганая Профи, арт. GT085М, цвет голубой, размер 600*600 мм, толщина 10мм, матовый. Затирка: Церезит CE 40, цвет серебристо-серый 04</t>
  </si>
  <si>
    <t>FK10. Облицовка плиткой люков ревизионных "Стил" Керамогранит Грани Таганая, арт. GT202M, цвет кристально молочный, размер 600*600 мм, толщина 10мм, матовый. Затирка: Церезит CE 40, цвет серебристо-серый 04</t>
  </si>
  <si>
    <t>FK12. Облицовка плиткой люков ревизионных "Стил" Керамогранит Грани Таганая Профи, арт. GT085М, цвет голубой, размер 600*600 мм, толщина 10мм, матовый. Затирка: Церезит CE 40, цвет серебристо-серый 04</t>
  </si>
  <si>
    <t>FK4. Облицовка плиткой люков ревизионных "Стил" Керамогранит Грани Таганая Профи, арт. GT079M, цвет зеленый чай, размер 600*600 мм, толщина 10мм, матовый. Затирка: Церезит CE 40, цвет серебристо-серый 04</t>
  </si>
  <si>
    <t>Люк технический Хаммер "Стил" скрытого монтажа 600*600. Тип: T-29(п), T-35(п), T-34(п), T-41(п), T-54(п).</t>
  </si>
  <si>
    <t>Люк технический Хаммер "Стил" скрытого монтажа 500*600. Тип: T-01(п)</t>
  </si>
  <si>
    <t>Люк технический Хаммер "Стил" скрытого монтажа 400*600. Тип: T-16(п), T-17(п),</t>
  </si>
  <si>
    <t>Люк технический Хаммер "Стил" скрытого монтажа 350*600. Тип: T-36(п)</t>
  </si>
  <si>
    <t>Люк технический Хаммер "Стил" скрытого монтажа 500*500. Тип: T-18(п), T-26(п)</t>
  </si>
  <si>
    <t>Люк технический Хаммер "Стил" скрытого монтажа 400*500. Тип: T-10(п), T-11(п), T-21(п), T-28(п)</t>
  </si>
  <si>
    <t>Люк технический Хаммер "Стил" скрытого монтажа 400*400. Тип: T-02(п), T-03(п), T-06(п), T-12(п), T-15(п), T-20(п), T-55(п)</t>
  </si>
  <si>
    <t>Люк технический Хаммер "Стил" скрытого монтажа 300*400. Тип: T-04(п), T-05(п)</t>
  </si>
  <si>
    <t>Люк технический Хаммер "Стил" скрытого монтажа 400*300. Тип: T-07(п)</t>
  </si>
  <si>
    <t>Люк технический Хаммер "Стил" скрытого монтажа 300*300. Тип: T-08(п), T-24(п)</t>
  </si>
  <si>
    <t>Люк технический Хаммер "Стил" скрытого монтажа 200*300. Тип: T-09(п)(л), T-13(п), T-19(п), T-23(п), T-30(п), T-31(п), T-32(п), T-33(п)</t>
  </si>
  <si>
    <t>КР25.4. Керамогранит Kerama Marazzi Монтиони SG511520R, 20х119,5 бежевый светлый. Раскладка 1/2 вдоль подоконника. Горизонтальная отделка подоконников и откосов</t>
  </si>
  <si>
    <t>КР-3.1. Керамогранит Грани Таганая Профи, арт. GT009М, цвет светло-серый, размер 600*600 мм, толщина 10мм, матовый. Затирка: Церезит CE 40, цвет серебристо-серый 04. Бортики душевых полы и стены</t>
  </si>
  <si>
    <t>Цементная штукатурка откосов оконных, витражных, дверных, средняя толщина с перекрытием примыкания 60 мм (основная толщина 20 мм), без рассвета - откос прямой. Грунт глубокого проникновения.</t>
  </si>
  <si>
    <t>Гипсовая штукатурка откосов оконных, витражных, дверных, средняя толщина с перекрытием примыкания 60мм (основная толщина 20 мм), без рассвета - откос прямой. Бетонконтакт.</t>
  </si>
  <si>
    <t>Цементная штукатурка колонн, простенков по бетону и кирпичу до 500мм, толщиной до 20 мм. По технологии откосов. Грунт глубокого проникновения. (не учтено в площади стен) 1-3 этажи + подвал</t>
  </si>
  <si>
    <t>Гипсовая штукатурка по бетону колонн, простенков до 500мм, толщиной 20 мм. По технологии откосов. Бетонконтакт. (не учтено в площади стен)  1-3 этажи</t>
  </si>
  <si>
    <t>Гипсовая штукатурка по блоку ячеистому, кирпичу и ПГП простенков до 500мм, толщиной 20 мм. По технологии откосов. Грунт глубокого проникновения. (не учтено в площади стен). 1-3 этажи</t>
  </si>
  <si>
    <t>Гипсовая штукатурка 20 мм торцов ЛМ и площадок</t>
  </si>
  <si>
    <t>Гипсовая штукатурка балок (по типу откосов) в составе потолка CF1.1, СF1.2, СF13.1, СF13.2</t>
  </si>
  <si>
    <t>Шпаклевка гипсовая базовая. Балки в составе CF1.1, СF1.2, СF13.1, СF13.2</t>
  </si>
  <si>
    <t>Шпаклевка гипсовая финишная. Балки в составе CF1.1, СF1.2, СF13.1, СF13.2</t>
  </si>
  <si>
    <t>Шпаклевка цементная базовая Откосы оконные, витражные и дверные под окраску.</t>
  </si>
  <si>
    <t>Шпаклевка цементная финишная Откосы оконные, витражные и дверные под окраску.</t>
  </si>
  <si>
    <t>Шпаклевка гипсовая базовая Откосы оконные, витражные и дверные (этажи 1, 2, 3).</t>
  </si>
  <si>
    <t>Шпаклевка гипсовая финишная Откосы оконны, витражные и дверные (этажи 1, 2, 3).</t>
  </si>
  <si>
    <t>1-й, 2-й и 3-й этаж. Шпаклевка гипсовая базовая торцов лестничных маршей</t>
  </si>
  <si>
    <t>1-й, 2-й и 3-й этаж. Шпаклевка гипсовая финишная торцов лестничных маршей</t>
  </si>
  <si>
    <t>№</t>
  </si>
  <si>
    <t>Объем, м2.</t>
  </si>
  <si>
    <t>Штукатурка стен цементным, цементно-песчаным раствором с предварительной огрунтовкой / толщ. до 20 мм / высотой до 4 метров. Пом 2.39</t>
  </si>
  <si>
    <t>Штукатурка стен цементным, цементно-песчаным раствором с предварительной огрунтовкой / толщ. от 21 до 40 мм / высотой до 4 метров. Пом. 1.66</t>
  </si>
  <si>
    <t>Штукатурка поверхностей откосов сухими смесями с предварительной огрунтовкой поверхности / толщ. свыше 20 мм. Пом. 2.24</t>
  </si>
  <si>
    <t>FK1</t>
  </si>
  <si>
    <t>FK2</t>
  </si>
  <si>
    <t>FK3</t>
  </si>
  <si>
    <t>FK11</t>
  </si>
  <si>
    <t>FK13</t>
  </si>
  <si>
    <t>FK14</t>
  </si>
  <si>
    <t>FK15</t>
  </si>
  <si>
    <t>FK2.1</t>
  </si>
  <si>
    <t>FK8.1</t>
  </si>
  <si>
    <t>FK7.1</t>
  </si>
  <si>
    <t>FK6</t>
  </si>
  <si>
    <t>Столбец1</t>
  </si>
  <si>
    <t>Столбец2</t>
  </si>
  <si>
    <t>Столбец3</t>
  </si>
  <si>
    <t>1, 2, 3 этажи. 
Тип: FK1</t>
  </si>
  <si>
    <t>1, 2, 3 этажи. 
Тип: FK2</t>
  </si>
  <si>
    <t>1, 2, 3 этажи. 
Тип: FK3</t>
  </si>
  <si>
    <t>2
этажи. 
Тип: FK2.1</t>
  </si>
  <si>
    <t>3 этажи. 
Тип: FK11</t>
  </si>
  <si>
    <t>1 этажи. 
Тип: FK8.1</t>
  </si>
  <si>
    <t>1 этажи. 
Тип: FK7.1</t>
  </si>
  <si>
    <t>3 этажи. 
Тип: FK6</t>
  </si>
  <si>
    <t>1, 3 этажи. 
Тип: FK15</t>
  </si>
  <si>
    <t>Устройство перегородок на металлическом каркасе по системе Knauf / С-115.1 / А2-16</t>
  </si>
  <si>
    <t>Тип: WD8</t>
  </si>
  <si>
    <t>Тип: WD10.</t>
  </si>
  <si>
    <t>Облицовка стен по системе Knauf / С-625 / в 1 слой / А-13, А-23</t>
  </si>
  <si>
    <t>Тип: WD11</t>
  </si>
  <si>
    <t>Облицовка стен по системе Knauf / С-631 / в 1 слой</t>
  </si>
  <si>
    <t>Тип: WD12</t>
  </si>
  <si>
    <t>Устройство тепло-звукоизоляции стен / в 1 слой</t>
  </si>
  <si>
    <t>Пом: 1.01, 1.59, 1.63, 1,70. Минераловатный утеплитель  Rockwool венти баттс 100 мм.</t>
  </si>
  <si>
    <t>Тип: FK13.</t>
  </si>
  <si>
    <t>Тип: FK15.</t>
  </si>
  <si>
    <t>Тип: FK11.</t>
  </si>
  <si>
    <t>Тип: FK5.1</t>
  </si>
  <si>
    <t>Тип: FK2</t>
  </si>
  <si>
    <t>Тип: FK2.1</t>
  </si>
  <si>
    <t>Тип: FK6</t>
  </si>
  <si>
    <t>Ведомость работ</t>
  </si>
  <si>
    <t xml:space="preserve">Зашивка витражного остекленния до уровня чистого потолка / файерборд </t>
  </si>
  <si>
    <t xml:space="preserve">Зашивка окон до уровня чистого пола  / файерборд </t>
  </si>
  <si>
    <t xml:space="preserve">Зашивка для монтажа противопожарной шторы / файерборд </t>
  </si>
  <si>
    <t xml:space="preserve">Зашивка коммуникации до уровня чистого потолка / файерборд </t>
  </si>
  <si>
    <t xml:space="preserve">Зашивка коммуникации / файерборд </t>
  </si>
  <si>
    <t xml:space="preserve">Зашивка окон второго света до ур. чистого пот. / файерборд </t>
  </si>
  <si>
    <t xml:space="preserve">ЗашивкаЖБ плиты до ур. чистого пот. / файерборд </t>
  </si>
  <si>
    <t>Ремонт (демонтаж/монтаж) штукатурки стен 25 мм гипсовая по бетону + Бетонконтакт</t>
  </si>
  <si>
    <t>Ремонт (демонтаж/монтаж) штукатурки стен 25 мм гипсовая по блоку ячеистому, кирпичу и ПГП + Грунт глубокого проникновения</t>
  </si>
  <si>
    <t>Ремонт (демонтаж/монтаж) штукатурки 25 мм гипсовая по бетону + Бетонконтакт. Колонны и простенки ш. до 500 мм.</t>
  </si>
  <si>
    <t>Штукатурка откосов</t>
  </si>
  <si>
    <t>Ремонт (демонтаж и монтаж) шпаклевки гипсовой. Базовый слой 2 мм. 1-й, 2-й и 3-й этаж стены, колонны и простенки шириной до 500 мм.</t>
  </si>
  <si>
    <t>Ремонт (демонтаж и монтаж) шпаклевки гипсовой. Финишный слой 2 мм. 1-й, 2-й и 3-й этаж стены, колонны и простенки шириной до 500 мм.</t>
  </si>
  <si>
    <t>Ремонт (демонтаж/монтаж) шпаклевки гипсовой базовой. Откосы оконные, витражные и дверные (этажи 1, 2, 3).</t>
  </si>
  <si>
    <t>Ремонт (демонтаж/монтаж) шпаклевки гипсовой финишной. Откосы оконные, витражные и дверные (этажи 1, 2, 3).</t>
  </si>
  <si>
    <t>Ремонт (демонтаж/монтаж) окраски стен под радиаторами отопления</t>
  </si>
  <si>
    <t>Подъем материалов на 2-й и 3-й этажи в отсутствие подъемника</t>
  </si>
  <si>
    <t>тн</t>
  </si>
  <si>
    <t>Обработка поверхности стен антиграбовым составом</t>
  </si>
  <si>
    <t>Уборка и вынос мусора после демонтажных работ</t>
  </si>
  <si>
    <t>Вывоз мусора контейнерами по 8м3, исходя из грузоподъемности контейнера 3,19 тн/шт</t>
  </si>
  <si>
    <t>Пункт №1.</t>
  </si>
  <si>
    <t>Пункт №2.</t>
  </si>
  <si>
    <t>Пункт №3.</t>
  </si>
  <si>
    <t>Пункт №4.</t>
  </si>
  <si>
    <t>Пункт №5, 6, 9.</t>
  </si>
  <si>
    <t>Пункт №7, 8.</t>
  </si>
  <si>
    <t>Пункт №1, 2.</t>
  </si>
  <si>
    <t>Пункт №3, 4.</t>
  </si>
  <si>
    <t>Устройство штроб</t>
  </si>
  <si>
    <t>пог.м.</t>
  </si>
  <si>
    <t>Об.</t>
  </si>
  <si>
    <t>Штукатурка стен. Гипсовая  + Грунт глубокого проникновения, м2. / Заделка штроб</t>
  </si>
  <si>
    <t>Подготовка поверхности СКБ /  стен / по штукатурке / 2мм Шпаклевка стен. Гипсовыми смесями базовая + грунт глубокого проникновения, м2. / Заделка штроб</t>
  </si>
  <si>
    <t>Подготовка поверхности СКБ /  стен / по штукатурке / 2мм / Шпаклевка стен. Гипсовыми смесями финишная + грунт глубокого проникновения, м2. / Заделка штроб</t>
  </si>
  <si>
    <t>Обработка поверхностей антигрибковым составом / стены</t>
  </si>
  <si>
    <t>Итог</t>
  </si>
  <si>
    <t>Штукатурка стен сухими смесями с установкой маяков с предварительной огрунтовкой / толщ. от 21,5 до 26 мм / по бетону</t>
  </si>
  <si>
    <t>Штукатурка стен сухими смесями с установкой маяков с предварительной огрунтовкой / толщ. от 21,5 до 26 мм / по блоку ячеистому, кирпичу и ПГП</t>
  </si>
  <si>
    <t>Штукатурка стен цементным, цементно-песчаным раствором с предварительной огрунтовкой / толщ. от 21 до 40 мм / высотой до 4 метров / Блок, Кирпич, ПГП</t>
  </si>
  <si>
    <t>Шпаклевка базовая / файерборд</t>
  </si>
  <si>
    <t>Шпаклевка финишная / файерборд</t>
  </si>
  <si>
    <t>окраска файерборда</t>
  </si>
  <si>
    <t>Подготовка поверхности СКБ / стен / ГКЛ / 2мм</t>
  </si>
  <si>
    <t>Облицовка поверхности стен / керамической, керамогранитной плиткой / 600 х 600</t>
  </si>
  <si>
    <t>Облицовка поверхности стен / керамической, керамогранитной плиткой / 200 х 300</t>
  </si>
  <si>
    <t>Заделка отверстий в стенах в местах прохода коммуникации / до 150 мм</t>
  </si>
  <si>
    <t>Установка люков / в потолке</t>
  </si>
  <si>
    <t>Люк ревизионный с замком 30х30 см.</t>
  </si>
  <si>
    <t>Люк ревизионный с замком 20х30 см.</t>
  </si>
  <si>
    <t>Люк ревизионный с замком 60х60 см.</t>
  </si>
  <si>
    <t>Монтаж металлических дверей (в т.ч. монтаж доводчиков, доборов и пр.) / Спец. Помещения</t>
  </si>
  <si>
    <t>Люк-дверь "Хаммер"
700х2100 мм.</t>
  </si>
  <si>
    <t>Установка металлических решеток на радиаторы отопления / 5 шт.</t>
  </si>
  <si>
    <t>Размеры</t>
  </si>
  <si>
    <t>0,5 м х 1,3 м</t>
  </si>
  <si>
    <t>0,5 м х 1,7 м</t>
  </si>
  <si>
    <t>0,5 м х 1,8 м</t>
  </si>
  <si>
    <t>Объем, м2</t>
  </si>
  <si>
    <t>Восстановление шпаклевки стен в нишах ЭОМ и СС / шпаклевка финишная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</si>
</sst>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0.0"/>
    <numFmt numFmtId="165" formatCode="#,##0.000"/>
    <numFmt numFmtId="166" formatCode="0.000"/>
  </numFmts>
  <fonts count="49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204"/>
      <scheme val="minor"/>
    </font>
    <font>
      <i/>
      <sz val="13"/>
      <name val="ISOCPEUR"/>
      <family val="2"/>
      <charset val="204"/>
    </font>
    <font>
      <i/>
      <sz val="11"/>
      <name val="ISOCPEUR"/>
      <family val="2"/>
      <charset val="204"/>
    </font>
    <font>
      <i/>
      <sz val="11"/>
      <color rgb="FF000000"/>
      <name val="ISOCPEUR"/>
      <family val="2"/>
    </font>
    <font>
      <i/>
      <sz val="15.5"/>
      <name val="ISOCPEUR"/>
      <family val="2"/>
    </font>
    <font>
      <sz val="15.5"/>
      <name val="Times New Roman"/>
      <family val="1"/>
    </font>
    <font>
      <i/>
      <sz val="13"/>
      <name val="ISOCPEUR"/>
      <family val="2"/>
    </font>
    <font>
      <sz val="13"/>
      <name val="Times New Roman"/>
      <family val="1"/>
    </font>
    <font>
      <i/>
      <sz val="11"/>
      <name val="ISOCPEUR"/>
      <family val="2"/>
    </font>
    <font>
      <sz val="11"/>
      <name val="Times New Roman"/>
      <family val="1"/>
    </font>
    <font>
      <sz val="15.5"/>
      <name val="Times New Roman"/>
      <family val="1"/>
      <charset val="204"/>
    </font>
    <font>
      <sz val="11"/>
      <name val="Times New Roman"/>
      <family val="1"/>
      <charset val="204"/>
    </font>
    <font>
      <sz val="10"/>
      <color rgb="FF000000"/>
      <name val="ГОСТ тип А"/>
      <family val="2"/>
      <charset val="204"/>
    </font>
    <font>
      <i/>
      <sz val="10"/>
      <name val="ГОСТ тип А"/>
      <family val="2"/>
      <charset val="204"/>
    </font>
    <font>
      <sz val="10"/>
      <name val="ГОСТ тип А"/>
      <family val="2"/>
      <charset val="204"/>
    </font>
    <font>
      <i/>
      <sz val="10"/>
      <color rgb="FF000000"/>
      <name val="ГОСТ тип А"/>
      <family val="2"/>
      <charset val="204"/>
    </font>
    <font>
      <b/>
      <sz val="14"/>
      <color rgb="FF000000"/>
      <name val="ГОСТ тип А"/>
      <family val="2"/>
      <charset val="204"/>
    </font>
    <font>
      <sz val="14"/>
      <color rgb="FF000000"/>
      <name val="ГОСТ тип А"/>
      <family val="2"/>
      <charset val="204"/>
    </font>
    <font>
      <b/>
      <sz val="14"/>
      <color rgb="FFFF0000"/>
      <name val="ГОСТ тип А"/>
      <family val="2"/>
      <charset val="204"/>
    </font>
    <font>
      <b/>
      <sz val="14"/>
      <color theme="1"/>
      <name val="ГОСТ тип А"/>
      <family val="2"/>
      <charset val="204"/>
    </font>
    <font>
      <sz val="14"/>
      <color theme="1"/>
      <name val="ГОСТ тип А"/>
      <family val="2"/>
      <charset val="204"/>
    </font>
    <font>
      <sz val="14"/>
      <name val="ГОСТ тип А"/>
      <family val="2"/>
      <charset val="204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4"/>
      <name val="ГОСТ тип А"/>
      <family val="2"/>
      <charset val="204"/>
    </font>
    <font>
      <b/>
      <sz val="14"/>
      <name val="ГОСТ тип А"/>
      <family val="2"/>
      <charset val="204"/>
    </font>
    <font>
      <sz val="11"/>
      <color rgb="FF000000"/>
      <name val="Calibri"/>
      <family val="2"/>
      <charset val="204"/>
    </font>
    <font>
      <sz val="10"/>
      <color rgb="FF00B050"/>
      <name val="Times New Roman"/>
      <family val="1"/>
      <charset val="204"/>
    </font>
    <font>
      <i/>
      <sz val="11"/>
      <color rgb="FF00B050"/>
      <name val="ISOCPEUR"/>
      <family val="2"/>
      <charset val="204"/>
    </font>
    <font>
      <sz val="10"/>
      <color rgb="FF000000"/>
      <name val="Times New Roman"/>
      <family val="1"/>
      <charset val="204"/>
    </font>
    <font>
      <b/>
      <sz val="14"/>
      <color theme="4" tint="-0.249977111117893"/>
      <name val="ГОСТ тип А"/>
      <family val="2"/>
      <charset val="204"/>
    </font>
    <font>
      <b/>
      <sz val="12"/>
      <color theme="4" tint="-0.249977111117893"/>
      <name val="ГОСТ тип А"/>
      <family val="2"/>
      <charset val="204"/>
    </font>
    <font>
      <sz val="12"/>
      <name val="XO Thames"/>
      <family val="1"/>
      <charset val="204"/>
    </font>
    <font>
      <sz val="12"/>
      <color theme="1"/>
      <name val="ГОСТ тип А"/>
      <family val="2"/>
      <charset val="204"/>
    </font>
    <font>
      <sz val="12"/>
      <color rgb="FF000000"/>
      <name val="ГОСТ тип А"/>
      <family val="2"/>
      <charset val="204"/>
    </font>
    <font>
      <b/>
      <sz val="12"/>
      <name val="ГОСТ тип А"/>
      <family val="2"/>
      <charset val="204"/>
    </font>
    <font>
      <sz val="12"/>
      <name val="ГОСТ тип А"/>
      <family val="2"/>
      <charset val="204"/>
    </font>
    <font>
      <sz val="10"/>
      <color rgb="FFFF0000"/>
      <name val="Times New Roman"/>
      <family val="1"/>
      <charset val="204"/>
    </font>
    <font>
      <b/>
      <sz val="10"/>
      <color theme="4" tint="-0.249977111117893"/>
      <name val="Times New Roman"/>
      <family val="1"/>
      <charset val="204"/>
    </font>
    <font>
      <sz val="10"/>
      <color theme="4" tint="-0.249977111117893"/>
      <name val="Times New Roman"/>
      <family val="1"/>
      <charset val="204"/>
    </font>
    <font>
      <sz val="10"/>
      <color theme="4" tint="-0.249977111117893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ГОСТ тип А"/>
      <family val="2"/>
      <charset val="204"/>
    </font>
    <font>
      <b/>
      <sz val="10"/>
      <color theme="4" tint="-0.249977111117893"/>
      <name val="ГОСТ тип А"/>
      <family val="2"/>
      <charset val="204"/>
    </font>
    <font>
      <sz val="10"/>
      <color theme="4" tint="-0.249977111117893"/>
      <name val="ГОСТ тип А"/>
      <family val="2"/>
      <charset val="204"/>
    </font>
    <font>
      <b/>
      <sz val="12"/>
      <color theme="1"/>
      <name val="ГОСТ тип А"/>
      <family val="2"/>
      <charset val="204"/>
    </font>
    <font>
      <b/>
      <sz val="12"/>
      <color rgb="FF000000"/>
      <name val="ГОСТ тип А"/>
      <family val="2"/>
      <charset val="204"/>
    </font>
    <font>
      <sz val="12"/>
      <color theme="4" tint="-0.249977111117893"/>
      <name val="ГОСТ тип А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99"/>
        <bgColor indexed="64"/>
      </patternFill>
    </fill>
  </fills>
  <borders count="5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theme="4"/>
      </bottom>
      <diagonal/>
    </border>
    <border>
      <left/>
      <right style="thin">
        <color indexed="64"/>
      </right>
      <top style="thin">
        <color rgb="FF000000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theme="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theme="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7" fillId="0" borderId="0"/>
    <xf numFmtId="43" fontId="30" fillId="0" borderId="0" applyFont="0" applyFill="0" applyBorder="0" applyAlignment="0" applyProtection="0"/>
    <xf numFmtId="0" fontId="1" fillId="0" borderId="0"/>
  </cellStyleXfs>
  <cellXfs count="760">
    <xf numFmtId="0" fontId="0" fillId="0" borderId="0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 indent="3"/>
    </xf>
    <xf numFmtId="0" fontId="0" fillId="0" borderId="5" xfId="0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 wrapText="1"/>
    </xf>
    <xf numFmtId="164" fontId="4" fillId="0" borderId="4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left" vertical="center" wrapText="1"/>
    </xf>
    <xf numFmtId="164" fontId="4" fillId="0" borderId="5" xfId="0" applyNumberFormat="1" applyFont="1" applyFill="1" applyBorder="1" applyAlignment="1">
      <alignment horizontal="center" vertical="center" shrinkToFit="1"/>
    </xf>
    <xf numFmtId="164" fontId="4" fillId="0" borderId="7" xfId="0" applyNumberFormat="1" applyFont="1" applyFill="1" applyBorder="1" applyAlignment="1">
      <alignment horizontal="center" vertical="center" shrinkToFit="1"/>
    </xf>
    <xf numFmtId="0" fontId="0" fillId="0" borderId="5" xfId="0" applyFill="1" applyBorder="1" applyAlignment="1">
      <alignment horizontal="left" vertical="center" wrapText="1"/>
    </xf>
    <xf numFmtId="164" fontId="4" fillId="0" borderId="5" xfId="0" applyNumberFormat="1" applyFont="1" applyFill="1" applyBorder="1" applyAlignment="1">
      <alignment horizontal="left" vertical="center" indent="2" shrinkToFit="1"/>
    </xf>
    <xf numFmtId="164" fontId="4" fillId="0" borderId="7" xfId="0" applyNumberFormat="1" applyFont="1" applyFill="1" applyBorder="1" applyAlignment="1">
      <alignment horizontal="left" vertical="center" indent="2" shrinkToFit="1"/>
    </xf>
    <xf numFmtId="0" fontId="3" fillId="0" borderId="5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164" fontId="4" fillId="0" borderId="8" xfId="0" applyNumberFormat="1" applyFont="1" applyFill="1" applyBorder="1" applyAlignment="1">
      <alignment horizontal="left" vertical="center" indent="2" shrinkToFit="1"/>
    </xf>
    <xf numFmtId="164" fontId="4" fillId="0" borderId="10" xfId="0" applyNumberFormat="1" applyFont="1" applyFill="1" applyBorder="1" applyAlignment="1">
      <alignment horizontal="left" vertical="center" indent="2" shrinkToFit="1"/>
    </xf>
    <xf numFmtId="164" fontId="4" fillId="0" borderId="8" xfId="0" applyNumberFormat="1" applyFont="1" applyFill="1" applyBorder="1" applyAlignment="1">
      <alignment horizontal="center" vertical="center" shrinkToFit="1"/>
    </xf>
    <xf numFmtId="0" fontId="0" fillId="0" borderId="8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164" fontId="4" fillId="0" borderId="11" xfId="0" applyNumberFormat="1" applyFont="1" applyFill="1" applyBorder="1" applyAlignment="1">
      <alignment horizontal="center" vertical="center" shrinkToFit="1"/>
    </xf>
    <xf numFmtId="164" fontId="4" fillId="0" borderId="13" xfId="0" applyNumberFormat="1" applyFont="1" applyFill="1" applyBorder="1" applyAlignment="1">
      <alignment horizontal="center" vertical="center" shrinkToFit="1"/>
    </xf>
    <xf numFmtId="164" fontId="4" fillId="0" borderId="15" xfId="0" applyNumberFormat="1" applyFont="1" applyFill="1" applyBorder="1" applyAlignment="1">
      <alignment horizontal="center" vertical="center" shrinkToFit="1"/>
    </xf>
    <xf numFmtId="164" fontId="4" fillId="0" borderId="1" xfId="0" applyNumberFormat="1" applyFont="1" applyFill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164" fontId="4" fillId="0" borderId="11" xfId="0" applyNumberFormat="1" applyFont="1" applyFill="1" applyBorder="1" applyAlignment="1">
      <alignment horizontal="left" vertical="center" indent="2" shrinkToFit="1"/>
    </xf>
    <xf numFmtId="164" fontId="4" fillId="0" borderId="15" xfId="0" applyNumberFormat="1" applyFont="1" applyFill="1" applyBorder="1" applyAlignment="1">
      <alignment horizontal="left" vertical="center" indent="2" shrinkToFit="1"/>
    </xf>
    <xf numFmtId="0" fontId="0" fillId="0" borderId="11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164" fontId="4" fillId="0" borderId="14" xfId="0" applyNumberFormat="1" applyFont="1" applyFill="1" applyBorder="1" applyAlignment="1">
      <alignment horizontal="center" vertical="center" shrinkToFit="1"/>
    </xf>
    <xf numFmtId="164" fontId="4" fillId="0" borderId="2" xfId="0" applyNumberFormat="1" applyFont="1" applyFill="1" applyBorder="1" applyAlignment="1">
      <alignment horizontal="center" vertical="center" shrinkToFit="1"/>
    </xf>
    <xf numFmtId="0" fontId="3" fillId="0" borderId="14" xfId="0" applyFont="1" applyFill="1" applyBorder="1" applyAlignment="1">
      <alignment horizontal="left" vertical="center" wrapText="1"/>
    </xf>
    <xf numFmtId="164" fontId="4" fillId="0" borderId="14" xfId="0" applyNumberFormat="1" applyFont="1" applyFill="1" applyBorder="1" applyAlignment="1">
      <alignment horizontal="left" vertical="center" indent="2" shrinkToFit="1"/>
    </xf>
    <xf numFmtId="164" fontId="4" fillId="0" borderId="2" xfId="0" applyNumberFormat="1" applyFont="1" applyFill="1" applyBorder="1" applyAlignment="1">
      <alignment horizontal="left" vertical="center" indent="2" shrinkToFit="1"/>
    </xf>
    <xf numFmtId="0" fontId="0" fillId="0" borderId="14" xfId="0" applyFill="1" applyBorder="1" applyAlignment="1">
      <alignment horizontal="left" vertical="center" wrapText="1"/>
    </xf>
    <xf numFmtId="164" fontId="4" fillId="0" borderId="9" xfId="0" applyNumberFormat="1" applyFont="1" applyFill="1" applyBorder="1" applyAlignment="1">
      <alignment horizontal="center" vertical="center" shrinkToFit="1"/>
    </xf>
    <xf numFmtId="0" fontId="0" fillId="0" borderId="9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14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center" vertical="center" wrapText="1"/>
    </xf>
    <xf numFmtId="164" fontId="4" fillId="0" borderId="4" xfId="0" applyNumberFormat="1" applyFont="1" applyFill="1" applyBorder="1" applyAlignment="1">
      <alignment horizontal="right" vertical="center" indent="3" shrinkToFit="1"/>
    </xf>
    <xf numFmtId="164" fontId="4" fillId="0" borderId="4" xfId="0" applyNumberFormat="1" applyFont="1" applyFill="1" applyBorder="1" applyAlignment="1">
      <alignment horizontal="right" vertical="center" indent="2" shrinkToFit="1"/>
    </xf>
    <xf numFmtId="0" fontId="0" fillId="0" borderId="14" xfId="0" applyFill="1" applyBorder="1" applyAlignment="1">
      <alignment horizontal="left" wrapText="1" indent="63"/>
    </xf>
    <xf numFmtId="0" fontId="0" fillId="0" borderId="0" xfId="0" applyFill="1" applyBorder="1" applyAlignment="1">
      <alignment horizontal="left" wrapText="1" indent="63"/>
    </xf>
    <xf numFmtId="0" fontId="0" fillId="0" borderId="2" xfId="0" applyFill="1" applyBorder="1" applyAlignment="1">
      <alignment horizontal="left" wrapText="1" indent="63"/>
    </xf>
    <xf numFmtId="0" fontId="3" fillId="0" borderId="9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left" vertical="top" wrapText="1"/>
    </xf>
    <xf numFmtId="164" fontId="4" fillId="0" borderId="9" xfId="0" applyNumberFormat="1" applyFont="1" applyFill="1" applyBorder="1" applyAlignment="1">
      <alignment horizontal="center" vertical="top" shrinkToFit="1"/>
    </xf>
    <xf numFmtId="0" fontId="3" fillId="0" borderId="9" xfId="0" applyFont="1" applyFill="1" applyBorder="1" applyAlignment="1">
      <alignment horizontal="center" vertical="center" wrapText="1"/>
    </xf>
    <xf numFmtId="164" fontId="4" fillId="0" borderId="9" xfId="0" applyNumberFormat="1" applyFont="1" applyFill="1" applyBorder="1" applyAlignment="1">
      <alignment horizontal="right" vertical="center" indent="2" shrinkToFit="1"/>
    </xf>
    <xf numFmtId="164" fontId="4" fillId="0" borderId="14" xfId="0" applyNumberFormat="1" applyFont="1" applyFill="1" applyBorder="1" applyAlignment="1">
      <alignment horizontal="left" vertical="top" indent="2" shrinkToFit="1"/>
    </xf>
    <xf numFmtId="164" fontId="4" fillId="0" borderId="2" xfId="0" applyNumberFormat="1" applyFont="1" applyFill="1" applyBorder="1" applyAlignment="1">
      <alignment horizontal="left" vertical="top" indent="2" shrinkToFit="1"/>
    </xf>
    <xf numFmtId="0" fontId="3" fillId="0" borderId="14" xfId="0" applyFont="1" applyFill="1" applyBorder="1" applyAlignment="1">
      <alignment horizontal="left" vertical="top" wrapText="1"/>
    </xf>
    <xf numFmtId="164" fontId="4" fillId="0" borderId="9" xfId="0" applyNumberFormat="1" applyFont="1" applyFill="1" applyBorder="1" applyAlignment="1">
      <alignment horizontal="right" vertical="top" indent="2" shrinkToFit="1"/>
    </xf>
    <xf numFmtId="164" fontId="4" fillId="0" borderId="14" xfId="0" applyNumberFormat="1" applyFont="1" applyFill="1" applyBorder="1" applyAlignment="1">
      <alignment horizontal="center" vertical="top" shrinkToFit="1"/>
    </xf>
    <xf numFmtId="164" fontId="4" fillId="0" borderId="2" xfId="0" applyNumberFormat="1" applyFont="1" applyFill="1" applyBorder="1" applyAlignment="1">
      <alignment horizontal="center" vertical="top" shrinkToFit="1"/>
    </xf>
    <xf numFmtId="164" fontId="4" fillId="0" borderId="9" xfId="0" applyNumberFormat="1" applyFont="1" applyFill="1" applyBorder="1" applyAlignment="1">
      <alignment horizontal="right" vertical="center" indent="3" shrinkToFit="1"/>
    </xf>
    <xf numFmtId="0" fontId="3" fillId="0" borderId="9" xfId="0" applyFont="1" applyFill="1" applyBorder="1" applyAlignment="1">
      <alignment horizontal="center" wrapText="1"/>
    </xf>
    <xf numFmtId="164" fontId="4" fillId="0" borderId="9" xfId="0" applyNumberFormat="1" applyFont="1" applyFill="1" applyBorder="1" applyAlignment="1">
      <alignment horizontal="right" indent="3" shrinkToFit="1"/>
    </xf>
    <xf numFmtId="0" fontId="3" fillId="0" borderId="9" xfId="0" applyFont="1" applyFill="1" applyBorder="1" applyAlignment="1">
      <alignment horizontal="left" wrapText="1"/>
    </xf>
    <xf numFmtId="164" fontId="4" fillId="0" borderId="9" xfId="0" applyNumberFormat="1" applyFont="1" applyFill="1" applyBorder="1" applyAlignment="1">
      <alignment horizontal="center" shrinkToFit="1"/>
    </xf>
    <xf numFmtId="164" fontId="4" fillId="0" borderId="14" xfId="0" applyNumberFormat="1" applyFont="1" applyFill="1" applyBorder="1" applyAlignment="1">
      <alignment horizontal="center" shrinkToFit="1"/>
    </xf>
    <xf numFmtId="164" fontId="4" fillId="0" borderId="2" xfId="0" applyNumberFormat="1" applyFont="1" applyFill="1" applyBorder="1" applyAlignment="1">
      <alignment horizontal="center" shrinkToFit="1"/>
    </xf>
    <xf numFmtId="164" fontId="4" fillId="0" borderId="14" xfId="0" applyNumberFormat="1" applyFont="1" applyFill="1" applyBorder="1" applyAlignment="1">
      <alignment horizontal="left" indent="2" shrinkToFit="1"/>
    </xf>
    <xf numFmtId="164" fontId="4" fillId="0" borderId="9" xfId="0" applyNumberFormat="1" applyFont="1" applyFill="1" applyBorder="1" applyAlignment="1">
      <alignment horizontal="right" indent="2" shrinkToFit="1"/>
    </xf>
    <xf numFmtId="164" fontId="4" fillId="0" borderId="9" xfId="0" applyNumberFormat="1" applyFont="1" applyFill="1" applyBorder="1" applyAlignment="1">
      <alignment horizontal="right" vertical="top" indent="3" shrinkToFit="1"/>
    </xf>
    <xf numFmtId="0" fontId="0" fillId="0" borderId="14" xfId="0" applyFill="1" applyBorder="1" applyAlignment="1">
      <alignment horizontal="left" wrapText="1" indent="2"/>
    </xf>
    <xf numFmtId="0" fontId="0" fillId="0" borderId="8" xfId="0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164" fontId="4" fillId="0" borderId="5" xfId="0" applyNumberFormat="1" applyFont="1" applyFill="1" applyBorder="1" applyAlignment="1">
      <alignment horizontal="center" vertical="center" shrinkToFit="1"/>
    </xf>
    <xf numFmtId="164" fontId="4" fillId="0" borderId="6" xfId="0" applyNumberFormat="1" applyFont="1" applyFill="1" applyBorder="1" applyAlignment="1">
      <alignment horizontal="center" vertical="center" shrinkToFit="1"/>
    </xf>
    <xf numFmtId="164" fontId="4" fillId="0" borderId="8" xfId="0" applyNumberFormat="1" applyFont="1" applyFill="1" applyBorder="1" applyAlignment="1">
      <alignment horizontal="left" vertical="center" indent="2" shrinkToFit="1"/>
    </xf>
    <xf numFmtId="164" fontId="4" fillId="0" borderId="8" xfId="0" applyNumberFormat="1" applyFont="1" applyFill="1" applyBorder="1" applyAlignment="1">
      <alignment horizontal="center" vertical="center" shrinkToFit="1"/>
    </xf>
    <xf numFmtId="164" fontId="4" fillId="0" borderId="6" xfId="0" applyNumberFormat="1" applyFont="1" applyFill="1" applyBorder="1" applyAlignment="1">
      <alignment horizontal="left" vertical="center" indent="2" shrinkToFit="1"/>
    </xf>
    <xf numFmtId="164" fontId="4" fillId="0" borderId="11" xfId="0" applyNumberFormat="1" applyFont="1" applyFill="1" applyBorder="1" applyAlignment="1">
      <alignment horizontal="center" vertical="center" shrinkToFit="1"/>
    </xf>
    <xf numFmtId="164" fontId="4" fillId="0" borderId="12" xfId="0" applyNumberFormat="1" applyFont="1" applyFill="1" applyBorder="1" applyAlignment="1">
      <alignment horizontal="center" vertical="center" shrinkToFit="1"/>
    </xf>
    <xf numFmtId="164" fontId="4" fillId="0" borderId="3" xfId="0" applyNumberFormat="1" applyFont="1" applyFill="1" applyBorder="1" applyAlignment="1">
      <alignment horizontal="center" vertical="center" shrinkToFit="1"/>
    </xf>
    <xf numFmtId="164" fontId="4" fillId="0" borderId="9" xfId="0" applyNumberFormat="1" applyFont="1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14" xfId="0" applyFill="1" applyBorder="1" applyAlignment="1">
      <alignment horizontal="left" vertical="top" wrapText="1"/>
    </xf>
    <xf numFmtId="164" fontId="4" fillId="0" borderId="9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vertical="top"/>
    </xf>
    <xf numFmtId="0" fontId="0" fillId="0" borderId="16" xfId="0" applyFill="1" applyBorder="1" applyAlignment="1">
      <alignment horizontal="left" vertical="center" wrapText="1" indent="3"/>
    </xf>
    <xf numFmtId="0" fontId="0" fillId="0" borderId="1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center" wrapText="1" indent="1"/>
    </xf>
    <xf numFmtId="0" fontId="3" fillId="0" borderId="16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left" vertical="center" wrapText="1"/>
    </xf>
    <xf numFmtId="164" fontId="4" fillId="0" borderId="16" xfId="0" applyNumberFormat="1" applyFont="1" applyFill="1" applyBorder="1" applyAlignment="1">
      <alignment horizontal="center" vertical="center" shrinkToFit="1"/>
    </xf>
    <xf numFmtId="0" fontId="3" fillId="0" borderId="16" xfId="0" applyFont="1" applyFill="1" applyBorder="1" applyAlignment="1">
      <alignment horizontal="left" vertical="center" wrapText="1"/>
    </xf>
    <xf numFmtId="164" fontId="4" fillId="0" borderId="16" xfId="0" applyNumberFormat="1" applyFont="1" applyFill="1" applyBorder="1" applyAlignment="1">
      <alignment vertical="center" shrinkToFit="1"/>
    </xf>
    <xf numFmtId="0" fontId="0" fillId="0" borderId="16" xfId="0" applyFill="1" applyBorder="1" applyAlignment="1">
      <alignment vertical="center" wrapText="1"/>
    </xf>
    <xf numFmtId="0" fontId="0" fillId="0" borderId="16" xfId="0" applyFill="1" applyBorder="1" applyAlignment="1">
      <alignment vertical="top" wrapText="1"/>
    </xf>
    <xf numFmtId="0" fontId="3" fillId="0" borderId="16" xfId="0" applyFont="1" applyFill="1" applyBorder="1" applyAlignment="1">
      <alignment vertical="center" wrapText="1"/>
    </xf>
    <xf numFmtId="0" fontId="0" fillId="0" borderId="16" xfId="0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center" vertical="top" wrapText="1"/>
    </xf>
    <xf numFmtId="0" fontId="0" fillId="0" borderId="16" xfId="0" applyFill="1" applyBorder="1" applyAlignment="1">
      <alignment horizontal="center" vertical="center" wrapText="1"/>
    </xf>
    <xf numFmtId="164" fontId="4" fillId="0" borderId="16" xfId="0" applyNumberFormat="1" applyFont="1" applyFill="1" applyBorder="1" applyAlignment="1">
      <alignment horizontal="left" vertical="center" indent="2" shrinkToFit="1"/>
    </xf>
    <xf numFmtId="0" fontId="3" fillId="0" borderId="16" xfId="0" applyFont="1" applyFill="1" applyBorder="1" applyAlignment="1">
      <alignment horizontal="left" vertical="top" wrapText="1"/>
    </xf>
    <xf numFmtId="164" fontId="4" fillId="0" borderId="16" xfId="0" applyNumberFormat="1" applyFont="1" applyFill="1" applyBorder="1" applyAlignment="1">
      <alignment horizontal="center" vertical="top" shrinkToFit="1"/>
    </xf>
    <xf numFmtId="164" fontId="4" fillId="0" borderId="16" xfId="0" applyNumberFormat="1" applyFont="1" applyFill="1" applyBorder="1" applyAlignment="1">
      <alignment horizontal="left" vertical="top" indent="2" shrinkToFit="1"/>
    </xf>
    <xf numFmtId="164" fontId="4" fillId="0" borderId="16" xfId="0" applyNumberFormat="1" applyFont="1" applyFill="1" applyBorder="1" applyAlignment="1">
      <alignment horizontal="right" vertical="center" indent="2" shrinkToFit="1"/>
    </xf>
    <xf numFmtId="164" fontId="4" fillId="0" borderId="16" xfId="0" applyNumberFormat="1" applyFont="1" applyFill="1" applyBorder="1" applyAlignment="1">
      <alignment horizontal="right" vertical="center" indent="3" shrinkToFit="1"/>
    </xf>
    <xf numFmtId="0" fontId="2" fillId="0" borderId="16" xfId="0" applyFont="1" applyFill="1" applyBorder="1" applyAlignment="1">
      <alignment horizontal="center" vertical="top" wrapText="1"/>
    </xf>
    <xf numFmtId="0" fontId="0" fillId="0" borderId="1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center" wrapText="1"/>
    </xf>
    <xf numFmtId="164" fontId="4" fillId="0" borderId="8" xfId="0" applyNumberFormat="1" applyFont="1" applyFill="1" applyBorder="1" applyAlignment="1">
      <alignment horizontal="center" vertical="center" shrinkToFit="1"/>
    </xf>
    <xf numFmtId="164" fontId="4" fillId="0" borderId="8" xfId="0" applyNumberFormat="1" applyFont="1" applyFill="1" applyBorder="1" applyAlignment="1">
      <alignment horizontal="left" vertical="center" indent="2" shrinkToFit="1"/>
    </xf>
    <xf numFmtId="0" fontId="0" fillId="0" borderId="16" xfId="0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164" fontId="4" fillId="0" borderId="9" xfId="0" applyNumberFormat="1" applyFont="1" applyFill="1" applyBorder="1" applyAlignment="1">
      <alignment horizontal="center" vertical="top" shrinkToFit="1"/>
    </xf>
    <xf numFmtId="0" fontId="0" fillId="0" borderId="8" xfId="0" applyFill="1" applyBorder="1" applyAlignment="1">
      <alignment horizontal="left" vertical="top" wrapText="1"/>
    </xf>
    <xf numFmtId="0" fontId="3" fillId="0" borderId="8" xfId="0" applyFont="1" applyFill="1" applyBorder="1" applyAlignment="1">
      <alignment vertical="center" wrapText="1"/>
    </xf>
    <xf numFmtId="0" fontId="0" fillId="0" borderId="8" xfId="0" applyFill="1" applyBorder="1" applyAlignment="1">
      <alignment vertical="top" wrapText="1"/>
    </xf>
    <xf numFmtId="164" fontId="4" fillId="0" borderId="8" xfId="0" applyNumberFormat="1" applyFont="1" applyFill="1" applyBorder="1" applyAlignment="1">
      <alignment vertical="center" shrinkToFit="1"/>
    </xf>
    <xf numFmtId="0" fontId="0" fillId="0" borderId="8" xfId="0" applyFill="1" applyBorder="1" applyAlignment="1">
      <alignment vertical="center" wrapText="1"/>
    </xf>
    <xf numFmtId="0" fontId="0" fillId="0" borderId="1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9" xfId="0" applyFill="1" applyBorder="1" applyAlignment="1">
      <alignment vertical="top" wrapText="1"/>
    </xf>
    <xf numFmtId="164" fontId="4" fillId="0" borderId="9" xfId="0" applyNumberFormat="1" applyFont="1" applyFill="1" applyBorder="1" applyAlignment="1">
      <alignment vertical="top" shrinkToFit="1"/>
    </xf>
    <xf numFmtId="0" fontId="3" fillId="0" borderId="9" xfId="0" applyFont="1" applyFill="1" applyBorder="1" applyAlignment="1">
      <alignment vertical="top" wrapText="1"/>
    </xf>
    <xf numFmtId="0" fontId="12" fillId="0" borderId="9" xfId="0" applyFont="1" applyFill="1" applyBorder="1" applyAlignment="1">
      <alignment horizontal="left" vertical="top" wrapText="1"/>
    </xf>
    <xf numFmtId="164" fontId="4" fillId="0" borderId="0" xfId="0" applyNumberFormat="1" applyFont="1" applyFill="1" applyBorder="1" applyAlignment="1">
      <alignment horizontal="center" vertical="center" shrinkToFit="1"/>
    </xf>
    <xf numFmtId="164" fontId="4" fillId="0" borderId="0" xfId="0" applyNumberFormat="1" applyFont="1" applyFill="1" applyBorder="1" applyAlignment="1">
      <alignment horizontal="left" vertical="top" indent="2" shrinkToFit="1"/>
    </xf>
    <xf numFmtId="164" fontId="4" fillId="0" borderId="0" xfId="0" applyNumberFormat="1" applyFont="1" applyFill="1" applyBorder="1" applyAlignment="1">
      <alignment horizontal="left" vertical="center" indent="2" shrinkToFit="1"/>
    </xf>
    <xf numFmtId="164" fontId="4" fillId="0" borderId="0" xfId="0" applyNumberFormat="1" applyFont="1" applyFill="1" applyBorder="1" applyAlignment="1">
      <alignment horizontal="center" shrinkToFit="1"/>
    </xf>
    <xf numFmtId="164" fontId="4" fillId="0" borderId="0" xfId="0" applyNumberFormat="1" applyFont="1" applyFill="1" applyBorder="1" applyAlignment="1">
      <alignment horizontal="center" vertical="top" shrinkToFit="1"/>
    </xf>
    <xf numFmtId="0" fontId="14" fillId="0" borderId="16" xfId="0" applyFont="1" applyFill="1" applyBorder="1" applyAlignment="1">
      <alignment horizontal="center" vertical="center" wrapText="1"/>
    </xf>
    <xf numFmtId="164" fontId="16" fillId="0" borderId="16" xfId="0" applyNumberFormat="1" applyFont="1" applyFill="1" applyBorder="1" applyAlignment="1">
      <alignment horizontal="center" vertical="center" shrinkToFit="1"/>
    </xf>
    <xf numFmtId="0" fontId="14" fillId="0" borderId="4" xfId="0" applyFont="1" applyFill="1" applyBorder="1" applyAlignment="1">
      <alignment horizontal="center" vertical="center" wrapText="1"/>
    </xf>
    <xf numFmtId="164" fontId="16" fillId="0" borderId="4" xfId="0" applyNumberFormat="1" applyFont="1" applyFill="1" applyBorder="1" applyAlignment="1">
      <alignment horizontal="center" vertical="center" shrinkToFit="1"/>
    </xf>
    <xf numFmtId="164" fontId="16" fillId="0" borderId="8" xfId="0" applyNumberFormat="1" applyFont="1" applyFill="1" applyBorder="1" applyAlignment="1">
      <alignment horizontal="center" vertical="center" shrinkToFit="1"/>
    </xf>
    <xf numFmtId="0" fontId="14" fillId="0" borderId="9" xfId="0" applyFont="1" applyFill="1" applyBorder="1" applyAlignment="1">
      <alignment horizontal="center" vertical="center" wrapText="1"/>
    </xf>
    <xf numFmtId="164" fontId="16" fillId="0" borderId="9" xfId="0" applyNumberFormat="1" applyFont="1" applyFill="1" applyBorder="1" applyAlignment="1">
      <alignment horizontal="center" vertical="center" shrinkToFi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 wrapText="1"/>
    </xf>
    <xf numFmtId="164" fontId="13" fillId="0" borderId="0" xfId="0" applyNumberFormat="1" applyFont="1" applyFill="1" applyBorder="1" applyAlignment="1">
      <alignment horizontal="center" vertical="center"/>
    </xf>
    <xf numFmtId="164" fontId="16" fillId="0" borderId="10" xfId="0" applyNumberFormat="1" applyFont="1" applyFill="1" applyBorder="1" applyAlignment="1">
      <alignment horizontal="center" vertical="center" shrinkToFit="1"/>
    </xf>
    <xf numFmtId="0" fontId="14" fillId="0" borderId="19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164" fontId="16" fillId="2" borderId="16" xfId="0" applyNumberFormat="1" applyFont="1" applyFill="1" applyBorder="1" applyAlignment="1">
      <alignment horizontal="center" vertical="center" shrinkToFit="1"/>
    </xf>
    <xf numFmtId="0" fontId="14" fillId="2" borderId="10" xfId="0" applyFont="1" applyFill="1" applyBorder="1" applyAlignment="1">
      <alignment horizontal="center" vertical="center" wrapText="1"/>
    </xf>
    <xf numFmtId="164" fontId="16" fillId="2" borderId="10" xfId="0" applyNumberFormat="1" applyFont="1" applyFill="1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wrapText="1"/>
    </xf>
    <xf numFmtId="164" fontId="16" fillId="2" borderId="4" xfId="0" applyNumberFormat="1" applyFont="1" applyFill="1" applyBorder="1" applyAlignment="1">
      <alignment horizontal="center" vertical="center" shrinkToFit="1"/>
    </xf>
    <xf numFmtId="0" fontId="14" fillId="2" borderId="8" xfId="0" applyFont="1" applyFill="1" applyBorder="1" applyAlignment="1">
      <alignment horizontal="center" vertical="center" wrapText="1"/>
    </xf>
    <xf numFmtId="164" fontId="16" fillId="2" borderId="8" xfId="0" applyNumberFormat="1" applyFont="1" applyFill="1" applyBorder="1" applyAlignment="1">
      <alignment horizontal="center" vertical="center" shrinkToFit="1"/>
    </xf>
    <xf numFmtId="0" fontId="14" fillId="2" borderId="9" xfId="0" applyFont="1" applyFill="1" applyBorder="1" applyAlignment="1">
      <alignment horizontal="center" vertical="center" wrapText="1"/>
    </xf>
    <xf numFmtId="2" fontId="14" fillId="0" borderId="16" xfId="0" applyNumberFormat="1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vertical="center" wrapText="1"/>
    </xf>
    <xf numFmtId="49" fontId="20" fillId="0" borderId="16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left" vertical="center"/>
    </xf>
    <xf numFmtId="2" fontId="20" fillId="0" borderId="16" xfId="0" applyNumberFormat="1" applyFont="1" applyBorder="1" applyAlignment="1">
      <alignment horizontal="center" vertical="center"/>
    </xf>
    <xf numFmtId="0" fontId="21" fillId="0" borderId="16" xfId="0" applyFont="1" applyBorder="1"/>
    <xf numFmtId="0" fontId="17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right" vertical="center"/>
    </xf>
    <xf numFmtId="0" fontId="21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164" fontId="21" fillId="0" borderId="16" xfId="0" applyNumberFormat="1" applyFont="1" applyBorder="1" applyAlignment="1">
      <alignment horizontal="center" vertical="center"/>
    </xf>
    <xf numFmtId="49" fontId="22" fillId="0" borderId="16" xfId="0" applyNumberFormat="1" applyFont="1" applyBorder="1" applyAlignment="1">
      <alignment horizontal="left" vertical="center" wrapText="1"/>
    </xf>
    <xf numFmtId="0" fontId="21" fillId="0" borderId="16" xfId="0" applyFont="1" applyBorder="1" applyAlignment="1">
      <alignment horizontal="right" vertical="center" wrapText="1"/>
    </xf>
    <xf numFmtId="0" fontId="18" fillId="0" borderId="5" xfId="0" applyFont="1" applyBorder="1" applyAlignment="1">
      <alignment horizontal="left" vertical="center" wrapText="1"/>
    </xf>
    <xf numFmtId="165" fontId="17" fillId="0" borderId="16" xfId="0" applyNumberFormat="1" applyFont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left" vertical="center" wrapText="1"/>
    </xf>
    <xf numFmtId="0" fontId="17" fillId="0" borderId="16" xfId="0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center" vertical="center"/>
    </xf>
    <xf numFmtId="49" fontId="20" fillId="0" borderId="16" xfId="0" applyNumberFormat="1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left" vertical="center"/>
    </xf>
    <xf numFmtId="2" fontId="20" fillId="0" borderId="16" xfId="0" applyNumberFormat="1" applyFont="1" applyFill="1" applyBorder="1" applyAlignment="1">
      <alignment horizontal="center" vertical="center"/>
    </xf>
    <xf numFmtId="0" fontId="21" fillId="0" borderId="16" xfId="0" applyFont="1" applyFill="1" applyBorder="1"/>
    <xf numFmtId="0" fontId="20" fillId="0" borderId="16" xfId="0" applyFont="1" applyFill="1" applyBorder="1" applyAlignment="1">
      <alignment horizontal="center" vertical="center"/>
    </xf>
    <xf numFmtId="164" fontId="20" fillId="0" borderId="16" xfId="0" applyNumberFormat="1" applyFont="1" applyFill="1" applyBorder="1" applyAlignment="1">
      <alignment horizontal="right" vertical="center"/>
    </xf>
    <xf numFmtId="0" fontId="21" fillId="0" borderId="16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 wrapText="1"/>
    </xf>
    <xf numFmtId="164" fontId="21" fillId="0" borderId="16" xfId="0" applyNumberFormat="1" applyFont="1" applyFill="1" applyBorder="1" applyAlignment="1">
      <alignment horizontal="center" vertical="center"/>
    </xf>
    <xf numFmtId="49" fontId="23" fillId="0" borderId="16" xfId="0" applyNumberFormat="1" applyFont="1" applyFill="1" applyBorder="1" applyAlignment="1">
      <alignment horizontal="center" vertical="center" wrapText="1"/>
    </xf>
    <xf numFmtId="49" fontId="23" fillId="0" borderId="16" xfId="0" applyNumberFormat="1" applyFont="1" applyFill="1" applyBorder="1" applyAlignment="1">
      <alignment vertical="center" wrapText="1"/>
    </xf>
    <xf numFmtId="4" fontId="24" fillId="0" borderId="16" xfId="0" applyNumberFormat="1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right" vertical="center" wrapText="1"/>
    </xf>
    <xf numFmtId="0" fontId="21" fillId="0" borderId="24" xfId="0" applyFont="1" applyFill="1" applyBorder="1" applyAlignment="1">
      <alignment horizontal="center" vertical="center"/>
    </xf>
    <xf numFmtId="164" fontId="21" fillId="0" borderId="28" xfId="0" applyNumberFormat="1" applyFont="1" applyFill="1" applyBorder="1" applyAlignment="1">
      <alignment horizontal="center" vertical="center"/>
    </xf>
    <xf numFmtId="4" fontId="24" fillId="0" borderId="28" xfId="0" applyNumberFormat="1" applyFont="1" applyFill="1" applyBorder="1" applyAlignment="1">
      <alignment horizontal="center" vertical="center"/>
    </xf>
    <xf numFmtId="0" fontId="21" fillId="0" borderId="29" xfId="0" applyFont="1" applyFill="1" applyBorder="1" applyAlignment="1">
      <alignment horizontal="center" vertical="center"/>
    </xf>
    <xf numFmtId="0" fontId="21" fillId="0" borderId="30" xfId="0" applyFont="1" applyFill="1" applyBorder="1" applyAlignment="1">
      <alignment horizontal="center" vertical="center" wrapText="1"/>
    </xf>
    <xf numFmtId="0" fontId="21" fillId="0" borderId="30" xfId="0" applyFont="1" applyFill="1" applyBorder="1" applyAlignment="1">
      <alignment horizontal="right" vertical="center" wrapText="1"/>
    </xf>
    <xf numFmtId="164" fontId="21" fillId="0" borderId="31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top"/>
    </xf>
    <xf numFmtId="49" fontId="22" fillId="0" borderId="16" xfId="0" applyNumberFormat="1" applyFont="1" applyFill="1" applyBorder="1" applyAlignment="1">
      <alignment horizontal="center" vertical="center" wrapText="1"/>
    </xf>
    <xf numFmtId="49" fontId="22" fillId="0" borderId="16" xfId="0" applyNumberFormat="1" applyFont="1" applyFill="1" applyBorder="1" applyAlignment="1">
      <alignment vertical="center" wrapText="1"/>
    </xf>
    <xf numFmtId="4" fontId="22" fillId="0" borderId="16" xfId="0" applyNumberFormat="1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  <xf numFmtId="4" fontId="22" fillId="0" borderId="19" xfId="0" applyNumberFormat="1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 wrapText="1"/>
    </xf>
    <xf numFmtId="164" fontId="21" fillId="0" borderId="17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top"/>
    </xf>
    <xf numFmtId="2" fontId="20" fillId="0" borderId="16" xfId="0" applyNumberFormat="1" applyFont="1" applyFill="1" applyBorder="1" applyAlignment="1">
      <alignment horizontal="right" vertical="center"/>
    </xf>
    <xf numFmtId="2" fontId="21" fillId="0" borderId="16" xfId="0" applyNumberFormat="1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49" fontId="22" fillId="3" borderId="16" xfId="0" applyNumberFormat="1" applyFont="1" applyFill="1" applyBorder="1" applyAlignment="1">
      <alignment horizontal="center" vertical="center" wrapText="1"/>
    </xf>
    <xf numFmtId="49" fontId="22" fillId="0" borderId="16" xfId="0" applyNumberFormat="1" applyFont="1" applyBorder="1" applyAlignment="1">
      <alignment horizontal="center" vertical="center" wrapText="1"/>
    </xf>
    <xf numFmtId="49" fontId="25" fillId="3" borderId="16" xfId="0" applyNumberFormat="1" applyFont="1" applyFill="1" applyBorder="1" applyAlignment="1">
      <alignment horizontal="center" vertical="center" wrapText="1"/>
    </xf>
    <xf numFmtId="49" fontId="25" fillId="0" borderId="16" xfId="0" applyNumberFormat="1" applyFont="1" applyBorder="1" applyAlignment="1">
      <alignment horizontal="center" vertical="center" wrapText="1"/>
    </xf>
    <xf numFmtId="4" fontId="25" fillId="0" borderId="37" xfId="0" applyNumberFormat="1" applyFont="1" applyBorder="1" applyAlignment="1">
      <alignment horizontal="center" vertical="center"/>
    </xf>
    <xf numFmtId="4" fontId="25" fillId="3" borderId="37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 wrapText="1"/>
    </xf>
    <xf numFmtId="164" fontId="20" fillId="0" borderId="35" xfId="0" applyNumberFormat="1" applyFont="1" applyBorder="1" applyAlignment="1">
      <alignment horizontal="center" vertical="center"/>
    </xf>
    <xf numFmtId="0" fontId="21" fillId="3" borderId="36" xfId="0" applyFont="1" applyFill="1" applyBorder="1" applyAlignment="1">
      <alignment horizontal="center" vertical="center"/>
    </xf>
    <xf numFmtId="4" fontId="22" fillId="3" borderId="37" xfId="0" applyNumberFormat="1" applyFont="1" applyFill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4" fontId="22" fillId="0" borderId="37" xfId="0" applyNumberFormat="1" applyFont="1" applyBorder="1" applyAlignment="1">
      <alignment horizontal="center" vertical="center"/>
    </xf>
    <xf numFmtId="49" fontId="25" fillId="0" borderId="38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 wrapText="1"/>
    </xf>
    <xf numFmtId="164" fontId="20" fillId="0" borderId="41" xfId="0" applyNumberFormat="1" applyFont="1" applyBorder="1" applyAlignment="1">
      <alignment horizontal="center" vertical="center"/>
    </xf>
    <xf numFmtId="0" fontId="18" fillId="0" borderId="0" xfId="0" applyFont="1" applyFill="1" applyBorder="1" applyAlignment="1">
      <alignment vertical="top"/>
    </xf>
    <xf numFmtId="0" fontId="18" fillId="0" borderId="16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 wrapText="1"/>
    </xf>
    <xf numFmtId="0" fontId="18" fillId="0" borderId="16" xfId="0" applyFont="1" applyFill="1" applyBorder="1" applyAlignment="1">
      <alignment vertical="top"/>
    </xf>
    <xf numFmtId="2" fontId="18" fillId="0" borderId="16" xfId="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left" vertical="top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49" fontId="3" fillId="0" borderId="16" xfId="0" applyNumberFormat="1" applyFont="1" applyFill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164" fontId="29" fillId="0" borderId="4" xfId="0" applyNumberFormat="1" applyFont="1" applyFill="1" applyBorder="1" applyAlignment="1">
      <alignment horizontal="center" vertical="center" shrinkToFit="1"/>
    </xf>
    <xf numFmtId="0" fontId="29" fillId="0" borderId="8" xfId="0" applyFont="1" applyFill="1" applyBorder="1" applyAlignment="1">
      <alignment horizontal="center" vertical="center" wrapText="1"/>
    </xf>
    <xf numFmtId="164" fontId="29" fillId="0" borderId="8" xfId="0" applyNumberFormat="1" applyFont="1" applyFill="1" applyBorder="1" applyAlignment="1">
      <alignment horizontal="center" vertical="center" shrinkToFit="1"/>
    </xf>
    <xf numFmtId="164" fontId="29" fillId="0" borderId="11" xfId="0" applyNumberFormat="1" applyFont="1" applyFill="1" applyBorder="1" applyAlignment="1">
      <alignment horizontal="center" vertical="center" shrinkToFit="1"/>
    </xf>
    <xf numFmtId="0" fontId="29" fillId="0" borderId="16" xfId="0" applyFont="1" applyFill="1" applyBorder="1" applyAlignment="1">
      <alignment horizontal="center" vertical="center" wrapText="1"/>
    </xf>
    <xf numFmtId="164" fontId="29" fillId="0" borderId="16" xfId="0" applyNumberFormat="1" applyFont="1" applyFill="1" applyBorder="1" applyAlignment="1">
      <alignment horizontal="center" vertical="center" shrinkToFit="1"/>
    </xf>
    <xf numFmtId="49" fontId="18" fillId="0" borderId="16" xfId="0" applyNumberFormat="1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top"/>
    </xf>
    <xf numFmtId="49" fontId="20" fillId="0" borderId="16" xfId="0" applyNumberFormat="1" applyFont="1" applyBorder="1" applyAlignment="1">
      <alignment horizontal="center"/>
    </xf>
    <xf numFmtId="0" fontId="17" fillId="0" borderId="16" xfId="0" applyFont="1" applyFill="1" applyBorder="1" applyAlignment="1">
      <alignment horizontal="center"/>
    </xf>
    <xf numFmtId="0" fontId="17" fillId="0" borderId="16" xfId="0" applyFont="1" applyBorder="1" applyAlignment="1">
      <alignment horizontal="center" wrapText="1"/>
    </xf>
    <xf numFmtId="2" fontId="20" fillId="0" borderId="16" xfId="0" applyNumberFormat="1" applyFont="1" applyBorder="1" applyAlignment="1">
      <alignment horizontal="center"/>
    </xf>
    <xf numFmtId="49" fontId="17" fillId="0" borderId="16" xfId="0" applyNumberFormat="1" applyFont="1" applyFill="1" applyBorder="1" applyAlignment="1">
      <alignment horizontal="center"/>
    </xf>
    <xf numFmtId="0" fontId="17" fillId="0" borderId="16" xfId="0" applyFont="1" applyFill="1" applyBorder="1" applyAlignment="1">
      <alignment horizontal="center" wrapText="1"/>
    </xf>
    <xf numFmtId="164" fontId="17" fillId="0" borderId="16" xfId="0" applyNumberFormat="1" applyFont="1" applyFill="1" applyBorder="1" applyAlignment="1">
      <alignment horizontal="center"/>
    </xf>
    <xf numFmtId="0" fontId="18" fillId="0" borderId="42" xfId="0" applyFont="1" applyFill="1" applyBorder="1" applyAlignment="1">
      <alignment vertical="top"/>
    </xf>
    <xf numFmtId="0" fontId="18" fillId="0" borderId="43" xfId="0" applyFont="1" applyFill="1" applyBorder="1" applyAlignment="1">
      <alignment vertical="top"/>
    </xf>
    <xf numFmtId="0" fontId="20" fillId="0" borderId="16" xfId="0" applyFont="1" applyBorder="1" applyAlignment="1">
      <alignment horizontal="center" vertical="center"/>
    </xf>
    <xf numFmtId="2" fontId="20" fillId="0" borderId="16" xfId="2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2" fontId="17" fillId="0" borderId="16" xfId="0" applyNumberFormat="1" applyFont="1" applyFill="1" applyBorder="1" applyAlignment="1">
      <alignment horizontal="center" vertical="center"/>
    </xf>
    <xf numFmtId="49" fontId="31" fillId="3" borderId="16" xfId="0" applyNumberFormat="1" applyFont="1" applyFill="1" applyBorder="1" applyAlignment="1">
      <alignment horizontal="center" vertical="center"/>
    </xf>
    <xf numFmtId="2" fontId="31" fillId="3" borderId="16" xfId="0" applyNumberFormat="1" applyFont="1" applyFill="1" applyBorder="1" applyAlignment="1">
      <alignment horizontal="center" vertical="center"/>
    </xf>
    <xf numFmtId="49" fontId="31" fillId="0" borderId="16" xfId="0" applyNumberFormat="1" applyFont="1" applyBorder="1" applyAlignment="1">
      <alignment horizontal="center" vertical="center"/>
    </xf>
    <xf numFmtId="2" fontId="31" fillId="0" borderId="16" xfId="0" applyNumberFormat="1" applyFont="1" applyBorder="1" applyAlignment="1">
      <alignment horizontal="center" vertical="center"/>
    </xf>
    <xf numFmtId="2" fontId="31" fillId="3" borderId="16" xfId="0" applyNumberFormat="1" applyFont="1" applyFill="1" applyBorder="1" applyAlignment="1">
      <alignment horizontal="right" vertical="center"/>
    </xf>
    <xf numFmtId="2" fontId="31" fillId="0" borderId="16" xfId="0" applyNumberFormat="1" applyFont="1" applyBorder="1" applyAlignment="1">
      <alignment horizontal="right" vertical="center"/>
    </xf>
    <xf numFmtId="0" fontId="17" fillId="0" borderId="16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3" fillId="0" borderId="0" xfId="3" applyNumberFormat="1" applyFont="1"/>
    <xf numFmtId="49" fontId="22" fillId="0" borderId="16" xfId="3" applyNumberFormat="1" applyFont="1" applyBorder="1" applyAlignment="1">
      <alignment horizontal="center" vertical="center" wrapText="1"/>
    </xf>
    <xf numFmtId="0" fontId="21" fillId="0" borderId="36" xfId="3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/>
    </xf>
    <xf numFmtId="49" fontId="22" fillId="3" borderId="16" xfId="3" applyNumberFormat="1" applyFont="1" applyFill="1" applyBorder="1" applyAlignment="1">
      <alignment horizontal="center" vertical="center" wrapText="1"/>
    </xf>
    <xf numFmtId="4" fontId="22" fillId="3" borderId="37" xfId="3" applyNumberFormat="1" applyFont="1" applyFill="1" applyBorder="1" applyAlignment="1">
      <alignment horizontal="center" vertical="center"/>
    </xf>
    <xf numFmtId="4" fontId="22" fillId="0" borderId="37" xfId="3" applyNumberFormat="1" applyFont="1" applyBorder="1" applyAlignment="1">
      <alignment horizontal="center" vertical="center"/>
    </xf>
    <xf numFmtId="0" fontId="20" fillId="0" borderId="40" xfId="3" applyFont="1" applyBorder="1" applyAlignment="1">
      <alignment horizontal="center" vertical="center"/>
    </xf>
    <xf numFmtId="2" fontId="18" fillId="0" borderId="16" xfId="3" applyNumberFormat="1" applyFont="1" applyFill="1" applyBorder="1" applyAlignment="1">
      <alignment horizontal="center" vertical="center"/>
    </xf>
    <xf numFmtId="0" fontId="18" fillId="0" borderId="16" xfId="3" applyFont="1" applyFill="1" applyBorder="1" applyAlignment="1">
      <alignment horizontal="center" vertical="center"/>
    </xf>
    <xf numFmtId="0" fontId="21" fillId="0" borderId="16" xfId="3" applyFont="1" applyFill="1" applyBorder="1" applyAlignment="1">
      <alignment horizontal="center" vertical="center" wrapText="1"/>
    </xf>
    <xf numFmtId="0" fontId="18" fillId="0" borderId="16" xfId="3" applyFont="1" applyFill="1" applyBorder="1" applyAlignment="1">
      <alignment vertical="top"/>
    </xf>
    <xf numFmtId="0" fontId="34" fillId="0" borderId="16" xfId="3" applyFont="1" applyFill="1" applyBorder="1" applyAlignment="1">
      <alignment horizontal="center" vertical="center" wrapText="1"/>
    </xf>
    <xf numFmtId="0" fontId="35" fillId="0" borderId="16" xfId="3" applyFont="1" applyFill="1" applyBorder="1" applyAlignment="1">
      <alignment vertical="top"/>
    </xf>
    <xf numFmtId="0" fontId="35" fillId="0" borderId="16" xfId="3" applyFont="1" applyFill="1" applyBorder="1" applyAlignment="1">
      <alignment horizontal="center" vertical="center"/>
    </xf>
    <xf numFmtId="2" fontId="35" fillId="0" borderId="16" xfId="3" applyNumberFormat="1" applyFont="1" applyFill="1" applyBorder="1" applyAlignment="1">
      <alignment horizontal="center" vertical="center"/>
    </xf>
    <xf numFmtId="0" fontId="34" fillId="4" borderId="16" xfId="3" applyFont="1" applyFill="1" applyBorder="1" applyAlignment="1">
      <alignment horizontal="center" vertical="center" wrapText="1"/>
    </xf>
    <xf numFmtId="0" fontId="35" fillId="4" borderId="16" xfId="3" applyFont="1" applyFill="1" applyBorder="1" applyAlignment="1">
      <alignment horizontal="center" vertical="center"/>
    </xf>
    <xf numFmtId="2" fontId="35" fillId="4" borderId="16" xfId="3" applyNumberFormat="1" applyFont="1" applyFill="1" applyBorder="1" applyAlignment="1">
      <alignment horizontal="center" vertical="center"/>
    </xf>
    <xf numFmtId="0" fontId="37" fillId="0" borderId="36" xfId="3" applyFont="1" applyFill="1" applyBorder="1" applyAlignment="1">
      <alignment horizontal="center" vertical="center"/>
    </xf>
    <xf numFmtId="0" fontId="37" fillId="0" borderId="0" xfId="3" applyNumberFormat="1" applyFont="1"/>
    <xf numFmtId="0" fontId="37" fillId="0" borderId="0" xfId="3" applyNumberFormat="1" applyFont="1" applyFill="1"/>
    <xf numFmtId="2" fontId="37" fillId="0" borderId="16" xfId="3" applyNumberFormat="1" applyFont="1" applyBorder="1"/>
    <xf numFmtId="4" fontId="37" fillId="0" borderId="16" xfId="0" applyNumberFormat="1" applyFont="1" applyFill="1" applyBorder="1" applyAlignment="1">
      <alignment horizontal="center" vertical="center" wrapText="1"/>
    </xf>
    <xf numFmtId="2" fontId="37" fillId="4" borderId="16" xfId="3" applyNumberFormat="1" applyFont="1" applyFill="1" applyBorder="1"/>
    <xf numFmtId="4" fontId="36" fillId="0" borderId="16" xfId="0" applyNumberFormat="1" applyFont="1" applyFill="1" applyBorder="1" applyAlignment="1">
      <alignment horizontal="center" vertical="center" wrapText="1"/>
    </xf>
    <xf numFmtId="1" fontId="37" fillId="0" borderId="16" xfId="3" applyNumberFormat="1" applyFont="1" applyBorder="1" applyAlignment="1">
      <alignment horizontal="center" vertical="center"/>
    </xf>
    <xf numFmtId="49" fontId="37" fillId="0" borderId="16" xfId="3" applyNumberFormat="1" applyFont="1" applyBorder="1" applyAlignment="1">
      <alignment horizontal="center" vertical="center"/>
    </xf>
    <xf numFmtId="2" fontId="37" fillId="0" borderId="16" xfId="3" applyNumberFormat="1" applyFont="1" applyBorder="1" applyAlignment="1">
      <alignment horizontal="center" vertical="center"/>
    </xf>
    <xf numFmtId="2" fontId="37" fillId="4" borderId="16" xfId="3" applyNumberFormat="1" applyFont="1" applyFill="1" applyBorder="1" applyAlignment="1">
      <alignment horizontal="center" vertical="center"/>
    </xf>
    <xf numFmtId="2" fontId="37" fillId="4" borderId="16" xfId="3" applyNumberFormat="1" applyFont="1" applyFill="1" applyBorder="1" applyAlignment="1">
      <alignment horizontal="right" vertical="center"/>
    </xf>
    <xf numFmtId="0" fontId="21" fillId="0" borderId="16" xfId="0" applyFont="1" applyFill="1" applyBorder="1" applyAlignment="1">
      <alignment horizontal="center" vertical="center" wrapText="1"/>
    </xf>
    <xf numFmtId="0" fontId="34" fillId="0" borderId="16" xfId="3" applyFont="1" applyFill="1" applyBorder="1" applyAlignment="1">
      <alignment horizontal="center" vertical="center" wrapText="1"/>
    </xf>
    <xf numFmtId="2" fontId="37" fillId="4" borderId="16" xfId="3" applyNumberFormat="1" applyFont="1" applyFill="1" applyBorder="1"/>
    <xf numFmtId="2" fontId="37" fillId="0" borderId="16" xfId="3" applyNumberFormat="1" applyFont="1" applyBorder="1"/>
    <xf numFmtId="4" fontId="22" fillId="0" borderId="39" xfId="0" applyNumberFormat="1" applyFont="1" applyBorder="1" applyAlignment="1">
      <alignment horizontal="center" vertical="center"/>
    </xf>
    <xf numFmtId="4" fontId="22" fillId="3" borderId="39" xfId="0" applyNumberFormat="1" applyFont="1" applyFill="1" applyBorder="1" applyAlignment="1">
      <alignment horizontal="center" vertical="center"/>
    </xf>
    <xf numFmtId="1" fontId="37" fillId="0" borderId="16" xfId="3" applyNumberFormat="1" applyFont="1" applyBorder="1"/>
    <xf numFmtId="49" fontId="37" fillId="0" borderId="16" xfId="3" applyNumberFormat="1" applyFont="1" applyBorder="1" applyAlignment="1">
      <alignment horizontal="right"/>
    </xf>
    <xf numFmtId="2" fontId="37" fillId="4" borderId="16" xfId="3" applyNumberFormat="1" applyFont="1" applyFill="1" applyBorder="1" applyAlignment="1">
      <alignment horizontal="right"/>
    </xf>
    <xf numFmtId="0" fontId="37" fillId="0" borderId="16" xfId="3" applyFont="1" applyFill="1" applyBorder="1" applyAlignment="1">
      <alignment horizontal="center" vertical="center"/>
    </xf>
    <xf numFmtId="2" fontId="37" fillId="4" borderId="16" xfId="3" applyNumberFormat="1" applyFont="1" applyFill="1" applyBorder="1"/>
    <xf numFmtId="4" fontId="37" fillId="0" borderId="16" xfId="0" applyNumberFormat="1" applyFont="1" applyFill="1" applyBorder="1" applyAlignment="1">
      <alignment horizontal="center" vertical="center" wrapText="1"/>
    </xf>
    <xf numFmtId="2" fontId="37" fillId="0" borderId="16" xfId="3" applyNumberFormat="1" applyFont="1" applyBorder="1"/>
    <xf numFmtId="0" fontId="34" fillId="0" borderId="16" xfId="3" applyFont="1" applyFill="1" applyBorder="1" applyAlignment="1">
      <alignment horizontal="center" vertical="center" wrapText="1"/>
    </xf>
    <xf numFmtId="4" fontId="37" fillId="0" borderId="16" xfId="0" applyNumberFormat="1" applyFont="1" applyFill="1" applyBorder="1" applyAlignment="1">
      <alignment horizontal="center" vertical="center" wrapText="1"/>
    </xf>
    <xf numFmtId="2" fontId="37" fillId="0" borderId="16" xfId="3" applyNumberFormat="1" applyFont="1" applyBorder="1"/>
    <xf numFmtId="0" fontId="34" fillId="5" borderId="16" xfId="3" applyFont="1" applyFill="1" applyBorder="1" applyAlignment="1">
      <alignment horizontal="center" vertical="center" wrapText="1"/>
    </xf>
    <xf numFmtId="0" fontId="35" fillId="5" borderId="16" xfId="3" applyFont="1" applyFill="1" applyBorder="1" applyAlignment="1">
      <alignment horizontal="center" vertical="center"/>
    </xf>
    <xf numFmtId="2" fontId="35" fillId="5" borderId="16" xfId="3" applyNumberFormat="1" applyFont="1" applyFill="1" applyBorder="1" applyAlignment="1">
      <alignment horizontal="center" vertical="center"/>
    </xf>
    <xf numFmtId="166" fontId="35" fillId="0" borderId="16" xfId="3" applyNumberFormat="1" applyFont="1" applyFill="1" applyBorder="1" applyAlignment="1">
      <alignment horizontal="center" vertical="center"/>
    </xf>
    <xf numFmtId="0" fontId="37" fillId="0" borderId="16" xfId="3" applyNumberFormat="1" applyFont="1" applyBorder="1" applyAlignment="1">
      <alignment vertical="center"/>
    </xf>
    <xf numFmtId="0" fontId="37" fillId="0" borderId="16" xfId="3" applyNumberFormat="1" applyFont="1" applyFill="1" applyBorder="1" applyAlignment="1">
      <alignment vertical="center"/>
    </xf>
    <xf numFmtId="0" fontId="37" fillId="5" borderId="16" xfId="3" applyNumberFormat="1" applyFont="1" applyFill="1" applyBorder="1" applyAlignment="1">
      <alignment vertical="center"/>
    </xf>
    <xf numFmtId="0" fontId="34" fillId="0" borderId="16" xfId="3" applyFont="1" applyFill="1" applyBorder="1" applyAlignment="1">
      <alignment horizontal="center" vertical="center" wrapText="1"/>
    </xf>
    <xf numFmtId="0" fontId="34" fillId="0" borderId="19" xfId="3" applyFont="1" applyFill="1" applyBorder="1" applyAlignment="1">
      <alignment horizontal="center" vertical="center" wrapText="1"/>
    </xf>
    <xf numFmtId="0" fontId="34" fillId="0" borderId="16" xfId="3" applyFont="1" applyFill="1" applyBorder="1" applyAlignment="1">
      <alignment horizontal="left" vertical="center" wrapText="1"/>
    </xf>
    <xf numFmtId="0" fontId="20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30" fillId="0" borderId="0" xfId="0" applyFont="1" applyFill="1" applyBorder="1" applyAlignment="1">
      <alignment horizontal="left" vertical="top"/>
    </xf>
    <xf numFmtId="0" fontId="34" fillId="0" borderId="16" xfId="3" applyFont="1" applyFill="1" applyBorder="1" applyAlignment="1">
      <alignment horizontal="left" vertical="center" wrapText="1"/>
    </xf>
    <xf numFmtId="0" fontId="37" fillId="0" borderId="0" xfId="3" applyNumberFormat="1" applyFont="1" applyAlignment="1">
      <alignment horizontal="center" vertical="center"/>
    </xf>
    <xf numFmtId="0" fontId="20" fillId="0" borderId="45" xfId="0" applyFont="1" applyFill="1" applyBorder="1" applyAlignment="1">
      <alignment horizontal="center" vertical="center"/>
    </xf>
    <xf numFmtId="0" fontId="20" fillId="0" borderId="44" xfId="0" applyFont="1" applyFill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31" fillId="0" borderId="16" xfId="0" applyFont="1" applyFill="1" applyBorder="1" applyAlignment="1">
      <alignment horizontal="center" vertical="center"/>
    </xf>
    <xf numFmtId="49" fontId="31" fillId="0" borderId="16" xfId="0" applyNumberFormat="1" applyFont="1" applyFill="1" applyBorder="1" applyAlignment="1">
      <alignment horizontal="center" vertical="center" wrapText="1"/>
    </xf>
    <xf numFmtId="0" fontId="31" fillId="0" borderId="16" xfId="0" applyFont="1" applyFill="1" applyBorder="1" applyAlignment="1">
      <alignment horizontal="center" vertical="center" wrapText="1"/>
    </xf>
    <xf numFmtId="0" fontId="31" fillId="0" borderId="36" xfId="0" applyFont="1" applyBorder="1" applyAlignment="1">
      <alignment horizontal="center" vertical="center"/>
    </xf>
    <xf numFmtId="49" fontId="31" fillId="0" borderId="16" xfId="0" applyNumberFormat="1" applyFont="1" applyBorder="1" applyAlignment="1">
      <alignment horizontal="center" vertical="center" wrapText="1"/>
    </xf>
    <xf numFmtId="0" fontId="31" fillId="3" borderId="36" xfId="0" applyFont="1" applyFill="1" applyBorder="1" applyAlignment="1">
      <alignment horizontal="center" vertical="center"/>
    </xf>
    <xf numFmtId="49" fontId="31" fillId="3" borderId="16" xfId="0" applyNumberFormat="1" applyFont="1" applyFill="1" applyBorder="1" applyAlignment="1">
      <alignment horizontal="center" vertical="center" wrapText="1"/>
    </xf>
    <xf numFmtId="0" fontId="31" fillId="3" borderId="16" xfId="0" applyFont="1" applyFill="1" applyBorder="1" applyAlignment="1">
      <alignment horizontal="center" vertical="center" wrapText="1"/>
    </xf>
    <xf numFmtId="0" fontId="31" fillId="3" borderId="37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2" fontId="31" fillId="0" borderId="37" xfId="0" applyNumberFormat="1" applyFont="1" applyBorder="1" applyAlignment="1">
      <alignment horizontal="center" vertical="center" wrapText="1"/>
    </xf>
    <xf numFmtId="2" fontId="31" fillId="3" borderId="37" xfId="0" applyNumberFormat="1" applyFont="1" applyFill="1" applyBorder="1" applyAlignment="1">
      <alignment horizontal="center" vertical="center" wrapText="1"/>
    </xf>
    <xf numFmtId="2" fontId="31" fillId="0" borderId="16" xfId="0" applyNumberFormat="1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2" fontId="17" fillId="5" borderId="16" xfId="0" applyNumberFormat="1" applyFont="1" applyFill="1" applyBorder="1" applyAlignment="1">
      <alignment horizontal="center" vertical="center"/>
    </xf>
    <xf numFmtId="0" fontId="19" fillId="0" borderId="45" xfId="0" applyFont="1" applyFill="1" applyBorder="1" applyAlignment="1">
      <alignment horizontal="center" vertical="center"/>
    </xf>
    <xf numFmtId="0" fontId="19" fillId="0" borderId="44" xfId="0" applyFont="1" applyFill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49" fontId="19" fillId="0" borderId="16" xfId="0" applyNumberFormat="1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2" fontId="19" fillId="0" borderId="16" xfId="0" applyNumberFormat="1" applyFont="1" applyFill="1" applyBorder="1" applyAlignment="1">
      <alignment horizontal="center" vertical="center" wrapText="1"/>
    </xf>
    <xf numFmtId="0" fontId="19" fillId="3" borderId="36" xfId="0" applyFont="1" applyFill="1" applyBorder="1" applyAlignment="1">
      <alignment horizontal="center" vertical="center"/>
    </xf>
    <xf numFmtId="49" fontId="19" fillId="3" borderId="16" xfId="0" applyNumberFormat="1" applyFont="1" applyFill="1" applyBorder="1" applyAlignment="1">
      <alignment horizontal="center" vertical="center" wrapText="1"/>
    </xf>
    <xf numFmtId="0" fontId="19" fillId="3" borderId="16" xfId="0" applyFont="1" applyFill="1" applyBorder="1" applyAlignment="1">
      <alignment horizontal="center" vertical="center" wrapText="1"/>
    </xf>
    <xf numFmtId="2" fontId="19" fillId="3" borderId="37" xfId="0" applyNumberFormat="1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2" fontId="19" fillId="0" borderId="37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8" fillId="0" borderId="0" xfId="0" applyFont="1" applyFill="1" applyBorder="1" applyAlignment="1">
      <alignment horizontal="left" vertical="top"/>
    </xf>
    <xf numFmtId="0" fontId="19" fillId="0" borderId="47" xfId="0" applyFont="1" applyBorder="1" applyAlignment="1">
      <alignment horizontal="center" vertical="center"/>
    </xf>
    <xf numFmtId="49" fontId="19" fillId="0" borderId="38" xfId="0" applyNumberFormat="1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2" fontId="19" fillId="0" borderId="39" xfId="0" applyNumberFormat="1" applyFont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37" fillId="0" borderId="0" xfId="3" applyNumberFormat="1" applyFont="1" applyFill="1" applyBorder="1" applyAlignment="1">
      <alignment horizontal="center" vertical="center"/>
    </xf>
    <xf numFmtId="0" fontId="37" fillId="0" borderId="16" xfId="3" applyNumberFormat="1" applyFont="1" applyFill="1" applyBorder="1" applyAlignment="1">
      <alignment horizontal="center" vertical="center"/>
    </xf>
    <xf numFmtId="0" fontId="34" fillId="0" borderId="16" xfId="0" applyFont="1" applyFill="1" applyBorder="1" applyAlignment="1">
      <alignment horizontal="center" vertical="center" wrapText="1"/>
    </xf>
    <xf numFmtId="49" fontId="37" fillId="0" borderId="16" xfId="3" applyNumberFormat="1" applyFont="1" applyFill="1" applyBorder="1" applyAlignment="1">
      <alignment horizontal="center" vertical="center"/>
    </xf>
    <xf numFmtId="0" fontId="37" fillId="5" borderId="16" xfId="3" applyNumberFormat="1" applyFont="1" applyFill="1" applyBorder="1" applyAlignment="1">
      <alignment horizontal="center" vertical="center"/>
    </xf>
    <xf numFmtId="0" fontId="37" fillId="0" borderId="16" xfId="3" applyNumberFormat="1" applyFont="1" applyBorder="1" applyAlignment="1">
      <alignment horizontal="center" vertical="center"/>
    </xf>
    <xf numFmtId="0" fontId="17" fillId="0" borderId="19" xfId="0" applyFont="1" applyBorder="1" applyAlignment="1">
      <alignment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39" fillId="0" borderId="53" xfId="0" applyNumberFormat="1" applyFont="1" applyBorder="1" applyAlignment="1">
      <alignment horizontal="center" vertical="center"/>
    </xf>
    <xf numFmtId="0" fontId="39" fillId="0" borderId="53" xfId="0" applyFont="1" applyBorder="1" applyAlignment="1">
      <alignment horizontal="center" vertical="center"/>
    </xf>
    <xf numFmtId="49" fontId="40" fillId="3" borderId="0" xfId="0" applyNumberFormat="1" applyFont="1" applyFill="1" applyBorder="1" applyAlignment="1">
      <alignment horizontal="center" vertical="center"/>
    </xf>
    <xf numFmtId="0" fontId="40" fillId="3" borderId="0" xfId="0" applyFont="1" applyFill="1" applyAlignment="1">
      <alignment horizontal="center" vertical="center"/>
    </xf>
    <xf numFmtId="49" fontId="40" fillId="0" borderId="0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3" borderId="0" xfId="0" applyFont="1" applyFill="1" applyBorder="1" applyAlignment="1">
      <alignment horizontal="center" vertical="center"/>
    </xf>
    <xf numFmtId="49" fontId="40" fillId="5" borderId="0" xfId="0" applyNumberFormat="1" applyFont="1" applyFill="1" applyBorder="1" applyAlignment="1">
      <alignment horizontal="center" vertical="center"/>
    </xf>
    <xf numFmtId="49" fontId="40" fillId="8" borderId="0" xfId="0" applyNumberFormat="1" applyFont="1" applyFill="1" applyBorder="1" applyAlignment="1">
      <alignment horizontal="center" vertical="center"/>
    </xf>
    <xf numFmtId="49" fontId="40" fillId="6" borderId="0" xfId="0" applyNumberFormat="1" applyFont="1" applyFill="1" applyBorder="1" applyAlignment="1">
      <alignment horizontal="center" vertical="center"/>
    </xf>
    <xf numFmtId="49" fontId="40" fillId="3" borderId="54" xfId="0" applyNumberFormat="1" applyFont="1" applyFill="1" applyBorder="1" applyAlignment="1">
      <alignment horizontal="center" vertical="center"/>
    </xf>
    <xf numFmtId="0" fontId="40" fillId="3" borderId="54" xfId="0" applyFont="1" applyFill="1" applyBorder="1" applyAlignment="1">
      <alignment horizontal="center" vertical="center"/>
    </xf>
    <xf numFmtId="49" fontId="40" fillId="0" borderId="54" xfId="0" applyNumberFormat="1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49" fontId="0" fillId="5" borderId="0" xfId="0" applyNumberFormat="1" applyFill="1" applyBorder="1" applyAlignment="1">
      <alignment horizontal="center" vertical="center"/>
    </xf>
    <xf numFmtId="49" fontId="30" fillId="0" borderId="0" xfId="0" applyNumberFormat="1" applyFont="1" applyFill="1" applyBorder="1" applyAlignment="1">
      <alignment horizontal="center" vertical="center"/>
    </xf>
    <xf numFmtId="49" fontId="0" fillId="6" borderId="0" xfId="0" applyNumberForma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0" fillId="8" borderId="0" xfId="0" applyNumberFormat="1" applyFill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40" fillId="3" borderId="0" xfId="0" applyFont="1" applyFill="1" applyBorder="1" applyAlignment="1">
      <alignment horizontal="center" vertical="center"/>
    </xf>
    <xf numFmtId="0" fontId="41" fillId="3" borderId="54" xfId="0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/>
    </xf>
    <xf numFmtId="0" fontId="20" fillId="0" borderId="19" xfId="0" applyFont="1" applyBorder="1" applyAlignment="1">
      <alignment vertical="center" wrapText="1"/>
    </xf>
    <xf numFmtId="49" fontId="39" fillId="0" borderId="16" xfId="0" applyNumberFormat="1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49" fontId="0" fillId="0" borderId="16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42" fillId="0" borderId="16" xfId="0" applyFont="1" applyFill="1" applyBorder="1" applyAlignment="1">
      <alignment horizontal="center" vertical="center"/>
    </xf>
    <xf numFmtId="49" fontId="40" fillId="8" borderId="54" xfId="0" applyNumberFormat="1" applyFont="1" applyFill="1" applyBorder="1" applyAlignment="1">
      <alignment horizontal="center" vertical="center"/>
    </xf>
    <xf numFmtId="49" fontId="41" fillId="0" borderId="0" xfId="0" applyNumberFormat="1" applyFont="1" applyBorder="1" applyAlignment="1">
      <alignment horizontal="center" vertical="center"/>
    </xf>
    <xf numFmtId="49" fontId="40" fillId="6" borderId="54" xfId="0" applyNumberFormat="1" applyFont="1" applyFill="1" applyBorder="1" applyAlignment="1">
      <alignment horizontal="center" vertical="center"/>
    </xf>
    <xf numFmtId="0" fontId="0" fillId="0" borderId="16" xfId="0" applyFill="1" applyBorder="1" applyAlignment="1">
      <alignment horizontal="right" vertical="center"/>
    </xf>
    <xf numFmtId="0" fontId="17" fillId="0" borderId="19" xfId="0" applyFont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9" xfId="0" applyFont="1" applyBorder="1" applyAlignment="1">
      <alignment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49" fontId="39" fillId="9" borderId="16" xfId="0" applyNumberFormat="1" applyFont="1" applyFill="1" applyBorder="1" applyAlignment="1">
      <alignment horizontal="center" vertical="center"/>
    </xf>
    <xf numFmtId="0" fontId="39" fillId="9" borderId="16" xfId="0" applyFont="1" applyFill="1" applyBorder="1" applyAlignment="1">
      <alignment horizontal="center" vertical="center"/>
    </xf>
    <xf numFmtId="49" fontId="39" fillId="8" borderId="16" xfId="0" applyNumberFormat="1" applyFont="1" applyFill="1" applyBorder="1" applyAlignment="1">
      <alignment horizontal="center" vertical="center"/>
    </xf>
    <xf numFmtId="0" fontId="39" fillId="8" borderId="16" xfId="0" applyFont="1" applyFill="1" applyBorder="1" applyAlignment="1">
      <alignment horizontal="center" vertical="center"/>
    </xf>
    <xf numFmtId="49" fontId="39" fillId="10" borderId="16" xfId="0" applyNumberFormat="1" applyFont="1" applyFill="1" applyBorder="1" applyAlignment="1">
      <alignment horizontal="center" vertical="center"/>
    </xf>
    <xf numFmtId="0" fontId="39" fillId="10" borderId="16" xfId="0" applyFont="1" applyFill="1" applyBorder="1" applyAlignment="1">
      <alignment horizontal="center" vertical="center"/>
    </xf>
    <xf numFmtId="49" fontId="39" fillId="11" borderId="16" xfId="0" applyNumberFormat="1" applyFont="1" applyFill="1" applyBorder="1" applyAlignment="1">
      <alignment horizontal="center" vertical="center"/>
    </xf>
    <xf numFmtId="0" fontId="39" fillId="11" borderId="16" xfId="0" applyFont="1" applyFill="1" applyBorder="1" applyAlignment="1">
      <alignment horizontal="center" vertical="center"/>
    </xf>
    <xf numFmtId="49" fontId="39" fillId="12" borderId="16" xfId="0" applyNumberFormat="1" applyFont="1" applyFill="1" applyBorder="1" applyAlignment="1">
      <alignment horizontal="center" vertical="center"/>
    </xf>
    <xf numFmtId="0" fontId="39" fillId="12" borderId="16" xfId="0" applyFont="1" applyFill="1" applyBorder="1" applyAlignment="1">
      <alignment horizontal="center" vertical="center"/>
    </xf>
    <xf numFmtId="49" fontId="39" fillId="13" borderId="16" xfId="0" applyNumberFormat="1" applyFont="1" applyFill="1" applyBorder="1" applyAlignment="1">
      <alignment horizontal="center" vertical="center"/>
    </xf>
    <xf numFmtId="0" fontId="39" fillId="13" borderId="16" xfId="0" applyFont="1" applyFill="1" applyBorder="1" applyAlignment="1">
      <alignment horizontal="center" vertical="center"/>
    </xf>
    <xf numFmtId="49" fontId="39" fillId="14" borderId="16" xfId="0" applyNumberFormat="1" applyFont="1" applyFill="1" applyBorder="1" applyAlignment="1">
      <alignment horizontal="center" vertical="center"/>
    </xf>
    <xf numFmtId="0" fontId="39" fillId="14" borderId="16" xfId="0" applyFont="1" applyFill="1" applyBorder="1" applyAlignment="1">
      <alignment horizontal="center" vertical="center"/>
    </xf>
    <xf numFmtId="49" fontId="30" fillId="0" borderId="16" xfId="0" applyNumberFormat="1" applyFont="1" applyFill="1" applyBorder="1" applyAlignment="1">
      <alignment horizontal="center" vertical="center"/>
    </xf>
    <xf numFmtId="2" fontId="0" fillId="0" borderId="16" xfId="0" applyNumberForma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49" fontId="43" fillId="0" borderId="16" xfId="0" applyNumberFormat="1" applyFont="1" applyFill="1" applyBorder="1" applyAlignment="1">
      <alignment horizontal="center" vertical="center"/>
    </xf>
    <xf numFmtId="0" fontId="43" fillId="0" borderId="16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top"/>
    </xf>
    <xf numFmtId="49" fontId="44" fillId="0" borderId="16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49" fontId="13" fillId="0" borderId="16" xfId="0" applyNumberFormat="1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49" fontId="13" fillId="0" borderId="16" xfId="0" applyNumberFormat="1" applyFont="1" applyFill="1" applyBorder="1" applyAlignment="1">
      <alignment horizontal="right" vertical="center"/>
    </xf>
    <xf numFmtId="0" fontId="17" fillId="0" borderId="0" xfId="0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0" fontId="17" fillId="0" borderId="16" xfId="0" applyFont="1" applyBorder="1" applyAlignment="1">
      <alignment vertical="center" wrapText="1"/>
    </xf>
    <xf numFmtId="0" fontId="20" fillId="0" borderId="16" xfId="0" applyFont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43" fillId="0" borderId="16" xfId="0" applyFont="1" applyFill="1" applyBorder="1" applyAlignment="1">
      <alignment horizontal="center" vertical="center"/>
    </xf>
    <xf numFmtId="0" fontId="17" fillId="0" borderId="16" xfId="0" applyFont="1" applyBorder="1" applyAlignment="1">
      <alignment vertical="center" wrapText="1"/>
    </xf>
    <xf numFmtId="0" fontId="17" fillId="0" borderId="16" xfId="0" applyFont="1" applyBorder="1" applyAlignment="1">
      <alignment horizontal="center" vertical="center" wrapText="1"/>
    </xf>
    <xf numFmtId="2" fontId="20" fillId="0" borderId="16" xfId="0" applyNumberFormat="1" applyFont="1" applyBorder="1" applyAlignment="1">
      <alignment horizontal="center" vertical="center"/>
    </xf>
    <xf numFmtId="0" fontId="43" fillId="0" borderId="16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horizontal="center" vertical="center"/>
    </xf>
    <xf numFmtId="2" fontId="20" fillId="0" borderId="16" xfId="0" applyNumberFormat="1" applyFont="1" applyBorder="1" applyAlignment="1">
      <alignment vertical="center"/>
    </xf>
    <xf numFmtId="49" fontId="17" fillId="0" borderId="16" xfId="0" applyNumberFormat="1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vertical="center"/>
    </xf>
    <xf numFmtId="164" fontId="17" fillId="0" borderId="16" xfId="0" applyNumberFormat="1" applyFont="1" applyFill="1" applyBorder="1" applyAlignment="1">
      <alignment vertical="center"/>
    </xf>
    <xf numFmtId="0" fontId="18" fillId="0" borderId="16" xfId="0" applyFont="1" applyFill="1" applyBorder="1" applyAlignment="1">
      <alignment horizontal="left" vertical="top"/>
    </xf>
    <xf numFmtId="49" fontId="18" fillId="0" borderId="16" xfId="0" applyNumberFormat="1" applyFont="1" applyFill="1" applyBorder="1" applyAlignment="1">
      <alignment horizontal="left" vertical="top"/>
    </xf>
    <xf numFmtId="0" fontId="26" fillId="0" borderId="16" xfId="0" applyFont="1" applyBorder="1" applyAlignment="1">
      <alignment horizontal="center" vertical="center" wrapText="1"/>
    </xf>
    <xf numFmtId="164" fontId="20" fillId="0" borderId="16" xfId="0" applyNumberFormat="1" applyFont="1" applyBorder="1" applyAlignment="1">
      <alignment horizontal="center" vertical="center"/>
    </xf>
    <xf numFmtId="49" fontId="45" fillId="3" borderId="16" xfId="0" applyNumberFormat="1" applyFont="1" applyFill="1" applyBorder="1" applyAlignment="1">
      <alignment horizontal="center" vertical="center"/>
    </xf>
    <xf numFmtId="0" fontId="45" fillId="3" borderId="16" xfId="0" applyFont="1" applyFill="1" applyBorder="1" applyAlignment="1">
      <alignment horizontal="center" vertical="center"/>
    </xf>
    <xf numFmtId="49" fontId="45" fillId="0" borderId="16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17" fillId="0" borderId="16" xfId="0" applyFont="1" applyFill="1" applyBorder="1" applyAlignment="1">
      <alignment horizontal="left" vertical="top"/>
    </xf>
    <xf numFmtId="0" fontId="20" fillId="0" borderId="16" xfId="0" applyFont="1" applyBorder="1" applyAlignment="1">
      <alignment horizontal="center" vertical="center"/>
    </xf>
    <xf numFmtId="0" fontId="20" fillId="0" borderId="19" xfId="0" applyFont="1" applyBorder="1" applyAlignment="1">
      <alignment vertical="center" wrapText="1"/>
    </xf>
    <xf numFmtId="164" fontId="0" fillId="0" borderId="16" xfId="0" applyNumberFormat="1" applyFill="1" applyBorder="1" applyAlignment="1">
      <alignment horizontal="center" vertical="center"/>
    </xf>
    <xf numFmtId="49" fontId="21" fillId="0" borderId="16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2" fontId="21" fillId="0" borderId="16" xfId="0" applyNumberFormat="1" applyFont="1" applyBorder="1" applyAlignment="1">
      <alignment horizontal="center" vertical="center"/>
    </xf>
    <xf numFmtId="49" fontId="46" fillId="0" borderId="16" xfId="0" applyNumberFormat="1" applyFont="1" applyBorder="1" applyAlignment="1">
      <alignment horizontal="center" vertical="center"/>
    </xf>
    <xf numFmtId="0" fontId="47" fillId="0" borderId="16" xfId="0" applyFont="1" applyBorder="1" applyAlignment="1">
      <alignment horizontal="center" vertical="center" wrapText="1"/>
    </xf>
    <xf numFmtId="2" fontId="46" fillId="0" borderId="16" xfId="0" applyNumberFormat="1" applyFont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left" vertical="top"/>
    </xf>
    <xf numFmtId="49" fontId="47" fillId="0" borderId="16" xfId="0" applyNumberFormat="1" applyFont="1" applyFill="1" applyBorder="1" applyAlignment="1">
      <alignment horizontal="center" vertical="center"/>
    </xf>
    <xf numFmtId="0" fontId="47" fillId="0" borderId="16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top"/>
    </xf>
    <xf numFmtId="49" fontId="32" fillId="0" borderId="16" xfId="0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49" fontId="48" fillId="3" borderId="16" xfId="0" applyNumberFormat="1" applyFont="1" applyFill="1" applyBorder="1" applyAlignment="1">
      <alignment horizontal="center" vertical="center"/>
    </xf>
    <xf numFmtId="0" fontId="48" fillId="3" borderId="16" xfId="0" applyFont="1" applyFill="1" applyBorder="1" applyAlignment="1">
      <alignment horizontal="center" vertical="center"/>
    </xf>
    <xf numFmtId="49" fontId="48" fillId="0" borderId="16" xfId="0" applyNumberFormat="1" applyFont="1" applyBorder="1" applyAlignment="1">
      <alignment horizontal="center" vertical="center"/>
    </xf>
    <xf numFmtId="0" fontId="48" fillId="0" borderId="16" xfId="0" applyFont="1" applyBorder="1" applyAlignment="1">
      <alignment horizontal="center" vertical="center"/>
    </xf>
    <xf numFmtId="49" fontId="48" fillId="0" borderId="16" xfId="0" applyNumberFormat="1" applyFont="1" applyFill="1" applyBorder="1" applyAlignment="1">
      <alignment horizontal="center" vertical="center"/>
    </xf>
    <xf numFmtId="0" fontId="48" fillId="0" borderId="16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2" fontId="40" fillId="3" borderId="0" xfId="0" applyNumberFormat="1" applyFont="1" applyFill="1" applyAlignment="1">
      <alignment horizontal="center" vertical="center"/>
    </xf>
    <xf numFmtId="2" fontId="40" fillId="0" borderId="0" xfId="0" applyNumberFormat="1" applyFont="1" applyAlignment="1">
      <alignment horizontal="center" vertical="center"/>
    </xf>
    <xf numFmtId="2" fontId="41" fillId="3" borderId="0" xfId="0" applyNumberFormat="1" applyFont="1" applyFill="1" applyBorder="1" applyAlignment="1">
      <alignment horizontal="center" vertical="center"/>
    </xf>
    <xf numFmtId="2" fontId="41" fillId="0" borderId="0" xfId="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2" fontId="40" fillId="3" borderId="54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47" fillId="0" borderId="16" xfId="0" applyFont="1" applyBorder="1" applyAlignment="1">
      <alignment vertical="center" wrapText="1"/>
    </xf>
    <xf numFmtId="0" fontId="47" fillId="0" borderId="16" xfId="0" applyFont="1" applyFill="1" applyBorder="1" applyAlignment="1">
      <alignment vertical="center" wrapText="1"/>
    </xf>
    <xf numFmtId="0" fontId="47" fillId="0" borderId="16" xfId="0" applyFont="1" applyFill="1" applyBorder="1" applyAlignment="1">
      <alignment horizontal="left" vertical="top"/>
    </xf>
    <xf numFmtId="0" fontId="47" fillId="0" borderId="16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left" vertical="top" wrapText="1" indent="1"/>
    </xf>
    <xf numFmtId="0" fontId="0" fillId="0" borderId="1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top" wrapText="1" indent="6"/>
    </xf>
    <xf numFmtId="0" fontId="2" fillId="0" borderId="16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top" wrapText="1" indent="2"/>
    </xf>
    <xf numFmtId="0" fontId="2" fillId="0" borderId="16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top" wrapText="1" indent="7"/>
    </xf>
    <xf numFmtId="0" fontId="0" fillId="0" borderId="16" xfId="0" applyFill="1" applyBorder="1" applyAlignment="1">
      <alignment horizontal="left" vertical="top" wrapText="1" indent="4"/>
    </xf>
    <xf numFmtId="0" fontId="0" fillId="0" borderId="17" xfId="0" applyFill="1" applyBorder="1" applyAlignment="1">
      <alignment horizontal="center" vertical="top" wrapText="1"/>
    </xf>
    <xf numFmtId="0" fontId="0" fillId="0" borderId="18" xfId="0" applyFill="1" applyBorder="1" applyAlignment="1">
      <alignment horizontal="center" vertical="top" wrapText="1"/>
    </xf>
    <xf numFmtId="0" fontId="7" fillId="0" borderId="16" xfId="0" applyFont="1" applyFill="1" applyBorder="1" applyAlignment="1">
      <alignment horizontal="left" vertical="top" wrapText="1" indent="7"/>
    </xf>
    <xf numFmtId="0" fontId="11" fillId="0" borderId="16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top" wrapText="1"/>
    </xf>
    <xf numFmtId="0" fontId="46" fillId="0" borderId="16" xfId="0" applyFont="1" applyBorder="1" applyAlignment="1">
      <alignment horizontal="center" vertical="center"/>
    </xf>
    <xf numFmtId="0" fontId="47" fillId="0" borderId="16" xfId="0" applyFont="1" applyBorder="1" applyAlignment="1">
      <alignment vertical="center" wrapText="1"/>
    </xf>
    <xf numFmtId="0" fontId="47" fillId="0" borderId="16" xfId="0" applyFont="1" applyFill="1" applyBorder="1" applyAlignment="1">
      <alignment vertical="center" wrapText="1"/>
    </xf>
    <xf numFmtId="0" fontId="35" fillId="0" borderId="42" xfId="0" applyFont="1" applyFill="1" applyBorder="1" applyAlignment="1">
      <alignment horizontal="center" vertical="top"/>
    </xf>
    <xf numFmtId="0" fontId="35" fillId="0" borderId="43" xfId="0" applyFont="1" applyFill="1" applyBorder="1" applyAlignment="1">
      <alignment horizontal="center" vertical="top"/>
    </xf>
    <xf numFmtId="0" fontId="35" fillId="0" borderId="0" xfId="0" applyFont="1" applyFill="1" applyBorder="1" applyAlignment="1">
      <alignment horizontal="center" vertical="top"/>
    </xf>
    <xf numFmtId="0" fontId="35" fillId="0" borderId="44" xfId="0" applyFont="1" applyFill="1" applyBorder="1" applyAlignment="1">
      <alignment horizontal="center" vertical="top"/>
    </xf>
    <xf numFmtId="0" fontId="46" fillId="0" borderId="43" xfId="0" applyFont="1" applyBorder="1" applyAlignment="1">
      <alignment horizontal="center" vertical="center"/>
    </xf>
    <xf numFmtId="0" fontId="46" fillId="0" borderId="0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vertical="center" wrapText="1"/>
    </xf>
    <xf numFmtId="0" fontId="43" fillId="0" borderId="1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center" vertical="top"/>
    </xf>
    <xf numFmtId="0" fontId="13" fillId="0" borderId="44" xfId="0" applyFont="1" applyFill="1" applyBorder="1" applyAlignment="1">
      <alignment horizontal="center" vertical="top"/>
    </xf>
    <xf numFmtId="0" fontId="13" fillId="0" borderId="55" xfId="0" applyFont="1" applyFill="1" applyBorder="1" applyAlignment="1">
      <alignment horizontal="center" vertical="top"/>
    </xf>
    <xf numFmtId="0" fontId="13" fillId="0" borderId="46" xfId="0" applyFont="1" applyFill="1" applyBorder="1" applyAlignment="1">
      <alignment horizontal="center" vertical="top"/>
    </xf>
    <xf numFmtId="0" fontId="13" fillId="0" borderId="43" xfId="0" applyFont="1" applyFill="1" applyBorder="1" applyAlignment="1">
      <alignment horizontal="center" vertical="top"/>
    </xf>
    <xf numFmtId="0" fontId="13" fillId="0" borderId="17" xfId="0" applyFont="1" applyFill="1" applyBorder="1" applyAlignment="1">
      <alignment horizontal="center" vertical="top"/>
    </xf>
    <xf numFmtId="0" fontId="13" fillId="0" borderId="32" xfId="0" applyFont="1" applyFill="1" applyBorder="1" applyAlignment="1">
      <alignment horizontal="center" vertical="top"/>
    </xf>
    <xf numFmtId="0" fontId="13" fillId="0" borderId="43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42" xfId="0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44" xfId="0" applyFont="1" applyFill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0" fontId="43" fillId="0" borderId="16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19" xfId="0" applyFont="1" applyBorder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0" fontId="17" fillId="0" borderId="21" xfId="0" applyFont="1" applyBorder="1" applyAlignment="1">
      <alignment vertical="center" wrapText="1"/>
    </xf>
    <xf numFmtId="0" fontId="43" fillId="0" borderId="19" xfId="0" applyFont="1" applyFill="1" applyBorder="1" applyAlignment="1">
      <alignment vertical="center" wrapText="1"/>
    </xf>
    <xf numFmtId="0" fontId="43" fillId="0" borderId="20" xfId="0" applyFont="1" applyFill="1" applyBorder="1" applyAlignment="1">
      <alignment vertical="center" wrapText="1"/>
    </xf>
    <xf numFmtId="0" fontId="43" fillId="0" borderId="21" xfId="0" applyFont="1" applyFill="1" applyBorder="1" applyAlignment="1">
      <alignment vertical="center" wrapText="1"/>
    </xf>
    <xf numFmtId="0" fontId="18" fillId="0" borderId="42" xfId="0" applyFont="1" applyFill="1" applyBorder="1" applyAlignment="1">
      <alignment horizontal="center" vertical="top"/>
    </xf>
    <xf numFmtId="0" fontId="18" fillId="0" borderId="0" xfId="0" applyFont="1" applyFill="1" applyBorder="1" applyAlignment="1">
      <alignment horizontal="center" vertical="top"/>
    </xf>
    <xf numFmtId="0" fontId="18" fillId="0" borderId="14" xfId="0" applyFont="1" applyFill="1" applyBorder="1" applyAlignment="1">
      <alignment horizontal="center" vertical="top"/>
    </xf>
    <xf numFmtId="0" fontId="21" fillId="0" borderId="16" xfId="0" applyFont="1" applyFill="1" applyBorder="1" applyAlignment="1">
      <alignment horizontal="center" vertical="center" wrapText="1"/>
    </xf>
    <xf numFmtId="0" fontId="21" fillId="0" borderId="43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vertical="center" wrapText="1"/>
    </xf>
    <xf numFmtId="0" fontId="18" fillId="0" borderId="44" xfId="0" applyFont="1" applyFill="1" applyBorder="1" applyAlignment="1">
      <alignment horizontal="center" vertical="top"/>
    </xf>
    <xf numFmtId="49" fontId="18" fillId="0" borderId="0" xfId="0" applyNumberFormat="1" applyFont="1" applyFill="1" applyBorder="1" applyAlignment="1">
      <alignment horizontal="center" vertical="top"/>
    </xf>
    <xf numFmtId="49" fontId="18" fillId="0" borderId="42" xfId="0" applyNumberFormat="1" applyFont="1" applyFill="1" applyBorder="1" applyAlignment="1">
      <alignment horizontal="center" vertical="top"/>
    </xf>
    <xf numFmtId="0" fontId="13" fillId="0" borderId="45" xfId="0" applyFont="1" applyFill="1" applyBorder="1" applyAlignment="1">
      <alignment horizontal="center" vertical="center"/>
    </xf>
    <xf numFmtId="0" fontId="13" fillId="0" borderId="55" xfId="0" applyFont="1" applyFill="1" applyBorder="1" applyAlignment="1">
      <alignment horizontal="center" vertical="center"/>
    </xf>
    <xf numFmtId="164" fontId="43" fillId="0" borderId="16" xfId="0" applyNumberFormat="1" applyFont="1" applyFill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top"/>
    </xf>
    <xf numFmtId="0" fontId="13" fillId="0" borderId="20" xfId="0" applyFont="1" applyFill="1" applyBorder="1" applyAlignment="1">
      <alignment horizontal="center" vertical="top"/>
    </xf>
    <xf numFmtId="0" fontId="13" fillId="0" borderId="21" xfId="0" applyFont="1" applyFill="1" applyBorder="1" applyAlignment="1">
      <alignment horizontal="center" vertical="top"/>
    </xf>
    <xf numFmtId="0" fontId="43" fillId="0" borderId="19" xfId="0" applyFont="1" applyFill="1" applyBorder="1" applyAlignment="1">
      <alignment horizontal="left" vertical="center" wrapText="1"/>
    </xf>
    <xf numFmtId="0" fontId="43" fillId="0" borderId="20" xfId="0" applyFont="1" applyFill="1" applyBorder="1" applyAlignment="1">
      <alignment horizontal="left" vertical="center" wrapText="1"/>
    </xf>
    <xf numFmtId="0" fontId="43" fillId="0" borderId="21" xfId="0" applyFont="1" applyFill="1" applyBorder="1" applyAlignment="1">
      <alignment horizontal="left" vertical="center" wrapText="1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17" fillId="0" borderId="19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0" fillId="0" borderId="4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top"/>
    </xf>
    <xf numFmtId="0" fontId="0" fillId="0" borderId="43" xfId="0" applyFill="1" applyBorder="1" applyAlignment="1">
      <alignment horizontal="center" vertical="top"/>
    </xf>
    <xf numFmtId="0" fontId="0" fillId="0" borderId="42" xfId="0" applyFill="1" applyBorder="1" applyAlignment="1">
      <alignment horizontal="center" vertical="top"/>
    </xf>
    <xf numFmtId="0" fontId="18" fillId="0" borderId="19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0" fillId="0" borderId="20" xfId="0" applyFill="1" applyBorder="1" applyAlignment="1">
      <alignment horizontal="center" vertical="top"/>
    </xf>
    <xf numFmtId="0" fontId="17" fillId="0" borderId="19" xfId="0" applyFont="1" applyFill="1" applyBorder="1" applyAlignment="1">
      <alignment vertical="center" wrapText="1"/>
    </xf>
    <xf numFmtId="0" fontId="17" fillId="0" borderId="20" xfId="0" applyFont="1" applyFill="1" applyBorder="1" applyAlignment="1">
      <alignment vertical="center" wrapText="1"/>
    </xf>
    <xf numFmtId="0" fontId="17" fillId="0" borderId="21" xfId="0" applyFont="1" applyFill="1" applyBorder="1" applyAlignment="1">
      <alignment vertical="center" wrapText="1"/>
    </xf>
    <xf numFmtId="0" fontId="20" fillId="0" borderId="44" xfId="0" applyFont="1" applyBorder="1" applyAlignment="1">
      <alignment horizontal="center" vertical="center"/>
    </xf>
    <xf numFmtId="0" fontId="17" fillId="0" borderId="16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6" xfId="0" applyFont="1" applyFill="1" applyBorder="1" applyAlignment="1">
      <alignment horizontal="left" vertical="center" wrapText="1"/>
    </xf>
    <xf numFmtId="0" fontId="20" fillId="0" borderId="19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0" fillId="0" borderId="54" xfId="0" applyFill="1" applyBorder="1" applyAlignment="1">
      <alignment horizontal="center" vertical="center"/>
    </xf>
    <xf numFmtId="0" fontId="20" fillId="0" borderId="16" xfId="0" applyFont="1" applyBorder="1" applyAlignment="1">
      <alignment vertical="center" wrapText="1"/>
    </xf>
    <xf numFmtId="2" fontId="20" fillId="0" borderId="16" xfId="2" applyNumberFormat="1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8" fillId="0" borderId="0" xfId="0" applyFont="1" applyFill="1" applyBorder="1" applyAlignment="1">
      <alignment horizontal="center" vertical="top"/>
    </xf>
    <xf numFmtId="0" fontId="17" fillId="5" borderId="19" xfId="0" applyFont="1" applyFill="1" applyBorder="1" applyAlignment="1">
      <alignment vertical="center" wrapText="1"/>
    </xf>
    <xf numFmtId="0" fontId="17" fillId="5" borderId="21" xfId="0" applyFont="1" applyFill="1" applyBorder="1" applyAlignment="1">
      <alignment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5" borderId="20" xfId="0" applyFont="1" applyFill="1" applyBorder="1" applyAlignment="1">
      <alignment vertical="center" wrapText="1"/>
    </xf>
    <xf numFmtId="0" fontId="17" fillId="5" borderId="16" xfId="0" applyFont="1" applyFill="1" applyBorder="1" applyAlignment="1">
      <alignment vertical="center" wrapText="1"/>
    </xf>
    <xf numFmtId="0" fontId="0" fillId="0" borderId="3" xfId="0" applyFill="1" applyBorder="1" applyAlignment="1">
      <alignment horizontal="center" vertical="top"/>
    </xf>
    <xf numFmtId="0" fontId="0" fillId="0" borderId="52" xfId="0" applyFill="1" applyBorder="1" applyAlignment="1">
      <alignment horizontal="center" vertical="top"/>
    </xf>
    <xf numFmtId="0" fontId="17" fillId="0" borderId="0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4" fillId="0" borderId="16" xfId="3" applyFont="1" applyFill="1" applyBorder="1" applyAlignment="1">
      <alignment horizontal="center" vertical="center" wrapText="1"/>
    </xf>
    <xf numFmtId="0" fontId="37" fillId="0" borderId="43" xfId="3" applyNumberFormat="1" applyFont="1" applyFill="1" applyBorder="1" applyAlignment="1">
      <alignment horizontal="center"/>
    </xf>
    <xf numFmtId="0" fontId="37" fillId="0" borderId="0" xfId="3" applyNumberFormat="1" applyFont="1" applyFill="1" applyAlignment="1">
      <alignment horizontal="center"/>
    </xf>
    <xf numFmtId="0" fontId="34" fillId="0" borderId="42" xfId="3" applyFont="1" applyFill="1" applyBorder="1" applyAlignment="1">
      <alignment horizontal="center" vertical="center" wrapText="1"/>
    </xf>
    <xf numFmtId="0" fontId="34" fillId="0" borderId="19" xfId="3" applyFont="1" applyFill="1" applyBorder="1" applyAlignment="1">
      <alignment horizontal="center" vertical="center" wrapText="1"/>
    </xf>
    <xf numFmtId="0" fontId="34" fillId="0" borderId="20" xfId="3" applyFont="1" applyFill="1" applyBorder="1" applyAlignment="1">
      <alignment horizontal="center" vertical="center" wrapText="1"/>
    </xf>
    <xf numFmtId="0" fontId="34" fillId="0" borderId="19" xfId="3" applyFont="1" applyFill="1" applyBorder="1" applyAlignment="1">
      <alignment horizontal="left" vertical="center" wrapText="1"/>
    </xf>
    <xf numFmtId="0" fontId="34" fillId="0" borderId="20" xfId="3" applyFont="1" applyFill="1" applyBorder="1" applyAlignment="1">
      <alignment horizontal="left" vertical="center" wrapText="1"/>
    </xf>
    <xf numFmtId="0" fontId="34" fillId="0" borderId="21" xfId="3" applyFont="1" applyFill="1" applyBorder="1" applyAlignment="1">
      <alignment horizontal="center" vertical="center" wrapText="1"/>
    </xf>
    <xf numFmtId="0" fontId="34" fillId="4" borderId="19" xfId="3" applyFont="1" applyFill="1" applyBorder="1" applyAlignment="1">
      <alignment horizontal="left" vertical="center" wrapText="1"/>
    </xf>
    <xf numFmtId="0" fontId="34" fillId="4" borderId="20" xfId="3" applyFont="1" applyFill="1" applyBorder="1" applyAlignment="1">
      <alignment horizontal="left" vertical="center" wrapText="1"/>
    </xf>
    <xf numFmtId="0" fontId="34" fillId="4" borderId="21" xfId="3" applyFont="1" applyFill="1" applyBorder="1" applyAlignment="1">
      <alignment horizontal="left" vertical="center" wrapText="1"/>
    </xf>
    <xf numFmtId="0" fontId="34" fillId="0" borderId="21" xfId="3" applyFont="1" applyFill="1" applyBorder="1" applyAlignment="1">
      <alignment horizontal="left" vertical="center" wrapText="1"/>
    </xf>
    <xf numFmtId="0" fontId="37" fillId="0" borderId="42" xfId="3" applyNumberFormat="1" applyFont="1" applyFill="1" applyBorder="1" applyAlignment="1">
      <alignment horizontal="center" vertical="center"/>
    </xf>
    <xf numFmtId="0" fontId="37" fillId="0" borderId="0" xfId="3" applyNumberFormat="1" applyFont="1" applyFill="1" applyBorder="1" applyAlignment="1">
      <alignment horizontal="center" vertical="center"/>
    </xf>
    <xf numFmtId="0" fontId="37" fillId="0" borderId="18" xfId="3" applyNumberFormat="1" applyFont="1" applyFill="1" applyBorder="1" applyAlignment="1">
      <alignment horizontal="center" vertical="center"/>
    </xf>
    <xf numFmtId="0" fontId="34" fillId="0" borderId="17" xfId="3" applyFont="1" applyFill="1" applyBorder="1" applyAlignment="1">
      <alignment horizontal="center" vertical="center" wrapText="1"/>
    </xf>
    <xf numFmtId="0" fontId="34" fillId="0" borderId="18" xfId="3" applyFont="1" applyFill="1" applyBorder="1" applyAlignment="1">
      <alignment horizontal="center" vertical="center" wrapText="1"/>
    </xf>
    <xf numFmtId="0" fontId="35" fillId="5" borderId="16" xfId="0" applyFont="1" applyFill="1" applyBorder="1" applyAlignment="1">
      <alignment vertical="center" wrapText="1"/>
    </xf>
    <xf numFmtId="0" fontId="35" fillId="0" borderId="16" xfId="0" applyFont="1" applyFill="1" applyBorder="1" applyAlignment="1">
      <alignment vertical="center" wrapText="1"/>
    </xf>
    <xf numFmtId="0" fontId="37" fillId="5" borderId="16" xfId="3" applyNumberFormat="1" applyFont="1" applyFill="1" applyBorder="1" applyAlignment="1">
      <alignment vertical="center"/>
    </xf>
    <xf numFmtId="0" fontId="37" fillId="0" borderId="16" xfId="3" applyNumberFormat="1" applyFont="1" applyBorder="1" applyAlignment="1">
      <alignment vertical="center"/>
    </xf>
    <xf numFmtId="2" fontId="37" fillId="0" borderId="16" xfId="3" applyNumberFormat="1" applyFont="1" applyBorder="1"/>
    <xf numFmtId="2" fontId="37" fillId="0" borderId="19" xfId="3" applyNumberFormat="1" applyFont="1" applyBorder="1" applyAlignment="1">
      <alignment horizontal="center"/>
    </xf>
    <xf numFmtId="2" fontId="37" fillId="0" borderId="21" xfId="3" applyNumberFormat="1" applyFont="1" applyBorder="1" applyAlignment="1">
      <alignment horizontal="center"/>
    </xf>
    <xf numFmtId="0" fontId="37" fillId="0" borderId="16" xfId="3" applyNumberFormat="1" applyFont="1" applyFill="1" applyBorder="1" applyAlignment="1">
      <alignment vertical="center"/>
    </xf>
    <xf numFmtId="2" fontId="37" fillId="4" borderId="16" xfId="3" applyNumberFormat="1" applyFont="1" applyFill="1" applyBorder="1"/>
    <xf numFmtId="4" fontId="37" fillId="0" borderId="16" xfId="0" applyNumberFormat="1" applyFont="1" applyFill="1" applyBorder="1" applyAlignment="1">
      <alignment horizontal="center" vertical="center" wrapText="1"/>
    </xf>
    <xf numFmtId="0" fontId="35" fillId="5" borderId="16" xfId="3" applyFont="1" applyFill="1" applyBorder="1" applyAlignment="1">
      <alignment vertical="center" wrapText="1"/>
    </xf>
    <xf numFmtId="0" fontId="34" fillId="5" borderId="16" xfId="3" applyFont="1" applyFill="1" applyBorder="1" applyAlignment="1">
      <alignment horizontal="left" vertical="center" wrapText="1"/>
    </xf>
    <xf numFmtId="0" fontId="34" fillId="0" borderId="16" xfId="3" applyFont="1" applyFill="1" applyBorder="1" applyAlignment="1">
      <alignment horizontal="left" vertical="center" wrapText="1"/>
    </xf>
    <xf numFmtId="0" fontId="35" fillId="0" borderId="16" xfId="3" applyFont="1" applyFill="1" applyBorder="1" applyAlignment="1">
      <alignment vertical="center" wrapText="1"/>
    </xf>
    <xf numFmtId="0" fontId="35" fillId="0" borderId="16" xfId="3" applyFont="1" applyFill="1" applyBorder="1" applyAlignment="1">
      <alignment horizontal="center" vertical="center" wrapText="1"/>
    </xf>
    <xf numFmtId="0" fontId="35" fillId="0" borderId="19" xfId="3" applyFont="1" applyFill="1" applyBorder="1" applyAlignment="1">
      <alignment horizontal="left" vertical="center" wrapText="1"/>
    </xf>
    <xf numFmtId="0" fontId="35" fillId="0" borderId="20" xfId="3" applyFont="1" applyFill="1" applyBorder="1" applyAlignment="1">
      <alignment horizontal="left" vertical="center" wrapText="1"/>
    </xf>
    <xf numFmtId="0" fontId="35" fillId="4" borderId="19" xfId="3" applyFont="1" applyFill="1" applyBorder="1" applyAlignment="1">
      <alignment horizontal="left" vertical="center" wrapText="1"/>
    </xf>
    <xf numFmtId="0" fontId="35" fillId="4" borderId="20" xfId="3" applyFont="1" applyFill="1" applyBorder="1" applyAlignment="1">
      <alignment horizontal="left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7" fillId="0" borderId="43" xfId="0" applyFont="1" applyFill="1" applyBorder="1" applyAlignment="1">
      <alignment horizontal="center" vertical="top"/>
    </xf>
    <xf numFmtId="0" fontId="17" fillId="0" borderId="0" xfId="0" applyFont="1" applyFill="1" applyBorder="1" applyAlignment="1">
      <alignment horizontal="center" vertical="top"/>
    </xf>
    <xf numFmtId="0" fontId="17" fillId="0" borderId="45" xfId="0" applyFont="1" applyFill="1" applyBorder="1" applyAlignment="1">
      <alignment horizontal="center" vertical="center"/>
    </xf>
    <xf numFmtId="0" fontId="17" fillId="0" borderId="42" xfId="0" applyFont="1" applyFill="1" applyBorder="1" applyAlignment="1">
      <alignment horizontal="center" vertical="center"/>
    </xf>
    <xf numFmtId="0" fontId="17" fillId="0" borderId="46" xfId="0" applyFont="1" applyFill="1" applyBorder="1" applyAlignment="1">
      <alignment horizontal="center" vertical="center"/>
    </xf>
    <xf numFmtId="0" fontId="20" fillId="0" borderId="42" xfId="0" applyFont="1" applyBorder="1" applyAlignment="1">
      <alignment horizontal="center"/>
    </xf>
    <xf numFmtId="0" fontId="20" fillId="0" borderId="16" xfId="0" applyFont="1" applyBorder="1" applyAlignment="1">
      <alignment horizontal="center" vertical="center" wrapText="1"/>
    </xf>
    <xf numFmtId="0" fontId="26" fillId="0" borderId="17" xfId="3" applyFont="1" applyBorder="1" applyAlignment="1">
      <alignment horizontal="center" vertical="center" wrapText="1"/>
    </xf>
    <xf numFmtId="0" fontId="26" fillId="0" borderId="18" xfId="3" applyFont="1" applyBorder="1" applyAlignment="1">
      <alignment horizontal="center" vertical="center" wrapText="1"/>
    </xf>
    <xf numFmtId="0" fontId="26" fillId="0" borderId="32" xfId="3" applyFont="1" applyBorder="1" applyAlignment="1">
      <alignment horizontal="center" vertical="center" wrapText="1"/>
    </xf>
    <xf numFmtId="0" fontId="33" fillId="0" borderId="43" xfId="3" applyNumberFormat="1" applyFont="1" applyBorder="1" applyAlignment="1">
      <alignment horizontal="center"/>
    </xf>
    <xf numFmtId="0" fontId="33" fillId="0" borderId="0" xfId="3" applyNumberFormat="1" applyFont="1" applyAlignment="1">
      <alignment horizontal="center"/>
    </xf>
    <xf numFmtId="0" fontId="21" fillId="0" borderId="19" xfId="3" applyFont="1" applyFill="1" applyBorder="1" applyAlignment="1">
      <alignment horizontal="left" vertical="center" wrapText="1"/>
    </xf>
    <xf numFmtId="0" fontId="21" fillId="0" borderId="20" xfId="3" applyFont="1" applyFill="1" applyBorder="1" applyAlignment="1">
      <alignment horizontal="left" vertical="center" wrapText="1"/>
    </xf>
    <xf numFmtId="0" fontId="21" fillId="0" borderId="21" xfId="3" applyFont="1" applyFill="1" applyBorder="1" applyAlignment="1">
      <alignment horizontal="left" vertical="center" wrapText="1"/>
    </xf>
    <xf numFmtId="0" fontId="18" fillId="0" borderId="19" xfId="3" applyFont="1" applyFill="1" applyBorder="1" applyAlignment="1">
      <alignment horizontal="left" vertical="center" wrapText="1"/>
    </xf>
    <xf numFmtId="0" fontId="18" fillId="0" borderId="20" xfId="3" applyFont="1" applyFill="1" applyBorder="1" applyAlignment="1">
      <alignment horizontal="left" vertical="center" wrapText="1"/>
    </xf>
    <xf numFmtId="0" fontId="18" fillId="0" borderId="21" xfId="3" applyFont="1" applyFill="1" applyBorder="1" applyAlignment="1">
      <alignment horizontal="left" vertical="center" wrapText="1"/>
    </xf>
    <xf numFmtId="0" fontId="21" fillId="0" borderId="16" xfId="3" applyFont="1" applyFill="1" applyBorder="1" applyAlignment="1">
      <alignment horizontal="center" vertical="center" wrapText="1"/>
    </xf>
    <xf numFmtId="0" fontId="21" fillId="0" borderId="42" xfId="3" applyFont="1" applyFill="1" applyBorder="1" applyAlignment="1">
      <alignment horizontal="center" vertical="center" wrapText="1"/>
    </xf>
    <xf numFmtId="0" fontId="21" fillId="0" borderId="19" xfId="3" applyFont="1" applyFill="1" applyBorder="1" applyAlignment="1">
      <alignment horizontal="center" vertical="center" wrapText="1"/>
    </xf>
    <xf numFmtId="0" fontId="21" fillId="0" borderId="20" xfId="3" applyFont="1" applyFill="1" applyBorder="1" applyAlignment="1">
      <alignment horizontal="center" vertical="center" wrapText="1"/>
    </xf>
    <xf numFmtId="0" fontId="21" fillId="0" borderId="21" xfId="3" applyFont="1" applyFill="1" applyBorder="1" applyAlignment="1">
      <alignment horizontal="center" vertical="center" wrapText="1"/>
    </xf>
    <xf numFmtId="0" fontId="17" fillId="0" borderId="18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 wrapText="1"/>
    </xf>
    <xf numFmtId="0" fontId="17" fillId="0" borderId="21" xfId="0" applyFont="1" applyFill="1" applyBorder="1" applyAlignment="1">
      <alignment horizontal="center" vertical="center" wrapText="1"/>
    </xf>
    <xf numFmtId="0" fontId="17" fillId="0" borderId="44" xfId="0" applyFont="1" applyFill="1" applyBorder="1" applyAlignment="1">
      <alignment horizontal="center" vertical="top"/>
    </xf>
    <xf numFmtId="0" fontId="17" fillId="0" borderId="42" xfId="0" applyFont="1" applyFill="1" applyBorder="1" applyAlignment="1">
      <alignment horizontal="center" vertical="top"/>
    </xf>
    <xf numFmtId="0" fontId="21" fillId="0" borderId="25" xfId="0" applyFont="1" applyFill="1" applyBorder="1" applyAlignment="1">
      <alignment horizontal="center" vertical="center" wrapText="1"/>
    </xf>
    <xf numFmtId="0" fontId="21" fillId="0" borderId="26" xfId="0" applyFont="1" applyFill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top" wrapText="1"/>
    </xf>
    <xf numFmtId="0" fontId="18" fillId="0" borderId="43" xfId="0" applyFont="1" applyFill="1" applyBorder="1" applyAlignment="1">
      <alignment horizontal="center" vertical="top"/>
    </xf>
    <xf numFmtId="0" fontId="47" fillId="0" borderId="19" xfId="0" applyFont="1" applyBorder="1" applyAlignment="1">
      <alignment vertical="center" wrapText="1"/>
    </xf>
    <xf numFmtId="0" fontId="47" fillId="0" borderId="20" xfId="0" applyFont="1" applyBorder="1" applyAlignment="1">
      <alignment vertical="center" wrapText="1"/>
    </xf>
    <xf numFmtId="0" fontId="47" fillId="0" borderId="19" xfId="0" applyFont="1" applyFill="1" applyBorder="1" applyAlignment="1">
      <alignment vertical="center" wrapText="1"/>
    </xf>
    <xf numFmtId="0" fontId="47" fillId="0" borderId="20" xfId="0" applyFont="1" applyFill="1" applyBorder="1" applyAlignment="1">
      <alignment vertical="center" wrapText="1"/>
    </xf>
    <xf numFmtId="0" fontId="48" fillId="3" borderId="16" xfId="0" applyNumberFormat="1" applyFont="1" applyFill="1" applyBorder="1" applyAlignment="1">
      <alignment horizontal="center" vertical="center"/>
    </xf>
    <xf numFmtId="164" fontId="48" fillId="3" borderId="16" xfId="0" applyNumberFormat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3" xfId="3"/>
    <cellStyle name="Финансовый" xfId="2" builtinId="3"/>
  </cellStyles>
  <dxfs count="9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ISOCPEU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ГОСТ тип А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outline val="0"/>
        <shadow val="0"/>
        <u val="none"/>
        <vertAlign val="baseline"/>
        <color theme="4" tint="-0.249977111117893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color theme="4" tint="-0.249977111117893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color rgb="FFFF0000"/>
        <name val="ГОСТ тип А"/>
        <scheme val="none"/>
      </font>
      <fill>
        <patternFill patternType="none">
          <fgColor rgb="FF000000"/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color rgb="FFFF0000"/>
        <name val="ГОСТ тип А"/>
        <scheme val="none"/>
      </font>
      <fill>
        <patternFill patternType="none">
          <fgColor rgb="FF000000"/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FF9999"/>
      <color rgb="FFFF66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/Relationships>
</file>

<file path=xl/tables/table1.xml><?xml version="1.0" encoding="utf-8"?>
<table xmlns="http://schemas.openxmlformats.org/spreadsheetml/2006/main" id="14" name="Таблица134715" displayName="Таблица134715" ref="A5:C37" totalsRowShown="0" headerRowBorderDxfId="96" tableBorderDxfId="95" totalsRowBorderDxfId="94">
  <autoFilter ref="A5:C37"/>
  <tableColumns count="3">
    <tableColumn id="1" name="№ п.п." dataDxfId="93"/>
    <tableColumn id="2" name="Пом.:" dataDxfId="92"/>
    <tableColumn id="4" name="Объем, м²" dataDxfId="9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17" name="Таблица1518" displayName="Таблица1518" ref="A2:C95" totalsRowShown="0" headerRowDxfId="90" dataDxfId="89">
  <autoFilter ref="A2:C95"/>
  <tableColumns count="3">
    <tableColumn id="1" name="Столбец1" dataDxfId="88"/>
    <tableColumn id="2" name="Столбец2" dataDxfId="87"/>
    <tableColumn id="3" name="Столбец3" dataDxfId="86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13" name="Таблица14" displayName="Таблица14" ref="A2:C105" totalsRowShown="0" dataDxfId="85">
  <autoFilter ref="A2:C105">
    <filterColumn colId="2">
      <filters>
        <filter val="FK15"/>
      </filters>
    </filterColumn>
  </autoFilter>
  <tableColumns count="3">
    <tableColumn id="1" name="Пом." dataDxfId="84"/>
    <tableColumn id="2" name="Объем" dataDxfId="83"/>
    <tableColumn id="3" name="Тип" dataDxfId="82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21" name="Таблица171922" displayName="Таблица171922" ref="A192:C256" totalsRowShown="0" headerRowDxfId="81" dataDxfId="80">
  <autoFilter ref="A192:C256">
    <filterColumn colId="2">
      <filters>
        <filter val="FK15"/>
      </filters>
    </filterColumn>
  </autoFilter>
  <tableColumns count="3">
    <tableColumn id="1" name="Пом." dataDxfId="79"/>
    <tableColumn id="2" name="Объем" dataDxfId="78"/>
    <tableColumn id="3" name="Тип" dataDxfId="77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4" name="Таблица15185" displayName="Таблица15185" ref="A108:C189" totalsRowShown="0" dataDxfId="76">
  <autoFilter ref="A108:C189">
    <filterColumn colId="2">
      <filters>
        <filter val="FK15"/>
      </filters>
    </filterColumn>
  </autoFilter>
  <tableColumns count="3">
    <tableColumn id="1" name="Пом." dataDxfId="75"/>
    <tableColumn id="2" name="Объем" dataDxfId="74"/>
    <tableColumn id="3" name="Тип" dataDxfId="73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11" name="Таблица1612" displayName="Таблица1612" ref="A7:D25" totalsRowShown="0" headerRowDxfId="72" dataDxfId="70" headerRowBorderDxfId="71" tableBorderDxfId="69" totalsRowBorderDxfId="68">
  <autoFilter ref="A7:D25"/>
  <sortState ref="A9:F66">
    <sortCondition ref="A2:A60"/>
  </sortState>
  <tableColumns count="4">
    <tableColumn id="5" name="Этаж" dataDxfId="67"/>
    <tableColumn id="1" name="Пом." dataDxfId="66"/>
    <tableColumn id="3" name="Ед. изм." dataDxfId="65"/>
    <tableColumn id="4" name="Объем." dataDxfId="64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12" name="Таблица161213" displayName="Таблица161213" ref="F7:I27" totalsRowShown="0" headerRowDxfId="63" dataDxfId="61" headerRowBorderDxfId="62" tableBorderDxfId="60" totalsRowBorderDxfId="59">
  <autoFilter ref="F7:I27"/>
  <sortState ref="F8:K65">
    <sortCondition ref="F2:F60"/>
  </sortState>
  <tableColumns count="4">
    <tableColumn id="5" name="Этаж" dataDxfId="58"/>
    <tableColumn id="1" name="Пом." dataDxfId="57"/>
    <tableColumn id="3" name="Ед. изм." dataDxfId="56"/>
    <tableColumn id="4" name="Объем." dataDxfId="55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10" name="Таблица16" displayName="Таблица16" ref="A10:D30" totalsRowShown="0" headerRowDxfId="54" dataDxfId="52" headerRowBorderDxfId="53" tableBorderDxfId="51" totalsRowBorderDxfId="50">
  <autoFilter ref="A10:D30"/>
  <sortState ref="A6:F63">
    <sortCondition ref="A2:A60"/>
  </sortState>
  <tableColumns count="4">
    <tableColumn id="5" name="Этаж" dataDxfId="49"/>
    <tableColumn id="1" name="Пом." dataDxfId="48"/>
    <tableColumn id="3" name="Ед. изм." dataDxfId="47"/>
    <tableColumn id="4" name="Объем." dataDxfId="46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5" name="Таблица5" displayName="Таблица5" ref="A4:C179" totalsRowShown="0">
  <autoFilter ref="A4:C179"/>
  <tableColumns count="3">
    <tableColumn id="1" name="Ном ер пом еще ния" dataDxfId="45"/>
    <tableColumn id="2" name="Газобетон" dataDxfId="44"/>
    <tableColumn id="3" name="ПГП" dataDxfId="43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1" name="Таблица1" displayName="Таблица1" ref="A4:D43" totalsRowShown="0" headerRowBorderDxfId="42" tableBorderDxfId="41" totalsRowBorderDxfId="40">
  <autoFilter ref="A4:D43"/>
  <tableColumns count="4">
    <tableColumn id="1" name="№ п.п." dataDxfId="39"/>
    <tableColumn id="2" name="Пом.:" dataDxfId="38"/>
    <tableColumn id="3" name="Помещения:2" dataDxfId="37"/>
    <tableColumn id="4" name="Объем, м²" dataDxfId="36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id="2" name="Таблица13" displayName="Таблица13" ref="A6:C34" totalsRowShown="0" headerRowBorderDxfId="35" tableBorderDxfId="34" totalsRowBorderDxfId="33">
  <autoFilter ref="A6:C34"/>
  <tableColumns count="3">
    <tableColumn id="1" name="№ п.п." dataDxfId="32"/>
    <tableColumn id="2" name="Пом.:" dataDxfId="31"/>
    <tableColumn id="4" name="Объем, м²" dataDxfId="30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8" name="Таблица134789" displayName="Таблица134789" ref="A5:C7" totalsRowShown="0" headerRowBorderDxfId="29" tableBorderDxfId="28" totalsRowBorderDxfId="27">
  <autoFilter ref="A5:C7"/>
  <tableColumns count="3">
    <tableColumn id="1" name="№ п.п." dataDxfId="26"/>
    <tableColumn id="2" name="Пом.:" dataDxfId="25"/>
    <tableColumn id="4" name="Объем, м²" dataDxfId="24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id="9" name="Таблица134710" displayName="Таблица134710" ref="A5:C10" totalsRowShown="0" headerRowBorderDxfId="23" tableBorderDxfId="22" totalsRowBorderDxfId="21">
  <autoFilter ref="A5:C10"/>
  <tableColumns count="3">
    <tableColumn id="1" name="№ п.п." dataDxfId="20"/>
    <tableColumn id="2" name="Пом.:" dataDxfId="19"/>
    <tableColumn id="4" name="Объем, м²" dataDxfId="18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id="7" name="Таблица13478" displayName="Таблица13478" ref="A5:C19" totalsRowShown="0" headerRowBorderDxfId="17" tableBorderDxfId="16" totalsRowBorderDxfId="15">
  <autoFilter ref="A5:C19"/>
  <tableColumns count="3">
    <tableColumn id="1" name="№ п.п." dataDxfId="14"/>
    <tableColumn id="2" name="Пом.:" dataDxfId="13"/>
    <tableColumn id="4" name="Объем, м²" dataDxfId="12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id="6" name="Таблица1347" displayName="Таблица1347" ref="A6:C38" totalsRowShown="0" headerRowBorderDxfId="11" tableBorderDxfId="10" totalsRowBorderDxfId="9">
  <autoFilter ref="A6:C38"/>
  <tableColumns count="3">
    <tableColumn id="1" name="№ п.п." dataDxfId="8"/>
    <tableColumn id="2" name="Пом.:" dataDxfId="7"/>
    <tableColumn id="4" name="Объем, м²" dataDxfId="6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id="3" name="Таблица134" displayName="Таблица134" ref="A6:C34" totalsRowShown="0" headerRowBorderDxfId="5" tableBorderDxfId="4" totalsRowBorderDxfId="3">
  <autoFilter ref="A6:C34"/>
  <tableColumns count="3">
    <tableColumn id="1" name="№ п.п." dataDxfId="2"/>
    <tableColumn id="2" name="Пом.:" dataDxfId="1"/>
    <tableColumn id="4" name="Объем, м²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2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5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1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52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55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6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57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58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60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Q18"/>
  <sheetViews>
    <sheetView workbookViewId="0">
      <selection sqref="A1:Q1"/>
    </sheetView>
  </sheetViews>
  <sheetFormatPr defaultRowHeight="13.2" x14ac:dyDescent="0.25"/>
  <cols>
    <col min="1" max="1" width="6.44140625" customWidth="1"/>
    <col min="2" max="2" width="23.33203125" customWidth="1"/>
    <col min="3" max="3" width="26.109375" customWidth="1"/>
    <col min="4" max="4" width="13.109375" customWidth="1"/>
    <col min="5" max="5" width="26.109375" customWidth="1"/>
    <col min="6" max="6" width="13.109375" customWidth="1"/>
    <col min="7" max="7" width="26.109375" customWidth="1"/>
    <col min="8" max="8" width="13.109375" customWidth="1"/>
    <col min="9" max="9" width="26.109375" customWidth="1"/>
    <col min="10" max="10" width="13.109375" customWidth="1"/>
    <col min="11" max="11" width="19.77734375" customWidth="1"/>
    <col min="12" max="12" width="13.109375" customWidth="1"/>
    <col min="13" max="13" width="19.77734375" customWidth="1"/>
    <col min="14" max="14" width="13.109375" customWidth="1"/>
    <col min="15" max="15" width="19.77734375" customWidth="1"/>
    <col min="16" max="16" width="12.77734375" customWidth="1"/>
    <col min="17" max="17" width="16.44140625" customWidth="1"/>
  </cols>
  <sheetData>
    <row r="1" spans="1:17" ht="30" customHeight="1" x14ac:dyDescent="0.25">
      <c r="A1" s="557" t="s">
        <v>0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</row>
    <row r="2" spans="1:17" ht="19.5" customHeight="1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555" t="s">
        <v>4</v>
      </c>
      <c r="N2" s="555"/>
      <c r="O2" s="558" t="s">
        <v>5</v>
      </c>
      <c r="P2" s="558"/>
      <c r="Q2" s="559" t="s">
        <v>6</v>
      </c>
    </row>
    <row r="3" spans="1:17" ht="19.5" customHeight="1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562" t="s">
        <v>10</v>
      </c>
      <c r="J3" s="562"/>
      <c r="K3" s="563" t="s">
        <v>11</v>
      </c>
      <c r="L3" s="563"/>
      <c r="M3" s="555" t="s">
        <v>12</v>
      </c>
      <c r="N3" s="556" t="s">
        <v>13</v>
      </c>
      <c r="O3" s="555" t="s">
        <v>12</v>
      </c>
      <c r="P3" s="560" t="s">
        <v>14</v>
      </c>
      <c r="Q3" s="559"/>
    </row>
    <row r="4" spans="1:17" ht="46.35" customHeight="1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8" t="s">
        <v>12</v>
      </c>
      <c r="L4" s="97" t="s">
        <v>13</v>
      </c>
      <c r="M4" s="555"/>
      <c r="N4" s="556"/>
      <c r="O4" s="555"/>
      <c r="P4" s="560"/>
      <c r="Q4" s="559"/>
    </row>
    <row r="5" spans="1:17" ht="192" customHeight="1" x14ac:dyDescent="0.25">
      <c r="A5" s="99" t="s">
        <v>15</v>
      </c>
      <c r="B5" s="100" t="s">
        <v>16</v>
      </c>
      <c r="C5" s="97" t="s">
        <v>17</v>
      </c>
      <c r="D5" s="101">
        <v>64</v>
      </c>
      <c r="E5" s="97" t="s">
        <v>18</v>
      </c>
      <c r="F5" s="101">
        <v>25.4</v>
      </c>
      <c r="G5" s="102" t="s">
        <v>19</v>
      </c>
      <c r="H5" s="101">
        <v>0</v>
      </c>
      <c r="I5" s="102" t="s">
        <v>19</v>
      </c>
      <c r="J5" s="101">
        <v>0</v>
      </c>
      <c r="K5" s="100" t="s">
        <v>20</v>
      </c>
      <c r="L5" s="101">
        <v>89.4</v>
      </c>
      <c r="M5" s="97" t="s">
        <v>21</v>
      </c>
      <c r="N5" s="101">
        <v>10.7</v>
      </c>
      <c r="O5" s="100" t="s">
        <v>20</v>
      </c>
      <c r="P5" s="101">
        <v>28.8</v>
      </c>
      <c r="Q5" s="102" t="s">
        <v>19</v>
      </c>
    </row>
    <row r="6" spans="1:17" ht="192.15" customHeight="1" x14ac:dyDescent="0.25">
      <c r="A6" s="99" t="s">
        <v>24</v>
      </c>
      <c r="B6" s="102" t="s">
        <v>25</v>
      </c>
      <c r="C6" s="97" t="s">
        <v>17</v>
      </c>
      <c r="D6" s="101">
        <v>21.9</v>
      </c>
      <c r="E6" s="97" t="s">
        <v>18</v>
      </c>
      <c r="F6" s="101">
        <v>31.9</v>
      </c>
      <c r="G6" s="102" t="s">
        <v>19</v>
      </c>
      <c r="H6" s="101">
        <v>0</v>
      </c>
      <c r="I6" s="97" t="s">
        <v>26</v>
      </c>
      <c r="J6" s="101">
        <v>79.7</v>
      </c>
      <c r="K6" s="100" t="s">
        <v>20</v>
      </c>
      <c r="L6" s="101">
        <v>133.5</v>
      </c>
      <c r="M6" s="97" t="s">
        <v>21</v>
      </c>
      <c r="N6" s="101">
        <v>57.6</v>
      </c>
      <c r="O6" s="100" t="s">
        <v>20</v>
      </c>
      <c r="P6" s="101">
        <v>42.8</v>
      </c>
      <c r="Q6" s="102" t="s">
        <v>19</v>
      </c>
    </row>
    <row r="7" spans="1:17" ht="192" customHeight="1" x14ac:dyDescent="0.25">
      <c r="A7" s="106" t="s">
        <v>31</v>
      </c>
      <c r="B7" s="106" t="s">
        <v>32</v>
      </c>
      <c r="C7" s="105" t="s">
        <v>17</v>
      </c>
      <c r="D7" s="103">
        <v>140.9</v>
      </c>
      <c r="E7" s="105" t="s">
        <v>18</v>
      </c>
      <c r="F7" s="103">
        <v>221.4</v>
      </c>
      <c r="G7" s="105" t="s">
        <v>33</v>
      </c>
      <c r="H7" s="103">
        <v>5.2</v>
      </c>
      <c r="I7" s="106" t="s">
        <v>19</v>
      </c>
      <c r="J7" s="103">
        <v>0</v>
      </c>
      <c r="K7" s="104" t="s">
        <v>20</v>
      </c>
      <c r="L7" s="103">
        <v>367.5</v>
      </c>
      <c r="M7" s="105" t="s">
        <v>21</v>
      </c>
      <c r="N7" s="103">
        <v>164.4</v>
      </c>
      <c r="O7" s="104" t="s">
        <v>20</v>
      </c>
      <c r="P7" s="103">
        <v>116.4</v>
      </c>
      <c r="Q7" s="106" t="s">
        <v>19</v>
      </c>
    </row>
    <row r="8" spans="1:17" ht="151.5" customHeight="1" x14ac:dyDescent="0.25">
      <c r="A8" s="106" t="s">
        <v>36</v>
      </c>
      <c r="B8" s="106" t="s">
        <v>37</v>
      </c>
      <c r="C8" s="105" t="s">
        <v>17</v>
      </c>
      <c r="D8" s="103">
        <v>126.5</v>
      </c>
      <c r="E8" s="105" t="s">
        <v>18</v>
      </c>
      <c r="F8" s="103">
        <v>4.9000000000000004</v>
      </c>
      <c r="G8" s="106" t="s">
        <v>19</v>
      </c>
      <c r="H8" s="103">
        <v>0</v>
      </c>
      <c r="I8" s="106" t="s">
        <v>19</v>
      </c>
      <c r="J8" s="103">
        <v>0</v>
      </c>
      <c r="K8" s="104" t="s">
        <v>20</v>
      </c>
      <c r="L8" s="103">
        <v>131.30000000000001</v>
      </c>
      <c r="M8" s="105" t="s">
        <v>21</v>
      </c>
      <c r="N8" s="103">
        <v>58.2</v>
      </c>
      <c r="O8" s="104" t="s">
        <v>20</v>
      </c>
      <c r="P8" s="103">
        <v>42.1</v>
      </c>
      <c r="Q8" s="106" t="s">
        <v>19</v>
      </c>
    </row>
    <row r="9" spans="1:17" ht="151.5" customHeight="1" x14ac:dyDescent="0.25">
      <c r="A9" s="106" t="s">
        <v>40</v>
      </c>
      <c r="B9" s="106" t="s">
        <v>25</v>
      </c>
      <c r="C9" s="105" t="s">
        <v>17</v>
      </c>
      <c r="D9" s="103">
        <v>37.700000000000003</v>
      </c>
      <c r="E9" s="105" t="s">
        <v>18</v>
      </c>
      <c r="F9" s="103">
        <v>29.7</v>
      </c>
      <c r="G9" s="106" t="s">
        <v>19</v>
      </c>
      <c r="H9" s="103">
        <v>0</v>
      </c>
      <c r="I9" s="106" t="s">
        <v>19</v>
      </c>
      <c r="J9" s="103">
        <v>0</v>
      </c>
      <c r="K9" s="104" t="s">
        <v>20</v>
      </c>
      <c r="L9" s="103">
        <v>67.400000000000006</v>
      </c>
      <c r="M9" s="105" t="s">
        <v>21</v>
      </c>
      <c r="N9" s="103">
        <v>54.2</v>
      </c>
      <c r="O9" s="104" t="s">
        <v>20</v>
      </c>
      <c r="P9" s="103">
        <v>30.1</v>
      </c>
      <c r="Q9" s="106" t="s">
        <v>19</v>
      </c>
    </row>
    <row r="10" spans="1:17" ht="114.75" customHeight="1" x14ac:dyDescent="0.25">
      <c r="A10" s="106" t="s">
        <v>42</v>
      </c>
      <c r="B10" s="106" t="s">
        <v>43</v>
      </c>
      <c r="C10" s="105" t="s">
        <v>17</v>
      </c>
      <c r="D10" s="103">
        <v>57.5</v>
      </c>
      <c r="E10" s="105" t="s">
        <v>18</v>
      </c>
      <c r="F10" s="103">
        <v>72.2</v>
      </c>
      <c r="G10" s="106" t="s">
        <v>19</v>
      </c>
      <c r="H10" s="103">
        <v>0</v>
      </c>
      <c r="I10" s="106" t="s">
        <v>19</v>
      </c>
      <c r="J10" s="103">
        <v>0</v>
      </c>
      <c r="K10" s="104" t="s">
        <v>20</v>
      </c>
      <c r="L10" s="103">
        <v>129.69999999999999</v>
      </c>
      <c r="M10" s="105" t="s">
        <v>21</v>
      </c>
      <c r="N10" s="103">
        <v>99.5</v>
      </c>
      <c r="O10" s="104" t="s">
        <v>20</v>
      </c>
      <c r="P10" s="103">
        <v>41.7</v>
      </c>
      <c r="Q10" s="106" t="s">
        <v>19</v>
      </c>
    </row>
    <row r="11" spans="1:17" ht="50.25" customHeight="1" x14ac:dyDescent="0.25">
      <c r="A11" s="106" t="s">
        <v>45</v>
      </c>
      <c r="B11" s="106" t="s">
        <v>25</v>
      </c>
      <c r="C11" s="106" t="s">
        <v>19</v>
      </c>
      <c r="D11" s="103">
        <v>0</v>
      </c>
      <c r="E11" s="105" t="s">
        <v>18</v>
      </c>
      <c r="F11" s="103">
        <v>31.4</v>
      </c>
      <c r="G11" s="106" t="s">
        <v>19</v>
      </c>
      <c r="H11" s="103">
        <v>0</v>
      </c>
      <c r="I11" s="105" t="s">
        <v>26</v>
      </c>
      <c r="J11" s="103">
        <v>64.400000000000006</v>
      </c>
      <c r="K11" s="104" t="s">
        <v>20</v>
      </c>
      <c r="L11" s="103">
        <v>95.8</v>
      </c>
      <c r="M11" s="105" t="s">
        <v>21</v>
      </c>
      <c r="N11" s="103">
        <v>40.700000000000003</v>
      </c>
      <c r="O11" s="104" t="s">
        <v>20</v>
      </c>
      <c r="P11" s="103">
        <v>31.4</v>
      </c>
      <c r="Q11" s="106" t="s">
        <v>19</v>
      </c>
    </row>
    <row r="12" spans="1:17" ht="187.2" x14ac:dyDescent="0.25">
      <c r="A12" s="99" t="s">
        <v>22</v>
      </c>
      <c r="B12" s="100" t="s">
        <v>23</v>
      </c>
      <c r="C12" s="97" t="s">
        <v>17</v>
      </c>
      <c r="D12" s="101">
        <v>44.3</v>
      </c>
      <c r="E12" s="97" t="s">
        <v>18</v>
      </c>
      <c r="F12" s="103">
        <v>23.1</v>
      </c>
      <c r="G12" s="104" t="s">
        <v>20</v>
      </c>
      <c r="H12" s="103">
        <v>67.400000000000006</v>
      </c>
      <c r="I12" s="103"/>
      <c r="J12" s="103"/>
      <c r="K12" s="103"/>
      <c r="L12" s="103"/>
      <c r="M12" s="105" t="s">
        <v>21</v>
      </c>
      <c r="N12" s="101">
        <v>24.5</v>
      </c>
      <c r="O12" s="100" t="s">
        <v>20</v>
      </c>
      <c r="P12" s="103">
        <v>21.4</v>
      </c>
      <c r="Q12" s="106" t="s">
        <v>19</v>
      </c>
    </row>
    <row r="13" spans="1:17" ht="187.2" x14ac:dyDescent="0.25">
      <c r="A13" s="99" t="s">
        <v>27</v>
      </c>
      <c r="B13" s="100" t="s">
        <v>28</v>
      </c>
      <c r="C13" s="97" t="s">
        <v>29</v>
      </c>
      <c r="D13" s="101">
        <v>233.1</v>
      </c>
      <c r="E13" s="97" t="s">
        <v>18</v>
      </c>
      <c r="F13" s="103">
        <v>72.400000000000006</v>
      </c>
      <c r="G13" s="106" t="s">
        <v>19</v>
      </c>
      <c r="H13" s="103">
        <v>305.5</v>
      </c>
      <c r="I13" s="103"/>
      <c r="J13" s="103"/>
      <c r="K13" s="103"/>
      <c r="L13" s="103"/>
      <c r="M13" s="104" t="s">
        <v>30</v>
      </c>
      <c r="N13" s="101">
        <v>156.9</v>
      </c>
      <c r="O13" s="102" t="s">
        <v>19</v>
      </c>
      <c r="P13" s="103">
        <v>98.5</v>
      </c>
      <c r="Q13" s="106" t="s">
        <v>19</v>
      </c>
    </row>
    <row r="14" spans="1:17" ht="187.2" x14ac:dyDescent="0.25">
      <c r="A14" s="99" t="s">
        <v>34</v>
      </c>
      <c r="B14" s="100" t="s">
        <v>28</v>
      </c>
      <c r="C14" s="97" t="s">
        <v>29</v>
      </c>
      <c r="D14" s="101">
        <v>387.1</v>
      </c>
      <c r="E14" s="97" t="s">
        <v>18</v>
      </c>
      <c r="F14" s="103">
        <v>31.8</v>
      </c>
      <c r="G14" s="106" t="s">
        <v>19</v>
      </c>
      <c r="H14" s="103">
        <v>419</v>
      </c>
      <c r="I14" s="103"/>
      <c r="J14" s="103"/>
      <c r="K14" s="103"/>
      <c r="L14" s="103"/>
      <c r="M14" s="104" t="s">
        <v>30</v>
      </c>
      <c r="N14" s="101">
        <v>243.4</v>
      </c>
      <c r="O14" s="102" t="s">
        <v>19</v>
      </c>
      <c r="P14" s="103">
        <v>135.5</v>
      </c>
      <c r="Q14" s="106" t="s">
        <v>19</v>
      </c>
    </row>
    <row r="15" spans="1:17" ht="187.2" x14ac:dyDescent="0.25">
      <c r="A15" s="106" t="s">
        <v>35</v>
      </c>
      <c r="B15" s="104" t="s">
        <v>28</v>
      </c>
      <c r="C15" s="105" t="s">
        <v>29</v>
      </c>
      <c r="D15" s="103">
        <v>87.2</v>
      </c>
      <c r="E15" s="105" t="s">
        <v>18</v>
      </c>
      <c r="F15" s="103">
        <v>11.1</v>
      </c>
      <c r="G15" s="106" t="s">
        <v>19</v>
      </c>
      <c r="H15" s="103">
        <v>98.3</v>
      </c>
      <c r="I15" s="103"/>
      <c r="J15" s="103"/>
      <c r="K15" s="103"/>
      <c r="L15" s="103"/>
      <c r="M15" s="104" t="s">
        <v>30</v>
      </c>
      <c r="N15" s="103">
        <v>64.3</v>
      </c>
      <c r="O15" s="106" t="s">
        <v>19</v>
      </c>
      <c r="P15" s="103">
        <v>32.299999999999997</v>
      </c>
      <c r="Q15" s="106" t="s">
        <v>19</v>
      </c>
    </row>
    <row r="16" spans="1:17" ht="187.2" x14ac:dyDescent="0.25">
      <c r="A16" s="106" t="s">
        <v>38</v>
      </c>
      <c r="B16" s="104" t="s">
        <v>39</v>
      </c>
      <c r="C16" s="105" t="s">
        <v>17</v>
      </c>
      <c r="D16" s="103">
        <v>89.2</v>
      </c>
      <c r="E16" s="105" t="s">
        <v>18</v>
      </c>
      <c r="F16" s="103">
        <v>26.1</v>
      </c>
      <c r="G16" s="104" t="s">
        <v>20</v>
      </c>
      <c r="H16" s="103">
        <v>115.3</v>
      </c>
      <c r="I16" s="103"/>
      <c r="J16" s="103"/>
      <c r="K16" s="103"/>
      <c r="L16" s="103"/>
      <c r="M16" s="105" t="s">
        <v>21</v>
      </c>
      <c r="N16" s="103">
        <v>17</v>
      </c>
      <c r="O16" s="104" t="s">
        <v>20</v>
      </c>
      <c r="P16" s="103">
        <v>37.299999999999997</v>
      </c>
      <c r="Q16" s="106" t="s">
        <v>19</v>
      </c>
    </row>
    <row r="17" spans="1:17" ht="187.2" x14ac:dyDescent="0.25">
      <c r="A17" s="106" t="s">
        <v>41</v>
      </c>
      <c r="B17" s="104" t="s">
        <v>28</v>
      </c>
      <c r="C17" s="105" t="s">
        <v>29</v>
      </c>
      <c r="D17" s="103">
        <v>49.8</v>
      </c>
      <c r="E17" s="105" t="s">
        <v>18</v>
      </c>
      <c r="F17" s="103">
        <v>16.5</v>
      </c>
      <c r="G17" s="106" t="s">
        <v>19</v>
      </c>
      <c r="H17" s="103">
        <v>70.400000000000006</v>
      </c>
      <c r="I17" s="103"/>
      <c r="J17" s="103"/>
      <c r="K17" s="103"/>
      <c r="L17" s="103"/>
      <c r="M17" s="104" t="s">
        <v>30</v>
      </c>
      <c r="N17" s="103">
        <v>16.600000000000001</v>
      </c>
      <c r="O17" s="106" t="s">
        <v>19</v>
      </c>
      <c r="P17" s="103">
        <v>22.3</v>
      </c>
      <c r="Q17" s="106" t="s">
        <v>19</v>
      </c>
    </row>
    <row r="18" spans="1:17" ht="187.2" x14ac:dyDescent="0.25">
      <c r="A18" s="106" t="s">
        <v>44</v>
      </c>
      <c r="B18" s="104" t="s">
        <v>28</v>
      </c>
      <c r="C18" s="105" t="s">
        <v>29</v>
      </c>
      <c r="D18" s="103">
        <v>197.8</v>
      </c>
      <c r="E18" s="105" t="s">
        <v>18</v>
      </c>
      <c r="F18" s="103">
        <v>25.9</v>
      </c>
      <c r="G18" s="106" t="s">
        <v>19</v>
      </c>
      <c r="H18" s="103">
        <v>223.7</v>
      </c>
      <c r="I18" s="103"/>
      <c r="J18" s="103"/>
      <c r="K18" s="103"/>
      <c r="L18" s="103"/>
      <c r="M18" s="104" t="s">
        <v>30</v>
      </c>
      <c r="N18" s="103">
        <v>176.6</v>
      </c>
      <c r="O18" s="106" t="s">
        <v>19</v>
      </c>
      <c r="P18" s="103">
        <v>68.599999999999994</v>
      </c>
      <c r="Q18" s="106" t="s">
        <v>19</v>
      </c>
    </row>
  </sheetData>
  <mergeCells count="16">
    <mergeCell ref="M3:M4"/>
    <mergeCell ref="N3:N4"/>
    <mergeCell ref="A1:Q1"/>
    <mergeCell ref="A2:A4"/>
    <mergeCell ref="B2:B4"/>
    <mergeCell ref="C2:L2"/>
    <mergeCell ref="M2:N2"/>
    <mergeCell ref="O2:P2"/>
    <mergeCell ref="Q2:Q4"/>
    <mergeCell ref="O3:O4"/>
    <mergeCell ref="P3:P4"/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Q19"/>
  <sheetViews>
    <sheetView workbookViewId="0">
      <selection sqref="A1:Q1"/>
    </sheetView>
  </sheetViews>
  <sheetFormatPr defaultRowHeight="13.2" x14ac:dyDescent="0.25"/>
  <cols>
    <col min="1" max="1" width="6.44140625" customWidth="1"/>
    <col min="2" max="2" width="23.33203125" customWidth="1"/>
    <col min="3" max="3" width="26.109375" customWidth="1"/>
    <col min="4" max="4" width="13.109375" customWidth="1"/>
    <col min="5" max="5" width="26.109375" customWidth="1"/>
    <col min="6" max="6" width="13.109375" customWidth="1"/>
    <col min="7" max="7" width="26.109375" customWidth="1"/>
    <col min="8" max="8" width="13.109375" customWidth="1"/>
    <col min="9" max="9" width="26.109375" customWidth="1"/>
    <col min="10" max="10" width="13.109375" customWidth="1"/>
    <col min="11" max="11" width="19.77734375" customWidth="1"/>
    <col min="12" max="12" width="13.109375" customWidth="1"/>
    <col min="13" max="13" width="19.77734375" customWidth="1"/>
    <col min="14" max="14" width="13.109375" customWidth="1"/>
    <col min="15" max="15" width="19.77734375" customWidth="1"/>
    <col min="16" max="16" width="12.77734375" customWidth="1"/>
    <col min="17" max="17" width="16.44140625" customWidth="1"/>
  </cols>
  <sheetData>
    <row r="1" spans="1:17" x14ac:dyDescent="0.25">
      <c r="A1" s="557" t="s">
        <v>0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</row>
    <row r="2" spans="1:17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555" t="s">
        <v>4</v>
      </c>
      <c r="N2" s="555"/>
      <c r="O2" s="558" t="s">
        <v>5</v>
      </c>
      <c r="P2" s="558"/>
      <c r="Q2" s="559" t="s">
        <v>6</v>
      </c>
    </row>
    <row r="3" spans="1:17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562" t="s">
        <v>10</v>
      </c>
      <c r="J3" s="562"/>
      <c r="K3" s="563" t="s">
        <v>11</v>
      </c>
      <c r="L3" s="563"/>
      <c r="M3" s="555" t="s">
        <v>12</v>
      </c>
      <c r="N3" s="556" t="s">
        <v>13</v>
      </c>
      <c r="O3" s="555" t="s">
        <v>12</v>
      </c>
      <c r="P3" s="560" t="s">
        <v>14</v>
      </c>
      <c r="Q3" s="559"/>
    </row>
    <row r="4" spans="1:17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8" t="s">
        <v>12</v>
      </c>
      <c r="L4" s="97" t="s">
        <v>13</v>
      </c>
      <c r="M4" s="555"/>
      <c r="N4" s="556"/>
      <c r="O4" s="555"/>
      <c r="P4" s="560"/>
      <c r="Q4" s="559"/>
    </row>
    <row r="5" spans="1:17" ht="187.2" x14ac:dyDescent="0.25">
      <c r="A5" s="7" t="s">
        <v>46</v>
      </c>
      <c r="B5" s="8" t="s">
        <v>47</v>
      </c>
      <c r="C5" s="3" t="s">
        <v>17</v>
      </c>
      <c r="D5" s="9">
        <v>26.3</v>
      </c>
      <c r="E5" s="3" t="s">
        <v>18</v>
      </c>
      <c r="F5" s="9">
        <v>18.899999999999999</v>
      </c>
      <c r="G5" s="10" t="s">
        <v>19</v>
      </c>
      <c r="H5" s="9">
        <v>0</v>
      </c>
      <c r="I5" s="9"/>
      <c r="J5" s="9"/>
      <c r="K5" s="8" t="s">
        <v>20</v>
      </c>
      <c r="L5" s="9">
        <v>45.2</v>
      </c>
      <c r="M5" s="3" t="s">
        <v>21</v>
      </c>
      <c r="N5" s="9">
        <v>11.8</v>
      </c>
      <c r="O5" s="8" t="s">
        <v>20</v>
      </c>
      <c r="P5" s="9">
        <v>14.3</v>
      </c>
      <c r="Q5" s="10" t="s">
        <v>19</v>
      </c>
    </row>
    <row r="6" spans="1:17" ht="187.2" x14ac:dyDescent="0.25">
      <c r="A6" s="7" t="s">
        <v>49</v>
      </c>
      <c r="B6" s="8" t="s">
        <v>50</v>
      </c>
      <c r="C6" s="3" t="s">
        <v>17</v>
      </c>
      <c r="D6" s="9">
        <v>30.7</v>
      </c>
      <c r="E6" s="3" t="s">
        <v>18</v>
      </c>
      <c r="F6" s="9">
        <v>11.7</v>
      </c>
      <c r="G6" s="10" t="s">
        <v>19</v>
      </c>
      <c r="H6" s="9">
        <v>0</v>
      </c>
      <c r="I6" s="9"/>
      <c r="J6" s="9"/>
      <c r="K6" s="8" t="s">
        <v>20</v>
      </c>
      <c r="L6" s="9">
        <v>42.4</v>
      </c>
      <c r="M6" s="3" t="s">
        <v>21</v>
      </c>
      <c r="N6" s="9">
        <v>12.4</v>
      </c>
      <c r="O6" s="8" t="s">
        <v>20</v>
      </c>
      <c r="P6" s="9">
        <v>13.4</v>
      </c>
      <c r="Q6" s="10" t="s">
        <v>19</v>
      </c>
    </row>
    <row r="7" spans="1:17" ht="187.2" x14ac:dyDescent="0.25">
      <c r="A7" s="7" t="s">
        <v>52</v>
      </c>
      <c r="B7" s="10" t="s">
        <v>32</v>
      </c>
      <c r="C7" s="3" t="s">
        <v>17</v>
      </c>
      <c r="D7" s="9">
        <v>33.700000000000003</v>
      </c>
      <c r="E7" s="3" t="s">
        <v>18</v>
      </c>
      <c r="F7" s="9">
        <v>45.4</v>
      </c>
      <c r="G7" s="10" t="s">
        <v>19</v>
      </c>
      <c r="H7" s="9">
        <v>0</v>
      </c>
      <c r="I7" s="9"/>
      <c r="J7" s="9"/>
      <c r="K7" s="8" t="s">
        <v>20</v>
      </c>
      <c r="L7" s="9">
        <v>79.099999999999994</v>
      </c>
      <c r="M7" s="3" t="s">
        <v>21</v>
      </c>
      <c r="N7" s="9">
        <v>30.4</v>
      </c>
      <c r="O7" s="8" t="s">
        <v>20</v>
      </c>
      <c r="P7" s="9">
        <v>24.3</v>
      </c>
      <c r="Q7" s="10" t="s">
        <v>19</v>
      </c>
    </row>
    <row r="8" spans="1:17" ht="187.2" x14ac:dyDescent="0.25">
      <c r="A8" s="7" t="s">
        <v>54</v>
      </c>
      <c r="B8" s="8" t="s">
        <v>55</v>
      </c>
      <c r="C8" s="3" t="s">
        <v>17</v>
      </c>
      <c r="D8" s="9">
        <v>69.900000000000006</v>
      </c>
      <c r="E8" s="3" t="s">
        <v>18</v>
      </c>
      <c r="F8" s="9">
        <v>24.3</v>
      </c>
      <c r="G8" s="10" t="s">
        <v>19</v>
      </c>
      <c r="H8" s="9">
        <v>0</v>
      </c>
      <c r="I8" s="9"/>
      <c r="J8" s="9"/>
      <c r="K8" s="8" t="s">
        <v>20</v>
      </c>
      <c r="L8" s="9">
        <v>94.2</v>
      </c>
      <c r="M8" s="3" t="s">
        <v>21</v>
      </c>
      <c r="N8" s="9">
        <v>13</v>
      </c>
      <c r="O8" s="8" t="s">
        <v>20</v>
      </c>
      <c r="P8" s="9">
        <v>29.8</v>
      </c>
      <c r="Q8" s="10" t="s">
        <v>19</v>
      </c>
    </row>
    <row r="9" spans="1:17" ht="187.2" x14ac:dyDescent="0.25">
      <c r="A9" s="17" t="s">
        <v>57</v>
      </c>
      <c r="B9" s="22" t="s">
        <v>28</v>
      </c>
      <c r="C9" s="1" t="s">
        <v>29</v>
      </c>
      <c r="D9" s="21">
        <v>60.3</v>
      </c>
      <c r="E9" s="1" t="s">
        <v>18</v>
      </c>
      <c r="F9" s="19">
        <v>29.4</v>
      </c>
      <c r="G9" s="17" t="s">
        <v>19</v>
      </c>
      <c r="H9" s="21">
        <v>0</v>
      </c>
      <c r="I9" s="85"/>
      <c r="J9" s="85"/>
      <c r="K9" s="17" t="s">
        <v>19</v>
      </c>
      <c r="L9" s="21">
        <v>89.7</v>
      </c>
      <c r="M9" s="22" t="s">
        <v>30</v>
      </c>
      <c r="N9" s="21">
        <v>31.4</v>
      </c>
      <c r="O9" s="17" t="s">
        <v>19</v>
      </c>
      <c r="P9" s="21">
        <v>28.9</v>
      </c>
      <c r="Q9" s="17" t="s">
        <v>19</v>
      </c>
    </row>
    <row r="10" spans="1:17" ht="187.2" x14ac:dyDescent="0.25">
      <c r="A10" s="17" t="s">
        <v>59</v>
      </c>
      <c r="B10" s="22" t="s">
        <v>28</v>
      </c>
      <c r="C10" s="1" t="s">
        <v>29</v>
      </c>
      <c r="D10" s="19">
        <v>337.9</v>
      </c>
      <c r="E10" s="1" t="s">
        <v>18</v>
      </c>
      <c r="F10" s="19">
        <v>126.9</v>
      </c>
      <c r="G10" s="17" t="s">
        <v>19</v>
      </c>
      <c r="H10" s="21">
        <v>0</v>
      </c>
      <c r="I10" s="85"/>
      <c r="J10" s="85"/>
      <c r="K10" s="17" t="s">
        <v>19</v>
      </c>
      <c r="L10" s="19">
        <v>464.7</v>
      </c>
      <c r="M10" s="22" t="s">
        <v>30</v>
      </c>
      <c r="N10" s="19">
        <v>289.10000000000002</v>
      </c>
      <c r="O10" s="17" t="s">
        <v>19</v>
      </c>
      <c r="P10" s="19">
        <v>162</v>
      </c>
      <c r="Q10" s="17" t="s">
        <v>19</v>
      </c>
    </row>
    <row r="11" spans="1:17" ht="187.2" x14ac:dyDescent="0.25">
      <c r="A11" s="17" t="s">
        <v>61</v>
      </c>
      <c r="B11" s="22" t="s">
        <v>28</v>
      </c>
      <c r="C11" s="1" t="s">
        <v>29</v>
      </c>
      <c r="D11" s="19">
        <v>278.8</v>
      </c>
      <c r="E11" s="1" t="s">
        <v>18</v>
      </c>
      <c r="F11" s="19">
        <v>64</v>
      </c>
      <c r="G11" s="17" t="s">
        <v>19</v>
      </c>
      <c r="H11" s="21">
        <v>0</v>
      </c>
      <c r="I11" s="85"/>
      <c r="J11" s="85"/>
      <c r="K11" s="17" t="s">
        <v>19</v>
      </c>
      <c r="L11" s="19">
        <v>342.8</v>
      </c>
      <c r="M11" s="22" t="s">
        <v>30</v>
      </c>
      <c r="N11" s="19">
        <v>259.2</v>
      </c>
      <c r="O11" s="17" t="s">
        <v>19</v>
      </c>
      <c r="P11" s="21">
        <v>111.1</v>
      </c>
      <c r="Q11" s="17" t="s">
        <v>19</v>
      </c>
    </row>
    <row r="12" spans="1:17" ht="187.2" x14ac:dyDescent="0.25">
      <c r="A12" s="17" t="s">
        <v>62</v>
      </c>
      <c r="B12" s="22" t="s">
        <v>28</v>
      </c>
      <c r="C12" s="1" t="s">
        <v>29</v>
      </c>
      <c r="D12" s="21">
        <v>32.799999999999997</v>
      </c>
      <c r="E12" s="1" t="s">
        <v>18</v>
      </c>
      <c r="F12" s="19">
        <v>40.700000000000003</v>
      </c>
      <c r="G12" s="17" t="s">
        <v>19</v>
      </c>
      <c r="H12" s="21">
        <v>0</v>
      </c>
      <c r="I12" s="85"/>
      <c r="J12" s="85"/>
      <c r="K12" s="17" t="s">
        <v>19</v>
      </c>
      <c r="L12" s="21">
        <v>73.5</v>
      </c>
      <c r="M12" s="22" t="s">
        <v>30</v>
      </c>
      <c r="N12" s="19">
        <v>26.4</v>
      </c>
      <c r="O12" s="17" t="s">
        <v>19</v>
      </c>
      <c r="P12" s="21">
        <v>24.1</v>
      </c>
      <c r="Q12" s="17" t="s">
        <v>19</v>
      </c>
    </row>
    <row r="13" spans="1:17" ht="187.2" x14ac:dyDescent="0.25">
      <c r="A13" s="7" t="s">
        <v>48</v>
      </c>
      <c r="B13" s="10" t="s">
        <v>25</v>
      </c>
      <c r="C13" s="3" t="s">
        <v>17</v>
      </c>
      <c r="D13" s="9">
        <v>89.7</v>
      </c>
      <c r="E13" s="3" t="s">
        <v>18</v>
      </c>
      <c r="F13" s="9">
        <v>52.7</v>
      </c>
      <c r="G13" s="10" t="s">
        <v>19</v>
      </c>
      <c r="H13" s="11">
        <v>0</v>
      </c>
      <c r="I13" s="12"/>
      <c r="J13" s="83"/>
      <c r="K13" s="13" t="s">
        <v>20</v>
      </c>
      <c r="L13" s="14">
        <v>142.30000000000001</v>
      </c>
      <c r="M13" s="6" t="s">
        <v>21</v>
      </c>
      <c r="N13" s="9">
        <v>126</v>
      </c>
      <c r="O13" s="8" t="s">
        <v>20</v>
      </c>
      <c r="P13" s="14">
        <v>56.4</v>
      </c>
      <c r="Q13" s="16" t="s">
        <v>19</v>
      </c>
    </row>
    <row r="14" spans="1:17" ht="187.2" x14ac:dyDescent="0.25">
      <c r="A14" s="7" t="s">
        <v>51</v>
      </c>
      <c r="B14" s="10" t="s">
        <v>25</v>
      </c>
      <c r="C14" s="3" t="s">
        <v>17</v>
      </c>
      <c r="D14" s="9">
        <v>26.4</v>
      </c>
      <c r="E14" s="3" t="s">
        <v>18</v>
      </c>
      <c r="F14" s="9">
        <v>92.5</v>
      </c>
      <c r="G14" s="10" t="s">
        <v>19</v>
      </c>
      <c r="H14" s="11">
        <v>0</v>
      </c>
      <c r="I14" s="12"/>
      <c r="J14" s="83"/>
      <c r="K14" s="13" t="s">
        <v>20</v>
      </c>
      <c r="L14" s="14">
        <v>118.9</v>
      </c>
      <c r="M14" s="6" t="s">
        <v>21</v>
      </c>
      <c r="N14" s="9">
        <v>70.7</v>
      </c>
      <c r="O14" s="8" t="s">
        <v>20</v>
      </c>
      <c r="P14" s="14">
        <v>38.799999999999997</v>
      </c>
      <c r="Q14" s="16" t="s">
        <v>19</v>
      </c>
    </row>
    <row r="15" spans="1:17" ht="187.2" x14ac:dyDescent="0.25">
      <c r="A15" s="7" t="s">
        <v>53</v>
      </c>
      <c r="B15" s="8" t="s">
        <v>28</v>
      </c>
      <c r="C15" s="3" t="s">
        <v>29</v>
      </c>
      <c r="D15" s="9">
        <v>210.2</v>
      </c>
      <c r="E15" s="3" t="s">
        <v>18</v>
      </c>
      <c r="F15" s="9">
        <v>94.2</v>
      </c>
      <c r="G15" s="10" t="s">
        <v>19</v>
      </c>
      <c r="H15" s="11">
        <v>0</v>
      </c>
      <c r="I15" s="12"/>
      <c r="J15" s="83"/>
      <c r="K15" s="16" t="s">
        <v>19</v>
      </c>
      <c r="L15" s="14">
        <v>304.3</v>
      </c>
      <c r="M15" s="13" t="s">
        <v>30</v>
      </c>
      <c r="N15" s="9">
        <v>242</v>
      </c>
      <c r="O15" s="10" t="s">
        <v>19</v>
      </c>
      <c r="P15" s="14">
        <v>99.1</v>
      </c>
      <c r="Q15" s="16" t="s">
        <v>19</v>
      </c>
    </row>
    <row r="16" spans="1:17" ht="230.4" x14ac:dyDescent="0.25">
      <c r="A16" s="17" t="s">
        <v>56</v>
      </c>
      <c r="B16" s="17" t="s">
        <v>32</v>
      </c>
      <c r="C16" s="1" t="s">
        <v>17</v>
      </c>
      <c r="D16" s="19">
        <v>261.60000000000002</v>
      </c>
      <c r="E16" s="1" t="s">
        <v>18</v>
      </c>
      <c r="F16" s="19">
        <v>130.30000000000001</v>
      </c>
      <c r="G16" s="1" t="s">
        <v>33</v>
      </c>
      <c r="H16" s="24">
        <v>3.8</v>
      </c>
      <c r="I16" s="25"/>
      <c r="J16" s="88"/>
      <c r="K16" s="30" t="s">
        <v>20</v>
      </c>
      <c r="L16" s="32">
        <v>395.7</v>
      </c>
      <c r="M16" s="34" t="s">
        <v>21</v>
      </c>
      <c r="N16" s="19">
        <v>180.7</v>
      </c>
      <c r="O16" s="22" t="s">
        <v>20</v>
      </c>
      <c r="P16" s="32">
        <v>123.9</v>
      </c>
      <c r="Q16" s="28" t="s">
        <v>19</v>
      </c>
    </row>
    <row r="17" spans="1:17" ht="14.4" x14ac:dyDescent="0.25">
      <c r="A17" s="18"/>
      <c r="B17" s="18"/>
      <c r="C17" s="4"/>
      <c r="D17" s="20"/>
      <c r="E17" s="4"/>
      <c r="F17" s="20"/>
      <c r="G17" s="4"/>
      <c r="H17" s="26"/>
      <c r="I17" s="27"/>
      <c r="J17" s="89"/>
      <c r="K17" s="31"/>
      <c r="L17" s="33"/>
      <c r="M17" s="36"/>
      <c r="N17" s="20"/>
      <c r="O17" s="23"/>
      <c r="P17" s="33"/>
      <c r="Q17" s="29"/>
    </row>
    <row r="18" spans="1:17" ht="187.2" x14ac:dyDescent="0.25">
      <c r="A18" s="17" t="s">
        <v>58</v>
      </c>
      <c r="B18" s="22" t="s">
        <v>28</v>
      </c>
      <c r="C18" s="1" t="s">
        <v>29</v>
      </c>
      <c r="D18" s="19">
        <v>114.6</v>
      </c>
      <c r="E18" s="1" t="s">
        <v>18</v>
      </c>
      <c r="F18" s="21">
        <v>76.2</v>
      </c>
      <c r="G18" s="17" t="s">
        <v>19</v>
      </c>
      <c r="H18" s="24">
        <v>0</v>
      </c>
      <c r="I18" s="25"/>
      <c r="J18" s="88"/>
      <c r="K18" s="28" t="s">
        <v>19</v>
      </c>
      <c r="L18" s="32">
        <v>190.8</v>
      </c>
      <c r="M18" s="30" t="s">
        <v>30</v>
      </c>
      <c r="N18" s="19">
        <v>103.5</v>
      </c>
      <c r="O18" s="17" t="s">
        <v>19</v>
      </c>
      <c r="P18" s="32">
        <v>62.1</v>
      </c>
      <c r="Q18" s="28" t="s">
        <v>19</v>
      </c>
    </row>
    <row r="19" spans="1:17" ht="187.2" x14ac:dyDescent="0.25">
      <c r="A19" s="17" t="s">
        <v>60</v>
      </c>
      <c r="B19" s="22" t="s">
        <v>28</v>
      </c>
      <c r="C19" s="1" t="s">
        <v>29</v>
      </c>
      <c r="D19" s="19">
        <v>185.8</v>
      </c>
      <c r="E19" s="1" t="s">
        <v>18</v>
      </c>
      <c r="F19" s="21">
        <v>41.3</v>
      </c>
      <c r="G19" s="17" t="s">
        <v>19</v>
      </c>
      <c r="H19" s="24">
        <v>0</v>
      </c>
      <c r="I19" s="25"/>
      <c r="J19" s="88"/>
      <c r="K19" s="28" t="s">
        <v>19</v>
      </c>
      <c r="L19" s="32">
        <v>227.1</v>
      </c>
      <c r="M19" s="30" t="s">
        <v>30</v>
      </c>
      <c r="N19" s="19">
        <v>181.1</v>
      </c>
      <c r="O19" s="17" t="s">
        <v>19</v>
      </c>
      <c r="P19" s="32">
        <v>71</v>
      </c>
      <c r="Q19" s="28" t="s">
        <v>19</v>
      </c>
    </row>
  </sheetData>
  <mergeCells count="16">
    <mergeCell ref="P3:P4"/>
    <mergeCell ref="A1:Q1"/>
    <mergeCell ref="A2:A4"/>
    <mergeCell ref="B2:B4"/>
    <mergeCell ref="C2:L2"/>
    <mergeCell ref="M2:N2"/>
    <mergeCell ref="O2:P2"/>
    <mergeCell ref="Q2:Q4"/>
    <mergeCell ref="C3:D3"/>
    <mergeCell ref="E3:F3"/>
    <mergeCell ref="G3:H3"/>
    <mergeCell ref="I3:J3"/>
    <mergeCell ref="K3:L3"/>
    <mergeCell ref="M3:M4"/>
    <mergeCell ref="N3:N4"/>
    <mergeCell ref="O3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3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9" ht="31.5" customHeight="1" x14ac:dyDescent="0.25">
      <c r="A1" s="564" t="s">
        <v>0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</row>
    <row r="2" spans="1:29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07"/>
      <c r="N2" s="107"/>
      <c r="O2" s="107"/>
      <c r="P2" s="107"/>
      <c r="Q2" s="555" t="s">
        <v>4</v>
      </c>
      <c r="R2" s="555"/>
      <c r="S2" s="558" t="s">
        <v>5</v>
      </c>
      <c r="T2" s="558"/>
      <c r="U2" s="108" t="s">
        <v>6</v>
      </c>
    </row>
    <row r="3" spans="1:29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80" t="s">
        <v>63</v>
      </c>
      <c r="J3" s="81"/>
      <c r="K3" s="80" t="s">
        <v>64</v>
      </c>
      <c r="L3" s="81"/>
      <c r="M3" s="562" t="s">
        <v>10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08"/>
    </row>
    <row r="4" spans="1:29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555"/>
      <c r="R4" s="556"/>
      <c r="S4" s="555"/>
      <c r="T4" s="560"/>
      <c r="U4" s="108"/>
    </row>
    <row r="5" spans="1:29" ht="144" x14ac:dyDescent="0.25">
      <c r="A5" s="102" t="s">
        <v>65</v>
      </c>
      <c r="B5" s="102" t="s">
        <v>66</v>
      </c>
      <c r="C5" s="97" t="s">
        <v>67</v>
      </c>
      <c r="D5" s="101">
        <v>5.6</v>
      </c>
      <c r="E5" s="101"/>
      <c r="F5" s="101"/>
      <c r="G5" s="102" t="s">
        <v>19</v>
      </c>
      <c r="H5" s="101">
        <v>0</v>
      </c>
      <c r="I5" s="102" t="s">
        <v>19</v>
      </c>
      <c r="J5" s="101">
        <v>0</v>
      </c>
      <c r="K5" s="102" t="s">
        <v>19</v>
      </c>
      <c r="L5" s="101">
        <v>0</v>
      </c>
      <c r="M5" s="97" t="s">
        <v>26</v>
      </c>
      <c r="N5" s="101">
        <v>5.4</v>
      </c>
      <c r="O5" s="100" t="s">
        <v>20</v>
      </c>
      <c r="P5" s="101">
        <v>11</v>
      </c>
      <c r="Q5" s="97" t="s">
        <v>21</v>
      </c>
      <c r="R5" s="101">
        <v>13.4</v>
      </c>
      <c r="S5" s="100" t="s">
        <v>20</v>
      </c>
      <c r="T5" s="101">
        <v>7.7</v>
      </c>
      <c r="U5" s="97" t="s">
        <v>68</v>
      </c>
      <c r="AC5" s="95"/>
    </row>
    <row r="6" spans="1:29" ht="86.4" x14ac:dyDescent="0.25">
      <c r="A6" s="102" t="s">
        <v>69</v>
      </c>
      <c r="B6" s="97" t="s">
        <v>70</v>
      </c>
      <c r="C6" s="97" t="s">
        <v>67</v>
      </c>
      <c r="D6" s="101">
        <v>11.6</v>
      </c>
      <c r="E6" s="101"/>
      <c r="F6" s="101"/>
      <c r="G6" s="97" t="s">
        <v>71</v>
      </c>
      <c r="H6" s="101">
        <v>6.3</v>
      </c>
      <c r="I6" s="102" t="s">
        <v>19</v>
      </c>
      <c r="J6" s="101">
        <v>0</v>
      </c>
      <c r="K6" s="97" t="s">
        <v>71</v>
      </c>
      <c r="L6" s="101">
        <v>15.1</v>
      </c>
      <c r="M6" s="102" t="s">
        <v>19</v>
      </c>
      <c r="N6" s="101">
        <v>0</v>
      </c>
      <c r="O6" s="100" t="s">
        <v>20</v>
      </c>
      <c r="P6" s="101">
        <v>32.9</v>
      </c>
      <c r="Q6" s="110" t="s">
        <v>30</v>
      </c>
      <c r="R6" s="101">
        <v>17.600000000000001</v>
      </c>
      <c r="S6" s="100" t="s">
        <v>20</v>
      </c>
      <c r="T6" s="101">
        <v>14</v>
      </c>
      <c r="U6" s="97" t="s">
        <v>68</v>
      </c>
      <c r="AC6" s="95"/>
    </row>
    <row r="7" spans="1:29" ht="86.4" x14ac:dyDescent="0.25">
      <c r="A7" s="102" t="s">
        <v>72</v>
      </c>
      <c r="B7" s="100" t="s">
        <v>73</v>
      </c>
      <c r="C7" s="102" t="s">
        <v>19</v>
      </c>
      <c r="D7" s="101">
        <v>0</v>
      </c>
      <c r="E7" s="101"/>
      <c r="F7" s="101"/>
      <c r="G7" s="102" t="s">
        <v>19</v>
      </c>
      <c r="H7" s="101">
        <v>0</v>
      </c>
      <c r="I7" s="102" t="s">
        <v>19</v>
      </c>
      <c r="J7" s="101">
        <v>0</v>
      </c>
      <c r="K7" s="97" t="s">
        <v>74</v>
      </c>
      <c r="L7" s="101">
        <v>27.1</v>
      </c>
      <c r="M7" s="102" t="s">
        <v>19</v>
      </c>
      <c r="N7" s="101">
        <v>0</v>
      </c>
      <c r="O7" s="100" t="s">
        <v>20</v>
      </c>
      <c r="P7" s="101">
        <v>27.1</v>
      </c>
      <c r="Q7" s="97" t="s">
        <v>21</v>
      </c>
      <c r="R7" s="101">
        <v>5.8</v>
      </c>
      <c r="S7" s="100" t="s">
        <v>20</v>
      </c>
      <c r="T7" s="101">
        <v>8.5</v>
      </c>
      <c r="U7" s="97" t="s">
        <v>68</v>
      </c>
      <c r="AC7" s="95"/>
    </row>
    <row r="8" spans="1:29" ht="129.6" x14ac:dyDescent="0.25">
      <c r="A8" s="102" t="s">
        <v>75</v>
      </c>
      <c r="B8" s="97" t="s">
        <v>76</v>
      </c>
      <c r="C8" s="97" t="s">
        <v>67</v>
      </c>
      <c r="D8" s="101">
        <v>266.7</v>
      </c>
      <c r="E8" s="101"/>
      <c r="F8" s="101"/>
      <c r="G8" s="97" t="s">
        <v>71</v>
      </c>
      <c r="H8" s="101">
        <v>166.5</v>
      </c>
      <c r="I8" s="97" t="s">
        <v>77</v>
      </c>
      <c r="J8" s="101">
        <v>4.3</v>
      </c>
      <c r="K8" s="97" t="s">
        <v>71</v>
      </c>
      <c r="L8" s="101">
        <v>7.1</v>
      </c>
      <c r="M8" s="102" t="s">
        <v>19</v>
      </c>
      <c r="N8" s="101">
        <v>0</v>
      </c>
      <c r="O8" s="100" t="s">
        <v>20</v>
      </c>
      <c r="P8" s="101">
        <v>444.7</v>
      </c>
      <c r="Q8" s="97" t="s">
        <v>21</v>
      </c>
      <c r="R8" s="101">
        <v>357.2</v>
      </c>
      <c r="S8" s="100" t="s">
        <v>20</v>
      </c>
      <c r="T8" s="101">
        <v>88.6</v>
      </c>
      <c r="U8" s="97" t="s">
        <v>68</v>
      </c>
      <c r="AC8" s="95"/>
    </row>
    <row r="9" spans="1:29" ht="86.4" x14ac:dyDescent="0.25">
      <c r="A9" s="102" t="s">
        <v>78</v>
      </c>
      <c r="B9" s="100" t="s">
        <v>79</v>
      </c>
      <c r="C9" s="97" t="s">
        <v>67</v>
      </c>
      <c r="D9" s="101">
        <v>26.5</v>
      </c>
      <c r="E9" s="101"/>
      <c r="F9" s="101"/>
      <c r="G9" s="97" t="s">
        <v>71</v>
      </c>
      <c r="H9" s="101">
        <v>28.2</v>
      </c>
      <c r="I9" s="102" t="s">
        <v>19</v>
      </c>
      <c r="J9" s="101">
        <v>0</v>
      </c>
      <c r="K9" s="97" t="s">
        <v>71</v>
      </c>
      <c r="L9" s="101">
        <v>14</v>
      </c>
      <c r="M9" s="102" t="s">
        <v>19</v>
      </c>
      <c r="N9" s="101">
        <v>0</v>
      </c>
      <c r="O9" s="100" t="s">
        <v>20</v>
      </c>
      <c r="P9" s="101">
        <v>68.7</v>
      </c>
      <c r="Q9" s="110" t="s">
        <v>30</v>
      </c>
      <c r="R9" s="101">
        <v>22.1</v>
      </c>
      <c r="S9" s="100" t="s">
        <v>20</v>
      </c>
      <c r="T9" s="101">
        <v>19</v>
      </c>
      <c r="U9" s="97" t="s">
        <v>68</v>
      </c>
      <c r="AC9" s="95"/>
    </row>
    <row r="10" spans="1:29" ht="86.4" x14ac:dyDescent="0.25">
      <c r="A10" s="102" t="s">
        <v>80</v>
      </c>
      <c r="B10" s="100" t="s">
        <v>81</v>
      </c>
      <c r="C10" s="102" t="s">
        <v>19</v>
      </c>
      <c r="D10" s="101">
        <v>0</v>
      </c>
      <c r="E10" s="101"/>
      <c r="F10" s="101"/>
      <c r="G10" s="97" t="s">
        <v>74</v>
      </c>
      <c r="H10" s="101">
        <v>15</v>
      </c>
      <c r="I10" s="102" t="s">
        <v>19</v>
      </c>
      <c r="J10" s="101">
        <v>0</v>
      </c>
      <c r="K10" s="97" t="s">
        <v>74</v>
      </c>
      <c r="L10" s="101">
        <v>21.5</v>
      </c>
      <c r="M10" s="102" t="s">
        <v>19</v>
      </c>
      <c r="N10" s="101">
        <v>0</v>
      </c>
      <c r="O10" s="100" t="s">
        <v>20</v>
      </c>
      <c r="P10" s="101">
        <v>36.5</v>
      </c>
      <c r="Q10" s="97" t="s">
        <v>21</v>
      </c>
      <c r="R10" s="101">
        <v>5.9</v>
      </c>
      <c r="S10" s="100" t="s">
        <v>20</v>
      </c>
      <c r="T10" s="101">
        <v>9</v>
      </c>
      <c r="U10" s="97" t="s">
        <v>68</v>
      </c>
      <c r="AC10" s="95"/>
    </row>
    <row r="11" spans="1:29" ht="86.4" x14ac:dyDescent="0.25">
      <c r="A11" s="102" t="s">
        <v>82</v>
      </c>
      <c r="B11" s="100" t="s">
        <v>83</v>
      </c>
      <c r="C11" s="97" t="s">
        <v>67</v>
      </c>
      <c r="D11" s="101">
        <v>12.4</v>
      </c>
      <c r="E11" s="101"/>
      <c r="F11" s="101"/>
      <c r="G11" s="97" t="s">
        <v>71</v>
      </c>
      <c r="H11" s="101">
        <v>34.299999999999997</v>
      </c>
      <c r="I11" s="102" t="s">
        <v>19</v>
      </c>
      <c r="J11" s="101">
        <v>0</v>
      </c>
      <c r="K11" s="102" t="s">
        <v>19</v>
      </c>
      <c r="L11" s="101">
        <v>0</v>
      </c>
      <c r="M11" s="102" t="s">
        <v>19</v>
      </c>
      <c r="N11" s="101">
        <v>0</v>
      </c>
      <c r="O11" s="100" t="s">
        <v>20</v>
      </c>
      <c r="P11" s="101">
        <v>46.7</v>
      </c>
      <c r="Q11" s="110" t="s">
        <v>30</v>
      </c>
      <c r="R11" s="101">
        <v>10</v>
      </c>
      <c r="S11" s="100" t="s">
        <v>20</v>
      </c>
      <c r="T11" s="101">
        <v>11.7</v>
      </c>
      <c r="U11" s="97" t="s">
        <v>68</v>
      </c>
      <c r="AC11" s="95"/>
    </row>
    <row r="12" spans="1:29" ht="86.4" x14ac:dyDescent="0.25">
      <c r="A12" s="102" t="s">
        <v>84</v>
      </c>
      <c r="B12" s="100" t="s">
        <v>85</v>
      </c>
      <c r="C12" s="97" t="s">
        <v>67</v>
      </c>
      <c r="D12" s="101">
        <v>72.900000000000006</v>
      </c>
      <c r="E12" s="101"/>
      <c r="F12" s="101"/>
      <c r="G12" s="97" t="s">
        <v>71</v>
      </c>
      <c r="H12" s="101">
        <v>66.099999999999994</v>
      </c>
      <c r="I12" s="102" t="s">
        <v>19</v>
      </c>
      <c r="J12" s="101">
        <v>0</v>
      </c>
      <c r="K12" s="97" t="s">
        <v>71</v>
      </c>
      <c r="L12" s="101">
        <v>16.5</v>
      </c>
      <c r="M12" s="102" t="s">
        <v>19</v>
      </c>
      <c r="N12" s="101">
        <v>0</v>
      </c>
      <c r="O12" s="100" t="s">
        <v>20</v>
      </c>
      <c r="P12" s="101">
        <v>155.5</v>
      </c>
      <c r="Q12" s="110" t="s">
        <v>30</v>
      </c>
      <c r="R12" s="101">
        <v>105.4</v>
      </c>
      <c r="S12" s="100" t="s">
        <v>20</v>
      </c>
      <c r="T12" s="101">
        <v>48.2</v>
      </c>
      <c r="U12" s="97" t="s">
        <v>68</v>
      </c>
      <c r="AC12" s="95"/>
    </row>
    <row r="13" spans="1:29" ht="86.4" x14ac:dyDescent="0.25">
      <c r="A13" s="102" t="s">
        <v>86</v>
      </c>
      <c r="B13" s="100" t="s">
        <v>87</v>
      </c>
      <c r="C13" s="97" t="s">
        <v>67</v>
      </c>
      <c r="D13" s="101">
        <v>40.1</v>
      </c>
      <c r="E13" s="101"/>
      <c r="F13" s="101"/>
      <c r="G13" s="97" t="s">
        <v>71</v>
      </c>
      <c r="H13" s="101">
        <v>70.099999999999994</v>
      </c>
      <c r="I13" s="102" t="s">
        <v>19</v>
      </c>
      <c r="J13" s="101">
        <v>0</v>
      </c>
      <c r="K13" s="97" t="s">
        <v>71</v>
      </c>
      <c r="L13" s="101">
        <v>8.4</v>
      </c>
      <c r="M13" s="102" t="s">
        <v>19</v>
      </c>
      <c r="N13" s="101">
        <v>0</v>
      </c>
      <c r="O13" s="100" t="s">
        <v>20</v>
      </c>
      <c r="P13" s="101">
        <v>118.6</v>
      </c>
      <c r="Q13" s="110" t="s">
        <v>30</v>
      </c>
      <c r="R13" s="101">
        <v>62.9</v>
      </c>
      <c r="S13" s="100" t="s">
        <v>20</v>
      </c>
      <c r="T13" s="101">
        <v>34.6</v>
      </c>
      <c r="U13" s="97" t="s">
        <v>68</v>
      </c>
      <c r="AC13" s="95"/>
    </row>
  </sheetData>
  <mergeCells count="15">
    <mergeCell ref="A1:U1"/>
    <mergeCell ref="M3:N3"/>
    <mergeCell ref="O3:P3"/>
    <mergeCell ref="Q3:Q4"/>
    <mergeCell ref="R3:R4"/>
    <mergeCell ref="S3:S4"/>
    <mergeCell ref="T3:T4"/>
    <mergeCell ref="A2:A4"/>
    <mergeCell ref="B2:B4"/>
    <mergeCell ref="C2:L2"/>
    <mergeCell ref="Q2:R2"/>
    <mergeCell ref="S2:T2"/>
    <mergeCell ref="C3:D3"/>
    <mergeCell ref="E3:F3"/>
    <mergeCell ref="G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2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x14ac:dyDescent="0.25">
      <c r="A1" s="564" t="s">
        <v>0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</row>
    <row r="2" spans="1:21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07"/>
      <c r="N2" s="107"/>
      <c r="O2" s="107"/>
      <c r="P2" s="107"/>
      <c r="Q2" s="555" t="s">
        <v>4</v>
      </c>
      <c r="R2" s="555"/>
      <c r="S2" s="558" t="s">
        <v>5</v>
      </c>
      <c r="T2" s="558"/>
      <c r="U2" s="108" t="s">
        <v>6</v>
      </c>
    </row>
    <row r="3" spans="1:21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80" t="s">
        <v>63</v>
      </c>
      <c r="J3" s="81"/>
      <c r="K3" s="80" t="s">
        <v>64</v>
      </c>
      <c r="L3" s="81"/>
      <c r="M3" s="562" t="s">
        <v>10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08"/>
    </row>
    <row r="4" spans="1:21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555"/>
      <c r="R4" s="556"/>
      <c r="S4" s="555"/>
      <c r="T4" s="560"/>
      <c r="U4" s="108"/>
    </row>
    <row r="5" spans="1:21" ht="86.4" x14ac:dyDescent="0.25">
      <c r="A5" s="10" t="s">
        <v>88</v>
      </c>
      <c r="B5" s="8" t="s">
        <v>87</v>
      </c>
      <c r="C5" s="3" t="s">
        <v>67</v>
      </c>
      <c r="D5" s="9">
        <v>55.6</v>
      </c>
      <c r="E5" s="9"/>
      <c r="F5" s="9"/>
      <c r="G5" s="3" t="s">
        <v>71</v>
      </c>
      <c r="H5" s="9">
        <v>47.3</v>
      </c>
      <c r="I5" s="9"/>
      <c r="J5" s="9"/>
      <c r="K5" s="3" t="s">
        <v>71</v>
      </c>
      <c r="L5" s="9">
        <v>6.6</v>
      </c>
      <c r="M5" s="9"/>
      <c r="N5" s="9"/>
      <c r="O5" s="8" t="s">
        <v>20</v>
      </c>
      <c r="P5" s="9">
        <v>109.5</v>
      </c>
      <c r="Q5" s="51" t="s">
        <v>30</v>
      </c>
      <c r="R5" s="9">
        <v>64.3</v>
      </c>
      <c r="S5" s="8" t="s">
        <v>20</v>
      </c>
      <c r="T5" s="9">
        <v>32.4</v>
      </c>
      <c r="U5" s="3" t="s">
        <v>68</v>
      </c>
    </row>
    <row r="6" spans="1:21" ht="86.4" x14ac:dyDescent="0.25">
      <c r="A6" s="10" t="s">
        <v>91</v>
      </c>
      <c r="B6" s="8" t="s">
        <v>87</v>
      </c>
      <c r="C6" s="3" t="s">
        <v>67</v>
      </c>
      <c r="D6" s="9">
        <v>92.6</v>
      </c>
      <c r="E6" s="9"/>
      <c r="F6" s="9"/>
      <c r="G6" s="3" t="s">
        <v>71</v>
      </c>
      <c r="H6" s="9">
        <v>11.6</v>
      </c>
      <c r="I6" s="9"/>
      <c r="J6" s="9"/>
      <c r="K6" s="3" t="s">
        <v>71</v>
      </c>
      <c r="L6" s="9">
        <v>8.5</v>
      </c>
      <c r="M6" s="9"/>
      <c r="N6" s="9"/>
      <c r="O6" s="8" t="s">
        <v>20</v>
      </c>
      <c r="P6" s="9">
        <v>112.7</v>
      </c>
      <c r="Q6" s="51" t="s">
        <v>30</v>
      </c>
      <c r="R6" s="9">
        <v>64.400000000000006</v>
      </c>
      <c r="S6" s="8" t="s">
        <v>20</v>
      </c>
      <c r="T6" s="9">
        <v>32.6</v>
      </c>
      <c r="U6" s="3" t="s">
        <v>68</v>
      </c>
    </row>
    <row r="7" spans="1:21" ht="86.4" x14ac:dyDescent="0.25">
      <c r="A7" s="17" t="s">
        <v>95</v>
      </c>
      <c r="B7" s="22" t="s">
        <v>96</v>
      </c>
      <c r="C7" s="1" t="s">
        <v>67</v>
      </c>
      <c r="D7" s="19">
        <v>121.5</v>
      </c>
      <c r="E7" s="84"/>
      <c r="F7" s="84"/>
      <c r="G7" s="1" t="s">
        <v>71</v>
      </c>
      <c r="H7" s="19">
        <v>24.2</v>
      </c>
      <c r="I7" s="84"/>
      <c r="J7" s="84"/>
      <c r="K7" s="1" t="s">
        <v>71</v>
      </c>
      <c r="L7" s="21">
        <v>28.6</v>
      </c>
      <c r="M7" s="85"/>
      <c r="N7" s="85"/>
      <c r="O7" s="22" t="s">
        <v>20</v>
      </c>
      <c r="P7" s="19">
        <v>174.2</v>
      </c>
      <c r="Q7" s="22" t="s">
        <v>30</v>
      </c>
      <c r="R7" s="19">
        <v>131.19999999999999</v>
      </c>
      <c r="S7" s="22" t="s">
        <v>20</v>
      </c>
      <c r="T7" s="19">
        <v>46</v>
      </c>
      <c r="U7" s="1" t="s">
        <v>68</v>
      </c>
    </row>
    <row r="8" spans="1:21" ht="86.4" x14ac:dyDescent="0.25">
      <c r="A8" s="17" t="s">
        <v>99</v>
      </c>
      <c r="B8" s="22" t="s">
        <v>100</v>
      </c>
      <c r="C8" s="1" t="s">
        <v>94</v>
      </c>
      <c r="D8" s="21">
        <v>50.1</v>
      </c>
      <c r="E8" s="85"/>
      <c r="F8" s="85"/>
      <c r="G8" s="17" t="s">
        <v>19</v>
      </c>
      <c r="H8" s="21">
        <v>0</v>
      </c>
      <c r="I8" s="85"/>
      <c r="J8" s="85"/>
      <c r="K8" s="1" t="s">
        <v>74</v>
      </c>
      <c r="L8" s="21">
        <v>30.1</v>
      </c>
      <c r="M8" s="85"/>
      <c r="N8" s="85"/>
      <c r="O8" s="22" t="s">
        <v>20</v>
      </c>
      <c r="P8" s="21">
        <v>80.2</v>
      </c>
      <c r="Q8" s="1" t="s">
        <v>21</v>
      </c>
      <c r="R8" s="21">
        <v>15.8</v>
      </c>
      <c r="S8" s="22" t="s">
        <v>20</v>
      </c>
      <c r="T8" s="21">
        <v>20.3</v>
      </c>
      <c r="U8" s="1" t="s">
        <v>68</v>
      </c>
    </row>
    <row r="9" spans="1:21" ht="86.4" x14ac:dyDescent="0.25">
      <c r="A9" s="17" t="s">
        <v>103</v>
      </c>
      <c r="B9" s="22" t="s">
        <v>81</v>
      </c>
      <c r="C9" s="1" t="s">
        <v>94</v>
      </c>
      <c r="D9" s="21">
        <v>7.2</v>
      </c>
      <c r="E9" s="85"/>
      <c r="F9" s="85"/>
      <c r="G9" s="17" t="s">
        <v>19</v>
      </c>
      <c r="H9" s="21">
        <v>0</v>
      </c>
      <c r="I9" s="85"/>
      <c r="J9" s="85"/>
      <c r="K9" s="1" t="s">
        <v>74</v>
      </c>
      <c r="L9" s="21">
        <v>27.6</v>
      </c>
      <c r="M9" s="85"/>
      <c r="N9" s="85"/>
      <c r="O9" s="22" t="s">
        <v>20</v>
      </c>
      <c r="P9" s="19">
        <v>34.799999999999997</v>
      </c>
      <c r="Q9" s="1" t="s">
        <v>21</v>
      </c>
      <c r="R9" s="21">
        <v>5.4</v>
      </c>
      <c r="S9" s="22" t="s">
        <v>20</v>
      </c>
      <c r="T9" s="21">
        <v>8.1999999999999993</v>
      </c>
      <c r="U9" s="1" t="s">
        <v>68</v>
      </c>
    </row>
    <row r="10" spans="1:21" ht="86.4" x14ac:dyDescent="0.25">
      <c r="A10" s="17" t="s">
        <v>106</v>
      </c>
      <c r="B10" s="22" t="s">
        <v>107</v>
      </c>
      <c r="C10" s="1" t="s">
        <v>94</v>
      </c>
      <c r="D10" s="19">
        <v>49.9</v>
      </c>
      <c r="E10" s="84"/>
      <c r="F10" s="84"/>
      <c r="G10" s="17" t="s">
        <v>19</v>
      </c>
      <c r="H10" s="21">
        <v>0</v>
      </c>
      <c r="I10" s="85"/>
      <c r="J10" s="85"/>
      <c r="K10" s="1" t="s">
        <v>74</v>
      </c>
      <c r="L10" s="19">
        <v>30.4</v>
      </c>
      <c r="M10" s="84"/>
      <c r="N10" s="84"/>
      <c r="O10" s="22" t="s">
        <v>20</v>
      </c>
      <c r="P10" s="21">
        <v>80.3</v>
      </c>
      <c r="Q10" s="1" t="s">
        <v>21</v>
      </c>
      <c r="R10" s="21">
        <v>15.8</v>
      </c>
      <c r="S10" s="22" t="s">
        <v>20</v>
      </c>
      <c r="T10" s="21">
        <v>20.2</v>
      </c>
      <c r="U10" s="1" t="s">
        <v>68</v>
      </c>
    </row>
    <row r="11" spans="1:21" ht="86.4" x14ac:dyDescent="0.25">
      <c r="A11" s="17" t="s">
        <v>110</v>
      </c>
      <c r="B11" s="22" t="s">
        <v>111</v>
      </c>
      <c r="C11" s="1" t="s">
        <v>94</v>
      </c>
      <c r="D11" s="21">
        <v>1.1000000000000001</v>
      </c>
      <c r="E11" s="85"/>
      <c r="F11" s="85"/>
      <c r="G11" s="1" t="s">
        <v>74</v>
      </c>
      <c r="H11" s="21">
        <v>4.8</v>
      </c>
      <c r="I11" s="85"/>
      <c r="J11" s="85"/>
      <c r="K11" s="1" t="s">
        <v>74</v>
      </c>
      <c r="L11" s="21">
        <v>16.7</v>
      </c>
      <c r="M11" s="85"/>
      <c r="N11" s="85"/>
      <c r="O11" s="22" t="s">
        <v>20</v>
      </c>
      <c r="P11" s="21">
        <v>22.7</v>
      </c>
      <c r="Q11" s="22" t="s">
        <v>30</v>
      </c>
      <c r="R11" s="21">
        <v>2.4</v>
      </c>
      <c r="S11" s="22" t="s">
        <v>20</v>
      </c>
      <c r="T11" s="21">
        <v>5.3</v>
      </c>
      <c r="U11" s="1" t="s">
        <v>68</v>
      </c>
    </row>
    <row r="12" spans="1:21" ht="86.4" x14ac:dyDescent="0.25">
      <c r="A12" s="17" t="s">
        <v>114</v>
      </c>
      <c r="B12" s="22" t="s">
        <v>115</v>
      </c>
      <c r="C12" s="1" t="s">
        <v>94</v>
      </c>
      <c r="D12" s="21">
        <v>18.600000000000001</v>
      </c>
      <c r="E12" s="85"/>
      <c r="F12" s="85"/>
      <c r="G12" s="17" t="s">
        <v>19</v>
      </c>
      <c r="H12" s="21">
        <v>0</v>
      </c>
      <c r="I12" s="85"/>
      <c r="J12" s="85"/>
      <c r="K12" s="1" t="s">
        <v>74</v>
      </c>
      <c r="L12" s="19">
        <v>40.799999999999997</v>
      </c>
      <c r="M12" s="84"/>
      <c r="N12" s="84"/>
      <c r="O12" s="22" t="s">
        <v>20</v>
      </c>
      <c r="P12" s="19">
        <v>59.4</v>
      </c>
      <c r="Q12" s="1" t="s">
        <v>21</v>
      </c>
      <c r="R12" s="21">
        <v>13.9</v>
      </c>
      <c r="S12" s="22" t="s">
        <v>20</v>
      </c>
      <c r="T12" s="21">
        <v>16.2</v>
      </c>
      <c r="U12" s="1" t="s">
        <v>68</v>
      </c>
    </row>
    <row r="13" spans="1:21" ht="86.4" x14ac:dyDescent="0.25">
      <c r="A13" s="17" t="s">
        <v>118</v>
      </c>
      <c r="B13" s="22" t="s">
        <v>119</v>
      </c>
      <c r="C13" s="1" t="s">
        <v>94</v>
      </c>
      <c r="D13" s="21">
        <v>7.2</v>
      </c>
      <c r="E13" s="85"/>
      <c r="F13" s="85"/>
      <c r="G13" s="17" t="s">
        <v>19</v>
      </c>
      <c r="H13" s="21">
        <v>0</v>
      </c>
      <c r="I13" s="85"/>
      <c r="J13" s="85"/>
      <c r="K13" s="1" t="s">
        <v>74</v>
      </c>
      <c r="L13" s="21">
        <v>50.8</v>
      </c>
      <c r="M13" s="85"/>
      <c r="N13" s="85"/>
      <c r="O13" s="22" t="s">
        <v>20</v>
      </c>
      <c r="P13" s="21">
        <v>58</v>
      </c>
      <c r="Q13" s="1" t="s">
        <v>21</v>
      </c>
      <c r="R13" s="21">
        <v>13.9</v>
      </c>
      <c r="S13" s="22" t="s">
        <v>20</v>
      </c>
      <c r="T13" s="21">
        <v>15.4</v>
      </c>
      <c r="U13" s="1" t="s">
        <v>68</v>
      </c>
    </row>
    <row r="14" spans="1:21" ht="86.4" x14ac:dyDescent="0.25">
      <c r="A14" s="7" t="s">
        <v>89</v>
      </c>
      <c r="B14" s="10" t="s">
        <v>90</v>
      </c>
      <c r="C14" s="3" t="s">
        <v>67</v>
      </c>
      <c r="D14" s="52">
        <v>7.4</v>
      </c>
      <c r="E14" s="52"/>
      <c r="F14" s="52"/>
      <c r="G14" s="3" t="s">
        <v>71</v>
      </c>
      <c r="H14" s="9">
        <v>24.1</v>
      </c>
      <c r="I14" s="9"/>
      <c r="J14" s="9"/>
      <c r="K14" s="3" t="s">
        <v>71</v>
      </c>
      <c r="L14" s="11">
        <v>35.700000000000003</v>
      </c>
      <c r="M14" s="83"/>
      <c r="N14" s="12"/>
      <c r="O14" s="13" t="s">
        <v>20</v>
      </c>
      <c r="P14" s="14">
        <v>67.2</v>
      </c>
      <c r="Q14" s="13" t="s">
        <v>30</v>
      </c>
      <c r="R14" s="9">
        <v>20.399999999999999</v>
      </c>
      <c r="S14" s="8" t="s">
        <v>20</v>
      </c>
      <c r="T14" s="14">
        <v>15.9</v>
      </c>
      <c r="U14" s="6" t="s">
        <v>68</v>
      </c>
    </row>
    <row r="15" spans="1:21" ht="86.4" x14ac:dyDescent="0.25">
      <c r="A15" s="17" t="s">
        <v>92</v>
      </c>
      <c r="B15" s="1" t="s">
        <v>93</v>
      </c>
      <c r="C15" s="1" t="s">
        <v>94</v>
      </c>
      <c r="D15" s="21">
        <v>7.7</v>
      </c>
      <c r="E15" s="85"/>
      <c r="F15" s="85"/>
      <c r="G15" s="1" t="s">
        <v>74</v>
      </c>
      <c r="H15" s="21">
        <v>14.3</v>
      </c>
      <c r="I15" s="85"/>
      <c r="J15" s="85"/>
      <c r="K15" s="1" t="s">
        <v>74</v>
      </c>
      <c r="L15" s="24">
        <v>21.7</v>
      </c>
      <c r="M15" s="88"/>
      <c r="N15" s="25"/>
      <c r="O15" s="30" t="s">
        <v>20</v>
      </c>
      <c r="P15" s="32">
        <v>43.7</v>
      </c>
      <c r="Q15" s="34" t="s">
        <v>21</v>
      </c>
      <c r="R15" s="21">
        <v>6</v>
      </c>
      <c r="S15" s="22" t="s">
        <v>20</v>
      </c>
      <c r="T15" s="32">
        <v>10.7</v>
      </c>
      <c r="U15" s="34" t="s">
        <v>68</v>
      </c>
    </row>
    <row r="16" spans="1:21" ht="86.4" x14ac:dyDescent="0.25">
      <c r="A16" s="17" t="s">
        <v>97</v>
      </c>
      <c r="B16" s="22" t="s">
        <v>98</v>
      </c>
      <c r="C16" s="1" t="s">
        <v>94</v>
      </c>
      <c r="D16" s="21">
        <v>3.2</v>
      </c>
      <c r="E16" s="85"/>
      <c r="F16" s="85"/>
      <c r="G16" s="1" t="s">
        <v>74</v>
      </c>
      <c r="H16" s="21">
        <v>9</v>
      </c>
      <c r="I16" s="85"/>
      <c r="J16" s="85"/>
      <c r="K16" s="1" t="s">
        <v>74</v>
      </c>
      <c r="L16" s="24">
        <v>20.9</v>
      </c>
      <c r="M16" s="88"/>
      <c r="N16" s="25"/>
      <c r="O16" s="30" t="s">
        <v>20</v>
      </c>
      <c r="P16" s="32">
        <v>33</v>
      </c>
      <c r="Q16" s="34" t="s">
        <v>21</v>
      </c>
      <c r="R16" s="21">
        <v>4.7</v>
      </c>
      <c r="S16" s="22" t="s">
        <v>20</v>
      </c>
      <c r="T16" s="24">
        <v>8</v>
      </c>
      <c r="U16" s="34" t="s">
        <v>68</v>
      </c>
    </row>
    <row r="17" spans="1:21" ht="86.4" x14ac:dyDescent="0.25">
      <c r="A17" s="17" t="s">
        <v>101</v>
      </c>
      <c r="B17" s="22" t="s">
        <v>102</v>
      </c>
      <c r="C17" s="1" t="s">
        <v>94</v>
      </c>
      <c r="D17" s="21">
        <v>18.100000000000001</v>
      </c>
      <c r="E17" s="85"/>
      <c r="F17" s="85"/>
      <c r="G17" s="1" t="s">
        <v>74</v>
      </c>
      <c r="H17" s="21">
        <v>12.2</v>
      </c>
      <c r="I17" s="85"/>
      <c r="J17" s="85"/>
      <c r="K17" s="1" t="s">
        <v>74</v>
      </c>
      <c r="L17" s="24">
        <v>12.6</v>
      </c>
      <c r="M17" s="88"/>
      <c r="N17" s="25"/>
      <c r="O17" s="30" t="s">
        <v>20</v>
      </c>
      <c r="P17" s="32">
        <v>42.9</v>
      </c>
      <c r="Q17" s="34" t="s">
        <v>21</v>
      </c>
      <c r="R17" s="21">
        <v>4.7</v>
      </c>
      <c r="S17" s="22" t="s">
        <v>20</v>
      </c>
      <c r="T17" s="32">
        <v>10.4</v>
      </c>
      <c r="U17" s="34" t="s">
        <v>68</v>
      </c>
    </row>
    <row r="18" spans="1:21" ht="86.4" x14ac:dyDescent="0.25">
      <c r="A18" s="17" t="s">
        <v>104</v>
      </c>
      <c r="B18" s="22" t="s">
        <v>105</v>
      </c>
      <c r="C18" s="1" t="s">
        <v>67</v>
      </c>
      <c r="D18" s="21">
        <v>17</v>
      </c>
      <c r="E18" s="85"/>
      <c r="F18" s="85"/>
      <c r="G18" s="1" t="s">
        <v>71</v>
      </c>
      <c r="H18" s="21">
        <v>10.4</v>
      </c>
      <c r="I18" s="85"/>
      <c r="J18" s="85"/>
      <c r="K18" s="1" t="s">
        <v>71</v>
      </c>
      <c r="L18" s="24">
        <v>23.9</v>
      </c>
      <c r="M18" s="88"/>
      <c r="N18" s="25"/>
      <c r="O18" s="30" t="s">
        <v>20</v>
      </c>
      <c r="P18" s="24">
        <v>51.3</v>
      </c>
      <c r="Q18" s="34" t="s">
        <v>21</v>
      </c>
      <c r="R18" s="21">
        <v>10.1</v>
      </c>
      <c r="S18" s="22" t="s">
        <v>20</v>
      </c>
      <c r="T18" s="32">
        <v>12.4</v>
      </c>
      <c r="U18" s="34" t="s">
        <v>68</v>
      </c>
    </row>
    <row r="19" spans="1:21" ht="86.4" x14ac:dyDescent="0.25">
      <c r="A19" s="7" t="s">
        <v>108</v>
      </c>
      <c r="B19" s="10" t="s">
        <v>109</v>
      </c>
      <c r="C19" s="3" t="s">
        <v>67</v>
      </c>
      <c r="D19" s="53">
        <v>13</v>
      </c>
      <c r="E19" s="53"/>
      <c r="F19" s="53"/>
      <c r="G19" s="3" t="s">
        <v>71</v>
      </c>
      <c r="H19" s="9">
        <v>11.3</v>
      </c>
      <c r="I19" s="9"/>
      <c r="J19" s="9"/>
      <c r="K19" s="3" t="s">
        <v>71</v>
      </c>
      <c r="L19" s="14">
        <v>26.4</v>
      </c>
      <c r="M19" s="86"/>
      <c r="N19" s="15"/>
      <c r="O19" s="13" t="s">
        <v>20</v>
      </c>
      <c r="P19" s="14">
        <v>50.7</v>
      </c>
      <c r="Q19" s="6" t="s">
        <v>21</v>
      </c>
      <c r="R19" s="9">
        <v>10.3</v>
      </c>
      <c r="S19" s="8" t="s">
        <v>20</v>
      </c>
      <c r="T19" s="11">
        <v>12.1</v>
      </c>
      <c r="U19" s="6" t="s">
        <v>68</v>
      </c>
    </row>
    <row r="20" spans="1:21" ht="86.4" x14ac:dyDescent="0.25">
      <c r="A20" s="7" t="s">
        <v>112</v>
      </c>
      <c r="B20" s="10" t="s">
        <v>109</v>
      </c>
      <c r="C20" s="3" t="s">
        <v>67</v>
      </c>
      <c r="D20" s="53">
        <v>20.3</v>
      </c>
      <c r="E20" s="53"/>
      <c r="F20" s="53"/>
      <c r="G20" s="3" t="s">
        <v>71</v>
      </c>
      <c r="H20" s="9">
        <v>39.4</v>
      </c>
      <c r="I20" s="9"/>
      <c r="J20" s="9"/>
      <c r="K20" s="10" t="s">
        <v>19</v>
      </c>
      <c r="L20" s="11">
        <v>0</v>
      </c>
      <c r="M20" s="83"/>
      <c r="N20" s="12"/>
      <c r="O20" s="13" t="s">
        <v>20</v>
      </c>
      <c r="P20" s="14">
        <v>59.7</v>
      </c>
      <c r="Q20" s="6" t="s">
        <v>21</v>
      </c>
      <c r="R20" s="9">
        <v>10.7</v>
      </c>
      <c r="S20" s="8" t="s">
        <v>20</v>
      </c>
      <c r="T20" s="14">
        <v>14.4</v>
      </c>
      <c r="U20" s="6" t="s">
        <v>68</v>
      </c>
    </row>
    <row r="21" spans="1:21" ht="86.4" x14ac:dyDescent="0.25">
      <c r="A21" s="17" t="s">
        <v>113</v>
      </c>
      <c r="B21" s="17" t="s">
        <v>32</v>
      </c>
      <c r="C21" s="1" t="s">
        <v>67</v>
      </c>
      <c r="D21" s="21">
        <v>22.6</v>
      </c>
      <c r="E21" s="85"/>
      <c r="F21" s="85"/>
      <c r="G21" s="1" t="s">
        <v>71</v>
      </c>
      <c r="H21" s="19">
        <v>40.799999999999997</v>
      </c>
      <c r="I21" s="84"/>
      <c r="J21" s="84"/>
      <c r="K21" s="17" t="s">
        <v>19</v>
      </c>
      <c r="L21" s="24">
        <v>0</v>
      </c>
      <c r="M21" s="88"/>
      <c r="N21" s="25"/>
      <c r="O21" s="30" t="s">
        <v>20</v>
      </c>
      <c r="P21" s="32">
        <v>63.5</v>
      </c>
      <c r="Q21" s="34" t="s">
        <v>21</v>
      </c>
      <c r="R21" s="21">
        <v>25.9</v>
      </c>
      <c r="S21" s="22" t="s">
        <v>20</v>
      </c>
      <c r="T21" s="32">
        <v>10.9</v>
      </c>
      <c r="U21" s="34" t="s">
        <v>68</v>
      </c>
    </row>
    <row r="22" spans="1:21" ht="86.4" x14ac:dyDescent="0.25">
      <c r="A22" s="17" t="s">
        <v>116</v>
      </c>
      <c r="B22" s="17" t="s">
        <v>117</v>
      </c>
      <c r="C22" s="1" t="s">
        <v>67</v>
      </c>
      <c r="D22" s="19">
        <v>42.4</v>
      </c>
      <c r="E22" s="84"/>
      <c r="F22" s="84"/>
      <c r="G22" s="1" t="s">
        <v>71</v>
      </c>
      <c r="H22" s="21">
        <v>39.299999999999997</v>
      </c>
      <c r="I22" s="85"/>
      <c r="J22" s="85"/>
      <c r="K22" s="17" t="s">
        <v>19</v>
      </c>
      <c r="L22" s="24">
        <v>0</v>
      </c>
      <c r="M22" s="88"/>
      <c r="N22" s="25"/>
      <c r="O22" s="30" t="s">
        <v>20</v>
      </c>
      <c r="P22" s="24">
        <v>81.7</v>
      </c>
      <c r="Q22" s="30" t="s">
        <v>30</v>
      </c>
      <c r="R22" s="21">
        <v>35.799999999999997</v>
      </c>
      <c r="S22" s="22" t="s">
        <v>20</v>
      </c>
      <c r="T22" s="32">
        <v>22</v>
      </c>
      <c r="U22" s="34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14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7" ht="29.25" customHeight="1" x14ac:dyDescent="0.25">
      <c r="A1" s="564" t="s">
        <v>0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</row>
    <row r="2" spans="1:37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07"/>
      <c r="N2" s="107"/>
      <c r="O2" s="107"/>
      <c r="P2" s="107"/>
      <c r="Q2" s="555" t="s">
        <v>4</v>
      </c>
      <c r="R2" s="555"/>
      <c r="S2" s="558" t="s">
        <v>5</v>
      </c>
      <c r="T2" s="558"/>
      <c r="U2" s="108" t="s">
        <v>6</v>
      </c>
    </row>
    <row r="3" spans="1:37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80" t="s">
        <v>63</v>
      </c>
      <c r="J3" s="81"/>
      <c r="K3" s="80" t="s">
        <v>64</v>
      </c>
      <c r="L3" s="81"/>
      <c r="M3" s="562" t="s">
        <v>10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08"/>
    </row>
    <row r="4" spans="1:37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555"/>
      <c r="R4" s="556"/>
      <c r="S4" s="555"/>
      <c r="T4" s="560"/>
      <c r="U4" s="108"/>
    </row>
    <row r="5" spans="1:37" ht="86.4" x14ac:dyDescent="0.25">
      <c r="A5" s="10" t="s">
        <v>120</v>
      </c>
      <c r="B5" s="10" t="s">
        <v>121</v>
      </c>
      <c r="C5" s="3" t="s">
        <v>67</v>
      </c>
      <c r="D5" s="9">
        <v>31.2</v>
      </c>
      <c r="E5" s="10" t="s">
        <v>19</v>
      </c>
      <c r="F5" s="9">
        <v>0</v>
      </c>
      <c r="G5" s="3" t="s">
        <v>71</v>
      </c>
      <c r="H5" s="9">
        <v>59.7</v>
      </c>
      <c r="I5" s="9"/>
      <c r="J5" s="9"/>
      <c r="K5" s="10" t="s">
        <v>19</v>
      </c>
      <c r="L5" s="9">
        <v>0</v>
      </c>
      <c r="M5" s="9"/>
      <c r="N5" s="9"/>
      <c r="O5" s="8" t="s">
        <v>20</v>
      </c>
      <c r="P5" s="9">
        <v>90.9</v>
      </c>
      <c r="Q5" s="3" t="s">
        <v>21</v>
      </c>
      <c r="R5" s="9">
        <v>45.9</v>
      </c>
      <c r="S5" s="8" t="s">
        <v>20</v>
      </c>
      <c r="T5" s="9">
        <v>24.9</v>
      </c>
      <c r="U5" s="3" t="s">
        <v>68</v>
      </c>
      <c r="AK5" s="95"/>
    </row>
    <row r="6" spans="1:37" ht="86.4" x14ac:dyDescent="0.25">
      <c r="A6" s="10" t="s">
        <v>122</v>
      </c>
      <c r="B6" s="8" t="s">
        <v>123</v>
      </c>
      <c r="C6" s="3" t="s">
        <v>67</v>
      </c>
      <c r="D6" s="9">
        <v>64.900000000000006</v>
      </c>
      <c r="E6" s="10" t="s">
        <v>19</v>
      </c>
      <c r="F6" s="9">
        <v>0</v>
      </c>
      <c r="G6" s="3" t="s">
        <v>71</v>
      </c>
      <c r="H6" s="9">
        <v>88.7</v>
      </c>
      <c r="I6" s="9"/>
      <c r="J6" s="9"/>
      <c r="K6" s="3" t="s">
        <v>71</v>
      </c>
      <c r="L6" s="9">
        <v>23.7</v>
      </c>
      <c r="M6" s="9"/>
      <c r="N6" s="9"/>
      <c r="O6" s="8" t="s">
        <v>20</v>
      </c>
      <c r="P6" s="9">
        <v>177.2</v>
      </c>
      <c r="Q6" s="3" t="s">
        <v>21</v>
      </c>
      <c r="R6" s="9">
        <v>180.7</v>
      </c>
      <c r="S6" s="8" t="s">
        <v>20</v>
      </c>
      <c r="T6" s="9">
        <v>38.299999999999997</v>
      </c>
      <c r="U6" s="3" t="s">
        <v>68</v>
      </c>
      <c r="AK6" s="95"/>
    </row>
    <row r="7" spans="1:37" ht="86.4" x14ac:dyDescent="0.25">
      <c r="A7" s="10" t="s">
        <v>124</v>
      </c>
      <c r="B7" s="10" t="s">
        <v>32</v>
      </c>
      <c r="C7" s="3" t="s">
        <v>67</v>
      </c>
      <c r="D7" s="9">
        <v>130.19999999999999</v>
      </c>
      <c r="E7" s="10" t="s">
        <v>19</v>
      </c>
      <c r="F7" s="9">
        <v>0</v>
      </c>
      <c r="G7" s="3" t="s">
        <v>71</v>
      </c>
      <c r="H7" s="9">
        <v>128.19999999999999</v>
      </c>
      <c r="I7" s="9"/>
      <c r="J7" s="9"/>
      <c r="K7" s="3" t="s">
        <v>71</v>
      </c>
      <c r="L7" s="9">
        <v>4.5999999999999996</v>
      </c>
      <c r="M7" s="9"/>
      <c r="N7" s="9"/>
      <c r="O7" s="8" t="s">
        <v>20</v>
      </c>
      <c r="P7" s="9">
        <v>263.10000000000002</v>
      </c>
      <c r="Q7" s="3" t="s">
        <v>21</v>
      </c>
      <c r="R7" s="9">
        <v>113</v>
      </c>
      <c r="S7" s="8" t="s">
        <v>20</v>
      </c>
      <c r="T7" s="9">
        <v>51.4</v>
      </c>
      <c r="U7" s="3" t="s">
        <v>68</v>
      </c>
      <c r="AK7" s="95"/>
    </row>
    <row r="8" spans="1:37" ht="129.6" x14ac:dyDescent="0.25">
      <c r="A8" s="10" t="s">
        <v>125</v>
      </c>
      <c r="B8" s="8" t="s">
        <v>126</v>
      </c>
      <c r="C8" s="3" t="s">
        <v>67</v>
      </c>
      <c r="D8" s="9">
        <v>73.900000000000006</v>
      </c>
      <c r="E8" s="3" t="s">
        <v>71</v>
      </c>
      <c r="F8" s="9">
        <v>36.799999999999997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9"/>
      <c r="N8" s="9"/>
      <c r="O8" s="8" t="s">
        <v>20</v>
      </c>
      <c r="P8" s="9">
        <v>110.6</v>
      </c>
      <c r="Q8" s="3" t="s">
        <v>21</v>
      </c>
      <c r="R8" s="9">
        <v>14.4</v>
      </c>
      <c r="S8" s="8" t="s">
        <v>20</v>
      </c>
      <c r="T8" s="9">
        <v>26.9</v>
      </c>
      <c r="U8" s="3" t="s">
        <v>68</v>
      </c>
      <c r="AK8" s="95"/>
    </row>
    <row r="9" spans="1:37" ht="86.4" x14ac:dyDescent="0.25">
      <c r="A9" s="10" t="s">
        <v>127</v>
      </c>
      <c r="B9" s="8" t="s">
        <v>128</v>
      </c>
      <c r="C9" s="3" t="s">
        <v>67</v>
      </c>
      <c r="D9" s="9">
        <v>82.3</v>
      </c>
      <c r="E9" s="10" t="s">
        <v>19</v>
      </c>
      <c r="F9" s="9">
        <v>0</v>
      </c>
      <c r="G9" s="10" t="s">
        <v>19</v>
      </c>
      <c r="H9" s="9">
        <v>0</v>
      </c>
      <c r="I9" s="9"/>
      <c r="J9" s="9"/>
      <c r="K9" s="10" t="s">
        <v>19</v>
      </c>
      <c r="L9" s="9">
        <v>0</v>
      </c>
      <c r="M9" s="9"/>
      <c r="N9" s="9"/>
      <c r="O9" s="8" t="s">
        <v>20</v>
      </c>
      <c r="P9" s="9">
        <v>82.3</v>
      </c>
      <c r="Q9" s="3" t="s">
        <v>21</v>
      </c>
      <c r="R9" s="9">
        <v>17.899999999999999</v>
      </c>
      <c r="S9" s="8" t="s">
        <v>20</v>
      </c>
      <c r="T9" s="9">
        <v>20</v>
      </c>
      <c r="U9" s="3" t="s">
        <v>68</v>
      </c>
      <c r="AK9" s="95"/>
    </row>
    <row r="10" spans="1:37" ht="86.4" x14ac:dyDescent="0.25">
      <c r="A10" s="10" t="s">
        <v>129</v>
      </c>
      <c r="B10" s="8" t="s">
        <v>130</v>
      </c>
      <c r="C10" s="3" t="s">
        <v>67</v>
      </c>
      <c r="D10" s="9">
        <v>78.400000000000006</v>
      </c>
      <c r="E10" s="10" t="s">
        <v>19</v>
      </c>
      <c r="F10" s="9">
        <v>0</v>
      </c>
      <c r="G10" s="10" t="s">
        <v>19</v>
      </c>
      <c r="H10" s="9">
        <v>0</v>
      </c>
      <c r="I10" s="9"/>
      <c r="J10" s="9"/>
      <c r="K10" s="10" t="s">
        <v>19</v>
      </c>
      <c r="L10" s="9">
        <v>0</v>
      </c>
      <c r="M10" s="9"/>
      <c r="N10" s="9"/>
      <c r="O10" s="8" t="s">
        <v>20</v>
      </c>
      <c r="P10" s="9">
        <v>78.400000000000006</v>
      </c>
      <c r="Q10" s="3" t="s">
        <v>21</v>
      </c>
      <c r="R10" s="9">
        <v>15.5</v>
      </c>
      <c r="S10" s="8" t="s">
        <v>20</v>
      </c>
      <c r="T10" s="9">
        <v>18.8</v>
      </c>
      <c r="U10" s="3" t="s">
        <v>68</v>
      </c>
      <c r="AK10" s="95"/>
    </row>
    <row r="11" spans="1:37" ht="86.4" x14ac:dyDescent="0.25">
      <c r="A11" s="10" t="s">
        <v>131</v>
      </c>
      <c r="B11" s="8" t="s">
        <v>132</v>
      </c>
      <c r="C11" s="3" t="s">
        <v>67</v>
      </c>
      <c r="D11" s="9">
        <v>82.6</v>
      </c>
      <c r="E11" s="10" t="s">
        <v>19</v>
      </c>
      <c r="F11" s="9">
        <v>0</v>
      </c>
      <c r="G11" s="10" t="s">
        <v>19</v>
      </c>
      <c r="H11" s="9">
        <v>0</v>
      </c>
      <c r="I11" s="9"/>
      <c r="J11" s="9"/>
      <c r="K11" s="3" t="s">
        <v>71</v>
      </c>
      <c r="L11" s="9">
        <v>13.7</v>
      </c>
      <c r="M11" s="9"/>
      <c r="N11" s="9"/>
      <c r="O11" s="8" t="s">
        <v>20</v>
      </c>
      <c r="P11" s="9">
        <v>96.3</v>
      </c>
      <c r="Q11" s="3" t="s">
        <v>21</v>
      </c>
      <c r="R11" s="9">
        <v>23.4</v>
      </c>
      <c r="S11" s="8" t="s">
        <v>20</v>
      </c>
      <c r="T11" s="9">
        <v>23.1</v>
      </c>
      <c r="U11" s="3" t="s">
        <v>68</v>
      </c>
      <c r="AK11" s="95"/>
    </row>
    <row r="12" spans="1:37" ht="86.4" x14ac:dyDescent="0.25">
      <c r="A12" s="10" t="s">
        <v>133</v>
      </c>
      <c r="B12" s="8" t="s">
        <v>134</v>
      </c>
      <c r="C12" s="3" t="s">
        <v>67</v>
      </c>
      <c r="D12" s="9">
        <v>32.799999999999997</v>
      </c>
      <c r="E12" s="10" t="s">
        <v>19</v>
      </c>
      <c r="F12" s="9">
        <v>0</v>
      </c>
      <c r="G12" s="3" t="s">
        <v>71</v>
      </c>
      <c r="H12" s="9">
        <v>22</v>
      </c>
      <c r="I12" s="9"/>
      <c r="J12" s="9"/>
      <c r="K12" s="10" t="s">
        <v>19</v>
      </c>
      <c r="L12" s="9">
        <v>0</v>
      </c>
      <c r="M12" s="9"/>
      <c r="N12" s="9"/>
      <c r="O12" s="8" t="s">
        <v>20</v>
      </c>
      <c r="P12" s="9">
        <v>54.8</v>
      </c>
      <c r="Q12" s="3" t="s">
        <v>21</v>
      </c>
      <c r="R12" s="9">
        <v>25.9</v>
      </c>
      <c r="S12" s="8" t="s">
        <v>20</v>
      </c>
      <c r="T12" s="9">
        <v>15.2</v>
      </c>
      <c r="U12" s="3" t="s">
        <v>68</v>
      </c>
      <c r="AK12" s="95"/>
    </row>
    <row r="13" spans="1:37" ht="86.4" x14ac:dyDescent="0.25">
      <c r="A13" s="17" t="s">
        <v>135</v>
      </c>
      <c r="B13" s="17" t="s">
        <v>136</v>
      </c>
      <c r="C13" s="1" t="s">
        <v>94</v>
      </c>
      <c r="D13" s="21">
        <v>11</v>
      </c>
      <c r="E13" s="17" t="s">
        <v>19</v>
      </c>
      <c r="F13" s="21">
        <v>0</v>
      </c>
      <c r="G13" s="17" t="s">
        <v>19</v>
      </c>
      <c r="H13" s="21">
        <v>0</v>
      </c>
      <c r="I13" s="85"/>
      <c r="J13" s="85"/>
      <c r="K13" s="1" t="s">
        <v>74</v>
      </c>
      <c r="L13" s="21">
        <v>38.9</v>
      </c>
      <c r="M13" s="85"/>
      <c r="N13" s="85"/>
      <c r="O13" s="22" t="s">
        <v>20</v>
      </c>
      <c r="P13" s="19">
        <v>49.9</v>
      </c>
      <c r="Q13" s="1" t="s">
        <v>21</v>
      </c>
      <c r="R13" s="21">
        <v>11.8</v>
      </c>
      <c r="S13" s="22" t="s">
        <v>20</v>
      </c>
      <c r="T13" s="21">
        <v>12.2</v>
      </c>
      <c r="U13" s="1" t="s">
        <v>68</v>
      </c>
      <c r="AK13" s="95"/>
    </row>
    <row r="14" spans="1:37" ht="86.4" x14ac:dyDescent="0.25">
      <c r="A14" s="17" t="s">
        <v>137</v>
      </c>
      <c r="B14" s="22" t="s">
        <v>138</v>
      </c>
      <c r="C14" s="1" t="s">
        <v>67</v>
      </c>
      <c r="D14" s="19">
        <v>116.4</v>
      </c>
      <c r="E14" s="17" t="s">
        <v>19</v>
      </c>
      <c r="F14" s="21">
        <v>0</v>
      </c>
      <c r="G14" s="1" t="s">
        <v>71</v>
      </c>
      <c r="H14" s="21">
        <v>87.3</v>
      </c>
      <c r="I14" s="85"/>
      <c r="J14" s="85"/>
      <c r="K14" s="1" t="s">
        <v>71</v>
      </c>
      <c r="L14" s="21">
        <v>22.5</v>
      </c>
      <c r="M14" s="85"/>
      <c r="N14" s="85"/>
      <c r="O14" s="22" t="s">
        <v>20</v>
      </c>
      <c r="P14" s="19">
        <v>226.1</v>
      </c>
      <c r="Q14" s="1" t="s">
        <v>21</v>
      </c>
      <c r="R14" s="19">
        <v>170.4</v>
      </c>
      <c r="S14" s="22" t="s">
        <v>20</v>
      </c>
      <c r="T14" s="21">
        <v>62.7</v>
      </c>
      <c r="U14" s="1" t="s">
        <v>68</v>
      </c>
      <c r="AK14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W14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  <col min="22" max="22" width="6.6640625" customWidth="1"/>
    <col min="23" max="23" width="9.77734375" customWidth="1"/>
    <col min="24" max="24" width="6.6640625" customWidth="1"/>
    <col min="25" max="25" width="46" customWidth="1"/>
    <col min="26" max="26" width="10" customWidth="1"/>
    <col min="27" max="27" width="6.6640625" customWidth="1"/>
    <col min="28" max="28" width="2.77734375" customWidth="1"/>
    <col min="29" max="29" width="13.109375" customWidth="1"/>
  </cols>
  <sheetData>
    <row r="1" spans="1:49" ht="24.75" customHeight="1" x14ac:dyDescent="0.25">
      <c r="A1" s="564" t="s">
        <v>0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</row>
    <row r="2" spans="1:49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07"/>
      <c r="N2" s="107"/>
      <c r="O2" s="107"/>
      <c r="P2" s="107"/>
      <c r="Q2" s="555" t="s">
        <v>4</v>
      </c>
      <c r="R2" s="555"/>
      <c r="S2" s="558" t="s">
        <v>5</v>
      </c>
      <c r="T2" s="558"/>
      <c r="U2" s="108" t="s">
        <v>6</v>
      </c>
    </row>
    <row r="3" spans="1:49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80" t="s">
        <v>63</v>
      </c>
      <c r="J3" s="81"/>
      <c r="K3" s="80" t="s">
        <v>64</v>
      </c>
      <c r="L3" s="81"/>
      <c r="M3" s="566" t="s">
        <v>358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08"/>
    </row>
    <row r="4" spans="1:49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555"/>
      <c r="R4" s="556"/>
      <c r="S4" s="555"/>
      <c r="T4" s="560"/>
      <c r="U4" s="108"/>
    </row>
    <row r="5" spans="1:49" ht="86.4" x14ac:dyDescent="0.25">
      <c r="A5" s="7" t="s">
        <v>140</v>
      </c>
      <c r="B5" s="8" t="s">
        <v>141</v>
      </c>
      <c r="C5" s="3" t="s">
        <v>94</v>
      </c>
      <c r="D5" s="9">
        <v>20.5</v>
      </c>
      <c r="E5" s="10" t="s">
        <v>19</v>
      </c>
      <c r="F5" s="9">
        <v>0</v>
      </c>
      <c r="G5" s="3" t="s">
        <v>74</v>
      </c>
      <c r="H5" s="9">
        <v>102.4</v>
      </c>
      <c r="I5" s="9"/>
      <c r="J5" s="9"/>
      <c r="K5" s="3" t="s">
        <v>74</v>
      </c>
      <c r="L5" s="9">
        <v>2</v>
      </c>
      <c r="M5" s="9"/>
      <c r="N5" s="9"/>
      <c r="O5" s="8" t="s">
        <v>20</v>
      </c>
      <c r="P5" s="9">
        <v>125</v>
      </c>
      <c r="Q5" s="3" t="s">
        <v>21</v>
      </c>
      <c r="R5" s="9">
        <v>36.4</v>
      </c>
      <c r="S5" s="8" t="s">
        <v>20</v>
      </c>
      <c r="T5" s="9">
        <v>32.200000000000003</v>
      </c>
      <c r="U5" s="3" t="s">
        <v>68</v>
      </c>
      <c r="V5" s="54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6"/>
      <c r="AW5" s="95"/>
    </row>
    <row r="6" spans="1:49" ht="144" x14ac:dyDescent="0.25">
      <c r="A6" s="7" t="s">
        <v>142</v>
      </c>
      <c r="B6" s="8" t="s">
        <v>143</v>
      </c>
      <c r="C6" s="3" t="s">
        <v>94</v>
      </c>
      <c r="D6" s="9">
        <v>5</v>
      </c>
      <c r="E6" s="3" t="s">
        <v>74</v>
      </c>
      <c r="F6" s="9">
        <v>1.4</v>
      </c>
      <c r="G6" s="3" t="s">
        <v>74</v>
      </c>
      <c r="H6" s="9">
        <v>22.3</v>
      </c>
      <c r="I6" s="9"/>
      <c r="J6" s="9"/>
      <c r="K6" s="3" t="s">
        <v>74</v>
      </c>
      <c r="L6" s="9">
        <v>27.9</v>
      </c>
      <c r="M6" s="9"/>
      <c r="N6" s="9"/>
      <c r="O6" s="8" t="s">
        <v>20</v>
      </c>
      <c r="P6" s="9">
        <v>56.7</v>
      </c>
      <c r="Q6" s="3" t="s">
        <v>21</v>
      </c>
      <c r="R6" s="9">
        <v>15</v>
      </c>
      <c r="S6" s="8" t="s">
        <v>20</v>
      </c>
      <c r="T6" s="9">
        <v>12.6</v>
      </c>
      <c r="U6" s="3" t="s">
        <v>68</v>
      </c>
      <c r="V6" s="54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6"/>
      <c r="AW6" s="95"/>
    </row>
    <row r="7" spans="1:49" ht="144" x14ac:dyDescent="0.25">
      <c r="A7" s="7" t="s">
        <v>144</v>
      </c>
      <c r="B7" s="8" t="s">
        <v>145</v>
      </c>
      <c r="C7" s="3" t="s">
        <v>94</v>
      </c>
      <c r="D7" s="9">
        <v>53.6</v>
      </c>
      <c r="E7" s="3" t="s">
        <v>74</v>
      </c>
      <c r="F7" s="9">
        <v>5.5</v>
      </c>
      <c r="G7" s="3" t="s">
        <v>74</v>
      </c>
      <c r="H7" s="9">
        <v>62.9</v>
      </c>
      <c r="I7" s="9"/>
      <c r="J7" s="9"/>
      <c r="K7" s="3" t="s">
        <v>74</v>
      </c>
      <c r="L7" s="9">
        <v>69.3</v>
      </c>
      <c r="M7" s="9"/>
      <c r="N7" s="9"/>
      <c r="O7" s="8" t="s">
        <v>20</v>
      </c>
      <c r="P7" s="9">
        <v>191.3</v>
      </c>
      <c r="Q7" s="3" t="s">
        <v>21</v>
      </c>
      <c r="R7" s="9">
        <v>89.2</v>
      </c>
      <c r="S7" s="8" t="s">
        <v>20</v>
      </c>
      <c r="T7" s="9">
        <v>44</v>
      </c>
      <c r="U7" s="3" t="s">
        <v>68</v>
      </c>
      <c r="V7" s="54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6"/>
      <c r="AW7" s="95"/>
    </row>
    <row r="8" spans="1:49" ht="86.4" x14ac:dyDescent="0.25">
      <c r="A8" s="7" t="s">
        <v>146</v>
      </c>
      <c r="B8" s="8" t="s">
        <v>147</v>
      </c>
      <c r="C8" s="3" t="s">
        <v>94</v>
      </c>
      <c r="D8" s="9">
        <v>6.7</v>
      </c>
      <c r="E8" s="10" t="s">
        <v>19</v>
      </c>
      <c r="F8" s="9">
        <v>0</v>
      </c>
      <c r="G8" s="10" t="s">
        <v>19</v>
      </c>
      <c r="H8" s="9">
        <v>0</v>
      </c>
      <c r="I8" s="9"/>
      <c r="J8" s="9"/>
      <c r="K8" s="3" t="s">
        <v>74</v>
      </c>
      <c r="L8" s="9">
        <v>61.5</v>
      </c>
      <c r="M8" s="9"/>
      <c r="N8" s="9"/>
      <c r="O8" s="8" t="s">
        <v>20</v>
      </c>
      <c r="P8" s="9">
        <v>68.2</v>
      </c>
      <c r="Q8" s="3" t="s">
        <v>21</v>
      </c>
      <c r="R8" s="9">
        <v>13.6</v>
      </c>
      <c r="S8" s="8" t="s">
        <v>20</v>
      </c>
      <c r="T8" s="9">
        <v>16.2</v>
      </c>
      <c r="U8" s="3" t="s">
        <v>68</v>
      </c>
      <c r="V8" s="54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6"/>
      <c r="AW8" s="95"/>
    </row>
    <row r="9" spans="1:49" ht="86.4" x14ac:dyDescent="0.25">
      <c r="A9" s="7" t="s">
        <v>148</v>
      </c>
      <c r="B9" s="8" t="s">
        <v>149</v>
      </c>
      <c r="C9" s="3" t="s">
        <v>94</v>
      </c>
      <c r="D9" s="9">
        <v>5.2</v>
      </c>
      <c r="E9" s="10" t="s">
        <v>19</v>
      </c>
      <c r="F9" s="9">
        <v>0</v>
      </c>
      <c r="G9" s="10" t="s">
        <v>19</v>
      </c>
      <c r="H9" s="9">
        <v>0</v>
      </c>
      <c r="I9" s="9"/>
      <c r="J9" s="9"/>
      <c r="K9" s="3" t="s">
        <v>74</v>
      </c>
      <c r="L9" s="9">
        <v>51.6</v>
      </c>
      <c r="M9" s="9"/>
      <c r="N9" s="9"/>
      <c r="O9" s="8" t="s">
        <v>20</v>
      </c>
      <c r="P9" s="9">
        <v>56.8</v>
      </c>
      <c r="Q9" s="3" t="s">
        <v>21</v>
      </c>
      <c r="R9" s="9">
        <v>12.1</v>
      </c>
      <c r="S9" s="8" t="s">
        <v>20</v>
      </c>
      <c r="T9" s="9">
        <v>14.2</v>
      </c>
      <c r="U9" s="3" t="s">
        <v>68</v>
      </c>
      <c r="V9" s="54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6"/>
      <c r="AW9" s="95"/>
    </row>
    <row r="10" spans="1:49" ht="86.4" x14ac:dyDescent="0.25">
      <c r="A10" s="7" t="s">
        <v>150</v>
      </c>
      <c r="B10" s="8" t="s">
        <v>151</v>
      </c>
      <c r="C10" s="3" t="s">
        <v>94</v>
      </c>
      <c r="D10" s="9">
        <v>11.2</v>
      </c>
      <c r="E10" s="10" t="s">
        <v>19</v>
      </c>
      <c r="F10" s="9">
        <v>0</v>
      </c>
      <c r="G10" s="10" t="s">
        <v>19</v>
      </c>
      <c r="H10" s="9">
        <v>0</v>
      </c>
      <c r="I10" s="9"/>
      <c r="J10" s="9"/>
      <c r="K10" s="3" t="s">
        <v>74</v>
      </c>
      <c r="L10" s="9">
        <v>86.5</v>
      </c>
      <c r="M10" s="9"/>
      <c r="N10" s="9"/>
      <c r="O10" s="8" t="s">
        <v>20</v>
      </c>
      <c r="P10" s="9">
        <v>97.6</v>
      </c>
      <c r="Q10" s="3" t="s">
        <v>21</v>
      </c>
      <c r="R10" s="9">
        <v>29.7</v>
      </c>
      <c r="S10" s="8" t="s">
        <v>20</v>
      </c>
      <c r="T10" s="9">
        <v>23.8</v>
      </c>
      <c r="U10" s="3" t="s">
        <v>68</v>
      </c>
      <c r="V10" s="54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6"/>
      <c r="AW10" s="95"/>
    </row>
    <row r="11" spans="1:49" ht="86.4" x14ac:dyDescent="0.25">
      <c r="A11" s="7" t="s">
        <v>152</v>
      </c>
      <c r="B11" s="8" t="s">
        <v>153</v>
      </c>
      <c r="C11" s="3" t="s">
        <v>94</v>
      </c>
      <c r="D11" s="9">
        <v>2</v>
      </c>
      <c r="E11" s="10" t="s">
        <v>19</v>
      </c>
      <c r="F11" s="9">
        <v>0</v>
      </c>
      <c r="G11" s="10" t="s">
        <v>19</v>
      </c>
      <c r="H11" s="9">
        <v>0</v>
      </c>
      <c r="I11" s="9"/>
      <c r="J11" s="9"/>
      <c r="K11" s="3" t="s">
        <v>74</v>
      </c>
      <c r="L11" s="9">
        <v>52.8</v>
      </c>
      <c r="M11" s="9"/>
      <c r="N11" s="9"/>
      <c r="O11" s="8" t="s">
        <v>20</v>
      </c>
      <c r="P11" s="9">
        <v>54.8</v>
      </c>
      <c r="Q11" s="3" t="s">
        <v>21</v>
      </c>
      <c r="R11" s="9">
        <v>10.8</v>
      </c>
      <c r="S11" s="8" t="s">
        <v>20</v>
      </c>
      <c r="T11" s="9">
        <v>13.4</v>
      </c>
      <c r="U11" s="3" t="s">
        <v>68</v>
      </c>
      <c r="V11" s="54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6"/>
      <c r="AW11" s="95"/>
    </row>
    <row r="12" spans="1:49" ht="86.4" x14ac:dyDescent="0.25">
      <c r="A12" s="17" t="s">
        <v>154</v>
      </c>
      <c r="B12" s="22" t="s">
        <v>155</v>
      </c>
      <c r="C12" s="1" t="s">
        <v>94</v>
      </c>
      <c r="D12" s="21">
        <v>6.5</v>
      </c>
      <c r="E12" s="17" t="s">
        <v>19</v>
      </c>
      <c r="F12" s="21">
        <v>0</v>
      </c>
      <c r="G12" s="17" t="s">
        <v>19</v>
      </c>
      <c r="H12" s="21">
        <v>0</v>
      </c>
      <c r="I12" s="85"/>
      <c r="J12" s="85"/>
      <c r="K12" s="1" t="s">
        <v>74</v>
      </c>
      <c r="L12" s="19">
        <v>48.2</v>
      </c>
      <c r="M12" s="84"/>
      <c r="N12" s="84"/>
      <c r="O12" s="22" t="s">
        <v>20</v>
      </c>
      <c r="P12" s="19">
        <v>54.7</v>
      </c>
      <c r="Q12" s="1" t="s">
        <v>21</v>
      </c>
      <c r="R12" s="21">
        <v>9.3000000000000007</v>
      </c>
      <c r="S12" s="22" t="s">
        <v>20</v>
      </c>
      <c r="T12" s="21">
        <v>13.5</v>
      </c>
      <c r="U12" s="1" t="s">
        <v>68</v>
      </c>
      <c r="V12" s="54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6"/>
      <c r="AW12" s="95"/>
    </row>
    <row r="13" spans="1:49" ht="86.4" x14ac:dyDescent="0.25">
      <c r="A13" s="17" t="s">
        <v>156</v>
      </c>
      <c r="B13" s="22" t="s">
        <v>157</v>
      </c>
      <c r="C13" s="17" t="s">
        <v>19</v>
      </c>
      <c r="D13" s="21">
        <v>0</v>
      </c>
      <c r="E13" s="17" t="s">
        <v>19</v>
      </c>
      <c r="F13" s="21">
        <v>0</v>
      </c>
      <c r="G13" s="17" t="s">
        <v>19</v>
      </c>
      <c r="H13" s="21">
        <v>0</v>
      </c>
      <c r="I13" s="85"/>
      <c r="J13" s="85"/>
      <c r="K13" s="1" t="s">
        <v>74</v>
      </c>
      <c r="L13" s="19">
        <v>54.7</v>
      </c>
      <c r="M13" s="84"/>
      <c r="N13" s="84"/>
      <c r="O13" s="22" t="s">
        <v>20</v>
      </c>
      <c r="P13" s="19">
        <v>54.7</v>
      </c>
      <c r="Q13" s="1" t="s">
        <v>21</v>
      </c>
      <c r="R13" s="21">
        <v>9.6999999999999993</v>
      </c>
      <c r="S13" s="22" t="s">
        <v>20</v>
      </c>
      <c r="T13" s="21">
        <v>13.1</v>
      </c>
      <c r="U13" s="1" t="s">
        <v>68</v>
      </c>
      <c r="V13" s="54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6"/>
      <c r="AW13" s="95"/>
    </row>
    <row r="14" spans="1:49" ht="86.4" x14ac:dyDescent="0.25">
      <c r="A14" s="17" t="s">
        <v>158</v>
      </c>
      <c r="B14" s="17" t="s">
        <v>159</v>
      </c>
      <c r="C14" s="1" t="s">
        <v>67</v>
      </c>
      <c r="D14" s="21">
        <v>10.6</v>
      </c>
      <c r="E14" s="17" t="s">
        <v>19</v>
      </c>
      <c r="F14" s="21">
        <v>0</v>
      </c>
      <c r="G14" s="1" t="s">
        <v>71</v>
      </c>
      <c r="H14" s="21">
        <v>8.5</v>
      </c>
      <c r="I14" s="85"/>
      <c r="J14" s="85"/>
      <c r="K14" s="1" t="s">
        <v>71</v>
      </c>
      <c r="L14" s="21">
        <v>22.5</v>
      </c>
      <c r="M14" s="85"/>
      <c r="N14" s="85"/>
      <c r="O14" s="22" t="s">
        <v>20</v>
      </c>
      <c r="P14" s="21">
        <v>41.6</v>
      </c>
      <c r="Q14" s="1" t="s">
        <v>21</v>
      </c>
      <c r="R14" s="21">
        <v>7.7</v>
      </c>
      <c r="S14" s="22" t="s">
        <v>20</v>
      </c>
      <c r="T14" s="21">
        <v>9.8000000000000007</v>
      </c>
      <c r="U14" s="1" t="s">
        <v>68</v>
      </c>
      <c r="V14" s="47"/>
      <c r="W14" s="48"/>
      <c r="X14" s="48"/>
      <c r="Y14" s="48"/>
      <c r="Z14" s="48"/>
      <c r="AA14" s="48"/>
      <c r="AB14" s="48"/>
      <c r="AC14" s="48"/>
      <c r="AD14" s="48"/>
      <c r="AE14" s="49"/>
      <c r="AF14" s="34" t="s">
        <v>139</v>
      </c>
      <c r="AG14" s="35"/>
      <c r="AW14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14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7" ht="29.25" customHeight="1" x14ac:dyDescent="0.25">
      <c r="A1" s="564" t="s">
        <v>0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</row>
    <row r="2" spans="1:27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07"/>
      <c r="N2" s="107"/>
      <c r="O2" s="107"/>
      <c r="P2" s="107"/>
      <c r="Q2" s="555" t="s">
        <v>4</v>
      </c>
      <c r="R2" s="555"/>
      <c r="S2" s="558" t="s">
        <v>5</v>
      </c>
      <c r="T2" s="558"/>
      <c r="U2" s="108" t="s">
        <v>6</v>
      </c>
    </row>
    <row r="3" spans="1:27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80" t="s">
        <v>63</v>
      </c>
      <c r="J3" s="81"/>
      <c r="K3" s="80" t="s">
        <v>64</v>
      </c>
      <c r="L3" s="81"/>
      <c r="M3" s="566" t="s">
        <v>358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08"/>
    </row>
    <row r="4" spans="1:27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555"/>
      <c r="R4" s="556"/>
      <c r="S4" s="555"/>
      <c r="T4" s="560"/>
      <c r="U4" s="108"/>
    </row>
    <row r="5" spans="1:27" ht="86.4" x14ac:dyDescent="0.25">
      <c r="A5" s="10" t="s">
        <v>160</v>
      </c>
      <c r="B5" s="8" t="s">
        <v>98</v>
      </c>
      <c r="C5" s="3" t="s">
        <v>94</v>
      </c>
      <c r="D5" s="9">
        <v>11.7</v>
      </c>
      <c r="E5" s="10" t="s">
        <v>19</v>
      </c>
      <c r="F5" s="9">
        <v>0</v>
      </c>
      <c r="G5" s="10" t="s">
        <v>19</v>
      </c>
      <c r="H5" s="9">
        <v>0</v>
      </c>
      <c r="I5" s="9"/>
      <c r="J5" s="9"/>
      <c r="K5" s="3" t="s">
        <v>74</v>
      </c>
      <c r="L5" s="9">
        <v>18.8</v>
      </c>
      <c r="M5" s="10" t="s">
        <v>19</v>
      </c>
      <c r="N5" s="9">
        <v>0</v>
      </c>
      <c r="O5" s="8" t="s">
        <v>20</v>
      </c>
      <c r="P5" s="9">
        <v>30.5</v>
      </c>
      <c r="Q5" s="3" t="s">
        <v>21</v>
      </c>
      <c r="R5" s="9">
        <v>3.3</v>
      </c>
      <c r="S5" s="8" t="s">
        <v>20</v>
      </c>
      <c r="T5" s="9">
        <v>7.2</v>
      </c>
      <c r="U5" s="3" t="s">
        <v>68</v>
      </c>
      <c r="AA5" s="95"/>
    </row>
    <row r="6" spans="1:27" ht="86.4" x14ac:dyDescent="0.25">
      <c r="A6" s="10" t="s">
        <v>161</v>
      </c>
      <c r="B6" s="8" t="s">
        <v>162</v>
      </c>
      <c r="C6" s="3" t="s">
        <v>94</v>
      </c>
      <c r="D6" s="9">
        <v>26.2</v>
      </c>
      <c r="E6" s="10" t="s">
        <v>19</v>
      </c>
      <c r="F6" s="9">
        <v>0</v>
      </c>
      <c r="G6" s="10" t="s">
        <v>19</v>
      </c>
      <c r="H6" s="9">
        <v>0</v>
      </c>
      <c r="I6" s="9"/>
      <c r="J6" s="9"/>
      <c r="K6" s="3" t="s">
        <v>74</v>
      </c>
      <c r="L6" s="9">
        <v>23.8</v>
      </c>
      <c r="M6" s="10" t="s">
        <v>19</v>
      </c>
      <c r="N6" s="9">
        <v>0</v>
      </c>
      <c r="O6" s="8" t="s">
        <v>20</v>
      </c>
      <c r="P6" s="9">
        <v>50</v>
      </c>
      <c r="Q6" s="3" t="s">
        <v>21</v>
      </c>
      <c r="R6" s="9">
        <v>8.6999999999999993</v>
      </c>
      <c r="S6" s="8" t="s">
        <v>20</v>
      </c>
      <c r="T6" s="9">
        <v>11.9</v>
      </c>
      <c r="U6" s="3" t="s">
        <v>68</v>
      </c>
      <c r="AA6" s="95"/>
    </row>
    <row r="7" spans="1:27" ht="86.4" x14ac:dyDescent="0.25">
      <c r="A7" s="10" t="s">
        <v>163</v>
      </c>
      <c r="B7" s="10" t="s">
        <v>164</v>
      </c>
      <c r="C7" s="10" t="s">
        <v>19</v>
      </c>
      <c r="D7" s="9">
        <v>0</v>
      </c>
      <c r="E7" s="10" t="s">
        <v>19</v>
      </c>
      <c r="F7" s="9">
        <v>0</v>
      </c>
      <c r="G7" s="10" t="s">
        <v>19</v>
      </c>
      <c r="H7" s="9">
        <v>0</v>
      </c>
      <c r="I7" s="9"/>
      <c r="J7" s="9"/>
      <c r="K7" s="10" t="s">
        <v>19</v>
      </c>
      <c r="L7" s="9">
        <v>0</v>
      </c>
      <c r="M7" s="3" t="s">
        <v>165</v>
      </c>
      <c r="N7" s="9">
        <v>42.1</v>
      </c>
      <c r="O7" s="8" t="s">
        <v>20</v>
      </c>
      <c r="P7" s="9">
        <v>42.1</v>
      </c>
      <c r="Q7" s="3" t="s">
        <v>21</v>
      </c>
      <c r="R7" s="9">
        <v>8.3000000000000007</v>
      </c>
      <c r="S7" s="8" t="s">
        <v>20</v>
      </c>
      <c r="T7" s="9">
        <v>10.7</v>
      </c>
      <c r="U7" s="3" t="s">
        <v>68</v>
      </c>
      <c r="AA7" s="95"/>
    </row>
    <row r="8" spans="1:27" ht="86.4" x14ac:dyDescent="0.25">
      <c r="A8" s="10" t="s">
        <v>166</v>
      </c>
      <c r="B8" s="10" t="s">
        <v>66</v>
      </c>
      <c r="C8" s="10" t="s">
        <v>19</v>
      </c>
      <c r="D8" s="9">
        <v>0</v>
      </c>
      <c r="E8" s="10" t="s">
        <v>19</v>
      </c>
      <c r="F8" s="9">
        <v>0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3" t="s">
        <v>165</v>
      </c>
      <c r="N8" s="9">
        <v>19.7</v>
      </c>
      <c r="O8" s="8" t="s">
        <v>20</v>
      </c>
      <c r="P8" s="9">
        <v>19.7</v>
      </c>
      <c r="Q8" s="3" t="s">
        <v>21</v>
      </c>
      <c r="R8" s="9">
        <v>2.2000000000000002</v>
      </c>
      <c r="S8" s="8" t="s">
        <v>20</v>
      </c>
      <c r="T8" s="9">
        <v>5.0999999999999996</v>
      </c>
      <c r="U8" s="10" t="s">
        <v>19</v>
      </c>
      <c r="AA8" s="95"/>
    </row>
    <row r="9" spans="1:27" ht="86.4" x14ac:dyDescent="0.25">
      <c r="A9" s="10" t="s">
        <v>167</v>
      </c>
      <c r="B9" s="8" t="s">
        <v>102</v>
      </c>
      <c r="C9" s="10" t="s">
        <v>19</v>
      </c>
      <c r="D9" s="9">
        <v>0</v>
      </c>
      <c r="E9" s="10" t="s">
        <v>19</v>
      </c>
      <c r="F9" s="9">
        <v>0</v>
      </c>
      <c r="G9" s="10" t="s">
        <v>19</v>
      </c>
      <c r="H9" s="9">
        <v>0</v>
      </c>
      <c r="I9" s="9"/>
      <c r="J9" s="9"/>
      <c r="K9" s="3" t="s">
        <v>74</v>
      </c>
      <c r="L9" s="9">
        <v>26.5</v>
      </c>
      <c r="M9" s="10" t="s">
        <v>19</v>
      </c>
      <c r="N9" s="9">
        <v>0</v>
      </c>
      <c r="O9" s="8" t="s">
        <v>20</v>
      </c>
      <c r="P9" s="9">
        <v>26.5</v>
      </c>
      <c r="Q9" s="3" t="s">
        <v>21</v>
      </c>
      <c r="R9" s="9">
        <v>3.3</v>
      </c>
      <c r="S9" s="8" t="s">
        <v>20</v>
      </c>
      <c r="T9" s="9">
        <v>6.3</v>
      </c>
      <c r="U9" s="3" t="s">
        <v>68</v>
      </c>
      <c r="AA9" s="95"/>
    </row>
    <row r="10" spans="1:27" ht="86.4" x14ac:dyDescent="0.25">
      <c r="A10" s="10" t="s">
        <v>168</v>
      </c>
      <c r="B10" s="8" t="s">
        <v>169</v>
      </c>
      <c r="C10" s="3" t="s">
        <v>67</v>
      </c>
      <c r="D10" s="9">
        <v>8.3000000000000007</v>
      </c>
      <c r="E10" s="10" t="s">
        <v>19</v>
      </c>
      <c r="F10" s="9">
        <v>0</v>
      </c>
      <c r="G10" s="10" t="s">
        <v>19</v>
      </c>
      <c r="H10" s="9">
        <v>0</v>
      </c>
      <c r="I10" s="9"/>
      <c r="J10" s="9"/>
      <c r="K10" s="3" t="s">
        <v>71</v>
      </c>
      <c r="L10" s="9">
        <v>40</v>
      </c>
      <c r="M10" s="10" t="s">
        <v>19</v>
      </c>
      <c r="N10" s="9">
        <v>0</v>
      </c>
      <c r="O10" s="8" t="s">
        <v>20</v>
      </c>
      <c r="P10" s="9">
        <v>48.4</v>
      </c>
      <c r="Q10" s="3" t="s">
        <v>21</v>
      </c>
      <c r="R10" s="9">
        <v>10.199999999999999</v>
      </c>
      <c r="S10" s="8" t="s">
        <v>20</v>
      </c>
      <c r="T10" s="9">
        <v>12.8</v>
      </c>
      <c r="U10" s="3" t="s">
        <v>68</v>
      </c>
      <c r="AA10" s="95"/>
    </row>
    <row r="11" spans="1:27" ht="86.4" x14ac:dyDescent="0.25">
      <c r="A11" s="10" t="s">
        <v>170</v>
      </c>
      <c r="B11" s="8" t="s">
        <v>171</v>
      </c>
      <c r="C11" s="3" t="s">
        <v>94</v>
      </c>
      <c r="D11" s="9">
        <v>10.6</v>
      </c>
      <c r="E11" s="10" t="s">
        <v>19</v>
      </c>
      <c r="F11" s="9">
        <v>0</v>
      </c>
      <c r="G11" s="10" t="s">
        <v>19</v>
      </c>
      <c r="H11" s="9">
        <v>0</v>
      </c>
      <c r="I11" s="9"/>
      <c r="J11" s="9"/>
      <c r="K11" s="3" t="s">
        <v>74</v>
      </c>
      <c r="L11" s="9">
        <v>35.299999999999997</v>
      </c>
      <c r="M11" s="10" t="s">
        <v>19</v>
      </c>
      <c r="N11" s="9">
        <v>0</v>
      </c>
      <c r="O11" s="8" t="s">
        <v>20</v>
      </c>
      <c r="P11" s="9">
        <v>45.9</v>
      </c>
      <c r="Q11" s="3" t="s">
        <v>21</v>
      </c>
      <c r="R11" s="9">
        <v>13.9</v>
      </c>
      <c r="S11" s="8" t="s">
        <v>20</v>
      </c>
      <c r="T11" s="9">
        <v>13.2</v>
      </c>
      <c r="U11" s="3" t="s">
        <v>68</v>
      </c>
      <c r="AA11" s="95"/>
    </row>
    <row r="12" spans="1:27" ht="86.4" x14ac:dyDescent="0.25">
      <c r="A12" s="17" t="s">
        <v>172</v>
      </c>
      <c r="B12" s="22" t="s">
        <v>173</v>
      </c>
      <c r="C12" s="1" t="s">
        <v>94</v>
      </c>
      <c r="D12" s="21">
        <v>10.8</v>
      </c>
      <c r="E12" s="17" t="s">
        <v>19</v>
      </c>
      <c r="F12" s="21">
        <v>0</v>
      </c>
      <c r="G12" s="17" t="s">
        <v>19</v>
      </c>
      <c r="H12" s="21">
        <v>0</v>
      </c>
      <c r="I12" s="85"/>
      <c r="J12" s="85"/>
      <c r="K12" s="1" t="s">
        <v>74</v>
      </c>
      <c r="L12" s="19">
        <v>34.200000000000003</v>
      </c>
      <c r="M12" s="17" t="s">
        <v>19</v>
      </c>
      <c r="N12" s="21">
        <v>0</v>
      </c>
      <c r="O12" s="22" t="s">
        <v>20</v>
      </c>
      <c r="P12" s="19">
        <v>45</v>
      </c>
      <c r="Q12" s="1" t="s">
        <v>21</v>
      </c>
      <c r="R12" s="21">
        <v>12.2</v>
      </c>
      <c r="S12" s="22" t="s">
        <v>20</v>
      </c>
      <c r="T12" s="21">
        <v>12.6</v>
      </c>
      <c r="U12" s="1" t="s">
        <v>68</v>
      </c>
      <c r="AA12" s="95"/>
    </row>
    <row r="13" spans="1:27" ht="86.4" x14ac:dyDescent="0.25">
      <c r="A13" s="37" t="s">
        <v>174</v>
      </c>
      <c r="B13" s="38" t="s">
        <v>175</v>
      </c>
      <c r="C13" s="1" t="s">
        <v>94</v>
      </c>
      <c r="D13" s="45">
        <v>15.4</v>
      </c>
      <c r="E13" s="37" t="s">
        <v>19</v>
      </c>
      <c r="F13" s="45">
        <v>0</v>
      </c>
      <c r="G13" s="37" t="s">
        <v>19</v>
      </c>
      <c r="H13" s="45">
        <v>0</v>
      </c>
      <c r="I13" s="90"/>
      <c r="J13" s="90"/>
      <c r="K13" s="1" t="s">
        <v>74</v>
      </c>
      <c r="L13" s="45">
        <v>51.8</v>
      </c>
      <c r="M13" s="37" t="s">
        <v>19</v>
      </c>
      <c r="N13" s="45">
        <v>0</v>
      </c>
      <c r="O13" s="38" t="s">
        <v>20</v>
      </c>
      <c r="P13" s="45">
        <v>67.2</v>
      </c>
      <c r="Q13" s="1" t="s">
        <v>21</v>
      </c>
      <c r="R13" s="45">
        <v>21.4</v>
      </c>
      <c r="S13" s="38" t="s">
        <v>20</v>
      </c>
      <c r="T13" s="45">
        <v>19.5</v>
      </c>
      <c r="U13" s="1" t="s">
        <v>68</v>
      </c>
      <c r="AA13" s="95"/>
    </row>
    <row r="14" spans="1:27" ht="144" x14ac:dyDescent="0.25">
      <c r="A14" s="17" t="s">
        <v>176</v>
      </c>
      <c r="B14" s="17" t="s">
        <v>32</v>
      </c>
      <c r="C14" s="1" t="s">
        <v>94</v>
      </c>
      <c r="D14" s="21">
        <v>41.9</v>
      </c>
      <c r="E14" s="1" t="s">
        <v>74</v>
      </c>
      <c r="F14" s="21">
        <v>7</v>
      </c>
      <c r="G14" s="1" t="s">
        <v>74</v>
      </c>
      <c r="H14" s="21">
        <v>4.2</v>
      </c>
      <c r="I14" s="85"/>
      <c r="J14" s="85"/>
      <c r="K14" s="1" t="s">
        <v>74</v>
      </c>
      <c r="L14" s="19">
        <v>150.69999999999999</v>
      </c>
      <c r="M14" s="17" t="s">
        <v>19</v>
      </c>
      <c r="N14" s="21">
        <v>0</v>
      </c>
      <c r="O14" s="22" t="s">
        <v>20</v>
      </c>
      <c r="P14" s="19">
        <v>203.8</v>
      </c>
      <c r="Q14" s="1" t="s">
        <v>21</v>
      </c>
      <c r="R14" s="21">
        <v>58.8</v>
      </c>
      <c r="S14" s="22" t="s">
        <v>20</v>
      </c>
      <c r="T14" s="21">
        <v>43.1</v>
      </c>
      <c r="U14" s="17" t="s">
        <v>19</v>
      </c>
      <c r="AA14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3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8" ht="19.5" customHeight="1" x14ac:dyDescent="0.25">
      <c r="A1" s="564" t="s">
        <v>0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</row>
    <row r="2" spans="1:28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07"/>
      <c r="N2" s="107"/>
      <c r="O2" s="107"/>
      <c r="P2" s="107"/>
      <c r="Q2" s="555" t="s">
        <v>4</v>
      </c>
      <c r="R2" s="555"/>
      <c r="S2" s="558" t="s">
        <v>5</v>
      </c>
      <c r="T2" s="558"/>
      <c r="U2" s="108" t="s">
        <v>6</v>
      </c>
    </row>
    <row r="3" spans="1:28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80" t="s">
        <v>63</v>
      </c>
      <c r="J3" s="81"/>
      <c r="K3" s="80" t="s">
        <v>64</v>
      </c>
      <c r="L3" s="81"/>
      <c r="M3" s="566" t="s">
        <v>358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08"/>
    </row>
    <row r="4" spans="1:28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555"/>
      <c r="R4" s="556"/>
      <c r="S4" s="555"/>
      <c r="T4" s="560"/>
      <c r="U4" s="108"/>
    </row>
    <row r="5" spans="1:28" ht="86.4" x14ac:dyDescent="0.25">
      <c r="A5" s="10" t="s">
        <v>177</v>
      </c>
      <c r="B5" s="10" t="s">
        <v>66</v>
      </c>
      <c r="C5" s="3" t="s">
        <v>67</v>
      </c>
      <c r="D5" s="9">
        <v>0.1</v>
      </c>
      <c r="E5" s="9"/>
      <c r="F5" s="9"/>
      <c r="G5" s="10" t="s">
        <v>19</v>
      </c>
      <c r="H5" s="9">
        <v>0</v>
      </c>
      <c r="I5" s="9"/>
      <c r="J5" s="9"/>
      <c r="K5" s="10" t="s">
        <v>19</v>
      </c>
      <c r="L5" s="9">
        <v>0</v>
      </c>
      <c r="M5" s="3" t="s">
        <v>165</v>
      </c>
      <c r="N5" s="9">
        <v>37</v>
      </c>
      <c r="O5" s="8" t="s">
        <v>20</v>
      </c>
      <c r="P5" s="9">
        <v>37.1</v>
      </c>
      <c r="Q5" s="8" t="s">
        <v>178</v>
      </c>
      <c r="R5" s="9">
        <v>27.4</v>
      </c>
      <c r="S5" s="8" t="s">
        <v>20</v>
      </c>
      <c r="T5" s="9">
        <v>10.6</v>
      </c>
      <c r="U5" s="3" t="s">
        <v>68</v>
      </c>
      <c r="AB5" s="95"/>
    </row>
    <row r="6" spans="1:28" ht="115.2" x14ac:dyDescent="0.25">
      <c r="A6" s="10" t="s">
        <v>179</v>
      </c>
      <c r="B6" s="8" t="s">
        <v>180</v>
      </c>
      <c r="C6" s="3" t="s">
        <v>17</v>
      </c>
      <c r="D6" s="9">
        <v>62.4</v>
      </c>
      <c r="E6" s="9"/>
      <c r="F6" s="9"/>
      <c r="G6" s="3" t="s">
        <v>18</v>
      </c>
      <c r="H6" s="9">
        <v>43</v>
      </c>
      <c r="I6" s="9"/>
      <c r="J6" s="9"/>
      <c r="K6" s="3" t="s">
        <v>18</v>
      </c>
      <c r="L6" s="9">
        <v>6.7</v>
      </c>
      <c r="M6" s="10" t="s">
        <v>19</v>
      </c>
      <c r="N6" s="9">
        <v>0</v>
      </c>
      <c r="O6" s="8" t="s">
        <v>20</v>
      </c>
      <c r="P6" s="9">
        <v>112.1</v>
      </c>
      <c r="Q6" s="8" t="s">
        <v>178</v>
      </c>
      <c r="R6" s="9">
        <v>92.5</v>
      </c>
      <c r="S6" s="8" t="s">
        <v>20</v>
      </c>
      <c r="T6" s="9">
        <v>31.1</v>
      </c>
      <c r="U6" s="10" t="s">
        <v>19</v>
      </c>
      <c r="AB6" s="95"/>
    </row>
    <row r="7" spans="1:28" ht="115.2" x14ac:dyDescent="0.25">
      <c r="A7" s="10" t="s">
        <v>181</v>
      </c>
      <c r="B7" s="8" t="s">
        <v>182</v>
      </c>
      <c r="C7" s="3" t="s">
        <v>17</v>
      </c>
      <c r="D7" s="9">
        <v>25.4</v>
      </c>
      <c r="E7" s="9"/>
      <c r="F7" s="9"/>
      <c r="G7" s="3" t="s">
        <v>18</v>
      </c>
      <c r="H7" s="9">
        <v>29.6</v>
      </c>
      <c r="I7" s="9"/>
      <c r="J7" s="9"/>
      <c r="K7" s="10" t="s">
        <v>19</v>
      </c>
      <c r="L7" s="9">
        <v>0</v>
      </c>
      <c r="M7" s="10" t="s">
        <v>19</v>
      </c>
      <c r="N7" s="9">
        <v>0</v>
      </c>
      <c r="O7" s="8" t="s">
        <v>20</v>
      </c>
      <c r="P7" s="9">
        <v>55</v>
      </c>
      <c r="Q7" s="8" t="s">
        <v>178</v>
      </c>
      <c r="R7" s="9">
        <v>21.6</v>
      </c>
      <c r="S7" s="8" t="s">
        <v>20</v>
      </c>
      <c r="T7" s="9">
        <v>15.1</v>
      </c>
      <c r="U7" s="10" t="s">
        <v>19</v>
      </c>
      <c r="AB7" s="95"/>
    </row>
    <row r="8" spans="1:28" ht="86.4" x14ac:dyDescent="0.25">
      <c r="A8" s="10" t="s">
        <v>183</v>
      </c>
      <c r="B8" s="8" t="s">
        <v>184</v>
      </c>
      <c r="C8" s="10" t="s">
        <v>19</v>
      </c>
      <c r="D8" s="9">
        <v>0</v>
      </c>
      <c r="E8" s="9"/>
      <c r="F8" s="9"/>
      <c r="G8" s="3" t="s">
        <v>74</v>
      </c>
      <c r="H8" s="9">
        <v>8.8000000000000007</v>
      </c>
      <c r="I8" s="9"/>
      <c r="J8" s="9"/>
      <c r="K8" s="3" t="s">
        <v>74</v>
      </c>
      <c r="L8" s="9">
        <v>28.9</v>
      </c>
      <c r="M8" s="10" t="s">
        <v>19</v>
      </c>
      <c r="N8" s="9">
        <v>0</v>
      </c>
      <c r="O8" s="8" t="s">
        <v>20</v>
      </c>
      <c r="P8" s="9">
        <v>37.700000000000003</v>
      </c>
      <c r="Q8" s="8" t="s">
        <v>178</v>
      </c>
      <c r="R8" s="9">
        <v>6.2</v>
      </c>
      <c r="S8" s="8" t="s">
        <v>20</v>
      </c>
      <c r="T8" s="9">
        <v>8.9</v>
      </c>
      <c r="U8" s="3" t="s">
        <v>68</v>
      </c>
      <c r="AB8" s="95"/>
    </row>
    <row r="9" spans="1:28" ht="57.6" x14ac:dyDescent="0.25">
      <c r="A9" s="10" t="s">
        <v>185</v>
      </c>
      <c r="B9" s="10" t="s">
        <v>66</v>
      </c>
      <c r="C9" s="10" t="s">
        <v>19</v>
      </c>
      <c r="D9" s="9">
        <v>0</v>
      </c>
      <c r="E9" s="9"/>
      <c r="F9" s="9"/>
      <c r="G9" s="10" t="s">
        <v>19</v>
      </c>
      <c r="H9" s="9">
        <v>0</v>
      </c>
      <c r="I9" s="9"/>
      <c r="J9" s="9"/>
      <c r="K9" s="10" t="s">
        <v>19</v>
      </c>
      <c r="L9" s="9">
        <v>0</v>
      </c>
      <c r="M9" s="3" t="s">
        <v>165</v>
      </c>
      <c r="N9" s="9">
        <v>19.600000000000001</v>
      </c>
      <c r="O9" s="8" t="s">
        <v>20</v>
      </c>
      <c r="P9" s="9">
        <v>19.600000000000001</v>
      </c>
      <c r="Q9" s="8" t="s">
        <v>178</v>
      </c>
      <c r="R9" s="9">
        <v>10.9</v>
      </c>
      <c r="S9" s="8" t="s">
        <v>20</v>
      </c>
      <c r="T9" s="9">
        <v>8.6999999999999993</v>
      </c>
      <c r="U9" s="3" t="s">
        <v>68</v>
      </c>
      <c r="AB9" s="95"/>
    </row>
    <row r="10" spans="1:28" ht="115.2" x14ac:dyDescent="0.25">
      <c r="A10" s="10" t="s">
        <v>186</v>
      </c>
      <c r="B10" s="8" t="s">
        <v>187</v>
      </c>
      <c r="C10" s="3" t="s">
        <v>17</v>
      </c>
      <c r="D10" s="9">
        <v>45.4</v>
      </c>
      <c r="E10" s="9"/>
      <c r="F10" s="9"/>
      <c r="G10" s="3" t="s">
        <v>18</v>
      </c>
      <c r="H10" s="9">
        <v>6.4</v>
      </c>
      <c r="I10" s="9"/>
      <c r="J10" s="9"/>
      <c r="K10" s="3" t="s">
        <v>18</v>
      </c>
      <c r="L10" s="9">
        <v>38.299999999999997</v>
      </c>
      <c r="M10" s="10" t="s">
        <v>19</v>
      </c>
      <c r="N10" s="9">
        <v>0</v>
      </c>
      <c r="O10" s="8" t="s">
        <v>20</v>
      </c>
      <c r="P10" s="9">
        <v>90</v>
      </c>
      <c r="Q10" s="8" t="s">
        <v>178</v>
      </c>
      <c r="R10" s="9">
        <v>24</v>
      </c>
      <c r="S10" s="8" t="s">
        <v>20</v>
      </c>
      <c r="T10" s="9">
        <v>20.8</v>
      </c>
      <c r="U10" s="10" t="s">
        <v>19</v>
      </c>
      <c r="AB10" s="95"/>
    </row>
    <row r="11" spans="1:28" ht="115.2" x14ac:dyDescent="0.25">
      <c r="A11" s="17" t="s">
        <v>188</v>
      </c>
      <c r="B11" s="17" t="s">
        <v>189</v>
      </c>
      <c r="C11" s="1" t="s">
        <v>17</v>
      </c>
      <c r="D11" s="21">
        <v>0.1</v>
      </c>
      <c r="E11" s="85"/>
      <c r="F11" s="85"/>
      <c r="G11" s="1" t="s">
        <v>18</v>
      </c>
      <c r="H11" s="21">
        <v>5.2</v>
      </c>
      <c r="I11" s="85"/>
      <c r="J11" s="85"/>
      <c r="K11" s="1" t="s">
        <v>18</v>
      </c>
      <c r="L11" s="21">
        <v>35</v>
      </c>
      <c r="M11" s="17" t="s">
        <v>19</v>
      </c>
      <c r="N11" s="21">
        <v>0</v>
      </c>
      <c r="O11" s="22" t="s">
        <v>20</v>
      </c>
      <c r="P11" s="19">
        <v>40.200000000000003</v>
      </c>
      <c r="Q11" s="22" t="s">
        <v>178</v>
      </c>
      <c r="R11" s="21">
        <v>6.7</v>
      </c>
      <c r="S11" s="22" t="s">
        <v>20</v>
      </c>
      <c r="T11" s="21">
        <v>9</v>
      </c>
      <c r="U11" s="1" t="s">
        <v>190</v>
      </c>
      <c r="AB11" s="95"/>
    </row>
    <row r="12" spans="1:28" ht="86.4" x14ac:dyDescent="0.25">
      <c r="A12" s="17" t="s">
        <v>191</v>
      </c>
      <c r="B12" s="22" t="s">
        <v>192</v>
      </c>
      <c r="C12" s="1" t="s">
        <v>94</v>
      </c>
      <c r="D12" s="21">
        <v>8.6</v>
      </c>
      <c r="E12" s="85"/>
      <c r="F12" s="85"/>
      <c r="G12" s="17" t="s">
        <v>19</v>
      </c>
      <c r="H12" s="21">
        <v>0</v>
      </c>
      <c r="I12" s="85"/>
      <c r="J12" s="85"/>
      <c r="K12" s="1" t="s">
        <v>74</v>
      </c>
      <c r="L12" s="21">
        <v>79.900000000000006</v>
      </c>
      <c r="M12" s="17" t="s">
        <v>19</v>
      </c>
      <c r="N12" s="21">
        <v>0</v>
      </c>
      <c r="O12" s="22" t="s">
        <v>20</v>
      </c>
      <c r="P12" s="21">
        <v>88.5</v>
      </c>
      <c r="Q12" s="22" t="s">
        <v>178</v>
      </c>
      <c r="R12" s="21">
        <v>29.6</v>
      </c>
      <c r="S12" s="22" t="s">
        <v>20</v>
      </c>
      <c r="T12" s="21">
        <v>21.7</v>
      </c>
      <c r="U12" s="1" t="s">
        <v>68</v>
      </c>
      <c r="AB12" s="95"/>
    </row>
    <row r="13" spans="1:28" ht="115.2" x14ac:dyDescent="0.25">
      <c r="A13" s="17" t="s">
        <v>193</v>
      </c>
      <c r="B13" s="17" t="s">
        <v>194</v>
      </c>
      <c r="C13" s="1" t="s">
        <v>17</v>
      </c>
      <c r="D13" s="19">
        <v>49.4</v>
      </c>
      <c r="E13" s="84"/>
      <c r="F13" s="84"/>
      <c r="G13" s="17" t="s">
        <v>19</v>
      </c>
      <c r="H13" s="21">
        <v>0</v>
      </c>
      <c r="I13" s="85"/>
      <c r="J13" s="85"/>
      <c r="K13" s="1" t="s">
        <v>18</v>
      </c>
      <c r="L13" s="19">
        <v>34.799999999999997</v>
      </c>
      <c r="M13" s="17" t="s">
        <v>19</v>
      </c>
      <c r="N13" s="21">
        <v>0</v>
      </c>
      <c r="O13" s="22" t="s">
        <v>20</v>
      </c>
      <c r="P13" s="19">
        <v>84.2</v>
      </c>
      <c r="Q13" s="22" t="s">
        <v>178</v>
      </c>
      <c r="R13" s="21">
        <v>51.3</v>
      </c>
      <c r="S13" s="22" t="s">
        <v>20</v>
      </c>
      <c r="T13" s="21">
        <v>23.6</v>
      </c>
      <c r="U13" s="17" t="s">
        <v>19</v>
      </c>
      <c r="AB13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12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6" x14ac:dyDescent="0.25">
      <c r="A1" s="564" t="s">
        <v>0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</row>
    <row r="2" spans="1:36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07"/>
      <c r="N2" s="107"/>
      <c r="O2" s="107"/>
      <c r="P2" s="107"/>
      <c r="Q2" s="555" t="s">
        <v>4</v>
      </c>
      <c r="R2" s="555"/>
      <c r="S2" s="558" t="s">
        <v>5</v>
      </c>
      <c r="T2" s="558"/>
      <c r="U2" s="108" t="s">
        <v>6</v>
      </c>
    </row>
    <row r="3" spans="1:36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80" t="s">
        <v>63</v>
      </c>
      <c r="J3" s="81"/>
      <c r="K3" s="80" t="s">
        <v>64</v>
      </c>
      <c r="L3" s="81"/>
      <c r="M3" s="566" t="s">
        <v>358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08"/>
    </row>
    <row r="4" spans="1:36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555"/>
      <c r="R4" s="556"/>
      <c r="S4" s="555"/>
      <c r="T4" s="560"/>
      <c r="U4" s="108"/>
    </row>
    <row r="5" spans="1:36" ht="115.2" x14ac:dyDescent="0.25">
      <c r="A5" s="10" t="s">
        <v>195</v>
      </c>
      <c r="B5" s="10" t="s">
        <v>196</v>
      </c>
      <c r="C5" s="3" t="s">
        <v>17</v>
      </c>
      <c r="D5" s="9">
        <v>44.5</v>
      </c>
      <c r="E5" s="9"/>
      <c r="F5" s="9"/>
      <c r="G5" s="3" t="s">
        <v>18</v>
      </c>
      <c r="H5" s="9">
        <v>28.3</v>
      </c>
      <c r="I5" s="9"/>
      <c r="J5" s="9"/>
      <c r="K5" s="3" t="s">
        <v>18</v>
      </c>
      <c r="L5" s="9">
        <v>20.100000000000001</v>
      </c>
      <c r="M5" s="10" t="s">
        <v>19</v>
      </c>
      <c r="N5" s="9">
        <v>0</v>
      </c>
      <c r="O5" s="8" t="s">
        <v>20</v>
      </c>
      <c r="P5" s="9">
        <v>92.9</v>
      </c>
      <c r="Q5" s="8" t="s">
        <v>178</v>
      </c>
      <c r="R5" s="9">
        <v>56.6</v>
      </c>
      <c r="S5" s="8" t="s">
        <v>20</v>
      </c>
      <c r="T5" s="9">
        <v>25</v>
      </c>
      <c r="U5" s="10" t="s">
        <v>19</v>
      </c>
      <c r="AJ5" s="95"/>
    </row>
    <row r="6" spans="1:36" ht="115.2" x14ac:dyDescent="0.25">
      <c r="A6" s="10" t="s">
        <v>197</v>
      </c>
      <c r="B6" s="8" t="s">
        <v>187</v>
      </c>
      <c r="C6" s="3" t="s">
        <v>17</v>
      </c>
      <c r="D6" s="9">
        <v>32.1</v>
      </c>
      <c r="E6" s="9"/>
      <c r="F6" s="9"/>
      <c r="G6" s="3" t="s">
        <v>18</v>
      </c>
      <c r="H6" s="9">
        <v>6.3</v>
      </c>
      <c r="I6" s="9"/>
      <c r="J6" s="9"/>
      <c r="K6" s="3" t="s">
        <v>18</v>
      </c>
      <c r="L6" s="9">
        <v>29</v>
      </c>
      <c r="M6" s="10" t="s">
        <v>19</v>
      </c>
      <c r="N6" s="9">
        <v>0</v>
      </c>
      <c r="O6" s="8" t="s">
        <v>20</v>
      </c>
      <c r="P6" s="9">
        <v>67.400000000000006</v>
      </c>
      <c r="Q6" s="8" t="s">
        <v>178</v>
      </c>
      <c r="R6" s="9">
        <v>18.5</v>
      </c>
      <c r="S6" s="8" t="s">
        <v>20</v>
      </c>
      <c r="T6" s="9">
        <v>15.3</v>
      </c>
      <c r="U6" s="10" t="s">
        <v>19</v>
      </c>
      <c r="AJ6" s="95"/>
    </row>
    <row r="7" spans="1:36" ht="57.6" x14ac:dyDescent="0.25">
      <c r="A7" s="10" t="s">
        <v>198</v>
      </c>
      <c r="B7" s="10" t="s">
        <v>66</v>
      </c>
      <c r="C7" s="10" t="s">
        <v>19</v>
      </c>
      <c r="D7" s="9">
        <v>0</v>
      </c>
      <c r="E7" s="9"/>
      <c r="F7" s="9"/>
      <c r="G7" s="10" t="s">
        <v>19</v>
      </c>
      <c r="H7" s="9">
        <v>0</v>
      </c>
      <c r="I7" s="9"/>
      <c r="J7" s="9"/>
      <c r="K7" s="10" t="s">
        <v>19</v>
      </c>
      <c r="L7" s="9">
        <v>0</v>
      </c>
      <c r="M7" s="3" t="s">
        <v>165</v>
      </c>
      <c r="N7" s="9">
        <v>21.5</v>
      </c>
      <c r="O7" s="8" t="s">
        <v>20</v>
      </c>
      <c r="P7" s="9">
        <v>21.5</v>
      </c>
      <c r="Q7" s="8" t="s">
        <v>178</v>
      </c>
      <c r="R7" s="9">
        <v>4.8</v>
      </c>
      <c r="S7" s="8" t="s">
        <v>20</v>
      </c>
      <c r="T7" s="9">
        <v>6.6</v>
      </c>
      <c r="U7" s="3" t="s">
        <v>68</v>
      </c>
      <c r="AJ7" s="95"/>
    </row>
    <row r="8" spans="1:36" ht="115.2" x14ac:dyDescent="0.25">
      <c r="A8" s="10" t="s">
        <v>199</v>
      </c>
      <c r="B8" s="10" t="s">
        <v>189</v>
      </c>
      <c r="C8" s="3" t="s">
        <v>17</v>
      </c>
      <c r="D8" s="9">
        <v>0.1</v>
      </c>
      <c r="E8" s="9"/>
      <c r="F8" s="9"/>
      <c r="G8" s="3" t="s">
        <v>18</v>
      </c>
      <c r="H8" s="9">
        <v>5.0999999999999996</v>
      </c>
      <c r="I8" s="9"/>
      <c r="J8" s="9"/>
      <c r="K8" s="3" t="s">
        <v>18</v>
      </c>
      <c r="L8" s="9">
        <v>35</v>
      </c>
      <c r="M8" s="10" t="s">
        <v>19</v>
      </c>
      <c r="N8" s="9">
        <v>0</v>
      </c>
      <c r="O8" s="8" t="s">
        <v>20</v>
      </c>
      <c r="P8" s="9">
        <v>40.200000000000003</v>
      </c>
      <c r="Q8" s="8" t="s">
        <v>178</v>
      </c>
      <c r="R8" s="9">
        <v>6.7</v>
      </c>
      <c r="S8" s="8" t="s">
        <v>20</v>
      </c>
      <c r="T8" s="9">
        <v>9</v>
      </c>
      <c r="U8" s="3" t="s">
        <v>190</v>
      </c>
      <c r="AJ8" s="95"/>
    </row>
    <row r="9" spans="1:36" ht="86.4" x14ac:dyDescent="0.25">
      <c r="A9" s="10" t="s">
        <v>200</v>
      </c>
      <c r="B9" s="8" t="s">
        <v>192</v>
      </c>
      <c r="C9" s="3" t="s">
        <v>94</v>
      </c>
      <c r="D9" s="9">
        <v>8.9</v>
      </c>
      <c r="E9" s="9"/>
      <c r="F9" s="9"/>
      <c r="G9" s="10" t="s">
        <v>19</v>
      </c>
      <c r="H9" s="9">
        <v>0</v>
      </c>
      <c r="I9" s="9"/>
      <c r="J9" s="9"/>
      <c r="K9" s="3" t="s">
        <v>74</v>
      </c>
      <c r="L9" s="9">
        <v>80.2</v>
      </c>
      <c r="M9" s="10" t="s">
        <v>19</v>
      </c>
      <c r="N9" s="9">
        <v>0</v>
      </c>
      <c r="O9" s="8" t="s">
        <v>20</v>
      </c>
      <c r="P9" s="9">
        <v>89.1</v>
      </c>
      <c r="Q9" s="8" t="s">
        <v>178</v>
      </c>
      <c r="R9" s="9">
        <v>29.9</v>
      </c>
      <c r="S9" s="8" t="s">
        <v>20</v>
      </c>
      <c r="T9" s="9">
        <v>21.9</v>
      </c>
      <c r="U9" s="3" t="s">
        <v>68</v>
      </c>
      <c r="AJ9" s="95"/>
    </row>
    <row r="10" spans="1:36" ht="115.2" x14ac:dyDescent="0.25">
      <c r="A10" s="10" t="s">
        <v>201</v>
      </c>
      <c r="B10" s="10" t="s">
        <v>194</v>
      </c>
      <c r="C10" s="3" t="s">
        <v>17</v>
      </c>
      <c r="D10" s="9">
        <v>47.9</v>
      </c>
      <c r="E10" s="9"/>
      <c r="F10" s="9"/>
      <c r="G10" s="10" t="s">
        <v>19</v>
      </c>
      <c r="H10" s="9">
        <v>0</v>
      </c>
      <c r="I10" s="9"/>
      <c r="J10" s="9"/>
      <c r="K10" s="3" t="s">
        <v>18</v>
      </c>
      <c r="L10" s="9">
        <v>37.5</v>
      </c>
      <c r="M10" s="10" t="s">
        <v>19</v>
      </c>
      <c r="N10" s="9">
        <v>0</v>
      </c>
      <c r="O10" s="8" t="s">
        <v>20</v>
      </c>
      <c r="P10" s="9">
        <v>85.4</v>
      </c>
      <c r="Q10" s="8" t="s">
        <v>178</v>
      </c>
      <c r="R10" s="9">
        <v>51.2</v>
      </c>
      <c r="S10" s="8" t="s">
        <v>20</v>
      </c>
      <c r="T10" s="9">
        <v>23.8</v>
      </c>
      <c r="U10" s="10" t="s">
        <v>19</v>
      </c>
      <c r="AJ10" s="95"/>
    </row>
    <row r="11" spans="1:36" ht="115.2" x14ac:dyDescent="0.25">
      <c r="A11" s="17" t="s">
        <v>202</v>
      </c>
      <c r="B11" s="17" t="s">
        <v>196</v>
      </c>
      <c r="C11" s="1" t="s">
        <v>17</v>
      </c>
      <c r="D11" s="21">
        <v>61.1</v>
      </c>
      <c r="E11" s="85"/>
      <c r="F11" s="85"/>
      <c r="G11" s="1" t="s">
        <v>18</v>
      </c>
      <c r="H11" s="21">
        <v>7.6</v>
      </c>
      <c r="I11" s="85"/>
      <c r="J11" s="85"/>
      <c r="K11" s="1" t="s">
        <v>18</v>
      </c>
      <c r="L11" s="21">
        <v>20.8</v>
      </c>
      <c r="M11" s="17" t="s">
        <v>19</v>
      </c>
      <c r="N11" s="21">
        <v>0</v>
      </c>
      <c r="O11" s="22" t="s">
        <v>20</v>
      </c>
      <c r="P11" s="21">
        <v>89.5</v>
      </c>
      <c r="Q11" s="22" t="s">
        <v>178</v>
      </c>
      <c r="R11" s="21">
        <v>56.3</v>
      </c>
      <c r="S11" s="22" t="s">
        <v>20</v>
      </c>
      <c r="T11" s="21">
        <v>25.2</v>
      </c>
      <c r="U11" s="17" t="s">
        <v>19</v>
      </c>
      <c r="AJ11" s="95"/>
    </row>
    <row r="12" spans="1:36" ht="86.4" x14ac:dyDescent="0.25">
      <c r="A12" s="17" t="s">
        <v>203</v>
      </c>
      <c r="B12" s="22" t="s">
        <v>102</v>
      </c>
      <c r="C12" s="1" t="s">
        <v>94</v>
      </c>
      <c r="D12" s="21">
        <v>0.8</v>
      </c>
      <c r="E12" s="85"/>
      <c r="F12" s="85"/>
      <c r="G12" s="1" t="s">
        <v>74</v>
      </c>
      <c r="H12" s="21">
        <v>2.2000000000000002</v>
      </c>
      <c r="I12" s="85"/>
      <c r="J12" s="85"/>
      <c r="K12" s="1" t="s">
        <v>74</v>
      </c>
      <c r="L12" s="21">
        <v>36.5</v>
      </c>
      <c r="M12" s="17" t="s">
        <v>19</v>
      </c>
      <c r="N12" s="21">
        <v>0</v>
      </c>
      <c r="O12" s="22" t="s">
        <v>20</v>
      </c>
      <c r="P12" s="19">
        <v>39.4</v>
      </c>
      <c r="Q12" s="22" t="s">
        <v>178</v>
      </c>
      <c r="R12" s="21">
        <v>5.7</v>
      </c>
      <c r="S12" s="22" t="s">
        <v>20</v>
      </c>
      <c r="T12" s="21">
        <v>9.4</v>
      </c>
      <c r="U12" s="1" t="s">
        <v>68</v>
      </c>
      <c r="AJ12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11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5" ht="24" customHeight="1" x14ac:dyDescent="0.25">
      <c r="A1" s="564" t="s">
        <v>0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</row>
    <row r="2" spans="1:35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07"/>
      <c r="N2" s="107"/>
      <c r="O2" s="107"/>
      <c r="P2" s="107"/>
      <c r="Q2" s="555" t="s">
        <v>4</v>
      </c>
      <c r="R2" s="555"/>
      <c r="S2" s="558" t="s">
        <v>5</v>
      </c>
      <c r="T2" s="558"/>
      <c r="U2" s="108" t="s">
        <v>6</v>
      </c>
    </row>
    <row r="3" spans="1:35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80" t="s">
        <v>63</v>
      </c>
      <c r="J3" s="81"/>
      <c r="K3" s="80" t="s">
        <v>64</v>
      </c>
      <c r="L3" s="81"/>
      <c r="M3" s="566" t="s">
        <v>358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08"/>
    </row>
    <row r="4" spans="1:35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555"/>
      <c r="R4" s="556"/>
      <c r="S4" s="555"/>
      <c r="T4" s="560"/>
      <c r="U4" s="108"/>
    </row>
    <row r="5" spans="1:35" ht="115.2" x14ac:dyDescent="0.25">
      <c r="A5" s="7" t="s">
        <v>204</v>
      </c>
      <c r="B5" s="8" t="s">
        <v>205</v>
      </c>
      <c r="C5" s="3" t="s">
        <v>17</v>
      </c>
      <c r="D5" s="9">
        <v>36.1</v>
      </c>
      <c r="E5" s="10" t="s">
        <v>19</v>
      </c>
      <c r="F5" s="9">
        <v>0</v>
      </c>
      <c r="G5" s="10" t="s">
        <v>19</v>
      </c>
      <c r="H5" s="9">
        <v>0</v>
      </c>
      <c r="I5" s="9"/>
      <c r="J5" s="9"/>
      <c r="K5" s="3" t="s">
        <v>18</v>
      </c>
      <c r="L5" s="9">
        <v>32.1</v>
      </c>
      <c r="M5" s="9"/>
      <c r="N5" s="9"/>
      <c r="O5" s="8" t="s">
        <v>20</v>
      </c>
      <c r="P5" s="9">
        <v>68.2</v>
      </c>
      <c r="Q5" s="8" t="s">
        <v>178</v>
      </c>
      <c r="R5" s="9">
        <v>10.7</v>
      </c>
      <c r="S5" s="8" t="s">
        <v>20</v>
      </c>
      <c r="T5" s="9">
        <v>15.2</v>
      </c>
      <c r="U5" s="10" t="s">
        <v>19</v>
      </c>
      <c r="AI5" s="95"/>
    </row>
    <row r="6" spans="1:35" ht="115.2" x14ac:dyDescent="0.25">
      <c r="A6" s="7" t="s">
        <v>206</v>
      </c>
      <c r="B6" s="10" t="s">
        <v>32</v>
      </c>
      <c r="C6" s="3" t="s">
        <v>17</v>
      </c>
      <c r="D6" s="9">
        <v>41.8</v>
      </c>
      <c r="E6" s="10" t="s">
        <v>19</v>
      </c>
      <c r="F6" s="9">
        <v>0</v>
      </c>
      <c r="G6" s="3" t="s">
        <v>18</v>
      </c>
      <c r="H6" s="9">
        <v>47.6</v>
      </c>
      <c r="I6" s="9"/>
      <c r="J6" s="9"/>
      <c r="K6" s="3" t="s">
        <v>18</v>
      </c>
      <c r="L6" s="9">
        <v>14.6</v>
      </c>
      <c r="M6" s="9"/>
      <c r="N6" s="9"/>
      <c r="O6" s="8" t="s">
        <v>20</v>
      </c>
      <c r="P6" s="9">
        <v>104</v>
      </c>
      <c r="Q6" s="8" t="s">
        <v>178</v>
      </c>
      <c r="R6" s="9">
        <v>41.2</v>
      </c>
      <c r="S6" s="8" t="s">
        <v>20</v>
      </c>
      <c r="T6" s="9">
        <v>18.100000000000001</v>
      </c>
      <c r="U6" s="10" t="s">
        <v>19</v>
      </c>
      <c r="AI6" s="95"/>
    </row>
    <row r="7" spans="1:35" ht="115.2" x14ac:dyDescent="0.25">
      <c r="A7" s="7" t="s">
        <v>207</v>
      </c>
      <c r="B7" s="10" t="s">
        <v>32</v>
      </c>
      <c r="C7" s="3" t="s">
        <v>17</v>
      </c>
      <c r="D7" s="9">
        <v>56.7</v>
      </c>
      <c r="E7" s="10" t="s">
        <v>19</v>
      </c>
      <c r="F7" s="9">
        <v>0</v>
      </c>
      <c r="G7" s="3" t="s">
        <v>18</v>
      </c>
      <c r="H7" s="9">
        <v>74</v>
      </c>
      <c r="I7" s="9"/>
      <c r="J7" s="9"/>
      <c r="K7" s="3" t="s">
        <v>18</v>
      </c>
      <c r="L7" s="9">
        <v>7.2</v>
      </c>
      <c r="M7" s="9"/>
      <c r="N7" s="9"/>
      <c r="O7" s="8" t="s">
        <v>20</v>
      </c>
      <c r="P7" s="9">
        <v>137.9</v>
      </c>
      <c r="Q7" s="8" t="s">
        <v>178</v>
      </c>
      <c r="R7" s="9">
        <v>60.8</v>
      </c>
      <c r="S7" s="8" t="s">
        <v>20</v>
      </c>
      <c r="T7" s="9">
        <v>42.3</v>
      </c>
      <c r="U7" s="10" t="s">
        <v>19</v>
      </c>
      <c r="AI7" s="95"/>
    </row>
    <row r="8" spans="1:35" ht="187.2" x14ac:dyDescent="0.25">
      <c r="A8" s="7" t="s">
        <v>208</v>
      </c>
      <c r="B8" s="8" t="s">
        <v>209</v>
      </c>
      <c r="C8" s="3" t="s">
        <v>17</v>
      </c>
      <c r="D8" s="9">
        <v>105.7</v>
      </c>
      <c r="E8" s="3" t="s">
        <v>18</v>
      </c>
      <c r="F8" s="9">
        <v>38.299999999999997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9"/>
      <c r="N8" s="9"/>
      <c r="O8" s="8" t="s">
        <v>20</v>
      </c>
      <c r="P8" s="9">
        <v>144</v>
      </c>
      <c r="Q8" s="3" t="s">
        <v>210</v>
      </c>
      <c r="R8" s="9">
        <v>26</v>
      </c>
      <c r="S8" s="8" t="s">
        <v>20</v>
      </c>
      <c r="T8" s="9">
        <v>40.4</v>
      </c>
      <c r="U8" s="10" t="s">
        <v>19</v>
      </c>
      <c r="AI8" s="95"/>
    </row>
    <row r="9" spans="1:35" ht="187.2" x14ac:dyDescent="0.25">
      <c r="A9" s="7" t="s">
        <v>211</v>
      </c>
      <c r="B9" s="8" t="s">
        <v>212</v>
      </c>
      <c r="C9" s="3" t="s">
        <v>17</v>
      </c>
      <c r="D9" s="9">
        <v>78.8</v>
      </c>
      <c r="E9" s="3" t="s">
        <v>18</v>
      </c>
      <c r="F9" s="9">
        <v>36.5</v>
      </c>
      <c r="G9" s="10" t="s">
        <v>19</v>
      </c>
      <c r="H9" s="9">
        <v>0</v>
      </c>
      <c r="I9" s="9"/>
      <c r="J9" s="9"/>
      <c r="K9" s="10" t="s">
        <v>19</v>
      </c>
      <c r="L9" s="9">
        <v>0</v>
      </c>
      <c r="M9" s="9"/>
      <c r="N9" s="9"/>
      <c r="O9" s="8" t="s">
        <v>20</v>
      </c>
      <c r="P9" s="9">
        <v>115.3</v>
      </c>
      <c r="Q9" s="3" t="s">
        <v>210</v>
      </c>
      <c r="R9" s="9">
        <v>19.3</v>
      </c>
      <c r="S9" s="8" t="s">
        <v>20</v>
      </c>
      <c r="T9" s="9">
        <v>30</v>
      </c>
      <c r="U9" s="10" t="s">
        <v>19</v>
      </c>
      <c r="AI9" s="95"/>
    </row>
    <row r="10" spans="1:35" ht="115.2" x14ac:dyDescent="0.25">
      <c r="A10" s="17" t="s">
        <v>213</v>
      </c>
      <c r="B10" s="22" t="s">
        <v>134</v>
      </c>
      <c r="C10" s="1" t="s">
        <v>17</v>
      </c>
      <c r="D10" s="21">
        <v>26.2</v>
      </c>
      <c r="E10" s="17" t="s">
        <v>19</v>
      </c>
      <c r="F10" s="21">
        <v>0</v>
      </c>
      <c r="G10" s="1" t="s">
        <v>18</v>
      </c>
      <c r="H10" s="21">
        <v>4.8</v>
      </c>
      <c r="I10" s="85"/>
      <c r="J10" s="85"/>
      <c r="K10" s="1" t="s">
        <v>18</v>
      </c>
      <c r="L10" s="21">
        <v>9.1</v>
      </c>
      <c r="M10" s="85"/>
      <c r="N10" s="85"/>
      <c r="O10" s="22" t="s">
        <v>20</v>
      </c>
      <c r="P10" s="21">
        <v>40.1</v>
      </c>
      <c r="Q10" s="22" t="s">
        <v>178</v>
      </c>
      <c r="R10" s="21">
        <v>6.5</v>
      </c>
      <c r="S10" s="22" t="s">
        <v>20</v>
      </c>
      <c r="T10" s="21">
        <v>8.6</v>
      </c>
      <c r="U10" s="17" t="s">
        <v>19</v>
      </c>
      <c r="AI10" s="95"/>
    </row>
    <row r="11" spans="1:35" ht="86.4" x14ac:dyDescent="0.25">
      <c r="A11" s="17" t="s">
        <v>214</v>
      </c>
      <c r="B11" s="17" t="s">
        <v>32</v>
      </c>
      <c r="C11" s="1" t="s">
        <v>94</v>
      </c>
      <c r="D11" s="21">
        <v>18</v>
      </c>
      <c r="E11" s="17" t="s">
        <v>19</v>
      </c>
      <c r="F11" s="21">
        <v>0</v>
      </c>
      <c r="G11" s="1" t="s">
        <v>74</v>
      </c>
      <c r="H11" s="21">
        <v>73.900000000000006</v>
      </c>
      <c r="I11" s="85"/>
      <c r="J11" s="85"/>
      <c r="K11" s="1" t="s">
        <v>74</v>
      </c>
      <c r="L11" s="19">
        <v>36.4</v>
      </c>
      <c r="M11" s="84"/>
      <c r="N11" s="84"/>
      <c r="O11" s="22" t="s">
        <v>20</v>
      </c>
      <c r="P11" s="19">
        <v>128.30000000000001</v>
      </c>
      <c r="Q11" s="1" t="s">
        <v>21</v>
      </c>
      <c r="R11" s="21">
        <v>25.1</v>
      </c>
      <c r="S11" s="22" t="s">
        <v>20</v>
      </c>
      <c r="T11" s="21">
        <v>28</v>
      </c>
      <c r="U11" s="17" t="s">
        <v>19</v>
      </c>
      <c r="AI11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U23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x14ac:dyDescent="0.25">
      <c r="A1" s="567" t="s">
        <v>359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21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07"/>
      <c r="N2" s="107"/>
      <c r="O2" s="107"/>
      <c r="P2" s="107"/>
      <c r="Q2" s="555" t="s">
        <v>4</v>
      </c>
      <c r="R2" s="555"/>
      <c r="S2" s="558" t="s">
        <v>5</v>
      </c>
      <c r="T2" s="558"/>
      <c r="U2" s="108" t="s">
        <v>6</v>
      </c>
    </row>
    <row r="3" spans="1:21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109" t="s">
        <v>63</v>
      </c>
      <c r="J3" s="109"/>
      <c r="K3" s="109" t="s">
        <v>64</v>
      </c>
      <c r="L3" s="109"/>
      <c r="M3" s="566" t="s">
        <v>358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08"/>
    </row>
    <row r="4" spans="1:21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555"/>
      <c r="R4" s="556"/>
      <c r="S4" s="555"/>
      <c r="T4" s="560"/>
      <c r="U4" s="108"/>
    </row>
    <row r="5" spans="1:21" ht="129.6" x14ac:dyDescent="0.25">
      <c r="A5" s="99" t="s">
        <v>75</v>
      </c>
      <c r="B5" s="97" t="s">
        <v>76</v>
      </c>
      <c r="C5" s="97" t="s">
        <v>67</v>
      </c>
      <c r="D5" s="101">
        <v>38.1</v>
      </c>
      <c r="E5" s="101"/>
      <c r="F5" s="101"/>
      <c r="G5" s="97" t="s">
        <v>71</v>
      </c>
      <c r="H5" s="101">
        <v>45.7</v>
      </c>
      <c r="I5" s="101"/>
      <c r="J5" s="101"/>
      <c r="K5" s="102" t="s">
        <v>19</v>
      </c>
      <c r="L5" s="101">
        <v>0</v>
      </c>
      <c r="M5" s="101"/>
      <c r="N5" s="101"/>
      <c r="O5" s="100" t="s">
        <v>20</v>
      </c>
      <c r="P5" s="101">
        <v>83.8</v>
      </c>
      <c r="Q5" s="97" t="s">
        <v>21</v>
      </c>
      <c r="R5" s="101">
        <v>43.1</v>
      </c>
      <c r="S5" s="100" t="s">
        <v>20</v>
      </c>
      <c r="T5" s="101">
        <v>22.2</v>
      </c>
      <c r="U5" s="97" t="s">
        <v>68</v>
      </c>
    </row>
    <row r="6" spans="1:21" ht="86.4" x14ac:dyDescent="0.25">
      <c r="A6" s="99" t="s">
        <v>217</v>
      </c>
      <c r="B6" s="100" t="s">
        <v>218</v>
      </c>
      <c r="C6" s="97" t="s">
        <v>67</v>
      </c>
      <c r="D6" s="101">
        <v>52.2</v>
      </c>
      <c r="E6" s="101"/>
      <c r="F6" s="101"/>
      <c r="G6" s="97" t="s">
        <v>71</v>
      </c>
      <c r="H6" s="101">
        <v>47.9</v>
      </c>
      <c r="I6" s="101"/>
      <c r="J6" s="101"/>
      <c r="K6" s="97" t="s">
        <v>71</v>
      </c>
      <c r="L6" s="101">
        <v>13.8</v>
      </c>
      <c r="M6" s="101"/>
      <c r="N6" s="101"/>
      <c r="O6" s="100" t="s">
        <v>20</v>
      </c>
      <c r="P6" s="101">
        <v>114</v>
      </c>
      <c r="Q6" s="110" t="s">
        <v>30</v>
      </c>
      <c r="R6" s="101">
        <v>63.7</v>
      </c>
      <c r="S6" s="100" t="s">
        <v>20</v>
      </c>
      <c r="T6" s="101">
        <v>34.1</v>
      </c>
      <c r="U6" s="97" t="s">
        <v>68</v>
      </c>
    </row>
    <row r="7" spans="1:21" ht="86.4" x14ac:dyDescent="0.25">
      <c r="A7" s="99" t="s">
        <v>221</v>
      </c>
      <c r="B7" s="97" t="s">
        <v>222</v>
      </c>
      <c r="C7" s="97" t="s">
        <v>67</v>
      </c>
      <c r="D7" s="101">
        <v>47.5</v>
      </c>
      <c r="E7" s="101"/>
      <c r="F7" s="101"/>
      <c r="G7" s="97" t="s">
        <v>71</v>
      </c>
      <c r="H7" s="101">
        <v>68.599999999999994</v>
      </c>
      <c r="I7" s="101"/>
      <c r="J7" s="101"/>
      <c r="K7" s="97" t="s">
        <v>71</v>
      </c>
      <c r="L7" s="101">
        <v>16.7</v>
      </c>
      <c r="M7" s="101"/>
      <c r="N7" s="101"/>
      <c r="O7" s="100" t="s">
        <v>20</v>
      </c>
      <c r="P7" s="101">
        <v>132.80000000000001</v>
      </c>
      <c r="Q7" s="110" t="s">
        <v>30</v>
      </c>
      <c r="R7" s="101">
        <v>90.2</v>
      </c>
      <c r="S7" s="100" t="s">
        <v>20</v>
      </c>
      <c r="T7" s="101">
        <v>40.299999999999997</v>
      </c>
      <c r="U7" s="97" t="s">
        <v>68</v>
      </c>
    </row>
    <row r="8" spans="1:21" ht="86.4" x14ac:dyDescent="0.25">
      <c r="A8" s="102" t="s">
        <v>225</v>
      </c>
      <c r="B8" s="100" t="s">
        <v>226</v>
      </c>
      <c r="C8" s="97" t="s">
        <v>67</v>
      </c>
      <c r="D8" s="101">
        <v>22.2</v>
      </c>
      <c r="E8" s="101"/>
      <c r="F8" s="101"/>
      <c r="G8" s="97" t="s">
        <v>71</v>
      </c>
      <c r="H8" s="111">
        <v>54.5</v>
      </c>
      <c r="I8" s="111"/>
      <c r="J8" s="111"/>
      <c r="K8" s="97" t="s">
        <v>71</v>
      </c>
      <c r="L8" s="101">
        <v>19.5</v>
      </c>
      <c r="M8" s="101"/>
      <c r="N8" s="101"/>
      <c r="O8" s="100" t="s">
        <v>20</v>
      </c>
      <c r="P8" s="101">
        <v>96.2</v>
      </c>
      <c r="Q8" s="100" t="s">
        <v>30</v>
      </c>
      <c r="R8" s="101">
        <v>39.799999999999997</v>
      </c>
      <c r="S8" s="100" t="s">
        <v>20</v>
      </c>
      <c r="T8" s="101">
        <v>26.9</v>
      </c>
      <c r="U8" s="97" t="s">
        <v>68</v>
      </c>
    </row>
    <row r="9" spans="1:21" ht="86.4" x14ac:dyDescent="0.25">
      <c r="A9" s="102" t="s">
        <v>229</v>
      </c>
      <c r="B9" s="100" t="s">
        <v>218</v>
      </c>
      <c r="C9" s="97" t="s">
        <v>67</v>
      </c>
      <c r="D9" s="101">
        <v>87.3</v>
      </c>
      <c r="E9" s="101"/>
      <c r="F9" s="101"/>
      <c r="G9" s="97" t="s">
        <v>71</v>
      </c>
      <c r="H9" s="101">
        <v>11.4</v>
      </c>
      <c r="I9" s="101"/>
      <c r="J9" s="101"/>
      <c r="K9" s="97" t="s">
        <v>71</v>
      </c>
      <c r="L9" s="101">
        <v>13.2</v>
      </c>
      <c r="M9" s="101"/>
      <c r="N9" s="101"/>
      <c r="O9" s="100" t="s">
        <v>20</v>
      </c>
      <c r="P9" s="111">
        <v>111.9</v>
      </c>
      <c r="Q9" s="100" t="s">
        <v>30</v>
      </c>
      <c r="R9" s="111">
        <v>64</v>
      </c>
      <c r="S9" s="100" t="s">
        <v>20</v>
      </c>
      <c r="T9" s="101">
        <v>32.6</v>
      </c>
      <c r="U9" s="97" t="s">
        <v>68</v>
      </c>
    </row>
    <row r="10" spans="1:21" ht="86.4" x14ac:dyDescent="0.25">
      <c r="A10" s="102" t="s">
        <v>232</v>
      </c>
      <c r="B10" s="97" t="s">
        <v>233</v>
      </c>
      <c r="C10" s="97" t="s">
        <v>67</v>
      </c>
      <c r="D10" s="101">
        <v>56.5</v>
      </c>
      <c r="E10" s="101"/>
      <c r="F10" s="101"/>
      <c r="G10" s="97" t="s">
        <v>71</v>
      </c>
      <c r="H10" s="101">
        <v>35.6</v>
      </c>
      <c r="I10" s="101"/>
      <c r="J10" s="101"/>
      <c r="K10" s="97" t="s">
        <v>71</v>
      </c>
      <c r="L10" s="101">
        <v>17.899999999999999</v>
      </c>
      <c r="M10" s="101"/>
      <c r="N10" s="101"/>
      <c r="O10" s="100" t="s">
        <v>20</v>
      </c>
      <c r="P10" s="111">
        <v>110</v>
      </c>
      <c r="Q10" s="97" t="s">
        <v>21</v>
      </c>
      <c r="R10" s="111">
        <v>65.400000000000006</v>
      </c>
      <c r="S10" s="100" t="s">
        <v>20</v>
      </c>
      <c r="T10" s="101">
        <v>33.1</v>
      </c>
      <c r="U10" s="97" t="s">
        <v>68</v>
      </c>
    </row>
    <row r="11" spans="1:21" ht="86.4" x14ac:dyDescent="0.25">
      <c r="A11" s="102" t="s">
        <v>235</v>
      </c>
      <c r="B11" s="97" t="s">
        <v>233</v>
      </c>
      <c r="C11" s="97" t="s">
        <v>67</v>
      </c>
      <c r="D11" s="101">
        <v>58.7</v>
      </c>
      <c r="E11" s="101"/>
      <c r="F11" s="101"/>
      <c r="G11" s="97" t="s">
        <v>71</v>
      </c>
      <c r="H11" s="101">
        <v>36.700000000000003</v>
      </c>
      <c r="I11" s="101"/>
      <c r="J11" s="101"/>
      <c r="K11" s="97" t="s">
        <v>71</v>
      </c>
      <c r="L11" s="101">
        <v>12.3</v>
      </c>
      <c r="M11" s="101"/>
      <c r="N11" s="101"/>
      <c r="O11" s="100" t="s">
        <v>20</v>
      </c>
      <c r="P11" s="111">
        <v>107.7</v>
      </c>
      <c r="Q11" s="97" t="s">
        <v>21</v>
      </c>
      <c r="R11" s="101">
        <v>64.099999999999994</v>
      </c>
      <c r="S11" s="100" t="s">
        <v>20</v>
      </c>
      <c r="T11" s="101">
        <v>32.6</v>
      </c>
      <c r="U11" s="97" t="s">
        <v>68</v>
      </c>
    </row>
    <row r="12" spans="1:21" ht="86.4" x14ac:dyDescent="0.25">
      <c r="A12" s="102" t="s">
        <v>238</v>
      </c>
      <c r="B12" s="100" t="s">
        <v>218</v>
      </c>
      <c r="C12" s="97" t="s">
        <v>67</v>
      </c>
      <c r="D12" s="101">
        <v>91</v>
      </c>
      <c r="E12" s="101"/>
      <c r="F12" s="101"/>
      <c r="G12" s="97" t="s">
        <v>71</v>
      </c>
      <c r="H12" s="101">
        <v>17.3</v>
      </c>
      <c r="I12" s="101"/>
      <c r="J12" s="101"/>
      <c r="K12" s="102" t="s">
        <v>19</v>
      </c>
      <c r="L12" s="101">
        <v>0</v>
      </c>
      <c r="M12" s="101"/>
      <c r="N12" s="101"/>
      <c r="O12" s="100" t="s">
        <v>20</v>
      </c>
      <c r="P12" s="111">
        <v>108.3</v>
      </c>
      <c r="Q12" s="100" t="s">
        <v>30</v>
      </c>
      <c r="R12" s="111">
        <v>64.3</v>
      </c>
      <c r="S12" s="100" t="s">
        <v>20</v>
      </c>
      <c r="T12" s="101">
        <v>33.299999999999997</v>
      </c>
      <c r="U12" s="97" t="s">
        <v>68</v>
      </c>
    </row>
    <row r="13" spans="1:21" ht="86.4" x14ac:dyDescent="0.25">
      <c r="A13" s="102" t="s">
        <v>241</v>
      </c>
      <c r="B13" s="102" t="s">
        <v>32</v>
      </c>
      <c r="C13" s="97" t="s">
        <v>67</v>
      </c>
      <c r="D13" s="101">
        <v>51.5</v>
      </c>
      <c r="E13" s="101"/>
      <c r="F13" s="101"/>
      <c r="G13" s="97" t="s">
        <v>71</v>
      </c>
      <c r="H13" s="101">
        <v>81.400000000000006</v>
      </c>
      <c r="I13" s="101"/>
      <c r="J13" s="101"/>
      <c r="K13" s="97" t="s">
        <v>71</v>
      </c>
      <c r="L13" s="111">
        <v>43.6</v>
      </c>
      <c r="M13" s="111"/>
      <c r="N13" s="111"/>
      <c r="O13" s="100" t="s">
        <v>20</v>
      </c>
      <c r="P13" s="111">
        <v>176.5</v>
      </c>
      <c r="Q13" s="97" t="s">
        <v>21</v>
      </c>
      <c r="R13" s="101">
        <v>91.5</v>
      </c>
      <c r="S13" s="100" t="s">
        <v>20</v>
      </c>
      <c r="T13" s="101">
        <v>41.9</v>
      </c>
      <c r="U13" s="97" t="s">
        <v>68</v>
      </c>
    </row>
    <row r="14" spans="1:21" ht="86.4" x14ac:dyDescent="0.25">
      <c r="A14" s="102" t="s">
        <v>244</v>
      </c>
      <c r="B14" s="100" t="s">
        <v>102</v>
      </c>
      <c r="C14" s="102" t="s">
        <v>19</v>
      </c>
      <c r="D14" s="101">
        <v>0</v>
      </c>
      <c r="E14" s="101"/>
      <c r="F14" s="101"/>
      <c r="G14" s="102" t="s">
        <v>19</v>
      </c>
      <c r="H14" s="101">
        <v>0</v>
      </c>
      <c r="I14" s="101"/>
      <c r="J14" s="101"/>
      <c r="K14" s="97" t="s">
        <v>74</v>
      </c>
      <c r="L14" s="101">
        <v>36.299999999999997</v>
      </c>
      <c r="M14" s="101"/>
      <c r="N14" s="101"/>
      <c r="O14" s="100" t="s">
        <v>20</v>
      </c>
      <c r="P14" s="101">
        <v>36.299999999999997</v>
      </c>
      <c r="Q14" s="97" t="s">
        <v>21</v>
      </c>
      <c r="R14" s="101">
        <v>5.0999999999999996</v>
      </c>
      <c r="S14" s="100" t="s">
        <v>20</v>
      </c>
      <c r="T14" s="101">
        <v>8.9</v>
      </c>
      <c r="U14" s="97" t="s">
        <v>68</v>
      </c>
    </row>
    <row r="15" spans="1:21" ht="86.4" x14ac:dyDescent="0.25">
      <c r="A15" s="99" t="s">
        <v>215</v>
      </c>
      <c r="B15" s="100" t="s">
        <v>216</v>
      </c>
      <c r="C15" s="97" t="s">
        <v>67</v>
      </c>
      <c r="D15" s="101">
        <v>16</v>
      </c>
      <c r="E15" s="101"/>
      <c r="F15" s="101"/>
      <c r="G15" s="102" t="s">
        <v>19</v>
      </c>
      <c r="H15" s="101">
        <v>0</v>
      </c>
      <c r="I15" s="101"/>
      <c r="J15" s="101"/>
      <c r="K15" s="97" t="s">
        <v>71</v>
      </c>
      <c r="L15" s="101">
        <v>37.5</v>
      </c>
      <c r="M15" s="101"/>
      <c r="N15" s="101"/>
      <c r="O15" s="100" t="s">
        <v>20</v>
      </c>
      <c r="P15" s="111">
        <v>53.5</v>
      </c>
      <c r="Q15" s="97" t="s">
        <v>21</v>
      </c>
      <c r="R15" s="101">
        <v>13.1</v>
      </c>
      <c r="S15" s="100" t="s">
        <v>20</v>
      </c>
      <c r="T15" s="111">
        <v>13.5</v>
      </c>
      <c r="U15" s="97" t="s">
        <v>68</v>
      </c>
    </row>
    <row r="16" spans="1:21" ht="86.4" x14ac:dyDescent="0.25">
      <c r="A16" s="99" t="s">
        <v>219</v>
      </c>
      <c r="B16" s="100" t="s">
        <v>220</v>
      </c>
      <c r="C16" s="97" t="s">
        <v>67</v>
      </c>
      <c r="D16" s="101">
        <v>16.3</v>
      </c>
      <c r="E16" s="101"/>
      <c r="F16" s="101"/>
      <c r="G16" s="97" t="s">
        <v>71</v>
      </c>
      <c r="H16" s="101">
        <v>8</v>
      </c>
      <c r="I16" s="101"/>
      <c r="J16" s="101"/>
      <c r="K16" s="97" t="s">
        <v>71</v>
      </c>
      <c r="L16" s="111">
        <v>54.6</v>
      </c>
      <c r="M16" s="111"/>
      <c r="N16" s="111"/>
      <c r="O16" s="100" t="s">
        <v>20</v>
      </c>
      <c r="P16" s="111">
        <v>78.900000000000006</v>
      </c>
      <c r="Q16" s="97" t="s">
        <v>21</v>
      </c>
      <c r="R16" s="101">
        <v>27</v>
      </c>
      <c r="S16" s="100" t="s">
        <v>20</v>
      </c>
      <c r="T16" s="101">
        <v>21.1</v>
      </c>
      <c r="U16" s="97" t="s">
        <v>68</v>
      </c>
    </row>
    <row r="17" spans="1:21" ht="86.4" x14ac:dyDescent="0.25">
      <c r="A17" s="102" t="s">
        <v>223</v>
      </c>
      <c r="B17" s="100" t="s">
        <v>224</v>
      </c>
      <c r="C17" s="97" t="s">
        <v>94</v>
      </c>
      <c r="D17" s="101">
        <v>1.7</v>
      </c>
      <c r="E17" s="101"/>
      <c r="F17" s="101"/>
      <c r="G17" s="97" t="s">
        <v>74</v>
      </c>
      <c r="H17" s="101">
        <v>10.5</v>
      </c>
      <c r="I17" s="101"/>
      <c r="J17" s="101"/>
      <c r="K17" s="97" t="s">
        <v>74</v>
      </c>
      <c r="L17" s="101">
        <v>41.4</v>
      </c>
      <c r="M17" s="101"/>
      <c r="N17" s="101"/>
      <c r="O17" s="100" t="s">
        <v>20</v>
      </c>
      <c r="P17" s="111">
        <v>53.6</v>
      </c>
      <c r="Q17" s="97" t="s">
        <v>21</v>
      </c>
      <c r="R17" s="101">
        <v>12.7</v>
      </c>
      <c r="S17" s="100" t="s">
        <v>20</v>
      </c>
      <c r="T17" s="111">
        <v>13.4</v>
      </c>
      <c r="U17" s="97" t="s">
        <v>68</v>
      </c>
    </row>
    <row r="18" spans="1:21" ht="86.4" x14ac:dyDescent="0.25">
      <c r="A18" s="102" t="s">
        <v>227</v>
      </c>
      <c r="B18" s="100" t="s">
        <v>228</v>
      </c>
      <c r="C18" s="97" t="s">
        <v>94</v>
      </c>
      <c r="D18" s="101">
        <v>5.5</v>
      </c>
      <c r="E18" s="101"/>
      <c r="F18" s="101"/>
      <c r="G18" s="102" t="s">
        <v>19</v>
      </c>
      <c r="H18" s="101">
        <v>0</v>
      </c>
      <c r="I18" s="101"/>
      <c r="J18" s="101"/>
      <c r="K18" s="97" t="s">
        <v>74</v>
      </c>
      <c r="L18" s="101">
        <v>33.299999999999997</v>
      </c>
      <c r="M18" s="101"/>
      <c r="N18" s="101"/>
      <c r="O18" s="100" t="s">
        <v>20</v>
      </c>
      <c r="P18" s="111">
        <v>38.799999999999997</v>
      </c>
      <c r="Q18" s="97" t="s">
        <v>21</v>
      </c>
      <c r="R18" s="101">
        <v>8.5</v>
      </c>
      <c r="S18" s="100" t="s">
        <v>20</v>
      </c>
      <c r="T18" s="101">
        <v>11.6</v>
      </c>
      <c r="U18" s="97" t="s">
        <v>68</v>
      </c>
    </row>
    <row r="19" spans="1:21" ht="86.4" x14ac:dyDescent="0.25">
      <c r="A19" s="102" t="s">
        <v>230</v>
      </c>
      <c r="B19" s="100" t="s">
        <v>231</v>
      </c>
      <c r="C19" s="97" t="s">
        <v>67</v>
      </c>
      <c r="D19" s="101">
        <v>16.8</v>
      </c>
      <c r="E19" s="101"/>
      <c r="F19" s="101"/>
      <c r="G19" s="97" t="s">
        <v>71</v>
      </c>
      <c r="H19" s="101">
        <v>10.3</v>
      </c>
      <c r="I19" s="101"/>
      <c r="J19" s="101"/>
      <c r="K19" s="97" t="s">
        <v>71</v>
      </c>
      <c r="L19" s="101">
        <v>55.5</v>
      </c>
      <c r="M19" s="101"/>
      <c r="N19" s="101"/>
      <c r="O19" s="100" t="s">
        <v>20</v>
      </c>
      <c r="P19" s="111">
        <v>82.6</v>
      </c>
      <c r="Q19" s="97" t="s">
        <v>21</v>
      </c>
      <c r="R19" s="101">
        <v>28</v>
      </c>
      <c r="S19" s="100" t="s">
        <v>20</v>
      </c>
      <c r="T19" s="111">
        <v>21.6</v>
      </c>
      <c r="U19" s="97" t="s">
        <v>68</v>
      </c>
    </row>
    <row r="20" spans="1:21" ht="86.4" x14ac:dyDescent="0.25">
      <c r="A20" s="102" t="s">
        <v>234</v>
      </c>
      <c r="B20" s="100" t="s">
        <v>100</v>
      </c>
      <c r="C20" s="97" t="s">
        <v>94</v>
      </c>
      <c r="D20" s="101">
        <v>7.8</v>
      </c>
      <c r="E20" s="101"/>
      <c r="F20" s="101"/>
      <c r="G20" s="102" t="s">
        <v>19</v>
      </c>
      <c r="H20" s="101">
        <v>0</v>
      </c>
      <c r="I20" s="101"/>
      <c r="J20" s="101"/>
      <c r="K20" s="97" t="s">
        <v>74</v>
      </c>
      <c r="L20" s="101">
        <v>33.1</v>
      </c>
      <c r="M20" s="101"/>
      <c r="N20" s="101"/>
      <c r="O20" s="100" t="s">
        <v>20</v>
      </c>
      <c r="P20" s="111">
        <v>40.799999999999997</v>
      </c>
      <c r="Q20" s="97" t="s">
        <v>21</v>
      </c>
      <c r="R20" s="101">
        <v>10.7</v>
      </c>
      <c r="S20" s="100" t="s">
        <v>20</v>
      </c>
      <c r="T20" s="111">
        <v>12</v>
      </c>
      <c r="U20" s="97" t="s">
        <v>68</v>
      </c>
    </row>
    <row r="21" spans="1:21" ht="86.4" x14ac:dyDescent="0.25">
      <c r="A21" s="102" t="s">
        <v>236</v>
      </c>
      <c r="B21" s="100" t="s">
        <v>237</v>
      </c>
      <c r="C21" s="97" t="s">
        <v>94</v>
      </c>
      <c r="D21" s="101">
        <v>4.5</v>
      </c>
      <c r="E21" s="101"/>
      <c r="F21" s="101"/>
      <c r="G21" s="97" t="s">
        <v>74</v>
      </c>
      <c r="H21" s="101">
        <v>10.8</v>
      </c>
      <c r="I21" s="101"/>
      <c r="J21" s="101"/>
      <c r="K21" s="97" t="s">
        <v>74</v>
      </c>
      <c r="L21" s="101">
        <v>37.5</v>
      </c>
      <c r="M21" s="101"/>
      <c r="N21" s="101"/>
      <c r="O21" s="100" t="s">
        <v>20</v>
      </c>
      <c r="P21" s="111">
        <v>52.9</v>
      </c>
      <c r="Q21" s="97" t="s">
        <v>21</v>
      </c>
      <c r="R21" s="101">
        <v>11.3</v>
      </c>
      <c r="S21" s="100" t="s">
        <v>20</v>
      </c>
      <c r="T21" s="111">
        <v>13</v>
      </c>
      <c r="U21" s="97" t="s">
        <v>68</v>
      </c>
    </row>
    <row r="22" spans="1:21" ht="86.4" x14ac:dyDescent="0.25">
      <c r="A22" s="102" t="s">
        <v>239</v>
      </c>
      <c r="B22" s="100" t="s">
        <v>240</v>
      </c>
      <c r="C22" s="97" t="s">
        <v>67</v>
      </c>
      <c r="D22" s="101">
        <v>22</v>
      </c>
      <c r="E22" s="101"/>
      <c r="F22" s="101"/>
      <c r="G22" s="97" t="s">
        <v>71</v>
      </c>
      <c r="H22" s="101">
        <v>37</v>
      </c>
      <c r="I22" s="101"/>
      <c r="J22" s="101"/>
      <c r="K22" s="97" t="s">
        <v>71</v>
      </c>
      <c r="L22" s="111">
        <v>24.8</v>
      </c>
      <c r="M22" s="111"/>
      <c r="N22" s="111"/>
      <c r="O22" s="100" t="s">
        <v>20</v>
      </c>
      <c r="P22" s="111">
        <v>83.8</v>
      </c>
      <c r="Q22" s="97" t="s">
        <v>21</v>
      </c>
      <c r="R22" s="101">
        <v>31.5</v>
      </c>
      <c r="S22" s="100" t="s">
        <v>20</v>
      </c>
      <c r="T22" s="111">
        <v>23.6</v>
      </c>
      <c r="U22" s="97" t="s">
        <v>68</v>
      </c>
    </row>
    <row r="23" spans="1:21" ht="86.4" x14ac:dyDescent="0.25">
      <c r="A23" s="102" t="s">
        <v>242</v>
      </c>
      <c r="B23" s="100" t="s">
        <v>243</v>
      </c>
      <c r="C23" s="97" t="s">
        <v>67</v>
      </c>
      <c r="D23" s="111">
        <v>532.70000000000005</v>
      </c>
      <c r="E23" s="111"/>
      <c r="F23" s="111"/>
      <c r="G23" s="97" t="s">
        <v>71</v>
      </c>
      <c r="H23" s="101">
        <v>63.7</v>
      </c>
      <c r="I23" s="101"/>
      <c r="J23" s="101"/>
      <c r="K23" s="102" t="s">
        <v>19</v>
      </c>
      <c r="L23" s="101">
        <v>0</v>
      </c>
      <c r="M23" s="101"/>
      <c r="N23" s="101"/>
      <c r="O23" s="100" t="s">
        <v>20</v>
      </c>
      <c r="P23" s="111">
        <v>596.4</v>
      </c>
      <c r="Q23" s="102" t="s">
        <v>19</v>
      </c>
      <c r="R23" s="111">
        <v>703.2</v>
      </c>
      <c r="S23" s="100" t="s">
        <v>20</v>
      </c>
      <c r="T23" s="111">
        <v>81</v>
      </c>
      <c r="U23" s="97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V21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2" x14ac:dyDescent="0.25">
      <c r="A1" s="567" t="s">
        <v>359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22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07"/>
      <c r="N2" s="107"/>
      <c r="O2" s="107"/>
      <c r="P2" s="107"/>
      <c r="Q2" s="555" t="s">
        <v>4</v>
      </c>
      <c r="R2" s="555"/>
      <c r="S2" s="558" t="s">
        <v>5</v>
      </c>
      <c r="T2" s="558"/>
      <c r="U2" s="108" t="s">
        <v>6</v>
      </c>
    </row>
    <row r="3" spans="1:22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109" t="s">
        <v>63</v>
      </c>
      <c r="J3" s="109"/>
      <c r="K3" s="109" t="s">
        <v>64</v>
      </c>
      <c r="L3" s="109"/>
      <c r="M3" s="566" t="s">
        <v>358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08"/>
    </row>
    <row r="4" spans="1:22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555"/>
      <c r="R4" s="556"/>
      <c r="S4" s="555"/>
      <c r="T4" s="560"/>
      <c r="U4" s="108"/>
    </row>
    <row r="5" spans="1:22" ht="86.4" x14ac:dyDescent="0.25">
      <c r="A5" s="99" t="s">
        <v>245</v>
      </c>
      <c r="B5" s="100" t="s">
        <v>246</v>
      </c>
      <c r="C5" s="97" t="s">
        <v>67</v>
      </c>
      <c r="D5" s="101">
        <v>57.1</v>
      </c>
      <c r="E5" s="101"/>
      <c r="F5" s="101"/>
      <c r="G5" s="102" t="s">
        <v>19</v>
      </c>
      <c r="H5" s="101">
        <v>0</v>
      </c>
      <c r="I5" s="101"/>
      <c r="J5" s="101"/>
      <c r="K5" s="97" t="s">
        <v>71</v>
      </c>
      <c r="L5" s="101">
        <v>50.3</v>
      </c>
      <c r="M5" s="101"/>
      <c r="N5" s="101"/>
      <c r="O5" s="100" t="s">
        <v>20</v>
      </c>
      <c r="P5" s="101">
        <v>107.3</v>
      </c>
      <c r="Q5" s="97" t="s">
        <v>21</v>
      </c>
      <c r="R5" s="101">
        <v>23.7</v>
      </c>
      <c r="S5" s="100" t="s">
        <v>20</v>
      </c>
      <c r="T5" s="101">
        <v>25</v>
      </c>
      <c r="U5" s="97" t="s">
        <v>68</v>
      </c>
      <c r="V5" s="95"/>
    </row>
    <row r="6" spans="1:22" ht="86.4" x14ac:dyDescent="0.25">
      <c r="A6" s="99" t="s">
        <v>248</v>
      </c>
      <c r="B6" s="97" t="s">
        <v>249</v>
      </c>
      <c r="C6" s="97" t="s">
        <v>67</v>
      </c>
      <c r="D6" s="101">
        <v>21.2</v>
      </c>
      <c r="E6" s="101"/>
      <c r="F6" s="101"/>
      <c r="G6" s="97" t="s">
        <v>71</v>
      </c>
      <c r="H6" s="101">
        <v>17.8</v>
      </c>
      <c r="I6" s="101"/>
      <c r="J6" s="101"/>
      <c r="K6" s="97" t="s">
        <v>71</v>
      </c>
      <c r="L6" s="101">
        <v>12.8</v>
      </c>
      <c r="M6" s="101"/>
      <c r="N6" s="101"/>
      <c r="O6" s="100" t="s">
        <v>20</v>
      </c>
      <c r="P6" s="101">
        <v>51.7</v>
      </c>
      <c r="Q6" s="110" t="s">
        <v>30</v>
      </c>
      <c r="R6" s="101">
        <v>14</v>
      </c>
      <c r="S6" s="100" t="s">
        <v>20</v>
      </c>
      <c r="T6" s="101">
        <v>14</v>
      </c>
      <c r="U6" s="97" t="s">
        <v>68</v>
      </c>
      <c r="V6" s="95"/>
    </row>
    <row r="7" spans="1:22" ht="86.4" x14ac:dyDescent="0.25">
      <c r="A7" s="102" t="s">
        <v>251</v>
      </c>
      <c r="B7" s="100" t="s">
        <v>98</v>
      </c>
      <c r="C7" s="97" t="s">
        <v>94</v>
      </c>
      <c r="D7" s="101">
        <v>13.7</v>
      </c>
      <c r="E7" s="101"/>
      <c r="F7" s="101"/>
      <c r="G7" s="97" t="s">
        <v>74</v>
      </c>
      <c r="H7" s="101">
        <v>16.3</v>
      </c>
      <c r="I7" s="101"/>
      <c r="J7" s="101"/>
      <c r="K7" s="97" t="s">
        <v>74</v>
      </c>
      <c r="L7" s="101">
        <v>6.7</v>
      </c>
      <c r="M7" s="101"/>
      <c r="N7" s="101"/>
      <c r="O7" s="100" t="s">
        <v>20</v>
      </c>
      <c r="P7" s="101">
        <v>36.700000000000003</v>
      </c>
      <c r="Q7" s="97" t="s">
        <v>21</v>
      </c>
      <c r="R7" s="101">
        <v>5.4</v>
      </c>
      <c r="S7" s="100" t="s">
        <v>20</v>
      </c>
      <c r="T7" s="101">
        <v>8.9</v>
      </c>
      <c r="U7" s="97" t="s">
        <v>68</v>
      </c>
      <c r="V7" s="95"/>
    </row>
    <row r="8" spans="1:22" ht="86.4" x14ac:dyDescent="0.25">
      <c r="A8" s="102" t="s">
        <v>255</v>
      </c>
      <c r="B8" s="100" t="s">
        <v>102</v>
      </c>
      <c r="C8" s="97" t="s">
        <v>94</v>
      </c>
      <c r="D8" s="101">
        <v>8.8000000000000007</v>
      </c>
      <c r="E8" s="101"/>
      <c r="F8" s="101"/>
      <c r="G8" s="97" t="s">
        <v>74</v>
      </c>
      <c r="H8" s="101">
        <v>15</v>
      </c>
      <c r="I8" s="101"/>
      <c r="J8" s="101"/>
      <c r="K8" s="97" t="s">
        <v>74</v>
      </c>
      <c r="L8" s="101">
        <v>27.8</v>
      </c>
      <c r="M8" s="101"/>
      <c r="N8" s="101"/>
      <c r="O8" s="100" t="s">
        <v>20</v>
      </c>
      <c r="P8" s="101">
        <v>51.6</v>
      </c>
      <c r="Q8" s="97" t="s">
        <v>21</v>
      </c>
      <c r="R8" s="101">
        <v>9.8000000000000007</v>
      </c>
      <c r="S8" s="100" t="s">
        <v>20</v>
      </c>
      <c r="T8" s="101">
        <v>12.7</v>
      </c>
      <c r="U8" s="97" t="s">
        <v>68</v>
      </c>
      <c r="V8" s="95"/>
    </row>
    <row r="9" spans="1:22" ht="86.4" x14ac:dyDescent="0.25">
      <c r="A9" s="102" t="s">
        <v>257</v>
      </c>
      <c r="B9" s="100" t="s">
        <v>100</v>
      </c>
      <c r="C9" s="97" t="s">
        <v>94</v>
      </c>
      <c r="D9" s="111">
        <v>49.7</v>
      </c>
      <c r="E9" s="111"/>
      <c r="F9" s="111"/>
      <c r="G9" s="102" t="s">
        <v>19</v>
      </c>
      <c r="H9" s="101">
        <v>0</v>
      </c>
      <c r="I9" s="101"/>
      <c r="J9" s="101"/>
      <c r="K9" s="97" t="s">
        <v>74</v>
      </c>
      <c r="L9" s="101">
        <v>29.9</v>
      </c>
      <c r="M9" s="101"/>
      <c r="N9" s="101"/>
      <c r="O9" s="100" t="s">
        <v>20</v>
      </c>
      <c r="P9" s="101">
        <v>79.599999999999994</v>
      </c>
      <c r="Q9" s="97" t="s">
        <v>21</v>
      </c>
      <c r="R9" s="101">
        <v>15.8</v>
      </c>
      <c r="S9" s="100" t="s">
        <v>20</v>
      </c>
      <c r="T9" s="101">
        <v>20.3</v>
      </c>
      <c r="U9" s="97" t="s">
        <v>68</v>
      </c>
      <c r="V9" s="95"/>
    </row>
    <row r="10" spans="1:22" ht="86.4" x14ac:dyDescent="0.25">
      <c r="A10" s="102" t="s">
        <v>259</v>
      </c>
      <c r="B10" s="100" t="s">
        <v>107</v>
      </c>
      <c r="C10" s="97" t="s">
        <v>94</v>
      </c>
      <c r="D10" s="111">
        <v>49.3</v>
      </c>
      <c r="E10" s="111"/>
      <c r="F10" s="111"/>
      <c r="G10" s="102" t="s">
        <v>19</v>
      </c>
      <c r="H10" s="101">
        <v>0</v>
      </c>
      <c r="I10" s="101"/>
      <c r="J10" s="101"/>
      <c r="K10" s="97" t="s">
        <v>74</v>
      </c>
      <c r="L10" s="101">
        <v>30</v>
      </c>
      <c r="M10" s="101"/>
      <c r="N10" s="101"/>
      <c r="O10" s="100" t="s">
        <v>20</v>
      </c>
      <c r="P10" s="101">
        <v>79.3</v>
      </c>
      <c r="Q10" s="97" t="s">
        <v>21</v>
      </c>
      <c r="R10" s="101">
        <v>15.8</v>
      </c>
      <c r="S10" s="100" t="s">
        <v>20</v>
      </c>
      <c r="T10" s="101">
        <v>20.2</v>
      </c>
      <c r="U10" s="97" t="s">
        <v>68</v>
      </c>
      <c r="V10" s="95"/>
    </row>
    <row r="11" spans="1:22" ht="86.4" x14ac:dyDescent="0.25">
      <c r="A11" s="99" t="s">
        <v>261</v>
      </c>
      <c r="B11" s="100" t="s">
        <v>81</v>
      </c>
      <c r="C11" s="97" t="s">
        <v>94</v>
      </c>
      <c r="D11" s="101">
        <v>7.1</v>
      </c>
      <c r="E11" s="101"/>
      <c r="F11" s="101"/>
      <c r="G11" s="102" t="s">
        <v>19</v>
      </c>
      <c r="H11" s="101">
        <v>0</v>
      </c>
      <c r="I11" s="101"/>
      <c r="J11" s="101"/>
      <c r="K11" s="97" t="s">
        <v>74</v>
      </c>
      <c r="L11" s="101">
        <v>27.3</v>
      </c>
      <c r="M11" s="101"/>
      <c r="N11" s="101"/>
      <c r="O11" s="100" t="s">
        <v>20</v>
      </c>
      <c r="P11" s="101">
        <v>34.4</v>
      </c>
      <c r="Q11" s="97" t="s">
        <v>21</v>
      </c>
      <c r="R11" s="101">
        <v>5.4</v>
      </c>
      <c r="S11" s="100" t="s">
        <v>20</v>
      </c>
      <c r="T11" s="101">
        <v>8.1999999999999993</v>
      </c>
      <c r="U11" s="97" t="s">
        <v>68</v>
      </c>
      <c r="V11" s="95"/>
    </row>
    <row r="12" spans="1:22" ht="86.4" x14ac:dyDescent="0.25">
      <c r="A12" s="99" t="s">
        <v>262</v>
      </c>
      <c r="B12" s="99" t="s">
        <v>32</v>
      </c>
      <c r="C12" s="97" t="s">
        <v>67</v>
      </c>
      <c r="D12" s="101">
        <v>16.3</v>
      </c>
      <c r="E12" s="113"/>
      <c r="F12" s="113"/>
      <c r="G12" s="97" t="s">
        <v>71</v>
      </c>
      <c r="H12" s="101">
        <v>30.6</v>
      </c>
      <c r="I12" s="113"/>
      <c r="J12" s="113"/>
      <c r="K12" s="99" t="s">
        <v>19</v>
      </c>
      <c r="L12" s="101">
        <v>0</v>
      </c>
      <c r="M12" s="113"/>
      <c r="N12" s="113"/>
      <c r="O12" s="110" t="s">
        <v>20</v>
      </c>
      <c r="P12" s="101">
        <v>46.9</v>
      </c>
      <c r="Q12" s="97" t="s">
        <v>21</v>
      </c>
      <c r="R12" s="101">
        <v>19.100000000000001</v>
      </c>
      <c r="S12" s="110" t="s">
        <v>20</v>
      </c>
      <c r="T12" s="101">
        <v>4.7</v>
      </c>
      <c r="U12" s="97" t="s">
        <v>68</v>
      </c>
      <c r="V12" s="95"/>
    </row>
    <row r="13" spans="1:22" ht="86.4" x14ac:dyDescent="0.25">
      <c r="A13" s="102" t="s">
        <v>264</v>
      </c>
      <c r="B13" s="102" t="s">
        <v>265</v>
      </c>
      <c r="C13" s="97" t="s">
        <v>67</v>
      </c>
      <c r="D13" s="111">
        <v>164.1</v>
      </c>
      <c r="E13" s="111"/>
      <c r="F13" s="111"/>
      <c r="G13" s="97" t="s">
        <v>71</v>
      </c>
      <c r="H13" s="101">
        <v>85.3</v>
      </c>
      <c r="I13" s="101"/>
      <c r="J13" s="101"/>
      <c r="K13" s="97" t="s">
        <v>71</v>
      </c>
      <c r="L13" s="111">
        <v>42.8</v>
      </c>
      <c r="M13" s="111"/>
      <c r="N13" s="111"/>
      <c r="O13" s="100" t="s">
        <v>20</v>
      </c>
      <c r="P13" s="111">
        <v>292.2</v>
      </c>
      <c r="Q13" s="97" t="s">
        <v>21</v>
      </c>
      <c r="R13" s="111">
        <v>377.8</v>
      </c>
      <c r="S13" s="100" t="s">
        <v>20</v>
      </c>
      <c r="T13" s="101">
        <v>70.5</v>
      </c>
      <c r="U13" s="97" t="s">
        <v>68</v>
      </c>
      <c r="V13" s="95"/>
    </row>
    <row r="14" spans="1:22" ht="86.4" x14ac:dyDescent="0.25">
      <c r="A14" s="99" t="s">
        <v>247</v>
      </c>
      <c r="B14" s="102" t="s">
        <v>32</v>
      </c>
      <c r="C14" s="97" t="s">
        <v>67</v>
      </c>
      <c r="D14" s="101">
        <v>138.9</v>
      </c>
      <c r="E14" s="101"/>
      <c r="F14" s="101"/>
      <c r="G14" s="97" t="s">
        <v>71</v>
      </c>
      <c r="H14" s="101">
        <v>123.1</v>
      </c>
      <c r="I14" s="101"/>
      <c r="J14" s="101"/>
      <c r="K14" s="97" t="s">
        <v>71</v>
      </c>
      <c r="L14" s="101">
        <v>6.7</v>
      </c>
      <c r="M14" s="101"/>
      <c r="N14" s="101"/>
      <c r="O14" s="100" t="s">
        <v>20</v>
      </c>
      <c r="P14" s="111">
        <v>268.7</v>
      </c>
      <c r="Q14" s="97" t="s">
        <v>21</v>
      </c>
      <c r="R14" s="101">
        <v>115.5</v>
      </c>
      <c r="S14" s="100" t="s">
        <v>20</v>
      </c>
      <c r="T14" s="111">
        <v>52.7</v>
      </c>
      <c r="U14" s="97" t="s">
        <v>68</v>
      </c>
    </row>
    <row r="15" spans="1:22" ht="86.4" x14ac:dyDescent="0.25">
      <c r="A15" s="99" t="s">
        <v>250</v>
      </c>
      <c r="B15" s="100" t="s">
        <v>126</v>
      </c>
      <c r="C15" s="97" t="s">
        <v>67</v>
      </c>
      <c r="D15" s="101">
        <v>78.7</v>
      </c>
      <c r="E15" s="101"/>
      <c r="F15" s="101"/>
      <c r="G15" s="102" t="s">
        <v>19</v>
      </c>
      <c r="H15" s="101">
        <v>0</v>
      </c>
      <c r="I15" s="101"/>
      <c r="J15" s="101"/>
      <c r="K15" s="102" t="s">
        <v>19</v>
      </c>
      <c r="L15" s="101">
        <v>0</v>
      </c>
      <c r="M15" s="101"/>
      <c r="N15" s="101"/>
      <c r="O15" s="100" t="s">
        <v>20</v>
      </c>
      <c r="P15" s="111">
        <v>78.7</v>
      </c>
      <c r="Q15" s="97" t="s">
        <v>21</v>
      </c>
      <c r="R15" s="101">
        <v>13.5</v>
      </c>
      <c r="S15" s="100" t="s">
        <v>20</v>
      </c>
      <c r="T15" s="111">
        <v>20.5</v>
      </c>
      <c r="U15" s="97" t="s">
        <v>68</v>
      </c>
    </row>
    <row r="16" spans="1:22" ht="86.4" x14ac:dyDescent="0.25">
      <c r="A16" s="99" t="s">
        <v>252</v>
      </c>
      <c r="B16" s="100" t="s">
        <v>128</v>
      </c>
      <c r="C16" s="97" t="s">
        <v>67</v>
      </c>
      <c r="D16" s="101">
        <v>84</v>
      </c>
      <c r="E16" s="101"/>
      <c r="F16" s="101"/>
      <c r="G16" s="102" t="s">
        <v>19</v>
      </c>
      <c r="H16" s="101">
        <v>0</v>
      </c>
      <c r="I16" s="101"/>
      <c r="J16" s="101"/>
      <c r="K16" s="102" t="s">
        <v>19</v>
      </c>
      <c r="L16" s="101">
        <v>0</v>
      </c>
      <c r="M16" s="101"/>
      <c r="N16" s="101"/>
      <c r="O16" s="100" t="s">
        <v>20</v>
      </c>
      <c r="P16" s="111">
        <v>84</v>
      </c>
      <c r="Q16" s="97" t="s">
        <v>21</v>
      </c>
      <c r="R16" s="101">
        <v>27.9</v>
      </c>
      <c r="S16" s="100" t="s">
        <v>20</v>
      </c>
      <c r="T16" s="111">
        <v>21.7</v>
      </c>
      <c r="U16" s="97" t="s">
        <v>68</v>
      </c>
    </row>
    <row r="17" spans="1:21" ht="86.4" x14ac:dyDescent="0.25">
      <c r="A17" s="102" t="s">
        <v>253</v>
      </c>
      <c r="B17" s="100" t="s">
        <v>254</v>
      </c>
      <c r="C17" s="97" t="s">
        <v>67</v>
      </c>
      <c r="D17" s="101">
        <v>33.5</v>
      </c>
      <c r="E17" s="101"/>
      <c r="F17" s="101"/>
      <c r="G17" s="97" t="s">
        <v>71</v>
      </c>
      <c r="H17" s="101">
        <v>20.9</v>
      </c>
      <c r="I17" s="101"/>
      <c r="J17" s="101"/>
      <c r="K17" s="102" t="s">
        <v>19</v>
      </c>
      <c r="L17" s="101">
        <v>0</v>
      </c>
      <c r="M17" s="101"/>
      <c r="N17" s="101"/>
      <c r="O17" s="100" t="s">
        <v>20</v>
      </c>
      <c r="P17" s="111">
        <v>54.3</v>
      </c>
      <c r="Q17" s="100" t="s">
        <v>30</v>
      </c>
      <c r="R17" s="101">
        <v>25.9</v>
      </c>
      <c r="S17" s="100" t="s">
        <v>20</v>
      </c>
      <c r="T17" s="111">
        <v>14.5</v>
      </c>
      <c r="U17" s="97" t="s">
        <v>68</v>
      </c>
    </row>
    <row r="18" spans="1:21" ht="86.4" x14ac:dyDescent="0.25">
      <c r="A18" s="102" t="s">
        <v>256</v>
      </c>
      <c r="B18" s="100" t="s">
        <v>130</v>
      </c>
      <c r="C18" s="97" t="s">
        <v>67</v>
      </c>
      <c r="D18" s="101">
        <v>82.1</v>
      </c>
      <c r="E18" s="101"/>
      <c r="F18" s="101"/>
      <c r="G18" s="102" t="s">
        <v>19</v>
      </c>
      <c r="H18" s="101">
        <v>0</v>
      </c>
      <c r="I18" s="101"/>
      <c r="J18" s="101"/>
      <c r="K18" s="102" t="s">
        <v>19</v>
      </c>
      <c r="L18" s="101">
        <v>0</v>
      </c>
      <c r="M18" s="101"/>
      <c r="N18" s="101"/>
      <c r="O18" s="100" t="s">
        <v>20</v>
      </c>
      <c r="P18" s="101">
        <v>82.1</v>
      </c>
      <c r="Q18" s="97" t="s">
        <v>21</v>
      </c>
      <c r="R18" s="101">
        <v>13.6</v>
      </c>
      <c r="S18" s="100" t="s">
        <v>20</v>
      </c>
      <c r="T18" s="111">
        <v>20.5</v>
      </c>
      <c r="U18" s="97" t="s">
        <v>68</v>
      </c>
    </row>
    <row r="19" spans="1:21" ht="86.4" x14ac:dyDescent="0.25">
      <c r="A19" s="102" t="s">
        <v>258</v>
      </c>
      <c r="B19" s="100" t="s">
        <v>132</v>
      </c>
      <c r="C19" s="97" t="s">
        <v>67</v>
      </c>
      <c r="D19" s="101">
        <v>85.1</v>
      </c>
      <c r="E19" s="101"/>
      <c r="F19" s="101"/>
      <c r="G19" s="102" t="s">
        <v>19</v>
      </c>
      <c r="H19" s="101">
        <v>0</v>
      </c>
      <c r="I19" s="101"/>
      <c r="J19" s="101"/>
      <c r="K19" s="97" t="s">
        <v>71</v>
      </c>
      <c r="L19" s="101">
        <v>13.5</v>
      </c>
      <c r="M19" s="101"/>
      <c r="N19" s="101"/>
      <c r="O19" s="100" t="s">
        <v>20</v>
      </c>
      <c r="P19" s="111">
        <v>98.7</v>
      </c>
      <c r="Q19" s="97" t="s">
        <v>21</v>
      </c>
      <c r="R19" s="111">
        <v>23.4</v>
      </c>
      <c r="S19" s="100" t="s">
        <v>20</v>
      </c>
      <c r="T19" s="111">
        <v>24.8</v>
      </c>
      <c r="U19" s="97" t="s">
        <v>68</v>
      </c>
    </row>
    <row r="20" spans="1:21" ht="187.2" x14ac:dyDescent="0.25">
      <c r="A20" s="102" t="s">
        <v>260</v>
      </c>
      <c r="B20" s="102" t="s">
        <v>159</v>
      </c>
      <c r="C20" s="97" t="s">
        <v>94</v>
      </c>
      <c r="D20" s="101">
        <v>10.8</v>
      </c>
      <c r="E20" s="101"/>
      <c r="F20" s="101"/>
      <c r="G20" s="97" t="s">
        <v>74</v>
      </c>
      <c r="H20" s="101">
        <v>15.6</v>
      </c>
      <c r="I20" s="101"/>
      <c r="J20" s="101"/>
      <c r="K20" s="97" t="s">
        <v>74</v>
      </c>
      <c r="L20" s="101">
        <v>21.3</v>
      </c>
      <c r="M20" s="101"/>
      <c r="N20" s="101"/>
      <c r="O20" s="100" t="s">
        <v>20</v>
      </c>
      <c r="P20" s="111">
        <v>47.6</v>
      </c>
      <c r="Q20" s="97" t="s">
        <v>210</v>
      </c>
      <c r="R20" s="101">
        <v>8.3000000000000007</v>
      </c>
      <c r="S20" s="100" t="s">
        <v>20</v>
      </c>
      <c r="T20" s="111">
        <v>10.8</v>
      </c>
      <c r="U20" s="97" t="s">
        <v>68</v>
      </c>
    </row>
    <row r="21" spans="1:21" ht="115.2" x14ac:dyDescent="0.25">
      <c r="A21" s="102" t="s">
        <v>263</v>
      </c>
      <c r="B21" s="100" t="s">
        <v>187</v>
      </c>
      <c r="C21" s="97" t="s">
        <v>17</v>
      </c>
      <c r="D21" s="111">
        <v>43.8</v>
      </c>
      <c r="E21" s="111"/>
      <c r="F21" s="111"/>
      <c r="G21" s="97" t="s">
        <v>18</v>
      </c>
      <c r="H21" s="101">
        <v>6.3</v>
      </c>
      <c r="I21" s="101"/>
      <c r="J21" s="101"/>
      <c r="K21" s="97" t="s">
        <v>18</v>
      </c>
      <c r="L21" s="101">
        <v>33.799999999999997</v>
      </c>
      <c r="M21" s="101"/>
      <c r="N21" s="101"/>
      <c r="O21" s="100" t="s">
        <v>20</v>
      </c>
      <c r="P21" s="111">
        <v>83.9</v>
      </c>
      <c r="Q21" s="100" t="s">
        <v>178</v>
      </c>
      <c r="R21" s="101">
        <v>21.6</v>
      </c>
      <c r="S21" s="100" t="s">
        <v>20</v>
      </c>
      <c r="T21" s="111">
        <v>20.3</v>
      </c>
      <c r="U21" s="102" t="s">
        <v>19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U17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x14ac:dyDescent="0.25">
      <c r="A1" s="567" t="s">
        <v>359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21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07"/>
      <c r="N2" s="107"/>
      <c r="O2" s="107"/>
      <c r="P2" s="107"/>
      <c r="Q2" s="555" t="s">
        <v>4</v>
      </c>
      <c r="R2" s="555"/>
      <c r="S2" s="558" t="s">
        <v>5</v>
      </c>
      <c r="T2" s="558"/>
      <c r="U2" s="108" t="s">
        <v>6</v>
      </c>
    </row>
    <row r="3" spans="1:21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109" t="s">
        <v>63</v>
      </c>
      <c r="J3" s="109"/>
      <c r="K3" s="109" t="s">
        <v>64</v>
      </c>
      <c r="L3" s="109"/>
      <c r="M3" s="566" t="s">
        <v>358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08"/>
    </row>
    <row r="4" spans="1:21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555"/>
      <c r="R4" s="556"/>
      <c r="S4" s="555"/>
      <c r="T4" s="560"/>
      <c r="U4" s="108"/>
    </row>
    <row r="5" spans="1:21" ht="115.2" x14ac:dyDescent="0.25">
      <c r="A5" s="17" t="s">
        <v>266</v>
      </c>
      <c r="B5" s="17" t="s">
        <v>189</v>
      </c>
      <c r="C5" s="1" t="s">
        <v>17</v>
      </c>
      <c r="D5" s="21">
        <v>0.1</v>
      </c>
      <c r="E5" s="85"/>
      <c r="F5" s="85"/>
      <c r="G5" s="1" t="s">
        <v>18</v>
      </c>
      <c r="H5" s="21">
        <v>5.0999999999999996</v>
      </c>
      <c r="I5" s="85"/>
      <c r="J5" s="85"/>
      <c r="K5" s="1" t="s">
        <v>18</v>
      </c>
      <c r="L5" s="19">
        <v>34.5</v>
      </c>
      <c r="M5" s="84"/>
      <c r="N5" s="84"/>
      <c r="O5" s="22" t="s">
        <v>20</v>
      </c>
      <c r="P5" s="21">
        <v>39.700000000000003</v>
      </c>
      <c r="Q5" s="22" t="s">
        <v>178</v>
      </c>
      <c r="R5" s="21">
        <v>6.7</v>
      </c>
      <c r="S5" s="22" t="s">
        <v>20</v>
      </c>
      <c r="T5" s="21">
        <v>9</v>
      </c>
      <c r="U5" s="1" t="s">
        <v>190</v>
      </c>
    </row>
    <row r="6" spans="1:21" ht="86.4" x14ac:dyDescent="0.25">
      <c r="A6" s="7" t="s">
        <v>270</v>
      </c>
      <c r="B6" s="8" t="s">
        <v>192</v>
      </c>
      <c r="C6" s="3" t="s">
        <v>94</v>
      </c>
      <c r="D6" s="9">
        <v>8.5</v>
      </c>
      <c r="E6" s="9"/>
      <c r="F6" s="82"/>
      <c r="G6" s="102" t="s">
        <v>19</v>
      </c>
      <c r="H6" s="101">
        <v>0</v>
      </c>
      <c r="I6" s="101"/>
      <c r="J6" s="101"/>
      <c r="K6" s="97" t="s">
        <v>74</v>
      </c>
      <c r="L6" s="101">
        <v>79.2</v>
      </c>
      <c r="M6" s="101"/>
      <c r="N6" s="101"/>
      <c r="O6" s="100" t="s">
        <v>20</v>
      </c>
      <c r="P6" s="101">
        <v>87.8</v>
      </c>
      <c r="Q6" s="100" t="s">
        <v>178</v>
      </c>
      <c r="R6" s="101">
        <v>29.6</v>
      </c>
      <c r="S6" s="100" t="s">
        <v>20</v>
      </c>
      <c r="T6" s="101">
        <v>21.7</v>
      </c>
      <c r="U6" s="97" t="s">
        <v>68</v>
      </c>
    </row>
    <row r="7" spans="1:21" ht="115.2" x14ac:dyDescent="0.25">
      <c r="A7" s="7" t="s">
        <v>271</v>
      </c>
      <c r="B7" s="10" t="s">
        <v>194</v>
      </c>
      <c r="C7" s="3" t="s">
        <v>17</v>
      </c>
      <c r="D7" s="9">
        <v>46.6</v>
      </c>
      <c r="E7" s="9"/>
      <c r="F7" s="82"/>
      <c r="G7" s="102" t="s">
        <v>19</v>
      </c>
      <c r="H7" s="101">
        <v>0</v>
      </c>
      <c r="I7" s="101"/>
      <c r="J7" s="101"/>
      <c r="K7" s="97" t="s">
        <v>18</v>
      </c>
      <c r="L7" s="101">
        <v>34.299999999999997</v>
      </c>
      <c r="M7" s="101"/>
      <c r="N7" s="101"/>
      <c r="O7" s="100" t="s">
        <v>20</v>
      </c>
      <c r="P7" s="101">
        <v>80.900000000000006</v>
      </c>
      <c r="Q7" s="100" t="s">
        <v>178</v>
      </c>
      <c r="R7" s="101">
        <v>51.3</v>
      </c>
      <c r="S7" s="100" t="s">
        <v>20</v>
      </c>
      <c r="T7" s="101">
        <v>23.6</v>
      </c>
      <c r="U7" s="102" t="s">
        <v>19</v>
      </c>
    </row>
    <row r="8" spans="1:21" ht="115.2" x14ac:dyDescent="0.25">
      <c r="A8" s="7" t="s">
        <v>274</v>
      </c>
      <c r="B8" s="10" t="s">
        <v>196</v>
      </c>
      <c r="C8" s="3" t="s">
        <v>17</v>
      </c>
      <c r="D8" s="9">
        <v>43.2</v>
      </c>
      <c r="E8" s="9"/>
      <c r="F8" s="82"/>
      <c r="G8" s="97" t="s">
        <v>18</v>
      </c>
      <c r="H8" s="101">
        <v>27.9</v>
      </c>
      <c r="I8" s="101"/>
      <c r="J8" s="101"/>
      <c r="K8" s="97" t="s">
        <v>18</v>
      </c>
      <c r="L8" s="101">
        <v>19.8</v>
      </c>
      <c r="M8" s="101"/>
      <c r="N8" s="101"/>
      <c r="O8" s="100" t="s">
        <v>20</v>
      </c>
      <c r="P8" s="101">
        <v>90.9</v>
      </c>
      <c r="Q8" s="100" t="s">
        <v>178</v>
      </c>
      <c r="R8" s="101">
        <v>56.6</v>
      </c>
      <c r="S8" s="100" t="s">
        <v>20</v>
      </c>
      <c r="T8" s="101">
        <v>25</v>
      </c>
      <c r="U8" s="102" t="s">
        <v>19</v>
      </c>
    </row>
    <row r="9" spans="1:21" ht="115.2" x14ac:dyDescent="0.25">
      <c r="A9" s="7" t="s">
        <v>277</v>
      </c>
      <c r="B9" s="8" t="s">
        <v>187</v>
      </c>
      <c r="C9" s="3" t="s">
        <v>17</v>
      </c>
      <c r="D9" s="9">
        <v>33.700000000000003</v>
      </c>
      <c r="E9" s="9"/>
      <c r="F9" s="82"/>
      <c r="G9" s="97" t="s">
        <v>18</v>
      </c>
      <c r="H9" s="101">
        <v>14.4</v>
      </c>
      <c r="I9" s="101"/>
      <c r="J9" s="101"/>
      <c r="K9" s="97" t="s">
        <v>18</v>
      </c>
      <c r="L9" s="101">
        <v>33.799999999999997</v>
      </c>
      <c r="M9" s="101"/>
      <c r="N9" s="101"/>
      <c r="O9" s="100" t="s">
        <v>20</v>
      </c>
      <c r="P9" s="101">
        <v>81.8</v>
      </c>
      <c r="Q9" s="100" t="s">
        <v>178</v>
      </c>
      <c r="R9" s="101">
        <v>21.5</v>
      </c>
      <c r="S9" s="100" t="s">
        <v>20</v>
      </c>
      <c r="T9" s="101">
        <v>20.3</v>
      </c>
      <c r="U9" s="102" t="s">
        <v>19</v>
      </c>
    </row>
    <row r="10" spans="1:21" ht="115.2" x14ac:dyDescent="0.25">
      <c r="A10" s="7" t="s">
        <v>280</v>
      </c>
      <c r="B10" s="10" t="s">
        <v>189</v>
      </c>
      <c r="C10" s="3" t="s">
        <v>17</v>
      </c>
      <c r="D10" s="9">
        <v>0.1</v>
      </c>
      <c r="E10" s="9"/>
      <c r="F10" s="82"/>
      <c r="G10" s="97" t="s">
        <v>18</v>
      </c>
      <c r="H10" s="101">
        <v>5.0999999999999996</v>
      </c>
      <c r="I10" s="101"/>
      <c r="J10" s="101"/>
      <c r="K10" s="97" t="s">
        <v>18</v>
      </c>
      <c r="L10" s="101">
        <v>34.5</v>
      </c>
      <c r="M10" s="101"/>
      <c r="N10" s="101"/>
      <c r="O10" s="100" t="s">
        <v>20</v>
      </c>
      <c r="P10" s="101">
        <v>39.700000000000003</v>
      </c>
      <c r="Q10" s="100" t="s">
        <v>178</v>
      </c>
      <c r="R10" s="101">
        <v>6.7</v>
      </c>
      <c r="S10" s="100" t="s">
        <v>20</v>
      </c>
      <c r="T10" s="101">
        <v>9</v>
      </c>
      <c r="U10" s="97" t="s">
        <v>190</v>
      </c>
    </row>
    <row r="11" spans="1:21" ht="115.2" x14ac:dyDescent="0.25">
      <c r="A11" s="57" t="s">
        <v>281</v>
      </c>
      <c r="B11" s="58" t="s">
        <v>194</v>
      </c>
      <c r="C11" s="79" t="s">
        <v>17</v>
      </c>
      <c r="D11" s="59">
        <v>46.6</v>
      </c>
      <c r="E11" s="94"/>
      <c r="F11" s="66"/>
      <c r="G11" s="112" t="s">
        <v>19</v>
      </c>
      <c r="H11" s="113">
        <v>0</v>
      </c>
      <c r="I11" s="113"/>
      <c r="J11" s="113"/>
      <c r="K11" s="97" t="s">
        <v>18</v>
      </c>
      <c r="L11" s="113">
        <v>34.299999999999997</v>
      </c>
      <c r="M11" s="113"/>
      <c r="N11" s="113"/>
      <c r="O11" s="97" t="s">
        <v>20</v>
      </c>
      <c r="P11" s="113">
        <v>80.8</v>
      </c>
      <c r="Q11" s="97" t="s">
        <v>178</v>
      </c>
      <c r="R11" s="113">
        <v>51.3</v>
      </c>
      <c r="S11" s="97" t="s">
        <v>20</v>
      </c>
      <c r="T11" s="113">
        <v>23.6</v>
      </c>
      <c r="U11" s="112" t="s">
        <v>19</v>
      </c>
    </row>
    <row r="12" spans="1:21" ht="115.2" x14ac:dyDescent="0.25">
      <c r="A12" s="58" t="s">
        <v>282</v>
      </c>
      <c r="B12" s="58" t="s">
        <v>196</v>
      </c>
      <c r="C12" s="79" t="s">
        <v>17</v>
      </c>
      <c r="D12" s="59">
        <v>59.5</v>
      </c>
      <c r="E12" s="94"/>
      <c r="F12" s="66"/>
      <c r="G12" s="97" t="s">
        <v>18</v>
      </c>
      <c r="H12" s="113">
        <v>7.5</v>
      </c>
      <c r="I12" s="113"/>
      <c r="J12" s="113"/>
      <c r="K12" s="97" t="s">
        <v>18</v>
      </c>
      <c r="L12" s="113">
        <v>19.8</v>
      </c>
      <c r="M12" s="113"/>
      <c r="N12" s="113"/>
      <c r="O12" s="97" t="s">
        <v>20</v>
      </c>
      <c r="P12" s="113">
        <v>86.8</v>
      </c>
      <c r="Q12" s="97" t="s">
        <v>178</v>
      </c>
      <c r="R12" s="113">
        <v>56.3</v>
      </c>
      <c r="S12" s="97" t="s">
        <v>20</v>
      </c>
      <c r="T12" s="114">
        <v>24.9</v>
      </c>
      <c r="U12" s="112" t="s">
        <v>19</v>
      </c>
    </row>
    <row r="13" spans="1:21" ht="86.4" x14ac:dyDescent="0.25">
      <c r="A13" s="7" t="s">
        <v>267</v>
      </c>
      <c r="B13" s="8" t="s">
        <v>192</v>
      </c>
      <c r="C13" s="3" t="s">
        <v>94</v>
      </c>
      <c r="D13" s="9">
        <v>8.5</v>
      </c>
      <c r="E13" s="9"/>
      <c r="F13" s="82"/>
      <c r="G13" s="102" t="s">
        <v>19</v>
      </c>
      <c r="H13" s="101">
        <v>0</v>
      </c>
      <c r="I13" s="101"/>
      <c r="J13" s="101"/>
      <c r="K13" s="97" t="s">
        <v>74</v>
      </c>
      <c r="L13" s="101">
        <v>79.2</v>
      </c>
      <c r="M13" s="101"/>
      <c r="N13" s="101"/>
      <c r="O13" s="100" t="s">
        <v>20</v>
      </c>
      <c r="P13" s="111">
        <v>87.7</v>
      </c>
      <c r="Q13" s="100" t="s">
        <v>178</v>
      </c>
      <c r="R13" s="115">
        <v>29.6</v>
      </c>
      <c r="S13" s="100" t="s">
        <v>20</v>
      </c>
      <c r="T13" s="111">
        <v>21.7</v>
      </c>
      <c r="U13" s="97" t="s">
        <v>68</v>
      </c>
    </row>
    <row r="14" spans="1:21" ht="115.2" x14ac:dyDescent="0.25">
      <c r="A14" s="17" t="s">
        <v>268</v>
      </c>
      <c r="B14" s="1" t="s">
        <v>269</v>
      </c>
      <c r="C14" s="1" t="s">
        <v>17</v>
      </c>
      <c r="D14" s="21">
        <v>60.7</v>
      </c>
      <c r="E14" s="85"/>
      <c r="F14" s="87"/>
      <c r="G14" s="97" t="s">
        <v>18</v>
      </c>
      <c r="H14" s="111">
        <v>42.3</v>
      </c>
      <c r="I14" s="111"/>
      <c r="J14" s="111"/>
      <c r="K14" s="97" t="s">
        <v>18</v>
      </c>
      <c r="L14" s="101">
        <v>9.1</v>
      </c>
      <c r="M14" s="101"/>
      <c r="N14" s="101"/>
      <c r="O14" s="100" t="s">
        <v>20</v>
      </c>
      <c r="P14" s="111">
        <v>112.1</v>
      </c>
      <c r="Q14" s="100" t="s">
        <v>178</v>
      </c>
      <c r="R14" s="101">
        <v>81.7</v>
      </c>
      <c r="S14" s="100" t="s">
        <v>20</v>
      </c>
      <c r="T14" s="111">
        <v>31</v>
      </c>
      <c r="U14" s="102" t="s">
        <v>19</v>
      </c>
    </row>
    <row r="15" spans="1:21" ht="115.2" x14ac:dyDescent="0.25">
      <c r="A15" s="7" t="s">
        <v>272</v>
      </c>
      <c r="B15" s="8" t="s">
        <v>273</v>
      </c>
      <c r="C15" s="3" t="s">
        <v>17</v>
      </c>
      <c r="D15" s="9">
        <v>35.4</v>
      </c>
      <c r="E15" s="9"/>
      <c r="F15" s="82"/>
      <c r="G15" s="97" t="s">
        <v>18</v>
      </c>
      <c r="H15" s="101">
        <v>6</v>
      </c>
      <c r="I15" s="101"/>
      <c r="J15" s="101"/>
      <c r="K15" s="102" t="s">
        <v>19</v>
      </c>
      <c r="L15" s="101">
        <v>0</v>
      </c>
      <c r="M15" s="101"/>
      <c r="N15" s="101"/>
      <c r="O15" s="100" t="s">
        <v>20</v>
      </c>
      <c r="P15" s="101">
        <v>41.3</v>
      </c>
      <c r="Q15" s="100" t="s">
        <v>178</v>
      </c>
      <c r="R15" s="116">
        <v>7</v>
      </c>
      <c r="S15" s="100" t="s">
        <v>20</v>
      </c>
      <c r="T15" s="101">
        <v>9.9</v>
      </c>
      <c r="U15" s="102" t="s">
        <v>19</v>
      </c>
    </row>
    <row r="16" spans="1:21" ht="115.2" x14ac:dyDescent="0.25">
      <c r="A16" s="7" t="s">
        <v>275</v>
      </c>
      <c r="B16" s="8" t="s">
        <v>276</v>
      </c>
      <c r="C16" s="3" t="s">
        <v>17</v>
      </c>
      <c r="D16" s="9">
        <v>47.7</v>
      </c>
      <c r="E16" s="9"/>
      <c r="F16" s="82"/>
      <c r="G16" s="97" t="s">
        <v>18</v>
      </c>
      <c r="H16" s="101">
        <v>36.700000000000003</v>
      </c>
      <c r="I16" s="101"/>
      <c r="J16" s="101"/>
      <c r="K16" s="97" t="s">
        <v>18</v>
      </c>
      <c r="L16" s="101">
        <v>17.5</v>
      </c>
      <c r="M16" s="101"/>
      <c r="N16" s="101"/>
      <c r="O16" s="100" t="s">
        <v>20</v>
      </c>
      <c r="P16" s="111">
        <v>102</v>
      </c>
      <c r="Q16" s="100" t="s">
        <v>178</v>
      </c>
      <c r="R16" s="115">
        <v>75.2</v>
      </c>
      <c r="S16" s="100" t="s">
        <v>20</v>
      </c>
      <c r="T16" s="111">
        <v>29.4</v>
      </c>
      <c r="U16" s="102" t="s">
        <v>19</v>
      </c>
    </row>
    <row r="17" spans="1:21" ht="115.2" x14ac:dyDescent="0.25">
      <c r="A17" s="7" t="s">
        <v>278</v>
      </c>
      <c r="B17" s="8" t="s">
        <v>279</v>
      </c>
      <c r="C17" s="3" t="s">
        <v>17</v>
      </c>
      <c r="D17" s="9">
        <v>12.5</v>
      </c>
      <c r="E17" s="9"/>
      <c r="F17" s="82"/>
      <c r="G17" s="97" t="s">
        <v>18</v>
      </c>
      <c r="H17" s="101">
        <v>4.5</v>
      </c>
      <c r="I17" s="101"/>
      <c r="J17" s="101"/>
      <c r="K17" s="97" t="s">
        <v>18</v>
      </c>
      <c r="L17" s="101">
        <v>23.2</v>
      </c>
      <c r="M17" s="101"/>
      <c r="N17" s="101"/>
      <c r="O17" s="100" t="s">
        <v>20</v>
      </c>
      <c r="P17" s="111">
        <v>40.200000000000003</v>
      </c>
      <c r="Q17" s="100" t="s">
        <v>178</v>
      </c>
      <c r="R17" s="116">
        <v>6.2</v>
      </c>
      <c r="S17" s="100" t="s">
        <v>20</v>
      </c>
      <c r="T17" s="101">
        <v>9.6</v>
      </c>
      <c r="U17" s="102" t="s">
        <v>19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AH12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4" x14ac:dyDescent="0.25">
      <c r="A1" s="567" t="s">
        <v>359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34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07"/>
      <c r="N2" s="107"/>
      <c r="O2" s="107"/>
      <c r="P2" s="107"/>
      <c r="Q2" s="555" t="s">
        <v>4</v>
      </c>
      <c r="R2" s="555"/>
      <c r="S2" s="558" t="s">
        <v>5</v>
      </c>
      <c r="T2" s="558"/>
      <c r="U2" s="108" t="s">
        <v>6</v>
      </c>
    </row>
    <row r="3" spans="1:34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109" t="s">
        <v>63</v>
      </c>
      <c r="J3" s="109"/>
      <c r="K3" s="109" t="s">
        <v>64</v>
      </c>
      <c r="L3" s="109"/>
      <c r="M3" s="566" t="s">
        <v>358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08"/>
    </row>
    <row r="4" spans="1:34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555"/>
      <c r="R4" s="556"/>
      <c r="S4" s="555"/>
      <c r="T4" s="560"/>
      <c r="U4" s="108"/>
    </row>
    <row r="5" spans="1:34" ht="187.2" x14ac:dyDescent="0.25">
      <c r="A5" s="7" t="s">
        <v>283</v>
      </c>
      <c r="B5" s="10" t="s">
        <v>32</v>
      </c>
      <c r="C5" s="3" t="s">
        <v>17</v>
      </c>
      <c r="D5" s="9">
        <v>40</v>
      </c>
      <c r="E5" s="3" t="s">
        <v>18</v>
      </c>
      <c r="F5" s="9">
        <v>3.7</v>
      </c>
      <c r="G5" s="3" t="s">
        <v>18</v>
      </c>
      <c r="H5" s="9">
        <v>39.9</v>
      </c>
      <c r="I5" s="9"/>
      <c r="J5" s="9"/>
      <c r="K5" s="3" t="s">
        <v>18</v>
      </c>
      <c r="L5" s="9">
        <v>4.9000000000000004</v>
      </c>
      <c r="M5" s="9"/>
      <c r="N5" s="9"/>
      <c r="O5" s="8" t="s">
        <v>20</v>
      </c>
      <c r="P5" s="9">
        <v>88.6</v>
      </c>
      <c r="Q5" s="8" t="s">
        <v>284</v>
      </c>
      <c r="R5" s="9">
        <v>38.700000000000003</v>
      </c>
      <c r="S5" s="8" t="s">
        <v>20</v>
      </c>
      <c r="T5" s="9">
        <v>14.8</v>
      </c>
      <c r="U5" s="10" t="s">
        <v>19</v>
      </c>
      <c r="AH5" s="95"/>
    </row>
    <row r="6" spans="1:34" ht="86.4" x14ac:dyDescent="0.25">
      <c r="A6" s="7" t="s">
        <v>285</v>
      </c>
      <c r="B6" s="8" t="s">
        <v>102</v>
      </c>
      <c r="C6" s="3" t="s">
        <v>94</v>
      </c>
      <c r="D6" s="9">
        <v>7.1</v>
      </c>
      <c r="E6" s="10" t="s">
        <v>19</v>
      </c>
      <c r="F6" s="9">
        <v>0</v>
      </c>
      <c r="G6" s="3" t="s">
        <v>74</v>
      </c>
      <c r="H6" s="9">
        <v>13.2</v>
      </c>
      <c r="I6" s="9"/>
      <c r="J6" s="9"/>
      <c r="K6" s="3" t="s">
        <v>74</v>
      </c>
      <c r="L6" s="9">
        <v>19.5</v>
      </c>
      <c r="M6" s="9"/>
      <c r="N6" s="9"/>
      <c r="O6" s="8" t="s">
        <v>20</v>
      </c>
      <c r="P6" s="9">
        <v>39.799999999999997</v>
      </c>
      <c r="Q6" s="8" t="s">
        <v>284</v>
      </c>
      <c r="R6" s="9">
        <v>5.8</v>
      </c>
      <c r="S6" s="8" t="s">
        <v>20</v>
      </c>
      <c r="T6" s="9">
        <v>9.6</v>
      </c>
      <c r="U6" s="3" t="s">
        <v>68</v>
      </c>
      <c r="AH6" s="95"/>
    </row>
    <row r="7" spans="1:34" ht="115.2" x14ac:dyDescent="0.25">
      <c r="A7" s="7" t="s">
        <v>286</v>
      </c>
      <c r="B7" s="8" t="s">
        <v>287</v>
      </c>
      <c r="C7" s="3" t="s">
        <v>17</v>
      </c>
      <c r="D7" s="9">
        <v>25.2</v>
      </c>
      <c r="E7" s="10" t="s">
        <v>19</v>
      </c>
      <c r="F7" s="9">
        <v>0</v>
      </c>
      <c r="G7" s="10" t="s">
        <v>19</v>
      </c>
      <c r="H7" s="9">
        <v>0</v>
      </c>
      <c r="I7" s="9"/>
      <c r="J7" s="9"/>
      <c r="K7" s="3" t="s">
        <v>18</v>
      </c>
      <c r="L7" s="9">
        <v>13.7</v>
      </c>
      <c r="M7" s="9"/>
      <c r="N7" s="9"/>
      <c r="O7" s="8" t="s">
        <v>20</v>
      </c>
      <c r="P7" s="9">
        <v>38.9</v>
      </c>
      <c r="Q7" s="8" t="s">
        <v>284</v>
      </c>
      <c r="R7" s="9">
        <v>6.2</v>
      </c>
      <c r="S7" s="8" t="s">
        <v>20</v>
      </c>
      <c r="T7" s="9">
        <v>9.5</v>
      </c>
      <c r="U7" s="10" t="s">
        <v>19</v>
      </c>
      <c r="AH7" s="95"/>
    </row>
    <row r="8" spans="1:34" ht="172.8" x14ac:dyDescent="0.25">
      <c r="A8" s="7" t="s">
        <v>288</v>
      </c>
      <c r="B8" s="8" t="s">
        <v>209</v>
      </c>
      <c r="C8" s="3" t="s">
        <v>17</v>
      </c>
      <c r="D8" s="9">
        <v>104</v>
      </c>
      <c r="E8" s="10" t="s">
        <v>19</v>
      </c>
      <c r="F8" s="9">
        <v>0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9"/>
      <c r="N8" s="9"/>
      <c r="O8" s="8" t="s">
        <v>20</v>
      </c>
      <c r="P8" s="9">
        <v>104</v>
      </c>
      <c r="Q8" s="3" t="s">
        <v>289</v>
      </c>
      <c r="R8" s="9">
        <v>26.3</v>
      </c>
      <c r="S8" s="8" t="s">
        <v>20</v>
      </c>
      <c r="T8" s="9">
        <v>28.7</v>
      </c>
      <c r="U8" s="10" t="s">
        <v>19</v>
      </c>
      <c r="AH8" s="95"/>
    </row>
    <row r="9" spans="1:34" ht="115.2" x14ac:dyDescent="0.25">
      <c r="A9" s="7" t="s">
        <v>290</v>
      </c>
      <c r="B9" s="8" t="s">
        <v>254</v>
      </c>
      <c r="C9" s="3" t="s">
        <v>17</v>
      </c>
      <c r="D9" s="9">
        <v>25.2</v>
      </c>
      <c r="E9" s="10" t="s">
        <v>19</v>
      </c>
      <c r="F9" s="9">
        <v>0</v>
      </c>
      <c r="G9" s="3" t="s">
        <v>18</v>
      </c>
      <c r="H9" s="9">
        <v>4.7</v>
      </c>
      <c r="I9" s="9"/>
      <c r="J9" s="9"/>
      <c r="K9" s="3" t="s">
        <v>18</v>
      </c>
      <c r="L9" s="9">
        <v>9.1</v>
      </c>
      <c r="M9" s="9"/>
      <c r="N9" s="9"/>
      <c r="O9" s="8" t="s">
        <v>20</v>
      </c>
      <c r="P9" s="9">
        <v>38.9</v>
      </c>
      <c r="Q9" s="8" t="s">
        <v>284</v>
      </c>
      <c r="R9" s="9">
        <v>6.5</v>
      </c>
      <c r="S9" s="8" t="s">
        <v>20</v>
      </c>
      <c r="T9" s="9">
        <v>8.6</v>
      </c>
      <c r="U9" s="10" t="s">
        <v>19</v>
      </c>
      <c r="AH9" s="95"/>
    </row>
    <row r="10" spans="1:34" ht="115.2" x14ac:dyDescent="0.25">
      <c r="A10" s="7" t="s">
        <v>291</v>
      </c>
      <c r="B10" s="10" t="s">
        <v>32</v>
      </c>
      <c r="C10" s="3" t="s">
        <v>17</v>
      </c>
      <c r="D10" s="9">
        <v>60.8</v>
      </c>
      <c r="E10" s="10" t="s">
        <v>19</v>
      </c>
      <c r="F10" s="9">
        <v>0</v>
      </c>
      <c r="G10" s="3" t="s">
        <v>18</v>
      </c>
      <c r="H10" s="9">
        <v>79.099999999999994</v>
      </c>
      <c r="I10" s="9"/>
      <c r="J10" s="9"/>
      <c r="K10" s="3" t="s">
        <v>18</v>
      </c>
      <c r="L10" s="9">
        <v>7.1</v>
      </c>
      <c r="M10" s="9"/>
      <c r="N10" s="9"/>
      <c r="O10" s="8" t="s">
        <v>20</v>
      </c>
      <c r="P10" s="9">
        <v>147</v>
      </c>
      <c r="Q10" s="8" t="s">
        <v>284</v>
      </c>
      <c r="R10" s="9">
        <v>63.1</v>
      </c>
      <c r="S10" s="8" t="s">
        <v>20</v>
      </c>
      <c r="T10" s="9">
        <v>31.5</v>
      </c>
      <c r="U10" s="10" t="s">
        <v>19</v>
      </c>
      <c r="AH10" s="95"/>
    </row>
    <row r="11" spans="1:34" ht="172.8" x14ac:dyDescent="0.25">
      <c r="A11" s="57" t="s">
        <v>292</v>
      </c>
      <c r="B11" s="2" t="s">
        <v>212</v>
      </c>
      <c r="C11" s="79" t="s">
        <v>17</v>
      </c>
      <c r="D11" s="59">
        <v>83.5</v>
      </c>
      <c r="E11" s="58" t="s">
        <v>19</v>
      </c>
      <c r="F11" s="59">
        <v>0</v>
      </c>
      <c r="G11" s="58" t="s">
        <v>19</v>
      </c>
      <c r="H11" s="59">
        <v>0</v>
      </c>
      <c r="I11" s="94"/>
      <c r="J11" s="94"/>
      <c r="K11" s="58" t="s">
        <v>19</v>
      </c>
      <c r="L11" s="59">
        <v>0</v>
      </c>
      <c r="M11" s="94"/>
      <c r="N11" s="94"/>
      <c r="O11" s="2" t="s">
        <v>20</v>
      </c>
      <c r="P11" s="59">
        <v>83.5</v>
      </c>
      <c r="Q11" s="79" t="s">
        <v>289</v>
      </c>
      <c r="R11" s="59">
        <v>18.399999999999999</v>
      </c>
      <c r="S11" s="2" t="s">
        <v>20</v>
      </c>
      <c r="T11" s="59">
        <v>20.399999999999999</v>
      </c>
      <c r="U11" s="58" t="s">
        <v>19</v>
      </c>
      <c r="AH11" s="95"/>
    </row>
    <row r="12" spans="1:34" ht="100.8" x14ac:dyDescent="0.25">
      <c r="A12" s="17" t="s">
        <v>293</v>
      </c>
      <c r="B12" s="17" t="s">
        <v>265</v>
      </c>
      <c r="C12" s="1" t="s">
        <v>67</v>
      </c>
      <c r="D12" s="21">
        <v>43.1</v>
      </c>
      <c r="E12" s="17" t="s">
        <v>19</v>
      </c>
      <c r="F12" s="21">
        <v>0</v>
      </c>
      <c r="G12" s="1" t="s">
        <v>71</v>
      </c>
      <c r="H12" s="21">
        <v>53.7</v>
      </c>
      <c r="I12" s="85"/>
      <c r="J12" s="85"/>
      <c r="K12" s="1" t="s">
        <v>71</v>
      </c>
      <c r="L12" s="21">
        <v>19.100000000000001</v>
      </c>
      <c r="M12" s="85"/>
      <c r="N12" s="85"/>
      <c r="O12" s="22" t="s">
        <v>20</v>
      </c>
      <c r="P12" s="19">
        <v>116</v>
      </c>
      <c r="Q12" s="1" t="s">
        <v>294</v>
      </c>
      <c r="R12" s="21">
        <v>79.599999999999994</v>
      </c>
      <c r="S12" s="22" t="s">
        <v>20</v>
      </c>
      <c r="T12" s="21">
        <v>27.6</v>
      </c>
      <c r="U12" s="1" t="s">
        <v>68</v>
      </c>
      <c r="AH12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U22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ht="29.25" customHeight="1" x14ac:dyDescent="0.25">
      <c r="A1" s="567" t="s">
        <v>359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21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07"/>
      <c r="N2" s="107"/>
      <c r="O2" s="107"/>
      <c r="P2" s="107"/>
      <c r="Q2" s="555" t="s">
        <v>4</v>
      </c>
      <c r="R2" s="555"/>
      <c r="S2" s="558" t="s">
        <v>5</v>
      </c>
      <c r="T2" s="558"/>
      <c r="U2" s="108" t="s">
        <v>6</v>
      </c>
    </row>
    <row r="3" spans="1:21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109" t="s">
        <v>63</v>
      </c>
      <c r="J3" s="109"/>
      <c r="K3" s="109" t="s">
        <v>64</v>
      </c>
      <c r="L3" s="109"/>
      <c r="M3" s="566" t="s">
        <v>358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08"/>
    </row>
    <row r="4" spans="1:21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555"/>
      <c r="R4" s="556"/>
      <c r="S4" s="555"/>
      <c r="T4" s="560"/>
      <c r="U4" s="108"/>
    </row>
    <row r="5" spans="1:21" ht="86.4" x14ac:dyDescent="0.25">
      <c r="A5" s="102" t="s">
        <v>295</v>
      </c>
      <c r="B5" s="100" t="s">
        <v>218</v>
      </c>
      <c r="C5" s="97" t="s">
        <v>67</v>
      </c>
      <c r="D5" s="111">
        <v>49.2</v>
      </c>
      <c r="E5" s="111"/>
      <c r="F5" s="111"/>
      <c r="G5" s="97" t="s">
        <v>71</v>
      </c>
      <c r="H5" s="111">
        <v>43.5</v>
      </c>
      <c r="I5" s="111"/>
      <c r="J5" s="111"/>
      <c r="K5" s="97" t="s">
        <v>71</v>
      </c>
      <c r="L5" s="101">
        <v>16.8</v>
      </c>
      <c r="M5" s="101"/>
      <c r="N5" s="101"/>
      <c r="O5" s="100" t="s">
        <v>20</v>
      </c>
      <c r="P5" s="111">
        <v>109.4</v>
      </c>
      <c r="Q5" s="100" t="s">
        <v>30</v>
      </c>
      <c r="R5" s="101">
        <v>62.8</v>
      </c>
      <c r="S5" s="100" t="s">
        <v>20</v>
      </c>
      <c r="T5" s="101">
        <v>25.1</v>
      </c>
      <c r="U5" s="97" t="s">
        <v>68</v>
      </c>
    </row>
    <row r="6" spans="1:21" ht="86.4" x14ac:dyDescent="0.25">
      <c r="A6" s="102" t="s">
        <v>297</v>
      </c>
      <c r="B6" s="97" t="s">
        <v>298</v>
      </c>
      <c r="C6" s="97" t="s">
        <v>67</v>
      </c>
      <c r="D6" s="101">
        <v>30.9</v>
      </c>
      <c r="E6" s="101"/>
      <c r="F6" s="101"/>
      <c r="G6" s="97" t="s">
        <v>71</v>
      </c>
      <c r="H6" s="101">
        <v>68.099999999999994</v>
      </c>
      <c r="I6" s="101"/>
      <c r="J6" s="101"/>
      <c r="K6" s="97" t="s">
        <v>71</v>
      </c>
      <c r="L6" s="111">
        <v>27.4</v>
      </c>
      <c r="M6" s="111"/>
      <c r="N6" s="111"/>
      <c r="O6" s="100" t="s">
        <v>20</v>
      </c>
      <c r="P6" s="111">
        <v>126.4</v>
      </c>
      <c r="Q6" s="100" t="s">
        <v>30</v>
      </c>
      <c r="R6" s="101">
        <v>89.1</v>
      </c>
      <c r="S6" s="100" t="s">
        <v>20</v>
      </c>
      <c r="T6" s="101">
        <v>22.7</v>
      </c>
      <c r="U6" s="97" t="s">
        <v>68</v>
      </c>
    </row>
    <row r="7" spans="1:21" ht="86.4" x14ac:dyDescent="0.25">
      <c r="A7" s="102" t="s">
        <v>301</v>
      </c>
      <c r="B7" s="100" t="s">
        <v>302</v>
      </c>
      <c r="C7" s="97" t="s">
        <v>67</v>
      </c>
      <c r="D7" s="101">
        <v>17.399999999999999</v>
      </c>
      <c r="E7" s="101"/>
      <c r="F7" s="101"/>
      <c r="G7" s="97" t="s">
        <v>71</v>
      </c>
      <c r="H7" s="111">
        <v>48.7</v>
      </c>
      <c r="I7" s="111"/>
      <c r="J7" s="111"/>
      <c r="K7" s="97" t="s">
        <v>71</v>
      </c>
      <c r="L7" s="101">
        <v>16</v>
      </c>
      <c r="M7" s="101"/>
      <c r="N7" s="101"/>
      <c r="O7" s="100" t="s">
        <v>20</v>
      </c>
      <c r="P7" s="101">
        <v>82.2</v>
      </c>
      <c r="Q7" s="100" t="s">
        <v>30</v>
      </c>
      <c r="R7" s="101">
        <v>29.7</v>
      </c>
      <c r="S7" s="100" t="s">
        <v>20</v>
      </c>
      <c r="T7" s="101">
        <v>19.8</v>
      </c>
      <c r="U7" s="97" t="s">
        <v>68</v>
      </c>
    </row>
    <row r="8" spans="1:21" ht="86.4" x14ac:dyDescent="0.25">
      <c r="A8" s="102" t="s">
        <v>305</v>
      </c>
      <c r="B8" s="100" t="s">
        <v>218</v>
      </c>
      <c r="C8" s="97" t="s">
        <v>67</v>
      </c>
      <c r="D8" s="101">
        <v>52.9</v>
      </c>
      <c r="E8" s="101"/>
      <c r="F8" s="101"/>
      <c r="G8" s="97" t="s">
        <v>71</v>
      </c>
      <c r="H8" s="111">
        <v>43.2</v>
      </c>
      <c r="I8" s="111"/>
      <c r="J8" s="111"/>
      <c r="K8" s="97" t="s">
        <v>71</v>
      </c>
      <c r="L8" s="101">
        <v>12.5</v>
      </c>
      <c r="M8" s="101"/>
      <c r="N8" s="101"/>
      <c r="O8" s="100" t="s">
        <v>20</v>
      </c>
      <c r="P8" s="111">
        <v>108.7</v>
      </c>
      <c r="Q8" s="100" t="s">
        <v>30</v>
      </c>
      <c r="R8" s="111">
        <v>64.599999999999994</v>
      </c>
      <c r="S8" s="100" t="s">
        <v>20</v>
      </c>
      <c r="T8" s="101">
        <v>25.1</v>
      </c>
      <c r="U8" s="97" t="s">
        <v>68</v>
      </c>
    </row>
    <row r="9" spans="1:21" ht="86.4" x14ac:dyDescent="0.25">
      <c r="A9" s="102" t="s">
        <v>307</v>
      </c>
      <c r="B9" s="100" t="s">
        <v>218</v>
      </c>
      <c r="C9" s="97" t="s">
        <v>67</v>
      </c>
      <c r="D9" s="101">
        <v>84.1</v>
      </c>
      <c r="E9" s="101"/>
      <c r="F9" s="101"/>
      <c r="G9" s="97" t="s">
        <v>71</v>
      </c>
      <c r="H9" s="101">
        <v>11.3</v>
      </c>
      <c r="I9" s="101"/>
      <c r="J9" s="101"/>
      <c r="K9" s="97" t="s">
        <v>71</v>
      </c>
      <c r="L9" s="101">
        <v>15.3</v>
      </c>
      <c r="M9" s="101"/>
      <c r="N9" s="101"/>
      <c r="O9" s="100" t="s">
        <v>20</v>
      </c>
      <c r="P9" s="111">
        <v>110.8</v>
      </c>
      <c r="Q9" s="100" t="s">
        <v>30</v>
      </c>
      <c r="R9" s="101">
        <v>69.5</v>
      </c>
      <c r="S9" s="100" t="s">
        <v>20</v>
      </c>
      <c r="T9" s="111">
        <v>24.8</v>
      </c>
      <c r="U9" s="97" t="s">
        <v>68</v>
      </c>
    </row>
    <row r="10" spans="1:21" ht="86.4" x14ac:dyDescent="0.25">
      <c r="A10" s="102" t="s">
        <v>309</v>
      </c>
      <c r="B10" s="100" t="s">
        <v>218</v>
      </c>
      <c r="C10" s="97" t="s">
        <v>67</v>
      </c>
      <c r="D10" s="101">
        <v>55.7</v>
      </c>
      <c r="E10" s="101"/>
      <c r="F10" s="101"/>
      <c r="G10" s="97" t="s">
        <v>71</v>
      </c>
      <c r="H10" s="101">
        <v>35.5</v>
      </c>
      <c r="I10" s="101"/>
      <c r="J10" s="101"/>
      <c r="K10" s="97" t="s">
        <v>71</v>
      </c>
      <c r="L10" s="101">
        <v>18.8</v>
      </c>
      <c r="M10" s="101"/>
      <c r="N10" s="101"/>
      <c r="O10" s="100" t="s">
        <v>20</v>
      </c>
      <c r="P10" s="111">
        <v>110</v>
      </c>
      <c r="Q10" s="100" t="s">
        <v>30</v>
      </c>
      <c r="R10" s="111">
        <v>65.400000000000006</v>
      </c>
      <c r="S10" s="100" t="s">
        <v>20</v>
      </c>
      <c r="T10" s="101">
        <v>25.2</v>
      </c>
      <c r="U10" s="97" t="s">
        <v>68</v>
      </c>
    </row>
    <row r="11" spans="1:21" ht="86.4" x14ac:dyDescent="0.25">
      <c r="A11" s="102" t="s">
        <v>311</v>
      </c>
      <c r="B11" s="100" t="s">
        <v>218</v>
      </c>
      <c r="C11" s="97" t="s">
        <v>67</v>
      </c>
      <c r="D11" s="101">
        <v>55.3</v>
      </c>
      <c r="E11" s="101"/>
      <c r="F11" s="101"/>
      <c r="G11" s="97" t="s">
        <v>71</v>
      </c>
      <c r="H11" s="101">
        <v>36.700000000000003</v>
      </c>
      <c r="I11" s="101"/>
      <c r="J11" s="101"/>
      <c r="K11" s="97" t="s">
        <v>71</v>
      </c>
      <c r="L11" s="101">
        <v>15.3</v>
      </c>
      <c r="M11" s="101"/>
      <c r="N11" s="101"/>
      <c r="O11" s="100" t="s">
        <v>20</v>
      </c>
      <c r="P11" s="111">
        <v>107.3</v>
      </c>
      <c r="Q11" s="100" t="s">
        <v>30</v>
      </c>
      <c r="R11" s="101">
        <v>63.7</v>
      </c>
      <c r="S11" s="100" t="s">
        <v>20</v>
      </c>
      <c r="T11" s="101">
        <v>32.6</v>
      </c>
      <c r="U11" s="97" t="s">
        <v>68</v>
      </c>
    </row>
    <row r="12" spans="1:21" ht="86.4" x14ac:dyDescent="0.25">
      <c r="A12" s="102" t="s">
        <v>313</v>
      </c>
      <c r="B12" s="100" t="s">
        <v>218</v>
      </c>
      <c r="C12" s="97" t="s">
        <v>67</v>
      </c>
      <c r="D12" s="101">
        <v>88.8</v>
      </c>
      <c r="E12" s="101"/>
      <c r="F12" s="101"/>
      <c r="G12" s="97" t="s">
        <v>71</v>
      </c>
      <c r="H12" s="101">
        <v>14.9</v>
      </c>
      <c r="I12" s="101"/>
      <c r="J12" s="101"/>
      <c r="K12" s="102" t="s">
        <v>19</v>
      </c>
      <c r="L12" s="101">
        <v>0</v>
      </c>
      <c r="M12" s="101"/>
      <c r="N12" s="101"/>
      <c r="O12" s="100" t="s">
        <v>20</v>
      </c>
      <c r="P12" s="111">
        <v>103.7</v>
      </c>
      <c r="Q12" s="100" t="s">
        <v>30</v>
      </c>
      <c r="R12" s="111">
        <v>123.1</v>
      </c>
      <c r="S12" s="100" t="s">
        <v>20</v>
      </c>
      <c r="T12" s="101">
        <v>33.299999999999997</v>
      </c>
      <c r="U12" s="97" t="s">
        <v>68</v>
      </c>
    </row>
    <row r="13" spans="1:21" ht="86.4" x14ac:dyDescent="0.25">
      <c r="A13" s="102" t="s">
        <v>315</v>
      </c>
      <c r="B13" s="100" t="s">
        <v>81</v>
      </c>
      <c r="C13" s="97" t="s">
        <v>94</v>
      </c>
      <c r="D13" s="101">
        <v>7.1</v>
      </c>
      <c r="E13" s="101"/>
      <c r="F13" s="101"/>
      <c r="G13" s="102" t="s">
        <v>19</v>
      </c>
      <c r="H13" s="101">
        <v>0</v>
      </c>
      <c r="I13" s="101"/>
      <c r="J13" s="101"/>
      <c r="K13" s="97" t="s">
        <v>74</v>
      </c>
      <c r="L13" s="101">
        <v>27.1</v>
      </c>
      <c r="M13" s="101"/>
      <c r="N13" s="101"/>
      <c r="O13" s="100" t="s">
        <v>20</v>
      </c>
      <c r="P13" s="111">
        <v>34.200000000000003</v>
      </c>
      <c r="Q13" s="97" t="s">
        <v>21</v>
      </c>
      <c r="R13" s="101">
        <v>5.4</v>
      </c>
      <c r="S13" s="100" t="s">
        <v>20</v>
      </c>
      <c r="T13" s="101">
        <v>8.1999999999999993</v>
      </c>
      <c r="U13" s="97" t="s">
        <v>68</v>
      </c>
    </row>
    <row r="14" spans="1:21" ht="86.4" x14ac:dyDescent="0.25">
      <c r="A14" s="102" t="s">
        <v>296</v>
      </c>
      <c r="B14" s="100" t="s">
        <v>228</v>
      </c>
      <c r="C14" s="97" t="s">
        <v>94</v>
      </c>
      <c r="D14" s="111">
        <v>49.2</v>
      </c>
      <c r="E14" s="111"/>
      <c r="F14" s="111"/>
      <c r="G14" s="102" t="s">
        <v>19</v>
      </c>
      <c r="H14" s="101">
        <v>0</v>
      </c>
      <c r="I14" s="101"/>
      <c r="J14" s="101"/>
      <c r="K14" s="97" t="s">
        <v>74</v>
      </c>
      <c r="L14" s="101">
        <v>29.9</v>
      </c>
      <c r="M14" s="101"/>
      <c r="N14" s="101"/>
      <c r="O14" s="100" t="s">
        <v>20</v>
      </c>
      <c r="P14" s="101">
        <v>79.099999999999994</v>
      </c>
      <c r="Q14" s="97" t="s">
        <v>21</v>
      </c>
      <c r="R14" s="101">
        <v>15.8</v>
      </c>
      <c r="S14" s="100" t="s">
        <v>20</v>
      </c>
      <c r="T14" s="111">
        <v>20.2</v>
      </c>
      <c r="U14" s="97" t="s">
        <v>68</v>
      </c>
    </row>
    <row r="15" spans="1:21" ht="115.2" x14ac:dyDescent="0.25">
      <c r="A15" s="102" t="s">
        <v>299</v>
      </c>
      <c r="B15" s="97" t="s">
        <v>300</v>
      </c>
      <c r="C15" s="97" t="s">
        <v>67</v>
      </c>
      <c r="D15" s="111">
        <v>316.89999999999998</v>
      </c>
      <c r="E15" s="111"/>
      <c r="F15" s="111"/>
      <c r="G15" s="97" t="s">
        <v>71</v>
      </c>
      <c r="H15" s="111">
        <v>124.2</v>
      </c>
      <c r="I15" s="111"/>
      <c r="J15" s="111"/>
      <c r="K15" s="97" t="s">
        <v>71</v>
      </c>
      <c r="L15" s="101">
        <v>26.1</v>
      </c>
      <c r="M15" s="101"/>
      <c r="N15" s="101"/>
      <c r="O15" s="100" t="s">
        <v>20</v>
      </c>
      <c r="P15" s="111">
        <v>467.2</v>
      </c>
      <c r="Q15" s="97" t="s">
        <v>21</v>
      </c>
      <c r="R15" s="111">
        <v>256.89999999999998</v>
      </c>
      <c r="S15" s="100" t="s">
        <v>20</v>
      </c>
      <c r="T15" s="111">
        <v>80.400000000000006</v>
      </c>
      <c r="U15" s="97" t="s">
        <v>68</v>
      </c>
    </row>
    <row r="16" spans="1:21" ht="86.4" x14ac:dyDescent="0.25">
      <c r="A16" s="102" t="s">
        <v>303</v>
      </c>
      <c r="B16" s="102" t="s">
        <v>304</v>
      </c>
      <c r="C16" s="97" t="s">
        <v>67</v>
      </c>
      <c r="D16" s="101">
        <v>78.7</v>
      </c>
      <c r="E16" s="101"/>
      <c r="F16" s="101"/>
      <c r="G16" s="102" t="s">
        <v>19</v>
      </c>
      <c r="H16" s="101">
        <v>0</v>
      </c>
      <c r="I16" s="101"/>
      <c r="J16" s="101"/>
      <c r="K16" s="102" t="s">
        <v>19</v>
      </c>
      <c r="L16" s="101">
        <v>0</v>
      </c>
      <c r="M16" s="101"/>
      <c r="N16" s="101"/>
      <c r="O16" s="100" t="s">
        <v>20</v>
      </c>
      <c r="P16" s="111">
        <v>78.7</v>
      </c>
      <c r="Q16" s="100" t="s">
        <v>30</v>
      </c>
      <c r="R16" s="101">
        <v>13.3</v>
      </c>
      <c r="S16" s="100" t="s">
        <v>20</v>
      </c>
      <c r="T16" s="111">
        <v>13.8</v>
      </c>
      <c r="U16" s="97" t="s">
        <v>68</v>
      </c>
    </row>
    <row r="17" spans="1:21" ht="86.4" x14ac:dyDescent="0.25">
      <c r="A17" s="102" t="s">
        <v>306</v>
      </c>
      <c r="B17" s="100" t="s">
        <v>98</v>
      </c>
      <c r="C17" s="97" t="s">
        <v>94</v>
      </c>
      <c r="D17" s="101">
        <v>13.6</v>
      </c>
      <c r="E17" s="101"/>
      <c r="F17" s="101"/>
      <c r="G17" s="97" t="s">
        <v>74</v>
      </c>
      <c r="H17" s="101">
        <v>16.3</v>
      </c>
      <c r="I17" s="101"/>
      <c r="J17" s="101"/>
      <c r="K17" s="97" t="s">
        <v>74</v>
      </c>
      <c r="L17" s="101">
        <v>6.7</v>
      </c>
      <c r="M17" s="101"/>
      <c r="N17" s="101"/>
      <c r="O17" s="100" t="s">
        <v>20</v>
      </c>
      <c r="P17" s="111">
        <v>36.6</v>
      </c>
      <c r="Q17" s="97" t="s">
        <v>21</v>
      </c>
      <c r="R17" s="101">
        <v>5.4</v>
      </c>
      <c r="S17" s="100" t="s">
        <v>20</v>
      </c>
      <c r="T17" s="101">
        <v>8.9</v>
      </c>
      <c r="U17" s="97" t="s">
        <v>68</v>
      </c>
    </row>
    <row r="18" spans="1:21" ht="86.4" x14ac:dyDescent="0.25">
      <c r="A18" s="102" t="s">
        <v>308</v>
      </c>
      <c r="B18" s="100" t="s">
        <v>102</v>
      </c>
      <c r="C18" s="97" t="s">
        <v>94</v>
      </c>
      <c r="D18" s="101">
        <v>16</v>
      </c>
      <c r="E18" s="101"/>
      <c r="F18" s="101"/>
      <c r="G18" s="97" t="s">
        <v>74</v>
      </c>
      <c r="H18" s="101">
        <v>15</v>
      </c>
      <c r="I18" s="101"/>
      <c r="J18" s="101"/>
      <c r="K18" s="97" t="s">
        <v>74</v>
      </c>
      <c r="L18" s="101">
        <v>30</v>
      </c>
      <c r="M18" s="101"/>
      <c r="N18" s="101"/>
      <c r="O18" s="100" t="s">
        <v>20</v>
      </c>
      <c r="P18" s="101">
        <v>61</v>
      </c>
      <c r="Q18" s="97" t="s">
        <v>21</v>
      </c>
      <c r="R18" s="101">
        <v>11.9</v>
      </c>
      <c r="S18" s="100" t="s">
        <v>20</v>
      </c>
      <c r="T18" s="111">
        <v>15</v>
      </c>
      <c r="U18" s="97" t="s">
        <v>68</v>
      </c>
    </row>
    <row r="19" spans="1:21" ht="86.4" x14ac:dyDescent="0.25">
      <c r="A19" s="102" t="s">
        <v>310</v>
      </c>
      <c r="B19" s="100" t="s">
        <v>254</v>
      </c>
      <c r="C19" s="97" t="s">
        <v>67</v>
      </c>
      <c r="D19" s="101">
        <v>31.8</v>
      </c>
      <c r="E19" s="101"/>
      <c r="F19" s="101"/>
      <c r="G19" s="97" t="s">
        <v>71</v>
      </c>
      <c r="H19" s="101">
        <v>16.2</v>
      </c>
      <c r="I19" s="101"/>
      <c r="J19" s="101"/>
      <c r="K19" s="97" t="s">
        <v>71</v>
      </c>
      <c r="L19" s="101">
        <v>1.2</v>
      </c>
      <c r="M19" s="101"/>
      <c r="N19" s="101"/>
      <c r="O19" s="100" t="s">
        <v>20</v>
      </c>
      <c r="P19" s="101">
        <v>49.1</v>
      </c>
      <c r="Q19" s="100" t="s">
        <v>30</v>
      </c>
      <c r="R19" s="101">
        <v>25.8</v>
      </c>
      <c r="S19" s="100" t="s">
        <v>20</v>
      </c>
      <c r="T19" s="111">
        <v>14.5</v>
      </c>
      <c r="U19" s="97" t="s">
        <v>68</v>
      </c>
    </row>
    <row r="20" spans="1:21" ht="86.4" x14ac:dyDescent="0.25">
      <c r="A20" s="102" t="s">
        <v>312</v>
      </c>
      <c r="B20" s="100" t="s">
        <v>126</v>
      </c>
      <c r="C20" s="97" t="s">
        <v>67</v>
      </c>
      <c r="D20" s="111">
        <v>78.400000000000006</v>
      </c>
      <c r="E20" s="111"/>
      <c r="F20" s="111"/>
      <c r="G20" s="102" t="s">
        <v>19</v>
      </c>
      <c r="H20" s="101">
        <v>0</v>
      </c>
      <c r="I20" s="101"/>
      <c r="J20" s="101"/>
      <c r="K20" s="102" t="s">
        <v>19</v>
      </c>
      <c r="L20" s="101">
        <v>0</v>
      </c>
      <c r="M20" s="101"/>
      <c r="N20" s="101"/>
      <c r="O20" s="100" t="s">
        <v>20</v>
      </c>
      <c r="P20" s="111">
        <v>78.400000000000006</v>
      </c>
      <c r="Q20" s="97" t="s">
        <v>21</v>
      </c>
      <c r="R20" s="111">
        <v>45</v>
      </c>
      <c r="S20" s="100" t="s">
        <v>20</v>
      </c>
      <c r="T20" s="101">
        <v>17.100000000000001</v>
      </c>
      <c r="U20" s="97" t="s">
        <v>68</v>
      </c>
    </row>
    <row r="21" spans="1:21" ht="86.4" x14ac:dyDescent="0.25">
      <c r="A21" s="102" t="s">
        <v>314</v>
      </c>
      <c r="B21" s="102" t="s">
        <v>265</v>
      </c>
      <c r="C21" s="97" t="s">
        <v>67</v>
      </c>
      <c r="D21" s="101">
        <v>94.1</v>
      </c>
      <c r="E21" s="101"/>
      <c r="F21" s="101"/>
      <c r="G21" s="97" t="s">
        <v>71</v>
      </c>
      <c r="H21" s="111">
        <v>54.2</v>
      </c>
      <c r="I21" s="111"/>
      <c r="J21" s="111"/>
      <c r="K21" s="97" t="s">
        <v>71</v>
      </c>
      <c r="L21" s="101">
        <v>8.8000000000000007</v>
      </c>
      <c r="M21" s="101"/>
      <c r="N21" s="101"/>
      <c r="O21" s="100" t="s">
        <v>20</v>
      </c>
      <c r="P21" s="111">
        <v>157.1</v>
      </c>
      <c r="Q21" s="97" t="s">
        <v>21</v>
      </c>
      <c r="R21" s="111">
        <v>207</v>
      </c>
      <c r="S21" s="100" t="s">
        <v>20</v>
      </c>
      <c r="T21" s="111">
        <v>34.200000000000003</v>
      </c>
      <c r="U21" s="97" t="s">
        <v>68</v>
      </c>
    </row>
    <row r="22" spans="1:21" ht="86.4" x14ac:dyDescent="0.25">
      <c r="A22" s="102" t="s">
        <v>316</v>
      </c>
      <c r="B22" s="102" t="s">
        <v>32</v>
      </c>
      <c r="C22" s="97" t="s">
        <v>67</v>
      </c>
      <c r="D22" s="111">
        <v>150.9</v>
      </c>
      <c r="E22" s="111"/>
      <c r="F22" s="111"/>
      <c r="G22" s="97" t="s">
        <v>71</v>
      </c>
      <c r="H22" s="111">
        <v>117.1</v>
      </c>
      <c r="I22" s="111"/>
      <c r="J22" s="111"/>
      <c r="K22" s="97" t="s">
        <v>71</v>
      </c>
      <c r="L22" s="101">
        <v>2.2000000000000002</v>
      </c>
      <c r="M22" s="101"/>
      <c r="N22" s="101"/>
      <c r="O22" s="100" t="s">
        <v>20</v>
      </c>
      <c r="P22" s="111">
        <v>270.2</v>
      </c>
      <c r="Q22" s="97" t="s">
        <v>21</v>
      </c>
      <c r="R22" s="111">
        <v>218.4</v>
      </c>
      <c r="S22" s="100" t="s">
        <v>20</v>
      </c>
      <c r="T22" s="111">
        <v>52.4</v>
      </c>
      <c r="U22" s="97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B17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  <col min="22" max="22" width="12.77734375" customWidth="1"/>
  </cols>
  <sheetData>
    <row r="1" spans="1:28" ht="41.25" customHeight="1" x14ac:dyDescent="0.25">
      <c r="A1" s="567" t="s">
        <v>359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28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07"/>
      <c r="N2" s="107"/>
      <c r="O2" s="107"/>
      <c r="P2" s="107"/>
      <c r="Q2" s="555" t="s">
        <v>4</v>
      </c>
      <c r="R2" s="555"/>
      <c r="S2" s="558" t="s">
        <v>5</v>
      </c>
      <c r="T2" s="558"/>
      <c r="U2" s="108" t="s">
        <v>6</v>
      </c>
    </row>
    <row r="3" spans="1:28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109" t="s">
        <v>63</v>
      </c>
      <c r="J3" s="109"/>
      <c r="K3" s="109" t="s">
        <v>64</v>
      </c>
      <c r="L3" s="109"/>
      <c r="M3" s="566" t="s">
        <v>358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08"/>
    </row>
    <row r="4" spans="1:28" ht="34.799999999999997" x14ac:dyDescent="0.25">
      <c r="A4" s="556"/>
      <c r="B4" s="555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555"/>
      <c r="R4" s="556"/>
      <c r="S4" s="555"/>
      <c r="T4" s="560"/>
      <c r="U4" s="108"/>
    </row>
    <row r="5" spans="1:28" ht="86.4" hidden="1" x14ac:dyDescent="0.25">
      <c r="A5" s="58" t="s">
        <v>317</v>
      </c>
      <c r="B5" s="2" t="s">
        <v>130</v>
      </c>
      <c r="C5" s="123" t="s">
        <v>67</v>
      </c>
      <c r="D5" s="59">
        <v>84.5</v>
      </c>
      <c r="E5" s="94"/>
      <c r="F5" s="94"/>
      <c r="G5" s="58" t="s">
        <v>19</v>
      </c>
      <c r="H5" s="59">
        <v>0</v>
      </c>
      <c r="I5" s="94"/>
      <c r="J5" s="94"/>
      <c r="K5" s="58" t="s">
        <v>19</v>
      </c>
      <c r="L5" s="59">
        <v>0</v>
      </c>
      <c r="M5" s="94"/>
      <c r="N5" s="94"/>
      <c r="O5" s="2" t="s">
        <v>20</v>
      </c>
      <c r="P5" s="59">
        <v>84.5</v>
      </c>
      <c r="Q5" s="129" t="s">
        <v>21</v>
      </c>
      <c r="R5" s="59">
        <v>48.5</v>
      </c>
      <c r="S5" s="2" t="s">
        <v>20</v>
      </c>
      <c r="T5" s="59">
        <v>20.5</v>
      </c>
      <c r="U5" s="129" t="s">
        <v>68</v>
      </c>
      <c r="V5" s="568"/>
    </row>
    <row r="6" spans="1:28" ht="86.4" hidden="1" x14ac:dyDescent="0.25">
      <c r="A6" s="139" t="s">
        <v>319</v>
      </c>
      <c r="B6" s="137" t="s">
        <v>132</v>
      </c>
      <c r="C6" s="123" t="s">
        <v>67</v>
      </c>
      <c r="D6" s="59">
        <v>114.2</v>
      </c>
      <c r="E6" s="94"/>
      <c r="F6" s="94"/>
      <c r="G6" s="58" t="s">
        <v>19</v>
      </c>
      <c r="H6" s="59">
        <v>0</v>
      </c>
      <c r="I6" s="94"/>
      <c r="J6" s="94"/>
      <c r="K6" s="123" t="s">
        <v>67</v>
      </c>
      <c r="L6" s="59">
        <v>18.600000000000001</v>
      </c>
      <c r="M6" s="94"/>
      <c r="N6" s="94"/>
      <c r="O6" s="2" t="s">
        <v>20</v>
      </c>
      <c r="P6" s="59">
        <v>132.80000000000001</v>
      </c>
      <c r="Q6" s="129" t="s">
        <v>21</v>
      </c>
      <c r="R6" s="59">
        <v>29.4</v>
      </c>
      <c r="S6" s="2" t="s">
        <v>20</v>
      </c>
      <c r="T6" s="59">
        <v>23.3</v>
      </c>
      <c r="U6" s="129" t="s">
        <v>68</v>
      </c>
      <c r="V6" s="568"/>
    </row>
    <row r="7" spans="1:28" ht="115.2" hidden="1" x14ac:dyDescent="0.25">
      <c r="A7" s="58" t="s">
        <v>322</v>
      </c>
      <c r="B7" s="2" t="s">
        <v>187</v>
      </c>
      <c r="C7" s="3" t="s">
        <v>337</v>
      </c>
      <c r="D7" s="59">
        <v>43.6</v>
      </c>
      <c r="E7" s="94"/>
      <c r="F7" s="94"/>
      <c r="G7" s="3" t="s">
        <v>337</v>
      </c>
      <c r="H7" s="59">
        <v>6.3</v>
      </c>
      <c r="I7" s="94"/>
      <c r="J7" s="94"/>
      <c r="K7" s="3" t="s">
        <v>337</v>
      </c>
      <c r="L7" s="59">
        <v>33.6</v>
      </c>
      <c r="M7" s="94"/>
      <c r="N7" s="94"/>
      <c r="O7" s="2" t="s">
        <v>20</v>
      </c>
      <c r="P7" s="59">
        <v>83.5</v>
      </c>
      <c r="Q7" s="2" t="s">
        <v>178</v>
      </c>
      <c r="R7" s="59">
        <v>21.6</v>
      </c>
      <c r="S7" s="2" t="s">
        <v>20</v>
      </c>
      <c r="T7" s="59">
        <v>20.3</v>
      </c>
      <c r="U7" s="58" t="s">
        <v>19</v>
      </c>
      <c r="V7" s="568"/>
    </row>
    <row r="8" spans="1:28" ht="115.2" hidden="1" x14ac:dyDescent="0.25">
      <c r="A8" s="58" t="s">
        <v>325</v>
      </c>
      <c r="B8" s="58" t="s">
        <v>189</v>
      </c>
      <c r="C8" s="3" t="s">
        <v>337</v>
      </c>
      <c r="D8" s="59">
        <v>0.1</v>
      </c>
      <c r="E8" s="94"/>
      <c r="F8" s="94"/>
      <c r="G8" s="3" t="s">
        <v>337</v>
      </c>
      <c r="H8" s="59">
        <v>5</v>
      </c>
      <c r="I8" s="94"/>
      <c r="J8" s="94"/>
      <c r="K8" s="3" t="s">
        <v>337</v>
      </c>
      <c r="L8" s="59">
        <v>34.299999999999997</v>
      </c>
      <c r="M8" s="94"/>
      <c r="N8" s="94"/>
      <c r="O8" s="2" t="s">
        <v>20</v>
      </c>
      <c r="P8" s="59">
        <v>39.5</v>
      </c>
      <c r="Q8" s="2" t="s">
        <v>178</v>
      </c>
      <c r="R8" s="59">
        <v>6.7</v>
      </c>
      <c r="S8" s="2" t="s">
        <v>20</v>
      </c>
      <c r="T8" s="59">
        <v>9</v>
      </c>
      <c r="U8" s="140" t="s">
        <v>360</v>
      </c>
      <c r="V8" s="568"/>
    </row>
    <row r="9" spans="1:28" ht="115.2" hidden="1" x14ac:dyDescent="0.25">
      <c r="A9" s="37" t="s">
        <v>328</v>
      </c>
      <c r="B9" s="37" t="s">
        <v>194</v>
      </c>
      <c r="C9" s="3" t="s">
        <v>337</v>
      </c>
      <c r="D9" s="45">
        <v>45.2</v>
      </c>
      <c r="E9" s="90"/>
      <c r="F9" s="90"/>
      <c r="G9" s="37" t="s">
        <v>19</v>
      </c>
      <c r="H9" s="45">
        <v>0</v>
      </c>
      <c r="I9" s="90"/>
      <c r="J9" s="90"/>
      <c r="K9" s="3" t="s">
        <v>337</v>
      </c>
      <c r="L9" s="45">
        <v>34.1</v>
      </c>
      <c r="M9" s="90"/>
      <c r="N9" s="90"/>
      <c r="O9" s="38" t="s">
        <v>20</v>
      </c>
      <c r="P9" s="45">
        <v>79.3</v>
      </c>
      <c r="Q9" s="2" t="s">
        <v>178</v>
      </c>
      <c r="R9" s="45">
        <v>52.1</v>
      </c>
      <c r="S9" s="38" t="s">
        <v>20</v>
      </c>
      <c r="T9" s="45">
        <v>16.5</v>
      </c>
      <c r="U9" s="37" t="s">
        <v>19</v>
      </c>
      <c r="V9" s="568"/>
    </row>
    <row r="10" spans="1:28" ht="115.2" hidden="1" x14ac:dyDescent="0.25">
      <c r="A10" s="58" t="s">
        <v>331</v>
      </c>
      <c r="B10" s="58" t="s">
        <v>196</v>
      </c>
      <c r="C10" s="129" t="s">
        <v>17</v>
      </c>
      <c r="D10" s="126">
        <v>32.9</v>
      </c>
      <c r="E10" s="126"/>
      <c r="F10" s="126"/>
      <c r="G10" s="129" t="s">
        <v>18</v>
      </c>
      <c r="H10" s="126">
        <v>27.7</v>
      </c>
      <c r="I10" s="126"/>
      <c r="J10" s="126"/>
      <c r="K10" s="129" t="s">
        <v>18</v>
      </c>
      <c r="L10" s="126">
        <v>19.7</v>
      </c>
      <c r="M10" s="126"/>
      <c r="N10" s="126"/>
      <c r="O10" s="125" t="s">
        <v>20</v>
      </c>
      <c r="P10" s="126">
        <v>80.400000000000006</v>
      </c>
      <c r="Q10" s="125" t="s">
        <v>178</v>
      </c>
      <c r="R10" s="126">
        <v>57</v>
      </c>
      <c r="S10" s="2" t="s">
        <v>20</v>
      </c>
      <c r="T10" s="59">
        <v>19.5</v>
      </c>
      <c r="U10" s="58" t="s">
        <v>19</v>
      </c>
      <c r="V10" s="568"/>
    </row>
    <row r="11" spans="1:28" ht="86.4" hidden="1" x14ac:dyDescent="0.25">
      <c r="A11" s="124" t="s">
        <v>334</v>
      </c>
      <c r="B11" s="137" t="s">
        <v>192</v>
      </c>
      <c r="C11" s="129" t="s">
        <v>94</v>
      </c>
      <c r="D11" s="138">
        <v>8.3000000000000007</v>
      </c>
      <c r="E11" s="126"/>
      <c r="F11" s="126"/>
      <c r="G11" s="139" t="s">
        <v>19</v>
      </c>
      <c r="H11" s="138">
        <v>0</v>
      </c>
      <c r="I11" s="126"/>
      <c r="J11" s="126"/>
      <c r="K11" s="129" t="s">
        <v>74</v>
      </c>
      <c r="L11" s="138">
        <v>78.5</v>
      </c>
      <c r="M11" s="126"/>
      <c r="N11" s="126"/>
      <c r="O11" s="137" t="s">
        <v>20</v>
      </c>
      <c r="P11" s="138">
        <v>86.7</v>
      </c>
      <c r="Q11" s="131" t="s">
        <v>178</v>
      </c>
      <c r="R11" s="138">
        <v>29.6</v>
      </c>
      <c r="S11" s="137" t="s">
        <v>20</v>
      </c>
      <c r="T11" s="138">
        <v>21.7</v>
      </c>
      <c r="U11" s="129" t="s">
        <v>68</v>
      </c>
      <c r="V11" s="91"/>
      <c r="W11" s="92"/>
      <c r="X11" s="92"/>
      <c r="Y11" s="92"/>
      <c r="Z11" s="92"/>
      <c r="AA11" s="92"/>
      <c r="AB11" s="92"/>
    </row>
    <row r="12" spans="1:28" ht="115.2" x14ac:dyDescent="0.25">
      <c r="A12" s="60" t="s">
        <v>318</v>
      </c>
      <c r="B12" s="38" t="s">
        <v>187</v>
      </c>
      <c r="C12" s="3" t="s">
        <v>337</v>
      </c>
      <c r="D12" s="61">
        <v>27.9</v>
      </c>
      <c r="E12" s="61"/>
      <c r="F12" s="61"/>
      <c r="G12" s="3" t="s">
        <v>337</v>
      </c>
      <c r="H12" s="45">
        <v>15.1</v>
      </c>
      <c r="I12" s="90"/>
      <c r="J12" s="90"/>
      <c r="K12" s="3" t="s">
        <v>337</v>
      </c>
      <c r="L12" s="39">
        <v>33.700000000000003</v>
      </c>
      <c r="M12" s="141"/>
      <c r="N12" s="40"/>
      <c r="O12" s="44" t="s">
        <v>20</v>
      </c>
      <c r="P12" s="42">
        <v>76.8</v>
      </c>
      <c r="Q12" s="50" t="s">
        <v>178</v>
      </c>
      <c r="R12" s="61">
        <v>21.6</v>
      </c>
      <c r="S12" s="38" t="s">
        <v>20</v>
      </c>
      <c r="T12" s="39">
        <v>18.100000000000001</v>
      </c>
      <c r="U12" s="41" t="s">
        <v>19</v>
      </c>
    </row>
    <row r="13" spans="1:28" ht="115.2" x14ac:dyDescent="0.25">
      <c r="A13" s="58" t="s">
        <v>320</v>
      </c>
      <c r="B13" s="58" t="s">
        <v>194</v>
      </c>
      <c r="C13" s="3" t="s">
        <v>337</v>
      </c>
      <c r="D13" s="59">
        <v>27.8</v>
      </c>
      <c r="E13" s="126"/>
      <c r="F13" s="126"/>
      <c r="G13" s="58" t="s">
        <v>19</v>
      </c>
      <c r="H13" s="59">
        <v>0</v>
      </c>
      <c r="I13" s="126"/>
      <c r="J13" s="126"/>
      <c r="K13" s="2" t="s">
        <v>321</v>
      </c>
      <c r="L13" s="62">
        <v>34.200000000000003</v>
      </c>
      <c r="M13" s="142"/>
      <c r="N13" s="63"/>
      <c r="O13" s="50" t="s">
        <v>20</v>
      </c>
      <c r="P13" s="62">
        <v>62</v>
      </c>
      <c r="Q13" s="50" t="s">
        <v>178</v>
      </c>
      <c r="R13" s="59">
        <v>51.6</v>
      </c>
      <c r="S13" s="2" t="s">
        <v>20</v>
      </c>
      <c r="T13" s="62">
        <v>14.1</v>
      </c>
      <c r="U13" s="64" t="s">
        <v>19</v>
      </c>
    </row>
    <row r="14" spans="1:28" ht="115.2" x14ac:dyDescent="0.25">
      <c r="A14" s="60" t="s">
        <v>323</v>
      </c>
      <c r="B14" s="37" t="s">
        <v>189</v>
      </c>
      <c r="C14" s="3" t="s">
        <v>337</v>
      </c>
      <c r="D14" s="68">
        <v>0.1</v>
      </c>
      <c r="E14" s="68"/>
      <c r="F14" s="68"/>
      <c r="G14" s="3" t="s">
        <v>337</v>
      </c>
      <c r="H14" s="45">
        <v>5</v>
      </c>
      <c r="I14" s="90"/>
      <c r="J14" s="90"/>
      <c r="K14" s="3" t="s">
        <v>337</v>
      </c>
      <c r="L14" s="42">
        <v>34.4</v>
      </c>
      <c r="M14" s="143"/>
      <c r="N14" s="43"/>
      <c r="O14" s="44" t="s">
        <v>20</v>
      </c>
      <c r="P14" s="42">
        <v>39.5</v>
      </c>
      <c r="Q14" s="44" t="s">
        <v>178</v>
      </c>
      <c r="R14" s="68">
        <v>6.7</v>
      </c>
      <c r="S14" s="38" t="s">
        <v>20</v>
      </c>
      <c r="T14" s="39">
        <v>9</v>
      </c>
      <c r="U14" s="50" t="s">
        <v>324</v>
      </c>
    </row>
    <row r="15" spans="1:28" ht="115.2" x14ac:dyDescent="0.3">
      <c r="A15" s="69" t="s">
        <v>326</v>
      </c>
      <c r="B15" s="46" t="s">
        <v>192</v>
      </c>
      <c r="C15" s="3" t="s">
        <v>337</v>
      </c>
      <c r="D15" s="70">
        <v>8.5</v>
      </c>
      <c r="E15" s="70"/>
      <c r="F15" s="70"/>
      <c r="G15" s="71" t="s">
        <v>19</v>
      </c>
      <c r="H15" s="72">
        <v>0</v>
      </c>
      <c r="I15" s="72"/>
      <c r="J15" s="72"/>
      <c r="K15" s="3" t="s">
        <v>337</v>
      </c>
      <c r="L15" s="73">
        <v>78.5</v>
      </c>
      <c r="M15" s="144"/>
      <c r="N15" s="74"/>
      <c r="O15" s="47" t="s">
        <v>20</v>
      </c>
      <c r="P15" s="75">
        <v>87</v>
      </c>
      <c r="Q15" s="93" t="s">
        <v>178</v>
      </c>
      <c r="R15" s="76">
        <v>29.6</v>
      </c>
      <c r="S15" s="46" t="s">
        <v>20</v>
      </c>
      <c r="T15" s="75">
        <v>21.7</v>
      </c>
      <c r="U15" s="50" t="s">
        <v>327</v>
      </c>
    </row>
    <row r="16" spans="1:28" ht="115.2" x14ac:dyDescent="0.25">
      <c r="A16" s="60" t="s">
        <v>329</v>
      </c>
      <c r="B16" s="2" t="s">
        <v>330</v>
      </c>
      <c r="C16" s="3" t="s">
        <v>337</v>
      </c>
      <c r="D16" s="61">
        <v>56.3</v>
      </c>
      <c r="E16" s="61"/>
      <c r="F16" s="61"/>
      <c r="G16" s="3" t="s">
        <v>337</v>
      </c>
      <c r="H16" s="45">
        <v>59.7</v>
      </c>
      <c r="I16" s="90"/>
      <c r="J16" s="90"/>
      <c r="K16" s="3" t="s">
        <v>337</v>
      </c>
      <c r="L16" s="39">
        <v>9.1</v>
      </c>
      <c r="M16" s="141"/>
      <c r="N16" s="40"/>
      <c r="O16" s="44" t="s">
        <v>20</v>
      </c>
      <c r="P16" s="42">
        <v>125.1</v>
      </c>
      <c r="Q16" s="50" t="s">
        <v>178</v>
      </c>
      <c r="R16" s="61">
        <v>78.3</v>
      </c>
      <c r="S16" s="38" t="s">
        <v>20</v>
      </c>
      <c r="T16" s="42">
        <v>35.6</v>
      </c>
      <c r="U16" s="41" t="s">
        <v>19</v>
      </c>
    </row>
    <row r="17" spans="1:21" ht="115.2" x14ac:dyDescent="0.25">
      <c r="A17" s="57" t="s">
        <v>332</v>
      </c>
      <c r="B17" s="2" t="s">
        <v>333</v>
      </c>
      <c r="C17" s="127" t="s">
        <v>17</v>
      </c>
      <c r="D17" s="65">
        <v>33.799999999999997</v>
      </c>
      <c r="E17" s="65"/>
      <c r="F17" s="65"/>
      <c r="G17" s="127" t="s">
        <v>18</v>
      </c>
      <c r="H17" s="59">
        <v>4.8</v>
      </c>
      <c r="I17" s="126"/>
      <c r="J17" s="126"/>
      <c r="K17" s="127" t="s">
        <v>18</v>
      </c>
      <c r="L17" s="66">
        <v>2.6</v>
      </c>
      <c r="M17" s="145"/>
      <c r="N17" s="67"/>
      <c r="O17" s="50" t="s">
        <v>20</v>
      </c>
      <c r="P17" s="66">
        <v>41.2</v>
      </c>
      <c r="Q17" s="50" t="s">
        <v>178</v>
      </c>
      <c r="R17" s="77">
        <v>6.9</v>
      </c>
      <c r="S17" s="2" t="s">
        <v>20</v>
      </c>
      <c r="T17" s="62">
        <v>10</v>
      </c>
      <c r="U17" s="64" t="s">
        <v>19</v>
      </c>
    </row>
  </sheetData>
  <mergeCells count="16">
    <mergeCell ref="V5:V10"/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K15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7" x14ac:dyDescent="0.25">
      <c r="A1" s="567" t="s">
        <v>359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37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19"/>
      <c r="N2" s="119"/>
      <c r="O2" s="119"/>
      <c r="P2" s="119"/>
      <c r="Q2" s="555" t="s">
        <v>4</v>
      </c>
      <c r="R2" s="555"/>
      <c r="S2" s="558" t="s">
        <v>5</v>
      </c>
      <c r="T2" s="558"/>
      <c r="U2" s="120" t="s">
        <v>6</v>
      </c>
    </row>
    <row r="3" spans="1:37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6" t="s">
        <v>813</v>
      </c>
      <c r="H3" s="562"/>
      <c r="I3" s="117" t="s">
        <v>63</v>
      </c>
      <c r="J3" s="117"/>
      <c r="K3" s="117" t="s">
        <v>64</v>
      </c>
      <c r="L3" s="117"/>
      <c r="M3" s="566" t="s">
        <v>358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20"/>
    </row>
    <row r="4" spans="1:37" ht="34.799999999999997" x14ac:dyDescent="0.25">
      <c r="A4" s="556"/>
      <c r="B4" s="555"/>
      <c r="C4" s="96" t="s">
        <v>12</v>
      </c>
      <c r="D4" s="118" t="s">
        <v>13</v>
      </c>
      <c r="E4" s="96" t="s">
        <v>12</v>
      </c>
      <c r="F4" s="118" t="s">
        <v>13</v>
      </c>
      <c r="G4" s="96" t="s">
        <v>12</v>
      </c>
      <c r="H4" s="118" t="s">
        <v>13</v>
      </c>
      <c r="I4" s="96" t="s">
        <v>12</v>
      </c>
      <c r="J4" s="118" t="s">
        <v>13</v>
      </c>
      <c r="K4" s="96" t="s">
        <v>12</v>
      </c>
      <c r="L4" s="118" t="s">
        <v>13</v>
      </c>
      <c r="M4" s="96" t="s">
        <v>12</v>
      </c>
      <c r="N4" s="118" t="s">
        <v>13</v>
      </c>
      <c r="O4" s="98" t="s">
        <v>12</v>
      </c>
      <c r="P4" s="118" t="s">
        <v>13</v>
      </c>
      <c r="Q4" s="555"/>
      <c r="R4" s="556"/>
      <c r="S4" s="555"/>
      <c r="T4" s="560"/>
      <c r="U4" s="120"/>
    </row>
    <row r="5" spans="1:37" ht="115.2" x14ac:dyDescent="0.25">
      <c r="A5" s="7" t="s">
        <v>335</v>
      </c>
      <c r="B5" s="3" t="s">
        <v>336</v>
      </c>
      <c r="C5" s="3" t="s">
        <v>337</v>
      </c>
      <c r="D5" s="9">
        <v>44.1</v>
      </c>
      <c r="E5" s="10" t="s">
        <v>19</v>
      </c>
      <c r="F5" s="9">
        <v>0</v>
      </c>
      <c r="G5" s="3" t="s">
        <v>338</v>
      </c>
      <c r="H5" s="9">
        <v>64.400000000000006</v>
      </c>
      <c r="I5" s="9"/>
      <c r="J5" s="9"/>
      <c r="K5" s="3" t="s">
        <v>338</v>
      </c>
      <c r="L5" s="9">
        <v>5.7</v>
      </c>
      <c r="M5" s="9"/>
      <c r="N5" s="9"/>
      <c r="O5" s="8" t="s">
        <v>20</v>
      </c>
      <c r="P5" s="9">
        <v>114.2</v>
      </c>
      <c r="Q5" s="8" t="s">
        <v>339</v>
      </c>
      <c r="R5" s="9">
        <v>77.8</v>
      </c>
      <c r="S5" s="8" t="s">
        <v>20</v>
      </c>
      <c r="T5" s="9">
        <v>31.9</v>
      </c>
      <c r="U5" s="10" t="s">
        <v>19</v>
      </c>
      <c r="V5" s="78"/>
      <c r="AK5" s="95"/>
    </row>
    <row r="6" spans="1:37" ht="86.4" x14ac:dyDescent="0.25">
      <c r="A6" s="7" t="s">
        <v>340</v>
      </c>
      <c r="B6" s="8" t="s">
        <v>341</v>
      </c>
      <c r="C6" s="3" t="s">
        <v>342</v>
      </c>
      <c r="D6" s="9">
        <v>9.1</v>
      </c>
      <c r="E6" s="10" t="s">
        <v>19</v>
      </c>
      <c r="F6" s="9">
        <v>0</v>
      </c>
      <c r="G6" s="3" t="s">
        <v>343</v>
      </c>
      <c r="H6" s="9">
        <v>16.399999999999999</v>
      </c>
      <c r="I6" s="9"/>
      <c r="J6" s="9"/>
      <c r="K6" s="3" t="s">
        <v>343</v>
      </c>
      <c r="L6" s="9">
        <v>13.6</v>
      </c>
      <c r="M6" s="9"/>
      <c r="N6" s="9"/>
      <c r="O6" s="8" t="s">
        <v>20</v>
      </c>
      <c r="P6" s="9">
        <v>39.1</v>
      </c>
      <c r="Q6" s="8" t="s">
        <v>339</v>
      </c>
      <c r="R6" s="9">
        <v>6</v>
      </c>
      <c r="S6" s="8" t="s">
        <v>20</v>
      </c>
      <c r="T6" s="9">
        <v>9.4</v>
      </c>
      <c r="U6" s="3" t="s">
        <v>68</v>
      </c>
      <c r="V6" s="78"/>
      <c r="AK6" s="95"/>
    </row>
    <row r="7" spans="1:37" ht="86.4" x14ac:dyDescent="0.25">
      <c r="A7" s="7" t="s">
        <v>344</v>
      </c>
      <c r="B7" s="8" t="s">
        <v>345</v>
      </c>
      <c r="C7" s="3" t="s">
        <v>342</v>
      </c>
      <c r="D7" s="9">
        <v>24.8</v>
      </c>
      <c r="E7" s="10" t="s">
        <v>19</v>
      </c>
      <c r="F7" s="9">
        <v>0</v>
      </c>
      <c r="G7" s="10" t="s">
        <v>19</v>
      </c>
      <c r="H7" s="9">
        <v>0</v>
      </c>
      <c r="I7" s="9"/>
      <c r="J7" s="9"/>
      <c r="K7" s="3" t="s">
        <v>343</v>
      </c>
      <c r="L7" s="9">
        <v>13.6</v>
      </c>
      <c r="M7" s="9"/>
      <c r="N7" s="9"/>
      <c r="O7" s="8" t="s">
        <v>20</v>
      </c>
      <c r="P7" s="9">
        <v>38.5</v>
      </c>
      <c r="Q7" s="8" t="s">
        <v>339</v>
      </c>
      <c r="R7" s="9">
        <v>6.1</v>
      </c>
      <c r="S7" s="8" t="s">
        <v>20</v>
      </c>
      <c r="T7" s="9">
        <v>9.5</v>
      </c>
      <c r="U7" s="3" t="s">
        <v>68</v>
      </c>
      <c r="V7" s="78"/>
      <c r="AK7" s="95"/>
    </row>
    <row r="8" spans="1:37" ht="172.8" x14ac:dyDescent="0.25">
      <c r="A8" s="7" t="s">
        <v>346</v>
      </c>
      <c r="B8" s="8" t="s">
        <v>209</v>
      </c>
      <c r="C8" s="3" t="s">
        <v>337</v>
      </c>
      <c r="D8" s="9">
        <v>103.5</v>
      </c>
      <c r="E8" s="10" t="s">
        <v>19</v>
      </c>
      <c r="F8" s="9">
        <v>0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9"/>
      <c r="N8" s="9"/>
      <c r="O8" s="8" t="s">
        <v>20</v>
      </c>
      <c r="P8" s="9">
        <v>103.5</v>
      </c>
      <c r="Q8" s="3" t="s">
        <v>347</v>
      </c>
      <c r="R8" s="9">
        <v>32.1</v>
      </c>
      <c r="S8" s="8" t="s">
        <v>20</v>
      </c>
      <c r="T8" s="9">
        <v>28.7</v>
      </c>
      <c r="U8" s="10" t="s">
        <v>19</v>
      </c>
      <c r="V8" s="78"/>
      <c r="AK8" s="95"/>
    </row>
    <row r="9" spans="1:37" ht="115.2" x14ac:dyDescent="0.25">
      <c r="A9" s="7" t="s">
        <v>348</v>
      </c>
      <c r="B9" s="8" t="s">
        <v>254</v>
      </c>
      <c r="C9" s="3" t="s">
        <v>337</v>
      </c>
      <c r="D9" s="9">
        <v>19.3</v>
      </c>
      <c r="E9" s="10" t="s">
        <v>19</v>
      </c>
      <c r="F9" s="9">
        <v>0</v>
      </c>
      <c r="G9" s="3" t="s">
        <v>338</v>
      </c>
      <c r="H9" s="9">
        <v>4.5999999999999996</v>
      </c>
      <c r="I9" s="9"/>
      <c r="J9" s="9"/>
      <c r="K9" s="3" t="s">
        <v>338</v>
      </c>
      <c r="L9" s="9">
        <v>13.1</v>
      </c>
      <c r="M9" s="9"/>
      <c r="N9" s="9"/>
      <c r="O9" s="8" t="s">
        <v>20</v>
      </c>
      <c r="P9" s="9">
        <v>37</v>
      </c>
      <c r="Q9" s="8" t="s">
        <v>339</v>
      </c>
      <c r="R9" s="9">
        <v>5.9</v>
      </c>
      <c r="S9" s="8" t="s">
        <v>20</v>
      </c>
      <c r="T9" s="9">
        <v>7.9</v>
      </c>
      <c r="U9" s="10" t="s">
        <v>19</v>
      </c>
      <c r="V9" s="78"/>
      <c r="AK9" s="95"/>
    </row>
    <row r="10" spans="1:37" ht="129.6" x14ac:dyDescent="0.25">
      <c r="A10" s="7" t="s">
        <v>349</v>
      </c>
      <c r="B10" s="8" t="s">
        <v>102</v>
      </c>
      <c r="C10" s="3" t="s">
        <v>342</v>
      </c>
      <c r="D10" s="9">
        <v>10.9</v>
      </c>
      <c r="E10" s="3" t="s">
        <v>343</v>
      </c>
      <c r="F10" s="9">
        <v>5.2</v>
      </c>
      <c r="G10" s="3" t="s">
        <v>343</v>
      </c>
      <c r="H10" s="9">
        <v>12.8</v>
      </c>
      <c r="I10" s="9"/>
      <c r="J10" s="9"/>
      <c r="K10" s="3" t="s">
        <v>343</v>
      </c>
      <c r="L10" s="9">
        <v>11.5</v>
      </c>
      <c r="M10" s="9"/>
      <c r="N10" s="9"/>
      <c r="O10" s="8" t="s">
        <v>20</v>
      </c>
      <c r="P10" s="9">
        <v>40.4</v>
      </c>
      <c r="Q10" s="8" t="s">
        <v>339</v>
      </c>
      <c r="R10" s="9">
        <v>6.3</v>
      </c>
      <c r="S10" s="8" t="s">
        <v>20</v>
      </c>
      <c r="T10" s="9">
        <v>9.8000000000000007</v>
      </c>
      <c r="U10" s="3" t="s">
        <v>68</v>
      </c>
      <c r="V10" s="78"/>
      <c r="AK10" s="95"/>
    </row>
    <row r="11" spans="1:37" ht="172.8" x14ac:dyDescent="0.25">
      <c r="A11" s="7" t="s">
        <v>350</v>
      </c>
      <c r="B11" s="10" t="s">
        <v>32</v>
      </c>
      <c r="C11" s="3" t="s">
        <v>337</v>
      </c>
      <c r="D11" s="9">
        <v>40.799999999999997</v>
      </c>
      <c r="E11" s="3" t="s">
        <v>338</v>
      </c>
      <c r="F11" s="9">
        <v>3.7</v>
      </c>
      <c r="G11" s="3" t="s">
        <v>338</v>
      </c>
      <c r="H11" s="9">
        <v>43.9</v>
      </c>
      <c r="I11" s="9"/>
      <c r="J11" s="9"/>
      <c r="K11" s="3" t="s">
        <v>338</v>
      </c>
      <c r="L11" s="9">
        <v>4.9000000000000004</v>
      </c>
      <c r="M11" s="9"/>
      <c r="N11" s="9"/>
      <c r="O11" s="8" t="s">
        <v>20</v>
      </c>
      <c r="P11" s="9">
        <v>93.3</v>
      </c>
      <c r="Q11" s="8" t="s">
        <v>339</v>
      </c>
      <c r="R11" s="9">
        <v>38.700000000000003</v>
      </c>
      <c r="S11" s="8" t="s">
        <v>20</v>
      </c>
      <c r="T11" s="9">
        <v>16.899999999999999</v>
      </c>
      <c r="U11" s="10" t="s">
        <v>19</v>
      </c>
      <c r="V11" s="78"/>
      <c r="AK11" s="95"/>
    </row>
    <row r="12" spans="1:37" ht="115.2" x14ac:dyDescent="0.25">
      <c r="A12" s="7" t="s">
        <v>351</v>
      </c>
      <c r="B12" s="10" t="s">
        <v>32</v>
      </c>
      <c r="C12" s="3" t="s">
        <v>337</v>
      </c>
      <c r="D12" s="9">
        <v>58</v>
      </c>
      <c r="E12" s="10" t="s">
        <v>19</v>
      </c>
      <c r="F12" s="9">
        <v>0</v>
      </c>
      <c r="G12" s="3" t="s">
        <v>338</v>
      </c>
      <c r="H12" s="9">
        <v>115.9</v>
      </c>
      <c r="I12" s="9"/>
      <c r="J12" s="9"/>
      <c r="K12" s="3" t="s">
        <v>338</v>
      </c>
      <c r="L12" s="9">
        <v>7</v>
      </c>
      <c r="M12" s="9"/>
      <c r="N12" s="9"/>
      <c r="O12" s="8" t="s">
        <v>20</v>
      </c>
      <c r="P12" s="9">
        <v>180.9</v>
      </c>
      <c r="Q12" s="8" t="s">
        <v>339</v>
      </c>
      <c r="R12" s="9">
        <v>62.9</v>
      </c>
      <c r="S12" s="8" t="s">
        <v>20</v>
      </c>
      <c r="T12" s="9">
        <v>40.1</v>
      </c>
      <c r="U12" s="10" t="s">
        <v>19</v>
      </c>
      <c r="V12" s="78"/>
      <c r="AK12" s="95"/>
    </row>
    <row r="13" spans="1:37" ht="172.8" x14ac:dyDescent="0.25">
      <c r="A13" s="7" t="s">
        <v>352</v>
      </c>
      <c r="B13" s="8" t="s">
        <v>212</v>
      </c>
      <c r="C13" s="3" t="s">
        <v>337</v>
      </c>
      <c r="D13" s="9">
        <v>83.5</v>
      </c>
      <c r="E13" s="10" t="s">
        <v>19</v>
      </c>
      <c r="F13" s="9">
        <v>0</v>
      </c>
      <c r="G13" s="10" t="s">
        <v>19</v>
      </c>
      <c r="H13" s="9">
        <v>0</v>
      </c>
      <c r="I13" s="9"/>
      <c r="J13" s="9"/>
      <c r="K13" s="10" t="s">
        <v>19</v>
      </c>
      <c r="L13" s="9">
        <v>0</v>
      </c>
      <c r="M13" s="9"/>
      <c r="N13" s="9"/>
      <c r="O13" s="8" t="s">
        <v>20</v>
      </c>
      <c r="P13" s="9">
        <v>83.5</v>
      </c>
      <c r="Q13" s="3" t="s">
        <v>347</v>
      </c>
      <c r="R13" s="9">
        <v>28</v>
      </c>
      <c r="S13" s="8" t="s">
        <v>20</v>
      </c>
      <c r="T13" s="9">
        <v>20.399999999999999</v>
      </c>
      <c r="U13" s="10" t="s">
        <v>19</v>
      </c>
      <c r="V13" s="78"/>
      <c r="AK13" s="95"/>
    </row>
    <row r="14" spans="1:37" ht="86.4" x14ac:dyDescent="0.25">
      <c r="A14" s="128" t="s">
        <v>353</v>
      </c>
      <c r="B14" s="128" t="s">
        <v>32</v>
      </c>
      <c r="C14" s="129" t="s">
        <v>354</v>
      </c>
      <c r="D14" s="130">
        <v>17.7</v>
      </c>
      <c r="E14" s="128" t="s">
        <v>19</v>
      </c>
      <c r="F14" s="130">
        <v>0</v>
      </c>
      <c r="G14" s="129" t="s">
        <v>355</v>
      </c>
      <c r="H14" s="130">
        <v>31.5</v>
      </c>
      <c r="I14" s="121"/>
      <c r="J14" s="121"/>
      <c r="K14" s="128" t="s">
        <v>19</v>
      </c>
      <c r="L14" s="130">
        <v>0</v>
      </c>
      <c r="M14" s="121"/>
      <c r="N14" s="121"/>
      <c r="O14" s="131" t="s">
        <v>20</v>
      </c>
      <c r="P14" s="130">
        <v>49.2</v>
      </c>
      <c r="Q14" s="129" t="s">
        <v>356</v>
      </c>
      <c r="R14" s="130">
        <v>21.8</v>
      </c>
      <c r="S14" s="131" t="s">
        <v>20</v>
      </c>
      <c r="T14" s="130">
        <v>9.4</v>
      </c>
      <c r="U14" s="129" t="s">
        <v>68</v>
      </c>
      <c r="V14" s="78"/>
      <c r="AK14" s="95"/>
    </row>
    <row r="15" spans="1:37" ht="86.4" x14ac:dyDescent="0.25">
      <c r="A15" s="128" t="s">
        <v>357</v>
      </c>
      <c r="B15" s="128" t="s">
        <v>265</v>
      </c>
      <c r="C15" s="129" t="s">
        <v>354</v>
      </c>
      <c r="D15" s="130">
        <v>51.7</v>
      </c>
      <c r="E15" s="128" t="s">
        <v>19</v>
      </c>
      <c r="F15" s="130">
        <v>0</v>
      </c>
      <c r="G15" s="129" t="s">
        <v>355</v>
      </c>
      <c r="H15" s="130">
        <v>37.6</v>
      </c>
      <c r="I15" s="121"/>
      <c r="J15" s="121"/>
      <c r="K15" s="129" t="s">
        <v>355</v>
      </c>
      <c r="L15" s="130">
        <v>24.6</v>
      </c>
      <c r="M15" s="122"/>
      <c r="N15" s="122"/>
      <c r="O15" s="131" t="s">
        <v>20</v>
      </c>
      <c r="P15" s="130">
        <v>113.8</v>
      </c>
      <c r="Q15" s="129" t="s">
        <v>356</v>
      </c>
      <c r="R15" s="130">
        <v>87.4</v>
      </c>
      <c r="S15" s="131" t="s">
        <v>20</v>
      </c>
      <c r="T15" s="130">
        <v>32.700000000000003</v>
      </c>
      <c r="U15" s="129" t="s">
        <v>68</v>
      </c>
      <c r="V15" s="78"/>
      <c r="AK15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Views>
    <sheetView tabSelected="1" zoomScaleNormal="100" workbookViewId="0">
      <selection activeCell="C6" sqref="C6:F10"/>
    </sheetView>
  </sheetViews>
  <sheetFormatPr defaultRowHeight="13.2" x14ac:dyDescent="0.25"/>
  <cols>
    <col min="1" max="1" width="8.88671875" style="488" customWidth="1"/>
    <col min="2" max="2" width="11" style="488" bestFit="1" customWidth="1"/>
    <col min="3" max="3" width="12" style="488" customWidth="1"/>
    <col min="4" max="4" width="8.88671875" style="488"/>
    <col min="5" max="5" width="8.6640625" style="488" bestFit="1" customWidth="1"/>
    <col min="6" max="6" width="7" style="488" bestFit="1" customWidth="1"/>
    <col min="7" max="16384" width="8.88671875" style="488"/>
  </cols>
  <sheetData>
    <row r="1" spans="1:6" s="275" customFormat="1" ht="18" x14ac:dyDescent="0.25">
      <c r="A1" s="569" t="s">
        <v>1066</v>
      </c>
      <c r="B1" s="569"/>
      <c r="C1" s="569"/>
      <c r="D1" s="569"/>
      <c r="E1" s="569"/>
      <c r="F1" s="552"/>
    </row>
    <row r="2" spans="1:6" s="554" customFormat="1" ht="18" customHeight="1" x14ac:dyDescent="0.25">
      <c r="A2" s="525" t="s">
        <v>580</v>
      </c>
      <c r="B2" s="754" t="s">
        <v>581</v>
      </c>
      <c r="C2" s="755"/>
      <c r="D2" s="755"/>
      <c r="E2" s="526" t="s">
        <v>583</v>
      </c>
      <c r="F2" s="527" t="s">
        <v>584</v>
      </c>
    </row>
    <row r="3" spans="1:6" ht="51" customHeight="1" x14ac:dyDescent="0.25">
      <c r="A3" s="530" t="s">
        <v>822</v>
      </c>
      <c r="B3" s="756" t="s">
        <v>1126</v>
      </c>
      <c r="C3" s="757"/>
      <c r="D3" s="757"/>
      <c r="E3" s="531" t="s">
        <v>571</v>
      </c>
      <c r="F3" s="530">
        <f>B10</f>
        <v>363.44499999999999</v>
      </c>
    </row>
    <row r="4" spans="1:6" ht="31.8" customHeight="1" x14ac:dyDescent="0.25">
      <c r="A4" s="530" t="s">
        <v>823</v>
      </c>
      <c r="B4" s="756" t="s">
        <v>808</v>
      </c>
      <c r="C4" s="757"/>
      <c r="D4" s="757"/>
      <c r="E4" s="531" t="s">
        <v>571</v>
      </c>
      <c r="F4" s="530">
        <f>B10</f>
        <v>363.44499999999999</v>
      </c>
    </row>
    <row r="5" spans="1:6" ht="9" customHeight="1" x14ac:dyDescent="0.25">
      <c r="A5" s="572"/>
      <c r="B5" s="572"/>
      <c r="C5" s="572"/>
      <c r="D5" s="572"/>
      <c r="E5" s="572"/>
      <c r="F5" s="572"/>
    </row>
    <row r="6" spans="1:6" ht="19.2" customHeight="1" x14ac:dyDescent="0.25">
      <c r="A6" s="533" t="s">
        <v>1022</v>
      </c>
      <c r="B6" s="533" t="s">
        <v>1125</v>
      </c>
      <c r="C6" s="586"/>
      <c r="D6" s="582"/>
      <c r="E6" s="582"/>
      <c r="F6" s="582"/>
    </row>
    <row r="7" spans="1:6" ht="15.6" x14ac:dyDescent="0.25">
      <c r="A7" s="535" t="s">
        <v>822</v>
      </c>
      <c r="B7" s="759">
        <f>35.1*4-13*0.65*2.1</f>
        <v>122.655</v>
      </c>
      <c r="C7" s="586"/>
      <c r="D7" s="582"/>
      <c r="E7" s="582"/>
      <c r="F7" s="582"/>
    </row>
    <row r="8" spans="1:6" ht="15.6" x14ac:dyDescent="0.25">
      <c r="A8" s="535" t="s">
        <v>823</v>
      </c>
      <c r="B8" s="759">
        <f>36.67*4-13*0.65*2.1</f>
        <v>128.935</v>
      </c>
      <c r="C8" s="586"/>
      <c r="D8" s="582"/>
      <c r="E8" s="582"/>
      <c r="F8" s="582"/>
    </row>
    <row r="9" spans="1:6" ht="15.6" x14ac:dyDescent="0.25">
      <c r="A9" s="535" t="s">
        <v>824</v>
      </c>
      <c r="B9" s="759">
        <f>32.4*4-13*0.65*2.1</f>
        <v>111.85499999999999</v>
      </c>
      <c r="C9" s="586"/>
      <c r="D9" s="582"/>
      <c r="E9" s="582"/>
      <c r="F9" s="582"/>
    </row>
    <row r="10" spans="1:6" ht="15.6" x14ac:dyDescent="0.25">
      <c r="A10" s="535" t="s">
        <v>622</v>
      </c>
      <c r="B10" s="759">
        <f xml:space="preserve"> SUM(B7:B9)</f>
        <v>363.44499999999999</v>
      </c>
      <c r="C10" s="586"/>
      <c r="D10" s="582"/>
      <c r="E10" s="582"/>
      <c r="F10" s="582"/>
    </row>
  </sheetData>
  <mergeCells count="6">
    <mergeCell ref="C6:F10"/>
    <mergeCell ref="B4:D4"/>
    <mergeCell ref="A1:E1"/>
    <mergeCell ref="B2:D2"/>
    <mergeCell ref="B3:D3"/>
    <mergeCell ref="A5:F5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1"/>
  <sheetViews>
    <sheetView zoomScaleNormal="100" workbookViewId="0">
      <selection activeCell="D16" sqref="D16"/>
    </sheetView>
  </sheetViews>
  <sheetFormatPr defaultRowHeight="13.2" x14ac:dyDescent="0.25"/>
  <cols>
    <col min="1" max="1" width="8.88671875" style="488"/>
    <col min="2" max="2" width="19" style="488" customWidth="1"/>
    <col min="3" max="4" width="8.88671875" style="488"/>
    <col min="5" max="5" width="8.6640625" style="488" bestFit="1" customWidth="1"/>
    <col min="6" max="6" width="7" style="488" bestFit="1" customWidth="1"/>
    <col min="7" max="16384" width="8.88671875" style="488"/>
  </cols>
  <sheetData>
    <row r="1" spans="1:6" s="275" customFormat="1" ht="18" x14ac:dyDescent="0.25">
      <c r="A1" s="569" t="s">
        <v>1066</v>
      </c>
      <c r="B1" s="569"/>
      <c r="C1" s="569"/>
      <c r="D1" s="569"/>
      <c r="E1" s="569"/>
      <c r="F1" s="552"/>
    </row>
    <row r="2" spans="1:6" s="554" customFormat="1" ht="18" customHeight="1" x14ac:dyDescent="0.25">
      <c r="A2" s="525" t="s">
        <v>580</v>
      </c>
      <c r="B2" s="754" t="s">
        <v>581</v>
      </c>
      <c r="C2" s="755"/>
      <c r="D2" s="755"/>
      <c r="E2" s="526" t="s">
        <v>583</v>
      </c>
      <c r="F2" s="527" t="s">
        <v>584</v>
      </c>
    </row>
    <row r="3" spans="1:6" ht="51" customHeight="1" x14ac:dyDescent="0.25">
      <c r="A3" s="530" t="s">
        <v>822</v>
      </c>
      <c r="B3" s="756" t="s">
        <v>1120</v>
      </c>
      <c r="C3" s="757"/>
      <c r="D3" s="757"/>
      <c r="E3" s="531" t="s">
        <v>571</v>
      </c>
      <c r="F3" s="531">
        <f>C11</f>
        <v>3.9499999999999997</v>
      </c>
    </row>
    <row r="4" spans="1:6" ht="9" customHeight="1" x14ac:dyDescent="0.25">
      <c r="A4" s="572"/>
      <c r="B4" s="572"/>
      <c r="C4" s="572"/>
      <c r="D4" s="572"/>
      <c r="E4" s="572"/>
      <c r="F4" s="572"/>
    </row>
    <row r="5" spans="1:6" ht="19.2" customHeight="1" x14ac:dyDescent="0.25">
      <c r="A5" s="533" t="s">
        <v>1022</v>
      </c>
      <c r="B5" s="533" t="s">
        <v>1121</v>
      </c>
      <c r="C5" s="534" t="s">
        <v>584</v>
      </c>
      <c r="D5" s="573"/>
      <c r="E5" s="574"/>
      <c r="F5" s="574"/>
    </row>
    <row r="6" spans="1:6" ht="15.6" x14ac:dyDescent="0.25">
      <c r="A6" s="535" t="s">
        <v>822</v>
      </c>
      <c r="B6" s="535" t="s">
        <v>1122</v>
      </c>
      <c r="C6" s="758">
        <f xml:space="preserve"> 0.5*1.3</f>
        <v>0.65</v>
      </c>
      <c r="D6" s="573"/>
      <c r="E6" s="574"/>
      <c r="F6" s="574"/>
    </row>
    <row r="7" spans="1:6" ht="15.6" x14ac:dyDescent="0.25">
      <c r="A7" s="535" t="s">
        <v>823</v>
      </c>
      <c r="B7" s="535" t="s">
        <v>1122</v>
      </c>
      <c r="C7" s="758">
        <f t="shared" ref="C7:C10" si="0" xml:space="preserve"> 0.5*1.3</f>
        <v>0.65</v>
      </c>
      <c r="D7" s="573"/>
      <c r="E7" s="574"/>
      <c r="F7" s="574"/>
    </row>
    <row r="8" spans="1:6" ht="15.6" x14ac:dyDescent="0.25">
      <c r="A8" s="535" t="s">
        <v>824</v>
      </c>
      <c r="B8" s="535" t="s">
        <v>1123</v>
      </c>
      <c r="C8" s="758">
        <f xml:space="preserve"> 0.5*1.7</f>
        <v>0.85</v>
      </c>
      <c r="D8" s="573"/>
      <c r="E8" s="574"/>
      <c r="F8" s="574"/>
    </row>
    <row r="9" spans="1:6" ht="15.6" x14ac:dyDescent="0.25">
      <c r="A9" s="535" t="s">
        <v>897</v>
      </c>
      <c r="B9" s="535" t="s">
        <v>1124</v>
      </c>
      <c r="C9" s="758">
        <f xml:space="preserve"> 0.5*1.8</f>
        <v>0.9</v>
      </c>
      <c r="D9" s="573"/>
      <c r="E9" s="574"/>
      <c r="F9" s="574"/>
    </row>
    <row r="10" spans="1:6" ht="15.6" x14ac:dyDescent="0.25">
      <c r="A10" s="535" t="s">
        <v>898</v>
      </c>
      <c r="B10" s="535" t="s">
        <v>1124</v>
      </c>
      <c r="C10" s="758">
        <f xml:space="preserve"> 0.5*1.8</f>
        <v>0.9</v>
      </c>
      <c r="D10" s="573"/>
      <c r="E10" s="574"/>
      <c r="F10" s="574"/>
    </row>
    <row r="11" spans="1:6" ht="15.6" x14ac:dyDescent="0.25">
      <c r="A11" s="535" t="s">
        <v>622</v>
      </c>
      <c r="B11" s="535"/>
      <c r="C11" s="758">
        <f xml:space="preserve">  SUM(C6:C10)</f>
        <v>3.9499999999999997</v>
      </c>
      <c r="D11" s="573"/>
      <c r="E11" s="574"/>
      <c r="F11" s="574"/>
    </row>
  </sheetData>
  <mergeCells count="5">
    <mergeCell ref="A1:E1"/>
    <mergeCell ref="A4:F4"/>
    <mergeCell ref="D5:F11"/>
    <mergeCell ref="B2:D2"/>
    <mergeCell ref="B3:D3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8"/>
  <sheetViews>
    <sheetView zoomScaleNormal="100" workbookViewId="0">
      <selection activeCell="C5" sqref="A1:G8"/>
    </sheetView>
  </sheetViews>
  <sheetFormatPr defaultRowHeight="13.2" x14ac:dyDescent="0.25"/>
  <cols>
    <col min="1" max="4" width="8.88671875" style="488"/>
    <col min="5" max="5" width="19" style="488" bestFit="1" customWidth="1"/>
    <col min="6" max="6" width="8.6640625" style="488" bestFit="1" customWidth="1"/>
    <col min="7" max="7" width="7" style="488" bestFit="1" customWidth="1"/>
    <col min="8" max="16384" width="8.88671875" style="488"/>
  </cols>
  <sheetData>
    <row r="1" spans="1:7" s="275" customFormat="1" ht="18" x14ac:dyDescent="0.25">
      <c r="A1" s="569" t="s">
        <v>1066</v>
      </c>
      <c r="B1" s="569"/>
      <c r="C1" s="569"/>
      <c r="D1" s="569"/>
      <c r="E1" s="569"/>
      <c r="F1" s="569"/>
      <c r="G1" s="552"/>
    </row>
    <row r="2" spans="1:7" s="549" customFormat="1" ht="18" customHeight="1" x14ac:dyDescent="0.25">
      <c r="A2" s="525" t="s">
        <v>580</v>
      </c>
      <c r="B2" s="570" t="s">
        <v>581</v>
      </c>
      <c r="C2" s="570"/>
      <c r="D2" s="570"/>
      <c r="E2" s="550" t="s">
        <v>582</v>
      </c>
      <c r="F2" s="526" t="s">
        <v>583</v>
      </c>
      <c r="G2" s="527" t="s">
        <v>584</v>
      </c>
    </row>
    <row r="3" spans="1:7" ht="27.6" customHeight="1" x14ac:dyDescent="0.25">
      <c r="A3" s="530" t="s">
        <v>822</v>
      </c>
      <c r="B3" s="571" t="s">
        <v>1114</v>
      </c>
      <c r="C3" s="571"/>
      <c r="D3" s="571"/>
      <c r="E3" s="553" t="s">
        <v>1117</v>
      </c>
      <c r="F3" s="531" t="s">
        <v>966</v>
      </c>
      <c r="G3" s="531">
        <v>3</v>
      </c>
    </row>
    <row r="4" spans="1:7" ht="9" customHeight="1" x14ac:dyDescent="0.25">
      <c r="A4" s="572"/>
      <c r="B4" s="572"/>
      <c r="C4" s="572"/>
      <c r="D4" s="572"/>
      <c r="E4" s="572"/>
      <c r="F4" s="572"/>
      <c r="G4" s="572"/>
    </row>
    <row r="5" spans="1:7" ht="15.6" x14ac:dyDescent="0.25">
      <c r="A5" s="533" t="s">
        <v>652</v>
      </c>
      <c r="B5" s="534" t="s">
        <v>584</v>
      </c>
      <c r="C5" s="573"/>
      <c r="D5" s="574"/>
      <c r="E5" s="574"/>
      <c r="F5" s="574"/>
      <c r="G5" s="574"/>
    </row>
    <row r="6" spans="1:7" ht="15.6" x14ac:dyDescent="0.25">
      <c r="A6" s="535" t="s">
        <v>516</v>
      </c>
      <c r="B6" s="535" t="s">
        <v>822</v>
      </c>
      <c r="C6" s="573"/>
      <c r="D6" s="574"/>
      <c r="E6" s="574"/>
      <c r="F6" s="574"/>
      <c r="G6" s="574"/>
    </row>
    <row r="7" spans="1:7" ht="15.6" x14ac:dyDescent="0.25">
      <c r="A7" s="535" t="s">
        <v>454</v>
      </c>
      <c r="B7" s="535" t="s">
        <v>822</v>
      </c>
      <c r="C7" s="573"/>
      <c r="D7" s="574"/>
      <c r="E7" s="574"/>
      <c r="F7" s="574"/>
      <c r="G7" s="574"/>
    </row>
    <row r="8" spans="1:7" ht="15.6" x14ac:dyDescent="0.25">
      <c r="A8" s="535" t="s">
        <v>451</v>
      </c>
      <c r="B8" s="535" t="s">
        <v>822</v>
      </c>
      <c r="C8" s="573"/>
      <c r="D8" s="574"/>
      <c r="E8" s="574"/>
      <c r="F8" s="574"/>
      <c r="G8" s="574"/>
    </row>
  </sheetData>
  <mergeCells count="5">
    <mergeCell ref="A1:F1"/>
    <mergeCell ref="B2:D2"/>
    <mergeCell ref="B3:D3"/>
    <mergeCell ref="A4:G4"/>
    <mergeCell ref="C5:G8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6"/>
  <sheetViews>
    <sheetView zoomScaleNormal="100" workbookViewId="0">
      <selection activeCell="E3" sqref="E3"/>
    </sheetView>
  </sheetViews>
  <sheetFormatPr defaultRowHeight="13.2" x14ac:dyDescent="0.25"/>
  <cols>
    <col min="1" max="4" width="8.88671875" style="488"/>
    <col min="5" max="5" width="24.77734375" style="488" customWidth="1"/>
    <col min="6" max="6" width="8.6640625" style="488" bestFit="1" customWidth="1"/>
    <col min="7" max="7" width="7" style="488" bestFit="1" customWidth="1"/>
    <col min="8" max="16384" width="8.88671875" style="488"/>
  </cols>
  <sheetData>
    <row r="1" spans="1:7" s="275" customFormat="1" ht="18" x14ac:dyDescent="0.25">
      <c r="A1" s="569" t="s">
        <v>1066</v>
      </c>
      <c r="B1" s="569"/>
      <c r="C1" s="569"/>
      <c r="D1" s="569"/>
      <c r="E1" s="569"/>
      <c r="F1" s="569"/>
      <c r="G1" s="552"/>
    </row>
    <row r="2" spans="1:7" s="549" customFormat="1" ht="18" customHeight="1" x14ac:dyDescent="0.25">
      <c r="A2" s="525" t="s">
        <v>580</v>
      </c>
      <c r="B2" s="570" t="s">
        <v>581</v>
      </c>
      <c r="C2" s="570"/>
      <c r="D2" s="570"/>
      <c r="E2" s="550" t="s">
        <v>582</v>
      </c>
      <c r="F2" s="526" t="s">
        <v>583</v>
      </c>
      <c r="G2" s="527" t="s">
        <v>584</v>
      </c>
    </row>
    <row r="3" spans="1:7" ht="31.2" x14ac:dyDescent="0.25">
      <c r="A3" s="530" t="s">
        <v>822</v>
      </c>
      <c r="B3" s="571" t="s">
        <v>1114</v>
      </c>
      <c r="C3" s="571"/>
      <c r="D3" s="571"/>
      <c r="E3" s="553" t="s">
        <v>1116</v>
      </c>
      <c r="F3" s="531" t="s">
        <v>966</v>
      </c>
      <c r="G3" s="531">
        <v>3</v>
      </c>
    </row>
    <row r="4" spans="1:7" ht="9" customHeight="1" x14ac:dyDescent="0.25">
      <c r="A4" s="572"/>
      <c r="B4" s="572"/>
      <c r="C4" s="572"/>
      <c r="D4" s="572"/>
      <c r="E4" s="572"/>
      <c r="F4" s="572"/>
      <c r="G4" s="572"/>
    </row>
    <row r="5" spans="1:7" ht="15.6" x14ac:dyDescent="0.25">
      <c r="A5" s="533" t="s">
        <v>652</v>
      </c>
      <c r="B5" s="534" t="s">
        <v>584</v>
      </c>
      <c r="C5" s="573"/>
      <c r="D5" s="574"/>
      <c r="E5" s="574"/>
      <c r="F5" s="574"/>
      <c r="G5" s="574"/>
    </row>
    <row r="6" spans="1:7" ht="15.6" x14ac:dyDescent="0.25">
      <c r="A6" s="535" t="s">
        <v>536</v>
      </c>
      <c r="B6" s="535" t="s">
        <v>824</v>
      </c>
      <c r="C6" s="573"/>
      <c r="D6" s="574"/>
      <c r="E6" s="574"/>
      <c r="F6" s="574"/>
      <c r="G6" s="574"/>
    </row>
  </sheetData>
  <mergeCells count="5">
    <mergeCell ref="C5:G6"/>
    <mergeCell ref="A1:F1"/>
    <mergeCell ref="B2:D2"/>
    <mergeCell ref="B3:D3"/>
    <mergeCell ref="A4:G4"/>
  </mergeCells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6"/>
  <sheetViews>
    <sheetView zoomScaleNormal="100" workbookViewId="0">
      <selection activeCell="H36" sqref="H36"/>
    </sheetView>
  </sheetViews>
  <sheetFormatPr defaultRowHeight="13.2" x14ac:dyDescent="0.25"/>
  <cols>
    <col min="1" max="4" width="8.88671875" style="488"/>
    <col min="5" max="5" width="20.6640625" style="488" customWidth="1"/>
    <col min="6" max="6" width="9.77734375" style="488" bestFit="1" customWidth="1"/>
    <col min="7" max="7" width="8.109375" style="488" bestFit="1" customWidth="1"/>
    <col min="8" max="16384" width="8.88671875" style="488"/>
  </cols>
  <sheetData>
    <row r="1" spans="1:7" s="275" customFormat="1" ht="18" x14ac:dyDescent="0.25">
      <c r="A1" s="569" t="s">
        <v>1066</v>
      </c>
      <c r="B1" s="569"/>
      <c r="C1" s="569"/>
      <c r="D1" s="569"/>
      <c r="E1" s="569"/>
      <c r="F1" s="569"/>
      <c r="G1" s="552"/>
    </row>
    <row r="2" spans="1:7" s="549" customFormat="1" ht="18" customHeight="1" x14ac:dyDescent="0.25">
      <c r="A2" s="525" t="s">
        <v>580</v>
      </c>
      <c r="B2" s="570" t="s">
        <v>581</v>
      </c>
      <c r="C2" s="570"/>
      <c r="D2" s="570"/>
      <c r="E2" s="550" t="s">
        <v>582</v>
      </c>
      <c r="F2" s="526" t="s">
        <v>583</v>
      </c>
      <c r="G2" s="527" t="s">
        <v>584</v>
      </c>
    </row>
    <row r="3" spans="1:7" ht="27.6" customHeight="1" x14ac:dyDescent="0.25">
      <c r="A3" s="530" t="s">
        <v>822</v>
      </c>
      <c r="B3" s="571" t="s">
        <v>1114</v>
      </c>
      <c r="C3" s="571"/>
      <c r="D3" s="571"/>
      <c r="E3" s="553" t="s">
        <v>1115</v>
      </c>
      <c r="F3" s="531" t="s">
        <v>966</v>
      </c>
      <c r="G3" s="531">
        <v>9</v>
      </c>
    </row>
    <row r="4" spans="1:7" ht="9" customHeight="1" x14ac:dyDescent="0.25">
      <c r="A4" s="572"/>
      <c r="B4" s="572"/>
      <c r="C4" s="572"/>
      <c r="D4" s="572"/>
      <c r="E4" s="572"/>
      <c r="F4" s="572"/>
      <c r="G4" s="572"/>
    </row>
    <row r="5" spans="1:7" ht="15.6" x14ac:dyDescent="0.25">
      <c r="A5" s="533" t="s">
        <v>652</v>
      </c>
      <c r="B5" s="534" t="s">
        <v>584</v>
      </c>
      <c r="C5" s="573"/>
      <c r="D5" s="574"/>
      <c r="E5" s="574"/>
      <c r="F5" s="574"/>
      <c r="G5" s="574"/>
    </row>
    <row r="6" spans="1:7" ht="15.6" x14ac:dyDescent="0.25">
      <c r="A6" s="535" t="s">
        <v>469</v>
      </c>
      <c r="B6" s="535">
        <v>9</v>
      </c>
      <c r="C6" s="573"/>
      <c r="D6" s="574"/>
      <c r="E6" s="574"/>
      <c r="F6" s="574"/>
      <c r="G6" s="574"/>
    </row>
  </sheetData>
  <mergeCells count="5">
    <mergeCell ref="C5:G6"/>
    <mergeCell ref="A1:F1"/>
    <mergeCell ref="B2:D2"/>
    <mergeCell ref="B3:D3"/>
    <mergeCell ref="A4:G4"/>
  </mergeCell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7"/>
  <sheetViews>
    <sheetView zoomScaleNormal="100" workbookViewId="0">
      <selection activeCell="D2" sqref="D1:D1048576"/>
    </sheetView>
  </sheetViews>
  <sheetFormatPr defaultRowHeight="13.2" x14ac:dyDescent="0.25"/>
  <cols>
    <col min="1" max="2" width="8.88671875" style="488"/>
    <col min="3" max="3" width="31.6640625" style="488" customWidth="1"/>
    <col min="4" max="4" width="13.6640625" style="488" bestFit="1" customWidth="1"/>
    <col min="5" max="5" width="9.77734375" style="488" bestFit="1" customWidth="1"/>
    <col min="6" max="6" width="8.109375" style="488" bestFit="1" customWidth="1"/>
    <col min="7" max="16384" width="8.88671875" style="488"/>
  </cols>
  <sheetData>
    <row r="1" spans="1:6" s="275" customFormat="1" ht="18" x14ac:dyDescent="0.25">
      <c r="A1" s="569" t="s">
        <v>1066</v>
      </c>
      <c r="B1" s="569"/>
      <c r="C1" s="569"/>
      <c r="D1" s="569"/>
      <c r="E1" s="569"/>
      <c r="F1" s="552"/>
    </row>
    <row r="2" spans="1:6" s="549" customFormat="1" ht="18" x14ac:dyDescent="0.25">
      <c r="A2" s="525" t="s">
        <v>580</v>
      </c>
      <c r="B2" s="570" t="s">
        <v>581</v>
      </c>
      <c r="C2" s="570"/>
      <c r="D2" s="550" t="s">
        <v>582</v>
      </c>
      <c r="E2" s="526" t="s">
        <v>583</v>
      </c>
      <c r="F2" s="527" t="s">
        <v>584</v>
      </c>
    </row>
    <row r="3" spans="1:6" ht="46.8" x14ac:dyDescent="0.25">
      <c r="A3" s="530" t="s">
        <v>822</v>
      </c>
      <c r="B3" s="571" t="s">
        <v>1118</v>
      </c>
      <c r="C3" s="571"/>
      <c r="D3" s="551" t="s">
        <v>1119</v>
      </c>
      <c r="E3" s="531" t="s">
        <v>966</v>
      </c>
      <c r="F3" s="531">
        <v>2</v>
      </c>
    </row>
    <row r="4" spans="1:6" ht="9" customHeight="1" x14ac:dyDescent="0.25">
      <c r="A4" s="572"/>
      <c r="B4" s="572"/>
      <c r="C4" s="572"/>
      <c r="D4" s="572"/>
      <c r="E4" s="572"/>
      <c r="F4" s="572"/>
    </row>
    <row r="5" spans="1:6" ht="15.6" x14ac:dyDescent="0.25">
      <c r="A5" s="533" t="s">
        <v>652</v>
      </c>
      <c r="B5" s="534" t="s">
        <v>584</v>
      </c>
      <c r="C5" s="573"/>
      <c r="D5" s="574"/>
      <c r="E5" s="574"/>
      <c r="F5" s="574"/>
    </row>
    <row r="6" spans="1:6" ht="15.6" x14ac:dyDescent="0.25">
      <c r="A6" s="535" t="s">
        <v>484</v>
      </c>
      <c r="B6" s="536">
        <v>1</v>
      </c>
      <c r="C6" s="573"/>
      <c r="D6" s="574"/>
      <c r="E6" s="574"/>
      <c r="F6" s="574"/>
    </row>
    <row r="7" spans="1:6" ht="15.6" x14ac:dyDescent="0.25">
      <c r="A7" s="537" t="s">
        <v>389</v>
      </c>
      <c r="B7" s="538">
        <v>1</v>
      </c>
      <c r="C7" s="573"/>
      <c r="D7" s="574"/>
      <c r="E7" s="574"/>
      <c r="F7" s="574"/>
    </row>
  </sheetData>
  <mergeCells count="5">
    <mergeCell ref="C5:F7"/>
    <mergeCell ref="A4:F4"/>
    <mergeCell ref="A1:E1"/>
    <mergeCell ref="B2:C2"/>
    <mergeCell ref="B3:C3"/>
  </mergeCell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33"/>
  <sheetViews>
    <sheetView zoomScaleNormal="100" workbookViewId="0">
      <selection activeCell="K13" sqref="K13"/>
    </sheetView>
  </sheetViews>
  <sheetFormatPr defaultRowHeight="15.6" x14ac:dyDescent="0.25"/>
  <cols>
    <col min="1" max="1" width="7.109375" style="532" bestFit="1" customWidth="1"/>
    <col min="2" max="2" width="7" style="532" bestFit="1" customWidth="1"/>
    <col min="3" max="3" width="3" style="532" customWidth="1"/>
    <col min="4" max="5" width="8.88671875" style="532"/>
    <col min="6" max="6" width="1.88671875" style="532" customWidth="1"/>
    <col min="7" max="7" width="8.6640625" style="532" bestFit="1" customWidth="1"/>
    <col min="8" max="8" width="7" style="532" bestFit="1" customWidth="1"/>
    <col min="9" max="9" width="2.33203125" style="532" customWidth="1"/>
    <col min="10" max="16384" width="8.88671875" style="532"/>
  </cols>
  <sheetData>
    <row r="1" spans="1:11" s="529" customFormat="1" x14ac:dyDescent="0.25">
      <c r="A1" s="576" t="s">
        <v>1066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</row>
    <row r="2" spans="1:11" s="528" customFormat="1" ht="15.6" customHeight="1" x14ac:dyDescent="0.25">
      <c r="A2" s="525" t="s">
        <v>580</v>
      </c>
      <c r="B2" s="570" t="s">
        <v>581</v>
      </c>
      <c r="C2" s="570"/>
      <c r="D2" s="570"/>
      <c r="E2" s="570"/>
      <c r="F2" s="570"/>
      <c r="G2" s="570"/>
      <c r="H2" s="570"/>
      <c r="I2" s="570"/>
      <c r="J2" s="526" t="s">
        <v>583</v>
      </c>
      <c r="K2" s="527" t="s">
        <v>584</v>
      </c>
    </row>
    <row r="3" spans="1:11" ht="34.799999999999997" customHeight="1" x14ac:dyDescent="0.25">
      <c r="A3" s="530" t="s">
        <v>822</v>
      </c>
      <c r="B3" s="571" t="s">
        <v>1113</v>
      </c>
      <c r="C3" s="571"/>
      <c r="D3" s="571"/>
      <c r="E3" s="571"/>
      <c r="F3" s="571"/>
      <c r="G3" s="571"/>
      <c r="H3" s="571"/>
      <c r="I3" s="571"/>
      <c r="J3" s="531" t="s">
        <v>966</v>
      </c>
      <c r="K3" s="531">
        <f>E23+H33+K21+B26</f>
        <v>777</v>
      </c>
    </row>
    <row r="4" spans="1:11" x14ac:dyDescent="0.25">
      <c r="A4" s="572"/>
      <c r="B4" s="572"/>
      <c r="C4" s="572"/>
      <c r="D4" s="572"/>
      <c r="E4" s="572"/>
      <c r="F4" s="572"/>
      <c r="G4" s="572"/>
      <c r="H4" s="572"/>
      <c r="I4" s="572"/>
      <c r="J4" s="572"/>
      <c r="K4" s="572"/>
    </row>
    <row r="5" spans="1:11" x14ac:dyDescent="0.25">
      <c r="A5" s="533" t="s">
        <v>652</v>
      </c>
      <c r="B5" s="534" t="s">
        <v>584</v>
      </c>
      <c r="C5" s="575"/>
      <c r="D5" s="533" t="s">
        <v>652</v>
      </c>
      <c r="E5" s="534" t="s">
        <v>584</v>
      </c>
      <c r="F5" s="575"/>
      <c r="G5" s="533" t="s">
        <v>652</v>
      </c>
      <c r="H5" s="534" t="s">
        <v>584</v>
      </c>
      <c r="I5" s="575"/>
      <c r="J5" s="533" t="s">
        <v>652</v>
      </c>
      <c r="K5" s="534" t="s">
        <v>584</v>
      </c>
    </row>
    <row r="6" spans="1:11" x14ac:dyDescent="0.25">
      <c r="A6" s="535" t="s">
        <v>483</v>
      </c>
      <c r="B6" s="536">
        <v>1</v>
      </c>
      <c r="C6" s="575"/>
      <c r="D6" s="539" t="s">
        <v>515</v>
      </c>
      <c r="E6" s="540">
        <v>4</v>
      </c>
      <c r="F6" s="575"/>
      <c r="G6" s="537" t="s">
        <v>425</v>
      </c>
      <c r="H6" s="538">
        <v>10</v>
      </c>
      <c r="I6" s="575"/>
      <c r="J6" s="535" t="s">
        <v>361</v>
      </c>
      <c r="K6" s="536">
        <v>8</v>
      </c>
    </row>
    <row r="7" spans="1:11" x14ac:dyDescent="0.25">
      <c r="A7" s="537" t="s">
        <v>485</v>
      </c>
      <c r="B7" s="538">
        <v>4</v>
      </c>
      <c r="C7" s="575"/>
      <c r="D7" s="539" t="s">
        <v>516</v>
      </c>
      <c r="E7" s="540">
        <v>9</v>
      </c>
      <c r="F7" s="575"/>
      <c r="G7" s="536" t="s">
        <v>426</v>
      </c>
      <c r="H7" s="536">
        <v>16</v>
      </c>
      <c r="I7" s="575"/>
      <c r="J7" s="537" t="s">
        <v>362</v>
      </c>
      <c r="K7" s="538">
        <v>8</v>
      </c>
    </row>
    <row r="8" spans="1:11" x14ac:dyDescent="0.25">
      <c r="A8" s="535" t="s">
        <v>486</v>
      </c>
      <c r="B8" s="536">
        <v>7</v>
      </c>
      <c r="C8" s="575"/>
      <c r="D8" s="539" t="s">
        <v>517</v>
      </c>
      <c r="E8" s="540">
        <v>8</v>
      </c>
      <c r="F8" s="575"/>
      <c r="G8" s="537" t="s">
        <v>427</v>
      </c>
      <c r="H8" s="538">
        <v>20</v>
      </c>
      <c r="I8" s="575"/>
      <c r="J8" s="535" t="s">
        <v>363</v>
      </c>
      <c r="K8" s="536">
        <v>12</v>
      </c>
    </row>
    <row r="9" spans="1:11" x14ac:dyDescent="0.25">
      <c r="A9" s="537" t="s">
        <v>487</v>
      </c>
      <c r="B9" s="538">
        <v>20</v>
      </c>
      <c r="C9" s="575"/>
      <c r="D9" s="539" t="s">
        <v>518</v>
      </c>
      <c r="E9" s="540">
        <v>20</v>
      </c>
      <c r="F9" s="575"/>
      <c r="G9" s="535" t="s">
        <v>428</v>
      </c>
      <c r="H9" s="536">
        <v>9</v>
      </c>
      <c r="I9" s="575"/>
      <c r="J9" s="537" t="s">
        <v>364</v>
      </c>
      <c r="K9" s="538">
        <v>8</v>
      </c>
    </row>
    <row r="10" spans="1:11" x14ac:dyDescent="0.25">
      <c r="A10" s="535" t="s">
        <v>488</v>
      </c>
      <c r="B10" s="536">
        <v>11</v>
      </c>
      <c r="C10" s="575"/>
      <c r="D10" s="539" t="s">
        <v>519</v>
      </c>
      <c r="E10" s="540">
        <v>21</v>
      </c>
      <c r="F10" s="575"/>
      <c r="G10" s="537" t="s">
        <v>429</v>
      </c>
      <c r="H10" s="538">
        <v>10</v>
      </c>
      <c r="I10" s="575"/>
      <c r="J10" s="535" t="s">
        <v>365</v>
      </c>
      <c r="K10" s="536">
        <v>7</v>
      </c>
    </row>
    <row r="11" spans="1:11" x14ac:dyDescent="0.25">
      <c r="A11" s="537" t="s">
        <v>489</v>
      </c>
      <c r="B11" s="538">
        <v>12</v>
      </c>
      <c r="C11" s="575"/>
      <c r="D11" s="539" t="s">
        <v>520</v>
      </c>
      <c r="E11" s="540">
        <v>12</v>
      </c>
      <c r="F11" s="575"/>
      <c r="G11" s="535" t="s">
        <v>430</v>
      </c>
      <c r="H11" s="536">
        <v>7</v>
      </c>
      <c r="I11" s="575"/>
      <c r="J11" s="537" t="s">
        <v>366</v>
      </c>
      <c r="K11" s="538">
        <v>12</v>
      </c>
    </row>
    <row r="12" spans="1:11" x14ac:dyDescent="0.25">
      <c r="A12" s="535" t="s">
        <v>490</v>
      </c>
      <c r="B12" s="536">
        <v>6</v>
      </c>
      <c r="C12" s="575"/>
      <c r="D12" s="539" t="s">
        <v>523</v>
      </c>
      <c r="E12" s="540">
        <v>8</v>
      </c>
      <c r="F12" s="575"/>
      <c r="G12" s="537" t="s">
        <v>431</v>
      </c>
      <c r="H12" s="538">
        <v>7</v>
      </c>
      <c r="I12" s="575"/>
      <c r="J12" s="535" t="s">
        <v>367</v>
      </c>
      <c r="K12" s="536">
        <v>7</v>
      </c>
    </row>
    <row r="13" spans="1:11" x14ac:dyDescent="0.25">
      <c r="A13" s="539" t="s">
        <v>491</v>
      </c>
      <c r="B13" s="540">
        <v>20</v>
      </c>
      <c r="C13" s="575"/>
      <c r="D13" s="539" t="s">
        <v>524</v>
      </c>
      <c r="E13" s="540">
        <v>4</v>
      </c>
      <c r="F13" s="575"/>
      <c r="G13" s="539" t="s">
        <v>432</v>
      </c>
      <c r="H13" s="540">
        <v>29</v>
      </c>
      <c r="I13" s="575"/>
      <c r="J13" s="539" t="s">
        <v>368</v>
      </c>
      <c r="K13" s="540">
        <v>6</v>
      </c>
    </row>
    <row r="14" spans="1:11" x14ac:dyDescent="0.25">
      <c r="A14" s="539" t="s">
        <v>492</v>
      </c>
      <c r="B14" s="540">
        <v>8</v>
      </c>
      <c r="C14" s="575"/>
      <c r="D14" s="539" t="s">
        <v>527</v>
      </c>
      <c r="E14" s="540">
        <v>6</v>
      </c>
      <c r="F14" s="575"/>
      <c r="G14" s="539" t="s">
        <v>433</v>
      </c>
      <c r="H14" s="540">
        <v>18</v>
      </c>
      <c r="I14" s="575"/>
      <c r="J14" s="539" t="s">
        <v>369</v>
      </c>
      <c r="K14" s="540">
        <v>4</v>
      </c>
    </row>
    <row r="15" spans="1:11" x14ac:dyDescent="0.25">
      <c r="A15" s="539" t="s">
        <v>493</v>
      </c>
      <c r="B15" s="540">
        <v>5</v>
      </c>
      <c r="C15" s="575"/>
      <c r="D15" s="539" t="s">
        <v>528</v>
      </c>
      <c r="E15" s="540">
        <v>10</v>
      </c>
      <c r="F15" s="575"/>
      <c r="G15" s="539" t="s">
        <v>671</v>
      </c>
      <c r="H15" s="540">
        <v>11</v>
      </c>
      <c r="I15" s="575"/>
      <c r="J15" s="539" t="s">
        <v>688</v>
      </c>
      <c r="K15" s="540">
        <v>8</v>
      </c>
    </row>
    <row r="16" spans="1:11" x14ac:dyDescent="0.25">
      <c r="A16" s="539" t="s">
        <v>494</v>
      </c>
      <c r="B16" s="540">
        <v>9</v>
      </c>
      <c r="C16" s="575"/>
      <c r="D16" s="539" t="s">
        <v>529</v>
      </c>
      <c r="E16" s="540">
        <v>9</v>
      </c>
      <c r="F16" s="575"/>
      <c r="G16" s="539" t="s">
        <v>434</v>
      </c>
      <c r="H16" s="540">
        <v>5</v>
      </c>
      <c r="I16" s="575"/>
      <c r="J16" s="539" t="s">
        <v>370</v>
      </c>
      <c r="K16" s="540">
        <v>10</v>
      </c>
    </row>
    <row r="17" spans="1:11" x14ac:dyDescent="0.25">
      <c r="A17" s="539" t="s">
        <v>495</v>
      </c>
      <c r="B17" s="540">
        <v>8</v>
      </c>
      <c r="C17" s="575"/>
      <c r="D17" s="539" t="s">
        <v>530</v>
      </c>
      <c r="E17" s="540">
        <v>6</v>
      </c>
      <c r="F17" s="575"/>
      <c r="G17" s="539" t="s">
        <v>435</v>
      </c>
      <c r="H17" s="540">
        <v>4</v>
      </c>
      <c r="I17" s="575"/>
      <c r="J17" s="539" t="s">
        <v>371</v>
      </c>
      <c r="K17" s="540">
        <v>17</v>
      </c>
    </row>
    <row r="18" spans="1:11" x14ac:dyDescent="0.25">
      <c r="A18" s="539" t="s">
        <v>496</v>
      </c>
      <c r="B18" s="540">
        <v>11</v>
      </c>
      <c r="C18" s="575"/>
      <c r="D18" s="539" t="s">
        <v>531</v>
      </c>
      <c r="E18" s="540">
        <v>11</v>
      </c>
      <c r="F18" s="575"/>
      <c r="G18" s="539" t="s">
        <v>436</v>
      </c>
      <c r="H18" s="540">
        <v>18</v>
      </c>
      <c r="I18" s="575"/>
      <c r="J18" s="539" t="s">
        <v>378</v>
      </c>
      <c r="K18" s="540">
        <v>21</v>
      </c>
    </row>
    <row r="19" spans="1:11" x14ac:dyDescent="0.25">
      <c r="A19" s="539" t="s">
        <v>497</v>
      </c>
      <c r="B19" s="540">
        <v>14</v>
      </c>
      <c r="C19" s="575"/>
      <c r="D19" s="539" t="s">
        <v>532</v>
      </c>
      <c r="E19" s="540">
        <v>8</v>
      </c>
      <c r="F19" s="575"/>
      <c r="G19" s="539" t="s">
        <v>437</v>
      </c>
      <c r="H19" s="540">
        <v>5</v>
      </c>
      <c r="I19" s="575"/>
      <c r="J19" s="539" t="s">
        <v>394</v>
      </c>
      <c r="K19" s="540">
        <v>5</v>
      </c>
    </row>
    <row r="20" spans="1:11" x14ac:dyDescent="0.25">
      <c r="A20" s="539" t="s">
        <v>660</v>
      </c>
      <c r="B20" s="540">
        <v>8</v>
      </c>
      <c r="C20" s="575"/>
      <c r="D20" s="539" t="s">
        <v>533</v>
      </c>
      <c r="E20" s="540">
        <v>5</v>
      </c>
      <c r="F20" s="575"/>
      <c r="G20" s="539" t="s">
        <v>439</v>
      </c>
      <c r="H20" s="540">
        <v>3</v>
      </c>
      <c r="I20" s="575"/>
      <c r="J20" s="539" t="s">
        <v>395</v>
      </c>
      <c r="K20" s="540">
        <v>6</v>
      </c>
    </row>
    <row r="21" spans="1:11" x14ac:dyDescent="0.25">
      <c r="A21" s="539" t="s">
        <v>499</v>
      </c>
      <c r="B21" s="540">
        <v>4</v>
      </c>
      <c r="C21" s="575"/>
      <c r="D21" s="539" t="s">
        <v>534</v>
      </c>
      <c r="E21" s="540">
        <v>12</v>
      </c>
      <c r="F21" s="575"/>
      <c r="G21" s="539" t="s">
        <v>440</v>
      </c>
      <c r="H21" s="540">
        <v>23</v>
      </c>
      <c r="I21" s="575"/>
      <c r="J21" s="537" t="s">
        <v>1103</v>
      </c>
      <c r="K21" s="538">
        <f>SUM(K6:K20)</f>
        <v>139</v>
      </c>
    </row>
    <row r="22" spans="1:11" x14ac:dyDescent="0.25">
      <c r="A22" s="539" t="s">
        <v>500</v>
      </c>
      <c r="B22" s="540">
        <v>7</v>
      </c>
      <c r="C22" s="575"/>
      <c r="D22" s="539" t="s">
        <v>535</v>
      </c>
      <c r="E22" s="540">
        <v>10</v>
      </c>
      <c r="F22" s="575"/>
      <c r="G22" s="539" t="s">
        <v>443</v>
      </c>
      <c r="H22" s="540">
        <v>12</v>
      </c>
      <c r="I22" s="574"/>
      <c r="J22" s="572"/>
      <c r="K22" s="572"/>
    </row>
    <row r="23" spans="1:11" x14ac:dyDescent="0.25">
      <c r="A23" s="539" t="s">
        <v>503</v>
      </c>
      <c r="B23" s="540">
        <v>11</v>
      </c>
      <c r="C23" s="575"/>
      <c r="D23" s="537" t="s">
        <v>1103</v>
      </c>
      <c r="E23" s="538">
        <f>SUM(E6:E22)</f>
        <v>163</v>
      </c>
      <c r="F23" s="575"/>
      <c r="G23" s="539" t="s">
        <v>444</v>
      </c>
      <c r="H23" s="540">
        <v>10</v>
      </c>
      <c r="I23" s="574"/>
      <c r="J23" s="574"/>
      <c r="K23" s="574"/>
    </row>
    <row r="24" spans="1:11" x14ac:dyDescent="0.25">
      <c r="A24" s="539" t="s">
        <v>504</v>
      </c>
      <c r="B24" s="540">
        <v>10</v>
      </c>
      <c r="C24" s="574"/>
      <c r="D24" s="572"/>
      <c r="E24" s="572"/>
      <c r="F24" s="574"/>
      <c r="G24" s="539" t="s">
        <v>445</v>
      </c>
      <c r="H24" s="540">
        <v>4</v>
      </c>
      <c r="I24" s="574"/>
      <c r="J24" s="574"/>
      <c r="K24" s="574"/>
    </row>
    <row r="25" spans="1:11" x14ac:dyDescent="0.25">
      <c r="A25" s="539" t="s">
        <v>514</v>
      </c>
      <c r="B25" s="540">
        <v>12</v>
      </c>
      <c r="C25" s="574"/>
      <c r="D25" s="574"/>
      <c r="E25" s="574"/>
      <c r="F25" s="574"/>
      <c r="G25" s="539" t="s">
        <v>446</v>
      </c>
      <c r="H25" s="540">
        <v>7</v>
      </c>
      <c r="I25" s="574"/>
      <c r="J25" s="574"/>
      <c r="K25" s="574"/>
    </row>
    <row r="26" spans="1:11" x14ac:dyDescent="0.25">
      <c r="A26" s="537" t="s">
        <v>1103</v>
      </c>
      <c r="B26" s="538">
        <f>SUM(B6:B25)</f>
        <v>188</v>
      </c>
      <c r="C26" s="574"/>
      <c r="D26" s="574"/>
      <c r="E26" s="574"/>
      <c r="F26" s="574"/>
      <c r="G26" s="539" t="s">
        <v>447</v>
      </c>
      <c r="H26" s="540">
        <v>6</v>
      </c>
      <c r="I26" s="574"/>
      <c r="J26" s="574"/>
      <c r="K26" s="574"/>
    </row>
    <row r="27" spans="1:11" x14ac:dyDescent="0.25">
      <c r="A27" s="572"/>
      <c r="B27" s="572"/>
      <c r="C27" s="574"/>
      <c r="D27" s="574"/>
      <c r="E27" s="574"/>
      <c r="F27" s="574"/>
      <c r="G27" s="539" t="s">
        <v>448</v>
      </c>
      <c r="H27" s="540">
        <v>2</v>
      </c>
      <c r="I27" s="574"/>
      <c r="J27" s="574"/>
      <c r="K27" s="574"/>
    </row>
    <row r="28" spans="1:11" x14ac:dyDescent="0.25">
      <c r="A28" s="574"/>
      <c r="B28" s="574"/>
      <c r="C28" s="574"/>
      <c r="D28" s="574"/>
      <c r="E28" s="574"/>
      <c r="F28" s="574"/>
      <c r="G28" s="539" t="s">
        <v>449</v>
      </c>
      <c r="H28" s="540">
        <v>4</v>
      </c>
      <c r="I28" s="574"/>
      <c r="J28" s="574"/>
      <c r="K28" s="574"/>
    </row>
    <row r="29" spans="1:11" x14ac:dyDescent="0.25">
      <c r="A29" s="574"/>
      <c r="B29" s="574"/>
      <c r="C29" s="574"/>
      <c r="D29" s="574"/>
      <c r="E29" s="574"/>
      <c r="F29" s="574"/>
      <c r="G29" s="539" t="s">
        <v>450</v>
      </c>
      <c r="H29" s="540">
        <v>9</v>
      </c>
      <c r="I29" s="574"/>
      <c r="J29" s="574"/>
      <c r="K29" s="574"/>
    </row>
    <row r="30" spans="1:11" x14ac:dyDescent="0.25">
      <c r="A30" s="574"/>
      <c r="B30" s="574"/>
      <c r="C30" s="574"/>
      <c r="D30" s="574"/>
      <c r="E30" s="574"/>
      <c r="F30" s="574"/>
      <c r="G30" s="539" t="s">
        <v>451</v>
      </c>
      <c r="H30" s="540">
        <v>25</v>
      </c>
      <c r="I30" s="574"/>
      <c r="J30" s="574"/>
      <c r="K30" s="574"/>
    </row>
    <row r="31" spans="1:11" x14ac:dyDescent="0.25">
      <c r="A31" s="574"/>
      <c r="B31" s="574"/>
      <c r="C31" s="574"/>
      <c r="D31" s="574"/>
      <c r="E31" s="574"/>
      <c r="F31" s="574"/>
      <c r="G31" s="539" t="s">
        <v>455</v>
      </c>
      <c r="H31" s="540">
        <v>11</v>
      </c>
      <c r="I31" s="574"/>
      <c r="J31" s="574"/>
      <c r="K31" s="574"/>
    </row>
    <row r="32" spans="1:11" x14ac:dyDescent="0.25">
      <c r="A32" s="574"/>
      <c r="B32" s="574"/>
      <c r="C32" s="574"/>
      <c r="D32" s="574"/>
      <c r="E32" s="574"/>
      <c r="F32" s="574"/>
      <c r="G32" s="539" t="s">
        <v>480</v>
      </c>
      <c r="H32" s="540">
        <v>2</v>
      </c>
      <c r="I32" s="574"/>
      <c r="J32" s="574"/>
      <c r="K32" s="574"/>
    </row>
    <row r="33" spans="1:11" x14ac:dyDescent="0.25">
      <c r="A33" s="574"/>
      <c r="B33" s="574"/>
      <c r="C33" s="574"/>
      <c r="D33" s="574"/>
      <c r="E33" s="574"/>
      <c r="F33" s="574"/>
      <c r="G33" s="537" t="s">
        <v>1103</v>
      </c>
      <c r="H33" s="538">
        <f>SUM(H6:H32)</f>
        <v>287</v>
      </c>
      <c r="I33" s="574"/>
      <c r="J33" s="574"/>
      <c r="K33" s="574"/>
    </row>
  </sheetData>
  <mergeCells count="10">
    <mergeCell ref="F5:F33"/>
    <mergeCell ref="A1:K1"/>
    <mergeCell ref="B2:I2"/>
    <mergeCell ref="B3:I3"/>
    <mergeCell ref="A4:K4"/>
    <mergeCell ref="J22:K33"/>
    <mergeCell ref="C5:C33"/>
    <mergeCell ref="I5:I33"/>
    <mergeCell ref="A27:B33"/>
    <mergeCell ref="D24:E33"/>
  </mergeCells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8"/>
  <sheetViews>
    <sheetView zoomScaleNormal="100" workbookViewId="0">
      <selection activeCell="B3" sqref="B3:D3"/>
    </sheetView>
  </sheetViews>
  <sheetFormatPr defaultRowHeight="13.2" x14ac:dyDescent="0.25"/>
  <cols>
    <col min="1" max="5" width="8.88671875" style="488"/>
    <col min="6" max="6" width="18.6640625" style="488" customWidth="1"/>
    <col min="7" max="7" width="9.77734375" style="488" bestFit="1" customWidth="1"/>
    <col min="8" max="8" width="8.109375" style="488" bestFit="1" customWidth="1"/>
    <col min="9" max="16384" width="8.88671875" style="488"/>
  </cols>
  <sheetData>
    <row r="1" spans="1:8" s="275" customFormat="1" ht="18" x14ac:dyDescent="0.25">
      <c r="A1" s="578" t="s">
        <v>1066</v>
      </c>
      <c r="B1" s="578"/>
      <c r="C1" s="578"/>
      <c r="D1" s="578"/>
      <c r="E1" s="578"/>
      <c r="F1" s="578"/>
      <c r="G1" s="578"/>
      <c r="H1" s="518"/>
    </row>
    <row r="2" spans="1:8" s="505" customFormat="1" ht="18" customHeight="1" x14ac:dyDescent="0.25">
      <c r="A2" s="173" t="s">
        <v>580</v>
      </c>
      <c r="B2" s="579" t="s">
        <v>581</v>
      </c>
      <c r="C2" s="579"/>
      <c r="D2" s="579"/>
      <c r="E2" s="579" t="s">
        <v>582</v>
      </c>
      <c r="F2" s="579"/>
      <c r="G2" s="502" t="s">
        <v>583</v>
      </c>
      <c r="H2" s="503" t="s">
        <v>584</v>
      </c>
    </row>
    <row r="3" spans="1:8" ht="47.4" customHeight="1" x14ac:dyDescent="0.25">
      <c r="A3" s="486" t="s">
        <v>822</v>
      </c>
      <c r="B3" s="580" t="s">
        <v>808</v>
      </c>
      <c r="C3" s="580"/>
      <c r="D3" s="580"/>
      <c r="E3" s="580" t="s">
        <v>1082</v>
      </c>
      <c r="F3" s="580"/>
      <c r="G3" s="500" t="s">
        <v>571</v>
      </c>
      <c r="H3" s="500">
        <v>120.7</v>
      </c>
    </row>
    <row r="4" spans="1:8" ht="9" customHeight="1" x14ac:dyDescent="0.25">
      <c r="A4" s="581"/>
      <c r="B4" s="581"/>
      <c r="C4" s="581"/>
      <c r="D4" s="581"/>
      <c r="E4" s="581"/>
      <c r="F4" s="581"/>
      <c r="G4" s="581"/>
      <c r="H4" s="581"/>
    </row>
    <row r="5" spans="1:8" x14ac:dyDescent="0.25">
      <c r="A5" s="489" t="s">
        <v>652</v>
      </c>
      <c r="B5" s="490" t="s">
        <v>584</v>
      </c>
      <c r="C5" s="583"/>
      <c r="D5" s="489" t="s">
        <v>652</v>
      </c>
      <c r="E5" s="490" t="s">
        <v>584</v>
      </c>
      <c r="F5" s="583"/>
      <c r="G5" s="489" t="s">
        <v>652</v>
      </c>
      <c r="H5" s="490" t="s">
        <v>584</v>
      </c>
    </row>
    <row r="6" spans="1:8" x14ac:dyDescent="0.25">
      <c r="A6" s="514" t="s">
        <v>424</v>
      </c>
      <c r="B6" s="515">
        <v>2.7</v>
      </c>
      <c r="C6" s="583"/>
      <c r="D6" s="516" t="s">
        <v>431</v>
      </c>
      <c r="E6" s="517">
        <v>4.74</v>
      </c>
      <c r="F6" s="583"/>
      <c r="G6" s="514" t="s">
        <v>368</v>
      </c>
      <c r="H6" s="515">
        <v>4.8</v>
      </c>
    </row>
    <row r="7" spans="1:8" x14ac:dyDescent="0.25">
      <c r="A7" s="516" t="s">
        <v>484</v>
      </c>
      <c r="B7" s="517">
        <v>1.98</v>
      </c>
      <c r="C7" s="583"/>
      <c r="D7" s="515" t="s">
        <v>435</v>
      </c>
      <c r="E7" s="515">
        <v>2.04</v>
      </c>
      <c r="F7" s="583"/>
      <c r="G7" s="516" t="s">
        <v>377</v>
      </c>
      <c r="H7" s="517">
        <v>3.71</v>
      </c>
    </row>
    <row r="8" spans="1:8" x14ac:dyDescent="0.25">
      <c r="A8" s="514" t="s">
        <v>487</v>
      </c>
      <c r="B8" s="515">
        <v>9.18</v>
      </c>
      <c r="C8" s="583"/>
      <c r="D8" s="516" t="s">
        <v>438</v>
      </c>
      <c r="E8" s="517">
        <v>2.04</v>
      </c>
      <c r="F8" s="583"/>
      <c r="G8" s="514" t="s">
        <v>690</v>
      </c>
      <c r="H8" s="515">
        <v>1.45</v>
      </c>
    </row>
    <row r="9" spans="1:8" x14ac:dyDescent="0.25">
      <c r="A9" s="516" t="s">
        <v>660</v>
      </c>
      <c r="B9" s="517">
        <v>2.1</v>
      </c>
      <c r="C9" s="583"/>
      <c r="D9" s="514" t="s">
        <v>444</v>
      </c>
      <c r="E9" s="515">
        <v>1.98</v>
      </c>
      <c r="F9" s="583"/>
      <c r="G9" s="516" t="s">
        <v>647</v>
      </c>
      <c r="H9" s="517">
        <v>5.75</v>
      </c>
    </row>
    <row r="10" spans="1:8" x14ac:dyDescent="0.25">
      <c r="A10" s="514" t="s">
        <v>538</v>
      </c>
      <c r="B10" s="515">
        <v>5.64</v>
      </c>
      <c r="C10" s="583"/>
      <c r="D10" s="516" t="s">
        <v>451</v>
      </c>
      <c r="E10" s="517">
        <v>7.56</v>
      </c>
      <c r="F10" s="583"/>
      <c r="G10" s="514" t="s">
        <v>379</v>
      </c>
      <c r="H10" s="515">
        <v>1.45</v>
      </c>
    </row>
    <row r="11" spans="1:8" x14ac:dyDescent="0.25">
      <c r="A11" s="516" t="s">
        <v>539</v>
      </c>
      <c r="B11" s="517">
        <v>1.63</v>
      </c>
      <c r="C11" s="583"/>
      <c r="D11" s="514" t="s">
        <v>459</v>
      </c>
      <c r="E11" s="515">
        <v>1.45</v>
      </c>
      <c r="F11" s="583"/>
      <c r="G11" s="516" t="s">
        <v>380</v>
      </c>
      <c r="H11" s="517">
        <v>5.75</v>
      </c>
    </row>
    <row r="12" spans="1:8" x14ac:dyDescent="0.25">
      <c r="A12" s="514" t="s">
        <v>545</v>
      </c>
      <c r="B12" s="515">
        <v>5.75</v>
      </c>
      <c r="C12" s="583"/>
      <c r="D12" s="516" t="s">
        <v>462</v>
      </c>
      <c r="E12" s="517">
        <v>5.75</v>
      </c>
      <c r="F12" s="583"/>
      <c r="G12" s="514" t="s">
        <v>383</v>
      </c>
      <c r="H12" s="515">
        <v>5.28</v>
      </c>
    </row>
    <row r="13" spans="1:8" x14ac:dyDescent="0.25">
      <c r="A13" s="516" t="s">
        <v>551</v>
      </c>
      <c r="B13" s="517">
        <v>5.75</v>
      </c>
      <c r="C13" s="583"/>
      <c r="D13" s="514" t="s">
        <v>464</v>
      </c>
      <c r="E13" s="515">
        <v>1.45</v>
      </c>
      <c r="F13" s="583"/>
      <c r="G13" s="516" t="s">
        <v>385</v>
      </c>
      <c r="H13" s="517">
        <v>5.4</v>
      </c>
    </row>
    <row r="14" spans="1:8" x14ac:dyDescent="0.25">
      <c r="A14" s="516" t="s">
        <v>1103</v>
      </c>
      <c r="B14" s="517">
        <f>SUM(B6:B13)</f>
        <v>34.729999999999997</v>
      </c>
      <c r="C14" s="583"/>
      <c r="D14" s="516" t="s">
        <v>466</v>
      </c>
      <c r="E14" s="517">
        <v>5.75</v>
      </c>
      <c r="F14" s="583"/>
      <c r="G14" s="514" t="s">
        <v>395</v>
      </c>
      <c r="H14" s="515">
        <v>7.26</v>
      </c>
    </row>
    <row r="15" spans="1:8" x14ac:dyDescent="0.25">
      <c r="A15" s="581"/>
      <c r="B15" s="581"/>
      <c r="C15" s="583"/>
      <c r="D15" s="514" t="s">
        <v>469</v>
      </c>
      <c r="E15" s="515">
        <v>5.28</v>
      </c>
      <c r="F15" s="583"/>
      <c r="G15" s="516" t="s">
        <v>1103</v>
      </c>
      <c r="H15" s="517">
        <f>SUM(H6:H14)</f>
        <v>40.85</v>
      </c>
    </row>
    <row r="16" spans="1:8" x14ac:dyDescent="0.25">
      <c r="A16" s="582"/>
      <c r="B16" s="582"/>
      <c r="C16" s="583"/>
      <c r="D16" s="516" t="s">
        <v>471</v>
      </c>
      <c r="E16" s="517">
        <v>5.28</v>
      </c>
      <c r="F16" s="583"/>
      <c r="G16" s="584"/>
      <c r="H16" s="585"/>
    </row>
    <row r="17" spans="1:8" x14ac:dyDescent="0.25">
      <c r="A17" s="582"/>
      <c r="B17" s="582"/>
      <c r="C17" s="583"/>
      <c r="D17" s="514" t="s">
        <v>480</v>
      </c>
      <c r="E17" s="515">
        <v>1.8</v>
      </c>
      <c r="F17" s="583"/>
      <c r="G17" s="586"/>
      <c r="H17" s="583"/>
    </row>
    <row r="18" spans="1:8" x14ac:dyDescent="0.25">
      <c r="A18" s="582"/>
      <c r="B18" s="582"/>
      <c r="C18" s="583"/>
      <c r="D18" s="516" t="s">
        <v>1103</v>
      </c>
      <c r="E18" s="517">
        <f>SUM(E6:E17)</f>
        <v>45.12</v>
      </c>
      <c r="F18" s="583"/>
      <c r="G18" s="587"/>
      <c r="H18" s="588"/>
    </row>
  </sheetData>
  <mergeCells count="10">
    <mergeCell ref="A1:G1"/>
    <mergeCell ref="B2:D2"/>
    <mergeCell ref="B3:D3"/>
    <mergeCell ref="A15:B18"/>
    <mergeCell ref="C5:C18"/>
    <mergeCell ref="E2:F2"/>
    <mergeCell ref="E3:F3"/>
    <mergeCell ref="F5:F18"/>
    <mergeCell ref="A4:H4"/>
    <mergeCell ref="G16:H18"/>
  </mergeCells>
  <pageMargins left="0.7" right="0.7" top="0.75" bottom="0.75" header="0.3" footer="0.3"/>
  <pageSetup paperSize="9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N36"/>
  <sheetViews>
    <sheetView topLeftCell="A5" zoomScale="78" zoomScaleNormal="78" workbookViewId="0">
      <selection activeCell="A6" sqref="A6:N6"/>
    </sheetView>
  </sheetViews>
  <sheetFormatPr defaultRowHeight="13.2" x14ac:dyDescent="0.25"/>
  <cols>
    <col min="1" max="1" width="8.88671875" style="488" customWidth="1"/>
    <col min="2" max="2" width="8" style="488" customWidth="1"/>
    <col min="3" max="3" width="2.44140625" style="488" customWidth="1"/>
    <col min="4" max="4" width="4.88671875" style="488" customWidth="1"/>
    <col min="5" max="5" width="7" style="488" customWidth="1"/>
    <col min="6" max="6" width="3" style="488" customWidth="1"/>
    <col min="7" max="7" width="4.88671875" style="488" customWidth="1"/>
    <col min="8" max="8" width="8" style="488" customWidth="1"/>
    <col min="9" max="9" width="1.88671875" style="488" customWidth="1"/>
    <col min="10" max="10" width="5.5546875" style="488" customWidth="1"/>
    <col min="11" max="11" width="6.77734375" style="488" customWidth="1"/>
    <col min="12" max="12" width="2.77734375" style="488" customWidth="1"/>
    <col min="13" max="13" width="4.88671875" style="488" bestFit="1" customWidth="1"/>
    <col min="14" max="14" width="7" style="488" bestFit="1" customWidth="1"/>
    <col min="15" max="16384" width="8.88671875" style="488"/>
  </cols>
  <sheetData>
    <row r="1" spans="1:14" s="275" customFormat="1" ht="18" customHeight="1" x14ac:dyDescent="0.25">
      <c r="A1" s="578" t="s">
        <v>1066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</row>
    <row r="2" spans="1:14" s="499" customFormat="1" ht="18" customHeight="1" x14ac:dyDescent="0.25">
      <c r="A2" s="173" t="s">
        <v>580</v>
      </c>
      <c r="B2" s="598" t="s">
        <v>581</v>
      </c>
      <c r="C2" s="599"/>
      <c r="D2" s="599"/>
      <c r="E2" s="599"/>
      <c r="F2" s="599"/>
      <c r="G2" s="599"/>
      <c r="H2" s="599"/>
      <c r="I2" s="599"/>
      <c r="J2" s="600"/>
      <c r="K2" s="597" t="s">
        <v>583</v>
      </c>
      <c r="L2" s="597"/>
      <c r="M2" s="595" t="s">
        <v>584</v>
      </c>
      <c r="N2" s="595"/>
    </row>
    <row r="3" spans="1:14" ht="39.6" customHeight="1" x14ac:dyDescent="0.25">
      <c r="A3" s="486">
        <v>1</v>
      </c>
      <c r="B3" s="601" t="s">
        <v>1104</v>
      </c>
      <c r="C3" s="602"/>
      <c r="D3" s="602"/>
      <c r="E3" s="602"/>
      <c r="F3" s="602"/>
      <c r="G3" s="602"/>
      <c r="H3" s="602"/>
      <c r="I3" s="602"/>
      <c r="J3" s="603"/>
      <c r="K3" s="596" t="s">
        <v>571</v>
      </c>
      <c r="L3" s="596"/>
      <c r="M3" s="596">
        <f>B36+E35</f>
        <v>2168.08</v>
      </c>
      <c r="N3" s="596"/>
    </row>
    <row r="4" spans="1:14" ht="46.2" customHeight="1" x14ac:dyDescent="0.25">
      <c r="A4" s="486">
        <v>2</v>
      </c>
      <c r="B4" s="601" t="s">
        <v>1105</v>
      </c>
      <c r="C4" s="602"/>
      <c r="D4" s="602"/>
      <c r="E4" s="602"/>
      <c r="F4" s="602"/>
      <c r="G4" s="602"/>
      <c r="H4" s="602"/>
      <c r="I4" s="602"/>
      <c r="J4" s="603"/>
      <c r="K4" s="596" t="s">
        <v>571</v>
      </c>
      <c r="L4" s="596"/>
      <c r="M4" s="596">
        <f>H36+K26</f>
        <v>1279.31</v>
      </c>
      <c r="N4" s="596"/>
    </row>
    <row r="5" spans="1:14" ht="55.2" customHeight="1" x14ac:dyDescent="0.25">
      <c r="A5" s="486" t="s">
        <v>824</v>
      </c>
      <c r="B5" s="601" t="s">
        <v>1106</v>
      </c>
      <c r="C5" s="602"/>
      <c r="D5" s="602"/>
      <c r="E5" s="602"/>
      <c r="F5" s="602"/>
      <c r="G5" s="602"/>
      <c r="H5" s="602"/>
      <c r="I5" s="602"/>
      <c r="J5" s="603"/>
      <c r="K5" s="596" t="s">
        <v>571</v>
      </c>
      <c r="L5" s="596"/>
      <c r="M5" s="596">
        <f>N19</f>
        <v>163.92000000000002</v>
      </c>
      <c r="N5" s="596"/>
    </row>
    <row r="6" spans="1:14" ht="18" customHeight="1" x14ac:dyDescent="0.25">
      <c r="A6" s="581"/>
      <c r="B6" s="581"/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</row>
    <row r="7" spans="1:14" ht="15.6" customHeight="1" x14ac:dyDescent="0.25">
      <c r="A7" s="590" t="s">
        <v>1088</v>
      </c>
      <c r="B7" s="590"/>
      <c r="C7" s="589"/>
      <c r="D7" s="590" t="s">
        <v>1088</v>
      </c>
      <c r="E7" s="590"/>
      <c r="F7" s="589"/>
      <c r="G7" s="590" t="s">
        <v>1089</v>
      </c>
      <c r="H7" s="590"/>
      <c r="I7" s="589"/>
      <c r="J7" s="590" t="s">
        <v>1089</v>
      </c>
      <c r="K7" s="590"/>
      <c r="L7" s="589"/>
      <c r="M7" s="590" t="s">
        <v>1090</v>
      </c>
      <c r="N7" s="590"/>
    </row>
    <row r="8" spans="1:14" ht="15.6" customHeight="1" x14ac:dyDescent="0.25">
      <c r="A8" s="489" t="s">
        <v>652</v>
      </c>
      <c r="B8" s="490" t="s">
        <v>584</v>
      </c>
      <c r="C8" s="589"/>
      <c r="D8" s="489" t="s">
        <v>652</v>
      </c>
      <c r="E8" s="490" t="s">
        <v>584</v>
      </c>
      <c r="F8" s="589"/>
      <c r="G8" s="489" t="s">
        <v>652</v>
      </c>
      <c r="H8" s="490" t="s">
        <v>584</v>
      </c>
      <c r="I8" s="589"/>
      <c r="J8" s="489" t="s">
        <v>652</v>
      </c>
      <c r="K8" s="490" t="s">
        <v>584</v>
      </c>
      <c r="L8" s="589"/>
      <c r="M8" s="489" t="s">
        <v>652</v>
      </c>
      <c r="N8" s="490" t="s">
        <v>584</v>
      </c>
    </row>
    <row r="9" spans="1:14" ht="15.6" customHeight="1" x14ac:dyDescent="0.25">
      <c r="A9" s="514" t="s">
        <v>424</v>
      </c>
      <c r="B9" s="515">
        <v>9.7100000000000009</v>
      </c>
      <c r="C9" s="589"/>
      <c r="D9" s="516" t="s">
        <v>457</v>
      </c>
      <c r="E9" s="517">
        <v>9.5</v>
      </c>
      <c r="F9" s="589"/>
      <c r="G9" s="514" t="s">
        <v>424</v>
      </c>
      <c r="H9" s="515">
        <v>19.399999999999999</v>
      </c>
      <c r="I9" s="589"/>
      <c r="J9" s="516" t="s">
        <v>473</v>
      </c>
      <c r="K9" s="517">
        <v>3.6</v>
      </c>
      <c r="L9" s="589"/>
      <c r="M9" s="514" t="s">
        <v>527</v>
      </c>
      <c r="N9" s="515">
        <v>6</v>
      </c>
    </row>
    <row r="10" spans="1:14" ht="15.6" customHeight="1" x14ac:dyDescent="0.25">
      <c r="A10" s="516" t="s">
        <v>505</v>
      </c>
      <c r="B10" s="517">
        <v>2.1</v>
      </c>
      <c r="C10" s="589"/>
      <c r="D10" s="514" t="s">
        <v>459</v>
      </c>
      <c r="E10" s="515">
        <v>9.27</v>
      </c>
      <c r="F10" s="589"/>
      <c r="G10" s="516" t="s">
        <v>498</v>
      </c>
      <c r="H10" s="517">
        <v>25.6</v>
      </c>
      <c r="I10" s="589"/>
      <c r="J10" s="514" t="s">
        <v>475</v>
      </c>
      <c r="K10" s="515">
        <v>1.7</v>
      </c>
      <c r="L10" s="589"/>
      <c r="M10" s="516" t="s">
        <v>530</v>
      </c>
      <c r="N10" s="517">
        <v>10.14</v>
      </c>
    </row>
    <row r="11" spans="1:14" ht="15.6" customHeight="1" x14ac:dyDescent="0.25">
      <c r="A11" s="514" t="s">
        <v>508</v>
      </c>
      <c r="B11" s="515">
        <v>20.75</v>
      </c>
      <c r="C11" s="589"/>
      <c r="D11" s="516" t="s">
        <v>464</v>
      </c>
      <c r="E11" s="517">
        <v>9.27</v>
      </c>
      <c r="F11" s="589"/>
      <c r="G11" s="514" t="s">
        <v>503</v>
      </c>
      <c r="H11" s="515">
        <v>30.23</v>
      </c>
      <c r="I11" s="589"/>
      <c r="J11" s="516" t="s">
        <v>477</v>
      </c>
      <c r="K11" s="517">
        <v>7.8</v>
      </c>
      <c r="L11" s="589"/>
      <c r="M11" s="514" t="s">
        <v>536</v>
      </c>
      <c r="N11" s="515">
        <v>17.190000000000001</v>
      </c>
    </row>
    <row r="12" spans="1:14" ht="15.6" customHeight="1" x14ac:dyDescent="0.25">
      <c r="A12" s="516" t="s">
        <v>509</v>
      </c>
      <c r="B12" s="517">
        <v>46.34</v>
      </c>
      <c r="C12" s="589"/>
      <c r="D12" s="514" t="s">
        <v>471</v>
      </c>
      <c r="E12" s="515">
        <v>5.25</v>
      </c>
      <c r="F12" s="589"/>
      <c r="G12" s="516" t="s">
        <v>504</v>
      </c>
      <c r="H12" s="517">
        <v>18.850000000000001</v>
      </c>
      <c r="I12" s="589"/>
      <c r="J12" s="514" t="s">
        <v>480</v>
      </c>
      <c r="K12" s="515">
        <v>15.6</v>
      </c>
      <c r="L12" s="589"/>
      <c r="M12" s="516" t="s">
        <v>543</v>
      </c>
      <c r="N12" s="517">
        <v>19.760000000000002</v>
      </c>
    </row>
    <row r="13" spans="1:14" ht="15.6" customHeight="1" x14ac:dyDescent="0.25">
      <c r="A13" s="514" t="s">
        <v>510</v>
      </c>
      <c r="B13" s="515">
        <v>74.61</v>
      </c>
      <c r="C13" s="589"/>
      <c r="D13" s="516" t="s">
        <v>473</v>
      </c>
      <c r="E13" s="517">
        <v>33.54</v>
      </c>
      <c r="F13" s="589"/>
      <c r="G13" s="514" t="s">
        <v>505</v>
      </c>
      <c r="H13" s="515">
        <v>14.43</v>
      </c>
      <c r="I13" s="589"/>
      <c r="J13" s="516" t="s">
        <v>371</v>
      </c>
      <c r="K13" s="517">
        <v>52.64</v>
      </c>
      <c r="L13" s="589"/>
      <c r="M13" s="514" t="s">
        <v>549</v>
      </c>
      <c r="N13" s="515">
        <v>19.760000000000002</v>
      </c>
    </row>
    <row r="14" spans="1:14" ht="15.6" customHeight="1" x14ac:dyDescent="0.25">
      <c r="A14" s="516" t="s">
        <v>511</v>
      </c>
      <c r="B14" s="517">
        <v>78.489999999999995</v>
      </c>
      <c r="C14" s="589"/>
      <c r="D14" s="514" t="s">
        <v>475</v>
      </c>
      <c r="E14" s="515">
        <v>7.02</v>
      </c>
      <c r="F14" s="589"/>
      <c r="G14" s="516" t="s">
        <v>509</v>
      </c>
      <c r="H14" s="517">
        <v>21.54</v>
      </c>
      <c r="I14" s="589"/>
      <c r="J14" s="514" t="s">
        <v>646</v>
      </c>
      <c r="K14" s="515">
        <v>1.7</v>
      </c>
      <c r="L14" s="589"/>
      <c r="M14" s="516" t="s">
        <v>553</v>
      </c>
      <c r="N14" s="517">
        <v>12.03</v>
      </c>
    </row>
    <row r="15" spans="1:14" ht="15.6" customHeight="1" x14ac:dyDescent="0.25">
      <c r="A15" s="514" t="s">
        <v>512</v>
      </c>
      <c r="B15" s="515">
        <v>78.739999999999995</v>
      </c>
      <c r="C15" s="589"/>
      <c r="D15" s="516" t="s">
        <v>476</v>
      </c>
      <c r="E15" s="517">
        <v>100.77</v>
      </c>
      <c r="F15" s="589"/>
      <c r="G15" s="514" t="s">
        <v>513</v>
      </c>
      <c r="H15" s="515">
        <v>13.26</v>
      </c>
      <c r="I15" s="589"/>
      <c r="J15" s="516" t="s">
        <v>851</v>
      </c>
      <c r="K15" s="517">
        <v>11.54</v>
      </c>
      <c r="L15" s="589"/>
      <c r="M15" s="514" t="s">
        <v>460</v>
      </c>
      <c r="N15" s="515">
        <v>19.760000000000002</v>
      </c>
    </row>
    <row r="16" spans="1:14" ht="15.6" customHeight="1" x14ac:dyDescent="0.25">
      <c r="A16" s="516" t="s">
        <v>513</v>
      </c>
      <c r="B16" s="517">
        <v>67.17</v>
      </c>
      <c r="C16" s="589"/>
      <c r="D16" s="514" t="s">
        <v>477</v>
      </c>
      <c r="E16" s="515">
        <v>15.6</v>
      </c>
      <c r="F16" s="589"/>
      <c r="G16" s="516" t="s">
        <v>516</v>
      </c>
      <c r="H16" s="517">
        <v>166.63</v>
      </c>
      <c r="I16" s="589"/>
      <c r="J16" s="514" t="s">
        <v>690</v>
      </c>
      <c r="K16" s="515">
        <v>33.03</v>
      </c>
      <c r="L16" s="589"/>
      <c r="M16" s="516" t="s">
        <v>465</v>
      </c>
      <c r="N16" s="517">
        <v>19.760000000000002</v>
      </c>
    </row>
    <row r="17" spans="1:14" ht="15.6" customHeight="1" x14ac:dyDescent="0.25">
      <c r="A17" s="514" t="s">
        <v>516</v>
      </c>
      <c r="B17" s="515">
        <v>52.67</v>
      </c>
      <c r="C17" s="589"/>
      <c r="D17" s="516" t="s">
        <v>478</v>
      </c>
      <c r="E17" s="517">
        <v>22.35</v>
      </c>
      <c r="F17" s="589"/>
      <c r="G17" s="514" t="s">
        <v>538</v>
      </c>
      <c r="H17" s="515">
        <v>53.32</v>
      </c>
      <c r="I17" s="589"/>
      <c r="J17" s="516" t="s">
        <v>647</v>
      </c>
      <c r="K17" s="517">
        <v>33.130000000000003</v>
      </c>
      <c r="L17" s="589"/>
      <c r="M17" s="514" t="s">
        <v>944</v>
      </c>
      <c r="N17" s="515">
        <v>19.760000000000002</v>
      </c>
    </row>
    <row r="18" spans="1:14" ht="15.6" customHeight="1" x14ac:dyDescent="0.25">
      <c r="A18" s="516" t="s">
        <v>538</v>
      </c>
      <c r="B18" s="517">
        <v>21.06</v>
      </c>
      <c r="C18" s="589"/>
      <c r="D18" s="514" t="s">
        <v>479</v>
      </c>
      <c r="E18" s="515">
        <v>78.06</v>
      </c>
      <c r="F18" s="589"/>
      <c r="G18" s="516" t="s">
        <v>545</v>
      </c>
      <c r="H18" s="517">
        <v>33.130000000000003</v>
      </c>
      <c r="I18" s="589"/>
      <c r="J18" s="514" t="s">
        <v>379</v>
      </c>
      <c r="K18" s="515">
        <v>33.03</v>
      </c>
      <c r="L18" s="589"/>
      <c r="M18" s="516" t="s">
        <v>381</v>
      </c>
      <c r="N18" s="517">
        <v>19.760000000000002</v>
      </c>
    </row>
    <row r="19" spans="1:14" ht="15.6" customHeight="1" x14ac:dyDescent="0.25">
      <c r="A19" s="514" t="s">
        <v>547</v>
      </c>
      <c r="B19" s="515">
        <v>10.14</v>
      </c>
      <c r="C19" s="589"/>
      <c r="D19" s="516" t="s">
        <v>368</v>
      </c>
      <c r="E19" s="517">
        <v>31.59</v>
      </c>
      <c r="F19" s="589"/>
      <c r="G19" s="514" t="s">
        <v>547</v>
      </c>
      <c r="H19" s="515">
        <v>36.93</v>
      </c>
      <c r="I19" s="589"/>
      <c r="J19" s="516" t="s">
        <v>380</v>
      </c>
      <c r="K19" s="517">
        <v>33.11</v>
      </c>
      <c r="L19" s="589"/>
      <c r="M19" s="516" t="s">
        <v>1103</v>
      </c>
      <c r="N19" s="517">
        <f>SUM(N9:N18)</f>
        <v>163.92000000000002</v>
      </c>
    </row>
    <row r="20" spans="1:14" ht="15.6" customHeight="1" x14ac:dyDescent="0.25">
      <c r="A20" s="516" t="s">
        <v>554</v>
      </c>
      <c r="B20" s="517">
        <v>7.37</v>
      </c>
      <c r="C20" s="589"/>
      <c r="D20" s="514" t="s">
        <v>371</v>
      </c>
      <c r="E20" s="515">
        <v>31</v>
      </c>
      <c r="F20" s="589"/>
      <c r="G20" s="516" t="s">
        <v>551</v>
      </c>
      <c r="H20" s="517">
        <v>33.130000000000003</v>
      </c>
      <c r="I20" s="589"/>
      <c r="J20" s="514" t="s">
        <v>383</v>
      </c>
      <c r="K20" s="515">
        <v>10.5</v>
      </c>
      <c r="L20" s="589"/>
      <c r="M20" s="591"/>
      <c r="N20" s="591"/>
    </row>
    <row r="21" spans="1:14" ht="15.6" customHeight="1" x14ac:dyDescent="0.25">
      <c r="A21" s="514" t="s">
        <v>555</v>
      </c>
      <c r="B21" s="515">
        <v>15.4</v>
      </c>
      <c r="C21" s="589"/>
      <c r="D21" s="516" t="s">
        <v>376</v>
      </c>
      <c r="E21" s="517">
        <v>61.8</v>
      </c>
      <c r="F21" s="589"/>
      <c r="G21" s="514" t="s">
        <v>554</v>
      </c>
      <c r="H21" s="515">
        <v>3.35</v>
      </c>
      <c r="I21" s="589"/>
      <c r="J21" s="516" t="s">
        <v>387</v>
      </c>
      <c r="K21" s="517">
        <v>1.7</v>
      </c>
      <c r="L21" s="589"/>
      <c r="M21" s="593"/>
      <c r="N21" s="593"/>
    </row>
    <row r="22" spans="1:14" ht="15.6" customHeight="1" x14ac:dyDescent="0.25">
      <c r="A22" s="516" t="s">
        <v>556</v>
      </c>
      <c r="B22" s="517">
        <v>22.34</v>
      </c>
      <c r="C22" s="589"/>
      <c r="D22" s="514" t="s">
        <v>377</v>
      </c>
      <c r="E22" s="515">
        <v>53.46</v>
      </c>
      <c r="F22" s="589"/>
      <c r="G22" s="516" t="s">
        <v>555</v>
      </c>
      <c r="H22" s="517">
        <v>15.4</v>
      </c>
      <c r="I22" s="589"/>
      <c r="J22" s="514" t="s">
        <v>389</v>
      </c>
      <c r="K22" s="515">
        <v>7.8</v>
      </c>
      <c r="L22" s="589"/>
      <c r="M22" s="593"/>
      <c r="N22" s="593"/>
    </row>
    <row r="23" spans="1:14" ht="15.6" customHeight="1" x14ac:dyDescent="0.25">
      <c r="A23" s="514" t="s">
        <v>557</v>
      </c>
      <c r="B23" s="515">
        <v>100.77</v>
      </c>
      <c r="C23" s="589"/>
      <c r="D23" s="516" t="s">
        <v>378</v>
      </c>
      <c r="E23" s="517">
        <v>47.4</v>
      </c>
      <c r="F23" s="589"/>
      <c r="G23" s="514" t="s">
        <v>559</v>
      </c>
      <c r="H23" s="515">
        <v>9.0500000000000007</v>
      </c>
      <c r="I23" s="589"/>
      <c r="J23" s="516" t="s">
        <v>391</v>
      </c>
      <c r="K23" s="517">
        <v>3.6</v>
      </c>
      <c r="L23" s="589"/>
      <c r="M23" s="593"/>
      <c r="N23" s="593"/>
    </row>
    <row r="24" spans="1:14" ht="15.6" customHeight="1" x14ac:dyDescent="0.25">
      <c r="A24" s="516" t="s">
        <v>558</v>
      </c>
      <c r="B24" s="517">
        <v>68.28</v>
      </c>
      <c r="C24" s="589"/>
      <c r="D24" s="514" t="s">
        <v>689</v>
      </c>
      <c r="E24" s="515">
        <v>81.96</v>
      </c>
      <c r="F24" s="589"/>
      <c r="G24" s="516" t="s">
        <v>432</v>
      </c>
      <c r="H24" s="517">
        <v>107.54</v>
      </c>
      <c r="I24" s="589"/>
      <c r="J24" s="514" t="s">
        <v>394</v>
      </c>
      <c r="K24" s="515">
        <v>11.7</v>
      </c>
      <c r="L24" s="589"/>
      <c r="M24" s="593"/>
      <c r="N24" s="593"/>
    </row>
    <row r="25" spans="1:14" ht="15.6" customHeight="1" x14ac:dyDescent="0.25">
      <c r="A25" s="514" t="s">
        <v>559</v>
      </c>
      <c r="B25" s="515">
        <v>7.02</v>
      </c>
      <c r="C25" s="589"/>
      <c r="D25" s="516" t="s">
        <v>646</v>
      </c>
      <c r="E25" s="517">
        <v>8.75</v>
      </c>
      <c r="F25" s="589"/>
      <c r="G25" s="514" t="s">
        <v>435</v>
      </c>
      <c r="H25" s="515">
        <v>28.16</v>
      </c>
      <c r="I25" s="589"/>
      <c r="J25" s="516" t="s">
        <v>395</v>
      </c>
      <c r="K25" s="517">
        <v>15.6</v>
      </c>
      <c r="L25" s="589"/>
      <c r="M25" s="593"/>
      <c r="N25" s="593"/>
    </row>
    <row r="26" spans="1:14" ht="15.6" customHeight="1" x14ac:dyDescent="0.25">
      <c r="A26" s="516" t="s">
        <v>431</v>
      </c>
      <c r="B26" s="517">
        <v>31.59</v>
      </c>
      <c r="C26" s="589"/>
      <c r="D26" s="514" t="s">
        <v>690</v>
      </c>
      <c r="E26" s="515">
        <v>9.27</v>
      </c>
      <c r="F26" s="589"/>
      <c r="G26" s="516" t="s">
        <v>442</v>
      </c>
      <c r="H26" s="517">
        <v>202.19</v>
      </c>
      <c r="I26" s="589"/>
      <c r="J26" s="516" t="s">
        <v>1103</v>
      </c>
      <c r="K26" s="517">
        <f>SUM(K9:K25)</f>
        <v>277.78000000000003</v>
      </c>
      <c r="L26" s="589"/>
      <c r="M26" s="593"/>
      <c r="N26" s="593"/>
    </row>
    <row r="27" spans="1:14" ht="15.6" customHeight="1" x14ac:dyDescent="0.25">
      <c r="A27" s="514" t="s">
        <v>432</v>
      </c>
      <c r="B27" s="515">
        <v>19.670000000000002</v>
      </c>
      <c r="C27" s="589"/>
      <c r="D27" s="516" t="s">
        <v>379</v>
      </c>
      <c r="E27" s="517">
        <v>9.27</v>
      </c>
      <c r="F27" s="589"/>
      <c r="G27" s="514" t="s">
        <v>450</v>
      </c>
      <c r="H27" s="515">
        <v>11.7</v>
      </c>
      <c r="I27" s="589"/>
      <c r="J27" s="591"/>
      <c r="K27" s="592"/>
      <c r="L27" s="589"/>
      <c r="M27" s="593"/>
      <c r="N27" s="593"/>
    </row>
    <row r="28" spans="1:14" ht="15.6" customHeight="1" x14ac:dyDescent="0.25">
      <c r="A28" s="516" t="s">
        <v>435</v>
      </c>
      <c r="B28" s="517">
        <v>6.27</v>
      </c>
      <c r="C28" s="589"/>
      <c r="D28" s="514" t="s">
        <v>385</v>
      </c>
      <c r="E28" s="515">
        <v>5.25</v>
      </c>
      <c r="F28" s="589"/>
      <c r="G28" s="516" t="s">
        <v>455</v>
      </c>
      <c r="H28" s="517">
        <v>1.63</v>
      </c>
      <c r="I28" s="589"/>
      <c r="J28" s="593"/>
      <c r="K28" s="594"/>
      <c r="L28" s="589"/>
      <c r="M28" s="593"/>
      <c r="N28" s="593"/>
    </row>
    <row r="29" spans="1:14" ht="15.6" customHeight="1" x14ac:dyDescent="0.25">
      <c r="A29" s="514" t="s">
        <v>442</v>
      </c>
      <c r="B29" s="515">
        <v>191.85</v>
      </c>
      <c r="C29" s="589"/>
      <c r="D29" s="516" t="s">
        <v>387</v>
      </c>
      <c r="E29" s="517">
        <v>7.03</v>
      </c>
      <c r="F29" s="589"/>
      <c r="G29" s="514" t="s">
        <v>457</v>
      </c>
      <c r="H29" s="515">
        <v>1.7</v>
      </c>
      <c r="I29" s="589"/>
      <c r="J29" s="593"/>
      <c r="K29" s="594"/>
      <c r="L29" s="589"/>
      <c r="M29" s="593"/>
      <c r="N29" s="593"/>
    </row>
    <row r="30" spans="1:14" ht="15.6" customHeight="1" x14ac:dyDescent="0.25">
      <c r="A30" s="516" t="s">
        <v>443</v>
      </c>
      <c r="B30" s="517">
        <v>28.05</v>
      </c>
      <c r="C30" s="589"/>
      <c r="D30" s="514" t="s">
        <v>388</v>
      </c>
      <c r="E30" s="515">
        <v>100.77</v>
      </c>
      <c r="F30" s="589"/>
      <c r="G30" s="516" t="s">
        <v>458</v>
      </c>
      <c r="H30" s="517">
        <v>11.54</v>
      </c>
      <c r="I30" s="589"/>
      <c r="J30" s="593"/>
      <c r="K30" s="594"/>
      <c r="L30" s="589"/>
      <c r="M30" s="593"/>
      <c r="N30" s="593"/>
    </row>
    <row r="31" spans="1:14" ht="15.6" customHeight="1" x14ac:dyDescent="0.25">
      <c r="A31" s="514" t="s">
        <v>451</v>
      </c>
      <c r="B31" s="515">
        <v>53.46</v>
      </c>
      <c r="C31" s="589"/>
      <c r="D31" s="516" t="s">
        <v>389</v>
      </c>
      <c r="E31" s="517">
        <v>15.6</v>
      </c>
      <c r="F31" s="589"/>
      <c r="G31" s="514" t="s">
        <v>459</v>
      </c>
      <c r="H31" s="515">
        <v>33.03</v>
      </c>
      <c r="I31" s="589"/>
      <c r="J31" s="593"/>
      <c r="K31" s="594"/>
      <c r="L31" s="589"/>
      <c r="M31" s="593"/>
      <c r="N31" s="593"/>
    </row>
    <row r="32" spans="1:14" ht="15.6" customHeight="1" x14ac:dyDescent="0.25">
      <c r="A32" s="516" t="s">
        <v>452</v>
      </c>
      <c r="B32" s="517">
        <v>47.4</v>
      </c>
      <c r="C32" s="589"/>
      <c r="D32" s="514" t="s">
        <v>391</v>
      </c>
      <c r="E32" s="515">
        <v>33.54</v>
      </c>
      <c r="F32" s="589"/>
      <c r="G32" s="516" t="s">
        <v>462</v>
      </c>
      <c r="H32" s="517">
        <v>33.130000000000003</v>
      </c>
      <c r="I32" s="589"/>
      <c r="J32" s="593"/>
      <c r="K32" s="594"/>
      <c r="L32" s="589"/>
      <c r="M32" s="593"/>
      <c r="N32" s="593"/>
    </row>
    <row r="33" spans="1:14" ht="15.6" customHeight="1" x14ac:dyDescent="0.25">
      <c r="A33" s="514" t="s">
        <v>453</v>
      </c>
      <c r="B33" s="515">
        <v>61.8</v>
      </c>
      <c r="C33" s="589"/>
      <c r="D33" s="516" t="s">
        <v>392</v>
      </c>
      <c r="E33" s="517">
        <v>22.35</v>
      </c>
      <c r="F33" s="589"/>
      <c r="G33" s="514" t="s">
        <v>464</v>
      </c>
      <c r="H33" s="515">
        <v>33.03</v>
      </c>
      <c r="I33" s="589"/>
      <c r="J33" s="593"/>
      <c r="K33" s="594"/>
      <c r="L33" s="589"/>
      <c r="M33" s="593"/>
      <c r="N33" s="593"/>
    </row>
    <row r="34" spans="1:14" ht="15.6" customHeight="1" x14ac:dyDescent="0.25">
      <c r="A34" s="516" t="s">
        <v>454</v>
      </c>
      <c r="B34" s="517">
        <v>79.84</v>
      </c>
      <c r="C34" s="589"/>
      <c r="D34" s="514" t="s">
        <v>393</v>
      </c>
      <c r="E34" s="515">
        <v>73.56</v>
      </c>
      <c r="F34" s="589"/>
      <c r="G34" s="516" t="s">
        <v>466</v>
      </c>
      <c r="H34" s="517">
        <v>33.130000000000003</v>
      </c>
      <c r="I34" s="589"/>
      <c r="J34" s="593"/>
      <c r="K34" s="594"/>
      <c r="L34" s="589"/>
      <c r="M34" s="593"/>
      <c r="N34" s="593"/>
    </row>
    <row r="35" spans="1:14" ht="15.6" customHeight="1" x14ac:dyDescent="0.25">
      <c r="A35" s="514" t="s">
        <v>456</v>
      </c>
      <c r="B35" s="515">
        <v>81.96</v>
      </c>
      <c r="C35" s="589"/>
      <c r="D35" s="516" t="s">
        <v>1103</v>
      </c>
      <c r="E35" s="517">
        <f>SUM(E9:E34)</f>
        <v>883.23</v>
      </c>
      <c r="F35" s="589"/>
      <c r="G35" s="514" t="s">
        <v>469</v>
      </c>
      <c r="H35" s="515">
        <v>10.5</v>
      </c>
      <c r="I35" s="589"/>
      <c r="J35" s="593"/>
      <c r="K35" s="594"/>
      <c r="L35" s="589"/>
      <c r="M35" s="593"/>
      <c r="N35" s="593"/>
    </row>
    <row r="36" spans="1:14" ht="15.6" customHeight="1" x14ac:dyDescent="0.25">
      <c r="A36" s="516" t="s">
        <v>1103</v>
      </c>
      <c r="B36" s="517">
        <f>SUM(B9:B35)</f>
        <v>1284.8499999999999</v>
      </c>
      <c r="C36" s="589"/>
      <c r="D36" s="591"/>
      <c r="E36" s="592"/>
      <c r="F36" s="589"/>
      <c r="G36" s="516" t="s">
        <v>1103</v>
      </c>
      <c r="H36" s="517">
        <f>SUM(H9:H35)</f>
        <v>1001.5299999999999</v>
      </c>
      <c r="I36" s="589"/>
      <c r="J36" s="593"/>
      <c r="K36" s="594"/>
      <c r="L36" s="589"/>
      <c r="M36" s="593"/>
      <c r="N36" s="593"/>
    </row>
  </sheetData>
  <mergeCells count="26">
    <mergeCell ref="K2:L2"/>
    <mergeCell ref="K3:L3"/>
    <mergeCell ref="K4:L4"/>
    <mergeCell ref="K5:L5"/>
    <mergeCell ref="D7:E7"/>
    <mergeCell ref="J7:K7"/>
    <mergeCell ref="B2:J2"/>
    <mergeCell ref="B3:J3"/>
    <mergeCell ref="B4:J4"/>
    <mergeCell ref="B5:J5"/>
    <mergeCell ref="A1:N1"/>
    <mergeCell ref="A6:N6"/>
    <mergeCell ref="C7:C36"/>
    <mergeCell ref="F7:F36"/>
    <mergeCell ref="I7:I36"/>
    <mergeCell ref="L7:L36"/>
    <mergeCell ref="M7:N7"/>
    <mergeCell ref="A7:B7"/>
    <mergeCell ref="G7:H7"/>
    <mergeCell ref="D36:E36"/>
    <mergeCell ref="J27:K36"/>
    <mergeCell ref="M20:N36"/>
    <mergeCell ref="M2:N2"/>
    <mergeCell ref="M3:N3"/>
    <mergeCell ref="M4:N4"/>
    <mergeCell ref="M5:N5"/>
  </mergeCells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44"/>
  <sheetViews>
    <sheetView zoomScale="85" zoomScaleNormal="85" workbookViewId="0">
      <selection activeCell="E22" sqref="E22"/>
    </sheetView>
  </sheetViews>
  <sheetFormatPr defaultRowHeight="18" x14ac:dyDescent="0.25"/>
  <cols>
    <col min="1" max="1" width="9" style="220" customWidth="1"/>
    <col min="2" max="2" width="8" style="220" customWidth="1"/>
    <col min="3" max="3" width="14.77734375" style="220" customWidth="1"/>
    <col min="4" max="4" width="3.109375" style="220" customWidth="1"/>
    <col min="5" max="5" width="8.33203125" style="220" bestFit="1" customWidth="1"/>
    <col min="6" max="6" width="7.77734375" style="220" bestFit="1" customWidth="1"/>
    <col min="7" max="7" width="12.88671875" style="220" bestFit="1" customWidth="1"/>
    <col min="8" max="8" width="4" style="220" customWidth="1"/>
    <col min="9" max="9" width="9.109375" style="220" bestFit="1" customWidth="1"/>
    <col min="10" max="10" width="8.44140625" style="220" bestFit="1" customWidth="1"/>
    <col min="11" max="11" width="11.6640625" style="220" customWidth="1"/>
    <col min="12" max="16384" width="8.88671875" style="220"/>
  </cols>
  <sheetData>
    <row r="1" spans="1:11" ht="18" customHeight="1" x14ac:dyDescent="0.25">
      <c r="A1" s="607" t="s">
        <v>586</v>
      </c>
      <c r="B1" s="607"/>
      <c r="C1" s="607"/>
      <c r="D1" s="607"/>
      <c r="E1" s="607"/>
      <c r="F1" s="607"/>
      <c r="G1" s="607"/>
      <c r="H1" s="607"/>
      <c r="I1" s="607"/>
      <c r="J1" s="607"/>
      <c r="K1" s="608"/>
    </row>
    <row r="2" spans="1:11" ht="18" customHeight="1" x14ac:dyDescent="0.25">
      <c r="A2" s="498" t="s">
        <v>580</v>
      </c>
      <c r="B2" s="607" t="s">
        <v>789</v>
      </c>
      <c r="C2" s="607"/>
      <c r="D2" s="607"/>
      <c r="E2" s="607"/>
      <c r="F2" s="607"/>
      <c r="G2" s="607"/>
      <c r="H2" s="607"/>
      <c r="I2" s="255" t="s">
        <v>583</v>
      </c>
      <c r="J2" s="255" t="s">
        <v>584</v>
      </c>
      <c r="K2" s="608"/>
    </row>
    <row r="3" spans="1:11" ht="36" customHeight="1" x14ac:dyDescent="0.25">
      <c r="A3" s="498">
        <v>1</v>
      </c>
      <c r="B3" s="609" t="s">
        <v>1102</v>
      </c>
      <c r="C3" s="609"/>
      <c r="D3" s="609"/>
      <c r="E3" s="609"/>
      <c r="F3" s="609"/>
      <c r="G3" s="609"/>
      <c r="H3" s="609"/>
      <c r="I3" s="253" t="s">
        <v>571</v>
      </c>
      <c r="J3" s="256">
        <f>C38+G44+K41</f>
        <v>3850.1499999999996</v>
      </c>
      <c r="K3" s="608"/>
    </row>
    <row r="4" spans="1:11" ht="8.4" customHeight="1" x14ac:dyDescent="0.25">
      <c r="A4" s="610"/>
      <c r="B4" s="610"/>
      <c r="C4" s="610"/>
      <c r="D4" s="610"/>
      <c r="E4" s="610"/>
      <c r="F4" s="610"/>
      <c r="G4" s="610"/>
      <c r="H4" s="610"/>
      <c r="I4" s="610"/>
      <c r="J4" s="610"/>
      <c r="K4" s="610"/>
    </row>
    <row r="5" spans="1:11" x14ac:dyDescent="0.25">
      <c r="A5" s="226" t="s">
        <v>580</v>
      </c>
      <c r="B5" s="227" t="s">
        <v>693</v>
      </c>
      <c r="C5" s="228" t="s">
        <v>588</v>
      </c>
      <c r="D5" s="604"/>
      <c r="E5" s="497" t="s">
        <v>580</v>
      </c>
      <c r="F5" s="512" t="s">
        <v>693</v>
      </c>
      <c r="G5" s="513" t="s">
        <v>588</v>
      </c>
      <c r="H5" s="605"/>
      <c r="I5" s="240" t="s">
        <v>580</v>
      </c>
      <c r="J5" s="241" t="s">
        <v>693</v>
      </c>
      <c r="K5" s="242" t="s">
        <v>588</v>
      </c>
    </row>
    <row r="6" spans="1:11" x14ac:dyDescent="0.25">
      <c r="A6" s="224">
        <v>1</v>
      </c>
      <c r="B6" s="234" t="s">
        <v>424</v>
      </c>
      <c r="C6" s="244">
        <f>1.35*2</f>
        <v>2.7</v>
      </c>
      <c r="D6" s="605"/>
      <c r="E6" s="236">
        <v>33</v>
      </c>
      <c r="F6" s="236" t="s">
        <v>425</v>
      </c>
      <c r="G6" s="239">
        <v>39.22</v>
      </c>
      <c r="H6" s="606"/>
      <c r="I6" s="237">
        <v>71</v>
      </c>
      <c r="J6" s="237" t="s">
        <v>361</v>
      </c>
      <c r="K6" s="238">
        <v>39.734999999999992</v>
      </c>
    </row>
    <row r="7" spans="1:11" x14ac:dyDescent="0.25">
      <c r="A7" s="224">
        <v>2</v>
      </c>
      <c r="B7" s="235" t="s">
        <v>484</v>
      </c>
      <c r="C7" s="246">
        <v>44.164999999999999</v>
      </c>
      <c r="D7" s="605"/>
      <c r="E7" s="237">
        <v>34</v>
      </c>
      <c r="F7" s="237" t="s">
        <v>426</v>
      </c>
      <c r="G7" s="238">
        <v>57.45</v>
      </c>
      <c r="H7" s="606"/>
      <c r="I7" s="236">
        <v>72</v>
      </c>
      <c r="J7" s="236" t="s">
        <v>362</v>
      </c>
      <c r="K7" s="239">
        <v>52.485000000000007</v>
      </c>
    </row>
    <row r="8" spans="1:11" x14ac:dyDescent="0.25">
      <c r="A8" s="224">
        <v>3</v>
      </c>
      <c r="B8" s="234" t="s">
        <v>486</v>
      </c>
      <c r="C8" s="244">
        <v>23.35</v>
      </c>
      <c r="D8" s="605"/>
      <c r="E8" s="236">
        <v>35</v>
      </c>
      <c r="F8" s="236" t="s">
        <v>427</v>
      </c>
      <c r="G8" s="239">
        <v>41.790000000000006</v>
      </c>
      <c r="H8" s="606"/>
      <c r="I8" s="237">
        <v>73</v>
      </c>
      <c r="J8" s="237" t="s">
        <v>363</v>
      </c>
      <c r="K8" s="238">
        <v>26.6</v>
      </c>
    </row>
    <row r="9" spans="1:11" x14ac:dyDescent="0.25">
      <c r="A9" s="224">
        <v>4</v>
      </c>
      <c r="B9" s="235" t="s">
        <v>487</v>
      </c>
      <c r="C9" s="246">
        <v>76.86</v>
      </c>
      <c r="D9" s="605"/>
      <c r="E9" s="237">
        <v>36</v>
      </c>
      <c r="F9" s="237" t="s">
        <v>428</v>
      </c>
      <c r="G9" s="238">
        <v>41.195</v>
      </c>
      <c r="H9" s="606"/>
      <c r="I9" s="236">
        <v>74</v>
      </c>
      <c r="J9" s="236" t="s">
        <v>364</v>
      </c>
      <c r="K9" s="239">
        <v>39.505000000000003</v>
      </c>
    </row>
    <row r="10" spans="1:11" x14ac:dyDescent="0.25">
      <c r="A10" s="224">
        <v>5</v>
      </c>
      <c r="B10" s="234" t="s">
        <v>488</v>
      </c>
      <c r="C10" s="244">
        <f>2*2</f>
        <v>4</v>
      </c>
      <c r="D10" s="605"/>
      <c r="E10" s="236">
        <v>37</v>
      </c>
      <c r="F10" s="236" t="s">
        <v>429</v>
      </c>
      <c r="G10" s="239">
        <v>37.565000000000005</v>
      </c>
      <c r="H10" s="606"/>
      <c r="I10" s="237">
        <v>75</v>
      </c>
      <c r="J10" s="237" t="s">
        <v>365</v>
      </c>
      <c r="K10" s="238">
        <v>39.609999999999992</v>
      </c>
    </row>
    <row r="11" spans="1:11" x14ac:dyDescent="0.25">
      <c r="A11" s="224">
        <v>6</v>
      </c>
      <c r="B11" s="235" t="s">
        <v>490</v>
      </c>
      <c r="C11" s="246">
        <f>2*2.5</f>
        <v>5</v>
      </c>
      <c r="D11" s="605"/>
      <c r="E11" s="237">
        <v>38</v>
      </c>
      <c r="F11" s="237" t="s">
        <v>430</v>
      </c>
      <c r="G11" s="238">
        <v>38.795000000000002</v>
      </c>
      <c r="H11" s="606"/>
      <c r="I11" s="236">
        <v>76</v>
      </c>
      <c r="J11" s="236" t="s">
        <v>366</v>
      </c>
      <c r="K11" s="239">
        <v>34.18</v>
      </c>
    </row>
    <row r="12" spans="1:11" x14ac:dyDescent="0.25">
      <c r="A12" s="224">
        <v>7</v>
      </c>
      <c r="B12" s="234" t="s">
        <v>660</v>
      </c>
      <c r="C12" s="244">
        <v>36.119999999999997</v>
      </c>
      <c r="D12" s="605"/>
      <c r="E12" s="236">
        <v>39</v>
      </c>
      <c r="F12" s="236" t="s">
        <v>431</v>
      </c>
      <c r="G12" s="239">
        <v>50.22</v>
      </c>
      <c r="H12" s="606"/>
      <c r="I12" s="237">
        <v>77</v>
      </c>
      <c r="J12" s="237" t="s">
        <v>367</v>
      </c>
      <c r="K12" s="238">
        <v>33.925000000000004</v>
      </c>
    </row>
    <row r="13" spans="1:11" x14ac:dyDescent="0.25">
      <c r="A13" s="224">
        <v>8</v>
      </c>
      <c r="B13" s="237" t="s">
        <v>498</v>
      </c>
      <c r="C13" s="238">
        <f>16.545*2</f>
        <v>33.090000000000003</v>
      </c>
      <c r="D13" s="605"/>
      <c r="E13" s="237">
        <v>40</v>
      </c>
      <c r="F13" s="237" t="s">
        <v>432</v>
      </c>
      <c r="G13" s="238">
        <v>88.25</v>
      </c>
      <c r="H13" s="606"/>
      <c r="I13" s="236">
        <v>78</v>
      </c>
      <c r="J13" s="236" t="s">
        <v>368</v>
      </c>
      <c r="K13" s="239">
        <v>48.61</v>
      </c>
    </row>
    <row r="14" spans="1:11" x14ac:dyDescent="0.25">
      <c r="A14" s="224">
        <v>9</v>
      </c>
      <c r="B14" s="236" t="s">
        <v>503</v>
      </c>
      <c r="C14" s="239">
        <v>23.73</v>
      </c>
      <c r="D14" s="605"/>
      <c r="E14" s="236">
        <v>41</v>
      </c>
      <c r="F14" s="236" t="s">
        <v>671</v>
      </c>
      <c r="G14" s="239">
        <v>15.325000000000001</v>
      </c>
      <c r="H14" s="606"/>
      <c r="I14" s="237">
        <v>79</v>
      </c>
      <c r="J14" s="237" t="s">
        <v>371</v>
      </c>
      <c r="K14" s="238">
        <v>101.90500000000002</v>
      </c>
    </row>
    <row r="15" spans="1:11" x14ac:dyDescent="0.25">
      <c r="A15" s="224">
        <v>10</v>
      </c>
      <c r="B15" s="237" t="s">
        <v>504</v>
      </c>
      <c r="C15" s="238">
        <v>28.23</v>
      </c>
      <c r="D15" s="605"/>
      <c r="E15" s="237">
        <v>42</v>
      </c>
      <c r="F15" s="237" t="s">
        <v>435</v>
      </c>
      <c r="G15" s="238">
        <v>38.75</v>
      </c>
      <c r="H15" s="606"/>
      <c r="I15" s="236">
        <v>80</v>
      </c>
      <c r="J15" s="236" t="s">
        <v>372</v>
      </c>
      <c r="K15" s="239">
        <v>27.79</v>
      </c>
    </row>
    <row r="16" spans="1:11" x14ac:dyDescent="0.25">
      <c r="A16" s="224">
        <v>11</v>
      </c>
      <c r="B16" s="236" t="s">
        <v>510</v>
      </c>
      <c r="C16" s="239">
        <v>36.950000000000003</v>
      </c>
      <c r="D16" s="605"/>
      <c r="E16" s="236">
        <v>43</v>
      </c>
      <c r="F16" s="236" t="s">
        <v>438</v>
      </c>
      <c r="G16" s="239">
        <v>40.299999999999997</v>
      </c>
      <c r="H16" s="606"/>
      <c r="I16" s="237">
        <v>81</v>
      </c>
      <c r="J16" s="237" t="s">
        <v>375</v>
      </c>
      <c r="K16" s="238">
        <v>24.450000000000003</v>
      </c>
    </row>
    <row r="17" spans="1:11" x14ac:dyDescent="0.25">
      <c r="A17" s="224">
        <v>12</v>
      </c>
      <c r="B17" s="237" t="s">
        <v>511</v>
      </c>
      <c r="C17" s="238">
        <v>41.15</v>
      </c>
      <c r="D17" s="605"/>
      <c r="E17" s="237">
        <v>44</v>
      </c>
      <c r="F17" s="237" t="s">
        <v>439</v>
      </c>
      <c r="G17" s="238">
        <v>9.3650000000000002</v>
      </c>
      <c r="H17" s="606"/>
      <c r="I17" s="236">
        <v>82</v>
      </c>
      <c r="J17" s="236" t="s">
        <v>376</v>
      </c>
      <c r="K17" s="239">
        <v>39.200000000000003</v>
      </c>
    </row>
    <row r="18" spans="1:11" x14ac:dyDescent="0.25">
      <c r="A18" s="224">
        <v>13</v>
      </c>
      <c r="B18" s="236" t="s">
        <v>512</v>
      </c>
      <c r="C18" s="239">
        <v>39.200000000000003</v>
      </c>
      <c r="D18" s="605"/>
      <c r="E18" s="236">
        <v>45</v>
      </c>
      <c r="F18" s="236" t="s">
        <v>443</v>
      </c>
      <c r="G18" s="239">
        <v>27.35</v>
      </c>
      <c r="H18" s="606"/>
      <c r="I18" s="237">
        <v>83</v>
      </c>
      <c r="J18" s="237" t="s">
        <v>377</v>
      </c>
      <c r="K18" s="238">
        <v>54.899999999999991</v>
      </c>
    </row>
    <row r="19" spans="1:11" x14ac:dyDescent="0.25">
      <c r="A19" s="224">
        <v>14</v>
      </c>
      <c r="B19" s="237" t="s">
        <v>513</v>
      </c>
      <c r="C19" s="238">
        <v>48.15</v>
      </c>
      <c r="D19" s="605"/>
      <c r="E19" s="237">
        <v>46</v>
      </c>
      <c r="F19" s="237" t="s">
        <v>444</v>
      </c>
      <c r="G19" s="238">
        <v>27.099999999999998</v>
      </c>
      <c r="H19" s="606"/>
      <c r="I19" s="236">
        <v>84</v>
      </c>
      <c r="J19" s="236" t="s">
        <v>378</v>
      </c>
      <c r="K19" s="239">
        <v>73.059999999999988</v>
      </c>
    </row>
    <row r="20" spans="1:11" x14ac:dyDescent="0.25">
      <c r="A20" s="224">
        <v>15</v>
      </c>
      <c r="B20" s="236" t="s">
        <v>537</v>
      </c>
      <c r="C20" s="239">
        <v>15.02</v>
      </c>
      <c r="D20" s="605"/>
      <c r="E20" s="236">
        <v>47</v>
      </c>
      <c r="F20" s="236" t="s">
        <v>450</v>
      </c>
      <c r="G20" s="239">
        <v>17.184999999999999</v>
      </c>
      <c r="H20" s="606"/>
      <c r="I20" s="237">
        <v>85</v>
      </c>
      <c r="J20" s="237" t="s">
        <v>689</v>
      </c>
      <c r="K20" s="238">
        <v>42.25</v>
      </c>
    </row>
    <row r="21" spans="1:11" x14ac:dyDescent="0.25">
      <c r="A21" s="224">
        <v>16</v>
      </c>
      <c r="B21" s="237" t="s">
        <v>538</v>
      </c>
      <c r="C21" s="238">
        <v>40.870000000000005</v>
      </c>
      <c r="D21" s="605"/>
      <c r="E21" s="237">
        <v>48</v>
      </c>
      <c r="F21" s="237" t="s">
        <v>451</v>
      </c>
      <c r="G21" s="238">
        <v>76.290000000000006</v>
      </c>
      <c r="H21" s="606"/>
      <c r="I21" s="236">
        <v>86</v>
      </c>
      <c r="J21" s="236" t="s">
        <v>646</v>
      </c>
      <c r="K21" s="239">
        <v>66.400000000000006</v>
      </c>
    </row>
    <row r="22" spans="1:11" x14ac:dyDescent="0.25">
      <c r="A22" s="224">
        <v>17</v>
      </c>
      <c r="B22" s="236" t="s">
        <v>539</v>
      </c>
      <c r="C22" s="239">
        <v>12.42</v>
      </c>
      <c r="D22" s="605"/>
      <c r="E22" s="236">
        <v>49</v>
      </c>
      <c r="F22" s="236" t="s">
        <v>678</v>
      </c>
      <c r="G22" s="239">
        <v>30.25</v>
      </c>
      <c r="H22" s="606"/>
      <c r="I22" s="237">
        <v>87</v>
      </c>
      <c r="J22" s="237" t="s">
        <v>851</v>
      </c>
      <c r="K22" s="238">
        <v>15.47</v>
      </c>
    </row>
    <row r="23" spans="1:11" x14ac:dyDescent="0.25">
      <c r="A23" s="224">
        <v>18</v>
      </c>
      <c r="B23" s="237" t="s">
        <v>541</v>
      </c>
      <c r="C23" s="238">
        <v>9.8000000000000007</v>
      </c>
      <c r="D23" s="605"/>
      <c r="E23" s="237">
        <v>50</v>
      </c>
      <c r="F23" s="237" t="s">
        <v>452</v>
      </c>
      <c r="G23" s="238">
        <v>40.460000000000008</v>
      </c>
      <c r="H23" s="606"/>
      <c r="I23" s="236">
        <v>88</v>
      </c>
      <c r="J23" s="236" t="s">
        <v>690</v>
      </c>
      <c r="K23" s="239">
        <v>38.630000000000003</v>
      </c>
    </row>
    <row r="24" spans="1:11" x14ac:dyDescent="0.25">
      <c r="A24" s="224">
        <v>19</v>
      </c>
      <c r="B24" s="236" t="s">
        <v>542</v>
      </c>
      <c r="C24" s="239">
        <v>42.87</v>
      </c>
      <c r="D24" s="605"/>
      <c r="E24" s="236">
        <v>51</v>
      </c>
      <c r="F24" s="236" t="s">
        <v>453</v>
      </c>
      <c r="G24" s="239">
        <v>39.35</v>
      </c>
      <c r="H24" s="606"/>
      <c r="I24" s="237">
        <v>89</v>
      </c>
      <c r="J24" s="237" t="s">
        <v>647</v>
      </c>
      <c r="K24" s="238">
        <v>42.25</v>
      </c>
    </row>
    <row r="25" spans="1:11" x14ac:dyDescent="0.25">
      <c r="A25" s="224">
        <v>20</v>
      </c>
      <c r="B25" s="237" t="s">
        <v>543</v>
      </c>
      <c r="C25" s="238">
        <f>2*5.69-4.04</f>
        <v>7.3400000000000007</v>
      </c>
      <c r="D25" s="605"/>
      <c r="E25" s="237">
        <v>52</v>
      </c>
      <c r="F25" s="237" t="s">
        <v>455</v>
      </c>
      <c r="G25" s="238">
        <v>20.5</v>
      </c>
      <c r="H25" s="606"/>
      <c r="I25" s="236">
        <v>90</v>
      </c>
      <c r="J25" s="236" t="s">
        <v>648</v>
      </c>
      <c r="K25" s="239">
        <v>35.25</v>
      </c>
    </row>
    <row r="26" spans="1:11" x14ac:dyDescent="0.25">
      <c r="A26" s="224">
        <v>21</v>
      </c>
      <c r="B26" s="236" t="s">
        <v>545</v>
      </c>
      <c r="C26" s="239">
        <v>34.31</v>
      </c>
      <c r="D26" s="605"/>
      <c r="E26" s="236">
        <v>53</v>
      </c>
      <c r="F26" s="236" t="s">
        <v>456</v>
      </c>
      <c r="G26" s="239">
        <v>41.05</v>
      </c>
      <c r="H26" s="606"/>
      <c r="I26" s="237">
        <v>91</v>
      </c>
      <c r="J26" s="237" t="s">
        <v>379</v>
      </c>
      <c r="K26" s="238">
        <v>37.18</v>
      </c>
    </row>
    <row r="27" spans="1:11" x14ac:dyDescent="0.25">
      <c r="A27" s="224">
        <v>22</v>
      </c>
      <c r="B27" s="237" t="s">
        <v>546</v>
      </c>
      <c r="C27" s="238">
        <v>36.89</v>
      </c>
      <c r="D27" s="605"/>
      <c r="E27" s="237">
        <v>54</v>
      </c>
      <c r="F27" s="237" t="s">
        <v>457</v>
      </c>
      <c r="G27" s="238">
        <v>49.3</v>
      </c>
      <c r="H27" s="606"/>
      <c r="I27" s="236">
        <v>92</v>
      </c>
      <c r="J27" s="236" t="s">
        <v>380</v>
      </c>
      <c r="K27" s="239">
        <v>41</v>
      </c>
    </row>
    <row r="28" spans="1:11" x14ac:dyDescent="0.25">
      <c r="A28" s="224">
        <v>23</v>
      </c>
      <c r="B28" s="236" t="s">
        <v>547</v>
      </c>
      <c r="C28" s="239">
        <v>29.250000000000004</v>
      </c>
      <c r="D28" s="605"/>
      <c r="E28" s="236">
        <v>55</v>
      </c>
      <c r="F28" s="236" t="s">
        <v>458</v>
      </c>
      <c r="G28" s="239">
        <v>15.589999999999998</v>
      </c>
      <c r="H28" s="606"/>
      <c r="I28" s="237">
        <v>93</v>
      </c>
      <c r="J28" s="237" t="s">
        <v>649</v>
      </c>
      <c r="K28" s="238">
        <v>33.650000000000006</v>
      </c>
    </row>
    <row r="29" spans="1:11" x14ac:dyDescent="0.25">
      <c r="A29" s="224">
        <v>24</v>
      </c>
      <c r="B29" s="237" t="s">
        <v>548</v>
      </c>
      <c r="C29" s="238">
        <f>4.99*2</f>
        <v>9.98</v>
      </c>
      <c r="D29" s="605"/>
      <c r="E29" s="237">
        <v>56</v>
      </c>
      <c r="F29" s="237" t="s">
        <v>459</v>
      </c>
      <c r="G29" s="238">
        <v>38.790000000000006</v>
      </c>
      <c r="H29" s="606"/>
      <c r="I29" s="236">
        <v>94</v>
      </c>
      <c r="J29" s="236" t="s">
        <v>383</v>
      </c>
      <c r="K29" s="239">
        <v>55.254999999999995</v>
      </c>
    </row>
    <row r="30" spans="1:11" x14ac:dyDescent="0.25">
      <c r="A30" s="224">
        <v>25</v>
      </c>
      <c r="B30" s="236" t="s">
        <v>549</v>
      </c>
      <c r="C30" s="239">
        <f>2*5.825</f>
        <v>11.65</v>
      </c>
      <c r="D30" s="605"/>
      <c r="E30" s="236">
        <v>57</v>
      </c>
      <c r="F30" s="236" t="s">
        <v>462</v>
      </c>
      <c r="G30" s="239">
        <v>42.9</v>
      </c>
      <c r="H30" s="606"/>
      <c r="I30" s="237">
        <v>95</v>
      </c>
      <c r="J30" s="237" t="s">
        <v>384</v>
      </c>
      <c r="K30" s="238">
        <v>20.6</v>
      </c>
    </row>
    <row r="31" spans="1:11" x14ac:dyDescent="0.25">
      <c r="A31" s="224">
        <v>26</v>
      </c>
      <c r="B31" s="237" t="s">
        <v>551</v>
      </c>
      <c r="C31" s="238">
        <v>32.06</v>
      </c>
      <c r="D31" s="605"/>
      <c r="E31" s="237">
        <v>58</v>
      </c>
      <c r="F31" s="237" t="s">
        <v>463</v>
      </c>
      <c r="G31" s="238">
        <v>41.98</v>
      </c>
      <c r="H31" s="606"/>
      <c r="I31" s="236">
        <v>96</v>
      </c>
      <c r="J31" s="236" t="s">
        <v>385</v>
      </c>
      <c r="K31" s="239">
        <v>41.510000000000005</v>
      </c>
    </row>
    <row r="32" spans="1:11" x14ac:dyDescent="0.25">
      <c r="A32" s="224">
        <v>27</v>
      </c>
      <c r="B32" s="236" t="s">
        <v>552</v>
      </c>
      <c r="C32" s="239">
        <v>34.6</v>
      </c>
      <c r="D32" s="605"/>
      <c r="E32" s="236">
        <v>59</v>
      </c>
      <c r="F32" s="236" t="s">
        <v>464</v>
      </c>
      <c r="G32" s="239">
        <v>37.69</v>
      </c>
      <c r="H32" s="606"/>
      <c r="I32" s="237">
        <v>97</v>
      </c>
      <c r="J32" s="237" t="s">
        <v>386</v>
      </c>
      <c r="K32" s="238">
        <v>17.844999999999999</v>
      </c>
    </row>
    <row r="33" spans="1:11" x14ac:dyDescent="0.25">
      <c r="A33" s="224">
        <v>28</v>
      </c>
      <c r="B33" s="237" t="s">
        <v>554</v>
      </c>
      <c r="C33" s="238">
        <v>18.225000000000001</v>
      </c>
      <c r="D33" s="605"/>
      <c r="E33" s="237">
        <v>60</v>
      </c>
      <c r="F33" s="237" t="s">
        <v>466</v>
      </c>
      <c r="G33" s="238">
        <v>42.25</v>
      </c>
      <c r="H33" s="606"/>
      <c r="I33" s="236">
        <v>98</v>
      </c>
      <c r="J33" s="236" t="s">
        <v>387</v>
      </c>
      <c r="K33" s="239">
        <v>19.2</v>
      </c>
    </row>
    <row r="34" spans="1:11" x14ac:dyDescent="0.25">
      <c r="A34" s="224">
        <v>29</v>
      </c>
      <c r="B34" s="236" t="s">
        <v>555</v>
      </c>
      <c r="C34" s="239">
        <v>46.075000000000003</v>
      </c>
      <c r="D34" s="605"/>
      <c r="E34" s="236">
        <v>61</v>
      </c>
      <c r="F34" s="236" t="s">
        <v>467</v>
      </c>
      <c r="G34" s="239">
        <v>43.7</v>
      </c>
      <c r="H34" s="606"/>
      <c r="I34" s="237">
        <v>99</v>
      </c>
      <c r="J34" s="237" t="s">
        <v>388</v>
      </c>
      <c r="K34" s="238">
        <v>51.75</v>
      </c>
    </row>
    <row r="35" spans="1:11" x14ac:dyDescent="0.25">
      <c r="A35" s="224">
        <v>30</v>
      </c>
      <c r="B35" s="237" t="s">
        <v>556</v>
      </c>
      <c r="C35" s="238">
        <v>47.41</v>
      </c>
      <c r="D35" s="605"/>
      <c r="E35" s="237">
        <v>62</v>
      </c>
      <c r="F35" s="237" t="s">
        <v>469</v>
      </c>
      <c r="G35" s="238">
        <v>51.67</v>
      </c>
      <c r="H35" s="606"/>
      <c r="I35" s="236">
        <v>100</v>
      </c>
      <c r="J35" s="236" t="s">
        <v>389</v>
      </c>
      <c r="K35" s="239">
        <v>18.5</v>
      </c>
    </row>
    <row r="36" spans="1:11" x14ac:dyDescent="0.25">
      <c r="A36" s="224">
        <v>31</v>
      </c>
      <c r="B36" s="236" t="s">
        <v>557</v>
      </c>
      <c r="C36" s="239">
        <v>52.85</v>
      </c>
      <c r="D36" s="605"/>
      <c r="E36" s="236">
        <v>63</v>
      </c>
      <c r="F36" s="236" t="s">
        <v>471</v>
      </c>
      <c r="G36" s="239">
        <v>50.35</v>
      </c>
      <c r="H36" s="606"/>
      <c r="I36" s="237">
        <v>101</v>
      </c>
      <c r="J36" s="237" t="s">
        <v>391</v>
      </c>
      <c r="K36" s="238">
        <v>43.16</v>
      </c>
    </row>
    <row r="37" spans="1:11" x14ac:dyDescent="0.25">
      <c r="A37" s="224">
        <v>32</v>
      </c>
      <c r="B37" s="237" t="s">
        <v>558</v>
      </c>
      <c r="C37" s="238">
        <v>39</v>
      </c>
      <c r="D37" s="605"/>
      <c r="E37" s="237">
        <v>64</v>
      </c>
      <c r="F37" s="237" t="s">
        <v>473</v>
      </c>
      <c r="G37" s="238">
        <v>16.549999999999997</v>
      </c>
      <c r="H37" s="606"/>
      <c r="I37" s="236">
        <v>102</v>
      </c>
      <c r="J37" s="236" t="s">
        <v>392</v>
      </c>
      <c r="K37" s="239">
        <v>50.86</v>
      </c>
    </row>
    <row r="38" spans="1:11" x14ac:dyDescent="0.25">
      <c r="A38" s="205"/>
      <c r="B38" s="212" t="s">
        <v>590</v>
      </c>
      <c r="C38" s="333">
        <f>SUM(C6:C37)</f>
        <v>963.31500000000005</v>
      </c>
      <c r="D38" s="605"/>
      <c r="E38" s="236">
        <v>65</v>
      </c>
      <c r="F38" s="236" t="s">
        <v>475</v>
      </c>
      <c r="G38" s="239">
        <v>19.45</v>
      </c>
      <c r="H38" s="606"/>
      <c r="I38" s="237">
        <v>103</v>
      </c>
      <c r="J38" s="237" t="s">
        <v>393</v>
      </c>
      <c r="K38" s="238">
        <v>41.75</v>
      </c>
    </row>
    <row r="39" spans="1:11" x14ac:dyDescent="0.25">
      <c r="A39" s="604"/>
      <c r="B39" s="604"/>
      <c r="C39" s="604"/>
      <c r="D39" s="605"/>
      <c r="E39" s="237">
        <v>66</v>
      </c>
      <c r="F39" s="237" t="s">
        <v>476</v>
      </c>
      <c r="G39" s="238">
        <v>51.4</v>
      </c>
      <c r="H39" s="606"/>
      <c r="I39" s="236">
        <v>104</v>
      </c>
      <c r="J39" s="236" t="s">
        <v>394</v>
      </c>
      <c r="K39" s="239">
        <v>18.335000000000001</v>
      </c>
    </row>
    <row r="40" spans="1:11" x14ac:dyDescent="0.25">
      <c r="A40" s="605"/>
      <c r="B40" s="605"/>
      <c r="C40" s="605"/>
      <c r="D40" s="605"/>
      <c r="E40" s="236">
        <v>67</v>
      </c>
      <c r="F40" s="236" t="s">
        <v>477</v>
      </c>
      <c r="G40" s="239">
        <v>19.5</v>
      </c>
      <c r="H40" s="606"/>
      <c r="I40" s="237">
        <v>105</v>
      </c>
      <c r="J40" s="237" t="s">
        <v>395</v>
      </c>
      <c r="K40" s="238">
        <v>30.895</v>
      </c>
    </row>
    <row r="41" spans="1:11" x14ac:dyDescent="0.25">
      <c r="A41" s="605"/>
      <c r="B41" s="605"/>
      <c r="C41" s="605"/>
      <c r="D41" s="605"/>
      <c r="E41" s="237">
        <v>68</v>
      </c>
      <c r="F41" s="237" t="s">
        <v>478</v>
      </c>
      <c r="G41" s="238">
        <v>58.125</v>
      </c>
      <c r="H41" s="606"/>
      <c r="I41" s="243"/>
      <c r="J41" s="212" t="s">
        <v>590</v>
      </c>
      <c r="K41" s="239">
        <f>SUM(K6:K40)</f>
        <v>1397.6949999999999</v>
      </c>
    </row>
    <row r="42" spans="1:11" x14ac:dyDescent="0.25">
      <c r="A42" s="605"/>
      <c r="B42" s="605"/>
      <c r="C42" s="605"/>
      <c r="D42" s="605"/>
      <c r="E42" s="236">
        <v>69</v>
      </c>
      <c r="F42" s="236" t="s">
        <v>479</v>
      </c>
      <c r="G42" s="239">
        <v>41.75</v>
      </c>
      <c r="H42" s="606"/>
      <c r="I42" s="604"/>
      <c r="J42" s="604"/>
      <c r="K42" s="604"/>
    </row>
    <row r="43" spans="1:11" x14ac:dyDescent="0.25">
      <c r="A43" s="605"/>
      <c r="B43" s="605"/>
      <c r="C43" s="605"/>
      <c r="D43" s="605"/>
      <c r="E43" s="237">
        <v>70</v>
      </c>
      <c r="F43" s="237" t="s">
        <v>480</v>
      </c>
      <c r="G43" s="238">
        <v>50.384999999999998</v>
      </c>
      <c r="H43" s="606"/>
      <c r="I43" s="605"/>
      <c r="J43" s="605"/>
      <c r="K43" s="605"/>
    </row>
    <row r="44" spans="1:11" x14ac:dyDescent="0.25">
      <c r="A44" s="605"/>
      <c r="B44" s="605"/>
      <c r="C44" s="605"/>
      <c r="D44" s="605"/>
      <c r="F44" s="212" t="s">
        <v>590</v>
      </c>
      <c r="G44" s="239">
        <f>SUM(G6:G43)</f>
        <v>1489.14</v>
      </c>
      <c r="H44" s="606"/>
      <c r="I44" s="605"/>
      <c r="J44" s="605"/>
      <c r="K44" s="605"/>
    </row>
  </sheetData>
  <mergeCells count="9">
    <mergeCell ref="D5:D44"/>
    <mergeCell ref="H5:H44"/>
    <mergeCell ref="A39:C44"/>
    <mergeCell ref="I42:K44"/>
    <mergeCell ref="A1:J1"/>
    <mergeCell ref="K1:K3"/>
    <mergeCell ref="B2:H2"/>
    <mergeCell ref="B3:H3"/>
    <mergeCell ref="A4:K4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5"/>
  <sheetViews>
    <sheetView zoomScale="70" zoomScaleNormal="70" workbookViewId="0">
      <selection activeCell="B3" sqref="B3:F3"/>
    </sheetView>
  </sheetViews>
  <sheetFormatPr defaultRowHeight="18" x14ac:dyDescent="0.25"/>
  <cols>
    <col min="1" max="16384" width="8.88671875" style="220"/>
  </cols>
  <sheetData>
    <row r="1" spans="1:8" s="275" customFormat="1" x14ac:dyDescent="0.25">
      <c r="A1" s="578" t="s">
        <v>1066</v>
      </c>
      <c r="B1" s="578"/>
      <c r="C1" s="578"/>
      <c r="D1" s="578"/>
      <c r="E1" s="578"/>
      <c r="F1" s="578"/>
      <c r="G1" s="578"/>
      <c r="H1" s="578"/>
    </row>
    <row r="2" spans="1:8" s="499" customFormat="1" ht="18" customHeight="1" x14ac:dyDescent="0.25">
      <c r="A2" s="173" t="s">
        <v>580</v>
      </c>
      <c r="B2" s="579" t="s">
        <v>581</v>
      </c>
      <c r="C2" s="579"/>
      <c r="D2" s="579"/>
      <c r="E2" s="579"/>
      <c r="F2" s="579"/>
      <c r="G2" s="496" t="s">
        <v>583</v>
      </c>
      <c r="H2" s="506" t="s">
        <v>584</v>
      </c>
    </row>
    <row r="3" spans="1:8" ht="54" customHeight="1" x14ac:dyDescent="0.25">
      <c r="A3" s="507" t="s">
        <v>822</v>
      </c>
      <c r="B3" s="611" t="s">
        <v>786</v>
      </c>
      <c r="C3" s="611"/>
      <c r="D3" s="611"/>
      <c r="E3" s="611"/>
      <c r="F3" s="611"/>
      <c r="G3" s="508" t="s">
        <v>571</v>
      </c>
      <c r="H3" s="509">
        <f>H15+E14+B12</f>
        <v>2901.22</v>
      </c>
    </row>
    <row r="4" spans="1:8" x14ac:dyDescent="0.25">
      <c r="A4" s="604"/>
      <c r="B4" s="604"/>
      <c r="C4" s="604"/>
      <c r="D4" s="604"/>
      <c r="E4" s="604"/>
      <c r="F4" s="604"/>
      <c r="G4" s="604"/>
      <c r="H4" s="604"/>
    </row>
    <row r="5" spans="1:8" x14ac:dyDescent="0.25">
      <c r="A5" s="510" t="s">
        <v>652</v>
      </c>
      <c r="B5" s="510" t="s">
        <v>584</v>
      </c>
      <c r="C5" s="612"/>
      <c r="D5" s="510" t="s">
        <v>652</v>
      </c>
      <c r="E5" s="510" t="s">
        <v>584</v>
      </c>
      <c r="F5" s="612"/>
      <c r="G5" s="510" t="s">
        <v>652</v>
      </c>
      <c r="H5" s="510" t="s">
        <v>584</v>
      </c>
    </row>
    <row r="6" spans="1:8" x14ac:dyDescent="0.25">
      <c r="A6" s="511" t="s">
        <v>488</v>
      </c>
      <c r="B6" s="510">
        <v>14.28</v>
      </c>
      <c r="C6" s="612"/>
      <c r="D6" s="511" t="s">
        <v>425</v>
      </c>
      <c r="E6" s="510">
        <v>168.87</v>
      </c>
      <c r="F6" s="612"/>
      <c r="G6" s="511" t="s">
        <v>361</v>
      </c>
      <c r="H6" s="510">
        <v>169.2</v>
      </c>
    </row>
    <row r="7" spans="1:8" x14ac:dyDescent="0.25">
      <c r="A7" s="511" t="s">
        <v>490</v>
      </c>
      <c r="B7" s="510">
        <v>30.4</v>
      </c>
      <c r="C7" s="612"/>
      <c r="D7" s="511" t="s">
        <v>426</v>
      </c>
      <c r="E7" s="510">
        <v>181.59</v>
      </c>
      <c r="F7" s="612"/>
      <c r="G7" s="511" t="s">
        <v>362</v>
      </c>
      <c r="H7" s="510">
        <v>199.44</v>
      </c>
    </row>
    <row r="8" spans="1:8" x14ac:dyDescent="0.25">
      <c r="A8" s="511" t="s">
        <v>491</v>
      </c>
      <c r="B8" s="510">
        <v>31.43</v>
      </c>
      <c r="C8" s="612"/>
      <c r="D8" s="511" t="s">
        <v>427</v>
      </c>
      <c r="E8" s="510">
        <v>159.15</v>
      </c>
      <c r="F8" s="612"/>
      <c r="G8" s="511" t="s">
        <v>363</v>
      </c>
      <c r="H8" s="510">
        <v>123.89</v>
      </c>
    </row>
    <row r="9" spans="1:8" x14ac:dyDescent="0.25">
      <c r="A9" s="511" t="s">
        <v>542</v>
      </c>
      <c r="B9" s="510">
        <v>134.49</v>
      </c>
      <c r="C9" s="612"/>
      <c r="D9" s="511" t="s">
        <v>428</v>
      </c>
      <c r="E9" s="510">
        <v>203.64</v>
      </c>
      <c r="F9" s="612"/>
      <c r="G9" s="511" t="s">
        <v>364</v>
      </c>
      <c r="H9" s="510">
        <v>158.88</v>
      </c>
    </row>
    <row r="10" spans="1:8" x14ac:dyDescent="0.25">
      <c r="A10" s="511" t="s">
        <v>546</v>
      </c>
      <c r="B10" s="510">
        <v>85.25</v>
      </c>
      <c r="C10" s="612"/>
      <c r="D10" s="511" t="s">
        <v>429</v>
      </c>
      <c r="E10" s="510">
        <v>158.56</v>
      </c>
      <c r="F10" s="612"/>
      <c r="G10" s="511" t="s">
        <v>365</v>
      </c>
      <c r="H10" s="510">
        <v>167.2</v>
      </c>
    </row>
    <row r="11" spans="1:8" x14ac:dyDescent="0.25">
      <c r="A11" s="511" t="s">
        <v>552</v>
      </c>
      <c r="B11" s="510">
        <v>82.29</v>
      </c>
      <c r="C11" s="612"/>
      <c r="D11" s="511" t="s">
        <v>430</v>
      </c>
      <c r="E11" s="510">
        <v>160.41</v>
      </c>
      <c r="F11" s="612"/>
      <c r="G11" s="511" t="s">
        <v>366</v>
      </c>
      <c r="H11" s="510">
        <v>151.97999999999999</v>
      </c>
    </row>
    <row r="12" spans="1:8" x14ac:dyDescent="0.25">
      <c r="A12" s="511" t="s">
        <v>622</v>
      </c>
      <c r="B12" s="510">
        <v>378.14</v>
      </c>
      <c r="C12" s="612"/>
      <c r="D12" s="511" t="s">
        <v>463</v>
      </c>
      <c r="E12" s="510">
        <v>95.47</v>
      </c>
      <c r="F12" s="612"/>
      <c r="G12" s="511" t="s">
        <v>367</v>
      </c>
      <c r="H12" s="510">
        <v>140.79</v>
      </c>
    </row>
    <row r="13" spans="1:8" x14ac:dyDescent="0.25">
      <c r="A13" s="614"/>
      <c r="B13" s="614"/>
      <c r="C13" s="612"/>
      <c r="D13" s="511" t="s">
        <v>467</v>
      </c>
      <c r="E13" s="510">
        <v>90.49</v>
      </c>
      <c r="F13" s="612"/>
      <c r="G13" s="511" t="s">
        <v>648</v>
      </c>
      <c r="H13" s="510">
        <v>102.08</v>
      </c>
    </row>
    <row r="14" spans="1:8" x14ac:dyDescent="0.25">
      <c r="A14" s="613"/>
      <c r="B14" s="613"/>
      <c r="C14" s="612"/>
      <c r="D14" s="511" t="s">
        <v>622</v>
      </c>
      <c r="E14" s="510">
        <v>1218.18</v>
      </c>
      <c r="F14" s="612"/>
      <c r="G14" s="511" t="s">
        <v>649</v>
      </c>
      <c r="H14" s="510">
        <v>91.44</v>
      </c>
    </row>
    <row r="15" spans="1:8" x14ac:dyDescent="0.25">
      <c r="A15" s="613"/>
      <c r="B15" s="613"/>
      <c r="C15" s="605"/>
      <c r="D15" s="613"/>
      <c r="E15" s="613"/>
      <c r="F15" s="612"/>
      <c r="G15" s="511" t="s">
        <v>622</v>
      </c>
      <c r="H15" s="510">
        <v>1304.9000000000001</v>
      </c>
    </row>
  </sheetData>
  <mergeCells count="8">
    <mergeCell ref="B2:F2"/>
    <mergeCell ref="B3:F3"/>
    <mergeCell ref="A1:H1"/>
    <mergeCell ref="F5:F15"/>
    <mergeCell ref="C5:C15"/>
    <mergeCell ref="D15:E15"/>
    <mergeCell ref="A13:B15"/>
    <mergeCell ref="A4:H4"/>
  </mergeCells>
  <pageMargins left="0.7" right="0.7" top="0.75" bottom="0.75" header="0.3" footer="0.3"/>
  <pageSetup paperSize="9" orientation="portrait" horizontalDpi="0" verticalDpi="0" r:id="rId1"/>
  <ignoredErrors>
    <ignoredError sqref="A3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30"/>
  <sheetViews>
    <sheetView zoomScale="70" zoomScaleNormal="70" workbookViewId="0">
      <selection activeCell="H29" sqref="H7:H29"/>
    </sheetView>
  </sheetViews>
  <sheetFormatPr defaultRowHeight="13.2" x14ac:dyDescent="0.25"/>
  <cols>
    <col min="1" max="1" width="7.77734375" style="488" customWidth="1"/>
    <col min="2" max="2" width="5.88671875" style="488" customWidth="1"/>
    <col min="3" max="3" width="4.6640625" style="488" customWidth="1"/>
    <col min="4" max="4" width="5.21875" style="488" bestFit="1" customWidth="1"/>
    <col min="5" max="5" width="5.88671875" style="488" customWidth="1"/>
    <col min="6" max="6" width="2.33203125" style="488" customWidth="1"/>
    <col min="7" max="7" width="4.6640625" style="488" bestFit="1" customWidth="1"/>
    <col min="8" max="8" width="6.88671875" style="488" customWidth="1"/>
    <col min="9" max="9" width="5" style="488" customWidth="1"/>
    <col min="10" max="10" width="5.21875" style="488" bestFit="1" customWidth="1"/>
    <col min="11" max="11" width="5.109375" style="488" customWidth="1"/>
    <col min="12" max="12" width="2.6640625" style="488" customWidth="1"/>
    <col min="13" max="13" width="5.21875" style="488" bestFit="1" customWidth="1"/>
    <col min="14" max="14" width="5.5546875" style="488" customWidth="1"/>
    <col min="15" max="15" width="2.88671875" style="488" customWidth="1"/>
    <col min="16" max="16" width="5.21875" style="488" bestFit="1" customWidth="1"/>
    <col min="17" max="17" width="5.5546875" style="488" customWidth="1"/>
    <col min="18" max="16384" width="8.88671875" style="488"/>
  </cols>
  <sheetData>
    <row r="1" spans="1:17" s="275" customFormat="1" ht="18" x14ac:dyDescent="0.25">
      <c r="A1" s="618" t="s">
        <v>1066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</row>
    <row r="2" spans="1:17" s="494" customFormat="1" ht="18" customHeight="1" x14ac:dyDescent="0.25">
      <c r="A2" s="173" t="s">
        <v>580</v>
      </c>
      <c r="B2" s="579" t="s">
        <v>581</v>
      </c>
      <c r="C2" s="579"/>
      <c r="D2" s="579"/>
      <c r="E2" s="579"/>
      <c r="F2" s="579"/>
      <c r="G2" s="579"/>
      <c r="H2" s="579"/>
      <c r="I2" s="579"/>
      <c r="J2" s="579"/>
      <c r="K2" s="579"/>
      <c r="L2" s="597" t="s">
        <v>583</v>
      </c>
      <c r="M2" s="597"/>
      <c r="N2" s="597"/>
      <c r="O2" s="595" t="s">
        <v>584</v>
      </c>
      <c r="P2" s="595"/>
      <c r="Q2" s="595"/>
    </row>
    <row r="3" spans="1:17" ht="54" customHeight="1" x14ac:dyDescent="0.25">
      <c r="A3" s="486" t="s">
        <v>822</v>
      </c>
      <c r="B3" s="601" t="s">
        <v>1100</v>
      </c>
      <c r="C3" s="602"/>
      <c r="D3" s="602"/>
      <c r="E3" s="602"/>
      <c r="F3" s="602"/>
      <c r="G3" s="602"/>
      <c r="H3" s="602"/>
      <c r="I3" s="602"/>
      <c r="J3" s="602"/>
      <c r="K3" s="603"/>
      <c r="L3" s="596" t="s">
        <v>571</v>
      </c>
      <c r="M3" s="596"/>
      <c r="N3" s="596"/>
      <c r="O3" s="617">
        <f>Q22+N30+K28+H30+E30+B30</f>
        <v>1801</v>
      </c>
      <c r="P3" s="617"/>
      <c r="Q3" s="617"/>
    </row>
    <row r="4" spans="1:17" ht="36.6" customHeight="1" x14ac:dyDescent="0.25">
      <c r="A4" s="486" t="s">
        <v>823</v>
      </c>
      <c r="B4" s="601" t="s">
        <v>1101</v>
      </c>
      <c r="C4" s="602"/>
      <c r="D4" s="602"/>
      <c r="E4" s="602"/>
      <c r="F4" s="602"/>
      <c r="G4" s="602"/>
      <c r="H4" s="602"/>
      <c r="I4" s="602"/>
      <c r="J4" s="602"/>
      <c r="K4" s="603"/>
      <c r="L4" s="596" t="s">
        <v>571</v>
      </c>
      <c r="M4" s="596"/>
      <c r="N4" s="596"/>
      <c r="O4" s="617">
        <f>O3</f>
        <v>1801</v>
      </c>
      <c r="P4" s="617"/>
      <c r="Q4" s="617"/>
    </row>
    <row r="5" spans="1:17" x14ac:dyDescent="0.25">
      <c r="A5" s="581"/>
      <c r="B5" s="581"/>
      <c r="C5" s="581"/>
      <c r="D5" s="581"/>
      <c r="E5" s="581"/>
      <c r="F5" s="581"/>
      <c r="G5" s="581"/>
      <c r="H5" s="581"/>
      <c r="I5" s="581"/>
      <c r="J5" s="581"/>
      <c r="K5" s="581"/>
      <c r="L5" s="581"/>
      <c r="M5" s="581"/>
      <c r="N5" s="581"/>
      <c r="O5" s="581"/>
      <c r="P5" s="581"/>
      <c r="Q5" s="581"/>
    </row>
    <row r="6" spans="1:17" x14ac:dyDescent="0.25">
      <c r="A6" s="489" t="s">
        <v>652</v>
      </c>
      <c r="B6" s="490" t="s">
        <v>1098</v>
      </c>
      <c r="C6" s="615"/>
      <c r="D6" s="489" t="s">
        <v>652</v>
      </c>
      <c r="E6" s="490" t="s">
        <v>1098</v>
      </c>
      <c r="F6" s="615"/>
      <c r="G6" s="489" t="s">
        <v>652</v>
      </c>
      <c r="H6" s="490" t="s">
        <v>1098</v>
      </c>
      <c r="I6" s="615"/>
      <c r="J6" s="489" t="s">
        <v>652</v>
      </c>
      <c r="K6" s="490" t="s">
        <v>1098</v>
      </c>
      <c r="L6" s="615"/>
      <c r="M6" s="489" t="s">
        <v>652</v>
      </c>
      <c r="N6" s="490" t="s">
        <v>1098</v>
      </c>
      <c r="O6" s="615"/>
      <c r="P6" s="489" t="s">
        <v>652</v>
      </c>
      <c r="Q6" s="490" t="s">
        <v>1098</v>
      </c>
    </row>
    <row r="7" spans="1:17" x14ac:dyDescent="0.25">
      <c r="A7" s="492" t="s">
        <v>424</v>
      </c>
      <c r="B7" s="492">
        <v>64</v>
      </c>
      <c r="C7" s="615"/>
      <c r="D7" s="492" t="s">
        <v>530</v>
      </c>
      <c r="E7" s="492">
        <v>10.5</v>
      </c>
      <c r="F7" s="615"/>
      <c r="G7" s="492" t="s">
        <v>425</v>
      </c>
      <c r="H7" s="495">
        <v>14</v>
      </c>
      <c r="I7" s="615"/>
      <c r="J7" s="492" t="s">
        <v>457</v>
      </c>
      <c r="K7" s="492">
        <v>5</v>
      </c>
      <c r="L7" s="615"/>
      <c r="M7" s="492" t="s">
        <v>361</v>
      </c>
      <c r="N7" s="492">
        <v>16</v>
      </c>
      <c r="O7" s="615"/>
      <c r="P7" s="492" t="s">
        <v>649</v>
      </c>
      <c r="Q7" s="492">
        <v>7</v>
      </c>
    </row>
    <row r="8" spans="1:17" x14ac:dyDescent="0.25">
      <c r="A8" s="492" t="s">
        <v>484</v>
      </c>
      <c r="B8" s="492">
        <v>11</v>
      </c>
      <c r="C8" s="615"/>
      <c r="D8" s="492" t="s">
        <v>536</v>
      </c>
      <c r="E8" s="492">
        <v>38.5</v>
      </c>
      <c r="F8" s="615"/>
      <c r="G8" s="492" t="s">
        <v>426</v>
      </c>
      <c r="H8" s="495">
        <v>10</v>
      </c>
      <c r="I8" s="615"/>
      <c r="J8" s="492" t="s">
        <v>458</v>
      </c>
      <c r="K8" s="492">
        <v>6</v>
      </c>
      <c r="L8" s="615"/>
      <c r="M8" s="492" t="s">
        <v>362</v>
      </c>
      <c r="N8" s="492">
        <v>12</v>
      </c>
      <c r="O8" s="615"/>
      <c r="P8" s="492" t="s">
        <v>381</v>
      </c>
      <c r="Q8" s="492">
        <v>15</v>
      </c>
    </row>
    <row r="9" spans="1:17" x14ac:dyDescent="0.25">
      <c r="A9" s="492" t="s">
        <v>486</v>
      </c>
      <c r="B9" s="492">
        <v>15.5</v>
      </c>
      <c r="C9" s="615"/>
      <c r="D9" s="492" t="s">
        <v>537</v>
      </c>
      <c r="E9" s="492">
        <v>12</v>
      </c>
      <c r="F9" s="615"/>
      <c r="G9" s="492" t="s">
        <v>427</v>
      </c>
      <c r="H9" s="495">
        <v>12</v>
      </c>
      <c r="I9" s="615"/>
      <c r="J9" s="492" t="s">
        <v>459</v>
      </c>
      <c r="K9" s="492">
        <v>8</v>
      </c>
      <c r="L9" s="615"/>
      <c r="M9" s="492" t="s">
        <v>363</v>
      </c>
      <c r="N9" s="492">
        <v>14</v>
      </c>
      <c r="O9" s="615"/>
      <c r="P9" s="492" t="s">
        <v>383</v>
      </c>
      <c r="Q9" s="492">
        <v>5</v>
      </c>
    </row>
    <row r="10" spans="1:17" x14ac:dyDescent="0.25">
      <c r="A10" s="492" t="s">
        <v>487</v>
      </c>
      <c r="B10" s="492">
        <v>16.5</v>
      </c>
      <c r="C10" s="615"/>
      <c r="D10" s="492" t="s">
        <v>538</v>
      </c>
      <c r="E10" s="492">
        <v>20.5</v>
      </c>
      <c r="F10" s="615"/>
      <c r="G10" s="492" t="s">
        <v>428</v>
      </c>
      <c r="H10" s="495">
        <v>13</v>
      </c>
      <c r="I10" s="615"/>
      <c r="J10" s="492" t="s">
        <v>460</v>
      </c>
      <c r="K10" s="492">
        <v>13</v>
      </c>
      <c r="L10" s="615"/>
      <c r="M10" s="492" t="s">
        <v>364</v>
      </c>
      <c r="N10" s="492">
        <v>14</v>
      </c>
      <c r="O10" s="615"/>
      <c r="P10" s="492" t="s">
        <v>384</v>
      </c>
      <c r="Q10" s="492">
        <v>17</v>
      </c>
    </row>
    <row r="11" spans="1:17" x14ac:dyDescent="0.25">
      <c r="A11" s="492" t="s">
        <v>488</v>
      </c>
      <c r="B11" s="492">
        <v>6.5</v>
      </c>
      <c r="C11" s="615"/>
      <c r="D11" s="492" t="s">
        <v>539</v>
      </c>
      <c r="E11" s="492">
        <v>11.5</v>
      </c>
      <c r="F11" s="615"/>
      <c r="G11" s="492" t="s">
        <v>429</v>
      </c>
      <c r="H11" s="495">
        <v>12</v>
      </c>
      <c r="I11" s="615"/>
      <c r="J11" s="492" t="s">
        <v>462</v>
      </c>
      <c r="K11" s="492">
        <v>7</v>
      </c>
      <c r="L11" s="615"/>
      <c r="M11" s="492" t="s">
        <v>365</v>
      </c>
      <c r="N11" s="492">
        <v>14</v>
      </c>
      <c r="O11" s="615"/>
      <c r="P11" s="492" t="s">
        <v>385</v>
      </c>
      <c r="Q11" s="492">
        <v>5</v>
      </c>
    </row>
    <row r="12" spans="1:17" x14ac:dyDescent="0.25">
      <c r="A12" s="492" t="s">
        <v>490</v>
      </c>
      <c r="B12" s="492">
        <v>10.5</v>
      </c>
      <c r="C12" s="615"/>
      <c r="D12" s="492" t="s">
        <v>541</v>
      </c>
      <c r="E12" s="492">
        <v>8.5</v>
      </c>
      <c r="F12" s="615"/>
      <c r="G12" s="492" t="s">
        <v>430</v>
      </c>
      <c r="H12" s="495">
        <v>3</v>
      </c>
      <c r="I12" s="615"/>
      <c r="J12" s="492" t="s">
        <v>463</v>
      </c>
      <c r="K12" s="492">
        <v>10</v>
      </c>
      <c r="L12" s="615"/>
      <c r="M12" s="492" t="s">
        <v>366</v>
      </c>
      <c r="N12" s="492">
        <v>14</v>
      </c>
      <c r="O12" s="615"/>
      <c r="P12" s="492" t="s">
        <v>386</v>
      </c>
      <c r="Q12" s="492">
        <v>5</v>
      </c>
    </row>
    <row r="13" spans="1:17" x14ac:dyDescent="0.25">
      <c r="A13" s="492" t="s">
        <v>491</v>
      </c>
      <c r="B13" s="492">
        <v>16.5</v>
      </c>
      <c r="C13" s="615"/>
      <c r="D13" s="492" t="s">
        <v>542</v>
      </c>
      <c r="E13" s="492">
        <v>13.5</v>
      </c>
      <c r="F13" s="615"/>
      <c r="G13" s="492" t="s">
        <v>431</v>
      </c>
      <c r="H13" s="495">
        <v>21</v>
      </c>
      <c r="I13" s="615"/>
      <c r="J13" s="492" t="s">
        <v>464</v>
      </c>
      <c r="K13" s="492">
        <v>7</v>
      </c>
      <c r="L13" s="615"/>
      <c r="M13" s="492" t="s">
        <v>367</v>
      </c>
      <c r="N13" s="492">
        <v>13</v>
      </c>
      <c r="O13" s="615"/>
      <c r="P13" s="492" t="s">
        <v>387</v>
      </c>
      <c r="Q13" s="492">
        <v>6</v>
      </c>
    </row>
    <row r="14" spans="1:17" x14ac:dyDescent="0.25">
      <c r="A14" s="492" t="s">
        <v>660</v>
      </c>
      <c r="B14" s="492">
        <v>17.5</v>
      </c>
      <c r="C14" s="615"/>
      <c r="D14" s="492" t="s">
        <v>543</v>
      </c>
      <c r="E14" s="492">
        <v>12.5</v>
      </c>
      <c r="F14" s="615"/>
      <c r="G14" s="492" t="s">
        <v>432</v>
      </c>
      <c r="H14" s="495">
        <v>7</v>
      </c>
      <c r="I14" s="615"/>
      <c r="J14" s="492" t="s">
        <v>465</v>
      </c>
      <c r="K14" s="492">
        <v>12</v>
      </c>
      <c r="L14" s="615"/>
      <c r="M14" s="492" t="s">
        <v>368</v>
      </c>
      <c r="N14" s="492">
        <v>43</v>
      </c>
      <c r="O14" s="615"/>
      <c r="P14" s="492" t="s">
        <v>388</v>
      </c>
      <c r="Q14" s="492">
        <v>11</v>
      </c>
    </row>
    <row r="15" spans="1:17" x14ac:dyDescent="0.25">
      <c r="A15" s="492" t="s">
        <v>498</v>
      </c>
      <c r="B15" s="492">
        <v>17.5</v>
      </c>
      <c r="C15" s="615"/>
      <c r="D15" s="492" t="s">
        <v>545</v>
      </c>
      <c r="E15" s="492">
        <v>13.5</v>
      </c>
      <c r="F15" s="615"/>
      <c r="G15" s="492" t="s">
        <v>671</v>
      </c>
      <c r="H15" s="495">
        <v>9</v>
      </c>
      <c r="I15" s="615"/>
      <c r="J15" s="492" t="s">
        <v>466</v>
      </c>
      <c r="K15" s="492">
        <v>10</v>
      </c>
      <c r="L15" s="615"/>
      <c r="M15" s="492" t="s">
        <v>371</v>
      </c>
      <c r="N15" s="492">
        <v>6</v>
      </c>
      <c r="O15" s="615"/>
      <c r="P15" s="492" t="s">
        <v>389</v>
      </c>
      <c r="Q15" s="492">
        <v>5</v>
      </c>
    </row>
    <row r="16" spans="1:17" x14ac:dyDescent="0.25">
      <c r="A16" s="492" t="s">
        <v>499</v>
      </c>
      <c r="B16" s="492">
        <v>15.5</v>
      </c>
      <c r="C16" s="615"/>
      <c r="D16" s="492" t="s">
        <v>546</v>
      </c>
      <c r="E16" s="492">
        <v>3.5</v>
      </c>
      <c r="F16" s="615"/>
      <c r="G16" s="492" t="s">
        <v>435</v>
      </c>
      <c r="H16" s="495">
        <v>7</v>
      </c>
      <c r="I16" s="615"/>
      <c r="J16" s="492" t="s">
        <v>467</v>
      </c>
      <c r="K16" s="492">
        <v>20</v>
      </c>
      <c r="L16" s="615"/>
      <c r="M16" s="492" t="s">
        <v>372</v>
      </c>
      <c r="N16" s="492">
        <v>11</v>
      </c>
      <c r="O16" s="615"/>
      <c r="P16" s="492" t="s">
        <v>390</v>
      </c>
      <c r="Q16" s="492">
        <v>21</v>
      </c>
    </row>
    <row r="17" spans="1:17" x14ac:dyDescent="0.25">
      <c r="A17" s="492" t="s">
        <v>501</v>
      </c>
      <c r="B17" s="492">
        <v>11</v>
      </c>
      <c r="C17" s="615"/>
      <c r="D17" s="492" t="s">
        <v>547</v>
      </c>
      <c r="E17" s="492">
        <v>11.5</v>
      </c>
      <c r="F17" s="615"/>
      <c r="G17" s="492" t="s">
        <v>438</v>
      </c>
      <c r="H17" s="495">
        <v>5</v>
      </c>
      <c r="I17" s="615"/>
      <c r="J17" s="492" t="s">
        <v>469</v>
      </c>
      <c r="K17" s="492">
        <v>4</v>
      </c>
      <c r="L17" s="615"/>
      <c r="M17" s="492" t="s">
        <v>375</v>
      </c>
      <c r="N17" s="492">
        <v>8</v>
      </c>
      <c r="O17" s="615"/>
      <c r="P17" s="492" t="s">
        <v>391</v>
      </c>
      <c r="Q17" s="492">
        <v>22</v>
      </c>
    </row>
    <row r="18" spans="1:17" x14ac:dyDescent="0.25">
      <c r="A18" s="492" t="s">
        <v>503</v>
      </c>
      <c r="B18" s="492">
        <v>12.5</v>
      </c>
      <c r="C18" s="615"/>
      <c r="D18" s="492" t="s">
        <v>548</v>
      </c>
      <c r="E18" s="492">
        <v>8.5</v>
      </c>
      <c r="F18" s="615"/>
      <c r="G18" s="492" t="s">
        <v>439</v>
      </c>
      <c r="H18" s="495">
        <v>57</v>
      </c>
      <c r="I18" s="615"/>
      <c r="J18" s="492" t="s">
        <v>470</v>
      </c>
      <c r="K18" s="492">
        <v>27</v>
      </c>
      <c r="L18" s="615"/>
      <c r="M18" s="492" t="s">
        <v>376</v>
      </c>
      <c r="N18" s="492">
        <v>24</v>
      </c>
      <c r="O18" s="615"/>
      <c r="P18" s="492" t="s">
        <v>392</v>
      </c>
      <c r="Q18" s="492">
        <v>6</v>
      </c>
    </row>
    <row r="19" spans="1:17" x14ac:dyDescent="0.25">
      <c r="A19" s="492" t="s">
        <v>504</v>
      </c>
      <c r="B19" s="492">
        <v>12.5</v>
      </c>
      <c r="C19" s="615"/>
      <c r="D19" s="492" t="s">
        <v>549</v>
      </c>
      <c r="E19" s="492">
        <v>9.5</v>
      </c>
      <c r="F19" s="615"/>
      <c r="G19" s="492" t="s">
        <v>442</v>
      </c>
      <c r="H19" s="495">
        <v>11</v>
      </c>
      <c r="I19" s="615"/>
      <c r="J19" s="492" t="s">
        <v>471</v>
      </c>
      <c r="K19" s="492">
        <v>23</v>
      </c>
      <c r="L19" s="615"/>
      <c r="M19" s="492" t="s">
        <v>377</v>
      </c>
      <c r="N19" s="492">
        <v>37</v>
      </c>
      <c r="O19" s="615"/>
      <c r="P19" s="492" t="s">
        <v>393</v>
      </c>
      <c r="Q19" s="492">
        <v>10</v>
      </c>
    </row>
    <row r="20" spans="1:17" x14ac:dyDescent="0.25">
      <c r="A20" s="492" t="s">
        <v>505</v>
      </c>
      <c r="B20" s="492">
        <v>12.5</v>
      </c>
      <c r="C20" s="615"/>
      <c r="D20" s="492" t="s">
        <v>551</v>
      </c>
      <c r="E20" s="492">
        <v>11.5</v>
      </c>
      <c r="F20" s="615"/>
      <c r="G20" s="492" t="s">
        <v>443</v>
      </c>
      <c r="H20" s="495">
        <v>8</v>
      </c>
      <c r="I20" s="615"/>
      <c r="J20" s="492" t="s">
        <v>473</v>
      </c>
      <c r="K20" s="492">
        <v>4</v>
      </c>
      <c r="L20" s="615"/>
      <c r="M20" s="492" t="s">
        <v>378</v>
      </c>
      <c r="N20" s="492">
        <v>10</v>
      </c>
      <c r="O20" s="615"/>
      <c r="P20" s="492" t="s">
        <v>394</v>
      </c>
      <c r="Q20" s="492">
        <v>32</v>
      </c>
    </row>
    <row r="21" spans="1:17" x14ac:dyDescent="0.25">
      <c r="A21" s="492" t="s">
        <v>508</v>
      </c>
      <c r="B21" s="492">
        <v>24.5</v>
      </c>
      <c r="C21" s="615"/>
      <c r="D21" s="492" t="s">
        <v>552</v>
      </c>
      <c r="E21" s="492">
        <v>10.5</v>
      </c>
      <c r="F21" s="615"/>
      <c r="G21" s="492" t="s">
        <v>444</v>
      </c>
      <c r="H21" s="495">
        <v>3</v>
      </c>
      <c r="I21" s="615"/>
      <c r="J21" s="492" t="s">
        <v>474</v>
      </c>
      <c r="K21" s="492">
        <v>4</v>
      </c>
      <c r="L21" s="615"/>
      <c r="M21" s="492" t="s">
        <v>689</v>
      </c>
      <c r="N21" s="492">
        <v>12</v>
      </c>
      <c r="O21" s="615"/>
      <c r="P21" s="492" t="s">
        <v>395</v>
      </c>
      <c r="Q21" s="492">
        <v>33</v>
      </c>
    </row>
    <row r="22" spans="1:17" x14ac:dyDescent="0.25">
      <c r="A22" s="492" t="s">
        <v>509</v>
      </c>
      <c r="B22" s="492">
        <v>33.5</v>
      </c>
      <c r="C22" s="615"/>
      <c r="D22" s="492" t="s">
        <v>553</v>
      </c>
      <c r="E22" s="492">
        <v>6.5</v>
      </c>
      <c r="F22" s="615"/>
      <c r="G22" s="492" t="s">
        <v>450</v>
      </c>
      <c r="H22" s="495">
        <v>40</v>
      </c>
      <c r="I22" s="615"/>
      <c r="J22" s="492" t="s">
        <v>475</v>
      </c>
      <c r="K22" s="492">
        <v>5</v>
      </c>
      <c r="L22" s="615"/>
      <c r="M22" s="492" t="s">
        <v>646</v>
      </c>
      <c r="N22" s="492">
        <v>7</v>
      </c>
      <c r="O22" s="615"/>
      <c r="P22" s="492" t="s">
        <v>622</v>
      </c>
      <c r="Q22" s="492">
        <f>SUM(Q7:Q21)</f>
        <v>200</v>
      </c>
    </row>
    <row r="23" spans="1:17" x14ac:dyDescent="0.25">
      <c r="A23" s="492" t="s">
        <v>510</v>
      </c>
      <c r="B23" s="492">
        <v>11.5</v>
      </c>
      <c r="C23" s="615"/>
      <c r="D23" s="492" t="s">
        <v>554</v>
      </c>
      <c r="E23" s="492">
        <v>7.5</v>
      </c>
      <c r="F23" s="615"/>
      <c r="G23" s="492" t="s">
        <v>451</v>
      </c>
      <c r="H23" s="495">
        <v>6</v>
      </c>
      <c r="I23" s="615"/>
      <c r="J23" s="492" t="s">
        <v>476</v>
      </c>
      <c r="K23" s="492">
        <v>6</v>
      </c>
      <c r="L23" s="615"/>
      <c r="M23" s="492" t="s">
        <v>851</v>
      </c>
      <c r="N23" s="492">
        <v>11</v>
      </c>
      <c r="O23" s="615"/>
      <c r="P23" s="616"/>
      <c r="Q23" s="591"/>
    </row>
    <row r="24" spans="1:17" x14ac:dyDescent="0.25">
      <c r="A24" s="492" t="s">
        <v>511</v>
      </c>
      <c r="B24" s="492">
        <v>12.5</v>
      </c>
      <c r="C24" s="615"/>
      <c r="D24" s="492" t="s">
        <v>555</v>
      </c>
      <c r="E24" s="492">
        <v>21.5</v>
      </c>
      <c r="F24" s="615"/>
      <c r="G24" s="492" t="s">
        <v>678</v>
      </c>
      <c r="H24" s="495">
        <v>38</v>
      </c>
      <c r="I24" s="615"/>
      <c r="J24" s="492" t="s">
        <v>477</v>
      </c>
      <c r="K24" s="492">
        <v>25</v>
      </c>
      <c r="L24" s="615"/>
      <c r="M24" s="492" t="s">
        <v>690</v>
      </c>
      <c r="N24" s="492">
        <v>8</v>
      </c>
      <c r="O24" s="615"/>
      <c r="P24" s="589"/>
      <c r="Q24" s="593"/>
    </row>
    <row r="25" spans="1:17" x14ac:dyDescent="0.25">
      <c r="A25" s="492" t="s">
        <v>512</v>
      </c>
      <c r="B25" s="492">
        <v>12.5</v>
      </c>
      <c r="C25" s="615"/>
      <c r="D25" s="492" t="s">
        <v>556</v>
      </c>
      <c r="E25" s="492">
        <v>16.5</v>
      </c>
      <c r="F25" s="615"/>
      <c r="G25" s="492" t="s">
        <v>452</v>
      </c>
      <c r="H25" s="495">
        <v>7</v>
      </c>
      <c r="I25" s="615"/>
      <c r="J25" s="492" t="s">
        <v>478</v>
      </c>
      <c r="K25" s="492">
        <v>5</v>
      </c>
      <c r="L25" s="615"/>
      <c r="M25" s="492" t="s">
        <v>944</v>
      </c>
      <c r="N25" s="492">
        <v>16</v>
      </c>
      <c r="O25" s="615"/>
      <c r="P25" s="589"/>
      <c r="Q25" s="593"/>
    </row>
    <row r="26" spans="1:17" x14ac:dyDescent="0.25">
      <c r="A26" s="492" t="s">
        <v>514</v>
      </c>
      <c r="B26" s="492">
        <v>11.5</v>
      </c>
      <c r="C26" s="615"/>
      <c r="D26" s="492" t="s">
        <v>557</v>
      </c>
      <c r="E26" s="492">
        <v>6.5</v>
      </c>
      <c r="F26" s="615"/>
      <c r="G26" s="492" t="s">
        <v>453</v>
      </c>
      <c r="H26" s="495">
        <v>7</v>
      </c>
      <c r="I26" s="615"/>
      <c r="J26" s="492" t="s">
        <v>479</v>
      </c>
      <c r="K26" s="492">
        <v>29</v>
      </c>
      <c r="L26" s="615"/>
      <c r="M26" s="492" t="s">
        <v>647</v>
      </c>
      <c r="N26" s="492">
        <v>8</v>
      </c>
      <c r="O26" s="615"/>
      <c r="P26" s="589"/>
      <c r="Q26" s="593"/>
    </row>
    <row r="27" spans="1:17" x14ac:dyDescent="0.25">
      <c r="A27" s="492" t="s">
        <v>513</v>
      </c>
      <c r="B27" s="492">
        <v>9.5</v>
      </c>
      <c r="C27" s="615"/>
      <c r="D27" s="492" t="s">
        <v>558</v>
      </c>
      <c r="E27" s="492">
        <v>9.5</v>
      </c>
      <c r="F27" s="615"/>
      <c r="G27" s="492" t="s">
        <v>454</v>
      </c>
      <c r="H27" s="495">
        <v>14</v>
      </c>
      <c r="I27" s="615"/>
      <c r="J27" s="492" t="s">
        <v>480</v>
      </c>
      <c r="K27" s="492">
        <v>31</v>
      </c>
      <c r="L27" s="615"/>
      <c r="M27" s="492" t="s">
        <v>648</v>
      </c>
      <c r="N27" s="492">
        <v>11</v>
      </c>
      <c r="O27" s="615"/>
      <c r="P27" s="589"/>
      <c r="Q27" s="593"/>
    </row>
    <row r="28" spans="1:17" x14ac:dyDescent="0.25">
      <c r="A28" s="492" t="s">
        <v>516</v>
      </c>
      <c r="B28" s="492">
        <v>34.5</v>
      </c>
      <c r="C28" s="615"/>
      <c r="D28" s="492" t="s">
        <v>559</v>
      </c>
      <c r="E28" s="492">
        <v>10.5</v>
      </c>
      <c r="F28" s="615"/>
      <c r="G28" s="492" t="s">
        <v>455</v>
      </c>
      <c r="H28" s="495">
        <v>7</v>
      </c>
      <c r="I28" s="615"/>
      <c r="J28" s="492" t="s">
        <v>622</v>
      </c>
      <c r="K28" s="492">
        <f>SUM(K7:K27)</f>
        <v>261</v>
      </c>
      <c r="L28" s="615"/>
      <c r="M28" s="492" t="s">
        <v>379</v>
      </c>
      <c r="N28" s="492">
        <v>16</v>
      </c>
      <c r="O28" s="615"/>
      <c r="P28" s="589"/>
      <c r="Q28" s="593"/>
    </row>
    <row r="29" spans="1:17" x14ac:dyDescent="0.25">
      <c r="A29" s="492" t="s">
        <v>527</v>
      </c>
      <c r="B29" s="492">
        <v>11.5</v>
      </c>
      <c r="C29" s="615"/>
      <c r="D29" s="492" t="s">
        <v>560</v>
      </c>
      <c r="E29" s="492">
        <v>10.5</v>
      </c>
      <c r="F29" s="615"/>
      <c r="G29" s="492" t="s">
        <v>456</v>
      </c>
      <c r="H29" s="495">
        <v>7</v>
      </c>
      <c r="I29" s="615"/>
      <c r="J29" s="616"/>
      <c r="K29" s="592"/>
      <c r="L29" s="615"/>
      <c r="M29" s="492" t="s">
        <v>380</v>
      </c>
      <c r="N29" s="492">
        <v>11</v>
      </c>
      <c r="O29" s="615"/>
      <c r="P29" s="589"/>
      <c r="Q29" s="593"/>
    </row>
    <row r="30" spans="1:17" x14ac:dyDescent="0.25">
      <c r="A30" s="492" t="s">
        <v>622</v>
      </c>
      <c r="B30" s="492">
        <f>SUM(B7:B29)</f>
        <v>401</v>
      </c>
      <c r="C30" s="615"/>
      <c r="D30" s="492" t="s">
        <v>622</v>
      </c>
      <c r="E30" s="492">
        <f>SUM(E7:E29)</f>
        <v>285</v>
      </c>
      <c r="F30" s="615"/>
      <c r="G30" s="492" t="s">
        <v>622</v>
      </c>
      <c r="H30" s="492">
        <f>SUM(H7:H29)</f>
        <v>318</v>
      </c>
      <c r="I30" s="615"/>
      <c r="J30" s="589"/>
      <c r="K30" s="594"/>
      <c r="L30" s="615"/>
      <c r="M30" s="492" t="s">
        <v>622</v>
      </c>
      <c r="N30" s="492">
        <f>SUM(N7:N29)</f>
        <v>336</v>
      </c>
      <c r="O30" s="615"/>
      <c r="P30" s="589"/>
      <c r="Q30" s="593"/>
    </row>
  </sheetData>
  <mergeCells count="18">
    <mergeCell ref="B4:K4"/>
    <mergeCell ref="L4:N4"/>
    <mergeCell ref="O4:Q4"/>
    <mergeCell ref="A1:Q1"/>
    <mergeCell ref="B2:K2"/>
    <mergeCell ref="L2:N2"/>
    <mergeCell ref="O2:Q2"/>
    <mergeCell ref="B3:K3"/>
    <mergeCell ref="L3:N3"/>
    <mergeCell ref="O3:Q3"/>
    <mergeCell ref="A5:Q5"/>
    <mergeCell ref="C6:C30"/>
    <mergeCell ref="F6:F30"/>
    <mergeCell ref="I6:I30"/>
    <mergeCell ref="L6:L30"/>
    <mergeCell ref="O6:O30"/>
    <mergeCell ref="P23:Q30"/>
    <mergeCell ref="J29:K30"/>
  </mergeCells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29"/>
  <sheetViews>
    <sheetView zoomScale="70" zoomScaleNormal="70" workbookViewId="0">
      <selection activeCell="K27" sqref="K27"/>
    </sheetView>
  </sheetViews>
  <sheetFormatPr defaultRowHeight="13.2" x14ac:dyDescent="0.25"/>
  <cols>
    <col min="1" max="1" width="7.77734375" style="488" customWidth="1"/>
    <col min="2" max="2" width="4" style="488" bestFit="1" customWidth="1"/>
    <col min="3" max="3" width="2.44140625" style="488" customWidth="1"/>
    <col min="4" max="4" width="5.21875" style="488" bestFit="1" customWidth="1"/>
    <col min="5" max="5" width="4" style="488" bestFit="1" customWidth="1"/>
    <col min="6" max="6" width="2.33203125" style="488" customWidth="1"/>
    <col min="7" max="7" width="4.6640625" style="488" bestFit="1" customWidth="1"/>
    <col min="8" max="8" width="4" style="488" bestFit="1" customWidth="1"/>
    <col min="9" max="9" width="2.33203125" style="488" customWidth="1"/>
    <col min="10" max="10" width="5.21875" style="488" bestFit="1" customWidth="1"/>
    <col min="11" max="11" width="4" style="488" bestFit="1" customWidth="1"/>
    <col min="12" max="12" width="2.6640625" style="488" customWidth="1"/>
    <col min="13" max="13" width="5.21875" style="488" bestFit="1" customWidth="1"/>
    <col min="14" max="14" width="4" style="488" bestFit="1" customWidth="1"/>
    <col min="15" max="15" width="2.88671875" style="488" customWidth="1"/>
    <col min="16" max="16" width="5.21875" style="488" bestFit="1" customWidth="1"/>
    <col min="17" max="17" width="4" style="488" bestFit="1" customWidth="1"/>
    <col min="18" max="16384" width="8.88671875" style="488"/>
  </cols>
  <sheetData>
    <row r="1" spans="1:17" s="275" customFormat="1" ht="18" x14ac:dyDescent="0.25">
      <c r="A1" s="618" t="s">
        <v>1066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</row>
    <row r="2" spans="1:17" s="494" customFormat="1" ht="18" customHeight="1" x14ac:dyDescent="0.25">
      <c r="A2" s="173" t="s">
        <v>580</v>
      </c>
      <c r="B2" s="579" t="s">
        <v>581</v>
      </c>
      <c r="C2" s="579"/>
      <c r="D2" s="579"/>
      <c r="E2" s="579"/>
      <c r="F2" s="579"/>
      <c r="G2" s="579"/>
      <c r="H2" s="579"/>
      <c r="I2" s="579"/>
      <c r="J2" s="579"/>
      <c r="K2" s="579"/>
      <c r="L2" s="597" t="s">
        <v>583</v>
      </c>
      <c r="M2" s="597"/>
      <c r="N2" s="597"/>
      <c r="O2" s="595" t="s">
        <v>584</v>
      </c>
      <c r="P2" s="595"/>
      <c r="Q2" s="595"/>
    </row>
    <row r="3" spans="1:17" ht="50.4" customHeight="1" x14ac:dyDescent="0.25">
      <c r="A3" s="486" t="s">
        <v>822</v>
      </c>
      <c r="B3" s="601" t="s">
        <v>1099</v>
      </c>
      <c r="C3" s="602"/>
      <c r="D3" s="602"/>
      <c r="E3" s="602"/>
      <c r="F3" s="602"/>
      <c r="G3" s="602"/>
      <c r="H3" s="602"/>
      <c r="I3" s="602"/>
      <c r="J3" s="602"/>
      <c r="K3" s="603"/>
      <c r="L3" s="596" t="s">
        <v>571</v>
      </c>
      <c r="M3" s="596"/>
      <c r="N3" s="596"/>
      <c r="O3" s="596">
        <f>Q21+N29+K27+H29+E29+B29</f>
        <v>1801</v>
      </c>
      <c r="P3" s="596"/>
      <c r="Q3" s="596"/>
    </row>
    <row r="4" spans="1:17" x14ac:dyDescent="0.25">
      <c r="A4" s="581"/>
      <c r="B4" s="581"/>
      <c r="C4" s="581"/>
      <c r="D4" s="581"/>
      <c r="E4" s="581"/>
      <c r="F4" s="581"/>
      <c r="G4" s="581"/>
      <c r="H4" s="581"/>
      <c r="I4" s="581"/>
      <c r="J4" s="581"/>
      <c r="K4" s="581"/>
      <c r="L4" s="581"/>
      <c r="M4" s="581"/>
      <c r="N4" s="581"/>
      <c r="O4" s="581"/>
      <c r="P4" s="581"/>
      <c r="Q4" s="581"/>
    </row>
    <row r="5" spans="1:17" x14ac:dyDescent="0.25">
      <c r="A5" s="489" t="s">
        <v>652</v>
      </c>
      <c r="B5" s="490" t="s">
        <v>1098</v>
      </c>
      <c r="C5" s="615"/>
      <c r="D5" s="489" t="s">
        <v>652</v>
      </c>
      <c r="E5" s="490" t="s">
        <v>1098</v>
      </c>
      <c r="F5" s="615"/>
      <c r="G5" s="489" t="s">
        <v>652</v>
      </c>
      <c r="H5" s="490" t="s">
        <v>1098</v>
      </c>
      <c r="I5" s="615"/>
      <c r="J5" s="489" t="s">
        <v>652</v>
      </c>
      <c r="K5" s="490" t="s">
        <v>1098</v>
      </c>
      <c r="L5" s="615"/>
      <c r="M5" s="489" t="s">
        <v>652</v>
      </c>
      <c r="N5" s="490" t="s">
        <v>1098</v>
      </c>
      <c r="O5" s="615"/>
      <c r="P5" s="489" t="s">
        <v>652</v>
      </c>
      <c r="Q5" s="490" t="s">
        <v>1098</v>
      </c>
    </row>
    <row r="6" spans="1:17" x14ac:dyDescent="0.25">
      <c r="A6" s="492" t="s">
        <v>424</v>
      </c>
      <c r="B6" s="492">
        <v>64</v>
      </c>
      <c r="C6" s="615"/>
      <c r="D6" s="492" t="s">
        <v>530</v>
      </c>
      <c r="E6" s="492">
        <v>10.5</v>
      </c>
      <c r="F6" s="615"/>
      <c r="G6" s="492" t="s">
        <v>425</v>
      </c>
      <c r="H6" s="492">
        <v>14</v>
      </c>
      <c r="I6" s="615"/>
      <c r="J6" s="492" t="s">
        <v>457</v>
      </c>
      <c r="K6" s="492">
        <v>5</v>
      </c>
      <c r="L6" s="615"/>
      <c r="M6" s="492" t="s">
        <v>361</v>
      </c>
      <c r="N6" s="492">
        <v>16</v>
      </c>
      <c r="O6" s="615"/>
      <c r="P6" s="492" t="s">
        <v>649</v>
      </c>
      <c r="Q6" s="492">
        <v>7</v>
      </c>
    </row>
    <row r="7" spans="1:17" x14ac:dyDescent="0.25">
      <c r="A7" s="492" t="s">
        <v>484</v>
      </c>
      <c r="B7" s="492">
        <v>11</v>
      </c>
      <c r="C7" s="615"/>
      <c r="D7" s="492" t="s">
        <v>536</v>
      </c>
      <c r="E7" s="492">
        <v>38.5</v>
      </c>
      <c r="F7" s="615"/>
      <c r="G7" s="492" t="s">
        <v>426</v>
      </c>
      <c r="H7" s="492">
        <v>10</v>
      </c>
      <c r="I7" s="615"/>
      <c r="J7" s="492" t="s">
        <v>458</v>
      </c>
      <c r="K7" s="492">
        <v>6</v>
      </c>
      <c r="L7" s="615"/>
      <c r="M7" s="492" t="s">
        <v>362</v>
      </c>
      <c r="N7" s="492">
        <v>12</v>
      </c>
      <c r="O7" s="615"/>
      <c r="P7" s="492" t="s">
        <v>381</v>
      </c>
      <c r="Q7" s="492">
        <v>15</v>
      </c>
    </row>
    <row r="8" spans="1:17" x14ac:dyDescent="0.25">
      <c r="A8" s="492" t="s">
        <v>486</v>
      </c>
      <c r="B8" s="492">
        <v>15.5</v>
      </c>
      <c r="C8" s="615"/>
      <c r="D8" s="492" t="s">
        <v>537</v>
      </c>
      <c r="E8" s="492">
        <v>12</v>
      </c>
      <c r="F8" s="615"/>
      <c r="G8" s="492" t="s">
        <v>427</v>
      </c>
      <c r="H8" s="492">
        <v>12</v>
      </c>
      <c r="I8" s="615"/>
      <c r="J8" s="492" t="s">
        <v>459</v>
      </c>
      <c r="K8" s="492">
        <v>8</v>
      </c>
      <c r="L8" s="615"/>
      <c r="M8" s="492" t="s">
        <v>363</v>
      </c>
      <c r="N8" s="492">
        <v>14</v>
      </c>
      <c r="O8" s="615"/>
      <c r="P8" s="492" t="s">
        <v>383</v>
      </c>
      <c r="Q8" s="492">
        <v>5</v>
      </c>
    </row>
    <row r="9" spans="1:17" x14ac:dyDescent="0.25">
      <c r="A9" s="492" t="s">
        <v>487</v>
      </c>
      <c r="B9" s="492">
        <v>16.5</v>
      </c>
      <c r="C9" s="615"/>
      <c r="D9" s="492" t="s">
        <v>538</v>
      </c>
      <c r="E9" s="492">
        <v>20.5</v>
      </c>
      <c r="F9" s="615"/>
      <c r="G9" s="492" t="s">
        <v>428</v>
      </c>
      <c r="H9" s="492">
        <v>13</v>
      </c>
      <c r="I9" s="615"/>
      <c r="J9" s="492" t="s">
        <v>460</v>
      </c>
      <c r="K9" s="492">
        <v>13</v>
      </c>
      <c r="L9" s="615"/>
      <c r="M9" s="492" t="s">
        <v>364</v>
      </c>
      <c r="N9" s="492">
        <v>14</v>
      </c>
      <c r="O9" s="615"/>
      <c r="P9" s="492" t="s">
        <v>384</v>
      </c>
      <c r="Q9" s="492">
        <v>17</v>
      </c>
    </row>
    <row r="10" spans="1:17" x14ac:dyDescent="0.25">
      <c r="A10" s="492" t="s">
        <v>488</v>
      </c>
      <c r="B10" s="492">
        <v>6.5</v>
      </c>
      <c r="C10" s="615"/>
      <c r="D10" s="492" t="s">
        <v>539</v>
      </c>
      <c r="E10" s="492">
        <v>11.5</v>
      </c>
      <c r="F10" s="615"/>
      <c r="G10" s="492" t="s">
        <v>429</v>
      </c>
      <c r="H10" s="492">
        <v>12</v>
      </c>
      <c r="I10" s="615"/>
      <c r="J10" s="492" t="s">
        <v>462</v>
      </c>
      <c r="K10" s="492">
        <v>7</v>
      </c>
      <c r="L10" s="615"/>
      <c r="M10" s="492" t="s">
        <v>365</v>
      </c>
      <c r="N10" s="492">
        <v>14</v>
      </c>
      <c r="O10" s="615"/>
      <c r="P10" s="492" t="s">
        <v>385</v>
      </c>
      <c r="Q10" s="492">
        <v>5</v>
      </c>
    </row>
    <row r="11" spans="1:17" x14ac:dyDescent="0.25">
      <c r="A11" s="492" t="s">
        <v>490</v>
      </c>
      <c r="B11" s="492">
        <v>10.5</v>
      </c>
      <c r="C11" s="615"/>
      <c r="D11" s="492" t="s">
        <v>541</v>
      </c>
      <c r="E11" s="492">
        <v>8.5</v>
      </c>
      <c r="F11" s="615"/>
      <c r="G11" s="492" t="s">
        <v>430</v>
      </c>
      <c r="H11" s="492">
        <v>3</v>
      </c>
      <c r="I11" s="615"/>
      <c r="J11" s="492" t="s">
        <v>463</v>
      </c>
      <c r="K11" s="492">
        <v>10</v>
      </c>
      <c r="L11" s="615"/>
      <c r="M11" s="492" t="s">
        <v>366</v>
      </c>
      <c r="N11" s="492">
        <v>14</v>
      </c>
      <c r="O11" s="615"/>
      <c r="P11" s="492" t="s">
        <v>386</v>
      </c>
      <c r="Q11" s="492">
        <v>5</v>
      </c>
    </row>
    <row r="12" spans="1:17" x14ac:dyDescent="0.25">
      <c r="A12" s="492" t="s">
        <v>491</v>
      </c>
      <c r="B12" s="492">
        <v>16.5</v>
      </c>
      <c r="C12" s="615"/>
      <c r="D12" s="492" t="s">
        <v>542</v>
      </c>
      <c r="E12" s="492">
        <v>13.5</v>
      </c>
      <c r="F12" s="615"/>
      <c r="G12" s="492" t="s">
        <v>431</v>
      </c>
      <c r="H12" s="492">
        <v>21</v>
      </c>
      <c r="I12" s="615"/>
      <c r="J12" s="492" t="s">
        <v>464</v>
      </c>
      <c r="K12" s="492">
        <v>7</v>
      </c>
      <c r="L12" s="615"/>
      <c r="M12" s="492" t="s">
        <v>367</v>
      </c>
      <c r="N12" s="492">
        <v>13</v>
      </c>
      <c r="O12" s="615"/>
      <c r="P12" s="492" t="s">
        <v>387</v>
      </c>
      <c r="Q12" s="492">
        <v>6</v>
      </c>
    </row>
    <row r="13" spans="1:17" x14ac:dyDescent="0.25">
      <c r="A13" s="492" t="s">
        <v>660</v>
      </c>
      <c r="B13" s="492">
        <v>17.5</v>
      </c>
      <c r="C13" s="615"/>
      <c r="D13" s="492" t="s">
        <v>543</v>
      </c>
      <c r="E13" s="492">
        <v>12.5</v>
      </c>
      <c r="F13" s="615"/>
      <c r="G13" s="492" t="s">
        <v>432</v>
      </c>
      <c r="H13" s="492">
        <v>7</v>
      </c>
      <c r="I13" s="615"/>
      <c r="J13" s="492" t="s">
        <v>465</v>
      </c>
      <c r="K13" s="492">
        <v>12</v>
      </c>
      <c r="L13" s="615"/>
      <c r="M13" s="492" t="s">
        <v>368</v>
      </c>
      <c r="N13" s="492">
        <v>43</v>
      </c>
      <c r="O13" s="615"/>
      <c r="P13" s="492" t="s">
        <v>388</v>
      </c>
      <c r="Q13" s="492">
        <v>11</v>
      </c>
    </row>
    <row r="14" spans="1:17" x14ac:dyDescent="0.25">
      <c r="A14" s="492" t="s">
        <v>498</v>
      </c>
      <c r="B14" s="492">
        <v>17.5</v>
      </c>
      <c r="C14" s="615"/>
      <c r="D14" s="492" t="s">
        <v>545</v>
      </c>
      <c r="E14" s="492">
        <v>13.5</v>
      </c>
      <c r="F14" s="615"/>
      <c r="G14" s="492" t="s">
        <v>671</v>
      </c>
      <c r="H14" s="492">
        <v>9</v>
      </c>
      <c r="I14" s="615"/>
      <c r="J14" s="492" t="s">
        <v>466</v>
      </c>
      <c r="K14" s="492">
        <v>10</v>
      </c>
      <c r="L14" s="615"/>
      <c r="M14" s="492" t="s">
        <v>371</v>
      </c>
      <c r="N14" s="492">
        <v>6</v>
      </c>
      <c r="O14" s="615"/>
      <c r="P14" s="492" t="s">
        <v>389</v>
      </c>
      <c r="Q14" s="492">
        <v>5</v>
      </c>
    </row>
    <row r="15" spans="1:17" x14ac:dyDescent="0.25">
      <c r="A15" s="492" t="s">
        <v>499</v>
      </c>
      <c r="B15" s="492">
        <v>15.5</v>
      </c>
      <c r="C15" s="615"/>
      <c r="D15" s="492" t="s">
        <v>546</v>
      </c>
      <c r="E15" s="492">
        <v>3.5</v>
      </c>
      <c r="F15" s="615"/>
      <c r="G15" s="492" t="s">
        <v>435</v>
      </c>
      <c r="H15" s="492">
        <v>7</v>
      </c>
      <c r="I15" s="615"/>
      <c r="J15" s="492" t="s">
        <v>467</v>
      </c>
      <c r="K15" s="492">
        <v>20</v>
      </c>
      <c r="L15" s="615"/>
      <c r="M15" s="492" t="s">
        <v>372</v>
      </c>
      <c r="N15" s="492">
        <v>11</v>
      </c>
      <c r="O15" s="615"/>
      <c r="P15" s="492" t="s">
        <v>390</v>
      </c>
      <c r="Q15" s="492">
        <v>21</v>
      </c>
    </row>
    <row r="16" spans="1:17" x14ac:dyDescent="0.25">
      <c r="A16" s="492" t="s">
        <v>501</v>
      </c>
      <c r="B16" s="492">
        <v>11</v>
      </c>
      <c r="C16" s="615"/>
      <c r="D16" s="492" t="s">
        <v>547</v>
      </c>
      <c r="E16" s="492">
        <v>11.5</v>
      </c>
      <c r="F16" s="615"/>
      <c r="G16" s="492" t="s">
        <v>438</v>
      </c>
      <c r="H16" s="492">
        <v>5</v>
      </c>
      <c r="I16" s="615"/>
      <c r="J16" s="492" t="s">
        <v>469</v>
      </c>
      <c r="K16" s="492">
        <v>4</v>
      </c>
      <c r="L16" s="615"/>
      <c r="M16" s="492" t="s">
        <v>375</v>
      </c>
      <c r="N16" s="492">
        <v>8</v>
      </c>
      <c r="O16" s="615"/>
      <c r="P16" s="492" t="s">
        <v>391</v>
      </c>
      <c r="Q16" s="492">
        <v>22</v>
      </c>
    </row>
    <row r="17" spans="1:17" x14ac:dyDescent="0.25">
      <c r="A17" s="492" t="s">
        <v>503</v>
      </c>
      <c r="B17" s="492">
        <v>12.5</v>
      </c>
      <c r="C17" s="615"/>
      <c r="D17" s="492" t="s">
        <v>548</v>
      </c>
      <c r="E17" s="492">
        <v>8.5</v>
      </c>
      <c r="F17" s="615"/>
      <c r="G17" s="492" t="s">
        <v>439</v>
      </c>
      <c r="H17" s="492">
        <v>57</v>
      </c>
      <c r="I17" s="615"/>
      <c r="J17" s="492" t="s">
        <v>470</v>
      </c>
      <c r="K17" s="492">
        <v>27</v>
      </c>
      <c r="L17" s="615"/>
      <c r="M17" s="492" t="s">
        <v>376</v>
      </c>
      <c r="N17" s="492">
        <v>24</v>
      </c>
      <c r="O17" s="615"/>
      <c r="P17" s="492" t="s">
        <v>392</v>
      </c>
      <c r="Q17" s="492">
        <v>6</v>
      </c>
    </row>
    <row r="18" spans="1:17" x14ac:dyDescent="0.25">
      <c r="A18" s="492" t="s">
        <v>504</v>
      </c>
      <c r="B18" s="492">
        <v>12.5</v>
      </c>
      <c r="C18" s="615"/>
      <c r="D18" s="492" t="s">
        <v>549</v>
      </c>
      <c r="E18" s="492">
        <v>9.5</v>
      </c>
      <c r="F18" s="615"/>
      <c r="G18" s="492" t="s">
        <v>442</v>
      </c>
      <c r="H18" s="492">
        <v>11</v>
      </c>
      <c r="I18" s="615"/>
      <c r="J18" s="492" t="s">
        <v>471</v>
      </c>
      <c r="K18" s="492">
        <v>23</v>
      </c>
      <c r="L18" s="615"/>
      <c r="M18" s="492" t="s">
        <v>377</v>
      </c>
      <c r="N18" s="492">
        <v>37</v>
      </c>
      <c r="O18" s="615"/>
      <c r="P18" s="492" t="s">
        <v>393</v>
      </c>
      <c r="Q18" s="492">
        <v>10</v>
      </c>
    </row>
    <row r="19" spans="1:17" x14ac:dyDescent="0.25">
      <c r="A19" s="492" t="s">
        <v>505</v>
      </c>
      <c r="B19" s="492">
        <v>12.5</v>
      </c>
      <c r="C19" s="615"/>
      <c r="D19" s="492" t="s">
        <v>551</v>
      </c>
      <c r="E19" s="492">
        <v>11.5</v>
      </c>
      <c r="F19" s="615"/>
      <c r="G19" s="492" t="s">
        <v>443</v>
      </c>
      <c r="H19" s="492">
        <v>8</v>
      </c>
      <c r="I19" s="615"/>
      <c r="J19" s="492" t="s">
        <v>473</v>
      </c>
      <c r="K19" s="492">
        <v>4</v>
      </c>
      <c r="L19" s="615"/>
      <c r="M19" s="492" t="s">
        <v>378</v>
      </c>
      <c r="N19" s="492">
        <v>10</v>
      </c>
      <c r="O19" s="615"/>
      <c r="P19" s="492" t="s">
        <v>394</v>
      </c>
      <c r="Q19" s="492">
        <v>32</v>
      </c>
    </row>
    <row r="20" spans="1:17" x14ac:dyDescent="0.25">
      <c r="A20" s="492" t="s">
        <v>508</v>
      </c>
      <c r="B20" s="492">
        <v>24.5</v>
      </c>
      <c r="C20" s="615"/>
      <c r="D20" s="492" t="s">
        <v>552</v>
      </c>
      <c r="E20" s="492">
        <v>10.5</v>
      </c>
      <c r="F20" s="615"/>
      <c r="G20" s="492" t="s">
        <v>444</v>
      </c>
      <c r="H20" s="492">
        <v>3</v>
      </c>
      <c r="I20" s="615"/>
      <c r="J20" s="492" t="s">
        <v>474</v>
      </c>
      <c r="K20" s="492">
        <v>4</v>
      </c>
      <c r="L20" s="615"/>
      <c r="M20" s="492" t="s">
        <v>689</v>
      </c>
      <c r="N20" s="492">
        <v>12</v>
      </c>
      <c r="O20" s="615"/>
      <c r="P20" s="492" t="s">
        <v>395</v>
      </c>
      <c r="Q20" s="492">
        <v>33</v>
      </c>
    </row>
    <row r="21" spans="1:17" x14ac:dyDescent="0.25">
      <c r="A21" s="492" t="s">
        <v>509</v>
      </c>
      <c r="B21" s="492">
        <v>33.5</v>
      </c>
      <c r="C21" s="615"/>
      <c r="D21" s="492" t="s">
        <v>553</v>
      </c>
      <c r="E21" s="492">
        <v>6.5</v>
      </c>
      <c r="F21" s="615"/>
      <c r="G21" s="492" t="s">
        <v>450</v>
      </c>
      <c r="H21" s="492">
        <v>40</v>
      </c>
      <c r="I21" s="615"/>
      <c r="J21" s="492" t="s">
        <v>475</v>
      </c>
      <c r="K21" s="492">
        <v>5</v>
      </c>
      <c r="L21" s="615"/>
      <c r="M21" s="492" t="s">
        <v>646</v>
      </c>
      <c r="N21" s="492">
        <v>7</v>
      </c>
      <c r="O21" s="615"/>
      <c r="P21" s="492" t="s">
        <v>622</v>
      </c>
      <c r="Q21" s="492">
        <f>SUM(Q6:Q20)</f>
        <v>200</v>
      </c>
    </row>
    <row r="22" spans="1:17" x14ac:dyDescent="0.25">
      <c r="A22" s="492" t="s">
        <v>510</v>
      </c>
      <c r="B22" s="492">
        <v>11.5</v>
      </c>
      <c r="C22" s="615"/>
      <c r="D22" s="492" t="s">
        <v>554</v>
      </c>
      <c r="E22" s="492">
        <v>7.5</v>
      </c>
      <c r="F22" s="615"/>
      <c r="G22" s="492" t="s">
        <v>451</v>
      </c>
      <c r="H22" s="492">
        <v>6</v>
      </c>
      <c r="I22" s="615"/>
      <c r="J22" s="492" t="s">
        <v>476</v>
      </c>
      <c r="K22" s="492">
        <v>6</v>
      </c>
      <c r="L22" s="615"/>
      <c r="M22" s="492" t="s">
        <v>851</v>
      </c>
      <c r="N22" s="492">
        <v>11</v>
      </c>
      <c r="O22" s="615"/>
      <c r="P22" s="616"/>
      <c r="Q22" s="591"/>
    </row>
    <row r="23" spans="1:17" x14ac:dyDescent="0.25">
      <c r="A23" s="492" t="s">
        <v>511</v>
      </c>
      <c r="B23" s="492">
        <v>12.5</v>
      </c>
      <c r="C23" s="615"/>
      <c r="D23" s="492" t="s">
        <v>555</v>
      </c>
      <c r="E23" s="492">
        <v>21.5</v>
      </c>
      <c r="F23" s="615"/>
      <c r="G23" s="492" t="s">
        <v>678</v>
      </c>
      <c r="H23" s="492">
        <v>38</v>
      </c>
      <c r="I23" s="615"/>
      <c r="J23" s="492" t="s">
        <v>477</v>
      </c>
      <c r="K23" s="492">
        <v>25</v>
      </c>
      <c r="L23" s="615"/>
      <c r="M23" s="492" t="s">
        <v>690</v>
      </c>
      <c r="N23" s="492">
        <v>8</v>
      </c>
      <c r="O23" s="615"/>
      <c r="P23" s="589"/>
      <c r="Q23" s="593"/>
    </row>
    <row r="24" spans="1:17" x14ac:dyDescent="0.25">
      <c r="A24" s="492" t="s">
        <v>512</v>
      </c>
      <c r="B24" s="492">
        <v>12.5</v>
      </c>
      <c r="C24" s="615"/>
      <c r="D24" s="492" t="s">
        <v>556</v>
      </c>
      <c r="E24" s="492">
        <v>16.5</v>
      </c>
      <c r="F24" s="615"/>
      <c r="G24" s="492" t="s">
        <v>452</v>
      </c>
      <c r="H24" s="492">
        <v>7</v>
      </c>
      <c r="I24" s="615"/>
      <c r="J24" s="492" t="s">
        <v>478</v>
      </c>
      <c r="K24" s="492">
        <v>5</v>
      </c>
      <c r="L24" s="615"/>
      <c r="M24" s="492" t="s">
        <v>944</v>
      </c>
      <c r="N24" s="492">
        <v>16</v>
      </c>
      <c r="O24" s="615"/>
      <c r="P24" s="589"/>
      <c r="Q24" s="593"/>
    </row>
    <row r="25" spans="1:17" x14ac:dyDescent="0.25">
      <c r="A25" s="492" t="s">
        <v>514</v>
      </c>
      <c r="B25" s="492">
        <v>11.5</v>
      </c>
      <c r="C25" s="615"/>
      <c r="D25" s="492" t="s">
        <v>557</v>
      </c>
      <c r="E25" s="492">
        <v>6.5</v>
      </c>
      <c r="F25" s="615"/>
      <c r="G25" s="492" t="s">
        <v>453</v>
      </c>
      <c r="H25" s="492">
        <v>7</v>
      </c>
      <c r="I25" s="615"/>
      <c r="J25" s="492" t="s">
        <v>479</v>
      </c>
      <c r="K25" s="492">
        <v>29</v>
      </c>
      <c r="L25" s="615"/>
      <c r="M25" s="492" t="s">
        <v>647</v>
      </c>
      <c r="N25" s="492">
        <v>8</v>
      </c>
      <c r="O25" s="615"/>
      <c r="P25" s="589"/>
      <c r="Q25" s="593"/>
    </row>
    <row r="26" spans="1:17" x14ac:dyDescent="0.25">
      <c r="A26" s="492" t="s">
        <v>513</v>
      </c>
      <c r="B26" s="492">
        <v>9.5</v>
      </c>
      <c r="C26" s="615"/>
      <c r="D26" s="492" t="s">
        <v>558</v>
      </c>
      <c r="E26" s="492">
        <v>9.5</v>
      </c>
      <c r="F26" s="615"/>
      <c r="G26" s="492" t="s">
        <v>454</v>
      </c>
      <c r="H26" s="492">
        <v>14</v>
      </c>
      <c r="I26" s="615"/>
      <c r="J26" s="492" t="s">
        <v>480</v>
      </c>
      <c r="K26" s="492">
        <v>31</v>
      </c>
      <c r="L26" s="615"/>
      <c r="M26" s="492" t="s">
        <v>648</v>
      </c>
      <c r="N26" s="492">
        <v>11</v>
      </c>
      <c r="O26" s="615"/>
      <c r="P26" s="589"/>
      <c r="Q26" s="593"/>
    </row>
    <row r="27" spans="1:17" x14ac:dyDescent="0.25">
      <c r="A27" s="492" t="s">
        <v>516</v>
      </c>
      <c r="B27" s="492">
        <v>34.5</v>
      </c>
      <c r="C27" s="615"/>
      <c r="D27" s="492" t="s">
        <v>559</v>
      </c>
      <c r="E27" s="492">
        <v>10.5</v>
      </c>
      <c r="F27" s="615"/>
      <c r="G27" s="492" t="s">
        <v>455</v>
      </c>
      <c r="H27" s="492">
        <v>7</v>
      </c>
      <c r="I27" s="615"/>
      <c r="J27" s="492" t="s">
        <v>622</v>
      </c>
      <c r="K27" s="492">
        <f>SUM(K6:K26)</f>
        <v>261</v>
      </c>
      <c r="L27" s="615"/>
      <c r="M27" s="492" t="s">
        <v>379</v>
      </c>
      <c r="N27" s="492">
        <v>16</v>
      </c>
      <c r="O27" s="615"/>
      <c r="P27" s="589"/>
      <c r="Q27" s="593"/>
    </row>
    <row r="28" spans="1:17" x14ac:dyDescent="0.25">
      <c r="A28" s="492" t="s">
        <v>527</v>
      </c>
      <c r="B28" s="492">
        <v>11.5</v>
      </c>
      <c r="C28" s="615"/>
      <c r="D28" s="492" t="s">
        <v>560</v>
      </c>
      <c r="E28" s="492">
        <v>10.5</v>
      </c>
      <c r="F28" s="615"/>
      <c r="G28" s="492" t="s">
        <v>456</v>
      </c>
      <c r="H28" s="492">
        <v>7</v>
      </c>
      <c r="I28" s="615"/>
      <c r="J28" s="616"/>
      <c r="K28" s="592"/>
      <c r="L28" s="615"/>
      <c r="M28" s="492" t="s">
        <v>380</v>
      </c>
      <c r="N28" s="492">
        <v>11</v>
      </c>
      <c r="O28" s="615"/>
      <c r="P28" s="589"/>
      <c r="Q28" s="593"/>
    </row>
    <row r="29" spans="1:17" x14ac:dyDescent="0.25">
      <c r="A29" s="492" t="s">
        <v>622</v>
      </c>
      <c r="B29" s="492">
        <f>SUM(B6:B28)</f>
        <v>401</v>
      </c>
      <c r="C29" s="615"/>
      <c r="D29" s="492" t="s">
        <v>622</v>
      </c>
      <c r="E29" s="492">
        <f>SUM(E6:E28)</f>
        <v>285</v>
      </c>
      <c r="F29" s="615"/>
      <c r="G29" s="492" t="s">
        <v>622</v>
      </c>
      <c r="H29" s="492">
        <f>SUM(H6:H28)</f>
        <v>318</v>
      </c>
      <c r="I29" s="615"/>
      <c r="J29" s="589"/>
      <c r="K29" s="594"/>
      <c r="L29" s="615"/>
      <c r="M29" s="492" t="s">
        <v>622</v>
      </c>
      <c r="N29" s="492">
        <f>SUM(N6:N28)</f>
        <v>336</v>
      </c>
      <c r="O29" s="615"/>
      <c r="P29" s="589"/>
      <c r="Q29" s="593"/>
    </row>
  </sheetData>
  <mergeCells count="15">
    <mergeCell ref="B3:K3"/>
    <mergeCell ref="L3:N3"/>
    <mergeCell ref="O3:Q3"/>
    <mergeCell ref="A1:Q1"/>
    <mergeCell ref="B2:K2"/>
    <mergeCell ref="L2:N2"/>
    <mergeCell ref="O2:Q2"/>
    <mergeCell ref="J28:K29"/>
    <mergeCell ref="A4:Q4"/>
    <mergeCell ref="C5:C29"/>
    <mergeCell ref="F5:F29"/>
    <mergeCell ref="I5:I29"/>
    <mergeCell ref="L5:L29"/>
    <mergeCell ref="O5:O29"/>
    <mergeCell ref="P22:Q29"/>
  </mergeCells>
  <pageMargins left="0.7" right="0.7" top="0.75" bottom="0.75" header="0.3" footer="0.3"/>
  <pageSetup paperSize="9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29"/>
  <sheetViews>
    <sheetView zoomScale="85" zoomScaleNormal="85" workbookViewId="0">
      <selection activeCell="I5" sqref="I5:I29"/>
    </sheetView>
  </sheetViews>
  <sheetFormatPr defaultRowHeight="13.2" x14ac:dyDescent="0.25"/>
  <cols>
    <col min="1" max="1" width="7.77734375" style="488" customWidth="1"/>
    <col min="2" max="2" width="4" style="488" bestFit="1" customWidth="1"/>
    <col min="3" max="3" width="2.44140625" style="488" customWidth="1"/>
    <col min="4" max="4" width="5.21875" style="488" bestFit="1" customWidth="1"/>
    <col min="5" max="5" width="4" style="488" bestFit="1" customWidth="1"/>
    <col min="6" max="6" width="2.33203125" style="488" customWidth="1"/>
    <col min="7" max="7" width="4.6640625" style="488" bestFit="1" customWidth="1"/>
    <col min="8" max="8" width="4" style="488" bestFit="1" customWidth="1"/>
    <col min="9" max="9" width="2.33203125" style="488" customWidth="1"/>
    <col min="10" max="10" width="5.21875" style="488" bestFit="1" customWidth="1"/>
    <col min="11" max="11" width="4" style="488" bestFit="1" customWidth="1"/>
    <col min="12" max="12" width="2.6640625" style="488" customWidth="1"/>
    <col min="13" max="13" width="5.21875" style="488" bestFit="1" customWidth="1"/>
    <col min="14" max="14" width="4" style="488" bestFit="1" customWidth="1"/>
    <col min="15" max="15" width="2.88671875" style="488" customWidth="1"/>
    <col min="16" max="16" width="5.21875" style="488" bestFit="1" customWidth="1"/>
    <col min="17" max="17" width="4" style="488" bestFit="1" customWidth="1"/>
    <col min="18" max="16384" width="8.88671875" style="488"/>
  </cols>
  <sheetData>
    <row r="1" spans="1:17" s="275" customFormat="1" ht="18" x14ac:dyDescent="0.25">
      <c r="A1" s="618" t="s">
        <v>1066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</row>
    <row r="2" spans="1:17" s="485" customFormat="1" ht="18" customHeight="1" x14ac:dyDescent="0.25">
      <c r="A2" s="173" t="s">
        <v>580</v>
      </c>
      <c r="B2" s="579" t="s">
        <v>581</v>
      </c>
      <c r="C2" s="579"/>
      <c r="D2" s="579"/>
      <c r="E2" s="579"/>
      <c r="F2" s="579"/>
      <c r="G2" s="579"/>
      <c r="H2" s="579"/>
      <c r="I2" s="579"/>
      <c r="J2" s="579"/>
      <c r="K2" s="579"/>
      <c r="L2" s="597" t="s">
        <v>583</v>
      </c>
      <c r="M2" s="597"/>
      <c r="N2" s="597"/>
      <c r="O2" s="595" t="s">
        <v>584</v>
      </c>
      <c r="P2" s="595"/>
      <c r="Q2" s="595"/>
    </row>
    <row r="3" spans="1:17" ht="28.2" customHeight="1" x14ac:dyDescent="0.25">
      <c r="A3" s="486" t="s">
        <v>822</v>
      </c>
      <c r="B3" s="580" t="s">
        <v>1096</v>
      </c>
      <c r="C3" s="580"/>
      <c r="D3" s="580"/>
      <c r="E3" s="580"/>
      <c r="F3" s="580"/>
      <c r="G3" s="580"/>
      <c r="H3" s="580"/>
      <c r="I3" s="580"/>
      <c r="J3" s="580"/>
      <c r="K3" s="580"/>
      <c r="L3" s="596" t="s">
        <v>1097</v>
      </c>
      <c r="M3" s="596"/>
      <c r="N3" s="596"/>
      <c r="O3" s="596">
        <f>B29+E29+H29+K27+N29+Q21</f>
        <v>3602</v>
      </c>
      <c r="P3" s="596"/>
      <c r="Q3" s="596"/>
    </row>
    <row r="4" spans="1:17" x14ac:dyDescent="0.25">
      <c r="A4" s="581"/>
      <c r="B4" s="581"/>
      <c r="C4" s="581"/>
      <c r="D4" s="581"/>
      <c r="E4" s="581"/>
      <c r="F4" s="581"/>
      <c r="G4" s="581"/>
      <c r="H4" s="581"/>
      <c r="I4" s="581"/>
      <c r="J4" s="581"/>
      <c r="K4" s="581"/>
      <c r="L4" s="581"/>
      <c r="M4" s="581"/>
      <c r="N4" s="581"/>
      <c r="O4" s="581"/>
      <c r="P4" s="581"/>
      <c r="Q4" s="581"/>
    </row>
    <row r="5" spans="1:17" x14ac:dyDescent="0.25">
      <c r="A5" s="489" t="s">
        <v>652</v>
      </c>
      <c r="B5" s="490" t="s">
        <v>1098</v>
      </c>
      <c r="C5" s="615"/>
      <c r="D5" s="489" t="s">
        <v>652</v>
      </c>
      <c r="E5" s="490" t="s">
        <v>1098</v>
      </c>
      <c r="F5" s="615"/>
      <c r="G5" s="489" t="s">
        <v>652</v>
      </c>
      <c r="H5" s="490" t="s">
        <v>1098</v>
      </c>
      <c r="I5" s="615"/>
      <c r="J5" s="489" t="s">
        <v>652</v>
      </c>
      <c r="K5" s="490" t="s">
        <v>1098</v>
      </c>
      <c r="L5" s="615"/>
      <c r="M5" s="489" t="s">
        <v>652</v>
      </c>
      <c r="N5" s="490" t="s">
        <v>1098</v>
      </c>
      <c r="O5" s="615"/>
      <c r="P5" s="489" t="s">
        <v>652</v>
      </c>
      <c r="Q5" s="490" t="s">
        <v>1098</v>
      </c>
    </row>
    <row r="6" spans="1:17" x14ac:dyDescent="0.25">
      <c r="A6" s="492" t="s">
        <v>424</v>
      </c>
      <c r="B6" s="492">
        <v>128</v>
      </c>
      <c r="C6" s="615"/>
      <c r="D6" s="492" t="s">
        <v>530</v>
      </c>
      <c r="E6" s="492">
        <v>21</v>
      </c>
      <c r="F6" s="615"/>
      <c r="G6" s="492" t="s">
        <v>425</v>
      </c>
      <c r="H6" s="492">
        <v>28</v>
      </c>
      <c r="I6" s="615"/>
      <c r="J6" s="492" t="s">
        <v>457</v>
      </c>
      <c r="K6" s="492">
        <v>10</v>
      </c>
      <c r="L6" s="615"/>
      <c r="M6" s="492" t="s">
        <v>361</v>
      </c>
      <c r="N6" s="492">
        <v>32</v>
      </c>
      <c r="O6" s="615"/>
      <c r="P6" s="492" t="s">
        <v>649</v>
      </c>
      <c r="Q6" s="492">
        <v>14</v>
      </c>
    </row>
    <row r="7" spans="1:17" x14ac:dyDescent="0.25">
      <c r="A7" s="492" t="s">
        <v>484</v>
      </c>
      <c r="B7" s="492">
        <v>22</v>
      </c>
      <c r="C7" s="615"/>
      <c r="D7" s="492" t="s">
        <v>536</v>
      </c>
      <c r="E7" s="492">
        <v>77</v>
      </c>
      <c r="F7" s="615"/>
      <c r="G7" s="492" t="s">
        <v>426</v>
      </c>
      <c r="H7" s="492">
        <v>20</v>
      </c>
      <c r="I7" s="615"/>
      <c r="J7" s="492" t="s">
        <v>458</v>
      </c>
      <c r="K7" s="492">
        <v>12</v>
      </c>
      <c r="L7" s="615"/>
      <c r="M7" s="492" t="s">
        <v>362</v>
      </c>
      <c r="N7" s="492">
        <v>24</v>
      </c>
      <c r="O7" s="615"/>
      <c r="P7" s="492" t="s">
        <v>381</v>
      </c>
      <c r="Q7" s="492">
        <v>30</v>
      </c>
    </row>
    <row r="8" spans="1:17" x14ac:dyDescent="0.25">
      <c r="A8" s="492" t="s">
        <v>486</v>
      </c>
      <c r="B8" s="492">
        <v>31</v>
      </c>
      <c r="C8" s="615"/>
      <c r="D8" s="492" t="s">
        <v>537</v>
      </c>
      <c r="E8" s="492">
        <v>24</v>
      </c>
      <c r="F8" s="615"/>
      <c r="G8" s="492" t="s">
        <v>427</v>
      </c>
      <c r="H8" s="492">
        <v>24</v>
      </c>
      <c r="I8" s="615"/>
      <c r="J8" s="492" t="s">
        <v>459</v>
      </c>
      <c r="K8" s="492">
        <v>16</v>
      </c>
      <c r="L8" s="615"/>
      <c r="M8" s="492" t="s">
        <v>363</v>
      </c>
      <c r="N8" s="492">
        <v>28</v>
      </c>
      <c r="O8" s="615"/>
      <c r="P8" s="492" t="s">
        <v>383</v>
      </c>
      <c r="Q8" s="492">
        <v>10</v>
      </c>
    </row>
    <row r="9" spans="1:17" x14ac:dyDescent="0.25">
      <c r="A9" s="492" t="s">
        <v>487</v>
      </c>
      <c r="B9" s="492">
        <v>33</v>
      </c>
      <c r="C9" s="615"/>
      <c r="D9" s="492" t="s">
        <v>538</v>
      </c>
      <c r="E9" s="492">
        <v>41</v>
      </c>
      <c r="F9" s="615"/>
      <c r="G9" s="492" t="s">
        <v>428</v>
      </c>
      <c r="H9" s="492">
        <v>26</v>
      </c>
      <c r="I9" s="615"/>
      <c r="J9" s="492" t="s">
        <v>460</v>
      </c>
      <c r="K9" s="492">
        <v>26</v>
      </c>
      <c r="L9" s="615"/>
      <c r="M9" s="492" t="s">
        <v>364</v>
      </c>
      <c r="N9" s="492">
        <v>28</v>
      </c>
      <c r="O9" s="615"/>
      <c r="P9" s="492" t="s">
        <v>384</v>
      </c>
      <c r="Q9" s="492">
        <v>34</v>
      </c>
    </row>
    <row r="10" spans="1:17" x14ac:dyDescent="0.25">
      <c r="A10" s="492" t="s">
        <v>488</v>
      </c>
      <c r="B10" s="492">
        <v>13</v>
      </c>
      <c r="C10" s="615"/>
      <c r="D10" s="492" t="s">
        <v>539</v>
      </c>
      <c r="E10" s="492">
        <v>23</v>
      </c>
      <c r="F10" s="615"/>
      <c r="G10" s="492" t="s">
        <v>429</v>
      </c>
      <c r="H10" s="492">
        <v>24</v>
      </c>
      <c r="I10" s="615"/>
      <c r="J10" s="492" t="s">
        <v>462</v>
      </c>
      <c r="K10" s="492">
        <v>14</v>
      </c>
      <c r="L10" s="615"/>
      <c r="M10" s="492" t="s">
        <v>365</v>
      </c>
      <c r="N10" s="492">
        <v>28</v>
      </c>
      <c r="O10" s="615"/>
      <c r="P10" s="492" t="s">
        <v>385</v>
      </c>
      <c r="Q10" s="492">
        <v>10</v>
      </c>
    </row>
    <row r="11" spans="1:17" x14ac:dyDescent="0.25">
      <c r="A11" s="492" t="s">
        <v>490</v>
      </c>
      <c r="B11" s="492">
        <v>21</v>
      </c>
      <c r="C11" s="615"/>
      <c r="D11" s="492" t="s">
        <v>541</v>
      </c>
      <c r="E11" s="492">
        <v>17</v>
      </c>
      <c r="F11" s="615"/>
      <c r="G11" s="492" t="s">
        <v>430</v>
      </c>
      <c r="H11" s="492">
        <v>6</v>
      </c>
      <c r="I11" s="615"/>
      <c r="J11" s="492" t="s">
        <v>463</v>
      </c>
      <c r="K11" s="492">
        <v>20</v>
      </c>
      <c r="L11" s="615"/>
      <c r="M11" s="492" t="s">
        <v>366</v>
      </c>
      <c r="N11" s="492">
        <v>28</v>
      </c>
      <c r="O11" s="615"/>
      <c r="P11" s="492" t="s">
        <v>386</v>
      </c>
      <c r="Q11" s="492">
        <v>10</v>
      </c>
    </row>
    <row r="12" spans="1:17" x14ac:dyDescent="0.25">
      <c r="A12" s="492" t="s">
        <v>491</v>
      </c>
      <c r="B12" s="492">
        <v>33</v>
      </c>
      <c r="C12" s="615"/>
      <c r="D12" s="492" t="s">
        <v>542</v>
      </c>
      <c r="E12" s="492">
        <v>27</v>
      </c>
      <c r="F12" s="615"/>
      <c r="G12" s="492" t="s">
        <v>431</v>
      </c>
      <c r="H12" s="492">
        <v>42</v>
      </c>
      <c r="I12" s="615"/>
      <c r="J12" s="492" t="s">
        <v>464</v>
      </c>
      <c r="K12" s="492">
        <v>14</v>
      </c>
      <c r="L12" s="615"/>
      <c r="M12" s="492" t="s">
        <v>367</v>
      </c>
      <c r="N12" s="492">
        <v>26</v>
      </c>
      <c r="O12" s="615"/>
      <c r="P12" s="492" t="s">
        <v>387</v>
      </c>
      <c r="Q12" s="492">
        <v>12</v>
      </c>
    </row>
    <row r="13" spans="1:17" x14ac:dyDescent="0.25">
      <c r="A13" s="492" t="s">
        <v>660</v>
      </c>
      <c r="B13" s="492">
        <v>35</v>
      </c>
      <c r="C13" s="615"/>
      <c r="D13" s="492" t="s">
        <v>543</v>
      </c>
      <c r="E13" s="492">
        <v>25</v>
      </c>
      <c r="F13" s="615"/>
      <c r="G13" s="492" t="s">
        <v>432</v>
      </c>
      <c r="H13" s="492">
        <v>14</v>
      </c>
      <c r="I13" s="615"/>
      <c r="J13" s="492" t="s">
        <v>465</v>
      </c>
      <c r="K13" s="492">
        <v>24</v>
      </c>
      <c r="L13" s="615"/>
      <c r="M13" s="492" t="s">
        <v>368</v>
      </c>
      <c r="N13" s="492">
        <v>86</v>
      </c>
      <c r="O13" s="615"/>
      <c r="P13" s="492" t="s">
        <v>388</v>
      </c>
      <c r="Q13" s="492">
        <v>22</v>
      </c>
    </row>
    <row r="14" spans="1:17" x14ac:dyDescent="0.25">
      <c r="A14" s="492" t="s">
        <v>498</v>
      </c>
      <c r="B14" s="492">
        <v>35</v>
      </c>
      <c r="C14" s="615"/>
      <c r="D14" s="492" t="s">
        <v>545</v>
      </c>
      <c r="E14" s="492">
        <v>27</v>
      </c>
      <c r="F14" s="615"/>
      <c r="G14" s="492" t="s">
        <v>671</v>
      </c>
      <c r="H14" s="492">
        <v>18</v>
      </c>
      <c r="I14" s="615"/>
      <c r="J14" s="492" t="s">
        <v>466</v>
      </c>
      <c r="K14" s="492">
        <v>20</v>
      </c>
      <c r="L14" s="615"/>
      <c r="M14" s="492" t="s">
        <v>371</v>
      </c>
      <c r="N14" s="492">
        <v>12</v>
      </c>
      <c r="O14" s="615"/>
      <c r="P14" s="492" t="s">
        <v>389</v>
      </c>
      <c r="Q14" s="492">
        <v>10</v>
      </c>
    </row>
    <row r="15" spans="1:17" x14ac:dyDescent="0.25">
      <c r="A15" s="492" t="s">
        <v>499</v>
      </c>
      <c r="B15" s="492">
        <v>31</v>
      </c>
      <c r="C15" s="615"/>
      <c r="D15" s="492" t="s">
        <v>546</v>
      </c>
      <c r="E15" s="492">
        <v>7</v>
      </c>
      <c r="F15" s="615"/>
      <c r="G15" s="492" t="s">
        <v>435</v>
      </c>
      <c r="H15" s="492">
        <v>14</v>
      </c>
      <c r="I15" s="615"/>
      <c r="J15" s="492" t="s">
        <v>467</v>
      </c>
      <c r="K15" s="492">
        <v>40</v>
      </c>
      <c r="L15" s="615"/>
      <c r="M15" s="492" t="s">
        <v>372</v>
      </c>
      <c r="N15" s="492">
        <v>22</v>
      </c>
      <c r="O15" s="615"/>
      <c r="P15" s="492" t="s">
        <v>390</v>
      </c>
      <c r="Q15" s="492">
        <v>42</v>
      </c>
    </row>
    <row r="16" spans="1:17" x14ac:dyDescent="0.25">
      <c r="A16" s="492" t="s">
        <v>501</v>
      </c>
      <c r="B16" s="492">
        <v>22</v>
      </c>
      <c r="C16" s="615"/>
      <c r="D16" s="492" t="s">
        <v>547</v>
      </c>
      <c r="E16" s="492">
        <v>23</v>
      </c>
      <c r="F16" s="615"/>
      <c r="G16" s="492" t="s">
        <v>438</v>
      </c>
      <c r="H16" s="492">
        <v>10</v>
      </c>
      <c r="I16" s="615"/>
      <c r="J16" s="492" t="s">
        <v>469</v>
      </c>
      <c r="K16" s="492">
        <v>8</v>
      </c>
      <c r="L16" s="615"/>
      <c r="M16" s="492" t="s">
        <v>375</v>
      </c>
      <c r="N16" s="492">
        <v>16</v>
      </c>
      <c r="O16" s="615"/>
      <c r="P16" s="492" t="s">
        <v>391</v>
      </c>
      <c r="Q16" s="492">
        <v>44</v>
      </c>
    </row>
    <row r="17" spans="1:17" x14ac:dyDescent="0.25">
      <c r="A17" s="492" t="s">
        <v>503</v>
      </c>
      <c r="B17" s="492">
        <v>25</v>
      </c>
      <c r="C17" s="615"/>
      <c r="D17" s="492" t="s">
        <v>548</v>
      </c>
      <c r="E17" s="492">
        <v>17</v>
      </c>
      <c r="F17" s="615"/>
      <c r="G17" s="492" t="s">
        <v>439</v>
      </c>
      <c r="H17" s="492">
        <v>114</v>
      </c>
      <c r="I17" s="615"/>
      <c r="J17" s="492" t="s">
        <v>470</v>
      </c>
      <c r="K17" s="492">
        <v>54</v>
      </c>
      <c r="L17" s="615"/>
      <c r="M17" s="492" t="s">
        <v>376</v>
      </c>
      <c r="N17" s="492">
        <v>48</v>
      </c>
      <c r="O17" s="615"/>
      <c r="P17" s="492" t="s">
        <v>392</v>
      </c>
      <c r="Q17" s="492">
        <v>12</v>
      </c>
    </row>
    <row r="18" spans="1:17" x14ac:dyDescent="0.25">
      <c r="A18" s="492" t="s">
        <v>504</v>
      </c>
      <c r="B18" s="492">
        <v>25</v>
      </c>
      <c r="C18" s="615"/>
      <c r="D18" s="492" t="s">
        <v>549</v>
      </c>
      <c r="E18" s="492">
        <v>19</v>
      </c>
      <c r="F18" s="615"/>
      <c r="G18" s="492" t="s">
        <v>442</v>
      </c>
      <c r="H18" s="492">
        <v>22</v>
      </c>
      <c r="I18" s="615"/>
      <c r="J18" s="492" t="s">
        <v>471</v>
      </c>
      <c r="K18" s="492">
        <v>46</v>
      </c>
      <c r="L18" s="615"/>
      <c r="M18" s="492" t="s">
        <v>377</v>
      </c>
      <c r="N18" s="492">
        <v>74</v>
      </c>
      <c r="O18" s="615"/>
      <c r="P18" s="492" t="s">
        <v>393</v>
      </c>
      <c r="Q18" s="492">
        <v>20</v>
      </c>
    </row>
    <row r="19" spans="1:17" x14ac:dyDescent="0.25">
      <c r="A19" s="492" t="s">
        <v>505</v>
      </c>
      <c r="B19" s="492">
        <v>25</v>
      </c>
      <c r="C19" s="615"/>
      <c r="D19" s="492" t="s">
        <v>551</v>
      </c>
      <c r="E19" s="492">
        <v>23</v>
      </c>
      <c r="F19" s="615"/>
      <c r="G19" s="492" t="s">
        <v>443</v>
      </c>
      <c r="H19" s="492">
        <v>16</v>
      </c>
      <c r="I19" s="615"/>
      <c r="J19" s="492" t="s">
        <v>473</v>
      </c>
      <c r="K19" s="492">
        <v>8</v>
      </c>
      <c r="L19" s="615"/>
      <c r="M19" s="492" t="s">
        <v>378</v>
      </c>
      <c r="N19" s="492">
        <v>20</v>
      </c>
      <c r="O19" s="615"/>
      <c r="P19" s="492" t="s">
        <v>394</v>
      </c>
      <c r="Q19" s="492">
        <v>64</v>
      </c>
    </row>
    <row r="20" spans="1:17" x14ac:dyDescent="0.25">
      <c r="A20" s="492" t="s">
        <v>508</v>
      </c>
      <c r="B20" s="492">
        <v>49</v>
      </c>
      <c r="C20" s="615"/>
      <c r="D20" s="492" t="s">
        <v>552</v>
      </c>
      <c r="E20" s="492">
        <v>21</v>
      </c>
      <c r="F20" s="615"/>
      <c r="G20" s="492" t="s">
        <v>444</v>
      </c>
      <c r="H20" s="492">
        <v>6</v>
      </c>
      <c r="I20" s="615"/>
      <c r="J20" s="492" t="s">
        <v>474</v>
      </c>
      <c r="K20" s="492">
        <v>8</v>
      </c>
      <c r="L20" s="615"/>
      <c r="M20" s="492" t="s">
        <v>689</v>
      </c>
      <c r="N20" s="492">
        <v>24</v>
      </c>
      <c r="O20" s="615"/>
      <c r="P20" s="492" t="s">
        <v>395</v>
      </c>
      <c r="Q20" s="492">
        <v>66</v>
      </c>
    </row>
    <row r="21" spans="1:17" x14ac:dyDescent="0.25">
      <c r="A21" s="492" t="s">
        <v>509</v>
      </c>
      <c r="B21" s="492">
        <v>67</v>
      </c>
      <c r="C21" s="615"/>
      <c r="D21" s="492" t="s">
        <v>553</v>
      </c>
      <c r="E21" s="492">
        <v>13</v>
      </c>
      <c r="F21" s="615"/>
      <c r="G21" s="492" t="s">
        <v>450</v>
      </c>
      <c r="H21" s="492">
        <v>80</v>
      </c>
      <c r="I21" s="615"/>
      <c r="J21" s="492" t="s">
        <v>475</v>
      </c>
      <c r="K21" s="492">
        <v>10</v>
      </c>
      <c r="L21" s="615"/>
      <c r="M21" s="492" t="s">
        <v>646</v>
      </c>
      <c r="N21" s="492">
        <v>14</v>
      </c>
      <c r="O21" s="615"/>
      <c r="P21" s="492" t="s">
        <v>622</v>
      </c>
      <c r="Q21" s="492">
        <f>SUM(Q6:Q20)</f>
        <v>400</v>
      </c>
    </row>
    <row r="22" spans="1:17" x14ac:dyDescent="0.25">
      <c r="A22" s="492" t="s">
        <v>510</v>
      </c>
      <c r="B22" s="492">
        <v>23</v>
      </c>
      <c r="C22" s="615"/>
      <c r="D22" s="492" t="s">
        <v>554</v>
      </c>
      <c r="E22" s="492">
        <v>15</v>
      </c>
      <c r="F22" s="615"/>
      <c r="G22" s="492" t="s">
        <v>451</v>
      </c>
      <c r="H22" s="492">
        <v>12</v>
      </c>
      <c r="I22" s="615"/>
      <c r="J22" s="492" t="s">
        <v>476</v>
      </c>
      <c r="K22" s="492">
        <v>12</v>
      </c>
      <c r="L22" s="615"/>
      <c r="M22" s="492" t="s">
        <v>851</v>
      </c>
      <c r="N22" s="492">
        <v>22</v>
      </c>
      <c r="O22" s="615"/>
      <c r="P22" s="616"/>
      <c r="Q22" s="591"/>
    </row>
    <row r="23" spans="1:17" x14ac:dyDescent="0.25">
      <c r="A23" s="492" t="s">
        <v>511</v>
      </c>
      <c r="B23" s="492">
        <v>25</v>
      </c>
      <c r="C23" s="615"/>
      <c r="D23" s="492" t="s">
        <v>555</v>
      </c>
      <c r="E23" s="492">
        <v>43</v>
      </c>
      <c r="F23" s="615"/>
      <c r="G23" s="492" t="s">
        <v>678</v>
      </c>
      <c r="H23" s="492">
        <v>76</v>
      </c>
      <c r="I23" s="615"/>
      <c r="J23" s="492" t="s">
        <v>477</v>
      </c>
      <c r="K23" s="492">
        <v>50</v>
      </c>
      <c r="L23" s="615"/>
      <c r="M23" s="492" t="s">
        <v>690</v>
      </c>
      <c r="N23" s="492">
        <v>16</v>
      </c>
      <c r="O23" s="615"/>
      <c r="P23" s="589"/>
      <c r="Q23" s="593"/>
    </row>
    <row r="24" spans="1:17" x14ac:dyDescent="0.25">
      <c r="A24" s="492" t="s">
        <v>512</v>
      </c>
      <c r="B24" s="492">
        <v>25</v>
      </c>
      <c r="C24" s="615"/>
      <c r="D24" s="492" t="s">
        <v>556</v>
      </c>
      <c r="E24" s="492">
        <v>33</v>
      </c>
      <c r="F24" s="615"/>
      <c r="G24" s="492" t="s">
        <v>452</v>
      </c>
      <c r="H24" s="492">
        <v>14</v>
      </c>
      <c r="I24" s="615"/>
      <c r="J24" s="492" t="s">
        <v>478</v>
      </c>
      <c r="K24" s="492">
        <v>10</v>
      </c>
      <c r="L24" s="615"/>
      <c r="M24" s="492" t="s">
        <v>944</v>
      </c>
      <c r="N24" s="492">
        <v>32</v>
      </c>
      <c r="O24" s="615"/>
      <c r="P24" s="589"/>
      <c r="Q24" s="593"/>
    </row>
    <row r="25" spans="1:17" x14ac:dyDescent="0.25">
      <c r="A25" s="492" t="s">
        <v>514</v>
      </c>
      <c r="B25" s="492">
        <v>23</v>
      </c>
      <c r="C25" s="615"/>
      <c r="D25" s="492" t="s">
        <v>557</v>
      </c>
      <c r="E25" s="492">
        <v>13</v>
      </c>
      <c r="F25" s="615"/>
      <c r="G25" s="492" t="s">
        <v>453</v>
      </c>
      <c r="H25" s="492">
        <v>14</v>
      </c>
      <c r="I25" s="615"/>
      <c r="J25" s="492" t="s">
        <v>479</v>
      </c>
      <c r="K25" s="492">
        <v>58</v>
      </c>
      <c r="L25" s="615"/>
      <c r="M25" s="492" t="s">
        <v>647</v>
      </c>
      <c r="N25" s="492">
        <v>16</v>
      </c>
      <c r="O25" s="615"/>
      <c r="P25" s="589"/>
      <c r="Q25" s="593"/>
    </row>
    <row r="26" spans="1:17" x14ac:dyDescent="0.25">
      <c r="A26" s="492" t="s">
        <v>513</v>
      </c>
      <c r="B26" s="492">
        <v>19</v>
      </c>
      <c r="C26" s="615"/>
      <c r="D26" s="492" t="s">
        <v>558</v>
      </c>
      <c r="E26" s="492">
        <v>19</v>
      </c>
      <c r="F26" s="615"/>
      <c r="G26" s="492" t="s">
        <v>454</v>
      </c>
      <c r="H26" s="492">
        <v>28</v>
      </c>
      <c r="I26" s="615"/>
      <c r="J26" s="492" t="s">
        <v>480</v>
      </c>
      <c r="K26" s="492">
        <v>62</v>
      </c>
      <c r="L26" s="615"/>
      <c r="M26" s="492" t="s">
        <v>648</v>
      </c>
      <c r="N26" s="492">
        <v>22</v>
      </c>
      <c r="O26" s="615"/>
      <c r="P26" s="589"/>
      <c r="Q26" s="593"/>
    </row>
    <row r="27" spans="1:17" x14ac:dyDescent="0.25">
      <c r="A27" s="492" t="s">
        <v>516</v>
      </c>
      <c r="B27" s="492">
        <v>69</v>
      </c>
      <c r="C27" s="615"/>
      <c r="D27" s="492" t="s">
        <v>559</v>
      </c>
      <c r="E27" s="492">
        <v>21</v>
      </c>
      <c r="F27" s="615"/>
      <c r="G27" s="492" t="s">
        <v>455</v>
      </c>
      <c r="H27" s="492">
        <v>14</v>
      </c>
      <c r="I27" s="615"/>
      <c r="J27" s="492" t="s">
        <v>622</v>
      </c>
      <c r="K27" s="492">
        <f>SUM(K6:K26)</f>
        <v>522</v>
      </c>
      <c r="L27" s="615"/>
      <c r="M27" s="492" t="s">
        <v>379</v>
      </c>
      <c r="N27" s="492">
        <v>32</v>
      </c>
      <c r="O27" s="615"/>
      <c r="P27" s="589"/>
      <c r="Q27" s="593"/>
    </row>
    <row r="28" spans="1:17" x14ac:dyDescent="0.25">
      <c r="A28" s="492" t="s">
        <v>527</v>
      </c>
      <c r="B28" s="492">
        <v>23</v>
      </c>
      <c r="C28" s="615"/>
      <c r="D28" s="492" t="s">
        <v>560</v>
      </c>
      <c r="E28" s="492">
        <v>21</v>
      </c>
      <c r="F28" s="615"/>
      <c r="G28" s="492" t="s">
        <v>456</v>
      </c>
      <c r="H28" s="492">
        <v>14</v>
      </c>
      <c r="I28" s="615"/>
      <c r="J28" s="616"/>
      <c r="K28" s="592"/>
      <c r="L28" s="615"/>
      <c r="M28" s="492" t="s">
        <v>380</v>
      </c>
      <c r="N28" s="492">
        <v>22</v>
      </c>
      <c r="O28" s="615"/>
      <c r="P28" s="589"/>
      <c r="Q28" s="593"/>
    </row>
    <row r="29" spans="1:17" x14ac:dyDescent="0.25">
      <c r="A29" s="492" t="s">
        <v>622</v>
      </c>
      <c r="B29" s="492">
        <f>SUM(B6:B28)</f>
        <v>802</v>
      </c>
      <c r="C29" s="615"/>
      <c r="D29" s="492" t="s">
        <v>622</v>
      </c>
      <c r="E29" s="492">
        <f>SUM(E6:E28)</f>
        <v>570</v>
      </c>
      <c r="F29" s="615"/>
      <c r="G29" s="492" t="s">
        <v>622</v>
      </c>
      <c r="H29" s="492">
        <f>SUM(H6:H28)</f>
        <v>636</v>
      </c>
      <c r="I29" s="615"/>
      <c r="J29" s="589"/>
      <c r="K29" s="594"/>
      <c r="L29" s="615"/>
      <c r="M29" s="492" t="s">
        <v>622</v>
      </c>
      <c r="N29" s="492">
        <f>SUM(N6:N28)</f>
        <v>672</v>
      </c>
      <c r="O29" s="615"/>
      <c r="P29" s="589"/>
      <c r="Q29" s="593"/>
    </row>
  </sheetData>
  <mergeCells count="15">
    <mergeCell ref="A1:Q1"/>
    <mergeCell ref="O2:Q2"/>
    <mergeCell ref="O3:Q3"/>
    <mergeCell ref="L2:N2"/>
    <mergeCell ref="L3:N3"/>
    <mergeCell ref="B2:K2"/>
    <mergeCell ref="B3:K3"/>
    <mergeCell ref="A4:Q4"/>
    <mergeCell ref="J28:K29"/>
    <mergeCell ref="P22:Q29"/>
    <mergeCell ref="C5:C29"/>
    <mergeCell ref="F5:F29"/>
    <mergeCell ref="I5:I29"/>
    <mergeCell ref="L5:L29"/>
    <mergeCell ref="O5:O29"/>
  </mergeCells>
  <pageMargins left="0.7" right="0.7" top="0.75" bottom="0.75" header="0.3" footer="0.3"/>
  <pageSetup paperSize="9" orientation="portrait" horizontalDpi="0" verticalDpi="0" r:id="rId1"/>
  <ignoredErrors>
    <ignoredError sqref="A3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"/>
  <sheetViews>
    <sheetView zoomScaleNormal="100" workbookViewId="0">
      <selection activeCell="B14" sqref="B14"/>
    </sheetView>
  </sheetViews>
  <sheetFormatPr defaultRowHeight="13.2" x14ac:dyDescent="0.25"/>
  <cols>
    <col min="1" max="2" width="8.88671875" style="488"/>
    <col min="3" max="3" width="2.44140625" style="488" customWidth="1"/>
    <col min="4" max="4" width="19.109375" style="488" customWidth="1"/>
    <col min="5" max="5" width="8.88671875" style="488"/>
    <col min="6" max="6" width="8.44140625" style="488" customWidth="1"/>
    <col min="7" max="16384" width="8.88671875" style="488"/>
  </cols>
  <sheetData>
    <row r="1" spans="1:6" s="275" customFormat="1" ht="18" x14ac:dyDescent="0.25">
      <c r="A1" s="578" t="s">
        <v>1066</v>
      </c>
      <c r="B1" s="578"/>
      <c r="C1" s="578"/>
      <c r="D1" s="578"/>
      <c r="E1" s="578"/>
      <c r="F1" s="578"/>
    </row>
    <row r="2" spans="1:6" s="485" customFormat="1" ht="18" customHeight="1" x14ac:dyDescent="0.25">
      <c r="A2" s="173" t="s">
        <v>580</v>
      </c>
      <c r="B2" s="579" t="s">
        <v>581</v>
      </c>
      <c r="C2" s="579"/>
      <c r="D2" s="579"/>
      <c r="E2" s="484" t="s">
        <v>583</v>
      </c>
      <c r="F2" s="175" t="s">
        <v>584</v>
      </c>
    </row>
    <row r="3" spans="1:6" ht="39" customHeight="1" x14ac:dyDescent="0.25">
      <c r="A3" s="486" t="s">
        <v>822</v>
      </c>
      <c r="B3" s="580" t="s">
        <v>1083</v>
      </c>
      <c r="C3" s="580"/>
      <c r="D3" s="580"/>
      <c r="E3" s="487" t="s">
        <v>1084</v>
      </c>
      <c r="F3" s="487">
        <v>21</v>
      </c>
    </row>
  </sheetData>
  <mergeCells count="3">
    <mergeCell ref="B3:D3"/>
    <mergeCell ref="A1:F1"/>
    <mergeCell ref="B2:D2"/>
  </mergeCells>
  <pageMargins left="0.7" right="0.7" top="0.75" bottom="0.75" header="0.3" footer="0.3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3"/>
  <sheetViews>
    <sheetView zoomScaleNormal="100" workbookViewId="0">
      <selection activeCell="E3" sqref="E3"/>
    </sheetView>
  </sheetViews>
  <sheetFormatPr defaultRowHeight="13.2" x14ac:dyDescent="0.25"/>
  <cols>
    <col min="1" max="2" width="8.88671875" style="488"/>
    <col min="3" max="3" width="13.5546875" style="488" customWidth="1"/>
    <col min="4" max="4" width="4.109375" style="488" customWidth="1"/>
    <col min="5" max="5" width="26.5546875" style="488" customWidth="1"/>
    <col min="6" max="6" width="8.88671875" style="488"/>
    <col min="7" max="7" width="8.44140625" style="488" customWidth="1"/>
    <col min="8" max="16384" width="8.88671875" style="488"/>
  </cols>
  <sheetData>
    <row r="1" spans="1:7" s="275" customFormat="1" ht="18" x14ac:dyDescent="0.25">
      <c r="A1" s="578" t="s">
        <v>1066</v>
      </c>
      <c r="B1" s="578"/>
      <c r="C1" s="578"/>
      <c r="D1" s="578"/>
      <c r="E1" s="578"/>
      <c r="F1" s="578"/>
      <c r="G1" s="578"/>
    </row>
    <row r="2" spans="1:7" s="485" customFormat="1" ht="18" customHeight="1" x14ac:dyDescent="0.25">
      <c r="A2" s="173" t="s">
        <v>580</v>
      </c>
      <c r="B2" s="579" t="s">
        <v>581</v>
      </c>
      <c r="C2" s="579"/>
      <c r="D2" s="579"/>
      <c r="E2" s="501" t="s">
        <v>582</v>
      </c>
      <c r="F2" s="484" t="s">
        <v>583</v>
      </c>
      <c r="G2" s="175" t="s">
        <v>584</v>
      </c>
    </row>
    <row r="3" spans="1:7" ht="47.4" customHeight="1" x14ac:dyDescent="0.25">
      <c r="A3" s="486" t="s">
        <v>822</v>
      </c>
      <c r="B3" s="580" t="s">
        <v>808</v>
      </c>
      <c r="C3" s="580"/>
      <c r="D3" s="580"/>
      <c r="E3" s="504" t="s">
        <v>1082</v>
      </c>
      <c r="F3" s="487" t="s">
        <v>571</v>
      </c>
      <c r="G3" s="487">
        <v>108.07</v>
      </c>
    </row>
  </sheetData>
  <mergeCells count="3">
    <mergeCell ref="B3:D3"/>
    <mergeCell ref="A1:G1"/>
    <mergeCell ref="B2:D2"/>
  </mergeCells>
  <pageMargins left="0.7" right="0.7" top="0.75" bottom="0.75" header="0.3" footer="0.3"/>
  <pageSetup paperSize="9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33"/>
  <sheetViews>
    <sheetView topLeftCell="A13" zoomScaleNormal="100" workbookViewId="0">
      <selection activeCell="A8" sqref="A8:G33"/>
    </sheetView>
  </sheetViews>
  <sheetFormatPr defaultRowHeight="13.2" x14ac:dyDescent="0.25"/>
  <cols>
    <col min="1" max="1" width="8" style="488" bestFit="1" customWidth="1"/>
    <col min="2" max="2" width="8.88671875" style="488"/>
    <col min="3" max="3" width="7" style="488" bestFit="1" customWidth="1"/>
    <col min="4" max="4" width="4.5546875" style="488" customWidth="1"/>
    <col min="5" max="5" width="5.21875" style="488" bestFit="1" customWidth="1"/>
    <col min="6" max="6" width="8.88671875" style="488"/>
    <col min="7" max="7" width="8.88671875" style="488" customWidth="1"/>
    <col min="8" max="8" width="9.77734375" style="488" bestFit="1" customWidth="1"/>
    <col min="9" max="9" width="8.77734375" style="488" bestFit="1" customWidth="1"/>
    <col min="10" max="16384" width="8.88671875" style="488"/>
  </cols>
  <sheetData>
    <row r="1" spans="1:9" s="275" customFormat="1" ht="18" x14ac:dyDescent="0.25">
      <c r="A1" s="578" t="s">
        <v>1066</v>
      </c>
      <c r="B1" s="578"/>
      <c r="C1" s="578"/>
      <c r="D1" s="578"/>
      <c r="E1" s="578"/>
      <c r="F1" s="578"/>
      <c r="G1" s="578"/>
      <c r="H1" s="578"/>
      <c r="I1" s="578"/>
    </row>
    <row r="2" spans="1:9" s="485" customFormat="1" ht="18" customHeight="1" x14ac:dyDescent="0.25">
      <c r="A2" s="173" t="s">
        <v>580</v>
      </c>
      <c r="B2" s="579" t="s">
        <v>581</v>
      </c>
      <c r="C2" s="579"/>
      <c r="D2" s="579"/>
      <c r="E2" s="579"/>
      <c r="F2" s="579"/>
      <c r="G2" s="579"/>
      <c r="H2" s="484" t="s">
        <v>583</v>
      </c>
      <c r="I2" s="175" t="s">
        <v>584</v>
      </c>
    </row>
    <row r="3" spans="1:9" ht="51" customHeight="1" x14ac:dyDescent="0.25">
      <c r="A3" s="486" t="s">
        <v>822</v>
      </c>
      <c r="B3" s="580" t="s">
        <v>1078</v>
      </c>
      <c r="C3" s="580"/>
      <c r="D3" s="580"/>
      <c r="E3" s="580"/>
      <c r="F3" s="580"/>
      <c r="G3" s="580"/>
      <c r="H3" s="487" t="s">
        <v>571</v>
      </c>
      <c r="I3" s="487">
        <f>B33</f>
        <v>1612.4599999999998</v>
      </c>
    </row>
    <row r="4" spans="1:9" ht="51" customHeight="1" x14ac:dyDescent="0.25">
      <c r="A4" s="486" t="s">
        <v>823</v>
      </c>
      <c r="B4" s="580" t="s">
        <v>1079</v>
      </c>
      <c r="C4" s="580"/>
      <c r="D4" s="580"/>
      <c r="E4" s="580"/>
      <c r="F4" s="580"/>
      <c r="G4" s="580"/>
      <c r="H4" s="487" t="s">
        <v>571</v>
      </c>
      <c r="I4" s="487">
        <f>C33</f>
        <v>964.46999999999991</v>
      </c>
    </row>
    <row r="5" spans="1:9" ht="39.6" customHeight="1" x14ac:dyDescent="0.25">
      <c r="A5" s="486" t="s">
        <v>824</v>
      </c>
      <c r="B5" s="580" t="s">
        <v>1080</v>
      </c>
      <c r="C5" s="580"/>
      <c r="D5" s="580"/>
      <c r="E5" s="580"/>
      <c r="F5" s="580"/>
      <c r="G5" s="580"/>
      <c r="H5" s="487" t="s">
        <v>571</v>
      </c>
      <c r="I5" s="487">
        <f>F26</f>
        <v>57.339999999999996</v>
      </c>
    </row>
    <row r="6" spans="1:9" ht="39.6" customHeight="1" x14ac:dyDescent="0.25">
      <c r="A6" s="486" t="s">
        <v>897</v>
      </c>
      <c r="B6" s="580" t="s">
        <v>1081</v>
      </c>
      <c r="C6" s="580"/>
      <c r="D6" s="580"/>
      <c r="E6" s="580"/>
      <c r="F6" s="580"/>
      <c r="G6" s="580"/>
      <c r="H6" s="487" t="s">
        <v>571</v>
      </c>
      <c r="I6" s="487">
        <f>G26</f>
        <v>57.339999999999996</v>
      </c>
    </row>
    <row r="7" spans="1:9" x14ac:dyDescent="0.25">
      <c r="A7" s="581"/>
      <c r="B7" s="581"/>
      <c r="C7" s="581"/>
      <c r="D7" s="581"/>
      <c r="E7" s="581"/>
      <c r="F7" s="581"/>
      <c r="G7" s="581"/>
      <c r="H7" s="581"/>
      <c r="I7" s="581"/>
    </row>
    <row r="8" spans="1:9" x14ac:dyDescent="0.25">
      <c r="A8" s="620" t="s">
        <v>1094</v>
      </c>
      <c r="B8" s="620"/>
      <c r="C8" s="620"/>
      <c r="D8" s="582"/>
      <c r="E8" s="620" t="s">
        <v>1095</v>
      </c>
      <c r="F8" s="620"/>
      <c r="G8" s="620"/>
      <c r="H8" s="582"/>
      <c r="I8" s="582"/>
    </row>
    <row r="9" spans="1:9" x14ac:dyDescent="0.25">
      <c r="A9" s="489" t="s">
        <v>652</v>
      </c>
      <c r="B9" s="490" t="s">
        <v>584</v>
      </c>
      <c r="C9" s="490" t="s">
        <v>584</v>
      </c>
      <c r="D9" s="582"/>
      <c r="E9" s="489" t="s">
        <v>652</v>
      </c>
      <c r="F9" s="490" t="s">
        <v>584</v>
      </c>
      <c r="G9" s="490" t="s">
        <v>584</v>
      </c>
      <c r="H9" s="582"/>
      <c r="I9" s="582"/>
    </row>
    <row r="10" spans="1:9" x14ac:dyDescent="0.25">
      <c r="A10" s="491" t="s">
        <v>488</v>
      </c>
      <c r="B10" s="492">
        <v>4.59</v>
      </c>
      <c r="C10" s="492">
        <v>4.59</v>
      </c>
      <c r="D10" s="582"/>
      <c r="E10" s="491" t="s">
        <v>488</v>
      </c>
      <c r="F10" s="492">
        <v>5.0999999999999996</v>
      </c>
      <c r="G10" s="492">
        <v>5.0999999999999996</v>
      </c>
      <c r="H10" s="582"/>
      <c r="I10" s="582"/>
    </row>
    <row r="11" spans="1:9" x14ac:dyDescent="0.25">
      <c r="A11" s="491" t="s">
        <v>490</v>
      </c>
      <c r="B11" s="492">
        <v>5.0999999999999996</v>
      </c>
      <c r="C11" s="492">
        <v>5.0999999999999996</v>
      </c>
      <c r="D11" s="582"/>
      <c r="E11" s="491"/>
      <c r="F11" s="492"/>
      <c r="G11" s="492"/>
      <c r="H11" s="582"/>
      <c r="I11" s="582"/>
    </row>
    <row r="12" spans="1:9" x14ac:dyDescent="0.25">
      <c r="A12" s="491" t="s">
        <v>491</v>
      </c>
      <c r="B12" s="492">
        <v>1.27</v>
      </c>
      <c r="C12" s="492">
        <v>9.9600000000000009</v>
      </c>
      <c r="D12" s="582"/>
      <c r="E12" s="491" t="s">
        <v>425</v>
      </c>
      <c r="F12" s="492">
        <v>4.22</v>
      </c>
      <c r="G12" s="492">
        <v>4.22</v>
      </c>
      <c r="H12" s="582"/>
      <c r="I12" s="582"/>
    </row>
    <row r="13" spans="1:9" x14ac:dyDescent="0.25">
      <c r="A13" s="491" t="s">
        <v>542</v>
      </c>
      <c r="B13" s="492">
        <v>85.82</v>
      </c>
      <c r="C13" s="492">
        <v>1.45</v>
      </c>
      <c r="D13" s="582"/>
      <c r="E13" s="491" t="s">
        <v>426</v>
      </c>
      <c r="F13" s="492">
        <v>5.78</v>
      </c>
      <c r="G13" s="492">
        <v>5.78</v>
      </c>
      <c r="H13" s="582"/>
      <c r="I13" s="582"/>
    </row>
    <row r="14" spans="1:9" x14ac:dyDescent="0.25">
      <c r="A14" s="491" t="s">
        <v>546</v>
      </c>
      <c r="B14" s="492">
        <v>73.78</v>
      </c>
      <c r="C14" s="492">
        <v>3.27</v>
      </c>
      <c r="D14" s="582"/>
      <c r="E14" s="491" t="s">
        <v>427</v>
      </c>
      <c r="F14" s="492">
        <v>1.56</v>
      </c>
      <c r="G14" s="492">
        <v>1.56</v>
      </c>
      <c r="H14" s="582"/>
      <c r="I14" s="582"/>
    </row>
    <row r="15" spans="1:9" x14ac:dyDescent="0.25">
      <c r="A15" s="491" t="s">
        <v>552</v>
      </c>
      <c r="B15" s="492">
        <v>69.2</v>
      </c>
      <c r="C15" s="492">
        <v>4.8899999999999997</v>
      </c>
      <c r="D15" s="582"/>
      <c r="E15" s="491" t="s">
        <v>428</v>
      </c>
      <c r="F15" s="492">
        <v>4.22</v>
      </c>
      <c r="G15" s="492">
        <v>4.22</v>
      </c>
      <c r="H15" s="582"/>
      <c r="I15" s="582"/>
    </row>
    <row r="16" spans="1:9" x14ac:dyDescent="0.25">
      <c r="A16" s="491" t="s">
        <v>425</v>
      </c>
      <c r="B16" s="492">
        <v>80.53</v>
      </c>
      <c r="C16" s="492">
        <v>71.56</v>
      </c>
      <c r="D16" s="582"/>
      <c r="E16" s="491" t="s">
        <v>429</v>
      </c>
      <c r="F16" s="492">
        <v>3.24</v>
      </c>
      <c r="G16" s="492">
        <v>3.24</v>
      </c>
      <c r="H16" s="582"/>
      <c r="I16" s="582"/>
    </row>
    <row r="17" spans="1:9" x14ac:dyDescent="0.25">
      <c r="A17" s="491" t="s">
        <v>426</v>
      </c>
      <c r="B17" s="492">
        <v>95.12</v>
      </c>
      <c r="C17" s="492">
        <v>80.69</v>
      </c>
      <c r="D17" s="582"/>
      <c r="E17" s="491" t="s">
        <v>430</v>
      </c>
      <c r="F17" s="492">
        <v>4.22</v>
      </c>
      <c r="G17" s="492">
        <v>4.22</v>
      </c>
      <c r="H17" s="582"/>
      <c r="I17" s="582"/>
    </row>
    <row r="18" spans="1:9" x14ac:dyDescent="0.25">
      <c r="A18" s="491" t="s">
        <v>427</v>
      </c>
      <c r="B18" s="492">
        <v>83.67</v>
      </c>
      <c r="C18" s="492">
        <v>73.92</v>
      </c>
      <c r="D18" s="582"/>
      <c r="E18" s="491"/>
      <c r="F18" s="492"/>
      <c r="G18" s="492"/>
      <c r="H18" s="582"/>
      <c r="I18" s="582"/>
    </row>
    <row r="19" spans="1:9" x14ac:dyDescent="0.25">
      <c r="A19" s="491" t="s">
        <v>428</v>
      </c>
      <c r="B19" s="492">
        <v>84.29</v>
      </c>
      <c r="C19" s="492">
        <v>74.150000000000006</v>
      </c>
      <c r="D19" s="582"/>
      <c r="E19" s="491" t="s">
        <v>361</v>
      </c>
      <c r="F19" s="492">
        <v>4.22</v>
      </c>
      <c r="G19" s="492">
        <v>4.22</v>
      </c>
      <c r="H19" s="582"/>
      <c r="I19" s="582"/>
    </row>
    <row r="20" spans="1:9" x14ac:dyDescent="0.25">
      <c r="A20" s="491" t="s">
        <v>429</v>
      </c>
      <c r="B20" s="492">
        <v>76.63</v>
      </c>
      <c r="C20" s="492">
        <v>64.73</v>
      </c>
      <c r="D20" s="582"/>
      <c r="E20" s="491" t="s">
        <v>362</v>
      </c>
      <c r="F20" s="492">
        <v>6.62</v>
      </c>
      <c r="G20" s="492">
        <v>6.62</v>
      </c>
      <c r="H20" s="582"/>
      <c r="I20" s="582"/>
    </row>
    <row r="21" spans="1:9" x14ac:dyDescent="0.25">
      <c r="A21" s="491" t="s">
        <v>430</v>
      </c>
      <c r="B21" s="492">
        <v>79.09</v>
      </c>
      <c r="C21" s="492">
        <v>70.12</v>
      </c>
      <c r="D21" s="582"/>
      <c r="E21" s="491" t="s">
        <v>363</v>
      </c>
      <c r="F21" s="492">
        <v>1.56</v>
      </c>
      <c r="G21" s="492">
        <v>1.56</v>
      </c>
      <c r="H21" s="582"/>
      <c r="I21" s="582"/>
    </row>
    <row r="22" spans="1:9" x14ac:dyDescent="0.25">
      <c r="A22" s="491" t="s">
        <v>463</v>
      </c>
      <c r="B22" s="492">
        <v>84</v>
      </c>
      <c r="C22" s="492">
        <v>3.27</v>
      </c>
      <c r="D22" s="582"/>
      <c r="E22" s="491" t="s">
        <v>364</v>
      </c>
      <c r="F22" s="492">
        <v>3.96</v>
      </c>
      <c r="G22" s="492">
        <v>3.96</v>
      </c>
      <c r="H22" s="582"/>
      <c r="I22" s="582"/>
    </row>
    <row r="23" spans="1:9" x14ac:dyDescent="0.25">
      <c r="A23" s="491" t="s">
        <v>467</v>
      </c>
      <c r="B23" s="492">
        <v>77.400000000000006</v>
      </c>
      <c r="C23" s="492">
        <v>4.8899999999999997</v>
      </c>
      <c r="D23" s="582"/>
      <c r="E23" s="491" t="s">
        <v>365</v>
      </c>
      <c r="F23" s="492">
        <v>4.22</v>
      </c>
      <c r="G23" s="492">
        <v>4.22</v>
      </c>
      <c r="H23" s="582"/>
      <c r="I23" s="582"/>
    </row>
    <row r="24" spans="1:9" x14ac:dyDescent="0.25">
      <c r="A24" s="491" t="s">
        <v>361</v>
      </c>
      <c r="B24" s="492">
        <v>81.849999999999994</v>
      </c>
      <c r="C24" s="492">
        <v>75.8</v>
      </c>
      <c r="D24" s="582"/>
      <c r="E24" s="491" t="s">
        <v>366</v>
      </c>
      <c r="F24" s="492">
        <v>4.2</v>
      </c>
      <c r="G24" s="492">
        <v>4.2</v>
      </c>
      <c r="H24" s="582"/>
      <c r="I24" s="582"/>
    </row>
    <row r="25" spans="1:9" x14ac:dyDescent="0.25">
      <c r="A25" s="491" t="s">
        <v>362</v>
      </c>
      <c r="B25" s="492">
        <v>103.04</v>
      </c>
      <c r="C25" s="492">
        <v>89.78</v>
      </c>
      <c r="D25" s="582"/>
      <c r="E25" s="491" t="s">
        <v>367</v>
      </c>
      <c r="F25" s="492">
        <v>4.22</v>
      </c>
      <c r="G25" s="492">
        <v>4.22</v>
      </c>
      <c r="H25" s="582"/>
      <c r="I25" s="582"/>
    </row>
    <row r="26" spans="1:9" x14ac:dyDescent="0.25">
      <c r="A26" s="491" t="s">
        <v>363</v>
      </c>
      <c r="B26" s="492">
        <v>53.99</v>
      </c>
      <c r="C26" s="492">
        <v>47.94</v>
      </c>
      <c r="D26" s="582"/>
      <c r="E26" s="493" t="s">
        <v>622</v>
      </c>
      <c r="F26" s="492">
        <f>SUM(F10:F25)</f>
        <v>57.339999999999996</v>
      </c>
      <c r="G26" s="492">
        <f>SUM(G10:G25)</f>
        <v>57.339999999999996</v>
      </c>
      <c r="H26" s="582"/>
      <c r="I26" s="582"/>
    </row>
    <row r="27" spans="1:9" x14ac:dyDescent="0.25">
      <c r="A27" s="491" t="s">
        <v>364</v>
      </c>
      <c r="B27" s="492">
        <v>83.7</v>
      </c>
      <c r="C27" s="492">
        <v>71.22</v>
      </c>
      <c r="D27" s="582"/>
      <c r="E27" s="581"/>
      <c r="F27" s="581"/>
      <c r="G27" s="581"/>
      <c r="H27" s="582"/>
      <c r="I27" s="582"/>
    </row>
    <row r="28" spans="1:9" x14ac:dyDescent="0.25">
      <c r="A28" s="491" t="s">
        <v>365</v>
      </c>
      <c r="B28" s="492">
        <v>81.12</v>
      </c>
      <c r="C28" s="492">
        <v>74.88</v>
      </c>
      <c r="D28" s="582"/>
      <c r="E28" s="582"/>
      <c r="F28" s="582"/>
      <c r="G28" s="582"/>
      <c r="H28" s="582"/>
      <c r="I28" s="582"/>
    </row>
    <row r="29" spans="1:9" x14ac:dyDescent="0.25">
      <c r="A29" s="491" t="s">
        <v>366</v>
      </c>
      <c r="B29" s="492">
        <v>70.03</v>
      </c>
      <c r="C29" s="492">
        <v>63.79</v>
      </c>
      <c r="D29" s="582"/>
      <c r="E29" s="582"/>
      <c r="F29" s="582"/>
      <c r="G29" s="582"/>
      <c r="H29" s="582"/>
      <c r="I29" s="582"/>
    </row>
    <row r="30" spans="1:9" x14ac:dyDescent="0.25">
      <c r="A30" s="491" t="s">
        <v>367</v>
      </c>
      <c r="B30" s="492">
        <v>69.28</v>
      </c>
      <c r="C30" s="492">
        <v>60.31</v>
      </c>
      <c r="D30" s="582"/>
      <c r="E30" s="582"/>
      <c r="F30" s="582"/>
      <c r="G30" s="582"/>
      <c r="H30" s="582"/>
      <c r="I30" s="582"/>
    </row>
    <row r="31" spans="1:9" x14ac:dyDescent="0.25">
      <c r="A31" s="491" t="s">
        <v>648</v>
      </c>
      <c r="B31" s="492">
        <v>90.61</v>
      </c>
      <c r="C31" s="492">
        <v>3.27</v>
      </c>
      <c r="D31" s="582"/>
      <c r="E31" s="582"/>
      <c r="F31" s="582"/>
      <c r="G31" s="582"/>
      <c r="H31" s="582"/>
      <c r="I31" s="582"/>
    </row>
    <row r="32" spans="1:9" x14ac:dyDescent="0.25">
      <c r="A32" s="491" t="s">
        <v>649</v>
      </c>
      <c r="B32" s="492">
        <v>78.349999999999994</v>
      </c>
      <c r="C32" s="492">
        <v>4.8899999999999997</v>
      </c>
      <c r="D32" s="582"/>
      <c r="E32" s="582"/>
      <c r="F32" s="582"/>
      <c r="G32" s="582"/>
      <c r="H32" s="582"/>
      <c r="I32" s="582"/>
    </row>
    <row r="33" spans="1:9" x14ac:dyDescent="0.25">
      <c r="A33" s="493" t="s">
        <v>622</v>
      </c>
      <c r="B33" s="492">
        <f>SUM(B10:B32)</f>
        <v>1612.4599999999998</v>
      </c>
      <c r="C33" s="492">
        <f>SUM(C10:C32)</f>
        <v>964.46999999999991</v>
      </c>
      <c r="D33" s="582"/>
      <c r="E33" s="582"/>
      <c r="F33" s="582"/>
      <c r="G33" s="582"/>
      <c r="H33" s="582"/>
      <c r="I33" s="582"/>
    </row>
  </sheetData>
  <mergeCells count="12">
    <mergeCell ref="B3:G3"/>
    <mergeCell ref="B4:G4"/>
    <mergeCell ref="B5:G5"/>
    <mergeCell ref="B6:G6"/>
    <mergeCell ref="A1:I1"/>
    <mergeCell ref="B2:G2"/>
    <mergeCell ref="H8:I33"/>
    <mergeCell ref="E8:G8"/>
    <mergeCell ref="E27:G33"/>
    <mergeCell ref="A7:I7"/>
    <mergeCell ref="A8:C8"/>
    <mergeCell ref="D8:D33"/>
  </mergeCells>
  <pageMargins left="0.7" right="0.7" top="0.75" bottom="0.75" header="0.3" footer="0.3"/>
  <pageSetup paperSize="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28"/>
  <sheetViews>
    <sheetView zoomScale="85" zoomScaleNormal="85" workbookViewId="0">
      <selection activeCell="J3" sqref="J3"/>
    </sheetView>
  </sheetViews>
  <sheetFormatPr defaultRowHeight="13.2" x14ac:dyDescent="0.25"/>
  <cols>
    <col min="1" max="2" width="8.88671875" style="488"/>
    <col min="3" max="3" width="2.44140625" style="488" customWidth="1"/>
    <col min="4" max="5" width="8.88671875" style="488"/>
    <col min="6" max="6" width="3.6640625" style="488" customWidth="1"/>
    <col min="7" max="7" width="8.88671875" style="488"/>
    <col min="8" max="8" width="8.88671875" style="488" customWidth="1"/>
    <col min="9" max="9" width="8.88671875" style="488"/>
    <col min="10" max="10" width="8.44140625" style="488" customWidth="1"/>
    <col min="11" max="16384" width="8.88671875" style="488"/>
  </cols>
  <sheetData>
    <row r="1" spans="1:10" s="275" customFormat="1" ht="18" x14ac:dyDescent="0.25">
      <c r="A1" s="578" t="s">
        <v>1066</v>
      </c>
      <c r="B1" s="578"/>
      <c r="C1" s="578"/>
      <c r="D1" s="578"/>
      <c r="E1" s="578"/>
      <c r="F1" s="578"/>
      <c r="G1" s="578"/>
      <c r="H1" s="578"/>
      <c r="I1" s="578"/>
      <c r="J1" s="578"/>
    </row>
    <row r="2" spans="1:10" s="485" customFormat="1" ht="18" customHeight="1" x14ac:dyDescent="0.25">
      <c r="A2" s="173" t="s">
        <v>580</v>
      </c>
      <c r="B2" s="579" t="s">
        <v>581</v>
      </c>
      <c r="C2" s="579"/>
      <c r="D2" s="579"/>
      <c r="E2" s="579"/>
      <c r="F2" s="579"/>
      <c r="G2" s="579"/>
      <c r="H2" s="579"/>
      <c r="I2" s="484" t="s">
        <v>583</v>
      </c>
      <c r="J2" s="175" t="s">
        <v>584</v>
      </c>
    </row>
    <row r="3" spans="1:10" ht="24.6" customHeight="1" x14ac:dyDescent="0.25">
      <c r="A3" s="486">
        <v>1</v>
      </c>
      <c r="B3" s="580" t="s">
        <v>1074</v>
      </c>
      <c r="C3" s="580"/>
      <c r="D3" s="580"/>
      <c r="E3" s="580"/>
      <c r="F3" s="580"/>
      <c r="G3" s="580"/>
      <c r="H3" s="580"/>
      <c r="I3" s="487" t="s">
        <v>571</v>
      </c>
      <c r="J3" s="487">
        <f>B28</f>
        <v>167.29</v>
      </c>
    </row>
    <row r="4" spans="1:10" ht="40.200000000000003" customHeight="1" x14ac:dyDescent="0.25">
      <c r="A4" s="486">
        <v>2</v>
      </c>
      <c r="B4" s="580" t="s">
        <v>1075</v>
      </c>
      <c r="C4" s="580"/>
      <c r="D4" s="580"/>
      <c r="E4" s="580"/>
      <c r="F4" s="580"/>
      <c r="G4" s="580"/>
      <c r="H4" s="580"/>
      <c r="I4" s="487" t="s">
        <v>571</v>
      </c>
      <c r="J4" s="487">
        <f>E18</f>
        <v>98.309999999999988</v>
      </c>
    </row>
    <row r="5" spans="1:10" ht="41.4" customHeight="1" x14ac:dyDescent="0.25">
      <c r="A5" s="486">
        <v>3</v>
      </c>
      <c r="B5" s="580" t="s">
        <v>1076</v>
      </c>
      <c r="C5" s="580"/>
      <c r="D5" s="580"/>
      <c r="E5" s="580"/>
      <c r="F5" s="580"/>
      <c r="G5" s="580"/>
      <c r="H5" s="580"/>
      <c r="I5" s="487" t="s">
        <v>571</v>
      </c>
      <c r="J5" s="487">
        <f>E23</f>
        <v>1.35</v>
      </c>
    </row>
    <row r="6" spans="1:10" x14ac:dyDescent="0.25">
      <c r="A6" s="486">
        <v>4</v>
      </c>
      <c r="B6" s="580" t="s">
        <v>1077</v>
      </c>
      <c r="C6" s="580"/>
      <c r="D6" s="580"/>
      <c r="E6" s="580"/>
      <c r="F6" s="580"/>
      <c r="G6" s="580"/>
      <c r="H6" s="580"/>
      <c r="I6" s="487" t="s">
        <v>571</v>
      </c>
      <c r="J6" s="487">
        <f>H19</f>
        <v>10.97</v>
      </c>
    </row>
    <row r="7" spans="1:10" ht="13.2" customHeight="1" x14ac:dyDescent="0.25">
      <c r="A7" s="486" t="s">
        <v>898</v>
      </c>
      <c r="B7" s="623" t="s">
        <v>1085</v>
      </c>
      <c r="C7" s="624"/>
      <c r="D7" s="624"/>
      <c r="E7" s="624"/>
      <c r="F7" s="624"/>
      <c r="G7" s="624"/>
      <c r="H7" s="625"/>
      <c r="I7" s="487" t="s">
        <v>571</v>
      </c>
      <c r="J7" s="487">
        <v>277.92</v>
      </c>
    </row>
    <row r="8" spans="1:10" x14ac:dyDescent="0.25">
      <c r="A8" s="581"/>
      <c r="B8" s="581"/>
      <c r="C8" s="581"/>
      <c r="D8" s="581"/>
      <c r="E8" s="581"/>
      <c r="F8" s="581"/>
      <c r="G8" s="581"/>
      <c r="H8" s="581"/>
      <c r="I8" s="581"/>
      <c r="J8" s="581"/>
    </row>
    <row r="9" spans="1:10" x14ac:dyDescent="0.25">
      <c r="A9" s="620" t="s">
        <v>1088</v>
      </c>
      <c r="B9" s="620"/>
      <c r="C9" s="582"/>
      <c r="D9" s="620" t="s">
        <v>1089</v>
      </c>
      <c r="E9" s="620"/>
      <c r="F9" s="582"/>
      <c r="G9" s="620" t="s">
        <v>1091</v>
      </c>
      <c r="H9" s="620"/>
      <c r="I9" s="582"/>
      <c r="J9" s="582"/>
    </row>
    <row r="10" spans="1:10" x14ac:dyDescent="0.25">
      <c r="A10" s="489" t="s">
        <v>652</v>
      </c>
      <c r="B10" s="490" t="s">
        <v>584</v>
      </c>
      <c r="C10" s="582"/>
      <c r="D10" s="489" t="s">
        <v>652</v>
      </c>
      <c r="E10" s="490" t="s">
        <v>584</v>
      </c>
      <c r="F10" s="582"/>
      <c r="G10" s="489" t="s">
        <v>652</v>
      </c>
      <c r="H10" s="490" t="s">
        <v>584</v>
      </c>
      <c r="I10" s="582"/>
      <c r="J10" s="582"/>
    </row>
    <row r="11" spans="1:10" x14ac:dyDescent="0.25">
      <c r="A11" s="491" t="s">
        <v>490</v>
      </c>
      <c r="B11" s="492">
        <v>20.2</v>
      </c>
      <c r="C11" s="582"/>
      <c r="D11" s="491" t="s">
        <v>542</v>
      </c>
      <c r="E11" s="492">
        <v>36.93</v>
      </c>
      <c r="F11" s="582"/>
      <c r="G11" s="491" t="s">
        <v>490</v>
      </c>
      <c r="H11" s="492">
        <v>2.11</v>
      </c>
      <c r="I11" s="582"/>
      <c r="J11" s="582"/>
    </row>
    <row r="12" spans="1:10" x14ac:dyDescent="0.25">
      <c r="A12" s="491" t="s">
        <v>491</v>
      </c>
      <c r="B12" s="492">
        <v>20.2</v>
      </c>
      <c r="C12" s="582"/>
      <c r="D12" s="491"/>
      <c r="E12" s="492"/>
      <c r="F12" s="582"/>
      <c r="G12" s="491" t="s">
        <v>491</v>
      </c>
      <c r="H12" s="492">
        <v>2.83</v>
      </c>
      <c r="I12" s="582"/>
      <c r="J12" s="582"/>
    </row>
    <row r="13" spans="1:10" x14ac:dyDescent="0.25">
      <c r="A13" s="491" t="s">
        <v>542</v>
      </c>
      <c r="B13" s="492">
        <v>8.94</v>
      </c>
      <c r="C13" s="582"/>
      <c r="D13" s="491" t="s">
        <v>428</v>
      </c>
      <c r="E13" s="492">
        <v>34</v>
      </c>
      <c r="F13" s="582"/>
      <c r="G13" s="491" t="s">
        <v>425</v>
      </c>
      <c r="H13" s="492">
        <v>0.63</v>
      </c>
      <c r="I13" s="582"/>
      <c r="J13" s="582"/>
    </row>
    <row r="14" spans="1:10" x14ac:dyDescent="0.25">
      <c r="A14" s="491" t="s">
        <v>546</v>
      </c>
      <c r="B14" s="492">
        <v>8.1999999999999993</v>
      </c>
      <c r="C14" s="582"/>
      <c r="D14" s="491" t="s">
        <v>430</v>
      </c>
      <c r="E14" s="492">
        <v>3.49</v>
      </c>
      <c r="F14" s="582"/>
      <c r="G14" s="491" t="s">
        <v>427</v>
      </c>
      <c r="H14" s="492">
        <v>0.23</v>
      </c>
      <c r="I14" s="582"/>
      <c r="J14" s="582"/>
    </row>
    <row r="15" spans="1:10" x14ac:dyDescent="0.25">
      <c r="A15" s="491" t="s">
        <v>552</v>
      </c>
      <c r="B15" s="492">
        <v>8.1999999999999993</v>
      </c>
      <c r="C15" s="582"/>
      <c r="D15" s="491"/>
      <c r="E15" s="492"/>
      <c r="F15" s="582"/>
      <c r="G15" s="491" t="s">
        <v>428</v>
      </c>
      <c r="H15" s="492">
        <v>2.11</v>
      </c>
      <c r="I15" s="582"/>
      <c r="J15" s="582"/>
    </row>
    <row r="16" spans="1:10" x14ac:dyDescent="0.25">
      <c r="A16" s="491" t="s">
        <v>425</v>
      </c>
      <c r="B16" s="492">
        <v>12.56</v>
      </c>
      <c r="C16" s="582"/>
      <c r="D16" s="491" t="s">
        <v>363</v>
      </c>
      <c r="E16" s="492">
        <v>20.399999999999999</v>
      </c>
      <c r="F16" s="582"/>
      <c r="G16" s="491" t="s">
        <v>429</v>
      </c>
      <c r="H16" s="492">
        <v>0.49</v>
      </c>
      <c r="I16" s="582"/>
      <c r="J16" s="582"/>
    </row>
    <row r="17" spans="1:10" x14ac:dyDescent="0.25">
      <c r="A17" s="491" t="s">
        <v>428</v>
      </c>
      <c r="B17" s="492">
        <v>6.98</v>
      </c>
      <c r="C17" s="582"/>
      <c r="D17" s="491" t="s">
        <v>367</v>
      </c>
      <c r="E17" s="492">
        <v>3.49</v>
      </c>
      <c r="F17" s="582"/>
      <c r="G17" s="491" t="s">
        <v>430</v>
      </c>
      <c r="H17" s="492">
        <v>0.63</v>
      </c>
      <c r="I17" s="582"/>
      <c r="J17" s="582"/>
    </row>
    <row r="18" spans="1:10" x14ac:dyDescent="0.25">
      <c r="A18" s="491" t="s">
        <v>429</v>
      </c>
      <c r="B18" s="492">
        <v>13.96</v>
      </c>
      <c r="C18" s="582"/>
      <c r="D18" s="493" t="s">
        <v>622</v>
      </c>
      <c r="E18" s="492">
        <f>SUM(E11:E17)</f>
        <v>98.309999999999988</v>
      </c>
      <c r="F18" s="582"/>
      <c r="G18" s="491" t="s">
        <v>649</v>
      </c>
      <c r="H18" s="492">
        <v>1.94</v>
      </c>
      <c r="I18" s="582"/>
      <c r="J18" s="582"/>
    </row>
    <row r="19" spans="1:10" x14ac:dyDescent="0.25">
      <c r="A19" s="491" t="s">
        <v>430</v>
      </c>
      <c r="B19" s="492">
        <v>3.49</v>
      </c>
      <c r="C19" s="582"/>
      <c r="D19" s="621"/>
      <c r="E19" s="622"/>
      <c r="F19" s="582"/>
      <c r="G19" s="493" t="s">
        <v>622</v>
      </c>
      <c r="H19" s="492">
        <f t="shared" ref="H19" si="0">SUM(H11:H18)</f>
        <v>10.97</v>
      </c>
      <c r="I19" s="582"/>
      <c r="J19" s="582"/>
    </row>
    <row r="20" spans="1:10" x14ac:dyDescent="0.25">
      <c r="A20" s="491" t="s">
        <v>463</v>
      </c>
      <c r="B20" s="492">
        <v>8.1999999999999993</v>
      </c>
      <c r="C20" s="582"/>
      <c r="D20" s="620" t="s">
        <v>1090</v>
      </c>
      <c r="E20" s="620"/>
      <c r="F20" s="582"/>
      <c r="G20" s="581"/>
      <c r="H20" s="581"/>
      <c r="I20" s="582"/>
      <c r="J20" s="582"/>
    </row>
    <row r="21" spans="1:10" x14ac:dyDescent="0.25">
      <c r="A21" s="491" t="s">
        <v>467</v>
      </c>
      <c r="B21" s="492">
        <v>8.1999999999999993</v>
      </c>
      <c r="C21" s="582"/>
      <c r="D21" s="489" t="s">
        <v>652</v>
      </c>
      <c r="E21" s="490" t="s">
        <v>584</v>
      </c>
      <c r="F21" s="582"/>
      <c r="G21" s="582"/>
      <c r="H21" s="582"/>
      <c r="I21" s="582"/>
      <c r="J21" s="582"/>
    </row>
    <row r="22" spans="1:10" x14ac:dyDescent="0.25">
      <c r="A22" s="491" t="s">
        <v>361</v>
      </c>
      <c r="B22" s="492">
        <v>7.33</v>
      </c>
      <c r="C22" s="582"/>
      <c r="D22" s="491" t="s">
        <v>542</v>
      </c>
      <c r="E22" s="492">
        <v>1.35</v>
      </c>
      <c r="F22" s="582"/>
      <c r="G22" s="582"/>
      <c r="H22" s="582"/>
      <c r="I22" s="582"/>
      <c r="J22" s="582"/>
    </row>
    <row r="23" spans="1:10" x14ac:dyDescent="0.25">
      <c r="A23" s="491" t="s">
        <v>365</v>
      </c>
      <c r="B23" s="492">
        <v>6.98</v>
      </c>
      <c r="C23" s="582"/>
      <c r="D23" s="493" t="s">
        <v>622</v>
      </c>
      <c r="E23" s="492">
        <f>SUM(E22:E22)</f>
        <v>1.35</v>
      </c>
      <c r="F23" s="582"/>
      <c r="G23" s="582"/>
      <c r="H23" s="582"/>
      <c r="I23" s="582"/>
      <c r="J23" s="582"/>
    </row>
    <row r="24" spans="1:10" x14ac:dyDescent="0.25">
      <c r="A24" s="491" t="s">
        <v>366</v>
      </c>
      <c r="B24" s="492">
        <v>13.96</v>
      </c>
      <c r="C24" s="582"/>
      <c r="D24" s="581"/>
      <c r="E24" s="581"/>
      <c r="F24" s="582"/>
      <c r="G24" s="582"/>
      <c r="H24" s="582"/>
      <c r="I24" s="582"/>
      <c r="J24" s="582"/>
    </row>
    <row r="25" spans="1:10" x14ac:dyDescent="0.25">
      <c r="A25" s="491" t="s">
        <v>367</v>
      </c>
      <c r="B25" s="492">
        <v>3.49</v>
      </c>
      <c r="C25" s="582"/>
      <c r="D25" s="582"/>
      <c r="E25" s="582"/>
      <c r="F25" s="582"/>
      <c r="G25" s="582"/>
      <c r="H25" s="582"/>
      <c r="I25" s="582"/>
      <c r="J25" s="582"/>
    </row>
    <row r="26" spans="1:10" x14ac:dyDescent="0.25">
      <c r="A26" s="491" t="s">
        <v>648</v>
      </c>
      <c r="B26" s="492">
        <v>8.1999999999999993</v>
      </c>
      <c r="C26" s="582"/>
      <c r="D26" s="582"/>
      <c r="E26" s="582"/>
      <c r="F26" s="582"/>
      <c r="G26" s="582"/>
      <c r="H26" s="582"/>
      <c r="I26" s="582"/>
      <c r="J26" s="582"/>
    </row>
    <row r="27" spans="1:10" x14ac:dyDescent="0.25">
      <c r="A27" s="491" t="s">
        <v>649</v>
      </c>
      <c r="B27" s="492">
        <v>8.1999999999999993</v>
      </c>
      <c r="C27" s="582"/>
      <c r="D27" s="582"/>
      <c r="E27" s="582"/>
      <c r="F27" s="582"/>
      <c r="G27" s="582"/>
      <c r="H27" s="582"/>
      <c r="I27" s="582"/>
      <c r="J27" s="582"/>
    </row>
    <row r="28" spans="1:10" x14ac:dyDescent="0.25">
      <c r="A28" s="493" t="s">
        <v>622</v>
      </c>
      <c r="B28" s="492">
        <f>SUM(B11:B27)</f>
        <v>167.29</v>
      </c>
      <c r="C28" s="582"/>
      <c r="D28" s="582"/>
      <c r="E28" s="582"/>
      <c r="F28" s="582"/>
      <c r="G28" s="582"/>
      <c r="H28" s="582"/>
      <c r="I28" s="582"/>
      <c r="J28" s="582"/>
    </row>
  </sheetData>
  <mergeCells count="18">
    <mergeCell ref="B7:H7"/>
    <mergeCell ref="A1:J1"/>
    <mergeCell ref="B2:H2"/>
    <mergeCell ref="B3:H3"/>
    <mergeCell ref="B4:H4"/>
    <mergeCell ref="B5:H5"/>
    <mergeCell ref="B6:H6"/>
    <mergeCell ref="A8:J8"/>
    <mergeCell ref="A9:B9"/>
    <mergeCell ref="C9:C28"/>
    <mergeCell ref="D9:E9"/>
    <mergeCell ref="F9:F28"/>
    <mergeCell ref="G9:H9"/>
    <mergeCell ref="G20:H28"/>
    <mergeCell ref="D24:E28"/>
    <mergeCell ref="I9:J28"/>
    <mergeCell ref="D19:E19"/>
    <mergeCell ref="D20:E20"/>
  </mergeCells>
  <pageMargins left="0.7" right="0.7" top="0.75" bottom="0.75" header="0.3" footer="0.3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45"/>
  <sheetViews>
    <sheetView zoomScaleNormal="100" workbookViewId="0">
      <selection activeCell="B11" sqref="B11:L11"/>
    </sheetView>
  </sheetViews>
  <sheetFormatPr defaultRowHeight="13.2" x14ac:dyDescent="0.25"/>
  <cols>
    <col min="1" max="2" width="8.88671875" style="488"/>
    <col min="3" max="3" width="2.44140625" style="488" customWidth="1"/>
    <col min="4" max="5" width="8.88671875" style="488"/>
    <col min="6" max="6" width="3.6640625" style="488" customWidth="1"/>
    <col min="7" max="7" width="8.88671875" style="488"/>
    <col min="8" max="8" width="8.88671875" style="488" customWidth="1"/>
    <col min="9" max="9" width="5.44140625" style="488" customWidth="1"/>
    <col min="10" max="10" width="8.88671875" style="488"/>
    <col min="11" max="11" width="3.21875" style="488" customWidth="1"/>
    <col min="12" max="13" width="8.88671875" style="488"/>
    <col min="14" max="14" width="8.44140625" style="488" customWidth="1"/>
    <col min="15" max="16384" width="8.88671875" style="488"/>
  </cols>
  <sheetData>
    <row r="1" spans="1:15" s="275" customFormat="1" ht="18" x14ac:dyDescent="0.25">
      <c r="A1" s="578" t="s">
        <v>1066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</row>
    <row r="2" spans="1:15" s="485" customFormat="1" ht="18" customHeight="1" x14ac:dyDescent="0.25">
      <c r="A2" s="173" t="s">
        <v>580</v>
      </c>
      <c r="B2" s="579" t="s">
        <v>581</v>
      </c>
      <c r="C2" s="579"/>
      <c r="D2" s="579"/>
      <c r="E2" s="579"/>
      <c r="F2" s="579"/>
      <c r="G2" s="579"/>
      <c r="H2" s="579"/>
      <c r="I2" s="579"/>
      <c r="J2" s="579"/>
      <c r="K2" s="579"/>
      <c r="L2" s="579"/>
      <c r="M2" s="484" t="s">
        <v>583</v>
      </c>
      <c r="N2" s="175" t="s">
        <v>584</v>
      </c>
    </row>
    <row r="3" spans="1:15" ht="27.6" customHeight="1" x14ac:dyDescent="0.25">
      <c r="A3" s="486">
        <v>1</v>
      </c>
      <c r="B3" s="580" t="s">
        <v>1074</v>
      </c>
      <c r="C3" s="580"/>
      <c r="D3" s="580"/>
      <c r="E3" s="580"/>
      <c r="F3" s="580"/>
      <c r="G3" s="580"/>
      <c r="H3" s="580"/>
      <c r="I3" s="580"/>
      <c r="J3" s="580"/>
      <c r="K3" s="580"/>
      <c r="L3" s="580"/>
      <c r="M3" s="487" t="s">
        <v>571</v>
      </c>
      <c r="N3" s="487">
        <f>B38</f>
        <v>167.29</v>
      </c>
      <c r="O3" s="488">
        <v>167.29</v>
      </c>
    </row>
    <row r="4" spans="1:15" ht="25.2" customHeight="1" x14ac:dyDescent="0.25">
      <c r="A4" s="486">
        <v>2</v>
      </c>
      <c r="B4" s="580" t="s">
        <v>1075</v>
      </c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487" t="s">
        <v>571</v>
      </c>
      <c r="N4" s="487">
        <f>E26</f>
        <v>98.309999999999988</v>
      </c>
      <c r="O4" s="488">
        <v>98.31</v>
      </c>
    </row>
    <row r="5" spans="1:15" ht="25.2" customHeight="1" x14ac:dyDescent="0.25">
      <c r="A5" s="486">
        <v>3</v>
      </c>
      <c r="B5" s="580" t="s">
        <v>1076</v>
      </c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487" t="s">
        <v>571</v>
      </c>
      <c r="N5" s="487">
        <f>E31</f>
        <v>1.35</v>
      </c>
      <c r="O5" s="488">
        <v>1.35</v>
      </c>
    </row>
    <row r="6" spans="1:15" x14ac:dyDescent="0.25">
      <c r="A6" s="486">
        <v>4</v>
      </c>
      <c r="B6" s="580" t="s">
        <v>1077</v>
      </c>
      <c r="C6" s="580"/>
      <c r="D6" s="580"/>
      <c r="E6" s="580"/>
      <c r="F6" s="580"/>
      <c r="G6" s="580"/>
      <c r="H6" s="580"/>
      <c r="I6" s="580"/>
      <c r="J6" s="580"/>
      <c r="K6" s="580"/>
      <c r="L6" s="580"/>
      <c r="M6" s="487" t="s">
        <v>571</v>
      </c>
      <c r="N6" s="487">
        <f>E43</f>
        <v>10.97</v>
      </c>
      <c r="O6" s="488">
        <v>10.97</v>
      </c>
    </row>
    <row r="7" spans="1:15" ht="25.2" customHeight="1" x14ac:dyDescent="0.25">
      <c r="A7" s="486">
        <v>5</v>
      </c>
      <c r="B7" s="580" t="s">
        <v>1078</v>
      </c>
      <c r="C7" s="580"/>
      <c r="D7" s="580"/>
      <c r="E7" s="580"/>
      <c r="F7" s="580"/>
      <c r="G7" s="580"/>
      <c r="H7" s="580"/>
      <c r="I7" s="580"/>
      <c r="J7" s="580"/>
      <c r="K7" s="580"/>
      <c r="L7" s="580"/>
      <c r="M7" s="487" t="s">
        <v>571</v>
      </c>
      <c r="N7" s="487">
        <f>H42</f>
        <v>1612.4599999999998</v>
      </c>
      <c r="O7" s="488">
        <v>1612.46</v>
      </c>
    </row>
    <row r="8" spans="1:15" ht="25.2" customHeight="1" x14ac:dyDescent="0.25">
      <c r="A8" s="486">
        <v>6</v>
      </c>
      <c r="B8" s="580" t="s">
        <v>1079</v>
      </c>
      <c r="C8" s="580"/>
      <c r="D8" s="580"/>
      <c r="E8" s="580"/>
      <c r="F8" s="580"/>
      <c r="G8" s="580"/>
      <c r="H8" s="580"/>
      <c r="I8" s="580"/>
      <c r="J8" s="580"/>
      <c r="K8" s="580"/>
      <c r="L8" s="580"/>
      <c r="M8" s="487" t="s">
        <v>571</v>
      </c>
      <c r="N8" s="487">
        <f>I42</f>
        <v>964.46999999999991</v>
      </c>
      <c r="O8" s="488">
        <v>964.47</v>
      </c>
    </row>
    <row r="9" spans="1:15" ht="25.2" customHeight="1" x14ac:dyDescent="0.25">
      <c r="A9" s="486">
        <v>7</v>
      </c>
      <c r="B9" s="580" t="s">
        <v>1080</v>
      </c>
      <c r="C9" s="580"/>
      <c r="D9" s="580"/>
      <c r="E9" s="580"/>
      <c r="F9" s="580"/>
      <c r="G9" s="580"/>
      <c r="H9" s="580"/>
      <c r="I9" s="580"/>
      <c r="J9" s="580"/>
      <c r="K9" s="580"/>
      <c r="L9" s="580"/>
      <c r="M9" s="487" t="s">
        <v>571</v>
      </c>
      <c r="N9" s="487">
        <f>M35</f>
        <v>57.339999999999996</v>
      </c>
      <c r="O9" s="488">
        <v>57.34</v>
      </c>
    </row>
    <row r="10" spans="1:15" ht="25.2" customHeight="1" x14ac:dyDescent="0.25">
      <c r="A10" s="486">
        <v>8</v>
      </c>
      <c r="B10" s="580" t="s">
        <v>1081</v>
      </c>
      <c r="C10" s="580"/>
      <c r="D10" s="580"/>
      <c r="E10" s="580"/>
      <c r="F10" s="580"/>
      <c r="G10" s="580"/>
      <c r="H10" s="580"/>
      <c r="I10" s="580"/>
      <c r="J10" s="580"/>
      <c r="K10" s="580"/>
      <c r="L10" s="580"/>
      <c r="M10" s="487" t="s">
        <v>571</v>
      </c>
      <c r="N10" s="487">
        <f>N35</f>
        <v>57.339999999999996</v>
      </c>
      <c r="O10" s="488">
        <v>57.34</v>
      </c>
    </row>
    <row r="11" spans="1:15" x14ac:dyDescent="0.25">
      <c r="A11" s="486">
        <v>9</v>
      </c>
      <c r="B11" s="580" t="s">
        <v>1082</v>
      </c>
      <c r="C11" s="580"/>
      <c r="D11" s="580"/>
      <c r="E11" s="580"/>
      <c r="F11" s="580"/>
      <c r="G11" s="580"/>
      <c r="H11" s="580"/>
      <c r="I11" s="580"/>
      <c r="J11" s="580"/>
      <c r="K11" s="580"/>
      <c r="L11" s="580"/>
      <c r="M11" s="487" t="s">
        <v>571</v>
      </c>
      <c r="N11" s="487">
        <f>J42</f>
        <v>108.06999999999998</v>
      </c>
      <c r="O11" s="488">
        <v>108.07</v>
      </c>
    </row>
    <row r="12" spans="1:15" x14ac:dyDescent="0.25">
      <c r="A12" s="486">
        <v>10</v>
      </c>
      <c r="B12" s="580" t="s">
        <v>1083</v>
      </c>
      <c r="C12" s="580"/>
      <c r="D12" s="580"/>
      <c r="E12" s="580"/>
      <c r="F12" s="580"/>
      <c r="G12" s="580"/>
      <c r="H12" s="580"/>
      <c r="I12" s="580"/>
      <c r="J12" s="580"/>
      <c r="K12" s="580"/>
      <c r="L12" s="580"/>
      <c r="M12" s="487" t="s">
        <v>1084</v>
      </c>
      <c r="N12" s="487"/>
      <c r="O12" s="488">
        <v>21</v>
      </c>
    </row>
    <row r="13" spans="1:15" x14ac:dyDescent="0.25">
      <c r="A13" s="486">
        <v>11</v>
      </c>
      <c r="B13" s="580" t="s">
        <v>1085</v>
      </c>
      <c r="C13" s="580"/>
      <c r="D13" s="580"/>
      <c r="E13" s="580"/>
      <c r="F13" s="580"/>
      <c r="G13" s="580"/>
      <c r="H13" s="580"/>
      <c r="I13" s="580"/>
      <c r="J13" s="580"/>
      <c r="K13" s="580"/>
      <c r="L13" s="580"/>
      <c r="M13" s="487" t="s">
        <v>571</v>
      </c>
      <c r="N13" s="487"/>
      <c r="O13" s="488">
        <v>277.92</v>
      </c>
    </row>
    <row r="14" spans="1:15" x14ac:dyDescent="0.25">
      <c r="A14" s="486">
        <v>12</v>
      </c>
      <c r="B14" s="580" t="s">
        <v>1086</v>
      </c>
      <c r="C14" s="580"/>
      <c r="D14" s="580"/>
      <c r="E14" s="580"/>
      <c r="F14" s="580"/>
      <c r="G14" s="580"/>
      <c r="H14" s="580"/>
      <c r="I14" s="580"/>
      <c r="J14" s="580"/>
      <c r="K14" s="580"/>
      <c r="L14" s="580"/>
      <c r="M14" s="487" t="s">
        <v>1084</v>
      </c>
      <c r="N14" s="487"/>
      <c r="O14" s="488">
        <v>21</v>
      </c>
    </row>
    <row r="15" spans="1:15" ht="25.2" customHeight="1" x14ac:dyDescent="0.25">
      <c r="A15" s="486">
        <v>13</v>
      </c>
      <c r="B15" s="580" t="s">
        <v>1087</v>
      </c>
      <c r="C15" s="580"/>
      <c r="D15" s="580"/>
      <c r="E15" s="580"/>
      <c r="F15" s="580"/>
      <c r="G15" s="580"/>
      <c r="H15" s="580"/>
      <c r="I15" s="580"/>
      <c r="J15" s="580"/>
      <c r="K15" s="580"/>
      <c r="L15" s="580"/>
      <c r="M15" s="487" t="s">
        <v>966</v>
      </c>
      <c r="N15" s="487"/>
      <c r="O15" s="488">
        <v>3</v>
      </c>
    </row>
    <row r="16" spans="1:15" x14ac:dyDescent="0.25">
      <c r="A16" s="581"/>
      <c r="B16" s="581"/>
      <c r="C16" s="581"/>
      <c r="D16" s="581"/>
      <c r="E16" s="581"/>
      <c r="F16" s="581"/>
      <c r="G16" s="581"/>
      <c r="H16" s="581"/>
      <c r="I16" s="581"/>
      <c r="J16" s="581"/>
      <c r="K16" s="581"/>
      <c r="L16" s="581"/>
      <c r="M16" s="581"/>
      <c r="N16" s="581"/>
    </row>
    <row r="17" spans="1:14" x14ac:dyDescent="0.25">
      <c r="A17" s="620" t="s">
        <v>1088</v>
      </c>
      <c r="B17" s="620"/>
      <c r="C17" s="582"/>
      <c r="D17" s="620" t="s">
        <v>1089</v>
      </c>
      <c r="E17" s="620"/>
      <c r="F17" s="582"/>
      <c r="G17" s="620" t="s">
        <v>1092</v>
      </c>
      <c r="H17" s="620"/>
      <c r="I17" s="620"/>
      <c r="J17" s="620"/>
      <c r="K17" s="582"/>
      <c r="L17" s="620" t="s">
        <v>1093</v>
      </c>
      <c r="M17" s="620"/>
      <c r="N17" s="620"/>
    </row>
    <row r="18" spans="1:14" x14ac:dyDescent="0.25">
      <c r="A18" s="489" t="s">
        <v>652</v>
      </c>
      <c r="B18" s="490" t="s">
        <v>584</v>
      </c>
      <c r="C18" s="582"/>
      <c r="D18" s="489" t="s">
        <v>652</v>
      </c>
      <c r="E18" s="490" t="s">
        <v>584</v>
      </c>
      <c r="F18" s="582"/>
      <c r="G18" s="489" t="s">
        <v>652</v>
      </c>
      <c r="H18" s="490" t="s">
        <v>584</v>
      </c>
      <c r="I18" s="490" t="s">
        <v>584</v>
      </c>
      <c r="J18" s="490" t="s">
        <v>584</v>
      </c>
      <c r="K18" s="582"/>
      <c r="L18" s="489" t="s">
        <v>652</v>
      </c>
      <c r="M18" s="490" t="s">
        <v>584</v>
      </c>
      <c r="N18" s="490" t="s">
        <v>584</v>
      </c>
    </row>
    <row r="19" spans="1:14" x14ac:dyDescent="0.25">
      <c r="A19" s="491" t="s">
        <v>490</v>
      </c>
      <c r="B19" s="492">
        <v>20.2</v>
      </c>
      <c r="C19" s="582"/>
      <c r="D19" s="491" t="s">
        <v>542</v>
      </c>
      <c r="E19" s="492">
        <v>36.93</v>
      </c>
      <c r="F19" s="582"/>
      <c r="G19" s="491" t="s">
        <v>488</v>
      </c>
      <c r="H19" s="492">
        <v>4.59</v>
      </c>
      <c r="I19" s="492">
        <v>4.59</v>
      </c>
      <c r="J19" s="492">
        <v>4.59</v>
      </c>
      <c r="K19" s="582"/>
      <c r="L19" s="491" t="s">
        <v>488</v>
      </c>
      <c r="M19" s="492">
        <v>5.0999999999999996</v>
      </c>
      <c r="N19" s="492">
        <v>5.0999999999999996</v>
      </c>
    </row>
    <row r="20" spans="1:14" x14ac:dyDescent="0.25">
      <c r="A20" s="491" t="s">
        <v>491</v>
      </c>
      <c r="B20" s="492">
        <v>20.2</v>
      </c>
      <c r="C20" s="582"/>
      <c r="D20" s="491"/>
      <c r="E20" s="492"/>
      <c r="F20" s="582"/>
      <c r="G20" s="491" t="s">
        <v>490</v>
      </c>
      <c r="H20" s="492">
        <v>5.0999999999999996</v>
      </c>
      <c r="I20" s="492">
        <v>5.0999999999999996</v>
      </c>
      <c r="J20" s="492">
        <v>5.0999999999999996</v>
      </c>
      <c r="K20" s="582"/>
      <c r="L20" s="491"/>
      <c r="M20" s="492"/>
      <c r="N20" s="492"/>
    </row>
    <row r="21" spans="1:14" x14ac:dyDescent="0.25">
      <c r="A21" s="491" t="s">
        <v>542</v>
      </c>
      <c r="B21" s="492">
        <v>8.94</v>
      </c>
      <c r="C21" s="582"/>
      <c r="D21" s="491" t="s">
        <v>428</v>
      </c>
      <c r="E21" s="492">
        <v>34</v>
      </c>
      <c r="F21" s="582"/>
      <c r="G21" s="491" t="s">
        <v>491</v>
      </c>
      <c r="H21" s="492">
        <v>1.27</v>
      </c>
      <c r="I21" s="492">
        <v>9.9600000000000009</v>
      </c>
      <c r="J21" s="492">
        <v>9.9600000000000009</v>
      </c>
      <c r="K21" s="582"/>
      <c r="L21" s="491" t="s">
        <v>425</v>
      </c>
      <c r="M21" s="492">
        <v>4.22</v>
      </c>
      <c r="N21" s="492">
        <v>4.22</v>
      </c>
    </row>
    <row r="22" spans="1:14" x14ac:dyDescent="0.25">
      <c r="A22" s="491" t="s">
        <v>546</v>
      </c>
      <c r="B22" s="492">
        <v>8.1999999999999993</v>
      </c>
      <c r="C22" s="582"/>
      <c r="D22" s="491" t="s">
        <v>430</v>
      </c>
      <c r="E22" s="492">
        <v>3.49</v>
      </c>
      <c r="F22" s="582"/>
      <c r="G22" s="491" t="s">
        <v>542</v>
      </c>
      <c r="H22" s="492">
        <v>85.82</v>
      </c>
      <c r="I22" s="492">
        <v>1.45</v>
      </c>
      <c r="J22" s="492">
        <v>1.45</v>
      </c>
      <c r="K22" s="582"/>
      <c r="L22" s="491" t="s">
        <v>426</v>
      </c>
      <c r="M22" s="492">
        <v>5.78</v>
      </c>
      <c r="N22" s="492">
        <v>5.78</v>
      </c>
    </row>
    <row r="23" spans="1:14" x14ac:dyDescent="0.25">
      <c r="A23" s="491" t="s">
        <v>552</v>
      </c>
      <c r="B23" s="492">
        <v>8.1999999999999993</v>
      </c>
      <c r="C23" s="582"/>
      <c r="D23" s="491"/>
      <c r="E23" s="492"/>
      <c r="F23" s="582"/>
      <c r="G23" s="491" t="s">
        <v>546</v>
      </c>
      <c r="H23" s="492">
        <v>73.78</v>
      </c>
      <c r="I23" s="492">
        <v>3.27</v>
      </c>
      <c r="J23" s="492">
        <v>3.27</v>
      </c>
      <c r="K23" s="582"/>
      <c r="L23" s="491" t="s">
        <v>427</v>
      </c>
      <c r="M23" s="492">
        <v>1.56</v>
      </c>
      <c r="N23" s="492">
        <v>1.56</v>
      </c>
    </row>
    <row r="24" spans="1:14" x14ac:dyDescent="0.25">
      <c r="A24" s="491"/>
      <c r="B24" s="492"/>
      <c r="C24" s="582"/>
      <c r="D24" s="491" t="s">
        <v>363</v>
      </c>
      <c r="E24" s="492">
        <v>20.399999999999999</v>
      </c>
      <c r="F24" s="582"/>
      <c r="G24" s="491" t="s">
        <v>552</v>
      </c>
      <c r="H24" s="492">
        <v>69.2</v>
      </c>
      <c r="I24" s="492">
        <v>4.8899999999999997</v>
      </c>
      <c r="J24" s="492">
        <v>4.8899999999999997</v>
      </c>
      <c r="K24" s="582"/>
      <c r="L24" s="491" t="s">
        <v>428</v>
      </c>
      <c r="M24" s="492">
        <v>4.22</v>
      </c>
      <c r="N24" s="492">
        <v>4.22</v>
      </c>
    </row>
    <row r="25" spans="1:14" x14ac:dyDescent="0.25">
      <c r="A25" s="491" t="s">
        <v>425</v>
      </c>
      <c r="B25" s="492">
        <v>12.56</v>
      </c>
      <c r="C25" s="582"/>
      <c r="D25" s="491" t="s">
        <v>367</v>
      </c>
      <c r="E25" s="492">
        <v>3.49</v>
      </c>
      <c r="F25" s="582"/>
      <c r="G25" s="491" t="s">
        <v>425</v>
      </c>
      <c r="H25" s="492">
        <v>80.53</v>
      </c>
      <c r="I25" s="492">
        <v>71.56</v>
      </c>
      <c r="J25" s="492">
        <v>4.8</v>
      </c>
      <c r="K25" s="582"/>
      <c r="L25" s="491" t="s">
        <v>429</v>
      </c>
      <c r="M25" s="492">
        <v>3.24</v>
      </c>
      <c r="N25" s="492">
        <v>3.24</v>
      </c>
    </row>
    <row r="26" spans="1:14" x14ac:dyDescent="0.25">
      <c r="A26" s="491" t="s">
        <v>428</v>
      </c>
      <c r="B26" s="492">
        <v>6.98</v>
      </c>
      <c r="C26" s="582"/>
      <c r="D26" s="493" t="s">
        <v>622</v>
      </c>
      <c r="E26" s="492">
        <f>SUM(E19:E25)</f>
        <v>98.309999999999988</v>
      </c>
      <c r="F26" s="582"/>
      <c r="G26" s="491" t="s">
        <v>426</v>
      </c>
      <c r="H26" s="492">
        <v>95.12</v>
      </c>
      <c r="I26" s="492">
        <v>80.69</v>
      </c>
      <c r="J26" s="492">
        <v>7.35</v>
      </c>
      <c r="K26" s="582"/>
      <c r="L26" s="491" t="s">
        <v>430</v>
      </c>
      <c r="M26" s="492">
        <v>4.22</v>
      </c>
      <c r="N26" s="492">
        <v>4.22</v>
      </c>
    </row>
    <row r="27" spans="1:14" x14ac:dyDescent="0.25">
      <c r="A27" s="491" t="s">
        <v>429</v>
      </c>
      <c r="B27" s="492">
        <v>13.96</v>
      </c>
      <c r="C27" s="582"/>
      <c r="D27" s="621"/>
      <c r="E27" s="622"/>
      <c r="F27" s="582"/>
      <c r="G27" s="491" t="s">
        <v>427</v>
      </c>
      <c r="H27" s="492">
        <v>83.67</v>
      </c>
      <c r="I27" s="492">
        <v>73.92</v>
      </c>
      <c r="J27" s="492">
        <v>1.8</v>
      </c>
      <c r="K27" s="582"/>
      <c r="L27" s="491"/>
      <c r="M27" s="492"/>
      <c r="N27" s="492"/>
    </row>
    <row r="28" spans="1:14" x14ac:dyDescent="0.25">
      <c r="A28" s="491" t="s">
        <v>430</v>
      </c>
      <c r="B28" s="492">
        <v>3.49</v>
      </c>
      <c r="C28" s="582"/>
      <c r="D28" s="620" t="s">
        <v>1090</v>
      </c>
      <c r="E28" s="620"/>
      <c r="F28" s="582"/>
      <c r="G28" s="491" t="s">
        <v>428</v>
      </c>
      <c r="H28" s="492">
        <v>84.29</v>
      </c>
      <c r="I28" s="492">
        <v>74.150000000000006</v>
      </c>
      <c r="J28" s="492">
        <v>4.9800000000000004</v>
      </c>
      <c r="K28" s="582"/>
      <c r="L28" s="491" t="s">
        <v>361</v>
      </c>
      <c r="M28" s="492">
        <v>4.22</v>
      </c>
      <c r="N28" s="492">
        <v>4.22</v>
      </c>
    </row>
    <row r="29" spans="1:14" x14ac:dyDescent="0.25">
      <c r="A29" s="491" t="s">
        <v>463</v>
      </c>
      <c r="B29" s="492">
        <v>8.1999999999999993</v>
      </c>
      <c r="C29" s="582"/>
      <c r="D29" s="489" t="s">
        <v>652</v>
      </c>
      <c r="E29" s="490" t="s">
        <v>584</v>
      </c>
      <c r="F29" s="582"/>
      <c r="G29" s="491" t="s">
        <v>429</v>
      </c>
      <c r="H29" s="492">
        <v>76.63</v>
      </c>
      <c r="I29" s="492">
        <v>64.73</v>
      </c>
      <c r="J29" s="492">
        <v>4.9800000000000004</v>
      </c>
      <c r="K29" s="582"/>
      <c r="L29" s="491" t="s">
        <v>362</v>
      </c>
      <c r="M29" s="492">
        <v>6.62</v>
      </c>
      <c r="N29" s="492">
        <v>6.62</v>
      </c>
    </row>
    <row r="30" spans="1:14" x14ac:dyDescent="0.25">
      <c r="A30" s="491" t="s">
        <v>467</v>
      </c>
      <c r="B30" s="492">
        <v>8.1999999999999993</v>
      </c>
      <c r="C30" s="582"/>
      <c r="D30" s="491" t="s">
        <v>542</v>
      </c>
      <c r="E30" s="492">
        <v>1.35</v>
      </c>
      <c r="F30" s="582"/>
      <c r="G30" s="491" t="s">
        <v>430</v>
      </c>
      <c r="H30" s="492">
        <v>79.09</v>
      </c>
      <c r="I30" s="492">
        <v>70.12</v>
      </c>
      <c r="J30" s="492">
        <v>4.9800000000000004</v>
      </c>
      <c r="K30" s="582"/>
      <c r="L30" s="491" t="s">
        <v>363</v>
      </c>
      <c r="M30" s="492">
        <v>1.56</v>
      </c>
      <c r="N30" s="492">
        <v>1.56</v>
      </c>
    </row>
    <row r="31" spans="1:14" x14ac:dyDescent="0.25">
      <c r="A31" s="491"/>
      <c r="B31" s="492"/>
      <c r="C31" s="582"/>
      <c r="D31" s="493" t="s">
        <v>622</v>
      </c>
      <c r="E31" s="492">
        <f>SUM(E30:E30)</f>
        <v>1.35</v>
      </c>
      <c r="F31" s="582"/>
      <c r="G31" s="491" t="s">
        <v>463</v>
      </c>
      <c r="H31" s="492">
        <v>84</v>
      </c>
      <c r="I31" s="492">
        <v>3.27</v>
      </c>
      <c r="J31" s="492">
        <v>3.27</v>
      </c>
      <c r="K31" s="582"/>
      <c r="L31" s="491" t="s">
        <v>364</v>
      </c>
      <c r="M31" s="492">
        <v>3.96</v>
      </c>
      <c r="N31" s="492">
        <v>3.96</v>
      </c>
    </row>
    <row r="32" spans="1:14" x14ac:dyDescent="0.25">
      <c r="A32" s="491" t="s">
        <v>361</v>
      </c>
      <c r="B32" s="492">
        <v>7.33</v>
      </c>
      <c r="C32" s="582"/>
      <c r="D32" s="621"/>
      <c r="E32" s="622"/>
      <c r="F32" s="582"/>
      <c r="G32" s="491" t="s">
        <v>467</v>
      </c>
      <c r="H32" s="492">
        <v>77.400000000000006</v>
      </c>
      <c r="I32" s="492">
        <v>4.8899999999999997</v>
      </c>
      <c r="J32" s="492">
        <v>4.8899999999999997</v>
      </c>
      <c r="K32" s="582"/>
      <c r="L32" s="491" t="s">
        <v>365</v>
      </c>
      <c r="M32" s="492">
        <v>4.22</v>
      </c>
      <c r="N32" s="492">
        <v>4.22</v>
      </c>
    </row>
    <row r="33" spans="1:14" x14ac:dyDescent="0.25">
      <c r="A33" s="491" t="s">
        <v>365</v>
      </c>
      <c r="B33" s="492">
        <v>6.98</v>
      </c>
      <c r="C33" s="582"/>
      <c r="D33" s="620" t="s">
        <v>1091</v>
      </c>
      <c r="E33" s="620"/>
      <c r="F33" s="582"/>
      <c r="G33" s="491" t="s">
        <v>361</v>
      </c>
      <c r="H33" s="492">
        <v>81.849999999999994</v>
      </c>
      <c r="I33" s="492">
        <v>75.8</v>
      </c>
      <c r="J33" s="492">
        <v>4.8</v>
      </c>
      <c r="K33" s="582"/>
      <c r="L33" s="491" t="s">
        <v>366</v>
      </c>
      <c r="M33" s="492">
        <v>4.2</v>
      </c>
      <c r="N33" s="492">
        <v>4.2</v>
      </c>
    </row>
    <row r="34" spans="1:14" x14ac:dyDescent="0.25">
      <c r="A34" s="491" t="s">
        <v>366</v>
      </c>
      <c r="B34" s="492">
        <v>13.96</v>
      </c>
      <c r="C34" s="582"/>
      <c r="D34" s="489" t="s">
        <v>652</v>
      </c>
      <c r="E34" s="490" t="s">
        <v>584</v>
      </c>
      <c r="F34" s="582"/>
      <c r="G34" s="491" t="s">
        <v>362</v>
      </c>
      <c r="H34" s="492">
        <v>103.04</v>
      </c>
      <c r="I34" s="492">
        <v>89.78</v>
      </c>
      <c r="J34" s="492">
        <v>4.8</v>
      </c>
      <c r="K34" s="582"/>
      <c r="L34" s="491" t="s">
        <v>367</v>
      </c>
      <c r="M34" s="492">
        <v>4.22</v>
      </c>
      <c r="N34" s="492">
        <v>4.22</v>
      </c>
    </row>
    <row r="35" spans="1:14" x14ac:dyDescent="0.25">
      <c r="A35" s="491" t="s">
        <v>367</v>
      </c>
      <c r="B35" s="492">
        <v>3.49</v>
      </c>
      <c r="C35" s="582"/>
      <c r="D35" s="491" t="s">
        <v>490</v>
      </c>
      <c r="E35" s="492">
        <v>2.11</v>
      </c>
      <c r="F35" s="582"/>
      <c r="G35" s="491" t="s">
        <v>363</v>
      </c>
      <c r="H35" s="492">
        <v>53.99</v>
      </c>
      <c r="I35" s="492">
        <v>47.94</v>
      </c>
      <c r="J35" s="492">
        <v>4.8</v>
      </c>
      <c r="K35" s="582"/>
      <c r="L35" s="493" t="s">
        <v>622</v>
      </c>
      <c r="M35" s="492">
        <f>SUM(M19:M34)</f>
        <v>57.339999999999996</v>
      </c>
      <c r="N35" s="492">
        <f>SUM(N19:N34)</f>
        <v>57.339999999999996</v>
      </c>
    </row>
    <row r="36" spans="1:14" x14ac:dyDescent="0.25">
      <c r="A36" s="491" t="s">
        <v>648</v>
      </c>
      <c r="B36" s="492">
        <v>8.1999999999999993</v>
      </c>
      <c r="C36" s="582"/>
      <c r="D36" s="491" t="s">
        <v>491</v>
      </c>
      <c r="E36" s="492">
        <v>2.83</v>
      </c>
      <c r="F36" s="582"/>
      <c r="G36" s="491" t="s">
        <v>364</v>
      </c>
      <c r="H36" s="492">
        <v>83.7</v>
      </c>
      <c r="I36" s="492">
        <v>71.22</v>
      </c>
      <c r="J36" s="492">
        <v>4.8</v>
      </c>
      <c r="K36" s="582"/>
      <c r="L36" s="581"/>
      <c r="M36" s="581"/>
      <c r="N36" s="581"/>
    </row>
    <row r="37" spans="1:14" x14ac:dyDescent="0.25">
      <c r="A37" s="491" t="s">
        <v>649</v>
      </c>
      <c r="B37" s="492">
        <v>8.1999999999999993</v>
      </c>
      <c r="C37" s="582"/>
      <c r="D37" s="491" t="s">
        <v>425</v>
      </c>
      <c r="E37" s="492">
        <v>0.63</v>
      </c>
      <c r="F37" s="582"/>
      <c r="G37" s="491" t="s">
        <v>365</v>
      </c>
      <c r="H37" s="492">
        <v>81.12</v>
      </c>
      <c r="I37" s="492">
        <v>74.88</v>
      </c>
      <c r="J37" s="492">
        <v>4.8</v>
      </c>
      <c r="K37" s="582"/>
      <c r="L37" s="582"/>
      <c r="M37" s="582"/>
      <c r="N37" s="582"/>
    </row>
    <row r="38" spans="1:14" x14ac:dyDescent="0.25">
      <c r="A38" s="493" t="s">
        <v>622</v>
      </c>
      <c r="B38" s="492">
        <f>SUM(B19:B37)</f>
        <v>167.29</v>
      </c>
      <c r="C38" s="582"/>
      <c r="D38" s="491" t="s">
        <v>427</v>
      </c>
      <c r="E38" s="492">
        <v>0.23</v>
      </c>
      <c r="F38" s="582"/>
      <c r="G38" s="491" t="s">
        <v>366</v>
      </c>
      <c r="H38" s="492">
        <v>70.03</v>
      </c>
      <c r="I38" s="492">
        <v>63.79</v>
      </c>
      <c r="J38" s="492">
        <v>4.8</v>
      </c>
      <c r="K38" s="582"/>
      <c r="L38" s="582"/>
      <c r="M38" s="582"/>
      <c r="N38" s="582"/>
    </row>
    <row r="39" spans="1:14" x14ac:dyDescent="0.25">
      <c r="A39" s="581"/>
      <c r="B39" s="581"/>
      <c r="C39" s="582"/>
      <c r="D39" s="491" t="s">
        <v>428</v>
      </c>
      <c r="E39" s="492">
        <v>2.11</v>
      </c>
      <c r="F39" s="582"/>
      <c r="G39" s="491" t="s">
        <v>367</v>
      </c>
      <c r="H39" s="492">
        <v>69.28</v>
      </c>
      <c r="I39" s="492">
        <v>60.31</v>
      </c>
      <c r="J39" s="492">
        <v>4.8</v>
      </c>
      <c r="K39" s="582"/>
      <c r="L39" s="582"/>
      <c r="M39" s="582"/>
      <c r="N39" s="582"/>
    </row>
    <row r="40" spans="1:14" x14ac:dyDescent="0.25">
      <c r="A40" s="582"/>
      <c r="B40" s="582"/>
      <c r="C40" s="582"/>
      <c r="D40" s="491" t="s">
        <v>429</v>
      </c>
      <c r="E40" s="492">
        <v>0.49</v>
      </c>
      <c r="F40" s="582"/>
      <c r="G40" s="491" t="s">
        <v>648</v>
      </c>
      <c r="H40" s="492">
        <v>90.61</v>
      </c>
      <c r="I40" s="492">
        <v>3.27</v>
      </c>
      <c r="J40" s="492">
        <v>3.27</v>
      </c>
      <c r="K40" s="582"/>
      <c r="L40" s="582"/>
      <c r="M40" s="582"/>
      <c r="N40" s="582"/>
    </row>
    <row r="41" spans="1:14" x14ac:dyDescent="0.25">
      <c r="A41" s="582"/>
      <c r="B41" s="582"/>
      <c r="C41" s="582"/>
      <c r="D41" s="491" t="s">
        <v>430</v>
      </c>
      <c r="E41" s="492">
        <v>0.63</v>
      </c>
      <c r="F41" s="582"/>
      <c r="G41" s="491" t="s">
        <v>649</v>
      </c>
      <c r="H41" s="492">
        <v>78.349999999999994</v>
      </c>
      <c r="I41" s="492">
        <v>4.8899999999999997</v>
      </c>
      <c r="J41" s="492">
        <v>4.8899999999999997</v>
      </c>
      <c r="K41" s="582"/>
      <c r="L41" s="582"/>
      <c r="M41" s="582"/>
      <c r="N41" s="582"/>
    </row>
    <row r="42" spans="1:14" x14ac:dyDescent="0.25">
      <c r="A42" s="582"/>
      <c r="B42" s="582"/>
      <c r="C42" s="582"/>
      <c r="D42" s="491" t="s">
        <v>649</v>
      </c>
      <c r="E42" s="492">
        <v>1.94</v>
      </c>
      <c r="F42" s="582"/>
      <c r="G42" s="493" t="s">
        <v>622</v>
      </c>
      <c r="H42" s="492">
        <f>SUM(H19:H41)</f>
        <v>1612.4599999999998</v>
      </c>
      <c r="I42" s="492">
        <f>SUM(I19:I41)</f>
        <v>964.46999999999991</v>
      </c>
      <c r="J42" s="492">
        <f>SUM(J19:J41)</f>
        <v>108.06999999999998</v>
      </c>
      <c r="K42" s="582"/>
      <c r="L42" s="582"/>
      <c r="M42" s="582"/>
      <c r="N42" s="582"/>
    </row>
    <row r="43" spans="1:14" x14ac:dyDescent="0.25">
      <c r="A43" s="582"/>
      <c r="B43" s="582"/>
      <c r="C43" s="582"/>
      <c r="D43" s="493" t="s">
        <v>622</v>
      </c>
      <c r="E43" s="492">
        <f>SUM(E35:E42)</f>
        <v>10.97</v>
      </c>
      <c r="F43" s="582"/>
      <c r="G43" s="581"/>
      <c r="H43" s="581"/>
      <c r="I43" s="581"/>
      <c r="J43" s="581"/>
      <c r="K43" s="582"/>
      <c r="L43" s="582"/>
      <c r="M43" s="582"/>
      <c r="N43" s="582"/>
    </row>
    <row r="45" spans="1:14" s="155" customFormat="1" x14ac:dyDescent="0.25">
      <c r="A45" s="488"/>
      <c r="B45" s="488"/>
      <c r="D45" s="488"/>
      <c r="E45" s="488"/>
      <c r="G45" s="488"/>
      <c r="H45" s="488"/>
      <c r="I45" s="488"/>
      <c r="J45" s="488"/>
      <c r="L45" s="488"/>
      <c r="M45" s="488"/>
      <c r="N45" s="488"/>
    </row>
  </sheetData>
  <mergeCells count="30">
    <mergeCell ref="B12:L12"/>
    <mergeCell ref="B13:L13"/>
    <mergeCell ref="A1:N1"/>
    <mergeCell ref="B14:L14"/>
    <mergeCell ref="B15:L15"/>
    <mergeCell ref="B7:L7"/>
    <mergeCell ref="B8:L8"/>
    <mergeCell ref="B9:L9"/>
    <mergeCell ref="B10:L10"/>
    <mergeCell ref="B11:L11"/>
    <mergeCell ref="B2:L2"/>
    <mergeCell ref="B3:L3"/>
    <mergeCell ref="B4:L4"/>
    <mergeCell ref="B5:L5"/>
    <mergeCell ref="B6:L6"/>
    <mergeCell ref="A16:N16"/>
    <mergeCell ref="A17:B17"/>
    <mergeCell ref="D17:E17"/>
    <mergeCell ref="D33:E33"/>
    <mergeCell ref="D28:E28"/>
    <mergeCell ref="D27:E27"/>
    <mergeCell ref="D32:E32"/>
    <mergeCell ref="G17:J17"/>
    <mergeCell ref="L17:N17"/>
    <mergeCell ref="L36:N43"/>
    <mergeCell ref="A39:B43"/>
    <mergeCell ref="C17:C43"/>
    <mergeCell ref="F17:F43"/>
    <mergeCell ref="K17:K43"/>
    <mergeCell ref="G43:J43"/>
  </mergeCells>
  <pageMargins left="0.7" right="0.7" top="0.75" bottom="0.75" header="0.3" footer="0.3"/>
  <pageSetup paperSize="9" orientation="portrait" horizontalDpi="0" verticalDpi="0" r:id="rId1"/>
  <ignoredErrors>
    <ignoredError sqref="G22:G41 D19:D26 A21:A37" twoDigitTextYear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0"/>
  <sheetViews>
    <sheetView workbookViewId="0">
      <selection activeCell="A3" sqref="A3:XFD3"/>
    </sheetView>
  </sheetViews>
  <sheetFormatPr defaultRowHeight="13.2" x14ac:dyDescent="0.25"/>
  <cols>
    <col min="1" max="1" width="8" bestFit="1" customWidth="1"/>
    <col min="2" max="2" width="6.77734375" bestFit="1" customWidth="1"/>
    <col min="3" max="3" width="7.6640625" customWidth="1"/>
    <col min="4" max="4" width="22.88671875" customWidth="1"/>
    <col min="5" max="5" width="29.88671875" customWidth="1"/>
    <col min="6" max="6" width="9.77734375" bestFit="1" customWidth="1"/>
    <col min="7" max="7" width="8.109375" bestFit="1" customWidth="1"/>
  </cols>
  <sheetData>
    <row r="1" spans="1:7" s="275" customFormat="1" ht="18" x14ac:dyDescent="0.25">
      <c r="A1" s="626" t="s">
        <v>579</v>
      </c>
      <c r="B1" s="627"/>
      <c r="C1" s="627"/>
      <c r="D1" s="627"/>
      <c r="E1" s="627"/>
      <c r="F1" s="627"/>
      <c r="G1" s="628"/>
    </row>
    <row r="2" spans="1:7" s="467" customFormat="1" ht="18" x14ac:dyDescent="0.25">
      <c r="A2" s="173" t="s">
        <v>580</v>
      </c>
      <c r="B2" s="629" t="s">
        <v>581</v>
      </c>
      <c r="C2" s="630"/>
      <c r="D2" s="631"/>
      <c r="E2" s="462" t="s">
        <v>582</v>
      </c>
      <c r="F2" s="466" t="s">
        <v>583</v>
      </c>
      <c r="G2" s="175" t="s">
        <v>584</v>
      </c>
    </row>
    <row r="4" spans="1:7" x14ac:dyDescent="0.25">
      <c r="A4" s="632"/>
      <c r="B4" s="632"/>
      <c r="C4" s="632"/>
      <c r="D4" s="632"/>
      <c r="E4" s="632"/>
      <c r="F4" s="632"/>
      <c r="G4" s="632"/>
    </row>
    <row r="5" spans="1:7" x14ac:dyDescent="0.25">
      <c r="A5" s="452" t="s">
        <v>652</v>
      </c>
      <c r="B5" s="453" t="s">
        <v>584</v>
      </c>
      <c r="C5" s="633"/>
      <c r="D5" s="633"/>
      <c r="E5" s="633"/>
      <c r="F5" s="633"/>
      <c r="G5" s="633"/>
    </row>
    <row r="6" spans="1:7" x14ac:dyDescent="0.25">
      <c r="A6" s="455"/>
      <c r="B6" s="456"/>
      <c r="C6" s="633"/>
      <c r="D6" s="633"/>
      <c r="E6" s="633"/>
      <c r="F6" s="633"/>
      <c r="G6" s="633"/>
    </row>
    <row r="7" spans="1:7" x14ac:dyDescent="0.25">
      <c r="A7" s="455"/>
      <c r="B7" s="456"/>
      <c r="C7" s="633"/>
      <c r="D7" s="633"/>
      <c r="E7" s="633"/>
      <c r="F7" s="633"/>
      <c r="G7" s="633"/>
    </row>
    <row r="8" spans="1:7" x14ac:dyDescent="0.25">
      <c r="A8" s="455"/>
      <c r="B8" s="456"/>
      <c r="C8" s="633"/>
      <c r="D8" s="633"/>
      <c r="E8" s="633"/>
      <c r="F8" s="633"/>
      <c r="G8" s="633"/>
    </row>
    <row r="9" spans="1:7" x14ac:dyDescent="0.25">
      <c r="A9" s="455"/>
      <c r="B9" s="456"/>
      <c r="C9" s="633"/>
      <c r="D9" s="633"/>
      <c r="E9" s="633"/>
      <c r="F9" s="633"/>
      <c r="G9" s="633"/>
    </row>
    <row r="10" spans="1:7" s="463" customFormat="1" x14ac:dyDescent="0.25">
      <c r="A10" s="461" t="s">
        <v>622</v>
      </c>
      <c r="B10" s="456">
        <f>SUM(B6:B9)</f>
        <v>0</v>
      </c>
      <c r="C10" s="633"/>
      <c r="D10" s="633"/>
      <c r="E10" s="633"/>
      <c r="F10" s="633"/>
      <c r="G10" s="633"/>
    </row>
  </sheetData>
  <mergeCells count="4">
    <mergeCell ref="A1:G1"/>
    <mergeCell ref="B2:D2"/>
    <mergeCell ref="A4:G4"/>
    <mergeCell ref="C5:G1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1"/>
  <sheetViews>
    <sheetView workbookViewId="0">
      <selection activeCell="E7" sqref="E7"/>
    </sheetView>
  </sheetViews>
  <sheetFormatPr defaultRowHeight="13.2" x14ac:dyDescent="0.25"/>
  <cols>
    <col min="1" max="1" width="8" bestFit="1" customWidth="1"/>
    <col min="2" max="2" width="6.77734375" bestFit="1" customWidth="1"/>
    <col min="3" max="3" width="7.6640625" customWidth="1"/>
    <col min="4" max="4" width="22.88671875" customWidth="1"/>
    <col min="5" max="5" width="9.77734375" bestFit="1" customWidth="1"/>
    <col min="6" max="6" width="8.109375" bestFit="1" customWidth="1"/>
  </cols>
  <sheetData>
    <row r="1" spans="1:6" s="275" customFormat="1" ht="18" x14ac:dyDescent="0.25">
      <c r="A1" s="626" t="s">
        <v>579</v>
      </c>
      <c r="B1" s="627"/>
      <c r="C1" s="627"/>
      <c r="D1" s="627"/>
      <c r="E1" s="627"/>
      <c r="F1" s="628"/>
    </row>
    <row r="2" spans="1:6" s="467" customFormat="1" ht="18" x14ac:dyDescent="0.25">
      <c r="A2" s="173" t="s">
        <v>580</v>
      </c>
      <c r="B2" s="629" t="s">
        <v>581</v>
      </c>
      <c r="C2" s="630"/>
      <c r="D2" s="631"/>
      <c r="E2" s="466" t="s">
        <v>583</v>
      </c>
      <c r="F2" s="175" t="s">
        <v>584</v>
      </c>
    </row>
    <row r="3" spans="1:6" s="357" customFormat="1" ht="54" customHeight="1" x14ac:dyDescent="0.25">
      <c r="A3" s="522" t="s">
        <v>822</v>
      </c>
      <c r="B3" s="636" t="s">
        <v>1111</v>
      </c>
      <c r="C3" s="637"/>
      <c r="D3" s="638"/>
      <c r="E3" s="523" t="s">
        <v>571</v>
      </c>
      <c r="F3" s="524">
        <f>B11</f>
        <v>3.42</v>
      </c>
    </row>
    <row r="4" spans="1:6" s="357" customFormat="1" ht="54" customHeight="1" x14ac:dyDescent="0.25">
      <c r="A4" s="522" t="s">
        <v>823</v>
      </c>
      <c r="B4" s="636" t="s">
        <v>1112</v>
      </c>
      <c r="C4" s="637"/>
      <c r="D4" s="638"/>
      <c r="E4" s="523" t="s">
        <v>571</v>
      </c>
      <c r="F4" s="524">
        <f>F10</f>
        <v>12.547000000000001</v>
      </c>
    </row>
    <row r="5" spans="1:6" s="357" customFormat="1" ht="37.799999999999997" customHeight="1" x14ac:dyDescent="0.25">
      <c r="A5" s="522" t="s">
        <v>824</v>
      </c>
      <c r="B5" s="636" t="s">
        <v>1071</v>
      </c>
      <c r="C5" s="637"/>
      <c r="D5" s="638"/>
      <c r="E5" s="523" t="s">
        <v>571</v>
      </c>
      <c r="F5" s="524">
        <f>F10</f>
        <v>12.547000000000001</v>
      </c>
    </row>
    <row r="6" spans="1:6" x14ac:dyDescent="0.25">
      <c r="A6" s="635"/>
      <c r="B6" s="635"/>
      <c r="C6" s="635"/>
      <c r="D6" s="635"/>
      <c r="E6" s="635"/>
      <c r="F6" s="635"/>
    </row>
    <row r="7" spans="1:6" x14ac:dyDescent="0.25">
      <c r="A7" s="452" t="s">
        <v>652</v>
      </c>
      <c r="B7" s="453" t="s">
        <v>584</v>
      </c>
      <c r="C7" s="634"/>
      <c r="D7" s="633"/>
      <c r="E7" s="452" t="s">
        <v>652</v>
      </c>
      <c r="F7" s="453" t="s">
        <v>584</v>
      </c>
    </row>
    <row r="8" spans="1:6" x14ac:dyDescent="0.25">
      <c r="A8" s="482" t="s">
        <v>509</v>
      </c>
      <c r="B8" s="456">
        <f>1.9*0.6</f>
        <v>1.1399999999999999</v>
      </c>
      <c r="C8" s="634"/>
      <c r="D8" s="633"/>
      <c r="E8" s="482" t="s">
        <v>517</v>
      </c>
      <c r="F8" s="521">
        <f>2.3*0.57+2.4*0.86-0.8+2.5*0.45-0.5*0.19+2.5*0.86-0.68</f>
        <v>5.0750000000000002</v>
      </c>
    </row>
    <row r="9" spans="1:6" x14ac:dyDescent="0.25">
      <c r="A9" s="482" t="s">
        <v>452</v>
      </c>
      <c r="B9" s="456">
        <f t="shared" ref="B9:B10" si="0">1.9*0.6</f>
        <v>1.1399999999999999</v>
      </c>
      <c r="C9" s="634"/>
      <c r="D9" s="633"/>
      <c r="E9" s="482" t="s">
        <v>536</v>
      </c>
      <c r="F9" s="521">
        <f>2.2*0.5+2.4*0.86-0.6*1.7+0.58*5+0.86*5-0.52*1.8*2</f>
        <v>7.4720000000000013</v>
      </c>
    </row>
    <row r="10" spans="1:6" x14ac:dyDescent="0.25">
      <c r="A10" s="482" t="s">
        <v>378</v>
      </c>
      <c r="B10" s="456">
        <f t="shared" si="0"/>
        <v>1.1399999999999999</v>
      </c>
      <c r="C10" s="634"/>
      <c r="D10" s="633"/>
      <c r="E10" s="461" t="s">
        <v>622</v>
      </c>
      <c r="F10" s="521">
        <f>SUM(F8:F9)</f>
        <v>12.547000000000001</v>
      </c>
    </row>
    <row r="11" spans="1:6" s="463" customFormat="1" x14ac:dyDescent="0.25">
      <c r="A11" s="461" t="s">
        <v>622</v>
      </c>
      <c r="B11" s="456">
        <f>SUM(B8:B10)</f>
        <v>3.42</v>
      </c>
      <c r="C11" s="634"/>
      <c r="D11" s="633"/>
      <c r="E11" s="635"/>
      <c r="F11" s="635"/>
    </row>
  </sheetData>
  <mergeCells count="8">
    <mergeCell ref="C7:D11"/>
    <mergeCell ref="E11:F11"/>
    <mergeCell ref="B4:D4"/>
    <mergeCell ref="A1:F1"/>
    <mergeCell ref="B2:D2"/>
    <mergeCell ref="B3:D3"/>
    <mergeCell ref="A6:F6"/>
    <mergeCell ref="B5:D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40"/>
  <sheetViews>
    <sheetView topLeftCell="A4" zoomScale="70" zoomScaleNormal="70" workbookViewId="0">
      <selection activeCell="I8" sqref="I8"/>
    </sheetView>
  </sheetViews>
  <sheetFormatPr defaultRowHeight="13.2" x14ac:dyDescent="0.25"/>
  <cols>
    <col min="1" max="2" width="8.88671875" customWidth="1"/>
    <col min="3" max="3" width="2.77734375" customWidth="1"/>
    <col min="4" max="5" width="8.88671875" customWidth="1"/>
    <col min="6" max="6" width="2.77734375" customWidth="1"/>
    <col min="7" max="7" width="8.88671875" customWidth="1"/>
    <col min="8" max="8" width="9.44140625" bestFit="1" customWidth="1"/>
    <col min="9" max="9" width="52.21875" customWidth="1"/>
  </cols>
  <sheetData>
    <row r="1" spans="1:11" s="275" customFormat="1" ht="18" x14ac:dyDescent="0.25">
      <c r="A1" s="618" t="s">
        <v>1066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</row>
    <row r="2" spans="1:11" s="467" customFormat="1" ht="36" x14ac:dyDescent="0.25">
      <c r="A2" s="173" t="s">
        <v>580</v>
      </c>
      <c r="B2" s="639" t="s">
        <v>581</v>
      </c>
      <c r="C2" s="639"/>
      <c r="D2" s="639"/>
      <c r="E2" s="639"/>
      <c r="F2" s="639"/>
      <c r="G2" s="639"/>
      <c r="H2" s="639"/>
      <c r="I2" s="462" t="s">
        <v>582</v>
      </c>
      <c r="J2" s="466" t="s">
        <v>583</v>
      </c>
      <c r="K2" s="175" t="s">
        <v>584</v>
      </c>
    </row>
    <row r="3" spans="1:11" s="275" customFormat="1" ht="36" x14ac:dyDescent="0.25">
      <c r="A3" s="464">
        <v>1</v>
      </c>
      <c r="B3" s="611"/>
      <c r="C3" s="611"/>
      <c r="D3" s="611"/>
      <c r="E3" s="611"/>
      <c r="F3" s="611"/>
      <c r="G3" s="611"/>
      <c r="H3" s="611"/>
      <c r="I3" s="465" t="s">
        <v>1067</v>
      </c>
      <c r="J3" s="464" t="s">
        <v>571</v>
      </c>
      <c r="K3" s="286">
        <f>B27</f>
        <v>180.79999999999998</v>
      </c>
    </row>
    <row r="4" spans="1:11" s="275" customFormat="1" ht="36" x14ac:dyDescent="0.25">
      <c r="A4" s="464">
        <v>2</v>
      </c>
      <c r="B4" s="611"/>
      <c r="C4" s="611"/>
      <c r="D4" s="611"/>
      <c r="E4" s="611"/>
      <c r="F4" s="611"/>
      <c r="G4" s="611"/>
      <c r="H4" s="611"/>
      <c r="I4" s="465" t="s">
        <v>1068</v>
      </c>
      <c r="J4" s="464" t="s">
        <v>571</v>
      </c>
      <c r="K4" s="286">
        <f>E22</f>
        <v>219</v>
      </c>
    </row>
    <row r="5" spans="1:11" s="275" customFormat="1" ht="36" x14ac:dyDescent="0.25">
      <c r="A5" s="464">
        <v>3</v>
      </c>
      <c r="B5" s="611"/>
      <c r="C5" s="611"/>
      <c r="D5" s="611"/>
      <c r="E5" s="611"/>
      <c r="F5" s="611"/>
      <c r="G5" s="611"/>
      <c r="H5" s="611"/>
      <c r="I5" s="465" t="s">
        <v>1069</v>
      </c>
      <c r="J5" s="464" t="s">
        <v>571</v>
      </c>
      <c r="K5" s="286">
        <f>H19</f>
        <v>38.086150000000004</v>
      </c>
    </row>
    <row r="6" spans="1:11" s="275" customFormat="1" ht="36" x14ac:dyDescent="0.25">
      <c r="A6" s="464">
        <v>4</v>
      </c>
      <c r="B6" s="611"/>
      <c r="C6" s="611"/>
      <c r="D6" s="611"/>
      <c r="E6" s="611"/>
      <c r="F6" s="611"/>
      <c r="G6" s="611"/>
      <c r="H6" s="611"/>
      <c r="I6" s="465" t="s">
        <v>1070</v>
      </c>
      <c r="J6" s="464" t="s">
        <v>571</v>
      </c>
      <c r="K6" s="286">
        <f>B40</f>
        <v>35</v>
      </c>
    </row>
    <row r="7" spans="1:11" s="275" customFormat="1" ht="18" x14ac:dyDescent="0.25">
      <c r="A7" s="464">
        <v>5</v>
      </c>
      <c r="B7" s="611"/>
      <c r="C7" s="611"/>
      <c r="D7" s="611"/>
      <c r="E7" s="611"/>
      <c r="F7" s="611"/>
      <c r="G7" s="611"/>
      <c r="H7" s="611"/>
      <c r="I7" s="465" t="s">
        <v>1071</v>
      </c>
      <c r="J7" s="464" t="s">
        <v>571</v>
      </c>
      <c r="K7" s="286">
        <f>E40</f>
        <v>358.01</v>
      </c>
    </row>
    <row r="8" spans="1:11" s="275" customFormat="1" ht="36" x14ac:dyDescent="0.25">
      <c r="A8" s="464">
        <v>6</v>
      </c>
      <c r="B8" s="611"/>
      <c r="C8" s="611"/>
      <c r="D8" s="611"/>
      <c r="E8" s="611"/>
      <c r="F8" s="611"/>
      <c r="G8" s="611"/>
      <c r="H8" s="611"/>
      <c r="I8" s="465" t="s">
        <v>1072</v>
      </c>
      <c r="J8" s="464" t="s">
        <v>571</v>
      </c>
      <c r="K8" s="286">
        <f>H26</f>
        <v>94</v>
      </c>
    </row>
    <row r="9" spans="1:11" s="275" customFormat="1" ht="36" x14ac:dyDescent="0.25">
      <c r="A9" s="464">
        <v>7</v>
      </c>
      <c r="B9" s="611"/>
      <c r="C9" s="611"/>
      <c r="D9" s="611"/>
      <c r="E9" s="611"/>
      <c r="F9" s="611"/>
      <c r="G9" s="611"/>
      <c r="H9" s="611"/>
      <c r="I9" s="465" t="s">
        <v>1073</v>
      </c>
      <c r="J9" s="464" t="s">
        <v>571</v>
      </c>
      <c r="K9" s="286">
        <f>H33</f>
        <v>23.2</v>
      </c>
    </row>
    <row r="10" spans="1:11" s="275" customFormat="1" ht="34.799999999999997" customHeight="1" x14ac:dyDescent="0.25">
      <c r="A10" s="519">
        <v>8</v>
      </c>
      <c r="B10" s="611" t="s">
        <v>1110</v>
      </c>
      <c r="C10" s="611"/>
      <c r="D10" s="611"/>
      <c r="E10" s="611"/>
      <c r="F10" s="611"/>
      <c r="G10" s="611"/>
      <c r="H10" s="611"/>
      <c r="I10" s="520" t="s">
        <v>1107</v>
      </c>
      <c r="J10" s="519" t="s">
        <v>571</v>
      </c>
      <c r="K10" s="286">
        <f>SUM(K3:K9)</f>
        <v>948.09614999999997</v>
      </c>
    </row>
    <row r="11" spans="1:11" s="275" customFormat="1" ht="34.799999999999997" customHeight="1" x14ac:dyDescent="0.25">
      <c r="A11" s="519">
        <v>9</v>
      </c>
      <c r="B11" s="611" t="s">
        <v>1110</v>
      </c>
      <c r="C11" s="611"/>
      <c r="D11" s="611"/>
      <c r="E11" s="611"/>
      <c r="F11" s="611"/>
      <c r="G11" s="611"/>
      <c r="H11" s="611"/>
      <c r="I11" s="520" t="s">
        <v>1108</v>
      </c>
      <c r="J11" s="519" t="s">
        <v>571</v>
      </c>
      <c r="K11" s="286">
        <f>K10</f>
        <v>948.09614999999997</v>
      </c>
    </row>
    <row r="12" spans="1:11" s="275" customFormat="1" ht="34.799999999999997" customHeight="1" x14ac:dyDescent="0.25">
      <c r="A12" s="519">
        <v>10</v>
      </c>
      <c r="B12" s="611" t="s">
        <v>808</v>
      </c>
      <c r="C12" s="611"/>
      <c r="D12" s="611"/>
      <c r="E12" s="611"/>
      <c r="F12" s="611"/>
      <c r="G12" s="611"/>
      <c r="H12" s="611"/>
      <c r="I12" s="520" t="s">
        <v>1109</v>
      </c>
      <c r="J12" s="519" t="s">
        <v>571</v>
      </c>
      <c r="K12" s="286">
        <f>K11</f>
        <v>948.09614999999997</v>
      </c>
    </row>
    <row r="13" spans="1:11" x14ac:dyDescent="0.25">
      <c r="A13" s="632"/>
      <c r="B13" s="632"/>
      <c r="C13" s="632"/>
      <c r="D13" s="632"/>
      <c r="E13" s="632"/>
      <c r="F13" s="632"/>
      <c r="G13" s="632"/>
      <c r="H13" s="632"/>
      <c r="I13" s="632"/>
      <c r="J13" s="632"/>
      <c r="K13" s="632"/>
    </row>
    <row r="14" spans="1:11" x14ac:dyDescent="0.25">
      <c r="A14" s="470" t="s">
        <v>652</v>
      </c>
      <c r="B14" s="471" t="s">
        <v>584</v>
      </c>
      <c r="C14" s="633"/>
      <c r="D14" s="472" t="s">
        <v>652</v>
      </c>
      <c r="E14" s="473" t="s">
        <v>584</v>
      </c>
      <c r="F14" s="633"/>
      <c r="G14" s="476" t="s">
        <v>652</v>
      </c>
      <c r="H14" s="477" t="s">
        <v>584</v>
      </c>
      <c r="I14" s="633"/>
      <c r="J14" s="633"/>
      <c r="K14" s="633"/>
    </row>
    <row r="15" spans="1:11" x14ac:dyDescent="0.25">
      <c r="A15" s="455" t="s">
        <v>424</v>
      </c>
      <c r="B15" s="456">
        <v>18</v>
      </c>
      <c r="C15" s="633"/>
      <c r="D15" s="455" t="s">
        <v>424</v>
      </c>
      <c r="E15" s="456">
        <v>4</v>
      </c>
      <c r="F15" s="633"/>
      <c r="G15" s="455" t="s">
        <v>560</v>
      </c>
      <c r="H15" s="521">
        <v>22</v>
      </c>
      <c r="I15" s="633"/>
      <c r="J15" s="633"/>
      <c r="K15" s="633"/>
    </row>
    <row r="16" spans="1:11" x14ac:dyDescent="0.25">
      <c r="A16" s="482" t="s">
        <v>487</v>
      </c>
      <c r="B16" s="456">
        <f>3.9*1</f>
        <v>3.9</v>
      </c>
      <c r="C16" s="633"/>
      <c r="D16" s="455" t="s">
        <v>505</v>
      </c>
      <c r="E16" s="456">
        <v>6</v>
      </c>
      <c r="F16" s="633"/>
      <c r="G16" s="482" t="s">
        <v>424</v>
      </c>
      <c r="H16" s="521">
        <v>2</v>
      </c>
      <c r="I16" s="633"/>
      <c r="J16" s="633"/>
      <c r="K16" s="633"/>
    </row>
    <row r="17" spans="1:11" x14ac:dyDescent="0.25">
      <c r="A17" s="482" t="s">
        <v>517</v>
      </c>
      <c r="B17" s="456">
        <f>2.5*0.6</f>
        <v>1.5</v>
      </c>
      <c r="C17" s="633"/>
      <c r="D17" s="455" t="s">
        <v>450</v>
      </c>
      <c r="E17" s="456">
        <v>48</v>
      </c>
      <c r="F17" s="633"/>
      <c r="G17" s="482" t="s">
        <v>516</v>
      </c>
      <c r="H17" s="521">
        <f>10.617*0.95</f>
        <v>10.08615</v>
      </c>
      <c r="I17" s="633"/>
      <c r="J17" s="633"/>
      <c r="K17" s="633"/>
    </row>
    <row r="18" spans="1:11" x14ac:dyDescent="0.25">
      <c r="A18" s="482" t="s">
        <v>519</v>
      </c>
      <c r="B18" s="456">
        <f>5.9*0.6</f>
        <v>3.54</v>
      </c>
      <c r="C18" s="633"/>
      <c r="D18" s="455" t="s">
        <v>451</v>
      </c>
      <c r="E18" s="456">
        <v>90</v>
      </c>
      <c r="F18" s="633"/>
      <c r="G18" s="482" t="s">
        <v>560</v>
      </c>
      <c r="H18" s="521">
        <f>4*1</f>
        <v>4</v>
      </c>
      <c r="I18" s="633"/>
      <c r="J18" s="633"/>
      <c r="K18" s="633"/>
    </row>
    <row r="19" spans="1:11" x14ac:dyDescent="0.25">
      <c r="A19" s="482" t="s">
        <v>536</v>
      </c>
      <c r="B19" s="456">
        <f>(5.3+2.5)*0.6</f>
        <v>4.68</v>
      </c>
      <c r="C19" s="633"/>
      <c r="D19" s="455" t="s">
        <v>473</v>
      </c>
      <c r="E19" s="456">
        <v>8</v>
      </c>
      <c r="F19" s="633"/>
      <c r="G19" s="461" t="s">
        <v>622</v>
      </c>
      <c r="H19" s="521">
        <f>SUM(H15:H18)</f>
        <v>38.086150000000004</v>
      </c>
      <c r="I19" s="633"/>
      <c r="J19" s="633"/>
      <c r="K19" s="633"/>
    </row>
    <row r="20" spans="1:11" x14ac:dyDescent="0.25">
      <c r="A20" s="482" t="s">
        <v>538</v>
      </c>
      <c r="B20" s="456">
        <f>(7.3+14.6)*0.6</f>
        <v>13.139999999999999</v>
      </c>
      <c r="C20" s="633"/>
      <c r="D20" s="455" t="s">
        <v>392</v>
      </c>
      <c r="E20" s="456">
        <v>18</v>
      </c>
      <c r="F20" s="633"/>
      <c r="G20" s="640"/>
      <c r="H20" s="640"/>
      <c r="I20" s="633"/>
      <c r="J20" s="633"/>
      <c r="K20" s="633"/>
    </row>
    <row r="21" spans="1:11" x14ac:dyDescent="0.25">
      <c r="A21" s="455" t="s">
        <v>555</v>
      </c>
      <c r="B21" s="456">
        <v>10</v>
      </c>
      <c r="C21" s="633"/>
      <c r="D21" s="455" t="s">
        <v>394</v>
      </c>
      <c r="E21" s="456">
        <v>45</v>
      </c>
      <c r="F21" s="633"/>
      <c r="G21" s="478" t="s">
        <v>652</v>
      </c>
      <c r="H21" s="479" t="s">
        <v>584</v>
      </c>
      <c r="I21" s="633"/>
      <c r="J21" s="633"/>
      <c r="K21" s="633"/>
    </row>
    <row r="22" spans="1:11" x14ac:dyDescent="0.25">
      <c r="A22" s="455" t="s">
        <v>556</v>
      </c>
      <c r="B22" s="456">
        <v>27</v>
      </c>
      <c r="C22" s="633"/>
      <c r="D22" s="461" t="s">
        <v>622</v>
      </c>
      <c r="E22" s="456">
        <f>SUM(E15:E21)</f>
        <v>219</v>
      </c>
      <c r="F22" s="633"/>
      <c r="G22" s="482" t="s">
        <v>452</v>
      </c>
      <c r="H22" s="456">
        <v>40</v>
      </c>
      <c r="I22" s="633"/>
      <c r="J22" s="633"/>
      <c r="K22" s="633"/>
    </row>
    <row r="23" spans="1:11" x14ac:dyDescent="0.25">
      <c r="A23" s="482" t="s">
        <v>451</v>
      </c>
      <c r="B23" s="456">
        <f>2.15+4.66*1</f>
        <v>6.8100000000000005</v>
      </c>
      <c r="C23" s="633"/>
      <c r="D23" s="640"/>
      <c r="E23" s="640"/>
      <c r="F23" s="633"/>
      <c r="G23" s="482" t="s">
        <v>378</v>
      </c>
      <c r="H23" s="456">
        <v>23</v>
      </c>
      <c r="I23" s="633"/>
      <c r="J23" s="633"/>
      <c r="K23" s="633"/>
    </row>
    <row r="24" spans="1:11" s="463" customFormat="1" x14ac:dyDescent="0.25">
      <c r="A24" s="455" t="s">
        <v>478</v>
      </c>
      <c r="B24" s="456">
        <v>43.5</v>
      </c>
      <c r="C24" s="633"/>
      <c r="D24" s="468" t="s">
        <v>652</v>
      </c>
      <c r="E24" s="469" t="s">
        <v>584</v>
      </c>
      <c r="F24" s="633"/>
      <c r="G24" s="482" t="s">
        <v>394</v>
      </c>
      <c r="H24" s="456">
        <v>15</v>
      </c>
      <c r="I24" s="633"/>
      <c r="J24" s="633"/>
      <c r="K24" s="633"/>
    </row>
    <row r="25" spans="1:11" x14ac:dyDescent="0.25">
      <c r="A25" s="482" t="s">
        <v>480</v>
      </c>
      <c r="B25" s="456">
        <f>6.95*1</f>
        <v>6.95</v>
      </c>
      <c r="C25" s="633"/>
      <c r="D25" s="455" t="s">
        <v>413</v>
      </c>
      <c r="E25" s="521">
        <f>23.3*0.15</f>
        <v>3.4950000000000001</v>
      </c>
      <c r="F25" s="633"/>
      <c r="G25" s="482" t="s">
        <v>395</v>
      </c>
      <c r="H25" s="456">
        <v>16</v>
      </c>
      <c r="I25" s="633"/>
      <c r="J25" s="633"/>
      <c r="K25" s="633"/>
    </row>
    <row r="26" spans="1:11" x14ac:dyDescent="0.25">
      <c r="A26" s="482" t="s">
        <v>371</v>
      </c>
      <c r="B26" s="456">
        <f>27.4*1+14.38</f>
        <v>41.78</v>
      </c>
      <c r="C26" s="633"/>
      <c r="D26" s="482" t="s">
        <v>407</v>
      </c>
      <c r="E26" s="521">
        <f>30.1*0.15</f>
        <v>4.5149999999999997</v>
      </c>
      <c r="F26" s="633"/>
      <c r="G26" s="461" t="s">
        <v>622</v>
      </c>
      <c r="H26" s="456">
        <f>SUM(H22:H25)</f>
        <v>94</v>
      </c>
      <c r="I26" s="633"/>
      <c r="J26" s="633"/>
      <c r="K26" s="633"/>
    </row>
    <row r="27" spans="1:11" x14ac:dyDescent="0.25">
      <c r="A27" s="461" t="s">
        <v>622</v>
      </c>
      <c r="B27" s="456">
        <f>SUM(B15:B26)</f>
        <v>180.79999999999998</v>
      </c>
      <c r="C27" s="633"/>
      <c r="D27" s="455" t="s">
        <v>424</v>
      </c>
      <c r="E27" s="456">
        <v>115</v>
      </c>
      <c r="F27" s="633"/>
      <c r="G27" s="640"/>
      <c r="H27" s="640"/>
      <c r="I27" s="633"/>
      <c r="J27" s="633"/>
      <c r="K27" s="633"/>
    </row>
    <row r="28" spans="1:11" x14ac:dyDescent="0.25">
      <c r="A28" s="640"/>
      <c r="B28" s="640"/>
      <c r="C28" s="633"/>
      <c r="D28" s="455" t="s">
        <v>503</v>
      </c>
      <c r="E28" s="456">
        <v>15</v>
      </c>
      <c r="F28" s="633"/>
      <c r="G28" s="480" t="s">
        <v>652</v>
      </c>
      <c r="H28" s="481" t="s">
        <v>584</v>
      </c>
      <c r="I28" s="633"/>
      <c r="J28" s="633"/>
      <c r="K28" s="633"/>
    </row>
    <row r="29" spans="1:11" x14ac:dyDescent="0.25">
      <c r="A29" s="474" t="s">
        <v>652</v>
      </c>
      <c r="B29" s="475" t="s">
        <v>584</v>
      </c>
      <c r="C29" s="633"/>
      <c r="D29" s="482" t="s">
        <v>504</v>
      </c>
      <c r="E29" s="456">
        <v>10</v>
      </c>
      <c r="F29" s="633"/>
      <c r="G29" s="482" t="s">
        <v>424</v>
      </c>
      <c r="H29" s="456">
        <v>15</v>
      </c>
      <c r="I29" s="633"/>
      <c r="J29" s="633"/>
      <c r="K29" s="633"/>
    </row>
    <row r="30" spans="1:11" x14ac:dyDescent="0.25">
      <c r="A30" s="455" t="s">
        <v>424</v>
      </c>
      <c r="B30" s="456">
        <v>5</v>
      </c>
      <c r="C30" s="633"/>
      <c r="D30" s="482" t="s">
        <v>509</v>
      </c>
      <c r="E30" s="456">
        <v>36</v>
      </c>
      <c r="F30" s="633"/>
      <c r="G30" s="482" t="s">
        <v>432</v>
      </c>
      <c r="H30" s="456">
        <v>3</v>
      </c>
      <c r="I30" s="633"/>
      <c r="J30" s="633"/>
      <c r="K30" s="633"/>
    </row>
    <row r="31" spans="1:11" x14ac:dyDescent="0.25">
      <c r="A31" s="455" t="s">
        <v>504</v>
      </c>
      <c r="B31" s="456">
        <v>3</v>
      </c>
      <c r="C31" s="633"/>
      <c r="D31" s="482" t="s">
        <v>516</v>
      </c>
      <c r="E31" s="456">
        <v>48</v>
      </c>
      <c r="F31" s="633"/>
      <c r="G31" s="482" t="s">
        <v>476</v>
      </c>
      <c r="H31" s="483">
        <v>2.8</v>
      </c>
      <c r="I31" s="633"/>
      <c r="J31" s="633"/>
      <c r="K31" s="633"/>
    </row>
    <row r="32" spans="1:11" x14ac:dyDescent="0.25">
      <c r="A32" s="482" t="s">
        <v>505</v>
      </c>
      <c r="B32" s="456">
        <v>3</v>
      </c>
      <c r="C32" s="633"/>
      <c r="D32" s="482" t="s">
        <v>432</v>
      </c>
      <c r="E32" s="456">
        <v>3</v>
      </c>
      <c r="F32" s="633"/>
      <c r="G32" s="482" t="s">
        <v>388</v>
      </c>
      <c r="H32" s="483">
        <v>2.4</v>
      </c>
      <c r="I32" s="633"/>
      <c r="J32" s="633"/>
      <c r="K32" s="633"/>
    </row>
    <row r="33" spans="1:11" x14ac:dyDescent="0.25">
      <c r="A33" s="482" t="s">
        <v>508</v>
      </c>
      <c r="B33" s="456">
        <v>6</v>
      </c>
      <c r="C33" s="633"/>
      <c r="D33" s="482" t="s">
        <v>450</v>
      </c>
      <c r="E33" s="456">
        <v>2</v>
      </c>
      <c r="F33" s="633"/>
      <c r="G33" s="461" t="s">
        <v>622</v>
      </c>
      <c r="H33" s="456">
        <f>SUM(H29:H32)</f>
        <v>23.2</v>
      </c>
      <c r="I33" s="633"/>
      <c r="J33" s="633"/>
      <c r="K33" s="633"/>
    </row>
    <row r="34" spans="1:11" x14ac:dyDescent="0.25">
      <c r="A34" s="482" t="s">
        <v>509</v>
      </c>
      <c r="B34" s="456">
        <v>3</v>
      </c>
      <c r="C34" s="633"/>
      <c r="D34" s="482" t="s">
        <v>451</v>
      </c>
      <c r="E34" s="456">
        <v>110</v>
      </c>
      <c r="F34" s="633"/>
      <c r="G34" s="635"/>
      <c r="H34" s="635"/>
      <c r="I34" s="633"/>
      <c r="J34" s="633"/>
      <c r="K34" s="633"/>
    </row>
    <row r="35" spans="1:11" x14ac:dyDescent="0.25">
      <c r="A35" s="482" t="s">
        <v>555</v>
      </c>
      <c r="B35" s="456">
        <v>3</v>
      </c>
      <c r="C35" s="633"/>
      <c r="D35" s="482" t="s">
        <v>452</v>
      </c>
      <c r="E35" s="456">
        <v>2</v>
      </c>
      <c r="F35" s="633"/>
      <c r="G35" s="633"/>
      <c r="H35" s="633"/>
      <c r="I35" s="633"/>
      <c r="J35" s="633"/>
      <c r="K35" s="633"/>
    </row>
    <row r="36" spans="1:11" x14ac:dyDescent="0.25">
      <c r="A36" s="455" t="s">
        <v>452</v>
      </c>
      <c r="B36" s="456">
        <v>3</v>
      </c>
      <c r="C36" s="633"/>
      <c r="D36" s="482" t="s">
        <v>473</v>
      </c>
      <c r="E36" s="456">
        <v>2</v>
      </c>
      <c r="F36" s="633"/>
      <c r="G36" s="633"/>
      <c r="H36" s="633"/>
      <c r="I36" s="633"/>
      <c r="J36" s="633"/>
      <c r="K36" s="633"/>
    </row>
    <row r="37" spans="1:11" x14ac:dyDescent="0.25">
      <c r="A37" s="482" t="s">
        <v>478</v>
      </c>
      <c r="B37" s="456">
        <v>3</v>
      </c>
      <c r="C37" s="633"/>
      <c r="D37" s="482" t="s">
        <v>378</v>
      </c>
      <c r="E37" s="456">
        <v>4</v>
      </c>
      <c r="F37" s="633"/>
      <c r="G37" s="633"/>
      <c r="H37" s="633"/>
      <c r="I37" s="633"/>
      <c r="J37" s="633"/>
      <c r="K37" s="633"/>
    </row>
    <row r="38" spans="1:11" x14ac:dyDescent="0.25">
      <c r="A38" s="482" t="s">
        <v>378</v>
      </c>
      <c r="B38" s="456">
        <v>3</v>
      </c>
      <c r="C38" s="633"/>
      <c r="D38" s="482" t="s">
        <v>375</v>
      </c>
      <c r="E38" s="456">
        <v>2</v>
      </c>
      <c r="F38" s="633"/>
      <c r="G38" s="633"/>
      <c r="H38" s="633"/>
      <c r="I38" s="633"/>
      <c r="J38" s="633"/>
      <c r="K38" s="633"/>
    </row>
    <row r="39" spans="1:11" x14ac:dyDescent="0.25">
      <c r="A39" s="482" t="s">
        <v>392</v>
      </c>
      <c r="B39" s="456">
        <v>3</v>
      </c>
      <c r="C39" s="633"/>
      <c r="D39" s="482" t="s">
        <v>394</v>
      </c>
      <c r="E39" s="456">
        <v>1</v>
      </c>
      <c r="F39" s="633"/>
      <c r="G39" s="633"/>
      <c r="H39" s="633"/>
      <c r="I39" s="633"/>
      <c r="J39" s="633"/>
      <c r="K39" s="633"/>
    </row>
    <row r="40" spans="1:11" x14ac:dyDescent="0.25">
      <c r="A40" s="461" t="s">
        <v>622</v>
      </c>
      <c r="B40" s="456">
        <f>SUM(B30:B39)</f>
        <v>35</v>
      </c>
      <c r="C40" s="633"/>
      <c r="D40" s="461" t="s">
        <v>622</v>
      </c>
      <c r="E40" s="456">
        <f>SUM(E25:E39)</f>
        <v>358.01</v>
      </c>
      <c r="F40" s="633"/>
      <c r="G40" s="633"/>
      <c r="H40" s="633"/>
      <c r="I40" s="633"/>
      <c r="J40" s="633"/>
      <c r="K40" s="633"/>
    </row>
  </sheetData>
  <mergeCells count="21">
    <mergeCell ref="A13:K13"/>
    <mergeCell ref="G20:H20"/>
    <mergeCell ref="G27:H27"/>
    <mergeCell ref="D23:E23"/>
    <mergeCell ref="A28:B28"/>
    <mergeCell ref="C14:C40"/>
    <mergeCell ref="F14:F40"/>
    <mergeCell ref="G34:H40"/>
    <mergeCell ref="I14:K40"/>
    <mergeCell ref="A1:K1"/>
    <mergeCell ref="B4:H4"/>
    <mergeCell ref="B5:H5"/>
    <mergeCell ref="B2:H2"/>
    <mergeCell ref="B3:H3"/>
    <mergeCell ref="B10:H10"/>
    <mergeCell ref="B11:H11"/>
    <mergeCell ref="B12:H12"/>
    <mergeCell ref="B6:H6"/>
    <mergeCell ref="B7:H7"/>
    <mergeCell ref="B8:H8"/>
    <mergeCell ref="B9:H9"/>
  </mergeCells>
  <pageMargins left="0.7" right="0.7" top="0.75" bottom="0.75" header="0.3" footer="0.3"/>
  <pageSetup paperSize="9"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"/>
  <sheetViews>
    <sheetView workbookViewId="0">
      <selection activeCell="G3" sqref="G3:G9"/>
    </sheetView>
  </sheetViews>
  <sheetFormatPr defaultRowHeight="13.2" x14ac:dyDescent="0.25"/>
  <cols>
    <col min="1" max="1" width="8" bestFit="1" customWidth="1"/>
    <col min="2" max="2" width="6.77734375" bestFit="1" customWidth="1"/>
    <col min="3" max="3" width="7.6640625" customWidth="1"/>
    <col min="4" max="4" width="25.21875" customWidth="1"/>
    <col min="5" max="5" width="12.109375" bestFit="1" customWidth="1"/>
    <col min="6" max="6" width="9.77734375" bestFit="1" customWidth="1"/>
    <col min="7" max="7" width="8.109375" bestFit="1" customWidth="1"/>
  </cols>
  <sheetData>
    <row r="1" spans="1:7" s="275" customFormat="1" ht="18" x14ac:dyDescent="0.25">
      <c r="A1" s="626" t="s">
        <v>579</v>
      </c>
      <c r="B1" s="627"/>
      <c r="C1" s="627"/>
      <c r="D1" s="627"/>
      <c r="E1" s="627"/>
      <c r="F1" s="627"/>
      <c r="G1" s="628"/>
    </row>
    <row r="2" spans="1:7" s="424" customFormat="1" ht="18" x14ac:dyDescent="0.25">
      <c r="A2" s="173" t="s">
        <v>580</v>
      </c>
      <c r="B2" s="629" t="s">
        <v>581</v>
      </c>
      <c r="C2" s="630"/>
      <c r="D2" s="631"/>
      <c r="E2" s="462" t="s">
        <v>582</v>
      </c>
      <c r="F2" s="422" t="s">
        <v>583</v>
      </c>
      <c r="G2" s="175" t="s">
        <v>584</v>
      </c>
    </row>
    <row r="3" spans="1:7" s="275" customFormat="1" ht="33.6" customHeight="1" x14ac:dyDescent="0.25">
      <c r="A3" s="423">
        <v>1</v>
      </c>
      <c r="B3" s="641" t="s">
        <v>808</v>
      </c>
      <c r="C3" s="642"/>
      <c r="D3" s="643"/>
      <c r="E3" s="451" t="s">
        <v>1059</v>
      </c>
      <c r="F3" s="423" t="s">
        <v>571</v>
      </c>
      <c r="G3" s="286">
        <v>900</v>
      </c>
    </row>
    <row r="4" spans="1:7" s="275" customFormat="1" ht="33.6" customHeight="1" x14ac:dyDescent="0.25">
      <c r="A4" s="423">
        <v>2</v>
      </c>
      <c r="B4" s="641" t="s">
        <v>808</v>
      </c>
      <c r="C4" s="642"/>
      <c r="D4" s="643"/>
      <c r="E4" s="451" t="s">
        <v>1060</v>
      </c>
      <c r="F4" s="423" t="s">
        <v>571</v>
      </c>
      <c r="G4" s="286">
        <v>90</v>
      </c>
    </row>
    <row r="5" spans="1:7" s="275" customFormat="1" ht="33.6" customHeight="1" x14ac:dyDescent="0.25">
      <c r="A5" s="423">
        <v>3</v>
      </c>
      <c r="B5" s="641" t="s">
        <v>808</v>
      </c>
      <c r="C5" s="642"/>
      <c r="D5" s="643"/>
      <c r="E5" s="451" t="s">
        <v>1061</v>
      </c>
      <c r="F5" s="423" t="s">
        <v>571</v>
      </c>
      <c r="G5" s="286">
        <v>9.8000000000000007</v>
      </c>
    </row>
    <row r="6" spans="1:7" s="275" customFormat="1" ht="33.6" customHeight="1" x14ac:dyDescent="0.25">
      <c r="A6" s="423">
        <v>4</v>
      </c>
      <c r="B6" s="641" t="s">
        <v>808</v>
      </c>
      <c r="C6" s="642"/>
      <c r="D6" s="643"/>
      <c r="E6" s="451" t="s">
        <v>1062</v>
      </c>
      <c r="F6" s="423" t="s">
        <v>571</v>
      </c>
      <c r="G6" s="286">
        <v>150</v>
      </c>
    </row>
    <row r="7" spans="1:7" s="275" customFormat="1" ht="33.6" customHeight="1" x14ac:dyDescent="0.25">
      <c r="A7" s="423">
        <v>5</v>
      </c>
      <c r="B7" s="641" t="s">
        <v>808</v>
      </c>
      <c r="C7" s="642"/>
      <c r="D7" s="643"/>
      <c r="E7" s="451" t="s">
        <v>1063</v>
      </c>
      <c r="F7" s="423" t="s">
        <v>571</v>
      </c>
      <c r="G7" s="286">
        <v>300</v>
      </c>
    </row>
    <row r="8" spans="1:7" s="275" customFormat="1" ht="33.6" customHeight="1" x14ac:dyDescent="0.25">
      <c r="A8" s="423">
        <v>6</v>
      </c>
      <c r="B8" s="641" t="s">
        <v>808</v>
      </c>
      <c r="C8" s="642"/>
      <c r="D8" s="643"/>
      <c r="E8" s="451" t="s">
        <v>1064</v>
      </c>
      <c r="F8" s="423" t="s">
        <v>571</v>
      </c>
      <c r="G8" s="286">
        <v>15</v>
      </c>
    </row>
    <row r="9" spans="1:7" s="275" customFormat="1" ht="33.6" customHeight="1" x14ac:dyDescent="0.25">
      <c r="A9" s="423">
        <v>7</v>
      </c>
      <c r="B9" s="641" t="s">
        <v>808</v>
      </c>
      <c r="C9" s="642"/>
      <c r="D9" s="643"/>
      <c r="E9" s="451" t="s">
        <v>1065</v>
      </c>
      <c r="F9" s="423" t="s">
        <v>571</v>
      </c>
      <c r="G9" s="286">
        <v>9.4</v>
      </c>
    </row>
    <row r="10" spans="1:7" x14ac:dyDescent="0.25">
      <c r="A10" s="632"/>
      <c r="B10" s="632"/>
      <c r="C10" s="632"/>
      <c r="D10" s="632"/>
      <c r="E10" s="632"/>
      <c r="F10" s="632"/>
      <c r="G10" s="632"/>
    </row>
    <row r="11" spans="1:7" x14ac:dyDescent="0.25">
      <c r="A11" s="452" t="s">
        <v>652</v>
      </c>
      <c r="B11" s="453" t="s">
        <v>584</v>
      </c>
      <c r="C11" s="633"/>
      <c r="D11" s="633"/>
      <c r="E11" s="633"/>
      <c r="F11" s="633"/>
      <c r="G11" s="633"/>
    </row>
    <row r="12" spans="1:7" x14ac:dyDescent="0.25">
      <c r="A12" s="455"/>
      <c r="B12" s="456"/>
      <c r="C12" s="633"/>
      <c r="D12" s="633"/>
      <c r="E12" s="633"/>
      <c r="F12" s="633"/>
      <c r="G12" s="633"/>
    </row>
    <row r="13" spans="1:7" x14ac:dyDescent="0.25">
      <c r="A13" s="455"/>
      <c r="B13" s="456"/>
      <c r="C13" s="633"/>
      <c r="D13" s="633"/>
      <c r="E13" s="633"/>
      <c r="F13" s="633"/>
      <c r="G13" s="633"/>
    </row>
    <row r="14" spans="1:7" x14ac:dyDescent="0.25">
      <c r="A14" s="455"/>
      <c r="B14" s="456"/>
      <c r="C14" s="633"/>
      <c r="D14" s="633"/>
      <c r="E14" s="633"/>
      <c r="F14" s="633"/>
      <c r="G14" s="633"/>
    </row>
    <row r="15" spans="1:7" x14ac:dyDescent="0.25">
      <c r="A15" s="455"/>
      <c r="B15" s="456"/>
      <c r="C15" s="633"/>
      <c r="D15" s="633"/>
      <c r="E15" s="633"/>
      <c r="F15" s="633"/>
      <c r="G15" s="633"/>
    </row>
    <row r="16" spans="1:7" s="425" customFormat="1" x14ac:dyDescent="0.25">
      <c r="A16" s="461" t="s">
        <v>622</v>
      </c>
      <c r="B16" s="456">
        <f>SUM(B12:B15)</f>
        <v>0</v>
      </c>
      <c r="C16" s="633"/>
      <c r="D16" s="633"/>
      <c r="E16" s="633"/>
      <c r="F16" s="633"/>
      <c r="G16" s="633"/>
    </row>
  </sheetData>
  <mergeCells count="11">
    <mergeCell ref="A1:G1"/>
    <mergeCell ref="B2:D2"/>
    <mergeCell ref="B3:D3"/>
    <mergeCell ref="A10:G10"/>
    <mergeCell ref="C11:G16"/>
    <mergeCell ref="B4:D4"/>
    <mergeCell ref="B5:D5"/>
    <mergeCell ref="B6:D6"/>
    <mergeCell ref="B7:D7"/>
    <mergeCell ref="B8:D8"/>
    <mergeCell ref="B9:D9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0"/>
  <sheetViews>
    <sheetView workbookViewId="0">
      <selection activeCell="B3" sqref="B3:D3"/>
    </sheetView>
  </sheetViews>
  <sheetFormatPr defaultRowHeight="13.2" x14ac:dyDescent="0.25"/>
  <cols>
    <col min="1" max="1" width="8" bestFit="1" customWidth="1"/>
    <col min="2" max="2" width="6.77734375" bestFit="1" customWidth="1"/>
    <col min="3" max="3" width="7.6640625" customWidth="1"/>
    <col min="4" max="4" width="23.21875" customWidth="1"/>
    <col min="5" max="5" width="38.33203125" customWidth="1"/>
    <col min="6" max="6" width="5.6640625" bestFit="1" customWidth="1"/>
    <col min="7" max="7" width="8.109375" bestFit="1" customWidth="1"/>
  </cols>
  <sheetData>
    <row r="1" spans="1:7" s="275" customFormat="1" ht="18" x14ac:dyDescent="0.25">
      <c r="A1" s="626" t="s">
        <v>579</v>
      </c>
      <c r="B1" s="627"/>
      <c r="C1" s="627"/>
      <c r="D1" s="627"/>
      <c r="E1" s="627"/>
      <c r="F1" s="627"/>
      <c r="G1" s="628"/>
    </row>
    <row r="2" spans="1:7" s="424" customFormat="1" ht="36" x14ac:dyDescent="0.25">
      <c r="A2" s="173" t="s">
        <v>580</v>
      </c>
      <c r="B2" s="629" t="s">
        <v>581</v>
      </c>
      <c r="C2" s="630"/>
      <c r="D2" s="631"/>
      <c r="E2" s="462" t="s">
        <v>582</v>
      </c>
      <c r="F2" s="422" t="s">
        <v>583</v>
      </c>
      <c r="G2" s="175" t="s">
        <v>584</v>
      </c>
    </row>
    <row r="3" spans="1:7" s="275" customFormat="1" ht="59.4" customHeight="1" x14ac:dyDescent="0.25">
      <c r="A3" s="423">
        <v>1</v>
      </c>
      <c r="B3" s="641" t="s">
        <v>1057</v>
      </c>
      <c r="C3" s="642"/>
      <c r="D3" s="643"/>
      <c r="E3" s="451" t="s">
        <v>1058</v>
      </c>
      <c r="F3" s="423" t="s">
        <v>571</v>
      </c>
      <c r="G3" s="286">
        <v>83.5</v>
      </c>
    </row>
    <row r="4" spans="1:7" x14ac:dyDescent="0.25">
      <c r="A4" s="632"/>
      <c r="B4" s="632"/>
      <c r="C4" s="632"/>
      <c r="D4" s="632"/>
      <c r="E4" s="632"/>
      <c r="F4" s="632"/>
      <c r="G4" s="632"/>
    </row>
    <row r="5" spans="1:7" x14ac:dyDescent="0.25">
      <c r="A5" s="452" t="s">
        <v>652</v>
      </c>
      <c r="B5" s="453" t="s">
        <v>584</v>
      </c>
      <c r="C5" s="633"/>
      <c r="D5" s="633"/>
      <c r="E5" s="633"/>
      <c r="F5" s="633"/>
      <c r="G5" s="633"/>
    </row>
    <row r="6" spans="1:7" x14ac:dyDescent="0.25">
      <c r="A6" s="455" t="s">
        <v>481</v>
      </c>
      <c r="B6" s="456">
        <f>2.7*4</f>
        <v>10.8</v>
      </c>
      <c r="C6" s="633"/>
      <c r="D6" s="633"/>
      <c r="E6" s="633"/>
      <c r="F6" s="633"/>
      <c r="G6" s="633"/>
    </row>
    <row r="7" spans="1:7" x14ac:dyDescent="0.25">
      <c r="A7" s="455" t="s">
        <v>537</v>
      </c>
      <c r="B7" s="456">
        <f>8.8*4</f>
        <v>35.200000000000003</v>
      </c>
      <c r="C7" s="633"/>
      <c r="D7" s="633"/>
      <c r="E7" s="633"/>
      <c r="F7" s="633"/>
      <c r="G7" s="633"/>
    </row>
    <row r="8" spans="1:7" x14ac:dyDescent="0.25">
      <c r="A8" s="455" t="s">
        <v>541</v>
      </c>
      <c r="B8" s="456">
        <f>4.56*4+1.06</f>
        <v>19.299999999999997</v>
      </c>
      <c r="C8" s="633"/>
      <c r="D8" s="633"/>
      <c r="E8" s="633"/>
      <c r="F8" s="633"/>
      <c r="G8" s="633"/>
    </row>
    <row r="9" spans="1:7" x14ac:dyDescent="0.25">
      <c r="A9" s="455" t="s">
        <v>548</v>
      </c>
      <c r="B9" s="456">
        <f>4.55*4</f>
        <v>18.2</v>
      </c>
      <c r="C9" s="633"/>
      <c r="D9" s="633"/>
      <c r="E9" s="633"/>
      <c r="F9" s="633"/>
      <c r="G9" s="633"/>
    </row>
    <row r="10" spans="1:7" s="425" customFormat="1" x14ac:dyDescent="0.25">
      <c r="A10" s="461" t="s">
        <v>622</v>
      </c>
      <c r="B10" s="456">
        <f>SUM(B6:B9)</f>
        <v>83.5</v>
      </c>
      <c r="C10" s="633"/>
      <c r="D10" s="633"/>
      <c r="E10" s="633"/>
      <c r="F10" s="633"/>
      <c r="G10" s="633"/>
    </row>
  </sheetData>
  <mergeCells count="5">
    <mergeCell ref="A1:G1"/>
    <mergeCell ref="B2:D2"/>
    <mergeCell ref="B3:D3"/>
    <mergeCell ref="A4:G4"/>
    <mergeCell ref="C5:G1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6"/>
  <sheetViews>
    <sheetView workbookViewId="0">
      <selection activeCell="B6" sqref="B6:D6"/>
    </sheetView>
  </sheetViews>
  <sheetFormatPr defaultRowHeight="13.2" x14ac:dyDescent="0.25"/>
  <cols>
    <col min="1" max="1" width="8" bestFit="1" customWidth="1"/>
    <col min="2" max="2" width="6.77734375" bestFit="1" customWidth="1"/>
    <col min="3" max="3" width="7.6640625" customWidth="1"/>
    <col min="4" max="4" width="28.21875" customWidth="1"/>
    <col min="5" max="5" width="12.77734375" bestFit="1" customWidth="1"/>
    <col min="6" max="6" width="5.6640625" bestFit="1" customWidth="1"/>
    <col min="7" max="7" width="8.109375" bestFit="1" customWidth="1"/>
  </cols>
  <sheetData>
    <row r="1" spans="1:7" s="275" customFormat="1" ht="18" x14ac:dyDescent="0.25">
      <c r="A1" s="626" t="s">
        <v>579</v>
      </c>
      <c r="B1" s="627"/>
      <c r="C1" s="627"/>
      <c r="D1" s="627"/>
      <c r="E1" s="627"/>
      <c r="F1" s="627"/>
      <c r="G1" s="628"/>
    </row>
    <row r="2" spans="1:7" s="424" customFormat="1" ht="36" x14ac:dyDescent="0.25">
      <c r="A2" s="173" t="s">
        <v>580</v>
      </c>
      <c r="B2" s="629" t="s">
        <v>581</v>
      </c>
      <c r="C2" s="630"/>
      <c r="D2" s="631"/>
      <c r="E2" s="462" t="s">
        <v>582</v>
      </c>
      <c r="F2" s="422" t="s">
        <v>583</v>
      </c>
      <c r="G2" s="175" t="s">
        <v>584</v>
      </c>
    </row>
    <row r="3" spans="1:7" s="275" customFormat="1" ht="59.4" customHeight="1" x14ac:dyDescent="0.25">
      <c r="A3" s="423">
        <v>1</v>
      </c>
      <c r="B3" s="641" t="s">
        <v>1050</v>
      </c>
      <c r="C3" s="642"/>
      <c r="D3" s="643"/>
      <c r="E3" s="451" t="s">
        <v>1051</v>
      </c>
      <c r="F3" s="423" t="s">
        <v>571</v>
      </c>
      <c r="G3" s="286">
        <v>6.3</v>
      </c>
    </row>
    <row r="4" spans="1:7" s="275" customFormat="1" ht="59.4" customHeight="1" x14ac:dyDescent="0.25">
      <c r="A4" s="423">
        <v>2</v>
      </c>
      <c r="B4" s="641" t="s">
        <v>1050</v>
      </c>
      <c r="C4" s="642"/>
      <c r="D4" s="643"/>
      <c r="E4" s="451" t="s">
        <v>1052</v>
      </c>
      <c r="F4" s="423" t="s">
        <v>571</v>
      </c>
      <c r="G4" s="286">
        <v>24.1</v>
      </c>
    </row>
    <row r="5" spans="1:7" s="275" customFormat="1" ht="59.4" customHeight="1" x14ac:dyDescent="0.25">
      <c r="A5" s="423">
        <v>3</v>
      </c>
      <c r="B5" s="641" t="s">
        <v>1053</v>
      </c>
      <c r="C5" s="642"/>
      <c r="D5" s="643"/>
      <c r="E5" s="451" t="s">
        <v>1054</v>
      </c>
      <c r="F5" s="423" t="s">
        <v>571</v>
      </c>
      <c r="G5" s="286">
        <v>0.4</v>
      </c>
    </row>
    <row r="6" spans="1:7" s="275" customFormat="1" ht="59.4" customHeight="1" x14ac:dyDescent="0.25">
      <c r="A6" s="423">
        <v>4</v>
      </c>
      <c r="B6" s="641" t="s">
        <v>1055</v>
      </c>
      <c r="C6" s="642"/>
      <c r="D6" s="643"/>
      <c r="E6" s="451" t="s">
        <v>1056</v>
      </c>
      <c r="F6" s="423" t="s">
        <v>571</v>
      </c>
      <c r="G6" s="286">
        <v>36.700000000000003</v>
      </c>
    </row>
  </sheetData>
  <mergeCells count="6">
    <mergeCell ref="B4:D4"/>
    <mergeCell ref="B6:D6"/>
    <mergeCell ref="A1:G1"/>
    <mergeCell ref="B2:D2"/>
    <mergeCell ref="B3:D3"/>
    <mergeCell ref="B5:D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20:C128"/>
  <sheetViews>
    <sheetView zoomScale="85" zoomScaleNormal="85" workbookViewId="0">
      <selection activeCell="A3" sqref="A3:C66"/>
    </sheetView>
  </sheetViews>
  <sheetFormatPr defaultRowHeight="13.2" x14ac:dyDescent="0.25"/>
  <cols>
    <col min="1" max="1" width="10.109375" style="440" customWidth="1"/>
    <col min="2" max="3" width="10.109375" style="198" customWidth="1"/>
    <col min="4" max="16384" width="8.88671875" style="198"/>
  </cols>
  <sheetData>
    <row r="120" spans="1:3" x14ac:dyDescent="0.25">
      <c r="A120" s="441" t="s">
        <v>1027</v>
      </c>
      <c r="B120" s="198">
        <f t="shared" ref="B120:B127" si="0">SUM(SUMIF(C$76:C$119,A120,B$76:B$119))</f>
        <v>0</v>
      </c>
      <c r="C120" s="198">
        <v>3000</v>
      </c>
    </row>
    <row r="121" spans="1:3" x14ac:dyDescent="0.25">
      <c r="A121" s="441" t="s">
        <v>1028</v>
      </c>
      <c r="B121" s="198">
        <f t="shared" si="0"/>
        <v>0</v>
      </c>
      <c r="C121" s="198">
        <v>65.099999999999994</v>
      </c>
    </row>
    <row r="122" spans="1:3" x14ac:dyDescent="0.25">
      <c r="A122" s="441" t="s">
        <v>1029</v>
      </c>
      <c r="B122" s="198">
        <f t="shared" si="0"/>
        <v>0</v>
      </c>
      <c r="C122" s="198">
        <v>36.1</v>
      </c>
    </row>
    <row r="123" spans="1:3" x14ac:dyDescent="0.25">
      <c r="A123" s="198" t="s">
        <v>1037</v>
      </c>
      <c r="B123" s="198">
        <f t="shared" si="0"/>
        <v>0</v>
      </c>
      <c r="C123" s="198">
        <v>9.4</v>
      </c>
    </row>
    <row r="124" spans="1:3" x14ac:dyDescent="0.25">
      <c r="A124" s="441"/>
      <c r="B124" s="198">
        <f t="shared" si="0"/>
        <v>0</v>
      </c>
    </row>
    <row r="125" spans="1:3" x14ac:dyDescent="0.25">
      <c r="A125" s="441" t="s">
        <v>1031</v>
      </c>
      <c r="B125" s="198">
        <f t="shared" si="0"/>
        <v>0</v>
      </c>
      <c r="C125" s="198">
        <v>314.2</v>
      </c>
    </row>
    <row r="126" spans="1:3" x14ac:dyDescent="0.25">
      <c r="A126" s="441" t="s">
        <v>1032</v>
      </c>
      <c r="B126" s="198">
        <f t="shared" si="0"/>
        <v>0</v>
      </c>
      <c r="C126" s="198">
        <v>72.900000000000006</v>
      </c>
    </row>
    <row r="127" spans="1:3" x14ac:dyDescent="0.25">
      <c r="A127" s="441" t="s">
        <v>1033</v>
      </c>
      <c r="B127" s="198">
        <f t="shared" si="0"/>
        <v>0</v>
      </c>
      <c r="C127" s="198">
        <v>8.6</v>
      </c>
    </row>
    <row r="128" spans="1:3" x14ac:dyDescent="0.25">
      <c r="A128" s="441"/>
    </row>
  </sheetData>
  <pageMargins left="0.7" right="0.7" top="0.75" bottom="0.75" header="0.3" footer="0.3"/>
  <pageSetup paperSize="9"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C95"/>
  <sheetViews>
    <sheetView zoomScale="85" zoomScaleNormal="85" workbookViewId="0">
      <selection activeCell="C128" sqref="A120:C128"/>
    </sheetView>
  </sheetViews>
  <sheetFormatPr defaultRowHeight="13.2" x14ac:dyDescent="0.25"/>
  <cols>
    <col min="1" max="1" width="10.109375" style="440" customWidth="1"/>
    <col min="2" max="3" width="10.109375" style="198" customWidth="1"/>
    <col min="4" max="16384" width="8.88671875" style="198"/>
  </cols>
  <sheetData>
    <row r="2" spans="1:3" x14ac:dyDescent="0.25">
      <c r="A2" s="440" t="s">
        <v>1038</v>
      </c>
      <c r="B2" s="198" t="s">
        <v>1039</v>
      </c>
      <c r="C2" s="441" t="s">
        <v>1040</v>
      </c>
    </row>
    <row r="3" spans="1:3" x14ac:dyDescent="0.25">
      <c r="A3" s="440" t="s">
        <v>424</v>
      </c>
      <c r="B3" s="198">
        <f>83.8-B4</f>
        <v>49.8</v>
      </c>
      <c r="C3" s="441" t="s">
        <v>1027</v>
      </c>
    </row>
    <row r="4" spans="1:3" x14ac:dyDescent="0.25">
      <c r="A4" s="440" t="s">
        <v>424</v>
      </c>
      <c r="B4" s="198">
        <v>34</v>
      </c>
      <c r="C4" s="441" t="s">
        <v>1036</v>
      </c>
    </row>
    <row r="5" spans="1:3" x14ac:dyDescent="0.25">
      <c r="A5" s="440" t="s">
        <v>424</v>
      </c>
      <c r="B5" s="198">
        <v>15.2</v>
      </c>
      <c r="C5" s="441" t="s">
        <v>1033</v>
      </c>
    </row>
    <row r="6" spans="1:3" x14ac:dyDescent="0.25">
      <c r="A6" s="440" t="s">
        <v>424</v>
      </c>
      <c r="B6" s="198">
        <v>72</v>
      </c>
      <c r="C6" s="441" t="s">
        <v>1035</v>
      </c>
    </row>
    <row r="7" spans="1:3" x14ac:dyDescent="0.25">
      <c r="A7" s="440" t="s">
        <v>425</v>
      </c>
      <c r="B7" s="198">
        <f>115.5-B8</f>
        <v>93.1</v>
      </c>
      <c r="C7" s="441" t="s">
        <v>1027</v>
      </c>
    </row>
    <row r="8" spans="1:3" x14ac:dyDescent="0.25">
      <c r="A8" s="440" t="s">
        <v>425</v>
      </c>
      <c r="B8" s="198">
        <f>5.6*4</f>
        <v>22.4</v>
      </c>
      <c r="C8" s="441" t="s">
        <v>1031</v>
      </c>
    </row>
    <row r="9" spans="1:3" x14ac:dyDescent="0.25">
      <c r="A9" s="440" t="s">
        <v>426</v>
      </c>
      <c r="B9" s="198">
        <f>134.2-B10</f>
        <v>111.39999999999999</v>
      </c>
      <c r="C9" s="441" t="s">
        <v>1027</v>
      </c>
    </row>
    <row r="10" spans="1:3" x14ac:dyDescent="0.25">
      <c r="A10" s="440" t="s">
        <v>426</v>
      </c>
      <c r="B10" s="198">
        <f>5.7*4</f>
        <v>22.8</v>
      </c>
      <c r="C10" s="441" t="s">
        <v>1031</v>
      </c>
    </row>
    <row r="12" spans="1:3" x14ac:dyDescent="0.25">
      <c r="A12" s="440" t="s">
        <v>427</v>
      </c>
      <c r="B12" s="198">
        <f>100.3-1.8</f>
        <v>98.5</v>
      </c>
      <c r="C12" s="441" t="s">
        <v>1027</v>
      </c>
    </row>
    <row r="13" spans="1:3" x14ac:dyDescent="0.25">
      <c r="A13" s="440" t="s">
        <v>428</v>
      </c>
      <c r="B13" s="198">
        <f>112.1-B14</f>
        <v>92.899999999999991</v>
      </c>
      <c r="C13" s="441" t="s">
        <v>1027</v>
      </c>
    </row>
    <row r="14" spans="1:3" x14ac:dyDescent="0.25">
      <c r="A14" s="440" t="s">
        <v>428</v>
      </c>
      <c r="B14" s="198">
        <f>4.8*4</f>
        <v>19.2</v>
      </c>
      <c r="C14" s="441" t="s">
        <v>1031</v>
      </c>
    </row>
    <row r="16" spans="1:3" x14ac:dyDescent="0.25">
      <c r="A16" s="440" t="s">
        <v>429</v>
      </c>
      <c r="B16" s="198">
        <f>110.7-B17</f>
        <v>80.7</v>
      </c>
      <c r="C16" s="441" t="s">
        <v>1027</v>
      </c>
    </row>
    <row r="17" spans="1:3" x14ac:dyDescent="0.25">
      <c r="A17" s="443" t="s">
        <v>429</v>
      </c>
      <c r="B17" s="198">
        <f>7.5*4</f>
        <v>30</v>
      </c>
      <c r="C17" s="441" t="s">
        <v>1031</v>
      </c>
    </row>
    <row r="20" spans="1:3" x14ac:dyDescent="0.25">
      <c r="A20" s="440" t="s">
        <v>430</v>
      </c>
      <c r="B20" s="198">
        <f>108.9-B21</f>
        <v>90.100000000000009</v>
      </c>
      <c r="C20" s="441" t="s">
        <v>1027</v>
      </c>
    </row>
    <row r="21" spans="1:3" x14ac:dyDescent="0.25">
      <c r="A21" s="440" t="s">
        <v>430</v>
      </c>
      <c r="B21" s="198">
        <f>4.7*4</f>
        <v>18.8</v>
      </c>
      <c r="C21" s="441" t="s">
        <v>1031</v>
      </c>
    </row>
    <row r="23" spans="1:3" x14ac:dyDescent="0.25">
      <c r="A23" s="440" t="s">
        <v>431</v>
      </c>
      <c r="B23" s="198">
        <f>113.1-1.4*1.8</f>
        <v>110.58</v>
      </c>
      <c r="C23" s="441" t="s">
        <v>1027</v>
      </c>
    </row>
    <row r="24" spans="1:3" x14ac:dyDescent="0.25">
      <c r="A24" s="440" t="s">
        <v>432</v>
      </c>
      <c r="B24" s="198">
        <v>176.5</v>
      </c>
      <c r="C24" s="441" t="s">
        <v>1027</v>
      </c>
    </row>
    <row r="26" spans="1:3" x14ac:dyDescent="0.25">
      <c r="A26" s="440" t="s">
        <v>433</v>
      </c>
      <c r="B26" s="198">
        <v>36.299999999999997</v>
      </c>
      <c r="C26" s="198">
        <v>0</v>
      </c>
    </row>
    <row r="28" spans="1:3" x14ac:dyDescent="0.25">
      <c r="A28" s="440" t="s">
        <v>671</v>
      </c>
      <c r="B28" s="198">
        <f>57*0.6</f>
        <v>34.199999999999996</v>
      </c>
      <c r="C28" s="441" t="s">
        <v>1027</v>
      </c>
    </row>
    <row r="30" spans="1:3" x14ac:dyDescent="0.25">
      <c r="A30" s="440" t="s">
        <v>434</v>
      </c>
      <c r="B30" s="198">
        <f>53.5*0.6</f>
        <v>32.1</v>
      </c>
      <c r="C30" s="441" t="s">
        <v>1027</v>
      </c>
    </row>
    <row r="32" spans="1:3" x14ac:dyDescent="0.25">
      <c r="A32" s="440" t="s">
        <v>435</v>
      </c>
      <c r="B32" s="198">
        <v>77.5</v>
      </c>
      <c r="C32" s="441" t="s">
        <v>1027</v>
      </c>
    </row>
    <row r="33" spans="1:3" x14ac:dyDescent="0.25">
      <c r="A33" s="440" t="s">
        <v>436</v>
      </c>
      <c r="B33" s="198">
        <v>53.6</v>
      </c>
      <c r="C33" s="198">
        <v>0</v>
      </c>
    </row>
    <row r="34" spans="1:3" x14ac:dyDescent="0.25">
      <c r="A34" s="440" t="s">
        <v>437</v>
      </c>
      <c r="B34" s="198">
        <f>45.1*0.6</f>
        <v>27.06</v>
      </c>
      <c r="C34" s="441" t="s">
        <v>1027</v>
      </c>
    </row>
    <row r="35" spans="1:3" x14ac:dyDescent="0.25">
      <c r="A35" s="440" t="s">
        <v>438</v>
      </c>
      <c r="B35" s="198">
        <v>80.599999999999994</v>
      </c>
      <c r="C35" s="441" t="s">
        <v>1027</v>
      </c>
    </row>
    <row r="36" spans="1:3" x14ac:dyDescent="0.25">
      <c r="A36" s="440" t="s">
        <v>439</v>
      </c>
      <c r="B36" s="198">
        <f>40.4*0.6</f>
        <v>24.24</v>
      </c>
      <c r="C36" s="441" t="s">
        <v>1027</v>
      </c>
    </row>
    <row r="37" spans="1:3" x14ac:dyDescent="0.25">
      <c r="A37" s="440" t="s">
        <v>440</v>
      </c>
      <c r="B37" s="198">
        <v>53.2</v>
      </c>
      <c r="C37" s="198">
        <v>0</v>
      </c>
    </row>
    <row r="38" spans="1:3" x14ac:dyDescent="0.25">
      <c r="A38" s="440" t="s">
        <v>441</v>
      </c>
      <c r="B38" s="198">
        <v>89.4</v>
      </c>
      <c r="C38" s="198">
        <v>0</v>
      </c>
    </row>
    <row r="39" spans="1:3" x14ac:dyDescent="0.25">
      <c r="A39" s="440" t="s">
        <v>442</v>
      </c>
      <c r="B39" s="198">
        <v>626.5</v>
      </c>
      <c r="C39" s="441" t="s">
        <v>1027</v>
      </c>
    </row>
    <row r="40" spans="1:3" x14ac:dyDescent="0.25">
      <c r="A40" s="440" t="s">
        <v>443</v>
      </c>
      <c r="B40" s="198">
        <f>125.7-6*4</f>
        <v>101.7</v>
      </c>
      <c r="C40" s="441" t="s">
        <v>1027</v>
      </c>
    </row>
    <row r="41" spans="1:3" x14ac:dyDescent="0.25">
      <c r="A41" s="440" t="s">
        <v>444</v>
      </c>
      <c r="B41" s="198">
        <v>54.2</v>
      </c>
      <c r="C41" s="441" t="s">
        <v>1027</v>
      </c>
    </row>
    <row r="42" spans="1:3" x14ac:dyDescent="0.25">
      <c r="A42" s="440" t="s">
        <v>445</v>
      </c>
      <c r="B42" s="198">
        <v>34.9</v>
      </c>
      <c r="C42" s="198">
        <v>0</v>
      </c>
    </row>
    <row r="43" spans="1:3" x14ac:dyDescent="0.25">
      <c r="A43" s="440" t="s">
        <v>446</v>
      </c>
      <c r="B43" s="198">
        <v>51.1</v>
      </c>
      <c r="C43" s="198">
        <v>0</v>
      </c>
    </row>
    <row r="44" spans="1:3" x14ac:dyDescent="0.25">
      <c r="A44" s="442" t="s">
        <v>447</v>
      </c>
      <c r="B44" s="198">
        <f>80.2*0+18.8*2.2</f>
        <v>41.360000000000007</v>
      </c>
      <c r="C44" s="441" t="s">
        <v>1027</v>
      </c>
    </row>
    <row r="45" spans="1:3" x14ac:dyDescent="0.25">
      <c r="A45" s="442" t="s">
        <v>448</v>
      </c>
      <c r="B45" s="198">
        <f>80.2*0+18.8*2.2</f>
        <v>41.360000000000007</v>
      </c>
      <c r="C45" s="441" t="s">
        <v>1027</v>
      </c>
    </row>
    <row r="46" spans="1:3" x14ac:dyDescent="0.25">
      <c r="A46" s="442" t="s">
        <v>449</v>
      </c>
      <c r="B46" s="198">
        <f>34.8*0+8.3*2.2</f>
        <v>18.260000000000002</v>
      </c>
      <c r="C46" s="441" t="s">
        <v>1027</v>
      </c>
    </row>
    <row r="47" spans="1:3" x14ac:dyDescent="0.25">
      <c r="A47" s="440" t="s">
        <v>450</v>
      </c>
      <c r="B47" s="198">
        <v>46.9</v>
      </c>
      <c r="C47" s="441" t="s">
        <v>1027</v>
      </c>
    </row>
    <row r="48" spans="1:3" x14ac:dyDescent="0.25">
      <c r="A48" s="440" t="s">
        <v>451</v>
      </c>
      <c r="B48" s="198">
        <f>291.5-B49-B50</f>
        <v>248.7</v>
      </c>
      <c r="C48" s="441" t="s">
        <v>1027</v>
      </c>
    </row>
    <row r="49" spans="1:3" x14ac:dyDescent="0.25">
      <c r="A49" s="440" t="s">
        <v>451</v>
      </c>
      <c r="B49" s="441">
        <f>0.5*5*4</f>
        <v>10</v>
      </c>
      <c r="C49" s="441" t="s">
        <v>1029</v>
      </c>
    </row>
    <row r="50" spans="1:3" x14ac:dyDescent="0.25">
      <c r="A50" s="440" t="s">
        <v>451</v>
      </c>
      <c r="B50" s="441">
        <v>32.799999999999997</v>
      </c>
      <c r="C50" s="441" t="s">
        <v>1034</v>
      </c>
    </row>
    <row r="51" spans="1:3" x14ac:dyDescent="0.25">
      <c r="A51" s="440" t="s">
        <v>678</v>
      </c>
      <c r="B51" s="198">
        <v>60.5</v>
      </c>
      <c r="C51" s="441" t="s">
        <v>1027</v>
      </c>
    </row>
    <row r="52" spans="1:3" x14ac:dyDescent="0.25">
      <c r="A52" s="440" t="s">
        <v>452</v>
      </c>
      <c r="B52" s="198">
        <f>268.7-B53</f>
        <v>250.29999999999998</v>
      </c>
      <c r="C52" s="441" t="s">
        <v>1027</v>
      </c>
    </row>
    <row r="53" spans="1:3" x14ac:dyDescent="0.25">
      <c r="A53" s="440" t="s">
        <v>452</v>
      </c>
      <c r="B53" s="198">
        <f>4.6*4</f>
        <v>18.399999999999999</v>
      </c>
      <c r="C53" s="441" t="s">
        <v>1028</v>
      </c>
    </row>
    <row r="54" spans="1:3" x14ac:dyDescent="0.25">
      <c r="A54" s="444" t="s">
        <v>453</v>
      </c>
      <c r="B54" s="198">
        <f>78.7-B55</f>
        <v>37.820000000000007</v>
      </c>
      <c r="C54" s="441" t="s">
        <v>1027</v>
      </c>
    </row>
    <row r="55" spans="1:3" x14ac:dyDescent="0.25">
      <c r="A55" s="444" t="s">
        <v>453</v>
      </c>
      <c r="B55" s="198">
        <f>3.36*2*4+14</f>
        <v>40.879999999999995</v>
      </c>
      <c r="C55" s="441" t="s">
        <v>1031</v>
      </c>
    </row>
    <row r="56" spans="1:3" x14ac:dyDescent="0.25">
      <c r="A56" s="444" t="s">
        <v>454</v>
      </c>
      <c r="B56" s="198">
        <f>84-B57</f>
        <v>37</v>
      </c>
      <c r="C56" s="441" t="s">
        <v>1027</v>
      </c>
    </row>
    <row r="57" spans="1:3" x14ac:dyDescent="0.25">
      <c r="A57" s="444" t="s">
        <v>454</v>
      </c>
      <c r="B57" s="198">
        <v>47</v>
      </c>
      <c r="C57" s="441" t="s">
        <v>1031</v>
      </c>
    </row>
    <row r="58" spans="1:3" x14ac:dyDescent="0.25">
      <c r="A58" s="440" t="s">
        <v>455</v>
      </c>
      <c r="B58" s="198">
        <v>71.099999999999994</v>
      </c>
      <c r="C58" s="441" t="s">
        <v>1027</v>
      </c>
    </row>
    <row r="60" spans="1:3" x14ac:dyDescent="0.25">
      <c r="A60" s="444" t="s">
        <v>456</v>
      </c>
      <c r="B60" s="198">
        <f>82.1-B61</f>
        <v>37.099999999999994</v>
      </c>
      <c r="C60" s="441" t="s">
        <v>1027</v>
      </c>
    </row>
    <row r="61" spans="1:3" x14ac:dyDescent="0.25">
      <c r="A61" s="444" t="s">
        <v>456</v>
      </c>
      <c r="B61" s="198">
        <v>45</v>
      </c>
      <c r="C61" s="441" t="s">
        <v>1031</v>
      </c>
    </row>
    <row r="62" spans="1:3" x14ac:dyDescent="0.25">
      <c r="A62" s="444" t="s">
        <v>457</v>
      </c>
      <c r="B62" s="198">
        <f>98.7-B63</f>
        <v>46.7</v>
      </c>
      <c r="C62" s="441" t="s">
        <v>1027</v>
      </c>
    </row>
    <row r="63" spans="1:3" x14ac:dyDescent="0.25">
      <c r="A63" s="444" t="s">
        <v>457</v>
      </c>
      <c r="B63" s="198">
        <v>52</v>
      </c>
      <c r="C63" s="441" t="s">
        <v>1031</v>
      </c>
    </row>
    <row r="64" spans="1:3" x14ac:dyDescent="0.25">
      <c r="A64" s="440" t="s">
        <v>458</v>
      </c>
      <c r="B64" s="198">
        <v>47.6</v>
      </c>
      <c r="C64" s="198">
        <v>0</v>
      </c>
    </row>
    <row r="65" spans="1:3" x14ac:dyDescent="0.25">
      <c r="A65" s="440" t="s">
        <v>459</v>
      </c>
      <c r="B65" s="198">
        <f>83.9-B66</f>
        <v>80.900000000000006</v>
      </c>
      <c r="C65" s="441" t="s">
        <v>1027</v>
      </c>
    </row>
    <row r="66" spans="1:3" x14ac:dyDescent="0.25">
      <c r="A66" s="440" t="s">
        <v>459</v>
      </c>
      <c r="B66" s="198">
        <v>3</v>
      </c>
      <c r="C66" s="441" t="s">
        <v>1029</v>
      </c>
    </row>
    <row r="69" spans="1:3" x14ac:dyDescent="0.25">
      <c r="A69" s="440" t="s">
        <v>460</v>
      </c>
      <c r="B69" s="198">
        <f>40.2*0.6</f>
        <v>24.12</v>
      </c>
      <c r="C69" s="441" t="s">
        <v>1027</v>
      </c>
    </row>
    <row r="70" spans="1:3" x14ac:dyDescent="0.25">
      <c r="A70" s="445" t="s">
        <v>461</v>
      </c>
      <c r="B70" s="198">
        <f>88.5*0.6</f>
        <v>53.1</v>
      </c>
      <c r="C70" s="441" t="s">
        <v>1027</v>
      </c>
    </row>
    <row r="71" spans="1:3" x14ac:dyDescent="0.25">
      <c r="A71" s="440" t="s">
        <v>462</v>
      </c>
      <c r="B71" s="198">
        <v>85.8</v>
      </c>
      <c r="C71" s="441" t="s">
        <v>1027</v>
      </c>
    </row>
    <row r="72" spans="1:3" x14ac:dyDescent="0.25">
      <c r="A72" s="440" t="s">
        <v>463</v>
      </c>
      <c r="B72" s="198">
        <f>94.9-10.2*4</f>
        <v>54.100000000000009</v>
      </c>
      <c r="C72" s="441" t="s">
        <v>1027</v>
      </c>
    </row>
    <row r="73" spans="1:3" x14ac:dyDescent="0.25">
      <c r="A73" s="440" t="s">
        <v>464</v>
      </c>
      <c r="B73" s="198">
        <v>81.7</v>
      </c>
      <c r="C73" s="441" t="s">
        <v>1027</v>
      </c>
    </row>
    <row r="74" spans="1:3" x14ac:dyDescent="0.25">
      <c r="A74" s="440" t="s">
        <v>465</v>
      </c>
      <c r="B74" s="198">
        <f>39.7*0.6</f>
        <v>23.82</v>
      </c>
      <c r="C74" s="441" t="s">
        <v>1027</v>
      </c>
    </row>
    <row r="75" spans="1:3" x14ac:dyDescent="0.25">
      <c r="A75" s="440" t="s">
        <v>466</v>
      </c>
      <c r="B75" s="198">
        <v>84.5</v>
      </c>
      <c r="C75" s="441" t="s">
        <v>1027</v>
      </c>
    </row>
    <row r="76" spans="1:3" x14ac:dyDescent="0.25">
      <c r="A76" s="440" t="s">
        <v>467</v>
      </c>
      <c r="B76" s="198">
        <f>94.9-10.2*4</f>
        <v>54.100000000000009</v>
      </c>
      <c r="C76" s="441" t="s">
        <v>1027</v>
      </c>
    </row>
    <row r="77" spans="1:3" x14ac:dyDescent="0.25">
      <c r="A77" s="440" t="s">
        <v>468</v>
      </c>
      <c r="B77" s="198">
        <f>87.7*0.6</f>
        <v>52.62</v>
      </c>
      <c r="C77" s="441" t="s">
        <v>1027</v>
      </c>
    </row>
    <row r="78" spans="1:3" x14ac:dyDescent="0.25">
      <c r="A78" s="440" t="s">
        <v>469</v>
      </c>
      <c r="B78" s="198">
        <v>112.1</v>
      </c>
      <c r="C78" s="441" t="s">
        <v>1027</v>
      </c>
    </row>
    <row r="79" spans="1:3" x14ac:dyDescent="0.25">
      <c r="A79" s="440" t="s">
        <v>470</v>
      </c>
      <c r="B79" s="198">
        <v>41.3</v>
      </c>
      <c r="C79" s="441" t="s">
        <v>1027</v>
      </c>
    </row>
    <row r="80" spans="1:3" x14ac:dyDescent="0.25">
      <c r="A80" s="440" t="s">
        <v>471</v>
      </c>
      <c r="B80" s="198">
        <v>103.9</v>
      </c>
      <c r="C80" s="441" t="s">
        <v>1027</v>
      </c>
    </row>
    <row r="81" spans="1:3" x14ac:dyDescent="0.25">
      <c r="A81" s="440" t="s">
        <v>472</v>
      </c>
      <c r="B81" s="198">
        <v>40.200000000000003</v>
      </c>
      <c r="C81" s="441" t="s">
        <v>1027</v>
      </c>
    </row>
    <row r="82" spans="1:3" x14ac:dyDescent="0.25">
      <c r="A82" s="440" t="s">
        <v>473</v>
      </c>
      <c r="B82" s="198">
        <f>88.6-B83</f>
        <v>76.599999999999994</v>
      </c>
      <c r="C82" s="441" t="s">
        <v>1027</v>
      </c>
    </row>
    <row r="83" spans="1:3" x14ac:dyDescent="0.25">
      <c r="A83" s="440" t="s">
        <v>473</v>
      </c>
      <c r="B83" s="198">
        <f>3*4</f>
        <v>12</v>
      </c>
      <c r="C83" s="441" t="s">
        <v>1029</v>
      </c>
    </row>
    <row r="84" spans="1:3" x14ac:dyDescent="0.25">
      <c r="A84" s="440" t="s">
        <v>474</v>
      </c>
      <c r="B84" s="198">
        <v>39.799999999999997</v>
      </c>
      <c r="C84" s="198">
        <v>0</v>
      </c>
    </row>
    <row r="85" spans="1:3" x14ac:dyDescent="0.25">
      <c r="A85" s="440" t="s">
        <v>475</v>
      </c>
      <c r="B85" s="198">
        <v>38.9</v>
      </c>
      <c r="C85" s="441" t="s">
        <v>1027</v>
      </c>
    </row>
    <row r="86" spans="1:3" x14ac:dyDescent="0.25">
      <c r="A86" s="444" t="s">
        <v>476</v>
      </c>
      <c r="B86" s="198">
        <f>104-B87</f>
        <v>47</v>
      </c>
      <c r="C86" s="441" t="s">
        <v>1027</v>
      </c>
    </row>
    <row r="87" spans="1:3" x14ac:dyDescent="0.25">
      <c r="A87" s="444" t="s">
        <v>476</v>
      </c>
      <c r="B87" s="198">
        <v>57</v>
      </c>
      <c r="C87" s="441" t="s">
        <v>1031</v>
      </c>
    </row>
    <row r="88" spans="1:3" x14ac:dyDescent="0.25">
      <c r="A88" s="440" t="s">
        <v>477</v>
      </c>
      <c r="B88" s="198">
        <f>38.9-B89</f>
        <v>22.9</v>
      </c>
      <c r="C88" s="441" t="s">
        <v>1027</v>
      </c>
    </row>
    <row r="89" spans="1:3" x14ac:dyDescent="0.25">
      <c r="A89" s="440" t="s">
        <v>477</v>
      </c>
      <c r="B89" s="198">
        <f>4*4</f>
        <v>16</v>
      </c>
      <c r="C89" s="441" t="s">
        <v>1029</v>
      </c>
    </row>
    <row r="90" spans="1:3" x14ac:dyDescent="0.25">
      <c r="A90" s="440" t="s">
        <v>478</v>
      </c>
      <c r="B90" s="198">
        <f>147-B91</f>
        <v>135</v>
      </c>
      <c r="C90" s="441" t="s">
        <v>1027</v>
      </c>
    </row>
    <row r="91" spans="1:3" x14ac:dyDescent="0.25">
      <c r="A91" s="440" t="s">
        <v>478</v>
      </c>
      <c r="B91" s="441">
        <f>3*4</f>
        <v>12</v>
      </c>
      <c r="C91" s="441" t="s">
        <v>1029</v>
      </c>
    </row>
    <row r="92" spans="1:3" x14ac:dyDescent="0.25">
      <c r="A92" s="444" t="s">
        <v>479</v>
      </c>
      <c r="B92" s="198">
        <f>83.5-B93</f>
        <v>47.5</v>
      </c>
      <c r="C92" s="441" t="s">
        <v>1027</v>
      </c>
    </row>
    <row r="93" spans="1:3" x14ac:dyDescent="0.25">
      <c r="A93" s="444" t="s">
        <v>479</v>
      </c>
      <c r="B93" s="198">
        <v>36</v>
      </c>
      <c r="C93" s="441" t="s">
        <v>1031</v>
      </c>
    </row>
    <row r="94" spans="1:3" x14ac:dyDescent="0.25">
      <c r="A94" s="440" t="s">
        <v>480</v>
      </c>
      <c r="B94" s="198">
        <f>113.3-B95</f>
        <v>57.3</v>
      </c>
      <c r="C94" s="441" t="s">
        <v>1027</v>
      </c>
    </row>
    <row r="95" spans="1:3" x14ac:dyDescent="0.25">
      <c r="A95" s="440" t="s">
        <v>480</v>
      </c>
      <c r="B95" s="198">
        <f>14*4</f>
        <v>56</v>
      </c>
      <c r="C95" s="441" t="s">
        <v>1028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C281"/>
  <sheetViews>
    <sheetView zoomScale="85" zoomScaleNormal="85" workbookViewId="0">
      <selection activeCell="C277" sqref="C277"/>
    </sheetView>
  </sheetViews>
  <sheetFormatPr defaultRowHeight="13.2" x14ac:dyDescent="0.25"/>
  <cols>
    <col min="1" max="1" width="10.109375" style="440" customWidth="1"/>
    <col min="2" max="3" width="10.109375" style="198" customWidth="1"/>
    <col min="4" max="16384" width="8.88671875" style="198"/>
  </cols>
  <sheetData>
    <row r="2" spans="1:3" x14ac:dyDescent="0.25">
      <c r="A2" s="426" t="s">
        <v>652</v>
      </c>
      <c r="B2" s="427" t="s">
        <v>584</v>
      </c>
      <c r="C2" s="441" t="s">
        <v>591</v>
      </c>
    </row>
    <row r="3" spans="1:3" hidden="1" x14ac:dyDescent="0.25">
      <c r="A3" s="440" t="s">
        <v>481</v>
      </c>
      <c r="B3" s="198">
        <v>11</v>
      </c>
      <c r="C3" s="450" t="s">
        <v>1030</v>
      </c>
    </row>
    <row r="4" spans="1:3" x14ac:dyDescent="0.25">
      <c r="A4" s="440" t="s">
        <v>482</v>
      </c>
      <c r="B4" s="198">
        <f>32.9-8</f>
        <v>24.9</v>
      </c>
      <c r="C4" s="450" t="s">
        <v>1033</v>
      </c>
    </row>
    <row r="5" spans="1:3" hidden="1" x14ac:dyDescent="0.25">
      <c r="A5" s="440" t="s">
        <v>482</v>
      </c>
      <c r="B5" s="198">
        <v>8</v>
      </c>
      <c r="C5" s="450" t="s">
        <v>1027</v>
      </c>
    </row>
    <row r="6" spans="1:3" hidden="1" x14ac:dyDescent="0.25">
      <c r="A6" s="440" t="s">
        <v>483</v>
      </c>
      <c r="B6" s="198">
        <f>27.1 / 2 *0 + 8.6*2.2</f>
        <v>18.920000000000002</v>
      </c>
      <c r="C6" s="450" t="s">
        <v>1027</v>
      </c>
    </row>
    <row r="7" spans="1:3" hidden="1" x14ac:dyDescent="0.25">
      <c r="A7" s="440" t="s">
        <v>424</v>
      </c>
      <c r="B7" s="198">
        <f>428.1-B8</f>
        <v>366.40000000000003</v>
      </c>
      <c r="C7" s="450" t="s">
        <v>1027</v>
      </c>
    </row>
    <row r="8" spans="1:3" x14ac:dyDescent="0.25">
      <c r="A8" s="440" t="s">
        <v>424</v>
      </c>
      <c r="B8" s="198">
        <f>86.6-B4</f>
        <v>61.699999999999996</v>
      </c>
      <c r="C8" s="450" t="s">
        <v>1033</v>
      </c>
    </row>
    <row r="9" spans="1:3" hidden="1" x14ac:dyDescent="0.25">
      <c r="A9" s="440" t="s">
        <v>484</v>
      </c>
      <c r="B9" s="198">
        <v>70.7</v>
      </c>
      <c r="C9" s="450" t="s">
        <v>1027</v>
      </c>
    </row>
    <row r="10" spans="1:3" hidden="1" x14ac:dyDescent="0.25">
      <c r="A10" s="440" t="s">
        <v>485</v>
      </c>
      <c r="B10" s="441">
        <f>36.5*0.65</f>
        <v>23.725000000000001</v>
      </c>
      <c r="C10" s="450" t="s">
        <v>1027</v>
      </c>
    </row>
    <row r="11" spans="1:3" hidden="1" x14ac:dyDescent="0.25">
      <c r="A11" s="440" t="s">
        <v>486</v>
      </c>
      <c r="B11" s="198">
        <v>46.7</v>
      </c>
      <c r="C11" s="450" t="s">
        <v>1027</v>
      </c>
    </row>
    <row r="12" spans="1:3" hidden="1" x14ac:dyDescent="0.25">
      <c r="A12" s="440" t="s">
        <v>487</v>
      </c>
      <c r="B12" s="198">
        <v>156.80000000000001</v>
      </c>
      <c r="C12" s="450" t="s">
        <v>1027</v>
      </c>
    </row>
    <row r="13" spans="1:3" hidden="1" x14ac:dyDescent="0.25">
      <c r="A13" s="440" t="s">
        <v>488</v>
      </c>
      <c r="B13" s="198">
        <f>118.8-B14-2*1.8</f>
        <v>105.60000000000001</v>
      </c>
      <c r="C13" s="450" t="s">
        <v>1027</v>
      </c>
    </row>
    <row r="14" spans="1:3" hidden="1" x14ac:dyDescent="0.25">
      <c r="A14" s="440" t="s">
        <v>488</v>
      </c>
      <c r="B14" s="198">
        <f>2.4*4</f>
        <v>9.6</v>
      </c>
      <c r="C14" s="450" t="s">
        <v>1028</v>
      </c>
    </row>
    <row r="15" spans="1:3" hidden="1" x14ac:dyDescent="0.25">
      <c r="A15" s="440" t="s">
        <v>489</v>
      </c>
      <c r="B15" s="198">
        <f>114-B16-1.4*1.8</f>
        <v>93.88000000000001</v>
      </c>
      <c r="C15" s="450" t="s">
        <v>1027</v>
      </c>
    </row>
    <row r="16" spans="1:3" hidden="1" x14ac:dyDescent="0.25">
      <c r="A16" s="440" t="s">
        <v>489</v>
      </c>
      <c r="B16" s="198">
        <f>4.4*4</f>
        <v>17.600000000000001</v>
      </c>
      <c r="C16" s="450" t="s">
        <v>1028</v>
      </c>
    </row>
    <row r="17" spans="1:3" hidden="1" x14ac:dyDescent="0.25">
      <c r="A17" s="440" t="s">
        <v>490</v>
      </c>
      <c r="B17" s="198">
        <f>113.7-B18-1.6*1.8</f>
        <v>93.22</v>
      </c>
      <c r="C17" s="450" t="s">
        <v>1027</v>
      </c>
    </row>
    <row r="18" spans="1:3" hidden="1" x14ac:dyDescent="0.25">
      <c r="A18" s="440" t="s">
        <v>490</v>
      </c>
      <c r="B18" s="198">
        <f>4.4*4</f>
        <v>17.600000000000001</v>
      </c>
      <c r="C18" s="450" t="s">
        <v>1028</v>
      </c>
    </row>
    <row r="19" spans="1:3" hidden="1" x14ac:dyDescent="0.25">
      <c r="A19" s="440" t="s">
        <v>491</v>
      </c>
      <c r="B19" s="198">
        <f>176.9-B20-3.6*1.8-1.2*1.8</f>
        <v>141.10000000000002</v>
      </c>
      <c r="C19" s="450" t="s">
        <v>1027</v>
      </c>
    </row>
    <row r="20" spans="1:3" hidden="1" x14ac:dyDescent="0.25">
      <c r="A20" s="440" t="s">
        <v>491</v>
      </c>
      <c r="B20" s="198">
        <f>1.3*4+1.8*2.2+2*4+2.5*4</f>
        <v>27.16</v>
      </c>
      <c r="C20" s="450" t="s">
        <v>1029</v>
      </c>
    </row>
    <row r="21" spans="1:3" hidden="1" x14ac:dyDescent="0.25">
      <c r="A21" s="440" t="s">
        <v>492</v>
      </c>
      <c r="B21" s="198">
        <f>80.2*0+18.8*2.2</f>
        <v>41.360000000000007</v>
      </c>
      <c r="C21" s="450" t="s">
        <v>1027</v>
      </c>
    </row>
    <row r="22" spans="1:3" hidden="1" x14ac:dyDescent="0.25">
      <c r="A22" s="440" t="s">
        <v>493</v>
      </c>
      <c r="B22" s="198">
        <f>34.8*0+8.3*2.2</f>
        <v>18.260000000000002</v>
      </c>
      <c r="C22" s="450" t="s">
        <v>1027</v>
      </c>
    </row>
    <row r="23" spans="1:3" hidden="1" x14ac:dyDescent="0.25">
      <c r="A23" s="440" t="s">
        <v>494</v>
      </c>
      <c r="B23" s="198">
        <f>80.3*0+18.8*2.2</f>
        <v>41.360000000000007</v>
      </c>
      <c r="C23" s="450" t="s">
        <v>1027</v>
      </c>
    </row>
    <row r="24" spans="1:3" hidden="1" x14ac:dyDescent="0.25">
      <c r="A24" s="440" t="s">
        <v>495</v>
      </c>
      <c r="B24" s="198">
        <v>22.7</v>
      </c>
      <c r="C24" s="450">
        <v>0</v>
      </c>
    </row>
    <row r="25" spans="1:3" hidden="1" x14ac:dyDescent="0.25">
      <c r="A25" s="440" t="s">
        <v>496</v>
      </c>
      <c r="B25" s="198">
        <v>62.2</v>
      </c>
      <c r="C25" s="450">
        <v>0</v>
      </c>
    </row>
    <row r="26" spans="1:3" hidden="1" x14ac:dyDescent="0.25">
      <c r="A26" s="440" t="s">
        <v>497</v>
      </c>
      <c r="B26" s="198">
        <v>58.9</v>
      </c>
      <c r="C26" s="450">
        <v>0</v>
      </c>
    </row>
    <row r="27" spans="1:3" hidden="1" x14ac:dyDescent="0.25">
      <c r="A27" s="440" t="s">
        <v>660</v>
      </c>
      <c r="B27" s="198">
        <f>74.5-1.8*1</f>
        <v>72.7</v>
      </c>
      <c r="C27" s="450" t="s">
        <v>1027</v>
      </c>
    </row>
    <row r="28" spans="1:3" hidden="1" x14ac:dyDescent="0.25">
      <c r="A28" s="440" t="s">
        <v>498</v>
      </c>
      <c r="B28" s="198">
        <v>67.2</v>
      </c>
      <c r="C28" s="450" t="s">
        <v>1027</v>
      </c>
    </row>
    <row r="29" spans="1:3" hidden="1" x14ac:dyDescent="0.25">
      <c r="A29" s="440" t="s">
        <v>499</v>
      </c>
      <c r="B29" s="198">
        <v>43.7</v>
      </c>
      <c r="C29" s="450">
        <v>0</v>
      </c>
    </row>
    <row r="30" spans="1:3" hidden="1" x14ac:dyDescent="0.25">
      <c r="A30" s="440" t="s">
        <v>500</v>
      </c>
      <c r="B30" s="198">
        <f>33*0+8*2.2</f>
        <v>17.600000000000001</v>
      </c>
      <c r="C30" s="450" t="s">
        <v>1027</v>
      </c>
    </row>
    <row r="31" spans="1:3" hidden="1" x14ac:dyDescent="0.25">
      <c r="A31" s="440" t="s">
        <v>501</v>
      </c>
      <c r="B31" s="198">
        <v>42.9</v>
      </c>
      <c r="C31" s="450">
        <v>0</v>
      </c>
    </row>
    <row r="32" spans="1:3" hidden="1" x14ac:dyDescent="0.25">
      <c r="A32" s="440" t="s">
        <v>502</v>
      </c>
      <c r="B32" s="198">
        <v>49.9</v>
      </c>
      <c r="C32" s="450" t="s">
        <v>1027</v>
      </c>
    </row>
    <row r="33" spans="1:3" hidden="1" x14ac:dyDescent="0.25">
      <c r="A33" s="440" t="s">
        <v>503</v>
      </c>
      <c r="B33" s="198">
        <v>50.7</v>
      </c>
      <c r="C33" s="450" t="s">
        <v>1027</v>
      </c>
    </row>
    <row r="34" spans="1:3" hidden="1" x14ac:dyDescent="0.25">
      <c r="A34" s="440" t="s">
        <v>504</v>
      </c>
      <c r="B34" s="198">
        <f>59.7-1.8</f>
        <v>57.900000000000006</v>
      </c>
      <c r="C34" s="450" t="s">
        <v>1027</v>
      </c>
    </row>
    <row r="35" spans="1:3" hidden="1" x14ac:dyDescent="0.25">
      <c r="A35" s="440" t="s">
        <v>505</v>
      </c>
      <c r="B35" s="198">
        <v>63.5</v>
      </c>
      <c r="C35" s="450" t="s">
        <v>1027</v>
      </c>
    </row>
    <row r="36" spans="1:3" hidden="1" x14ac:dyDescent="0.25">
      <c r="A36" s="440" t="s">
        <v>506</v>
      </c>
      <c r="B36" s="198">
        <v>80</v>
      </c>
      <c r="C36" s="450" t="s">
        <v>1027</v>
      </c>
    </row>
    <row r="37" spans="1:3" hidden="1" x14ac:dyDescent="0.25">
      <c r="A37" s="440" t="s">
        <v>507</v>
      </c>
      <c r="B37" s="198">
        <v>90.9</v>
      </c>
      <c r="C37" s="450" t="s">
        <v>1027</v>
      </c>
    </row>
    <row r="38" spans="1:3" hidden="1" x14ac:dyDescent="0.25">
      <c r="A38" s="440" t="s">
        <v>508</v>
      </c>
      <c r="B38" s="198">
        <v>177.2</v>
      </c>
      <c r="C38" s="450" t="s">
        <v>1027</v>
      </c>
    </row>
    <row r="39" spans="1:3" hidden="1" x14ac:dyDescent="0.25">
      <c r="A39" s="440" t="s">
        <v>509</v>
      </c>
      <c r="B39" s="198">
        <v>253.5</v>
      </c>
      <c r="C39" s="450" t="s">
        <v>1027</v>
      </c>
    </row>
    <row r="40" spans="1:3" hidden="1" x14ac:dyDescent="0.25">
      <c r="A40" s="440" t="s">
        <v>510</v>
      </c>
      <c r="B40" s="198">
        <f>110.6-B41</f>
        <v>77.28</v>
      </c>
      <c r="C40" s="450" t="s">
        <v>1027</v>
      </c>
    </row>
    <row r="41" spans="1:3" hidden="1" x14ac:dyDescent="0.25">
      <c r="A41" s="440" t="s">
        <v>510</v>
      </c>
      <c r="B41" s="198">
        <f>22*1+11.32</f>
        <v>33.32</v>
      </c>
      <c r="C41" s="450" t="s">
        <v>1031</v>
      </c>
    </row>
    <row r="42" spans="1:3" hidden="1" x14ac:dyDescent="0.25">
      <c r="A42" s="440" t="s">
        <v>511</v>
      </c>
      <c r="B42" s="441">
        <f>8*3*2</f>
        <v>48</v>
      </c>
      <c r="C42" s="450" t="s">
        <v>1027</v>
      </c>
    </row>
    <row r="43" spans="1:3" hidden="1" x14ac:dyDescent="0.25">
      <c r="A43" s="440" t="s">
        <v>511</v>
      </c>
      <c r="B43" s="198">
        <f>82.3-B42</f>
        <v>34.299999999999997</v>
      </c>
      <c r="C43" s="450" t="s">
        <v>1031</v>
      </c>
    </row>
    <row r="44" spans="1:3" hidden="1" x14ac:dyDescent="0.25">
      <c r="A44" s="440" t="s">
        <v>512</v>
      </c>
      <c r="B44" s="198">
        <f>7.5*2*3</f>
        <v>45</v>
      </c>
      <c r="C44" s="450" t="s">
        <v>1027</v>
      </c>
    </row>
    <row r="45" spans="1:3" hidden="1" x14ac:dyDescent="0.25">
      <c r="A45" s="440" t="s">
        <v>512</v>
      </c>
      <c r="B45" s="198">
        <f>78.4/4</f>
        <v>19.600000000000001</v>
      </c>
      <c r="C45" s="450" t="s">
        <v>1031</v>
      </c>
    </row>
    <row r="46" spans="1:3" hidden="1" x14ac:dyDescent="0.25">
      <c r="A46" s="440" t="s">
        <v>513</v>
      </c>
      <c r="B46" s="198">
        <f>9*2*4</f>
        <v>72</v>
      </c>
      <c r="C46" s="450" t="s">
        <v>1027</v>
      </c>
    </row>
    <row r="47" spans="1:3" hidden="1" x14ac:dyDescent="0.25">
      <c r="A47" s="440" t="s">
        <v>513</v>
      </c>
      <c r="B47" s="198">
        <f>96.3-B46</f>
        <v>24.299999999999997</v>
      </c>
      <c r="C47" s="450" t="s">
        <v>1031</v>
      </c>
    </row>
    <row r="48" spans="1:3" hidden="1" x14ac:dyDescent="0.25">
      <c r="A48" s="440" t="s">
        <v>514</v>
      </c>
      <c r="B48" s="198">
        <v>71.400000000000006</v>
      </c>
      <c r="C48" s="450" t="s">
        <v>1027</v>
      </c>
    </row>
    <row r="49" spans="1:3" hidden="1" x14ac:dyDescent="0.25">
      <c r="A49" s="440" t="s">
        <v>515</v>
      </c>
      <c r="B49" s="198">
        <f>49.9*0.6</f>
        <v>29.939999999999998</v>
      </c>
      <c r="C49" s="450" t="s">
        <v>1028</v>
      </c>
    </row>
    <row r="50" spans="1:3" hidden="1" x14ac:dyDescent="0.25">
      <c r="A50" s="440" t="s">
        <v>516</v>
      </c>
      <c r="B50" s="198">
        <f>244.5-B51-B52</f>
        <v>189.5</v>
      </c>
      <c r="C50" s="450" t="s">
        <v>1027</v>
      </c>
    </row>
    <row r="51" spans="1:3" hidden="1" x14ac:dyDescent="0.25">
      <c r="A51" s="440" t="s">
        <v>516</v>
      </c>
      <c r="B51" s="198">
        <f>23*2.2</f>
        <v>50.6</v>
      </c>
      <c r="C51" s="450" t="s">
        <v>1028</v>
      </c>
    </row>
    <row r="52" spans="1:3" hidden="1" x14ac:dyDescent="0.25">
      <c r="A52" s="440" t="s">
        <v>516</v>
      </c>
      <c r="B52" s="198">
        <f>2*2.2</f>
        <v>4.4000000000000004</v>
      </c>
      <c r="C52" s="450" t="s">
        <v>1029</v>
      </c>
    </row>
    <row r="53" spans="1:3" hidden="1" x14ac:dyDescent="0.25">
      <c r="A53" s="440" t="s">
        <v>517</v>
      </c>
      <c r="B53" s="198">
        <v>121.5</v>
      </c>
      <c r="C53" s="450">
        <v>0</v>
      </c>
    </row>
    <row r="54" spans="1:3" hidden="1" x14ac:dyDescent="0.25">
      <c r="A54" s="440" t="s">
        <v>518</v>
      </c>
      <c r="B54" s="198">
        <v>56.7</v>
      </c>
      <c r="C54" s="450">
        <v>0</v>
      </c>
    </row>
    <row r="55" spans="1:3" hidden="1" x14ac:dyDescent="0.25">
      <c r="A55" s="440" t="s">
        <v>519</v>
      </c>
      <c r="B55" s="198">
        <v>191.3</v>
      </c>
      <c r="C55" s="450">
        <v>0</v>
      </c>
    </row>
    <row r="56" spans="1:3" hidden="1" x14ac:dyDescent="0.25">
      <c r="A56" s="440" t="s">
        <v>520</v>
      </c>
      <c r="B56" s="198">
        <v>68.2</v>
      </c>
      <c r="C56" s="450">
        <v>0</v>
      </c>
    </row>
    <row r="57" spans="1:3" hidden="1" x14ac:dyDescent="0.25">
      <c r="A57" s="440" t="s">
        <v>521</v>
      </c>
      <c r="B57" s="198">
        <v>56.8</v>
      </c>
      <c r="C57" s="450">
        <v>0</v>
      </c>
    </row>
    <row r="58" spans="1:3" hidden="1" x14ac:dyDescent="0.25">
      <c r="A58" s="440" t="s">
        <v>522</v>
      </c>
      <c r="B58" s="198">
        <v>97.6</v>
      </c>
      <c r="C58" s="450">
        <v>0</v>
      </c>
    </row>
    <row r="59" spans="1:3" hidden="1" x14ac:dyDescent="0.25">
      <c r="A59" s="440" t="s">
        <v>523</v>
      </c>
      <c r="B59" s="198">
        <v>54.8</v>
      </c>
      <c r="C59" s="450">
        <v>0</v>
      </c>
    </row>
    <row r="60" spans="1:3" hidden="1" x14ac:dyDescent="0.25">
      <c r="A60" s="440" t="s">
        <v>524</v>
      </c>
      <c r="B60" s="198">
        <v>54.7</v>
      </c>
      <c r="C60" s="450" t="s">
        <v>1027</v>
      </c>
    </row>
    <row r="61" spans="1:3" hidden="1" x14ac:dyDescent="0.25">
      <c r="A61" s="440" t="s">
        <v>525</v>
      </c>
      <c r="B61" s="198">
        <v>54.7</v>
      </c>
      <c r="C61" s="450">
        <v>0</v>
      </c>
    </row>
    <row r="62" spans="1:3" hidden="1" x14ac:dyDescent="0.25">
      <c r="A62" s="440" t="s">
        <v>526</v>
      </c>
      <c r="B62" s="198">
        <v>41.6</v>
      </c>
      <c r="C62" s="450">
        <v>0</v>
      </c>
    </row>
    <row r="63" spans="1:3" hidden="1" x14ac:dyDescent="0.25">
      <c r="A63" s="440" t="s">
        <v>527</v>
      </c>
      <c r="B63" s="198">
        <f>30.5*0.6</f>
        <v>18.3</v>
      </c>
      <c r="C63" s="450" t="s">
        <v>1027</v>
      </c>
    </row>
    <row r="64" spans="1:3" hidden="1" x14ac:dyDescent="0.25">
      <c r="A64" s="440" t="s">
        <v>528</v>
      </c>
      <c r="B64" s="198">
        <v>50</v>
      </c>
      <c r="C64" s="450">
        <v>0</v>
      </c>
    </row>
    <row r="65" spans="1:3" hidden="1" x14ac:dyDescent="0.25">
      <c r="A65" s="440" t="s">
        <v>529</v>
      </c>
      <c r="B65" s="198">
        <v>42.1</v>
      </c>
      <c r="C65" s="450" t="s">
        <v>1027</v>
      </c>
    </row>
    <row r="66" spans="1:3" hidden="1" x14ac:dyDescent="0.25">
      <c r="A66" s="440" t="s">
        <v>530</v>
      </c>
      <c r="B66" s="198">
        <v>19.7</v>
      </c>
      <c r="C66" s="450" t="s">
        <v>1027</v>
      </c>
    </row>
    <row r="67" spans="1:3" hidden="1" x14ac:dyDescent="0.25">
      <c r="A67" s="440" t="s">
        <v>531</v>
      </c>
      <c r="B67" s="198">
        <v>26.5</v>
      </c>
      <c r="C67" s="450">
        <v>0</v>
      </c>
    </row>
    <row r="68" spans="1:3" hidden="1" x14ac:dyDescent="0.25">
      <c r="A68" s="440" t="s">
        <v>532</v>
      </c>
      <c r="B68" s="198">
        <v>65.400000000000006</v>
      </c>
      <c r="C68" s="450" t="s">
        <v>1027</v>
      </c>
    </row>
    <row r="69" spans="1:3" hidden="1" x14ac:dyDescent="0.25">
      <c r="A69" s="440" t="s">
        <v>533</v>
      </c>
      <c r="B69" s="198">
        <v>44.7</v>
      </c>
      <c r="C69" s="450">
        <v>0</v>
      </c>
    </row>
    <row r="70" spans="1:3" hidden="1" x14ac:dyDescent="0.25">
      <c r="A70" s="440" t="s">
        <v>534</v>
      </c>
      <c r="B70" s="198">
        <v>44.6</v>
      </c>
      <c r="C70" s="450">
        <v>0</v>
      </c>
    </row>
    <row r="71" spans="1:3" hidden="1" x14ac:dyDescent="0.25">
      <c r="A71" s="440" t="s">
        <v>535</v>
      </c>
      <c r="B71" s="198">
        <v>71.400000000000006</v>
      </c>
      <c r="C71" s="450">
        <v>0</v>
      </c>
    </row>
    <row r="72" spans="1:3" hidden="1" x14ac:dyDescent="0.25">
      <c r="A72" s="440" t="s">
        <v>536</v>
      </c>
      <c r="B72" s="198">
        <v>198.3</v>
      </c>
      <c r="C72" s="450">
        <v>0</v>
      </c>
    </row>
    <row r="73" spans="1:3" hidden="1" x14ac:dyDescent="0.25">
      <c r="A73" s="440" t="s">
        <v>537</v>
      </c>
      <c r="B73" s="198">
        <v>37.1</v>
      </c>
      <c r="C73" s="450" t="s">
        <v>1027</v>
      </c>
    </row>
    <row r="74" spans="1:3" hidden="1" x14ac:dyDescent="0.25">
      <c r="A74" s="440" t="s">
        <v>538</v>
      </c>
      <c r="B74" s="198">
        <f>106.4-B75</f>
        <v>72.400000000000006</v>
      </c>
      <c r="C74" s="450" t="s">
        <v>1027</v>
      </c>
    </row>
    <row r="75" spans="1:3" hidden="1" x14ac:dyDescent="0.25">
      <c r="A75" s="440" t="s">
        <v>538</v>
      </c>
      <c r="B75" s="198">
        <f>8.5*4</f>
        <v>34</v>
      </c>
      <c r="C75" s="441" t="s">
        <v>1029</v>
      </c>
    </row>
    <row r="76" spans="1:3" hidden="1" x14ac:dyDescent="0.25">
      <c r="A76" s="440" t="s">
        <v>538</v>
      </c>
      <c r="B76" s="198">
        <f>2*4</f>
        <v>8</v>
      </c>
      <c r="C76" s="441" t="s">
        <v>1029</v>
      </c>
    </row>
    <row r="77" spans="1:3" hidden="1" x14ac:dyDescent="0.25">
      <c r="A77" s="440" t="s">
        <v>538</v>
      </c>
      <c r="C77" s="441" t="s">
        <v>1032</v>
      </c>
    </row>
    <row r="78" spans="1:3" hidden="1" x14ac:dyDescent="0.25">
      <c r="A78" s="440" t="s">
        <v>539</v>
      </c>
      <c r="B78" s="198">
        <v>55</v>
      </c>
      <c r="C78" s="441" t="s">
        <v>1027</v>
      </c>
    </row>
    <row r="79" spans="1:3" hidden="1" x14ac:dyDescent="0.25">
      <c r="A79" s="440" t="s">
        <v>540</v>
      </c>
      <c r="B79" s="198">
        <f>37.7*0.6</f>
        <v>22.62</v>
      </c>
      <c r="C79" s="441" t="s">
        <v>1027</v>
      </c>
    </row>
    <row r="80" spans="1:3" hidden="1" x14ac:dyDescent="0.25">
      <c r="A80" s="440" t="s">
        <v>541</v>
      </c>
      <c r="B80" s="198">
        <v>19.600000000000001</v>
      </c>
      <c r="C80" s="441" t="s">
        <v>1027</v>
      </c>
    </row>
    <row r="81" spans="1:3" hidden="1" x14ac:dyDescent="0.25">
      <c r="A81" s="440" t="s">
        <v>542</v>
      </c>
      <c r="B81" s="198">
        <f>90-B82</f>
        <v>86</v>
      </c>
      <c r="C81" s="441" t="s">
        <v>1027</v>
      </c>
    </row>
    <row r="82" spans="1:3" hidden="1" x14ac:dyDescent="0.25">
      <c r="A82" s="440" t="s">
        <v>542</v>
      </c>
      <c r="B82" s="198">
        <f>1*4</f>
        <v>4</v>
      </c>
      <c r="C82" s="441" t="s">
        <v>1029</v>
      </c>
    </row>
    <row r="83" spans="1:3" hidden="1" x14ac:dyDescent="0.25">
      <c r="A83" s="440" t="s">
        <v>543</v>
      </c>
      <c r="B83" s="198">
        <f>40.2*0.6</f>
        <v>24.12</v>
      </c>
      <c r="C83" s="441" t="s">
        <v>1027</v>
      </c>
    </row>
    <row r="84" spans="1:3" hidden="1" x14ac:dyDescent="0.25">
      <c r="A84" s="440" t="s">
        <v>544</v>
      </c>
      <c r="B84" s="198">
        <f>88.5*0.6</f>
        <v>53.1</v>
      </c>
      <c r="C84" s="441" t="s">
        <v>1027</v>
      </c>
    </row>
    <row r="85" spans="1:3" hidden="1" x14ac:dyDescent="0.25">
      <c r="A85" s="440" t="s">
        <v>545</v>
      </c>
      <c r="B85" s="198">
        <v>92</v>
      </c>
      <c r="C85" s="441" t="s">
        <v>1027</v>
      </c>
    </row>
    <row r="86" spans="1:3" hidden="1" x14ac:dyDescent="0.25">
      <c r="A86" s="440" t="s">
        <v>546</v>
      </c>
      <c r="B86" s="198">
        <f>94.9-10.2*4</f>
        <v>54.100000000000009</v>
      </c>
      <c r="C86" s="441" t="s">
        <v>1027</v>
      </c>
    </row>
    <row r="87" spans="1:3" hidden="1" x14ac:dyDescent="0.25">
      <c r="A87" s="440" t="s">
        <v>547</v>
      </c>
      <c r="B87" s="198">
        <f>67.4-B88</f>
        <v>65.400000000000006</v>
      </c>
      <c r="C87" s="441" t="s">
        <v>1027</v>
      </c>
    </row>
    <row r="88" spans="1:3" hidden="1" x14ac:dyDescent="0.25">
      <c r="A88" s="440" t="s">
        <v>547</v>
      </c>
      <c r="B88" s="198">
        <f>0.5*4</f>
        <v>2</v>
      </c>
      <c r="C88" s="441" t="s">
        <v>1029</v>
      </c>
    </row>
    <row r="89" spans="1:3" hidden="1" x14ac:dyDescent="0.25">
      <c r="A89" s="440" t="s">
        <v>548</v>
      </c>
      <c r="B89" s="198">
        <v>21.5</v>
      </c>
      <c r="C89" s="441" t="s">
        <v>1027</v>
      </c>
    </row>
    <row r="90" spans="1:3" hidden="1" x14ac:dyDescent="0.25">
      <c r="A90" s="440" t="s">
        <v>549</v>
      </c>
      <c r="B90" s="198">
        <f>40.2*0.6</f>
        <v>24.12</v>
      </c>
      <c r="C90" s="441" t="s">
        <v>1027</v>
      </c>
    </row>
    <row r="91" spans="1:3" hidden="1" x14ac:dyDescent="0.25">
      <c r="A91" s="440" t="s">
        <v>550</v>
      </c>
      <c r="B91" s="198">
        <f>89.1*0.6</f>
        <v>53.459999999999994</v>
      </c>
      <c r="C91" s="441" t="s">
        <v>1027</v>
      </c>
    </row>
    <row r="92" spans="1:3" hidden="1" x14ac:dyDescent="0.25">
      <c r="A92" s="440" t="s">
        <v>551</v>
      </c>
      <c r="B92" s="198">
        <v>87.5</v>
      </c>
      <c r="C92" s="441" t="s">
        <v>1027</v>
      </c>
    </row>
    <row r="93" spans="1:3" hidden="1" x14ac:dyDescent="0.25">
      <c r="A93" s="440" t="s">
        <v>552</v>
      </c>
      <c r="B93" s="198">
        <f>86.5-10.2*4</f>
        <v>45.7</v>
      </c>
      <c r="C93" s="441" t="s">
        <v>1027</v>
      </c>
    </row>
    <row r="94" spans="1:3" hidden="1" x14ac:dyDescent="0.25">
      <c r="A94" s="440" t="s">
        <v>553</v>
      </c>
      <c r="B94" s="198">
        <v>39.4</v>
      </c>
      <c r="C94" s="198">
        <v>0</v>
      </c>
    </row>
    <row r="95" spans="1:3" hidden="1" x14ac:dyDescent="0.25">
      <c r="A95" s="440" t="s">
        <v>554</v>
      </c>
      <c r="B95" s="198">
        <f>75.1*0.8</f>
        <v>60.08</v>
      </c>
      <c r="C95" s="441" t="s">
        <v>1027</v>
      </c>
    </row>
    <row r="96" spans="1:3" hidden="1" x14ac:dyDescent="0.25">
      <c r="A96" s="440" t="s">
        <v>555</v>
      </c>
      <c r="B96" s="198">
        <f>104-B97</f>
        <v>96.8</v>
      </c>
      <c r="C96" s="441" t="s">
        <v>1027</v>
      </c>
    </row>
    <row r="97" spans="1:3" hidden="1" x14ac:dyDescent="0.25">
      <c r="A97" s="440" t="s">
        <v>555</v>
      </c>
      <c r="B97" s="441">
        <f>1.8*4</f>
        <v>7.2</v>
      </c>
      <c r="C97" s="441" t="s">
        <v>1029</v>
      </c>
    </row>
    <row r="98" spans="1:3" hidden="1" x14ac:dyDescent="0.25">
      <c r="A98" s="440" t="s">
        <v>556</v>
      </c>
      <c r="B98" s="198">
        <f>137.9-B99</f>
        <v>127.10000000000001</v>
      </c>
      <c r="C98" s="441" t="s">
        <v>1027</v>
      </c>
    </row>
    <row r="99" spans="1:3" hidden="1" x14ac:dyDescent="0.25">
      <c r="A99" s="440" t="s">
        <v>556</v>
      </c>
      <c r="B99" s="198">
        <f>2.7*4</f>
        <v>10.8</v>
      </c>
      <c r="C99" s="441" t="s">
        <v>1029</v>
      </c>
    </row>
    <row r="100" spans="1:3" hidden="1" x14ac:dyDescent="0.25">
      <c r="A100" s="440" t="s">
        <v>557</v>
      </c>
      <c r="B100" s="198">
        <f>4.5*4*3</f>
        <v>54</v>
      </c>
      <c r="C100" s="441" t="s">
        <v>1027</v>
      </c>
    </row>
    <row r="101" spans="1:3" hidden="1" x14ac:dyDescent="0.25">
      <c r="A101" s="440" t="s">
        <v>557</v>
      </c>
      <c r="B101" s="198">
        <f>144-B100</f>
        <v>90</v>
      </c>
      <c r="C101" s="441" t="s">
        <v>1031</v>
      </c>
    </row>
    <row r="102" spans="1:3" hidden="1" x14ac:dyDescent="0.25">
      <c r="A102" s="440" t="s">
        <v>558</v>
      </c>
      <c r="B102" s="441">
        <f>4.5*4*3</f>
        <v>54</v>
      </c>
      <c r="C102" s="441" t="s">
        <v>1027</v>
      </c>
    </row>
    <row r="103" spans="1:3" hidden="1" x14ac:dyDescent="0.25">
      <c r="A103" s="440" t="s">
        <v>558</v>
      </c>
      <c r="B103" s="198">
        <f>115.3-B102</f>
        <v>61.3</v>
      </c>
      <c r="C103" s="441" t="s">
        <v>1031</v>
      </c>
    </row>
    <row r="104" spans="1:3" hidden="1" x14ac:dyDescent="0.25">
      <c r="A104" s="440" t="s">
        <v>559</v>
      </c>
      <c r="B104" s="198">
        <v>40.1</v>
      </c>
      <c r="C104" s="441" t="s">
        <v>1027</v>
      </c>
    </row>
    <row r="105" spans="1:3" hidden="1" x14ac:dyDescent="0.25">
      <c r="A105" s="440" t="s">
        <v>560</v>
      </c>
      <c r="B105" s="198">
        <v>128.30000000000001</v>
      </c>
      <c r="C105" s="198">
        <v>0</v>
      </c>
    </row>
    <row r="108" spans="1:3" x14ac:dyDescent="0.25">
      <c r="A108" s="426" t="s">
        <v>652</v>
      </c>
      <c r="B108" s="427" t="s">
        <v>584</v>
      </c>
      <c r="C108" s="441" t="s">
        <v>591</v>
      </c>
    </row>
    <row r="109" spans="1:3" hidden="1" x14ac:dyDescent="0.25">
      <c r="A109" s="440" t="s">
        <v>424</v>
      </c>
      <c r="B109" s="198">
        <f>83.8-B110</f>
        <v>49.8</v>
      </c>
      <c r="C109" s="441" t="s">
        <v>1027</v>
      </c>
    </row>
    <row r="110" spans="1:3" hidden="1" x14ac:dyDescent="0.25">
      <c r="A110" s="440" t="s">
        <v>424</v>
      </c>
      <c r="B110" s="198">
        <v>34</v>
      </c>
      <c r="C110" s="450" t="s">
        <v>1036</v>
      </c>
    </row>
    <row r="111" spans="1:3" x14ac:dyDescent="0.25">
      <c r="A111" s="440" t="s">
        <v>424</v>
      </c>
      <c r="B111" s="198">
        <v>15.2</v>
      </c>
      <c r="C111" s="450" t="s">
        <v>1033</v>
      </c>
    </row>
    <row r="112" spans="1:3" hidden="1" x14ac:dyDescent="0.25">
      <c r="A112" s="440" t="s">
        <v>424</v>
      </c>
      <c r="B112" s="198">
        <v>72</v>
      </c>
      <c r="C112" s="450" t="s">
        <v>1035</v>
      </c>
    </row>
    <row r="113" spans="1:3" hidden="1" x14ac:dyDescent="0.25">
      <c r="A113" s="440" t="s">
        <v>425</v>
      </c>
      <c r="B113" s="198">
        <f>115.5-B114</f>
        <v>93.1</v>
      </c>
      <c r="C113" s="450" t="s">
        <v>1027</v>
      </c>
    </row>
    <row r="114" spans="1:3" hidden="1" x14ac:dyDescent="0.25">
      <c r="A114" s="440" t="s">
        <v>425</v>
      </c>
      <c r="B114" s="198">
        <f>5.6*4</f>
        <v>22.4</v>
      </c>
      <c r="C114" s="450" t="s">
        <v>1031</v>
      </c>
    </row>
    <row r="115" spans="1:3" hidden="1" x14ac:dyDescent="0.25">
      <c r="A115" s="440" t="s">
        <v>426</v>
      </c>
      <c r="B115" s="198">
        <f>134.2-B116</f>
        <v>111.39999999999999</v>
      </c>
      <c r="C115" s="450" t="s">
        <v>1027</v>
      </c>
    </row>
    <row r="116" spans="1:3" hidden="1" x14ac:dyDescent="0.25">
      <c r="A116" s="440" t="s">
        <v>426</v>
      </c>
      <c r="B116" s="198">
        <f>5.7*4</f>
        <v>22.8</v>
      </c>
      <c r="C116" s="450" t="s">
        <v>1031</v>
      </c>
    </row>
    <row r="117" spans="1:3" hidden="1" x14ac:dyDescent="0.25">
      <c r="A117" s="440" t="s">
        <v>427</v>
      </c>
      <c r="B117" s="198">
        <f>100.3-1.8</f>
        <v>98.5</v>
      </c>
      <c r="C117" s="450" t="s">
        <v>1027</v>
      </c>
    </row>
    <row r="118" spans="1:3" hidden="1" x14ac:dyDescent="0.25">
      <c r="A118" s="440" t="s">
        <v>428</v>
      </c>
      <c r="B118" s="198">
        <f>112.1-B119</f>
        <v>92.899999999999991</v>
      </c>
      <c r="C118" s="441" t="s">
        <v>1027</v>
      </c>
    </row>
    <row r="119" spans="1:3" hidden="1" x14ac:dyDescent="0.25">
      <c r="A119" s="440" t="s">
        <v>428</v>
      </c>
      <c r="B119" s="198">
        <f>4.8*4</f>
        <v>19.2</v>
      </c>
      <c r="C119" s="441" t="s">
        <v>1031</v>
      </c>
    </row>
    <row r="120" spans="1:3" hidden="1" x14ac:dyDescent="0.25">
      <c r="A120" s="440" t="s">
        <v>429</v>
      </c>
      <c r="B120" s="198">
        <f>110.7-B121</f>
        <v>80.7</v>
      </c>
      <c r="C120" s="441" t="s">
        <v>1027</v>
      </c>
    </row>
    <row r="121" spans="1:3" hidden="1" x14ac:dyDescent="0.25">
      <c r="A121" s="443" t="s">
        <v>429</v>
      </c>
      <c r="B121" s="198">
        <f>7.5*4</f>
        <v>30</v>
      </c>
      <c r="C121" s="441" t="s">
        <v>1031</v>
      </c>
    </row>
    <row r="122" spans="1:3" hidden="1" x14ac:dyDescent="0.25">
      <c r="A122" s="440" t="s">
        <v>430</v>
      </c>
      <c r="B122" s="198">
        <f>108.9-B123</f>
        <v>90.100000000000009</v>
      </c>
      <c r="C122" s="441" t="s">
        <v>1027</v>
      </c>
    </row>
    <row r="123" spans="1:3" hidden="1" x14ac:dyDescent="0.25">
      <c r="A123" s="440" t="s">
        <v>430</v>
      </c>
      <c r="B123" s="198">
        <f>4.7*4</f>
        <v>18.8</v>
      </c>
      <c r="C123" s="441" t="s">
        <v>1031</v>
      </c>
    </row>
    <row r="124" spans="1:3" hidden="1" x14ac:dyDescent="0.25">
      <c r="A124" s="440" t="s">
        <v>431</v>
      </c>
      <c r="B124" s="198">
        <f>113.1-1.4*1.8</f>
        <v>110.58</v>
      </c>
      <c r="C124" s="441" t="s">
        <v>1027</v>
      </c>
    </row>
    <row r="125" spans="1:3" hidden="1" x14ac:dyDescent="0.25">
      <c r="A125" s="440" t="s">
        <v>432</v>
      </c>
      <c r="B125" s="198">
        <v>176.5</v>
      </c>
      <c r="C125" s="441" t="s">
        <v>1027</v>
      </c>
    </row>
    <row r="126" spans="1:3" hidden="1" x14ac:dyDescent="0.25">
      <c r="A126" s="440" t="s">
        <v>433</v>
      </c>
      <c r="B126" s="198">
        <v>36.299999999999997</v>
      </c>
      <c r="C126" s="198">
        <v>0</v>
      </c>
    </row>
    <row r="127" spans="1:3" hidden="1" x14ac:dyDescent="0.25">
      <c r="A127" s="440" t="s">
        <v>671</v>
      </c>
      <c r="B127" s="198">
        <f>57*0.6</f>
        <v>34.199999999999996</v>
      </c>
      <c r="C127" s="441" t="s">
        <v>1027</v>
      </c>
    </row>
    <row r="128" spans="1:3" hidden="1" x14ac:dyDescent="0.25">
      <c r="A128" s="440" t="s">
        <v>434</v>
      </c>
      <c r="B128" s="198">
        <f>53.5*0.6</f>
        <v>32.1</v>
      </c>
      <c r="C128" s="441" t="s">
        <v>1027</v>
      </c>
    </row>
    <row r="129" spans="1:3" hidden="1" x14ac:dyDescent="0.25">
      <c r="A129" s="440" t="s">
        <v>435</v>
      </c>
      <c r="B129" s="198">
        <v>77.5</v>
      </c>
      <c r="C129" s="441" t="s">
        <v>1027</v>
      </c>
    </row>
    <row r="130" spans="1:3" hidden="1" x14ac:dyDescent="0.25">
      <c r="A130" s="440" t="s">
        <v>436</v>
      </c>
      <c r="B130" s="198">
        <v>53.6</v>
      </c>
      <c r="C130" s="198">
        <v>0</v>
      </c>
    </row>
    <row r="131" spans="1:3" hidden="1" x14ac:dyDescent="0.25">
      <c r="A131" s="440" t="s">
        <v>437</v>
      </c>
      <c r="B131" s="198">
        <f>45.1*0.6</f>
        <v>27.06</v>
      </c>
      <c r="C131" s="441" t="s">
        <v>1027</v>
      </c>
    </row>
    <row r="132" spans="1:3" hidden="1" x14ac:dyDescent="0.25">
      <c r="A132" s="440" t="s">
        <v>438</v>
      </c>
      <c r="B132" s="198">
        <v>80.599999999999994</v>
      </c>
      <c r="C132" s="441" t="s">
        <v>1027</v>
      </c>
    </row>
    <row r="133" spans="1:3" hidden="1" x14ac:dyDescent="0.25">
      <c r="A133" s="440" t="s">
        <v>439</v>
      </c>
      <c r="B133" s="198">
        <f>40.4*0.6</f>
        <v>24.24</v>
      </c>
      <c r="C133" s="441" t="s">
        <v>1027</v>
      </c>
    </row>
    <row r="134" spans="1:3" hidden="1" x14ac:dyDescent="0.25">
      <c r="A134" s="440" t="s">
        <v>440</v>
      </c>
      <c r="B134" s="198">
        <v>53.2</v>
      </c>
      <c r="C134" s="198">
        <v>0</v>
      </c>
    </row>
    <row r="135" spans="1:3" hidden="1" x14ac:dyDescent="0.25">
      <c r="A135" s="440" t="s">
        <v>441</v>
      </c>
      <c r="B135" s="198">
        <v>89.4</v>
      </c>
      <c r="C135" s="198">
        <v>0</v>
      </c>
    </row>
    <row r="136" spans="1:3" hidden="1" x14ac:dyDescent="0.25">
      <c r="A136" s="440" t="s">
        <v>442</v>
      </c>
      <c r="B136" s="198">
        <v>626.5</v>
      </c>
      <c r="C136" s="441" t="s">
        <v>1027</v>
      </c>
    </row>
    <row r="137" spans="1:3" hidden="1" x14ac:dyDescent="0.25">
      <c r="A137" s="440" t="s">
        <v>443</v>
      </c>
      <c r="B137" s="198">
        <f>125.7-6*4</f>
        <v>101.7</v>
      </c>
      <c r="C137" s="441" t="s">
        <v>1027</v>
      </c>
    </row>
    <row r="138" spans="1:3" hidden="1" x14ac:dyDescent="0.25">
      <c r="A138" s="440" t="s">
        <v>444</v>
      </c>
      <c r="B138" s="198">
        <v>54.2</v>
      </c>
      <c r="C138" s="441" t="s">
        <v>1027</v>
      </c>
    </row>
    <row r="139" spans="1:3" hidden="1" x14ac:dyDescent="0.25">
      <c r="A139" s="440" t="s">
        <v>445</v>
      </c>
      <c r="B139" s="198">
        <v>34.9</v>
      </c>
      <c r="C139" s="198">
        <v>0</v>
      </c>
    </row>
    <row r="140" spans="1:3" hidden="1" x14ac:dyDescent="0.25">
      <c r="A140" s="440" t="s">
        <v>446</v>
      </c>
      <c r="B140" s="198">
        <v>51.1</v>
      </c>
      <c r="C140" s="198">
        <v>0</v>
      </c>
    </row>
    <row r="141" spans="1:3" hidden="1" x14ac:dyDescent="0.25">
      <c r="A141" s="442" t="s">
        <v>447</v>
      </c>
      <c r="B141" s="198">
        <f>80.2*0+18.8*2.2</f>
        <v>41.360000000000007</v>
      </c>
      <c r="C141" s="441" t="s">
        <v>1027</v>
      </c>
    </row>
    <row r="142" spans="1:3" hidden="1" x14ac:dyDescent="0.25">
      <c r="A142" s="442" t="s">
        <v>448</v>
      </c>
      <c r="B142" s="198">
        <f>80.2*0+18.8*2.2</f>
        <v>41.360000000000007</v>
      </c>
      <c r="C142" s="441" t="s">
        <v>1027</v>
      </c>
    </row>
    <row r="143" spans="1:3" hidden="1" x14ac:dyDescent="0.25">
      <c r="A143" s="442" t="s">
        <v>449</v>
      </c>
      <c r="B143" s="198">
        <f>34.8*0+8.3*2.2</f>
        <v>18.260000000000002</v>
      </c>
      <c r="C143" s="441" t="s">
        <v>1027</v>
      </c>
    </row>
    <row r="144" spans="1:3" hidden="1" x14ac:dyDescent="0.25">
      <c r="A144" s="440" t="s">
        <v>450</v>
      </c>
      <c r="B144" s="198">
        <v>46.9</v>
      </c>
      <c r="C144" s="441" t="s">
        <v>1027</v>
      </c>
    </row>
    <row r="145" spans="1:3" hidden="1" x14ac:dyDescent="0.25">
      <c r="A145" s="440" t="s">
        <v>451</v>
      </c>
      <c r="B145" s="198">
        <f>291.5-B146-B147</f>
        <v>248.7</v>
      </c>
      <c r="C145" s="441" t="s">
        <v>1027</v>
      </c>
    </row>
    <row r="146" spans="1:3" hidden="1" x14ac:dyDescent="0.25">
      <c r="A146" s="440" t="s">
        <v>451</v>
      </c>
      <c r="B146" s="441">
        <f>0.5*5*4</f>
        <v>10</v>
      </c>
      <c r="C146" s="441" t="s">
        <v>1029</v>
      </c>
    </row>
    <row r="147" spans="1:3" hidden="1" x14ac:dyDescent="0.25">
      <c r="A147" s="440" t="s">
        <v>451</v>
      </c>
      <c r="B147" s="441">
        <v>32.799999999999997</v>
      </c>
      <c r="C147" s="441" t="s">
        <v>1034</v>
      </c>
    </row>
    <row r="148" spans="1:3" hidden="1" x14ac:dyDescent="0.25">
      <c r="A148" s="440" t="s">
        <v>678</v>
      </c>
      <c r="B148" s="198">
        <v>60.5</v>
      </c>
      <c r="C148" s="441" t="s">
        <v>1027</v>
      </c>
    </row>
    <row r="149" spans="1:3" hidden="1" x14ac:dyDescent="0.25">
      <c r="A149" s="440" t="s">
        <v>452</v>
      </c>
      <c r="B149" s="198">
        <f>268.7-B150</f>
        <v>250.29999999999998</v>
      </c>
      <c r="C149" s="441" t="s">
        <v>1027</v>
      </c>
    </row>
    <row r="150" spans="1:3" hidden="1" x14ac:dyDescent="0.25">
      <c r="A150" s="440" t="s">
        <v>452</v>
      </c>
      <c r="B150" s="198">
        <f>4.6*4</f>
        <v>18.399999999999999</v>
      </c>
      <c r="C150" s="441" t="s">
        <v>1028</v>
      </c>
    </row>
    <row r="151" spans="1:3" hidden="1" x14ac:dyDescent="0.25">
      <c r="A151" s="444" t="s">
        <v>453</v>
      </c>
      <c r="B151" s="198">
        <f>78.7-B152</f>
        <v>37.820000000000007</v>
      </c>
      <c r="C151" s="441" t="s">
        <v>1027</v>
      </c>
    </row>
    <row r="152" spans="1:3" hidden="1" x14ac:dyDescent="0.25">
      <c r="A152" s="444" t="s">
        <v>453</v>
      </c>
      <c r="B152" s="198">
        <f>3.36*2*4+14</f>
        <v>40.879999999999995</v>
      </c>
      <c r="C152" s="441" t="s">
        <v>1031</v>
      </c>
    </row>
    <row r="153" spans="1:3" hidden="1" x14ac:dyDescent="0.25">
      <c r="A153" s="444" t="s">
        <v>454</v>
      </c>
      <c r="B153" s="198">
        <f>84-B154</f>
        <v>37</v>
      </c>
      <c r="C153" s="441" t="s">
        <v>1027</v>
      </c>
    </row>
    <row r="154" spans="1:3" hidden="1" x14ac:dyDescent="0.25">
      <c r="A154" s="444" t="s">
        <v>454</v>
      </c>
      <c r="B154" s="198">
        <v>47</v>
      </c>
      <c r="C154" s="441" t="s">
        <v>1031</v>
      </c>
    </row>
    <row r="155" spans="1:3" hidden="1" x14ac:dyDescent="0.25">
      <c r="A155" s="440" t="s">
        <v>455</v>
      </c>
      <c r="B155" s="198">
        <v>71.099999999999994</v>
      </c>
      <c r="C155" s="441" t="s">
        <v>1027</v>
      </c>
    </row>
    <row r="156" spans="1:3" hidden="1" x14ac:dyDescent="0.25">
      <c r="A156" s="444" t="s">
        <v>456</v>
      </c>
      <c r="B156" s="198">
        <f>82.1-B157</f>
        <v>37.099999999999994</v>
      </c>
      <c r="C156" s="441" t="s">
        <v>1027</v>
      </c>
    </row>
    <row r="157" spans="1:3" hidden="1" x14ac:dyDescent="0.25">
      <c r="A157" s="444" t="s">
        <v>456</v>
      </c>
      <c r="B157" s="198">
        <v>45</v>
      </c>
      <c r="C157" s="441" t="s">
        <v>1031</v>
      </c>
    </row>
    <row r="158" spans="1:3" hidden="1" x14ac:dyDescent="0.25">
      <c r="A158" s="444" t="s">
        <v>457</v>
      </c>
      <c r="B158" s="198">
        <f>98.7-B159</f>
        <v>46.7</v>
      </c>
      <c r="C158" s="441" t="s">
        <v>1027</v>
      </c>
    </row>
    <row r="159" spans="1:3" hidden="1" x14ac:dyDescent="0.25">
      <c r="A159" s="444" t="s">
        <v>457</v>
      </c>
      <c r="B159" s="198">
        <v>52</v>
      </c>
      <c r="C159" s="441" t="s">
        <v>1031</v>
      </c>
    </row>
    <row r="160" spans="1:3" hidden="1" x14ac:dyDescent="0.25">
      <c r="A160" s="440" t="s">
        <v>458</v>
      </c>
      <c r="B160" s="198">
        <v>47.6</v>
      </c>
      <c r="C160" s="198">
        <v>0</v>
      </c>
    </row>
    <row r="161" spans="1:3" hidden="1" x14ac:dyDescent="0.25">
      <c r="A161" s="440" t="s">
        <v>459</v>
      </c>
      <c r="B161" s="198">
        <f>83.9-B162</f>
        <v>80.900000000000006</v>
      </c>
      <c r="C161" s="441" t="s">
        <v>1027</v>
      </c>
    </row>
    <row r="162" spans="1:3" hidden="1" x14ac:dyDescent="0.25">
      <c r="A162" s="440" t="s">
        <v>459</v>
      </c>
      <c r="B162" s="198">
        <v>3</v>
      </c>
      <c r="C162" s="441" t="s">
        <v>1029</v>
      </c>
    </row>
    <row r="163" spans="1:3" hidden="1" x14ac:dyDescent="0.25">
      <c r="A163" s="440" t="s">
        <v>460</v>
      </c>
      <c r="B163" s="198">
        <f>40.2*0.6</f>
        <v>24.12</v>
      </c>
      <c r="C163" s="441" t="s">
        <v>1027</v>
      </c>
    </row>
    <row r="164" spans="1:3" hidden="1" x14ac:dyDescent="0.25">
      <c r="A164" s="445" t="s">
        <v>461</v>
      </c>
      <c r="B164" s="198">
        <f>88.5*0.6</f>
        <v>53.1</v>
      </c>
      <c r="C164" s="441" t="s">
        <v>1027</v>
      </c>
    </row>
    <row r="165" spans="1:3" hidden="1" x14ac:dyDescent="0.25">
      <c r="A165" s="440" t="s">
        <v>462</v>
      </c>
      <c r="B165" s="198">
        <v>85.8</v>
      </c>
      <c r="C165" s="441" t="s">
        <v>1027</v>
      </c>
    </row>
    <row r="166" spans="1:3" hidden="1" x14ac:dyDescent="0.25">
      <c r="A166" s="440" t="s">
        <v>463</v>
      </c>
      <c r="B166" s="198">
        <f>94.9-10.2*4</f>
        <v>54.100000000000009</v>
      </c>
      <c r="C166" s="441" t="s">
        <v>1027</v>
      </c>
    </row>
    <row r="167" spans="1:3" hidden="1" x14ac:dyDescent="0.25">
      <c r="A167" s="440" t="s">
        <v>464</v>
      </c>
      <c r="B167" s="198">
        <v>81.7</v>
      </c>
      <c r="C167" s="441" t="s">
        <v>1027</v>
      </c>
    </row>
    <row r="168" spans="1:3" hidden="1" x14ac:dyDescent="0.25">
      <c r="A168" s="440" t="s">
        <v>465</v>
      </c>
      <c r="B168" s="198">
        <f>39.7*0.6</f>
        <v>23.82</v>
      </c>
      <c r="C168" s="441" t="s">
        <v>1027</v>
      </c>
    </row>
    <row r="169" spans="1:3" hidden="1" x14ac:dyDescent="0.25">
      <c r="A169" s="440" t="s">
        <v>466</v>
      </c>
      <c r="B169" s="198">
        <v>84.5</v>
      </c>
      <c r="C169" s="441" t="s">
        <v>1027</v>
      </c>
    </row>
    <row r="170" spans="1:3" hidden="1" x14ac:dyDescent="0.25">
      <c r="A170" s="440" t="s">
        <v>467</v>
      </c>
      <c r="B170" s="198">
        <f>94.9-10.2*4</f>
        <v>54.100000000000009</v>
      </c>
      <c r="C170" s="441" t="s">
        <v>1027</v>
      </c>
    </row>
    <row r="171" spans="1:3" hidden="1" x14ac:dyDescent="0.25">
      <c r="A171" s="440" t="s">
        <v>468</v>
      </c>
      <c r="B171" s="198">
        <f>87.7*0.6</f>
        <v>52.62</v>
      </c>
      <c r="C171" s="441" t="s">
        <v>1027</v>
      </c>
    </row>
    <row r="172" spans="1:3" hidden="1" x14ac:dyDescent="0.25">
      <c r="A172" s="440" t="s">
        <v>469</v>
      </c>
      <c r="B172" s="198">
        <v>112.1</v>
      </c>
      <c r="C172" s="441" t="s">
        <v>1027</v>
      </c>
    </row>
    <row r="173" spans="1:3" hidden="1" x14ac:dyDescent="0.25">
      <c r="A173" s="440" t="s">
        <v>470</v>
      </c>
      <c r="B173" s="198">
        <v>41.3</v>
      </c>
      <c r="C173" s="441" t="s">
        <v>1027</v>
      </c>
    </row>
    <row r="174" spans="1:3" hidden="1" x14ac:dyDescent="0.25">
      <c r="A174" s="440" t="s">
        <v>471</v>
      </c>
      <c r="B174" s="198">
        <v>103.9</v>
      </c>
      <c r="C174" s="441" t="s">
        <v>1027</v>
      </c>
    </row>
    <row r="175" spans="1:3" hidden="1" x14ac:dyDescent="0.25">
      <c r="A175" s="440" t="s">
        <v>472</v>
      </c>
      <c r="B175" s="198">
        <v>40.200000000000003</v>
      </c>
      <c r="C175" s="441" t="s">
        <v>1027</v>
      </c>
    </row>
    <row r="176" spans="1:3" hidden="1" x14ac:dyDescent="0.25">
      <c r="A176" s="440" t="s">
        <v>473</v>
      </c>
      <c r="B176" s="198">
        <f>88.6-B177</f>
        <v>76.599999999999994</v>
      </c>
      <c r="C176" s="441" t="s">
        <v>1027</v>
      </c>
    </row>
    <row r="177" spans="1:3" hidden="1" x14ac:dyDescent="0.25">
      <c r="A177" s="440" t="s">
        <v>473</v>
      </c>
      <c r="B177" s="198">
        <f>3*4</f>
        <v>12</v>
      </c>
      <c r="C177" s="441" t="s">
        <v>1029</v>
      </c>
    </row>
    <row r="178" spans="1:3" hidden="1" x14ac:dyDescent="0.25">
      <c r="A178" s="440" t="s">
        <v>474</v>
      </c>
      <c r="B178" s="198">
        <v>39.799999999999997</v>
      </c>
      <c r="C178" s="198">
        <v>0</v>
      </c>
    </row>
    <row r="179" spans="1:3" hidden="1" x14ac:dyDescent="0.25">
      <c r="A179" s="440" t="s">
        <v>475</v>
      </c>
      <c r="B179" s="198">
        <v>38.9</v>
      </c>
      <c r="C179" s="441" t="s">
        <v>1027</v>
      </c>
    </row>
    <row r="180" spans="1:3" hidden="1" x14ac:dyDescent="0.25">
      <c r="A180" s="444" t="s">
        <v>476</v>
      </c>
      <c r="B180" s="198">
        <f>104-B181</f>
        <v>47</v>
      </c>
      <c r="C180" s="441" t="s">
        <v>1027</v>
      </c>
    </row>
    <row r="181" spans="1:3" hidden="1" x14ac:dyDescent="0.25">
      <c r="A181" s="444" t="s">
        <v>476</v>
      </c>
      <c r="B181" s="198">
        <v>57</v>
      </c>
      <c r="C181" s="441" t="s">
        <v>1031</v>
      </c>
    </row>
    <row r="182" spans="1:3" hidden="1" x14ac:dyDescent="0.25">
      <c r="A182" s="440" t="s">
        <v>477</v>
      </c>
      <c r="B182" s="198">
        <f>38.9-B183</f>
        <v>22.9</v>
      </c>
      <c r="C182" s="441" t="s">
        <v>1027</v>
      </c>
    </row>
    <row r="183" spans="1:3" hidden="1" x14ac:dyDescent="0.25">
      <c r="A183" s="440" t="s">
        <v>477</v>
      </c>
      <c r="B183" s="198">
        <f>4*4</f>
        <v>16</v>
      </c>
      <c r="C183" s="441" t="s">
        <v>1029</v>
      </c>
    </row>
    <row r="184" spans="1:3" hidden="1" x14ac:dyDescent="0.25">
      <c r="A184" s="440" t="s">
        <v>478</v>
      </c>
      <c r="B184" s="198">
        <f>147-B185</f>
        <v>135</v>
      </c>
      <c r="C184" s="441" t="s">
        <v>1027</v>
      </c>
    </row>
    <row r="185" spans="1:3" hidden="1" x14ac:dyDescent="0.25">
      <c r="A185" s="440" t="s">
        <v>478</v>
      </c>
      <c r="B185" s="441">
        <f>3*4</f>
        <v>12</v>
      </c>
      <c r="C185" s="441" t="s">
        <v>1029</v>
      </c>
    </row>
    <row r="186" spans="1:3" hidden="1" x14ac:dyDescent="0.25">
      <c r="A186" s="444" t="s">
        <v>479</v>
      </c>
      <c r="B186" s="198">
        <f>83.5-B187</f>
        <v>47.5</v>
      </c>
      <c r="C186" s="441" t="s">
        <v>1027</v>
      </c>
    </row>
    <row r="187" spans="1:3" hidden="1" x14ac:dyDescent="0.25">
      <c r="A187" s="444" t="s">
        <v>479</v>
      </c>
      <c r="B187" s="198">
        <v>36</v>
      </c>
      <c r="C187" s="441" t="s">
        <v>1031</v>
      </c>
    </row>
    <row r="188" spans="1:3" hidden="1" x14ac:dyDescent="0.25">
      <c r="A188" s="440" t="s">
        <v>480</v>
      </c>
      <c r="B188" s="198">
        <f>113.3-B189</f>
        <v>57.3</v>
      </c>
      <c r="C188" s="441" t="s">
        <v>1027</v>
      </c>
    </row>
    <row r="189" spans="1:3" hidden="1" x14ac:dyDescent="0.25">
      <c r="A189" s="440" t="s">
        <v>480</v>
      </c>
      <c r="B189" s="198">
        <f>14*4</f>
        <v>56</v>
      </c>
      <c r="C189" s="441" t="s">
        <v>1028</v>
      </c>
    </row>
    <row r="192" spans="1:3" x14ac:dyDescent="0.25">
      <c r="A192" s="426" t="s">
        <v>652</v>
      </c>
      <c r="B192" s="427" t="s">
        <v>584</v>
      </c>
      <c r="C192" s="441" t="s">
        <v>591</v>
      </c>
    </row>
    <row r="193" spans="1:3" hidden="1" x14ac:dyDescent="0.25">
      <c r="A193" s="440" t="s">
        <v>361</v>
      </c>
      <c r="B193" s="198">
        <f>113.1-B194</f>
        <v>99.1</v>
      </c>
      <c r="C193" s="441" t="s">
        <v>1027</v>
      </c>
    </row>
    <row r="194" spans="1:3" hidden="1" x14ac:dyDescent="0.25">
      <c r="A194" s="440" t="s">
        <v>361</v>
      </c>
      <c r="B194" s="198">
        <f>3.5*4</f>
        <v>14</v>
      </c>
      <c r="C194" s="441" t="s">
        <v>1031</v>
      </c>
    </row>
    <row r="195" spans="1:3" hidden="1" x14ac:dyDescent="0.25">
      <c r="A195" s="440" t="s">
        <v>362</v>
      </c>
      <c r="B195" s="198">
        <f>140.8-B196</f>
        <v>122.80000000000001</v>
      </c>
      <c r="C195" s="441" t="s">
        <v>1027</v>
      </c>
    </row>
    <row r="196" spans="1:3" hidden="1" x14ac:dyDescent="0.25">
      <c r="A196" s="440" t="s">
        <v>362</v>
      </c>
      <c r="B196" s="198">
        <f>4.5*4</f>
        <v>18</v>
      </c>
      <c r="C196" s="441" t="s">
        <v>1031</v>
      </c>
    </row>
    <row r="197" spans="1:3" hidden="1" x14ac:dyDescent="0.25">
      <c r="A197" s="440" t="s">
        <v>363</v>
      </c>
      <c r="B197" s="198">
        <v>82.1</v>
      </c>
      <c r="C197" s="441" t="s">
        <v>1027</v>
      </c>
    </row>
    <row r="198" spans="1:3" hidden="1" x14ac:dyDescent="0.25">
      <c r="A198" s="440" t="s">
        <v>364</v>
      </c>
      <c r="B198" s="198">
        <f>119.5-B199</f>
        <v>101.5</v>
      </c>
      <c r="C198" s="441" t="s">
        <v>1027</v>
      </c>
    </row>
    <row r="199" spans="1:3" hidden="1" x14ac:dyDescent="0.25">
      <c r="A199" s="440" t="s">
        <v>364</v>
      </c>
      <c r="B199" s="198">
        <f>4.5*4</f>
        <v>18</v>
      </c>
      <c r="C199" s="441" t="s">
        <v>1031</v>
      </c>
    </row>
    <row r="200" spans="1:3" hidden="1" x14ac:dyDescent="0.25">
      <c r="A200" s="440" t="s">
        <v>365</v>
      </c>
      <c r="B200" s="198">
        <f>112.4-B201</f>
        <v>95.600000000000009</v>
      </c>
      <c r="C200" s="441" t="s">
        <v>1027</v>
      </c>
    </row>
    <row r="201" spans="1:3" hidden="1" x14ac:dyDescent="0.25">
      <c r="A201" s="440" t="s">
        <v>365</v>
      </c>
      <c r="B201" s="198">
        <f>4.2*4</f>
        <v>16.8</v>
      </c>
      <c r="C201" s="441" t="s">
        <v>1031</v>
      </c>
    </row>
    <row r="202" spans="1:3" hidden="1" x14ac:dyDescent="0.25">
      <c r="A202" s="440" t="s">
        <v>366</v>
      </c>
      <c r="B202" s="198">
        <f>111.7-B203</f>
        <v>94.1</v>
      </c>
      <c r="C202" s="441" t="s">
        <v>1027</v>
      </c>
    </row>
    <row r="203" spans="1:3" hidden="1" x14ac:dyDescent="0.25">
      <c r="A203" s="440" t="s">
        <v>366</v>
      </c>
      <c r="B203" s="198">
        <f>4.4*4</f>
        <v>17.600000000000001</v>
      </c>
      <c r="C203" s="441" t="s">
        <v>1031</v>
      </c>
    </row>
    <row r="204" spans="1:3" hidden="1" x14ac:dyDescent="0.25">
      <c r="A204" s="440" t="s">
        <v>367</v>
      </c>
      <c r="B204" s="198">
        <f>108.8-B205</f>
        <v>98.8</v>
      </c>
      <c r="C204" s="441" t="s">
        <v>1027</v>
      </c>
    </row>
    <row r="205" spans="1:3" hidden="1" x14ac:dyDescent="0.25">
      <c r="A205" s="440" t="s">
        <v>367</v>
      </c>
      <c r="B205" s="198">
        <f>2.5*4</f>
        <v>10</v>
      </c>
      <c r="C205" s="441" t="s">
        <v>1031</v>
      </c>
    </row>
    <row r="206" spans="1:3" hidden="1" x14ac:dyDescent="0.25">
      <c r="A206" s="440" t="s">
        <v>368</v>
      </c>
      <c r="B206" s="198">
        <f>108.8-5</f>
        <v>103.8</v>
      </c>
      <c r="C206" s="441" t="s">
        <v>1027</v>
      </c>
    </row>
    <row r="207" spans="1:3" hidden="1" x14ac:dyDescent="0.25">
      <c r="A207" s="440" t="s">
        <v>369</v>
      </c>
      <c r="B207" s="198">
        <f>34.8*0+8.3*2.2</f>
        <v>18.260000000000002</v>
      </c>
      <c r="C207" s="441" t="s">
        <v>1027</v>
      </c>
    </row>
    <row r="208" spans="1:3" hidden="1" x14ac:dyDescent="0.25">
      <c r="A208" s="440" t="s">
        <v>688</v>
      </c>
      <c r="B208" s="198">
        <f>80.2*0+18.8*2.2</f>
        <v>41.360000000000007</v>
      </c>
      <c r="C208" s="441" t="s">
        <v>1027</v>
      </c>
    </row>
    <row r="209" spans="1:3" hidden="1" x14ac:dyDescent="0.25">
      <c r="A209" s="440" t="s">
        <v>370</v>
      </c>
      <c r="B209" s="198">
        <f>80.2*0+18.8*2.2</f>
        <v>41.360000000000007</v>
      </c>
      <c r="C209" s="441" t="s">
        <v>1027</v>
      </c>
    </row>
    <row r="210" spans="1:3" hidden="1" x14ac:dyDescent="0.25">
      <c r="A210" s="440" t="s">
        <v>371</v>
      </c>
      <c r="B210" s="198">
        <f>489.4-B211</f>
        <v>472.59999999999997</v>
      </c>
      <c r="C210" s="441" t="s">
        <v>1027</v>
      </c>
    </row>
    <row r="211" spans="1:3" hidden="1" x14ac:dyDescent="0.25">
      <c r="A211" s="440" t="s">
        <v>371</v>
      </c>
      <c r="B211" s="198">
        <f>4.2*4</f>
        <v>16.8</v>
      </c>
      <c r="C211" s="441" t="s">
        <v>1028</v>
      </c>
    </row>
    <row r="212" spans="1:3" hidden="1" x14ac:dyDescent="0.25">
      <c r="A212" s="440" t="s">
        <v>371</v>
      </c>
      <c r="B212" s="198">
        <v>9.4</v>
      </c>
      <c r="C212" s="441" t="s">
        <v>1037</v>
      </c>
    </row>
    <row r="213" spans="1:3" hidden="1" x14ac:dyDescent="0.25">
      <c r="A213" s="440" t="s">
        <v>372</v>
      </c>
      <c r="B213" s="198">
        <v>78.7</v>
      </c>
      <c r="C213" s="441" t="s">
        <v>1027</v>
      </c>
    </row>
    <row r="214" spans="1:3" hidden="1" x14ac:dyDescent="0.25">
      <c r="A214" s="440" t="s">
        <v>373</v>
      </c>
      <c r="B214" s="198">
        <f>34.8*0.6</f>
        <v>20.88</v>
      </c>
      <c r="C214" s="441" t="s">
        <v>1027</v>
      </c>
    </row>
    <row r="215" spans="1:3" hidden="1" x14ac:dyDescent="0.25">
      <c r="A215" s="440" t="s">
        <v>374</v>
      </c>
      <c r="B215" s="198">
        <v>59.9</v>
      </c>
      <c r="C215" s="198">
        <v>0</v>
      </c>
    </row>
    <row r="216" spans="1:3" hidden="1" x14ac:dyDescent="0.25">
      <c r="A216" s="440" t="s">
        <v>375</v>
      </c>
      <c r="B216" s="198">
        <v>69.2</v>
      </c>
      <c r="C216" s="441" t="s">
        <v>1027</v>
      </c>
    </row>
    <row r="217" spans="1:3" hidden="1" x14ac:dyDescent="0.25">
      <c r="A217" s="446" t="s">
        <v>376</v>
      </c>
      <c r="B217" s="198">
        <v>78.400000000000006</v>
      </c>
      <c r="C217" s="441" t="s">
        <v>1027</v>
      </c>
    </row>
    <row r="218" spans="1:3" hidden="1" x14ac:dyDescent="0.25">
      <c r="A218" s="446" t="s">
        <v>376</v>
      </c>
      <c r="C218" s="441" t="s">
        <v>1031</v>
      </c>
    </row>
    <row r="219" spans="1:3" hidden="1" x14ac:dyDescent="0.25">
      <c r="A219" s="440" t="s">
        <v>377</v>
      </c>
      <c r="B219" s="198">
        <v>155.6</v>
      </c>
      <c r="C219" s="441" t="s">
        <v>1027</v>
      </c>
    </row>
    <row r="220" spans="1:3" hidden="1" x14ac:dyDescent="0.25">
      <c r="A220" s="440" t="s">
        <v>378</v>
      </c>
      <c r="B220" s="198">
        <f>270.2-23</f>
        <v>247.2</v>
      </c>
      <c r="C220" s="441" t="s">
        <v>1027</v>
      </c>
    </row>
    <row r="221" spans="1:3" hidden="1" x14ac:dyDescent="0.25">
      <c r="A221" s="446" t="s">
        <v>689</v>
      </c>
      <c r="B221" s="198">
        <f>84.5-B222</f>
        <v>38.5</v>
      </c>
      <c r="C221" s="441" t="s">
        <v>1027</v>
      </c>
    </row>
    <row r="222" spans="1:3" hidden="1" x14ac:dyDescent="0.25">
      <c r="A222" s="446" t="s">
        <v>689</v>
      </c>
      <c r="B222" s="198">
        <v>46</v>
      </c>
      <c r="C222" s="441" t="s">
        <v>1031</v>
      </c>
    </row>
    <row r="223" spans="1:3" hidden="1" x14ac:dyDescent="0.25">
      <c r="A223" s="446" t="s">
        <v>646</v>
      </c>
      <c r="B223" s="198">
        <f>132.8-B224</f>
        <v>63.800000000000011</v>
      </c>
      <c r="C223" s="441" t="s">
        <v>1027</v>
      </c>
    </row>
    <row r="224" spans="1:3" hidden="1" x14ac:dyDescent="0.25">
      <c r="A224" s="446" t="s">
        <v>646</v>
      </c>
      <c r="B224" s="198">
        <v>69</v>
      </c>
      <c r="C224" s="441" t="s">
        <v>1031</v>
      </c>
    </row>
    <row r="225" spans="1:3" hidden="1" x14ac:dyDescent="0.25">
      <c r="A225" s="440" t="s">
        <v>851</v>
      </c>
      <c r="B225" s="198">
        <v>47.5</v>
      </c>
      <c r="C225" s="441" t="s">
        <v>1027</v>
      </c>
    </row>
    <row r="226" spans="1:3" hidden="1" x14ac:dyDescent="0.25">
      <c r="A226" s="440" t="s">
        <v>690</v>
      </c>
      <c r="B226" s="198">
        <f>83.5-B227</f>
        <v>80.5</v>
      </c>
      <c r="C226" s="441" t="s">
        <v>1027</v>
      </c>
    </row>
    <row r="227" spans="1:3" hidden="1" x14ac:dyDescent="0.25">
      <c r="A227" s="440" t="s">
        <v>690</v>
      </c>
      <c r="B227" s="198">
        <v>3</v>
      </c>
      <c r="C227" s="441" t="s">
        <v>1029</v>
      </c>
    </row>
    <row r="228" spans="1:3" hidden="1" x14ac:dyDescent="0.25">
      <c r="A228" s="440" t="s">
        <v>944</v>
      </c>
      <c r="B228" s="198">
        <f>39.5*0.6</f>
        <v>23.7</v>
      </c>
      <c r="C228" s="441" t="s">
        <v>1027</v>
      </c>
    </row>
    <row r="229" spans="1:3" hidden="1" x14ac:dyDescent="0.25">
      <c r="A229" s="440" t="s">
        <v>647</v>
      </c>
      <c r="B229" s="198">
        <v>87.7</v>
      </c>
      <c r="C229" s="441" t="s">
        <v>1027</v>
      </c>
    </row>
    <row r="230" spans="1:3" hidden="1" x14ac:dyDescent="0.25">
      <c r="A230" s="440" t="s">
        <v>648</v>
      </c>
      <c r="B230" s="198">
        <f>94.9-10.2*4</f>
        <v>54.100000000000009</v>
      </c>
      <c r="C230" s="441" t="s">
        <v>1027</v>
      </c>
    </row>
    <row r="231" spans="1:3" hidden="1" x14ac:dyDescent="0.25">
      <c r="A231" s="440" t="s">
        <v>945</v>
      </c>
      <c r="B231" s="198">
        <f>88.5*0.6</f>
        <v>53.1</v>
      </c>
      <c r="C231" s="441" t="s">
        <v>1027</v>
      </c>
    </row>
    <row r="232" spans="1:3" hidden="1" x14ac:dyDescent="0.25">
      <c r="A232" s="440" t="s">
        <v>379</v>
      </c>
      <c r="B232" s="198">
        <f>80.6-B233</f>
        <v>77.599999999999994</v>
      </c>
      <c r="C232" s="441" t="s">
        <v>1027</v>
      </c>
    </row>
    <row r="233" spans="1:3" hidden="1" x14ac:dyDescent="0.25">
      <c r="A233" s="440" t="s">
        <v>379</v>
      </c>
      <c r="B233" s="198">
        <v>3</v>
      </c>
      <c r="C233" s="441" t="s">
        <v>1029</v>
      </c>
    </row>
    <row r="234" spans="1:3" hidden="1" x14ac:dyDescent="0.25">
      <c r="A234" s="440" t="s">
        <v>380</v>
      </c>
      <c r="B234" s="198">
        <v>85.2</v>
      </c>
      <c r="C234" s="441" t="s">
        <v>1027</v>
      </c>
    </row>
    <row r="235" spans="1:3" hidden="1" x14ac:dyDescent="0.25">
      <c r="A235" s="440" t="s">
        <v>649</v>
      </c>
      <c r="B235" s="198">
        <f>94.9-10.2*4</f>
        <v>54.100000000000009</v>
      </c>
      <c r="C235" s="441" t="s">
        <v>1027</v>
      </c>
    </row>
    <row r="236" spans="1:3" hidden="1" x14ac:dyDescent="0.25">
      <c r="A236" s="440" t="s">
        <v>381</v>
      </c>
      <c r="B236" s="198">
        <f>39.5*0.6</f>
        <v>23.7</v>
      </c>
      <c r="C236" s="441" t="s">
        <v>1027</v>
      </c>
    </row>
    <row r="237" spans="1:3" hidden="1" x14ac:dyDescent="0.25">
      <c r="A237" s="440" t="s">
        <v>382</v>
      </c>
      <c r="B237" s="198">
        <f>87*0.6</f>
        <v>52.199999999999996</v>
      </c>
      <c r="C237" s="441" t="s">
        <v>1027</v>
      </c>
    </row>
    <row r="238" spans="1:3" hidden="1" x14ac:dyDescent="0.25">
      <c r="A238" s="440" t="s">
        <v>383</v>
      </c>
      <c r="B238" s="198">
        <v>125.1</v>
      </c>
      <c r="C238" s="441" t="s">
        <v>1027</v>
      </c>
    </row>
    <row r="239" spans="1:3" hidden="1" x14ac:dyDescent="0.25">
      <c r="A239" s="440" t="s">
        <v>384</v>
      </c>
      <c r="B239" s="198">
        <v>41.2</v>
      </c>
      <c r="C239" s="441" t="s">
        <v>1027</v>
      </c>
    </row>
    <row r="240" spans="1:3" hidden="1" x14ac:dyDescent="0.25">
      <c r="A240" s="440" t="s">
        <v>385</v>
      </c>
      <c r="B240" s="198">
        <v>116.3</v>
      </c>
      <c r="C240" s="441" t="s">
        <v>1027</v>
      </c>
    </row>
    <row r="241" spans="1:3" hidden="1" x14ac:dyDescent="0.25">
      <c r="A241" s="440" t="s">
        <v>386</v>
      </c>
      <c r="B241" s="198">
        <v>39.1</v>
      </c>
      <c r="C241" s="441" t="s">
        <v>1027</v>
      </c>
    </row>
    <row r="242" spans="1:3" hidden="1" x14ac:dyDescent="0.25">
      <c r="A242" s="440" t="s">
        <v>387</v>
      </c>
      <c r="B242" s="198">
        <v>38.5</v>
      </c>
      <c r="C242" s="441" t="s">
        <v>1027</v>
      </c>
    </row>
    <row r="243" spans="1:3" hidden="1" x14ac:dyDescent="0.25">
      <c r="A243" s="446" t="s">
        <v>388</v>
      </c>
      <c r="B243" s="198">
        <f>103.5-B244</f>
        <v>47.5</v>
      </c>
      <c r="C243" s="441" t="s">
        <v>1027</v>
      </c>
    </row>
    <row r="244" spans="1:3" hidden="1" x14ac:dyDescent="0.25">
      <c r="A244" s="446" t="s">
        <v>388</v>
      </c>
      <c r="B244" s="198">
        <v>56</v>
      </c>
      <c r="C244" s="441" t="s">
        <v>1031</v>
      </c>
    </row>
    <row r="245" spans="1:3" hidden="1" x14ac:dyDescent="0.25">
      <c r="A245" s="440" t="s">
        <v>389</v>
      </c>
      <c r="B245" s="198">
        <v>37</v>
      </c>
      <c r="C245" s="441" t="s">
        <v>1027</v>
      </c>
    </row>
    <row r="246" spans="1:3" hidden="1" x14ac:dyDescent="0.25">
      <c r="A246" s="440" t="s">
        <v>390</v>
      </c>
      <c r="B246" s="198">
        <v>40.4</v>
      </c>
      <c r="C246" s="198">
        <v>0</v>
      </c>
    </row>
    <row r="247" spans="1:3" hidden="1" x14ac:dyDescent="0.25">
      <c r="A247" s="440" t="s">
        <v>391</v>
      </c>
      <c r="B247" s="198">
        <f>93.3-B248</f>
        <v>65.3</v>
      </c>
      <c r="C247" s="441" t="s">
        <v>1027</v>
      </c>
    </row>
    <row r="248" spans="1:3" hidden="1" x14ac:dyDescent="0.25">
      <c r="A248" s="440" t="s">
        <v>391</v>
      </c>
      <c r="B248" s="198">
        <f>7*4</f>
        <v>28</v>
      </c>
      <c r="C248" s="441" t="s">
        <v>1029</v>
      </c>
    </row>
    <row r="249" spans="1:3" hidden="1" x14ac:dyDescent="0.25">
      <c r="A249" s="440" t="s">
        <v>392</v>
      </c>
      <c r="B249" s="198">
        <v>180.9</v>
      </c>
      <c r="C249" s="441" t="s">
        <v>1027</v>
      </c>
    </row>
    <row r="250" spans="1:3" hidden="1" x14ac:dyDescent="0.25">
      <c r="A250" s="440" t="s">
        <v>392</v>
      </c>
      <c r="B250" s="198">
        <f>6*4</f>
        <v>24</v>
      </c>
      <c r="C250" s="441" t="s">
        <v>1029</v>
      </c>
    </row>
    <row r="251" spans="1:3" hidden="1" x14ac:dyDescent="0.25">
      <c r="A251" s="446" t="s">
        <v>393</v>
      </c>
      <c r="B251" s="198">
        <f>83.5-B252</f>
        <v>40.5</v>
      </c>
      <c r="C251" s="441" t="s">
        <v>1027</v>
      </c>
    </row>
    <row r="252" spans="1:3" hidden="1" x14ac:dyDescent="0.25">
      <c r="A252" s="446" t="s">
        <v>393</v>
      </c>
      <c r="B252" s="198">
        <v>43</v>
      </c>
      <c r="C252" s="441" t="s">
        <v>1031</v>
      </c>
    </row>
    <row r="253" spans="1:3" hidden="1" x14ac:dyDescent="0.25">
      <c r="A253" s="440" t="s">
        <v>394</v>
      </c>
      <c r="B253" s="198">
        <v>49.2</v>
      </c>
      <c r="C253" s="441" t="s">
        <v>1027</v>
      </c>
    </row>
    <row r="254" spans="1:3" hidden="1" x14ac:dyDescent="0.25">
      <c r="A254" s="440" t="s">
        <v>395</v>
      </c>
      <c r="B254" s="198">
        <f>120.9-B255-B256</f>
        <v>62.900000000000006</v>
      </c>
      <c r="C254" s="441" t="s">
        <v>1027</v>
      </c>
    </row>
    <row r="255" spans="1:3" hidden="1" x14ac:dyDescent="0.25">
      <c r="A255" s="440" t="s">
        <v>395</v>
      </c>
      <c r="B255" s="198">
        <f>11*4</f>
        <v>44</v>
      </c>
      <c r="C255" s="441" t="s">
        <v>1028</v>
      </c>
    </row>
    <row r="256" spans="1:3" x14ac:dyDescent="0.25">
      <c r="A256" s="440" t="s">
        <v>395</v>
      </c>
      <c r="B256" s="198">
        <f>3.5*4</f>
        <v>14</v>
      </c>
      <c r="C256" s="441" t="s">
        <v>1033</v>
      </c>
    </row>
    <row r="261" spans="1:3" x14ac:dyDescent="0.25">
      <c r="A261" s="440" t="s">
        <v>838</v>
      </c>
    </row>
    <row r="262" spans="1:3" x14ac:dyDescent="0.25">
      <c r="A262" s="441" t="s">
        <v>1027</v>
      </c>
      <c r="B262" s="198">
        <f t="shared" ref="B262:B269" si="0">SUM(SUMIF(C$3:C$105,A262,B$3:B$105))</f>
        <v>4156.3050000000003</v>
      </c>
      <c r="C262" s="198">
        <v>4166.3999999999996</v>
      </c>
    </row>
    <row r="263" spans="1:3" x14ac:dyDescent="0.25">
      <c r="A263" s="441" t="s">
        <v>1028</v>
      </c>
      <c r="B263" s="198">
        <f t="shared" si="0"/>
        <v>125.34</v>
      </c>
      <c r="C263" s="198">
        <v>179.9</v>
      </c>
    </row>
    <row r="264" spans="1:3" x14ac:dyDescent="0.25">
      <c r="A264" s="441" t="s">
        <v>1029</v>
      </c>
      <c r="B264" s="198">
        <f t="shared" si="0"/>
        <v>97.56</v>
      </c>
      <c r="C264" s="198">
        <v>110.1</v>
      </c>
    </row>
    <row r="265" spans="1:3" x14ac:dyDescent="0.25">
      <c r="A265" s="198"/>
      <c r="B265" s="198">
        <f t="shared" si="0"/>
        <v>1576.8</v>
      </c>
    </row>
    <row r="266" spans="1:3" x14ac:dyDescent="0.25">
      <c r="A266" s="441" t="s">
        <v>1030</v>
      </c>
      <c r="B266" s="198">
        <f t="shared" si="0"/>
        <v>11</v>
      </c>
      <c r="C266" s="198">
        <v>9.8000000000000007</v>
      </c>
    </row>
    <row r="267" spans="1:3" x14ac:dyDescent="0.25">
      <c r="A267" s="441" t="s">
        <v>1031</v>
      </c>
      <c r="B267" s="198">
        <f t="shared" si="0"/>
        <v>262.82</v>
      </c>
      <c r="C267" s="198">
        <v>629.5</v>
      </c>
    </row>
    <row r="268" spans="1:3" x14ac:dyDescent="0.25">
      <c r="A268" s="441" t="s">
        <v>1032</v>
      </c>
      <c r="B268" s="198">
        <f t="shared" si="0"/>
        <v>0</v>
      </c>
      <c r="C268" s="198">
        <v>43.4</v>
      </c>
    </row>
    <row r="269" spans="1:3" x14ac:dyDescent="0.25">
      <c r="A269" s="441" t="s">
        <v>1033</v>
      </c>
      <c r="B269" s="198">
        <f t="shared" si="0"/>
        <v>86.6</v>
      </c>
      <c r="C269" s="198">
        <v>86.6</v>
      </c>
    </row>
    <row r="272" spans="1:3" x14ac:dyDescent="0.25">
      <c r="A272" s="440" t="s">
        <v>839</v>
      </c>
      <c r="C272" s="450"/>
    </row>
    <row r="273" spans="1:3" x14ac:dyDescent="0.25">
      <c r="A273" s="441" t="s">
        <v>1027</v>
      </c>
      <c r="B273" s="198">
        <f>SUM(SUMIF('Общ (2)'!C$3:C$119,A273,'Общ (2)'!B$3:B$119))</f>
        <v>4216.24</v>
      </c>
      <c r="C273" s="198">
        <v>3857.7</v>
      </c>
    </row>
    <row r="274" spans="1:3" x14ac:dyDescent="0.25">
      <c r="A274" s="441" t="s">
        <v>1028</v>
      </c>
      <c r="B274" s="198">
        <f>SUM(SUMIF('Общ (2)'!C$3:C$119,A274,'Общ (2)'!B$3:B$119))</f>
        <v>74.400000000000006</v>
      </c>
      <c r="C274" s="198">
        <v>70.400000000000006</v>
      </c>
    </row>
    <row r="275" spans="1:3" x14ac:dyDescent="0.25">
      <c r="A275" s="441" t="s">
        <v>1034</v>
      </c>
      <c r="B275" s="198">
        <f>SUM(SUMIF('Общ (2)'!C$3:C$119,A275,'Общ (2)'!B$3:B$119))</f>
        <v>32.799999999999997</v>
      </c>
      <c r="C275" s="198">
        <v>32.799999999999997</v>
      </c>
    </row>
    <row r="276" spans="1:3" x14ac:dyDescent="0.25">
      <c r="A276" s="441" t="s">
        <v>1029</v>
      </c>
      <c r="B276" s="198">
        <f>SUM(SUMIF('Общ (2)'!C$3:C$119,A276,'Общ (2)'!B$3:B$119))</f>
        <v>53</v>
      </c>
      <c r="C276" s="198">
        <v>45.9</v>
      </c>
    </row>
    <row r="277" spans="1:3" x14ac:dyDescent="0.25">
      <c r="A277" s="441" t="s">
        <v>1035</v>
      </c>
      <c r="B277" s="198">
        <f>SUM(SUMIF('Общ (2)'!C$3:C$119,A277,'Общ (2)'!B$3:B$119))</f>
        <v>72</v>
      </c>
      <c r="C277" s="198">
        <v>72.2</v>
      </c>
    </row>
    <row r="278" spans="1:3" x14ac:dyDescent="0.25">
      <c r="A278" s="441" t="s">
        <v>1031</v>
      </c>
      <c r="B278" s="198">
        <f>SUM(SUMIF('Общ (2)'!C$3:C$119,A278,'Общ (2)'!B$3:B$119))</f>
        <v>391.08</v>
      </c>
      <c r="C278" s="198">
        <v>125</v>
      </c>
    </row>
    <row r="279" spans="1:3" x14ac:dyDescent="0.25">
      <c r="A279" s="441" t="s">
        <v>1032</v>
      </c>
      <c r="B279" s="198">
        <f>SUM(SUMIF('Общ (2)'!C$3:C$119,A279,'Общ (2)'!B$3:B$119))</f>
        <v>0</v>
      </c>
      <c r="C279" s="198">
        <v>54.8</v>
      </c>
    </row>
    <row r="280" spans="1:3" x14ac:dyDescent="0.25">
      <c r="A280" s="441" t="s">
        <v>1033</v>
      </c>
      <c r="B280" s="198">
        <f>SUM(SUMIF('Общ (2)'!C$3:C$119,A280,'Общ (2)'!B$3:B$119))</f>
        <v>15.2</v>
      </c>
      <c r="C280" s="198">
        <v>15.2</v>
      </c>
    </row>
    <row r="281" spans="1:3" x14ac:dyDescent="0.25">
      <c r="A281" s="441">
        <v>0</v>
      </c>
      <c r="B281" s="198">
        <f>SUM(SUMIF('Общ (2)'!C$3:C$119,A281,'Общ (2)'!B$3:B$119))</f>
        <v>405.90000000000009</v>
      </c>
    </row>
  </sheetData>
  <pageMargins left="0.7" right="0.7" top="0.75" bottom="0.75" header="0.3" footer="0.3"/>
  <pageSetup paperSize="9" orientation="portrait" horizontalDpi="0" verticalDpi="0" r:id="rId1"/>
  <tableParts count="3">
    <tablePart r:id="rId2"/>
    <tablePart r:id="rId3"/>
    <tablePart r:id="rId4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0"/>
  <sheetViews>
    <sheetView workbookViewId="0">
      <selection activeCell="C33" sqref="C33"/>
    </sheetView>
  </sheetViews>
  <sheetFormatPr defaultRowHeight="13.2" x14ac:dyDescent="0.25"/>
  <cols>
    <col min="1" max="1" width="8" bestFit="1" customWidth="1"/>
    <col min="2" max="2" width="6.77734375" bestFit="1" customWidth="1"/>
    <col min="3" max="3" width="7.6640625" customWidth="1"/>
    <col min="4" max="4" width="21.109375" customWidth="1"/>
    <col min="5" max="5" width="13.88671875" bestFit="1" customWidth="1"/>
    <col min="6" max="6" width="5.6640625" bestFit="1" customWidth="1"/>
    <col min="7" max="7" width="8.109375" bestFit="1" customWidth="1"/>
  </cols>
  <sheetData>
    <row r="1" spans="1:7" s="275" customFormat="1" ht="18" x14ac:dyDescent="0.25">
      <c r="A1" s="626" t="s">
        <v>579</v>
      </c>
      <c r="B1" s="627"/>
      <c r="C1" s="627"/>
      <c r="D1" s="627"/>
      <c r="E1" s="627"/>
      <c r="F1" s="627"/>
      <c r="G1" s="628"/>
    </row>
    <row r="2" spans="1:7" s="420" customFormat="1" ht="36" x14ac:dyDescent="0.25">
      <c r="A2" s="173" t="s">
        <v>580</v>
      </c>
      <c r="B2" s="629" t="s">
        <v>581</v>
      </c>
      <c r="C2" s="630"/>
      <c r="D2" s="631"/>
      <c r="E2" s="462" t="s">
        <v>582</v>
      </c>
      <c r="F2" s="419" t="s">
        <v>583</v>
      </c>
      <c r="G2" s="175" t="s">
        <v>584</v>
      </c>
    </row>
    <row r="3" spans="1:7" s="275" customFormat="1" ht="36" x14ac:dyDescent="0.25">
      <c r="A3" s="421">
        <v>1</v>
      </c>
      <c r="B3" s="641" t="s">
        <v>808</v>
      </c>
      <c r="C3" s="642"/>
      <c r="D3" s="643"/>
      <c r="E3" s="451" t="s">
        <v>1049</v>
      </c>
      <c r="F3" s="421" t="s">
        <v>571</v>
      </c>
      <c r="G3" s="286">
        <f>B10</f>
        <v>115.8</v>
      </c>
    </row>
    <row r="4" spans="1:7" x14ac:dyDescent="0.25">
      <c r="A4" s="632"/>
      <c r="B4" s="632"/>
      <c r="C4" s="632"/>
      <c r="D4" s="632"/>
      <c r="E4" s="632"/>
      <c r="F4" s="632"/>
      <c r="G4" s="632"/>
    </row>
    <row r="5" spans="1:7" x14ac:dyDescent="0.25">
      <c r="A5" s="452" t="s">
        <v>652</v>
      </c>
      <c r="B5" s="453" t="s">
        <v>584</v>
      </c>
      <c r="C5" s="633"/>
      <c r="D5" s="633"/>
      <c r="E5" s="633"/>
      <c r="F5" s="633"/>
      <c r="G5" s="633"/>
    </row>
    <row r="6" spans="1:7" x14ac:dyDescent="0.25">
      <c r="A6" s="455" t="s">
        <v>482</v>
      </c>
      <c r="B6" s="456">
        <v>24.9</v>
      </c>
      <c r="C6" s="633"/>
      <c r="D6" s="633"/>
      <c r="E6" s="633"/>
      <c r="F6" s="633"/>
      <c r="G6" s="633"/>
    </row>
    <row r="7" spans="1:7" x14ac:dyDescent="0.25">
      <c r="A7" s="455" t="s">
        <v>424</v>
      </c>
      <c r="B7" s="456">
        <v>61.699999999999996</v>
      </c>
      <c r="C7" s="633"/>
      <c r="D7" s="633"/>
      <c r="E7" s="633"/>
      <c r="F7" s="633"/>
      <c r="G7" s="633"/>
    </row>
    <row r="8" spans="1:7" x14ac:dyDescent="0.25">
      <c r="A8" s="455" t="s">
        <v>424</v>
      </c>
      <c r="B8" s="456">
        <v>15.2</v>
      </c>
      <c r="C8" s="633"/>
      <c r="D8" s="633"/>
      <c r="E8" s="633"/>
      <c r="F8" s="633"/>
      <c r="G8" s="633"/>
    </row>
    <row r="9" spans="1:7" x14ac:dyDescent="0.25">
      <c r="A9" s="455" t="s">
        <v>395</v>
      </c>
      <c r="B9" s="456">
        <v>14</v>
      </c>
      <c r="C9" s="633"/>
      <c r="D9" s="633"/>
      <c r="E9" s="633"/>
      <c r="F9" s="633"/>
      <c r="G9" s="633"/>
    </row>
    <row r="10" spans="1:7" s="198" customFormat="1" x14ac:dyDescent="0.25">
      <c r="A10" s="461" t="s">
        <v>622</v>
      </c>
      <c r="B10" s="456">
        <f>SUM(B6:B9)</f>
        <v>115.8</v>
      </c>
      <c r="C10" s="633"/>
      <c r="D10" s="633"/>
      <c r="E10" s="633"/>
      <c r="F10" s="633"/>
      <c r="G10" s="633"/>
    </row>
  </sheetData>
  <mergeCells count="5">
    <mergeCell ref="A4:G4"/>
    <mergeCell ref="C5:G10"/>
    <mergeCell ref="A1:G1"/>
    <mergeCell ref="B2:D2"/>
    <mergeCell ref="B3:D3"/>
  </mergeCells>
  <pageMargins left="0.7" right="0.7" top="0.75" bottom="0.75" header="0.3" footer="0.3"/>
  <ignoredErrors>
    <ignoredError sqref="A9" twoDigitTextYear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0"/>
  <sheetViews>
    <sheetView workbookViewId="0">
      <selection activeCell="C33" sqref="C33"/>
    </sheetView>
  </sheetViews>
  <sheetFormatPr defaultRowHeight="13.2" x14ac:dyDescent="0.25"/>
  <cols>
    <col min="2" max="2" width="10.33203125" customWidth="1"/>
    <col min="3" max="3" width="6" customWidth="1"/>
    <col min="4" max="4" width="14.33203125" customWidth="1"/>
    <col min="5" max="5" width="12.44140625" customWidth="1"/>
    <col min="6" max="6" width="12.109375" bestFit="1" customWidth="1"/>
    <col min="7" max="7" width="9.77734375" bestFit="1" customWidth="1"/>
  </cols>
  <sheetData>
    <row r="1" spans="1:8" s="275" customFormat="1" ht="18" x14ac:dyDescent="0.25">
      <c r="A1" s="618" t="s">
        <v>579</v>
      </c>
      <c r="B1" s="619"/>
      <c r="C1" s="619"/>
      <c r="D1" s="619"/>
      <c r="E1" s="619"/>
      <c r="F1" s="619"/>
      <c r="G1" s="619"/>
      <c r="H1" s="644"/>
    </row>
    <row r="2" spans="1:8" s="275" customFormat="1" ht="18" x14ac:dyDescent="0.25">
      <c r="A2" s="173" t="s">
        <v>580</v>
      </c>
      <c r="B2" s="645" t="s">
        <v>581</v>
      </c>
      <c r="C2" s="645"/>
      <c r="D2" s="645"/>
      <c r="E2" s="645"/>
      <c r="F2" s="418" t="s">
        <v>582</v>
      </c>
      <c r="G2" s="419" t="s">
        <v>583</v>
      </c>
      <c r="H2" s="175" t="s">
        <v>584</v>
      </c>
    </row>
    <row r="3" spans="1:8" s="275" customFormat="1" ht="36" customHeight="1" x14ac:dyDescent="0.25">
      <c r="A3" s="421">
        <v>1</v>
      </c>
      <c r="B3" s="611" t="s">
        <v>808</v>
      </c>
      <c r="C3" s="611"/>
      <c r="D3" s="611"/>
      <c r="E3" s="611"/>
      <c r="F3" s="451" t="s">
        <v>1048</v>
      </c>
      <c r="G3" s="421" t="s">
        <v>571</v>
      </c>
      <c r="H3" s="286">
        <f>B14</f>
        <v>61.3</v>
      </c>
    </row>
    <row r="4" spans="1:8" s="275" customFormat="1" ht="36" customHeight="1" x14ac:dyDescent="0.25">
      <c r="A4" s="421">
        <v>2</v>
      </c>
      <c r="B4" s="611" t="s">
        <v>808</v>
      </c>
      <c r="C4" s="611"/>
      <c r="D4" s="611"/>
      <c r="E4" s="611"/>
      <c r="F4" s="451" t="s">
        <v>1047</v>
      </c>
      <c r="G4" s="421" t="s">
        <v>571</v>
      </c>
      <c r="H4" s="286">
        <f>B10</f>
        <v>34.299999999999997</v>
      </c>
    </row>
    <row r="5" spans="1:8" s="275" customFormat="1" ht="36" customHeight="1" x14ac:dyDescent="0.25">
      <c r="A5" s="421">
        <v>3</v>
      </c>
      <c r="B5" s="611" t="s">
        <v>808</v>
      </c>
      <c r="C5" s="611"/>
      <c r="D5" s="611"/>
      <c r="E5" s="611"/>
      <c r="F5" s="451" t="s">
        <v>1046</v>
      </c>
      <c r="G5" s="421" t="s">
        <v>571</v>
      </c>
      <c r="H5" s="286">
        <f>B11</f>
        <v>19.600000000000001</v>
      </c>
    </row>
    <row r="6" spans="1:8" s="275" customFormat="1" ht="36" customHeight="1" x14ac:dyDescent="0.25">
      <c r="A6" s="421">
        <v>4</v>
      </c>
      <c r="B6" s="611" t="s">
        <v>808</v>
      </c>
      <c r="C6" s="611"/>
      <c r="D6" s="611"/>
      <c r="E6" s="611"/>
      <c r="F6" s="451" t="s">
        <v>1045</v>
      </c>
      <c r="G6" s="421" t="s">
        <v>571</v>
      </c>
      <c r="H6" s="286">
        <f>B9</f>
        <v>33.32</v>
      </c>
    </row>
    <row r="7" spans="1:8" x14ac:dyDescent="0.25">
      <c r="A7" s="632"/>
      <c r="B7" s="632"/>
      <c r="C7" s="632"/>
      <c r="D7" s="632"/>
      <c r="E7" s="632"/>
      <c r="F7" s="632"/>
      <c r="G7" s="632"/>
    </row>
    <row r="8" spans="1:8" x14ac:dyDescent="0.25">
      <c r="A8" s="426" t="s">
        <v>652</v>
      </c>
      <c r="B8" s="427" t="s">
        <v>584</v>
      </c>
      <c r="C8" s="633"/>
      <c r="D8" s="426" t="s">
        <v>652</v>
      </c>
      <c r="E8" s="427" t="s">
        <v>584</v>
      </c>
      <c r="F8" s="633"/>
      <c r="G8" s="426" t="s">
        <v>652</v>
      </c>
      <c r="H8" s="427" t="s">
        <v>584</v>
      </c>
    </row>
    <row r="9" spans="1:8" x14ac:dyDescent="0.25">
      <c r="A9" s="428" t="s">
        <v>510</v>
      </c>
      <c r="B9" s="448">
        <v>33.32</v>
      </c>
      <c r="C9" s="633"/>
      <c r="D9" s="428" t="s">
        <v>425</v>
      </c>
      <c r="E9" s="448">
        <v>22.4</v>
      </c>
      <c r="F9" s="633"/>
      <c r="G9" s="428" t="s">
        <v>361</v>
      </c>
      <c r="H9" s="448">
        <v>14</v>
      </c>
    </row>
    <row r="10" spans="1:8" x14ac:dyDescent="0.25">
      <c r="A10" s="430" t="s">
        <v>511</v>
      </c>
      <c r="B10" s="447">
        <v>34.299999999999997</v>
      </c>
      <c r="C10" s="633"/>
      <c r="D10" s="430" t="s">
        <v>426</v>
      </c>
      <c r="E10" s="447">
        <v>22.8</v>
      </c>
      <c r="F10" s="633"/>
      <c r="G10" s="430" t="s">
        <v>362</v>
      </c>
      <c r="H10" s="447">
        <v>18</v>
      </c>
    </row>
    <row r="11" spans="1:8" x14ac:dyDescent="0.25">
      <c r="A11" s="428" t="s">
        <v>512</v>
      </c>
      <c r="B11" s="448">
        <v>19.600000000000001</v>
      </c>
      <c r="C11" s="633"/>
      <c r="D11" s="428" t="s">
        <v>428</v>
      </c>
      <c r="E11" s="448">
        <v>19.2</v>
      </c>
      <c r="F11" s="633"/>
      <c r="G11" s="428" t="s">
        <v>364</v>
      </c>
      <c r="H11" s="448">
        <v>18</v>
      </c>
    </row>
    <row r="12" spans="1:8" x14ac:dyDescent="0.25">
      <c r="A12" s="430" t="s">
        <v>513</v>
      </c>
      <c r="B12" s="447">
        <v>24.299999999999997</v>
      </c>
      <c r="C12" s="633"/>
      <c r="D12" s="459" t="s">
        <v>429</v>
      </c>
      <c r="E12" s="447">
        <v>30</v>
      </c>
      <c r="F12" s="633"/>
      <c r="G12" s="430" t="s">
        <v>365</v>
      </c>
      <c r="H12" s="447">
        <v>16.8</v>
      </c>
    </row>
    <row r="13" spans="1:8" x14ac:dyDescent="0.25">
      <c r="A13" s="428" t="s">
        <v>557</v>
      </c>
      <c r="B13" s="448">
        <v>90</v>
      </c>
      <c r="C13" s="633"/>
      <c r="D13" s="428" t="s">
        <v>430</v>
      </c>
      <c r="E13" s="448">
        <v>18.8</v>
      </c>
      <c r="F13" s="633"/>
      <c r="G13" s="428" t="s">
        <v>366</v>
      </c>
      <c r="H13" s="448">
        <v>17.600000000000001</v>
      </c>
    </row>
    <row r="14" spans="1:8" x14ac:dyDescent="0.25">
      <c r="A14" s="438" t="s">
        <v>558</v>
      </c>
      <c r="B14" s="439">
        <v>61.3</v>
      </c>
      <c r="C14" s="633"/>
      <c r="D14" s="435" t="s">
        <v>453</v>
      </c>
      <c r="E14" s="447">
        <v>40.879999999999995</v>
      </c>
      <c r="F14" s="633"/>
      <c r="G14" s="430" t="s">
        <v>367</v>
      </c>
      <c r="H14" s="447">
        <v>10</v>
      </c>
    </row>
    <row r="15" spans="1:8" x14ac:dyDescent="0.25">
      <c r="A15" t="s">
        <v>622</v>
      </c>
      <c r="B15">
        <f>SUM(B9:B14)</f>
        <v>262.82</v>
      </c>
      <c r="C15" s="633"/>
      <c r="D15" s="435" t="s">
        <v>454</v>
      </c>
      <c r="E15" s="448">
        <v>47</v>
      </c>
      <c r="F15" s="633"/>
      <c r="G15" s="434" t="s">
        <v>376</v>
      </c>
      <c r="H15" s="448"/>
    </row>
    <row r="16" spans="1:8" x14ac:dyDescent="0.25">
      <c r="A16" s="633"/>
      <c r="B16" s="633"/>
      <c r="C16" s="633"/>
      <c r="D16" s="435" t="s">
        <v>456</v>
      </c>
      <c r="E16" s="447">
        <v>45</v>
      </c>
      <c r="F16" s="633"/>
      <c r="G16" s="434" t="s">
        <v>689</v>
      </c>
      <c r="H16" s="447">
        <v>46</v>
      </c>
    </row>
    <row r="17" spans="1:8" x14ac:dyDescent="0.25">
      <c r="A17" s="633"/>
      <c r="B17" s="633"/>
      <c r="C17" s="633"/>
      <c r="D17" s="435" t="s">
        <v>457</v>
      </c>
      <c r="E17" s="448">
        <v>52</v>
      </c>
      <c r="F17" s="633"/>
      <c r="G17" s="434" t="s">
        <v>646</v>
      </c>
      <c r="H17" s="448">
        <v>69</v>
      </c>
    </row>
    <row r="18" spans="1:8" x14ac:dyDescent="0.25">
      <c r="A18" s="633"/>
      <c r="B18" s="633"/>
      <c r="C18" s="633"/>
      <c r="D18" s="435" t="s">
        <v>476</v>
      </c>
      <c r="E18" s="447">
        <v>57</v>
      </c>
      <c r="F18" s="633"/>
      <c r="G18" s="434" t="s">
        <v>388</v>
      </c>
      <c r="H18" s="447">
        <v>56</v>
      </c>
    </row>
    <row r="19" spans="1:8" x14ac:dyDescent="0.25">
      <c r="A19" s="633"/>
      <c r="B19" s="633"/>
      <c r="C19" s="633"/>
      <c r="D19" s="460" t="s">
        <v>479</v>
      </c>
      <c r="E19" s="437">
        <v>36</v>
      </c>
      <c r="F19" s="633"/>
      <c r="G19" s="458" t="s">
        <v>393</v>
      </c>
      <c r="H19" s="437">
        <v>43</v>
      </c>
    </row>
    <row r="20" spans="1:8" x14ac:dyDescent="0.25">
      <c r="A20" s="633"/>
      <c r="B20" s="633"/>
      <c r="C20" s="633"/>
      <c r="D20" t="s">
        <v>622</v>
      </c>
      <c r="E20">
        <f>SUM(E9:E19)</f>
        <v>391.08</v>
      </c>
      <c r="F20" s="633"/>
      <c r="G20" t="s">
        <v>622</v>
      </c>
      <c r="H20">
        <f>SUM(H9:H19)</f>
        <v>308.39999999999998</v>
      </c>
    </row>
  </sheetData>
  <mergeCells count="10">
    <mergeCell ref="A1:H1"/>
    <mergeCell ref="A7:G7"/>
    <mergeCell ref="C8:C20"/>
    <mergeCell ref="F8:F20"/>
    <mergeCell ref="A16:B20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4"/>
  <sheetViews>
    <sheetView workbookViewId="0">
      <selection activeCell="C33" sqref="C33"/>
    </sheetView>
  </sheetViews>
  <sheetFormatPr defaultRowHeight="13.2" x14ac:dyDescent="0.25"/>
  <cols>
    <col min="2" max="2" width="10.33203125" customWidth="1"/>
    <col min="3" max="3" width="7.6640625" customWidth="1"/>
    <col min="4" max="4" width="14.33203125" customWidth="1"/>
    <col min="5" max="5" width="12.44140625" customWidth="1"/>
    <col min="7" max="7" width="10.77734375" customWidth="1"/>
  </cols>
  <sheetData>
    <row r="1" spans="1:7" s="275" customFormat="1" ht="18" x14ac:dyDescent="0.25">
      <c r="A1" s="626" t="s">
        <v>579</v>
      </c>
      <c r="B1" s="627"/>
      <c r="C1" s="627"/>
      <c r="D1" s="627"/>
      <c r="E1" s="627"/>
      <c r="F1" s="627"/>
      <c r="G1" s="628"/>
    </row>
    <row r="2" spans="1:7" s="275" customFormat="1" ht="36" x14ac:dyDescent="0.25">
      <c r="A2" s="173" t="s">
        <v>580</v>
      </c>
      <c r="B2" s="646" t="s">
        <v>581</v>
      </c>
      <c r="C2" s="647"/>
      <c r="D2" s="648"/>
      <c r="E2" s="418" t="s">
        <v>582</v>
      </c>
      <c r="F2" s="419" t="s">
        <v>583</v>
      </c>
      <c r="G2" s="175" t="s">
        <v>584</v>
      </c>
    </row>
    <row r="3" spans="1:7" s="275" customFormat="1" ht="36" x14ac:dyDescent="0.25">
      <c r="A3" s="421">
        <v>1</v>
      </c>
      <c r="B3" s="641" t="s">
        <v>808</v>
      </c>
      <c r="C3" s="642"/>
      <c r="D3" s="643"/>
      <c r="E3" s="451" t="s">
        <v>1048</v>
      </c>
      <c r="F3" s="421" t="s">
        <v>571</v>
      </c>
      <c r="G3" s="286">
        <f>B14</f>
        <v>9.4</v>
      </c>
    </row>
    <row r="4" spans="1:7" s="275" customFormat="1" ht="36" x14ac:dyDescent="0.25">
      <c r="A4" s="421">
        <v>2</v>
      </c>
      <c r="B4" s="641" t="s">
        <v>808</v>
      </c>
      <c r="C4" s="642"/>
      <c r="D4" s="643"/>
      <c r="E4" s="451" t="s">
        <v>1047</v>
      </c>
      <c r="F4" s="421" t="s">
        <v>571</v>
      </c>
      <c r="G4" s="286">
        <f>B10</f>
        <v>34</v>
      </c>
    </row>
    <row r="5" spans="1:7" s="275" customFormat="1" ht="36" x14ac:dyDescent="0.25">
      <c r="A5" s="421">
        <v>3</v>
      </c>
      <c r="B5" s="641" t="s">
        <v>808</v>
      </c>
      <c r="C5" s="642"/>
      <c r="D5" s="643"/>
      <c r="E5" s="451" t="s">
        <v>1046</v>
      </c>
      <c r="F5" s="421" t="s">
        <v>571</v>
      </c>
      <c r="G5" s="286">
        <f>B11</f>
        <v>72</v>
      </c>
    </row>
    <row r="6" spans="1:7" s="275" customFormat="1" ht="36" x14ac:dyDescent="0.25">
      <c r="A6" s="421">
        <v>4</v>
      </c>
      <c r="B6" s="641" t="s">
        <v>808</v>
      </c>
      <c r="C6" s="642"/>
      <c r="D6" s="643"/>
      <c r="E6" s="451" t="s">
        <v>1045</v>
      </c>
      <c r="F6" s="421" t="s">
        <v>571</v>
      </c>
      <c r="G6" s="286">
        <f>B9</f>
        <v>11</v>
      </c>
    </row>
    <row r="7" spans="1:7" x14ac:dyDescent="0.25">
      <c r="A7" s="632"/>
      <c r="B7" s="632"/>
      <c r="C7" s="632"/>
      <c r="D7" s="632"/>
      <c r="E7" s="632"/>
      <c r="F7" s="632"/>
      <c r="G7" s="632"/>
    </row>
    <row r="8" spans="1:7" x14ac:dyDescent="0.25">
      <c r="A8" s="452" t="s">
        <v>652</v>
      </c>
      <c r="B8" s="453" t="s">
        <v>584</v>
      </c>
      <c r="C8" s="454" t="s">
        <v>591</v>
      </c>
      <c r="D8" s="633"/>
      <c r="E8" s="633"/>
      <c r="F8" s="633"/>
      <c r="G8" s="633"/>
    </row>
    <row r="9" spans="1:7" x14ac:dyDescent="0.25">
      <c r="A9" s="455" t="s">
        <v>481</v>
      </c>
      <c r="B9" s="456">
        <v>11</v>
      </c>
      <c r="C9" s="457" t="s">
        <v>1030</v>
      </c>
      <c r="D9" s="633"/>
      <c r="E9" s="633"/>
      <c r="F9" s="633"/>
      <c r="G9" s="633"/>
    </row>
    <row r="10" spans="1:7" x14ac:dyDescent="0.25">
      <c r="A10" s="455" t="s">
        <v>424</v>
      </c>
      <c r="B10" s="456">
        <v>34</v>
      </c>
      <c r="C10" s="457" t="s">
        <v>1036</v>
      </c>
      <c r="D10" s="633"/>
      <c r="E10" s="633"/>
      <c r="F10" s="633"/>
      <c r="G10" s="633"/>
    </row>
    <row r="11" spans="1:7" x14ac:dyDescent="0.25">
      <c r="A11" s="455" t="s">
        <v>424</v>
      </c>
      <c r="B11" s="456">
        <v>72</v>
      </c>
      <c r="C11" s="457" t="s">
        <v>1035</v>
      </c>
      <c r="D11" s="633"/>
      <c r="E11" s="633"/>
      <c r="F11" s="633"/>
      <c r="G11" s="633"/>
    </row>
    <row r="12" spans="1:7" x14ac:dyDescent="0.25">
      <c r="A12" s="440"/>
      <c r="B12" s="198"/>
      <c r="C12" s="198"/>
      <c r="D12" s="633"/>
      <c r="E12" s="633"/>
      <c r="F12" s="633"/>
      <c r="G12" s="633"/>
    </row>
    <row r="13" spans="1:7" x14ac:dyDescent="0.25">
      <c r="A13" s="452" t="s">
        <v>652</v>
      </c>
      <c r="B13" s="453" t="s">
        <v>584</v>
      </c>
      <c r="C13" s="454" t="s">
        <v>591</v>
      </c>
      <c r="D13" s="633"/>
      <c r="E13" s="633"/>
      <c r="F13" s="633"/>
      <c r="G13" s="633"/>
    </row>
    <row r="14" spans="1:7" x14ac:dyDescent="0.25">
      <c r="A14" s="455" t="s">
        <v>371</v>
      </c>
      <c r="B14" s="456">
        <v>9.4</v>
      </c>
      <c r="C14" s="454" t="s">
        <v>1037</v>
      </c>
      <c r="D14" s="633"/>
      <c r="E14" s="633"/>
      <c r="F14" s="633"/>
      <c r="G14" s="633"/>
    </row>
  </sheetData>
  <mergeCells count="8">
    <mergeCell ref="D8:G14"/>
    <mergeCell ref="B4:D4"/>
    <mergeCell ref="B5:D5"/>
    <mergeCell ref="B6:D6"/>
    <mergeCell ref="A1:G1"/>
    <mergeCell ref="B2:D2"/>
    <mergeCell ref="B3:D3"/>
    <mergeCell ref="A7:G7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4"/>
  <sheetViews>
    <sheetView workbookViewId="0">
      <selection activeCell="C17" sqref="C17"/>
    </sheetView>
  </sheetViews>
  <sheetFormatPr defaultRowHeight="13.2" x14ac:dyDescent="0.25"/>
  <cols>
    <col min="3" max="3" width="10.33203125" customWidth="1"/>
    <col min="5" max="5" width="9.21875" customWidth="1"/>
    <col min="6" max="6" width="4" customWidth="1"/>
    <col min="7" max="7" width="11.21875" customWidth="1"/>
    <col min="8" max="8" width="10" bestFit="1" customWidth="1"/>
  </cols>
  <sheetData>
    <row r="1" spans="1:8" s="275" customFormat="1" ht="18" x14ac:dyDescent="0.25">
      <c r="A1" s="578" t="s">
        <v>579</v>
      </c>
      <c r="B1" s="578"/>
      <c r="C1" s="578"/>
      <c r="D1" s="578"/>
      <c r="E1" s="578"/>
      <c r="F1" s="578"/>
      <c r="G1" s="578"/>
      <c r="H1" s="578"/>
    </row>
    <row r="2" spans="1:8" s="275" customFormat="1" ht="18" x14ac:dyDescent="0.25">
      <c r="A2" s="173" t="s">
        <v>580</v>
      </c>
      <c r="B2" s="650" t="s">
        <v>581</v>
      </c>
      <c r="C2" s="650"/>
      <c r="D2" s="650"/>
      <c r="E2" s="598" t="s">
        <v>582</v>
      </c>
      <c r="F2" s="600"/>
      <c r="G2" s="419" t="s">
        <v>583</v>
      </c>
      <c r="H2" s="175" t="s">
        <v>584</v>
      </c>
    </row>
    <row r="3" spans="1:8" s="275" customFormat="1" ht="59.4" customHeight="1" x14ac:dyDescent="0.25">
      <c r="A3" s="421">
        <v>1</v>
      </c>
      <c r="B3" s="651" t="s">
        <v>808</v>
      </c>
      <c r="C3" s="651"/>
      <c r="D3" s="651"/>
      <c r="E3" s="652" t="s">
        <v>1043</v>
      </c>
      <c r="F3" s="653"/>
      <c r="G3" s="421" t="s">
        <v>571</v>
      </c>
      <c r="H3" s="286">
        <f>B14+E11+H10</f>
        <v>208.56</v>
      </c>
    </row>
    <row r="4" spans="1:8" x14ac:dyDescent="0.25">
      <c r="A4" s="632"/>
      <c r="B4" s="632"/>
      <c r="C4" s="632"/>
      <c r="D4" s="632"/>
      <c r="E4" s="632"/>
      <c r="F4" s="632"/>
      <c r="G4" s="632"/>
      <c r="H4" s="632"/>
    </row>
    <row r="5" spans="1:8" x14ac:dyDescent="0.25">
      <c r="A5" s="426" t="s">
        <v>652</v>
      </c>
      <c r="B5" s="427" t="s">
        <v>584</v>
      </c>
      <c r="C5" s="649"/>
      <c r="D5" s="426" t="s">
        <v>652</v>
      </c>
      <c r="E5" s="427" t="s">
        <v>584</v>
      </c>
      <c r="F5" s="649"/>
      <c r="G5" s="426" t="s">
        <v>652</v>
      </c>
      <c r="H5" s="427" t="s">
        <v>584</v>
      </c>
    </row>
    <row r="6" spans="1:8" x14ac:dyDescent="0.25">
      <c r="A6" s="428" t="s">
        <v>491</v>
      </c>
      <c r="B6" s="448">
        <v>27.16</v>
      </c>
      <c r="C6" s="649"/>
      <c r="D6" s="428" t="s">
        <v>451</v>
      </c>
      <c r="E6" s="432">
        <v>10</v>
      </c>
      <c r="F6" s="649"/>
      <c r="G6" s="428" t="s">
        <v>690</v>
      </c>
      <c r="H6" s="448">
        <v>3</v>
      </c>
    </row>
    <row r="7" spans="1:8" x14ac:dyDescent="0.25">
      <c r="A7" s="430" t="s">
        <v>516</v>
      </c>
      <c r="B7" s="447">
        <v>4.4000000000000004</v>
      </c>
      <c r="C7" s="649"/>
      <c r="D7" s="430" t="s">
        <v>459</v>
      </c>
      <c r="E7" s="447">
        <v>3</v>
      </c>
      <c r="F7" s="649"/>
      <c r="G7" s="430" t="s">
        <v>379</v>
      </c>
      <c r="H7" s="447">
        <v>3</v>
      </c>
    </row>
    <row r="8" spans="1:8" x14ac:dyDescent="0.25">
      <c r="A8" s="428" t="s">
        <v>538</v>
      </c>
      <c r="B8" s="448">
        <v>34</v>
      </c>
      <c r="C8" s="649"/>
      <c r="D8" s="428" t="s">
        <v>473</v>
      </c>
      <c r="E8" s="448">
        <v>12</v>
      </c>
      <c r="F8" s="649"/>
      <c r="G8" s="428" t="s">
        <v>391</v>
      </c>
      <c r="H8" s="448">
        <v>28</v>
      </c>
    </row>
    <row r="9" spans="1:8" x14ac:dyDescent="0.25">
      <c r="A9" s="430" t="s">
        <v>538</v>
      </c>
      <c r="B9" s="447">
        <v>8</v>
      </c>
      <c r="C9" s="649"/>
      <c r="D9" s="430" t="s">
        <v>477</v>
      </c>
      <c r="E9" s="447">
        <v>16</v>
      </c>
      <c r="F9" s="649"/>
      <c r="G9" s="438" t="s">
        <v>392</v>
      </c>
      <c r="H9" s="439">
        <v>24</v>
      </c>
    </row>
    <row r="10" spans="1:8" x14ac:dyDescent="0.25">
      <c r="A10" s="428" t="s">
        <v>542</v>
      </c>
      <c r="B10" s="448">
        <v>4</v>
      </c>
      <c r="C10" s="649"/>
      <c r="D10" s="436" t="s">
        <v>478</v>
      </c>
      <c r="E10" s="449">
        <v>12</v>
      </c>
      <c r="F10" s="649"/>
      <c r="G10" s="436" t="s">
        <v>622</v>
      </c>
      <c r="H10" s="198">
        <f>SUM(H6:H9)</f>
        <v>58</v>
      </c>
    </row>
    <row r="11" spans="1:8" x14ac:dyDescent="0.25">
      <c r="A11" s="430" t="s">
        <v>547</v>
      </c>
      <c r="B11" s="447">
        <v>2</v>
      </c>
      <c r="C11" s="649"/>
      <c r="D11" s="436" t="s">
        <v>622</v>
      </c>
      <c r="E11" s="198">
        <f>SUM(E6:E10)</f>
        <v>53</v>
      </c>
      <c r="F11" s="649"/>
      <c r="G11" s="649"/>
      <c r="H11" s="649"/>
    </row>
    <row r="12" spans="1:8" x14ac:dyDescent="0.25">
      <c r="A12" s="428" t="s">
        <v>555</v>
      </c>
      <c r="B12" s="432">
        <v>7.2</v>
      </c>
      <c r="C12" s="649"/>
      <c r="D12" s="649"/>
      <c r="E12" s="649"/>
      <c r="F12" s="649"/>
      <c r="G12" s="649"/>
      <c r="H12" s="649"/>
    </row>
    <row r="13" spans="1:8" x14ac:dyDescent="0.25">
      <c r="A13" s="438" t="s">
        <v>556</v>
      </c>
      <c r="B13" s="439">
        <v>10.8</v>
      </c>
      <c r="C13" s="649"/>
      <c r="D13" s="649"/>
      <c r="E13" s="649"/>
      <c r="F13" s="649"/>
      <c r="G13" s="649"/>
      <c r="H13" s="649"/>
    </row>
    <row r="14" spans="1:8" x14ac:dyDescent="0.25">
      <c r="A14" s="436" t="s">
        <v>622</v>
      </c>
      <c r="B14" s="198">
        <f>SUM(B6:B13)</f>
        <v>97.56</v>
      </c>
      <c r="C14" s="649"/>
      <c r="D14" s="649"/>
      <c r="E14" s="649"/>
      <c r="F14" s="649"/>
      <c r="G14" s="649"/>
      <c r="H14" s="649"/>
    </row>
  </sheetData>
  <mergeCells count="10">
    <mergeCell ref="G11:H14"/>
    <mergeCell ref="D12:E14"/>
    <mergeCell ref="C5:C14"/>
    <mergeCell ref="F5:F14"/>
    <mergeCell ref="A1:H1"/>
    <mergeCell ref="B2:D2"/>
    <mergeCell ref="E2:F2"/>
    <mergeCell ref="B3:D3"/>
    <mergeCell ref="E3:F3"/>
    <mergeCell ref="A4:H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2"/>
  <sheetViews>
    <sheetView workbookViewId="0">
      <selection activeCell="B4" sqref="B4:E4"/>
    </sheetView>
  </sheetViews>
  <sheetFormatPr defaultRowHeight="13.2" x14ac:dyDescent="0.25"/>
  <cols>
    <col min="3" max="3" width="4.21875" customWidth="1"/>
    <col min="6" max="6" width="4.21875" customWidth="1"/>
    <col min="9" max="9" width="10" bestFit="1" customWidth="1"/>
  </cols>
  <sheetData>
    <row r="1" spans="1:9" s="275" customFormat="1" ht="18" x14ac:dyDescent="0.25">
      <c r="A1" s="578" t="s">
        <v>579</v>
      </c>
      <c r="B1" s="578"/>
      <c r="C1" s="578"/>
      <c r="D1" s="578"/>
      <c r="E1" s="578"/>
      <c r="F1" s="578"/>
      <c r="G1" s="578"/>
      <c r="H1" s="578"/>
      <c r="I1" s="578"/>
    </row>
    <row r="2" spans="1:9" s="275" customFormat="1" ht="36" x14ac:dyDescent="0.25">
      <c r="A2" s="173" t="s">
        <v>580</v>
      </c>
      <c r="B2" s="650" t="s">
        <v>581</v>
      </c>
      <c r="C2" s="650"/>
      <c r="D2" s="650"/>
      <c r="E2" s="650"/>
      <c r="F2" s="598" t="s">
        <v>582</v>
      </c>
      <c r="G2" s="600"/>
      <c r="H2" s="419" t="s">
        <v>583</v>
      </c>
      <c r="I2" s="175" t="s">
        <v>584</v>
      </c>
    </row>
    <row r="3" spans="1:9" s="275" customFormat="1" ht="59.4" customHeight="1" x14ac:dyDescent="0.25">
      <c r="A3" s="421">
        <v>1</v>
      </c>
      <c r="B3" s="651" t="s">
        <v>808</v>
      </c>
      <c r="C3" s="651"/>
      <c r="D3" s="651"/>
      <c r="E3" s="651"/>
      <c r="F3" s="652" t="s">
        <v>1042</v>
      </c>
      <c r="G3" s="653"/>
      <c r="H3" s="421" t="s">
        <v>571</v>
      </c>
      <c r="I3" s="286">
        <f>B12+E9+H9</f>
        <v>237.33999999999997</v>
      </c>
    </row>
    <row r="4" spans="1:9" s="275" customFormat="1" ht="59.4" customHeight="1" x14ac:dyDescent="0.25">
      <c r="A4" s="421">
        <v>2</v>
      </c>
      <c r="B4" s="651" t="s">
        <v>808</v>
      </c>
      <c r="C4" s="651"/>
      <c r="D4" s="651"/>
      <c r="E4" s="651"/>
      <c r="F4" s="652" t="s">
        <v>1044</v>
      </c>
      <c r="G4" s="653"/>
      <c r="H4" s="421" t="s">
        <v>571</v>
      </c>
      <c r="I4" s="286">
        <f>E12</f>
        <v>56</v>
      </c>
    </row>
    <row r="5" spans="1:9" x14ac:dyDescent="0.25">
      <c r="A5" s="632"/>
      <c r="B5" s="632"/>
      <c r="C5" s="632"/>
      <c r="D5" s="632"/>
      <c r="E5" s="632"/>
      <c r="F5" s="632"/>
      <c r="G5" s="632"/>
      <c r="H5" s="632"/>
      <c r="I5" s="632"/>
    </row>
    <row r="6" spans="1:9" x14ac:dyDescent="0.25">
      <c r="A6" s="426" t="s">
        <v>652</v>
      </c>
      <c r="B6" s="427" t="s">
        <v>584</v>
      </c>
      <c r="C6" s="649"/>
      <c r="D6" s="426" t="s">
        <v>652</v>
      </c>
      <c r="E6" s="427" t="s">
        <v>584</v>
      </c>
      <c r="F6" s="649"/>
      <c r="G6" s="426" t="s">
        <v>652</v>
      </c>
      <c r="H6" s="427" t="s">
        <v>584</v>
      </c>
      <c r="I6" s="649"/>
    </row>
    <row r="7" spans="1:9" x14ac:dyDescent="0.25">
      <c r="A7" s="428" t="s">
        <v>488</v>
      </c>
      <c r="B7" s="429">
        <v>9.6</v>
      </c>
      <c r="C7" s="649"/>
      <c r="D7" s="428" t="s">
        <v>452</v>
      </c>
      <c r="E7" s="448">
        <v>18.399999999999999</v>
      </c>
      <c r="F7" s="649"/>
      <c r="G7" s="428" t="s">
        <v>371</v>
      </c>
      <c r="H7" s="448">
        <v>16.8</v>
      </c>
      <c r="I7" s="649"/>
    </row>
    <row r="8" spans="1:9" x14ac:dyDescent="0.25">
      <c r="A8" s="430" t="s">
        <v>489</v>
      </c>
      <c r="B8" s="431">
        <v>17.600000000000001</v>
      </c>
      <c r="C8" s="649"/>
      <c r="D8" s="436" t="s">
        <v>451</v>
      </c>
      <c r="E8" s="449">
        <v>32.799999999999997</v>
      </c>
      <c r="F8" s="649"/>
      <c r="G8" s="438" t="s">
        <v>395</v>
      </c>
      <c r="H8" s="439">
        <v>44</v>
      </c>
      <c r="I8" s="649"/>
    </row>
    <row r="9" spans="1:9" x14ac:dyDescent="0.25">
      <c r="A9" s="428" t="s">
        <v>490</v>
      </c>
      <c r="B9" s="429">
        <v>17.600000000000001</v>
      </c>
      <c r="C9" s="649"/>
      <c r="D9" s="436" t="s">
        <v>622</v>
      </c>
      <c r="E9" s="198">
        <f>SUM(E7:E8)</f>
        <v>51.199999999999996</v>
      </c>
      <c r="F9" s="649"/>
      <c r="G9" s="436" t="s">
        <v>622</v>
      </c>
      <c r="H9" s="198">
        <f>SUM(H7:H8)</f>
        <v>60.8</v>
      </c>
      <c r="I9" s="649"/>
    </row>
    <row r="10" spans="1:9" x14ac:dyDescent="0.25">
      <c r="A10" s="430" t="s">
        <v>515</v>
      </c>
      <c r="B10" s="431">
        <v>29.939999999999998</v>
      </c>
      <c r="C10" s="649"/>
      <c r="D10" s="654"/>
      <c r="E10" s="654"/>
      <c r="F10" s="649"/>
      <c r="G10" s="649"/>
      <c r="H10" s="649"/>
      <c r="I10" s="649"/>
    </row>
    <row r="11" spans="1:9" x14ac:dyDescent="0.25">
      <c r="A11" s="436" t="s">
        <v>516</v>
      </c>
      <c r="B11" s="437">
        <v>50.6</v>
      </c>
      <c r="C11" s="649"/>
      <c r="D11" s="426" t="s">
        <v>652</v>
      </c>
      <c r="E11" s="427" t="s">
        <v>584</v>
      </c>
      <c r="F11" s="649"/>
      <c r="G11" s="649"/>
      <c r="H11" s="649"/>
      <c r="I11" s="649"/>
    </row>
    <row r="12" spans="1:9" x14ac:dyDescent="0.25">
      <c r="A12" s="436" t="s">
        <v>622</v>
      </c>
      <c r="B12" s="198">
        <f>SUM(B7:B11)</f>
        <v>125.34</v>
      </c>
      <c r="C12" s="649"/>
      <c r="D12" s="438" t="s">
        <v>480</v>
      </c>
      <c r="E12" s="439">
        <v>56</v>
      </c>
      <c r="F12" s="649"/>
      <c r="G12" s="649"/>
      <c r="H12" s="649"/>
      <c r="I12" s="649"/>
    </row>
  </sheetData>
  <mergeCells count="13">
    <mergeCell ref="A5:I5"/>
    <mergeCell ref="B4:E4"/>
    <mergeCell ref="F4:G4"/>
    <mergeCell ref="A1:I1"/>
    <mergeCell ref="B2:E2"/>
    <mergeCell ref="F2:G2"/>
    <mergeCell ref="B3:E3"/>
    <mergeCell ref="F3:G3"/>
    <mergeCell ref="G10:H12"/>
    <mergeCell ref="I6:I12"/>
    <mergeCell ref="F6:F12"/>
    <mergeCell ref="C6:C12"/>
    <mergeCell ref="D10:E1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38"/>
  <sheetViews>
    <sheetView topLeftCell="A10" zoomScale="70" zoomScaleNormal="70" workbookViewId="0">
      <selection activeCell="J26" sqref="J26:K38"/>
    </sheetView>
  </sheetViews>
  <sheetFormatPr defaultRowHeight="13.2" x14ac:dyDescent="0.25"/>
  <cols>
    <col min="1" max="1" width="8.33203125" bestFit="1" customWidth="1"/>
    <col min="2" max="2" width="7.44140625" bestFit="1" customWidth="1"/>
    <col min="3" max="3" width="2.5546875" customWidth="1"/>
    <col min="4" max="4" width="5.5546875" bestFit="1" customWidth="1"/>
    <col min="5" max="5" width="7.44140625" bestFit="1" customWidth="1"/>
    <col min="6" max="6" width="3.109375" customWidth="1"/>
    <col min="7" max="7" width="5.5546875" bestFit="1" customWidth="1"/>
    <col min="8" max="8" width="7.44140625" bestFit="1" customWidth="1"/>
    <col min="9" max="9" width="2.88671875" customWidth="1"/>
    <col min="10" max="10" width="5.5546875" bestFit="1" customWidth="1"/>
    <col min="11" max="11" width="7.109375" bestFit="1" customWidth="1"/>
    <col min="12" max="12" width="3.21875" customWidth="1"/>
    <col min="13" max="13" width="5.5546875" bestFit="1" customWidth="1"/>
    <col min="14" max="14" width="7.44140625" bestFit="1" customWidth="1"/>
    <col min="15" max="15" width="1.88671875" customWidth="1"/>
    <col min="16" max="16" width="5.5546875" bestFit="1" customWidth="1"/>
    <col min="17" max="17" width="7.109375" bestFit="1" customWidth="1"/>
  </cols>
  <sheetData>
    <row r="1" spans="1:17" s="275" customFormat="1" ht="18" x14ac:dyDescent="0.25">
      <c r="A1" s="578" t="s">
        <v>579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</row>
    <row r="2" spans="1:17" s="275" customFormat="1" ht="54" customHeight="1" x14ac:dyDescent="0.25">
      <c r="A2" s="173" t="s">
        <v>580</v>
      </c>
      <c r="B2" s="645" t="s">
        <v>581</v>
      </c>
      <c r="C2" s="645"/>
      <c r="D2" s="645"/>
      <c r="E2" s="645"/>
      <c r="F2" s="645"/>
      <c r="G2" s="645"/>
      <c r="H2" s="645"/>
      <c r="I2" s="645"/>
      <c r="J2" s="579" t="s">
        <v>582</v>
      </c>
      <c r="K2" s="579"/>
      <c r="L2" s="579"/>
      <c r="M2" s="597" t="s">
        <v>583</v>
      </c>
      <c r="N2" s="597"/>
      <c r="O2" s="597"/>
      <c r="P2" s="595" t="s">
        <v>584</v>
      </c>
      <c r="Q2" s="595"/>
    </row>
    <row r="3" spans="1:17" s="275" customFormat="1" ht="55.2" customHeight="1" x14ac:dyDescent="0.25">
      <c r="A3" s="541">
        <v>1</v>
      </c>
      <c r="B3" s="611" t="s">
        <v>808</v>
      </c>
      <c r="C3" s="611"/>
      <c r="D3" s="611"/>
      <c r="E3" s="611"/>
      <c r="F3" s="611"/>
      <c r="G3" s="611"/>
      <c r="H3" s="611"/>
      <c r="I3" s="611"/>
      <c r="J3" s="655" t="s">
        <v>1041</v>
      </c>
      <c r="K3" s="655"/>
      <c r="L3" s="655"/>
      <c r="M3" s="578" t="s">
        <v>571</v>
      </c>
      <c r="N3" s="578"/>
      <c r="O3" s="578"/>
      <c r="P3" s="656">
        <f>B38+E38+H38+K25+N38+Q17</f>
        <v>9838.4449999999997</v>
      </c>
      <c r="Q3" s="656"/>
    </row>
    <row r="4" spans="1:17" x14ac:dyDescent="0.25">
      <c r="A4" s="632"/>
      <c r="B4" s="632"/>
      <c r="C4" s="632"/>
      <c r="D4" s="632"/>
      <c r="E4" s="632"/>
      <c r="F4" s="632"/>
      <c r="G4" s="632"/>
      <c r="H4" s="632"/>
      <c r="I4" s="632"/>
      <c r="J4" s="632"/>
      <c r="K4" s="632"/>
      <c r="L4" s="632"/>
      <c r="M4" s="632"/>
      <c r="N4" s="632"/>
      <c r="O4" s="632"/>
      <c r="P4" s="632"/>
      <c r="Q4" s="632"/>
    </row>
    <row r="5" spans="1:17" x14ac:dyDescent="0.25">
      <c r="A5" s="426" t="s">
        <v>652</v>
      </c>
      <c r="B5" s="427" t="s">
        <v>584</v>
      </c>
      <c r="C5" s="649"/>
      <c r="D5" s="426" t="s">
        <v>652</v>
      </c>
      <c r="E5" s="427" t="s">
        <v>584</v>
      </c>
      <c r="F5" s="649"/>
      <c r="G5" s="426" t="s">
        <v>652</v>
      </c>
      <c r="H5" s="427" t="s">
        <v>584</v>
      </c>
      <c r="I5" s="649"/>
      <c r="J5" s="426" t="s">
        <v>652</v>
      </c>
      <c r="K5" s="427" t="s">
        <v>584</v>
      </c>
      <c r="L5" s="649"/>
      <c r="M5" s="426" t="s">
        <v>652</v>
      </c>
      <c r="N5" s="427" t="s">
        <v>584</v>
      </c>
      <c r="O5" s="649"/>
      <c r="P5" s="426" t="s">
        <v>652</v>
      </c>
      <c r="Q5" s="427" t="s">
        <v>584</v>
      </c>
    </row>
    <row r="6" spans="1:17" x14ac:dyDescent="0.25">
      <c r="A6" s="428" t="s">
        <v>482</v>
      </c>
      <c r="B6" s="542">
        <v>6.4841550956485774</v>
      </c>
      <c r="C6" s="649"/>
      <c r="D6" s="428" t="s">
        <v>514</v>
      </c>
      <c r="E6" s="542">
        <v>57.871084228663555</v>
      </c>
      <c r="F6" s="649"/>
      <c r="G6" s="428" t="s">
        <v>424</v>
      </c>
      <c r="H6" s="542">
        <v>40.363865470412392</v>
      </c>
      <c r="I6" s="649"/>
      <c r="J6" s="428" t="s">
        <v>461</v>
      </c>
      <c r="K6" s="542">
        <v>43.038579447367432</v>
      </c>
      <c r="L6" s="649"/>
      <c r="M6" s="428" t="s">
        <v>361</v>
      </c>
      <c r="N6" s="542">
        <v>80.322471247346741</v>
      </c>
      <c r="O6" s="649"/>
      <c r="P6" s="428" t="s">
        <v>384</v>
      </c>
      <c r="Q6" s="542">
        <v>33.393398742590172</v>
      </c>
    </row>
    <row r="7" spans="1:17" x14ac:dyDescent="0.25">
      <c r="A7" s="430" t="s">
        <v>483</v>
      </c>
      <c r="B7" s="543">
        <v>15.335026801208887</v>
      </c>
      <c r="C7" s="649"/>
      <c r="D7" s="430" t="s">
        <v>515</v>
      </c>
      <c r="E7" s="543">
        <v>24.266950445464797</v>
      </c>
      <c r="F7" s="649"/>
      <c r="G7" s="430" t="s">
        <v>425</v>
      </c>
      <c r="H7" s="543">
        <v>75.459354925610313</v>
      </c>
      <c r="I7" s="649"/>
      <c r="J7" s="430" t="s">
        <v>462</v>
      </c>
      <c r="K7" s="543">
        <v>69.542563400830986</v>
      </c>
      <c r="L7" s="649"/>
      <c r="M7" s="430" t="s">
        <v>362</v>
      </c>
      <c r="N7" s="543">
        <v>99.531780718205667</v>
      </c>
      <c r="O7" s="649"/>
      <c r="P7" s="430" t="s">
        <v>385</v>
      </c>
      <c r="Q7" s="543">
        <v>94.263404702991195</v>
      </c>
    </row>
    <row r="8" spans="1:17" x14ac:dyDescent="0.25">
      <c r="A8" s="428" t="s">
        <v>424</v>
      </c>
      <c r="B8" s="542">
        <v>296.97430338070484</v>
      </c>
      <c r="C8" s="649"/>
      <c r="D8" s="428" t="s">
        <v>516</v>
      </c>
      <c r="E8" s="542">
        <v>153.59342382817567</v>
      </c>
      <c r="F8" s="649"/>
      <c r="G8" s="428" t="s">
        <v>426</v>
      </c>
      <c r="H8" s="542">
        <v>90.291859706906436</v>
      </c>
      <c r="I8" s="649"/>
      <c r="J8" s="428" t="s">
        <v>463</v>
      </c>
      <c r="K8" s="542">
        <v>43.849098834323513</v>
      </c>
      <c r="L8" s="649"/>
      <c r="M8" s="428" t="s">
        <v>363</v>
      </c>
      <c r="N8" s="542">
        <v>66.543641669093518</v>
      </c>
      <c r="O8" s="649"/>
      <c r="P8" s="428" t="s">
        <v>386</v>
      </c>
      <c r="Q8" s="542">
        <v>31.691308029982423</v>
      </c>
    </row>
    <row r="9" spans="1:17" x14ac:dyDescent="0.25">
      <c r="A9" s="430" t="s">
        <v>484</v>
      </c>
      <c r="B9" s="543">
        <v>57.303720657794301</v>
      </c>
      <c r="C9" s="649"/>
      <c r="D9" s="430" t="s">
        <v>516</v>
      </c>
      <c r="E9" s="543">
        <v>41.012280979977255</v>
      </c>
      <c r="F9" s="649"/>
      <c r="G9" s="430" t="s">
        <v>427</v>
      </c>
      <c r="H9" s="543">
        <v>79.836159615173102</v>
      </c>
      <c r="I9" s="649"/>
      <c r="J9" s="430" t="s">
        <v>464</v>
      </c>
      <c r="K9" s="543">
        <v>66.219433914311097</v>
      </c>
      <c r="L9" s="649"/>
      <c r="M9" s="430" t="s">
        <v>364</v>
      </c>
      <c r="N9" s="543">
        <v>82.267717776041323</v>
      </c>
      <c r="O9" s="649"/>
      <c r="P9" s="430" t="s">
        <v>387</v>
      </c>
      <c r="Q9" s="543">
        <v>31.204996397808777</v>
      </c>
    </row>
    <row r="10" spans="1:17" x14ac:dyDescent="0.25">
      <c r="A10" s="428" t="s">
        <v>485</v>
      </c>
      <c r="B10" s="544">
        <v>19.229572455532814</v>
      </c>
      <c r="C10" s="649"/>
      <c r="D10" s="428" t="s">
        <v>524</v>
      </c>
      <c r="E10" s="542">
        <v>44.335410466497152</v>
      </c>
      <c r="F10" s="649"/>
      <c r="G10" s="428" t="s">
        <v>428</v>
      </c>
      <c r="H10" s="542">
        <v>75.297251048219096</v>
      </c>
      <c r="I10" s="649"/>
      <c r="J10" s="428" t="s">
        <v>465</v>
      </c>
      <c r="K10" s="542">
        <v>19.306571797293639</v>
      </c>
      <c r="L10" s="649"/>
      <c r="M10" s="428" t="s">
        <v>365</v>
      </c>
      <c r="N10" s="542">
        <v>77.485653393000504</v>
      </c>
      <c r="O10" s="649"/>
      <c r="P10" s="428" t="s">
        <v>388</v>
      </c>
      <c r="Q10" s="542">
        <v>38.499670880413426</v>
      </c>
    </row>
    <row r="11" spans="1:17" x14ac:dyDescent="0.25">
      <c r="A11" s="430" t="s">
        <v>486</v>
      </c>
      <c r="B11" s="543">
        <v>37.85125537084857</v>
      </c>
      <c r="C11" s="649"/>
      <c r="D11" s="430" t="s">
        <v>527</v>
      </c>
      <c r="E11" s="543">
        <v>14.832504781296121</v>
      </c>
      <c r="F11" s="649"/>
      <c r="G11" s="430" t="s">
        <v>429</v>
      </c>
      <c r="H11" s="543">
        <v>65.408914527355023</v>
      </c>
      <c r="I11" s="649"/>
      <c r="J11" s="430" t="s">
        <v>466</v>
      </c>
      <c r="K11" s="543">
        <v>68.4888881977881</v>
      </c>
      <c r="L11" s="649"/>
      <c r="M11" s="430" t="s">
        <v>366</v>
      </c>
      <c r="N11" s="543">
        <v>76.269874312566387</v>
      </c>
      <c r="O11" s="649"/>
      <c r="P11" s="430" t="s">
        <v>389</v>
      </c>
      <c r="Q11" s="543">
        <v>29.989217317374671</v>
      </c>
    </row>
    <row r="12" spans="1:17" x14ac:dyDescent="0.25">
      <c r="A12" s="428" t="s">
        <v>487</v>
      </c>
      <c r="B12" s="542">
        <v>127.08943987471213</v>
      </c>
      <c r="C12" s="649"/>
      <c r="D12" s="428" t="s">
        <v>529</v>
      </c>
      <c r="E12" s="542">
        <v>34.122866190850637</v>
      </c>
      <c r="F12" s="649"/>
      <c r="G12" s="428" t="s">
        <v>430</v>
      </c>
      <c r="H12" s="542">
        <v>73.027796764742106</v>
      </c>
      <c r="I12" s="649"/>
      <c r="J12" s="428" t="s">
        <v>467</v>
      </c>
      <c r="K12" s="542">
        <v>43.849098834323513</v>
      </c>
      <c r="L12" s="649"/>
      <c r="M12" s="428" t="s">
        <v>367</v>
      </c>
      <c r="N12" s="542">
        <v>80.079315431259928</v>
      </c>
      <c r="O12" s="649"/>
      <c r="P12" s="428" t="s">
        <v>391</v>
      </c>
      <c r="Q12" s="542">
        <v>52.926915968231512</v>
      </c>
    </row>
    <row r="13" spans="1:17" x14ac:dyDescent="0.25">
      <c r="A13" s="430" t="s">
        <v>488</v>
      </c>
      <c r="B13" s="543">
        <v>85.590847262561226</v>
      </c>
      <c r="C13" s="649"/>
      <c r="D13" s="430" t="s">
        <v>530</v>
      </c>
      <c r="E13" s="543">
        <v>15.967231923034621</v>
      </c>
      <c r="F13" s="649"/>
      <c r="G13" s="430" t="s">
        <v>431</v>
      </c>
      <c r="H13" s="543">
        <v>89.627233809602458</v>
      </c>
      <c r="I13" s="649"/>
      <c r="J13" s="430" t="s">
        <v>468</v>
      </c>
      <c r="K13" s="543">
        <v>42.649530141628517</v>
      </c>
      <c r="L13" s="649"/>
      <c r="M13" s="430" t="s">
        <v>368</v>
      </c>
      <c r="N13" s="543">
        <v>84.131912366040282</v>
      </c>
      <c r="O13" s="649"/>
      <c r="P13" s="430" t="s">
        <v>392</v>
      </c>
      <c r="Q13" s="543">
        <v>146.62295710035346</v>
      </c>
    </row>
    <row r="14" spans="1:17" x14ac:dyDescent="0.25">
      <c r="A14" s="428" t="s">
        <v>488</v>
      </c>
      <c r="B14" s="542">
        <v>7.7809861147782922</v>
      </c>
      <c r="C14" s="649"/>
      <c r="D14" s="428" t="s">
        <v>532</v>
      </c>
      <c r="E14" s="542">
        <v>53.007967906927121</v>
      </c>
      <c r="F14" s="649"/>
      <c r="G14" s="428" t="s">
        <v>432</v>
      </c>
      <c r="H14" s="542">
        <v>143.05667179774673</v>
      </c>
      <c r="I14" s="649"/>
      <c r="J14" s="428" t="s">
        <v>469</v>
      </c>
      <c r="K14" s="542">
        <v>90.859223277775683</v>
      </c>
      <c r="L14" s="649"/>
      <c r="M14" s="428" t="s">
        <v>369</v>
      </c>
      <c r="N14" s="542">
        <v>14.80008400581788</v>
      </c>
      <c r="O14" s="649"/>
      <c r="P14" s="428" t="s">
        <v>393</v>
      </c>
      <c r="Q14" s="542">
        <v>32.826035171720925</v>
      </c>
    </row>
    <row r="15" spans="1:17" x14ac:dyDescent="0.25">
      <c r="A15" s="430" t="s">
        <v>489</v>
      </c>
      <c r="B15" s="543">
        <v>76.091560047436062</v>
      </c>
      <c r="C15" s="649"/>
      <c r="D15" s="430" t="s">
        <v>537</v>
      </c>
      <c r="E15" s="543">
        <v>30.070269256070279</v>
      </c>
      <c r="F15" s="649"/>
      <c r="G15" s="430" t="s">
        <v>671</v>
      </c>
      <c r="H15" s="543">
        <v>27.719763033897664</v>
      </c>
      <c r="I15" s="649"/>
      <c r="J15" s="430" t="s">
        <v>470</v>
      </c>
      <c r="K15" s="543">
        <v>33.474450681285781</v>
      </c>
      <c r="L15" s="649"/>
      <c r="M15" s="430" t="s">
        <v>688</v>
      </c>
      <c r="N15" s="543">
        <v>33.523081844503153</v>
      </c>
      <c r="O15" s="649"/>
      <c r="P15" s="430" t="s">
        <v>394</v>
      </c>
      <c r="Q15" s="543">
        <v>39.877553838238754</v>
      </c>
    </row>
    <row r="16" spans="1:17" x14ac:dyDescent="0.25">
      <c r="A16" s="428" t="s">
        <v>489</v>
      </c>
      <c r="B16" s="542">
        <v>14.26514121042687</v>
      </c>
      <c r="C16" s="649"/>
      <c r="D16" s="428" t="s">
        <v>538</v>
      </c>
      <c r="E16" s="542">
        <v>58.681603615619629</v>
      </c>
      <c r="F16" s="649"/>
      <c r="G16" s="428" t="s">
        <v>434</v>
      </c>
      <c r="H16" s="542">
        <v>26.017672321289918</v>
      </c>
      <c r="I16" s="649"/>
      <c r="J16" s="428" t="s">
        <v>471</v>
      </c>
      <c r="K16" s="542">
        <v>84.212964304735905</v>
      </c>
      <c r="L16" s="649"/>
      <c r="M16" s="428" t="s">
        <v>370</v>
      </c>
      <c r="N16" s="542">
        <v>33.523081844503153</v>
      </c>
      <c r="O16" s="649"/>
      <c r="P16" s="428" t="s">
        <v>395</v>
      </c>
      <c r="Q16" s="548">
        <v>50.981669439536944</v>
      </c>
    </row>
    <row r="17" spans="1:17" x14ac:dyDescent="0.25">
      <c r="A17" s="430" t="s">
        <v>490</v>
      </c>
      <c r="B17" s="543">
        <v>75.556617252045044</v>
      </c>
      <c r="C17" s="649"/>
      <c r="D17" s="430" t="s">
        <v>538</v>
      </c>
      <c r="E17" s="543">
        <v>27.557659156506453</v>
      </c>
      <c r="F17" s="649"/>
      <c r="G17" s="430" t="s">
        <v>435</v>
      </c>
      <c r="H17" s="543">
        <v>62.815252489095592</v>
      </c>
      <c r="I17" s="649"/>
      <c r="J17" s="430" t="s">
        <v>472</v>
      </c>
      <c r="K17" s="543">
        <v>32.582879355634105</v>
      </c>
      <c r="L17" s="649"/>
      <c r="M17" s="430" t="s">
        <v>371</v>
      </c>
      <c r="N17" s="543">
        <v>383.05146227543969</v>
      </c>
      <c r="O17" s="649"/>
      <c r="P17" s="436" t="s">
        <v>622</v>
      </c>
      <c r="Q17" s="547">
        <f>SUM(Q6:Q16)</f>
        <v>582.27712758924235</v>
      </c>
    </row>
    <row r="18" spans="1:17" x14ac:dyDescent="0.25">
      <c r="A18" s="428" t="s">
        <v>490</v>
      </c>
      <c r="B18" s="542">
        <v>14.26514121042687</v>
      </c>
      <c r="C18" s="649"/>
      <c r="D18" s="428" t="s">
        <v>539</v>
      </c>
      <c r="E18" s="542">
        <v>44.578566282583971</v>
      </c>
      <c r="F18" s="649"/>
      <c r="G18" s="428" t="s">
        <v>437</v>
      </c>
      <c r="H18" s="542">
        <v>21.93265461103131</v>
      </c>
      <c r="I18" s="649"/>
      <c r="J18" s="428" t="s">
        <v>473</v>
      </c>
      <c r="K18" s="542">
        <v>62.08578504083512</v>
      </c>
      <c r="L18" s="649"/>
      <c r="M18" s="428" t="s">
        <v>372</v>
      </c>
      <c r="N18" s="542">
        <v>63.787875753442883</v>
      </c>
      <c r="O18" s="649"/>
      <c r="P18" s="633"/>
      <c r="Q18" s="633"/>
    </row>
    <row r="19" spans="1:17" x14ac:dyDescent="0.25">
      <c r="A19" s="430" t="s">
        <v>491</v>
      </c>
      <c r="B19" s="543">
        <v>114.3642854995018</v>
      </c>
      <c r="C19" s="649"/>
      <c r="D19" s="430" t="s">
        <v>540</v>
      </c>
      <c r="E19" s="543">
        <v>18.333948532946351</v>
      </c>
      <c r="F19" s="649"/>
      <c r="G19" s="430" t="s">
        <v>438</v>
      </c>
      <c r="H19" s="543">
        <v>65.327862588659414</v>
      </c>
      <c r="I19" s="649"/>
      <c r="J19" s="430" t="s">
        <v>475</v>
      </c>
      <c r="K19" s="543">
        <v>31.529204152591205</v>
      </c>
      <c r="L19" s="649"/>
      <c r="M19" s="430" t="s">
        <v>373</v>
      </c>
      <c r="N19" s="543">
        <v>16.923644799642787</v>
      </c>
      <c r="O19" s="649"/>
      <c r="P19" s="633"/>
      <c r="Q19" s="633"/>
    </row>
    <row r="20" spans="1:17" x14ac:dyDescent="0.25">
      <c r="A20" s="433" t="s">
        <v>492</v>
      </c>
      <c r="B20" s="542">
        <v>33.523081844503153</v>
      </c>
      <c r="C20" s="649"/>
      <c r="D20" s="428" t="s">
        <v>541</v>
      </c>
      <c r="E20" s="542">
        <v>15.886179984339016</v>
      </c>
      <c r="F20" s="649"/>
      <c r="G20" s="428" t="s">
        <v>439</v>
      </c>
      <c r="H20" s="542">
        <v>19.646989939815189</v>
      </c>
      <c r="I20" s="649"/>
      <c r="J20" s="428" t="s">
        <v>476</v>
      </c>
      <c r="K20" s="542">
        <v>38.094411186935389</v>
      </c>
      <c r="L20" s="649"/>
      <c r="M20" s="428" t="s">
        <v>375</v>
      </c>
      <c r="N20" s="542">
        <v>56.087941577360198</v>
      </c>
      <c r="O20" s="649"/>
      <c r="P20" s="633"/>
      <c r="Q20" s="633"/>
    </row>
    <row r="21" spans="1:17" x14ac:dyDescent="0.25">
      <c r="A21" s="430" t="s">
        <v>493</v>
      </c>
      <c r="B21" s="543">
        <v>14.80008400581788</v>
      </c>
      <c r="C21" s="649"/>
      <c r="D21" s="430" t="s">
        <v>542</v>
      </c>
      <c r="E21" s="543">
        <v>69.704667278222203</v>
      </c>
      <c r="F21" s="649"/>
      <c r="G21" s="430" t="s">
        <v>442</v>
      </c>
      <c r="H21" s="543">
        <v>507.7903959279792</v>
      </c>
      <c r="I21" s="649"/>
      <c r="J21" s="430" t="s">
        <v>477</v>
      </c>
      <c r="K21" s="543">
        <v>18.560893961294052</v>
      </c>
      <c r="L21" s="649"/>
      <c r="M21" s="430" t="s">
        <v>376</v>
      </c>
      <c r="N21" s="543">
        <v>63.544719937356064</v>
      </c>
      <c r="O21" s="649"/>
      <c r="P21" s="633"/>
      <c r="Q21" s="633"/>
    </row>
    <row r="22" spans="1:17" x14ac:dyDescent="0.25">
      <c r="A22" s="433" t="s">
        <v>494</v>
      </c>
      <c r="B22" s="542">
        <v>33.523081844503153</v>
      </c>
      <c r="C22" s="649"/>
      <c r="D22" s="428" t="s">
        <v>543</v>
      </c>
      <c r="E22" s="542">
        <v>19.549727613380462</v>
      </c>
      <c r="F22" s="649"/>
      <c r="G22" s="428" t="s">
        <v>443</v>
      </c>
      <c r="H22" s="542">
        <v>82.429821653432541</v>
      </c>
      <c r="I22" s="649"/>
      <c r="J22" s="428" t="s">
        <v>478</v>
      </c>
      <c r="K22" s="542">
        <v>109.42011723906974</v>
      </c>
      <c r="L22" s="649"/>
      <c r="M22" s="433" t="s">
        <v>377</v>
      </c>
      <c r="N22" s="542">
        <v>126.11681661036482</v>
      </c>
      <c r="O22" s="649"/>
      <c r="P22" s="633"/>
      <c r="Q22" s="633"/>
    </row>
    <row r="23" spans="1:17" x14ac:dyDescent="0.25">
      <c r="A23" s="430" t="s">
        <v>660</v>
      </c>
      <c r="B23" s="543">
        <v>58.924759431706448</v>
      </c>
      <c r="C23" s="649"/>
      <c r="D23" s="430" t="s">
        <v>544</v>
      </c>
      <c r="E23" s="543">
        <v>43.038579447367432</v>
      </c>
      <c r="F23" s="649"/>
      <c r="G23" s="430" t="s">
        <v>444</v>
      </c>
      <c r="H23" s="543">
        <v>43.930150773019115</v>
      </c>
      <c r="I23" s="649"/>
      <c r="J23" s="430" t="s">
        <v>479</v>
      </c>
      <c r="K23" s="543">
        <v>38.499670880413426</v>
      </c>
      <c r="L23" s="649"/>
      <c r="M23" s="430" t="s">
        <v>378</v>
      </c>
      <c r="N23" s="543">
        <v>200.36039245554102</v>
      </c>
      <c r="O23" s="649"/>
      <c r="P23" s="633"/>
      <c r="Q23" s="633"/>
    </row>
    <row r="24" spans="1:17" x14ac:dyDescent="0.25">
      <c r="A24" s="428" t="s">
        <v>498</v>
      </c>
      <c r="B24" s="542">
        <v>54.46690280344805</v>
      </c>
      <c r="C24" s="649"/>
      <c r="D24" s="428" t="s">
        <v>545</v>
      </c>
      <c r="E24" s="542">
        <v>74.567783599958645</v>
      </c>
      <c r="F24" s="649"/>
      <c r="G24" s="433" t="s">
        <v>447</v>
      </c>
      <c r="H24" s="542">
        <v>33.523081844503153</v>
      </c>
      <c r="I24" s="649"/>
      <c r="J24" s="428" t="s">
        <v>480</v>
      </c>
      <c r="K24" s="548">
        <v>46.44276087258293</v>
      </c>
      <c r="L24" s="649"/>
      <c r="M24" s="428" t="s">
        <v>689</v>
      </c>
      <c r="N24" s="542">
        <v>31.204996397808777</v>
      </c>
      <c r="O24" s="649"/>
      <c r="P24" s="633"/>
      <c r="Q24" s="633"/>
    </row>
    <row r="25" spans="1:17" x14ac:dyDescent="0.25">
      <c r="A25" s="430" t="s">
        <v>500</v>
      </c>
      <c r="B25" s="543">
        <v>14.26514121042687</v>
      </c>
      <c r="C25" s="649"/>
      <c r="D25" s="430" t="s">
        <v>546</v>
      </c>
      <c r="E25" s="543">
        <v>43.849098834323513</v>
      </c>
      <c r="F25" s="649"/>
      <c r="G25" s="430" t="s">
        <v>448</v>
      </c>
      <c r="H25" s="543">
        <v>33.523081844503153</v>
      </c>
      <c r="I25" s="649"/>
      <c r="J25" s="436" t="s">
        <v>622</v>
      </c>
      <c r="K25" s="547">
        <f>SUM(K6:K24)</f>
        <v>982.70612552102023</v>
      </c>
      <c r="L25" s="649"/>
      <c r="M25" s="430" t="s">
        <v>646</v>
      </c>
      <c r="N25" s="543">
        <v>51.711136887797416</v>
      </c>
      <c r="O25" s="649"/>
      <c r="P25" s="633"/>
      <c r="Q25" s="633"/>
    </row>
    <row r="26" spans="1:17" x14ac:dyDescent="0.25">
      <c r="A26" s="428" t="s">
        <v>502</v>
      </c>
      <c r="B26" s="542">
        <v>40.444917409108001</v>
      </c>
      <c r="C26" s="649"/>
      <c r="D26" s="428" t="s">
        <v>547</v>
      </c>
      <c r="E26" s="542">
        <v>53.007967906927121</v>
      </c>
      <c r="F26" s="649"/>
      <c r="G26" s="433" t="s">
        <v>449</v>
      </c>
      <c r="H26" s="542">
        <v>14.80008400581788</v>
      </c>
      <c r="I26" s="649"/>
      <c r="J26" s="633"/>
      <c r="K26" s="633"/>
      <c r="L26" s="649"/>
      <c r="M26" s="428" t="s">
        <v>851</v>
      </c>
      <c r="N26" s="542">
        <v>38.499670880413426</v>
      </c>
      <c r="O26" s="649"/>
      <c r="P26" s="633"/>
      <c r="Q26" s="633"/>
    </row>
    <row r="27" spans="1:17" x14ac:dyDescent="0.25">
      <c r="A27" s="430" t="s">
        <v>503</v>
      </c>
      <c r="B27" s="543">
        <v>41.093332918672864</v>
      </c>
      <c r="C27" s="649"/>
      <c r="D27" s="430" t="s">
        <v>548</v>
      </c>
      <c r="E27" s="543">
        <v>17.426166819555551</v>
      </c>
      <c r="F27" s="649"/>
      <c r="G27" s="430" t="s">
        <v>450</v>
      </c>
      <c r="H27" s="543">
        <v>38.01335924823978</v>
      </c>
      <c r="I27" s="649"/>
      <c r="J27" s="633"/>
      <c r="K27" s="633"/>
      <c r="L27" s="649"/>
      <c r="M27" s="430" t="s">
        <v>690</v>
      </c>
      <c r="N27" s="543">
        <v>65.246810649963805</v>
      </c>
      <c r="O27" s="649"/>
      <c r="P27" s="633"/>
      <c r="Q27" s="633"/>
    </row>
    <row r="28" spans="1:17" x14ac:dyDescent="0.25">
      <c r="A28" s="428" t="s">
        <v>504</v>
      </c>
      <c r="B28" s="542">
        <v>46.929072504756583</v>
      </c>
      <c r="C28" s="649"/>
      <c r="D28" s="428" t="s">
        <v>549</v>
      </c>
      <c r="E28" s="542">
        <v>19.549727613380462</v>
      </c>
      <c r="F28" s="649"/>
      <c r="G28" s="428" t="s">
        <v>451</v>
      </c>
      <c r="H28" s="542">
        <v>201.57617153597513</v>
      </c>
      <c r="I28" s="649"/>
      <c r="J28" s="633"/>
      <c r="K28" s="633"/>
      <c r="L28" s="649"/>
      <c r="M28" s="428" t="s">
        <v>944</v>
      </c>
      <c r="N28" s="542">
        <v>19.209309470858908</v>
      </c>
      <c r="O28" s="649"/>
      <c r="P28" s="633"/>
      <c r="Q28" s="633"/>
    </row>
    <row r="29" spans="1:17" x14ac:dyDescent="0.25">
      <c r="A29" s="430" t="s">
        <v>505</v>
      </c>
      <c r="B29" s="543">
        <v>51.467981071710582</v>
      </c>
      <c r="C29" s="649"/>
      <c r="D29" s="430" t="s">
        <v>550</v>
      </c>
      <c r="E29" s="543">
        <v>43.33036642667161</v>
      </c>
      <c r="F29" s="649"/>
      <c r="G29" s="430" t="s">
        <v>678</v>
      </c>
      <c r="H29" s="543">
        <v>49.036422910842369</v>
      </c>
      <c r="I29" s="649"/>
      <c r="J29" s="633"/>
      <c r="K29" s="633"/>
      <c r="L29" s="649"/>
      <c r="M29" s="430" t="s">
        <v>647</v>
      </c>
      <c r="N29" s="543">
        <v>71.082550236047524</v>
      </c>
      <c r="O29" s="649"/>
      <c r="P29" s="633"/>
      <c r="Q29" s="633"/>
    </row>
    <row r="30" spans="1:17" x14ac:dyDescent="0.25">
      <c r="A30" s="428" t="s">
        <v>506</v>
      </c>
      <c r="B30" s="542">
        <v>64.841550956485776</v>
      </c>
      <c r="C30" s="649"/>
      <c r="D30" s="428" t="s">
        <v>551</v>
      </c>
      <c r="E30" s="542">
        <v>70.920446358656321</v>
      </c>
      <c r="F30" s="649"/>
      <c r="G30" s="428" t="s">
        <v>452</v>
      </c>
      <c r="H30" s="542">
        <v>202.87300255510485</v>
      </c>
      <c r="I30" s="649"/>
      <c r="J30" s="633"/>
      <c r="K30" s="633"/>
      <c r="L30" s="649"/>
      <c r="M30" s="428" t="s">
        <v>648</v>
      </c>
      <c r="N30" s="542">
        <v>43.849098834323513</v>
      </c>
      <c r="O30" s="649"/>
      <c r="P30" s="633"/>
      <c r="Q30" s="633"/>
    </row>
    <row r="31" spans="1:17" x14ac:dyDescent="0.25">
      <c r="A31" s="430" t="s">
        <v>507</v>
      </c>
      <c r="B31" s="543">
        <v>73.676212274306963</v>
      </c>
      <c r="C31" s="649"/>
      <c r="D31" s="430" t="s">
        <v>552</v>
      </c>
      <c r="E31" s="543">
        <v>37.040735983892503</v>
      </c>
      <c r="F31" s="649"/>
      <c r="G31" s="430" t="s">
        <v>453</v>
      </c>
      <c r="H31" s="543">
        <v>30.653843214678655</v>
      </c>
      <c r="I31" s="649"/>
      <c r="J31" s="633"/>
      <c r="K31" s="633"/>
      <c r="L31" s="649"/>
      <c r="M31" s="430" t="s">
        <v>945</v>
      </c>
      <c r="N31" s="543">
        <v>43.038579447367432</v>
      </c>
      <c r="O31" s="649"/>
      <c r="P31" s="633"/>
      <c r="Q31" s="633"/>
    </row>
    <row r="32" spans="1:17" x14ac:dyDescent="0.25">
      <c r="A32" s="428" t="s">
        <v>508</v>
      </c>
      <c r="B32" s="542">
        <v>143.62403536861598</v>
      </c>
      <c r="C32" s="649"/>
      <c r="D32" s="428" t="s">
        <v>554</v>
      </c>
      <c r="E32" s="542">
        <v>48.696004768320812</v>
      </c>
      <c r="F32" s="649"/>
      <c r="G32" s="428" t="s">
        <v>454</v>
      </c>
      <c r="H32" s="542">
        <v>29.989217317374671</v>
      </c>
      <c r="I32" s="649"/>
      <c r="J32" s="633"/>
      <c r="K32" s="633"/>
      <c r="L32" s="649"/>
      <c r="M32" s="428" t="s">
        <v>379</v>
      </c>
      <c r="N32" s="542">
        <v>62.896304427791193</v>
      </c>
      <c r="O32" s="649"/>
      <c r="P32" s="633"/>
      <c r="Q32" s="633"/>
    </row>
    <row r="33" spans="1:17" x14ac:dyDescent="0.25">
      <c r="A33" s="430" t="s">
        <v>509</v>
      </c>
      <c r="B33" s="543">
        <v>205.4666645933643</v>
      </c>
      <c r="C33" s="649"/>
      <c r="D33" s="430" t="s">
        <v>555</v>
      </c>
      <c r="E33" s="543">
        <v>78.458276657347781</v>
      </c>
      <c r="F33" s="649"/>
      <c r="G33" s="430" t="s">
        <v>455</v>
      </c>
      <c r="H33" s="543">
        <v>57.627928412576729</v>
      </c>
      <c r="I33" s="649"/>
      <c r="J33" s="633"/>
      <c r="K33" s="633"/>
      <c r="L33" s="649"/>
      <c r="M33" s="430" t="s">
        <v>380</v>
      </c>
      <c r="N33" s="543">
        <v>69.056251768657347</v>
      </c>
      <c r="O33" s="649"/>
      <c r="P33" s="633"/>
      <c r="Q33" s="633"/>
    </row>
    <row r="34" spans="1:17" x14ac:dyDescent="0.25">
      <c r="A34" s="428" t="s">
        <v>510</v>
      </c>
      <c r="B34" s="542">
        <v>62.636938223965259</v>
      </c>
      <c r="C34" s="649"/>
      <c r="D34" s="428" t="s">
        <v>556</v>
      </c>
      <c r="E34" s="542">
        <v>103.01701408211677</v>
      </c>
      <c r="F34" s="649"/>
      <c r="G34" s="428" t="s">
        <v>456</v>
      </c>
      <c r="H34" s="542">
        <v>30.070269256070272</v>
      </c>
      <c r="I34" s="649"/>
      <c r="J34" s="633"/>
      <c r="K34" s="633"/>
      <c r="L34" s="649"/>
      <c r="M34" s="428" t="s">
        <v>649</v>
      </c>
      <c r="N34" s="542">
        <v>43.849098834323513</v>
      </c>
      <c r="O34" s="649"/>
      <c r="P34" s="633"/>
      <c r="Q34" s="633"/>
    </row>
    <row r="35" spans="1:17" x14ac:dyDescent="0.25">
      <c r="A35" s="430" t="s">
        <v>511</v>
      </c>
      <c r="B35" s="545">
        <v>38.904930573891463</v>
      </c>
      <c r="C35" s="649"/>
      <c r="D35" s="430" t="s">
        <v>557</v>
      </c>
      <c r="E35" s="543">
        <v>43.768046895627897</v>
      </c>
      <c r="F35" s="649"/>
      <c r="G35" s="430" t="s">
        <v>457</v>
      </c>
      <c r="H35" s="543">
        <v>37.85125537084857</v>
      </c>
      <c r="I35" s="649"/>
      <c r="J35" s="633"/>
      <c r="K35" s="633"/>
      <c r="L35" s="649"/>
      <c r="M35" s="430" t="s">
        <v>381</v>
      </c>
      <c r="N35" s="543">
        <v>19.209309470858908</v>
      </c>
      <c r="O35" s="649"/>
      <c r="P35" s="633"/>
      <c r="Q35" s="633"/>
    </row>
    <row r="36" spans="1:17" x14ac:dyDescent="0.25">
      <c r="A36" s="428" t="s">
        <v>512</v>
      </c>
      <c r="B36" s="542">
        <v>36.473372413023249</v>
      </c>
      <c r="C36" s="649"/>
      <c r="D36" s="428" t="s">
        <v>558</v>
      </c>
      <c r="E36" s="544">
        <v>43.768046895627897</v>
      </c>
      <c r="F36" s="649"/>
      <c r="G36" s="428" t="s">
        <v>459</v>
      </c>
      <c r="H36" s="542">
        <v>65.571018404746241</v>
      </c>
      <c r="I36" s="649"/>
      <c r="J36" s="633"/>
      <c r="K36" s="633"/>
      <c r="L36" s="649"/>
      <c r="M36" s="428" t="s">
        <v>382</v>
      </c>
      <c r="N36" s="542">
        <v>42.30911199910696</v>
      </c>
      <c r="O36" s="649"/>
      <c r="P36" s="633"/>
      <c r="Q36" s="633"/>
    </row>
    <row r="37" spans="1:17" x14ac:dyDescent="0.25">
      <c r="A37" s="430" t="s">
        <v>513</v>
      </c>
      <c r="B37" s="543">
        <v>58.357395860837194</v>
      </c>
      <c r="C37" s="649"/>
      <c r="D37" s="438" t="s">
        <v>559</v>
      </c>
      <c r="E37" s="546">
        <v>32.501827416938497</v>
      </c>
      <c r="F37" s="649"/>
      <c r="G37" s="430" t="s">
        <v>460</v>
      </c>
      <c r="H37" s="543">
        <v>19.549727613380462</v>
      </c>
      <c r="I37" s="649"/>
      <c r="J37" s="633"/>
      <c r="K37" s="633"/>
      <c r="L37" s="649"/>
      <c r="M37" s="430" t="s">
        <v>383</v>
      </c>
      <c r="N37" s="543">
        <v>101.39597530820463</v>
      </c>
      <c r="O37" s="649"/>
      <c r="P37" s="633"/>
      <c r="Q37" s="633"/>
    </row>
    <row r="38" spans="1:17" x14ac:dyDescent="0.25">
      <c r="A38" s="436" t="s">
        <v>622</v>
      </c>
      <c r="B38" s="547">
        <f>SUM(B6:B37)</f>
        <v>2021.6015075427699</v>
      </c>
      <c r="C38" s="649"/>
      <c r="D38" s="436" t="s">
        <v>622</v>
      </c>
      <c r="E38" s="547">
        <f>SUM(E6:E37)</f>
        <v>1476.3124321772684</v>
      </c>
      <c r="F38" s="649"/>
      <c r="G38" s="436" t="s">
        <v>622</v>
      </c>
      <c r="H38" s="547">
        <f>SUM(H6:H37)</f>
        <v>2434.6381345386494</v>
      </c>
      <c r="I38" s="649"/>
      <c r="J38" s="633"/>
      <c r="K38" s="633"/>
      <c r="L38" s="649"/>
      <c r="M38" s="436" t="s">
        <v>622</v>
      </c>
      <c r="N38" s="547">
        <f>SUM(N6:N37)</f>
        <v>2340.909672631049</v>
      </c>
      <c r="O38" s="649"/>
      <c r="P38" s="633"/>
      <c r="Q38" s="633"/>
    </row>
  </sheetData>
  <mergeCells count="17">
    <mergeCell ref="M2:O2"/>
    <mergeCell ref="M3:O3"/>
    <mergeCell ref="A1:Q1"/>
    <mergeCell ref="P18:Q38"/>
    <mergeCell ref="J26:K38"/>
    <mergeCell ref="J2:L2"/>
    <mergeCell ref="J3:L3"/>
    <mergeCell ref="B2:I2"/>
    <mergeCell ref="B3:I3"/>
    <mergeCell ref="A4:Q4"/>
    <mergeCell ref="C5:C38"/>
    <mergeCell ref="F5:F38"/>
    <mergeCell ref="I5:I38"/>
    <mergeCell ref="L5:L38"/>
    <mergeCell ref="O5:O38"/>
    <mergeCell ref="P2:Q2"/>
    <mergeCell ref="P3:Q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13"/>
  <sheetViews>
    <sheetView zoomScale="40" zoomScaleNormal="40" workbookViewId="0">
      <selection activeCell="I12" sqref="I12"/>
    </sheetView>
  </sheetViews>
  <sheetFormatPr defaultRowHeight="18" x14ac:dyDescent="0.25"/>
  <cols>
    <col min="1" max="1" width="7.5546875" style="220" bestFit="1" customWidth="1"/>
    <col min="2" max="2" width="25.5546875" style="220" customWidth="1"/>
    <col min="3" max="3" width="53.6640625" style="220" customWidth="1"/>
    <col min="4" max="4" width="9.109375" style="220" bestFit="1" customWidth="1"/>
    <col min="5" max="5" width="10.218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10" t="s">
        <v>580</v>
      </c>
      <c r="B2" s="410" t="s">
        <v>789</v>
      </c>
      <c r="C2" s="410" t="s">
        <v>582</v>
      </c>
      <c r="D2" s="253" t="s">
        <v>583</v>
      </c>
      <c r="E2" s="253" t="s">
        <v>584</v>
      </c>
    </row>
    <row r="3" spans="1:5" ht="54" x14ac:dyDescent="0.25">
      <c r="A3" s="410">
        <v>1</v>
      </c>
      <c r="B3" s="407" t="s">
        <v>986</v>
      </c>
      <c r="C3" s="407" t="s">
        <v>994</v>
      </c>
      <c r="D3" s="253" t="s">
        <v>966</v>
      </c>
      <c r="E3" s="256">
        <v>39</v>
      </c>
    </row>
    <row r="4" spans="1:5" ht="36" x14ac:dyDescent="0.25">
      <c r="A4" s="411">
        <v>2</v>
      </c>
      <c r="B4" s="407" t="s">
        <v>986</v>
      </c>
      <c r="C4" s="407" t="s">
        <v>995</v>
      </c>
      <c r="D4" s="253" t="s">
        <v>966</v>
      </c>
      <c r="E4" s="256">
        <v>3</v>
      </c>
    </row>
    <row r="5" spans="1:5" ht="36" x14ac:dyDescent="0.25">
      <c r="A5" s="411">
        <v>3</v>
      </c>
      <c r="B5" s="407" t="s">
        <v>986</v>
      </c>
      <c r="C5" s="407" t="s">
        <v>996</v>
      </c>
      <c r="D5" s="253" t="s">
        <v>966</v>
      </c>
      <c r="E5" s="256">
        <v>4</v>
      </c>
    </row>
    <row r="6" spans="1:5" ht="36" x14ac:dyDescent="0.25">
      <c r="A6" s="411">
        <v>4</v>
      </c>
      <c r="B6" s="407" t="s">
        <v>986</v>
      </c>
      <c r="C6" s="407" t="s">
        <v>997</v>
      </c>
      <c r="D6" s="253" t="s">
        <v>966</v>
      </c>
      <c r="E6" s="256">
        <v>2</v>
      </c>
    </row>
    <row r="7" spans="1:5" ht="36" x14ac:dyDescent="0.25">
      <c r="A7" s="411">
        <v>5</v>
      </c>
      <c r="B7" s="407" t="s">
        <v>986</v>
      </c>
      <c r="C7" s="407" t="s">
        <v>998</v>
      </c>
      <c r="D7" s="253" t="s">
        <v>966</v>
      </c>
      <c r="E7" s="256">
        <v>2</v>
      </c>
    </row>
    <row r="8" spans="1:5" ht="54" x14ac:dyDescent="0.25">
      <c r="A8" s="411">
        <v>6</v>
      </c>
      <c r="B8" s="407" t="s">
        <v>986</v>
      </c>
      <c r="C8" s="407" t="s">
        <v>999</v>
      </c>
      <c r="D8" s="253" t="s">
        <v>966</v>
      </c>
      <c r="E8" s="256">
        <v>15</v>
      </c>
    </row>
    <row r="9" spans="1:5" ht="54" x14ac:dyDescent="0.25">
      <c r="A9" s="411">
        <v>7</v>
      </c>
      <c r="B9" s="407" t="s">
        <v>986</v>
      </c>
      <c r="C9" s="407" t="s">
        <v>1000</v>
      </c>
      <c r="D9" s="253" t="s">
        <v>966</v>
      </c>
      <c r="E9" s="256">
        <v>32</v>
      </c>
    </row>
    <row r="10" spans="1:5" ht="36" x14ac:dyDescent="0.25">
      <c r="A10" s="411">
        <v>8</v>
      </c>
      <c r="B10" s="407" t="s">
        <v>986</v>
      </c>
      <c r="C10" s="407" t="s">
        <v>1001</v>
      </c>
      <c r="D10" s="253" t="s">
        <v>966</v>
      </c>
      <c r="E10" s="256">
        <v>8</v>
      </c>
    </row>
    <row r="11" spans="1:5" ht="36" x14ac:dyDescent="0.25">
      <c r="A11" s="411">
        <v>9</v>
      </c>
      <c r="B11" s="407" t="s">
        <v>986</v>
      </c>
      <c r="C11" s="407" t="s">
        <v>1002</v>
      </c>
      <c r="D11" s="253" t="s">
        <v>966</v>
      </c>
      <c r="E11" s="256">
        <v>3</v>
      </c>
    </row>
    <row r="12" spans="1:5" ht="36" x14ac:dyDescent="0.25">
      <c r="A12" s="411">
        <v>10</v>
      </c>
      <c r="B12" s="407" t="s">
        <v>986</v>
      </c>
      <c r="C12" s="407" t="s">
        <v>1003</v>
      </c>
      <c r="D12" s="253" t="s">
        <v>966</v>
      </c>
      <c r="E12" s="256">
        <v>2</v>
      </c>
    </row>
    <row r="13" spans="1:5" ht="54" x14ac:dyDescent="0.25">
      <c r="A13" s="411">
        <v>11</v>
      </c>
      <c r="B13" s="407" t="s">
        <v>986</v>
      </c>
      <c r="C13" s="407" t="s">
        <v>1004</v>
      </c>
      <c r="D13" s="253" t="s">
        <v>966</v>
      </c>
      <c r="E13" s="256">
        <v>36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1"/>
  <sheetViews>
    <sheetView topLeftCell="A2" zoomScale="70" zoomScaleNormal="70" workbookViewId="0">
      <selection activeCell="G16" sqref="G16"/>
    </sheetView>
  </sheetViews>
  <sheetFormatPr defaultRowHeight="18" x14ac:dyDescent="0.25"/>
  <cols>
    <col min="1" max="1" width="7.5546875" style="220" bestFit="1" customWidth="1"/>
    <col min="2" max="2" width="46.5546875" style="220" customWidth="1"/>
    <col min="3" max="3" width="45.21875" style="220" customWidth="1"/>
    <col min="4" max="4" width="9.109375" style="220" bestFit="1" customWidth="1"/>
    <col min="5" max="5" width="10.21875" style="220" bestFit="1" customWidth="1"/>
    <col min="6" max="16384" width="8.88671875" style="220"/>
  </cols>
  <sheetData>
    <row r="1" spans="1:6" ht="18" customHeight="1" x14ac:dyDescent="0.25">
      <c r="A1" s="607" t="s">
        <v>586</v>
      </c>
      <c r="B1" s="607"/>
      <c r="C1" s="607"/>
      <c r="D1" s="607"/>
      <c r="E1" s="607"/>
    </row>
    <row r="2" spans="1:6" s="408" customFormat="1" ht="18" customHeight="1" x14ac:dyDescent="0.25">
      <c r="A2" s="410" t="s">
        <v>580</v>
      </c>
      <c r="B2" s="410" t="s">
        <v>789</v>
      </c>
      <c r="C2" s="410" t="s">
        <v>582</v>
      </c>
      <c r="D2" s="253" t="s">
        <v>583</v>
      </c>
      <c r="E2" s="253" t="s">
        <v>584</v>
      </c>
    </row>
    <row r="3" spans="1:6" ht="72" x14ac:dyDescent="0.25">
      <c r="A3" s="410">
        <v>1</v>
      </c>
      <c r="B3" s="407" t="s">
        <v>810</v>
      </c>
      <c r="C3" s="407" t="s">
        <v>811</v>
      </c>
      <c r="D3" s="253" t="s">
        <v>571</v>
      </c>
      <c r="E3" s="256">
        <v>23.4</v>
      </c>
    </row>
    <row r="4" spans="1:6" ht="126" x14ac:dyDescent="0.25">
      <c r="A4" s="410">
        <v>2</v>
      </c>
      <c r="B4" s="407" t="s">
        <v>810</v>
      </c>
      <c r="C4" s="407" t="s">
        <v>812</v>
      </c>
      <c r="D4" s="253" t="s">
        <v>571</v>
      </c>
      <c r="E4" s="256">
        <v>22.56</v>
      </c>
    </row>
    <row r="10" spans="1:6" x14ac:dyDescent="0.25">
      <c r="E10" s="220">
        <v>1</v>
      </c>
    </row>
    <row r="11" spans="1:6" x14ac:dyDescent="0.25">
      <c r="E11" s="220">
        <v>5</v>
      </c>
      <c r="F11" s="220">
        <v>203.6</v>
      </c>
    </row>
    <row r="12" spans="1:6" x14ac:dyDescent="0.25">
      <c r="E12" s="220">
        <v>6</v>
      </c>
      <c r="F12" s="220">
        <v>75.3</v>
      </c>
    </row>
    <row r="15" spans="1:6" x14ac:dyDescent="0.25">
      <c r="E15" s="220">
        <v>2</v>
      </c>
    </row>
    <row r="16" spans="1:6" x14ac:dyDescent="0.25">
      <c r="E16" s="220">
        <v>5</v>
      </c>
      <c r="F16" s="220">
        <v>177.4</v>
      </c>
    </row>
    <row r="17" spans="5:6" x14ac:dyDescent="0.25">
      <c r="E17" s="220">
        <v>6</v>
      </c>
      <c r="F17" s="220">
        <v>12</v>
      </c>
    </row>
    <row r="19" spans="5:6" x14ac:dyDescent="0.25">
      <c r="E19" s="220">
        <v>3</v>
      </c>
    </row>
    <row r="20" spans="5:6" x14ac:dyDescent="0.25">
      <c r="E20" s="220">
        <v>5</v>
      </c>
      <c r="F20" s="220">
        <v>20.5</v>
      </c>
    </row>
    <row r="21" spans="5:6" x14ac:dyDescent="0.25">
      <c r="E21" s="220">
        <v>6</v>
      </c>
      <c r="F21" s="220">
        <v>4.3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10"/>
  <sheetViews>
    <sheetView zoomScale="70" zoomScaleNormal="70" workbookViewId="0">
      <selection activeCell="A10" sqref="A10"/>
    </sheetView>
  </sheetViews>
  <sheetFormatPr defaultRowHeight="18" x14ac:dyDescent="0.25"/>
  <cols>
    <col min="1" max="1" width="7.5546875" style="220" bestFit="1" customWidth="1"/>
    <col min="2" max="2" width="46.5546875" style="220" customWidth="1"/>
    <col min="3" max="3" width="45.21875" style="220" customWidth="1"/>
    <col min="4" max="4" width="9.109375" style="220" bestFit="1" customWidth="1"/>
    <col min="5" max="5" width="10.218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10" t="s">
        <v>580</v>
      </c>
      <c r="B2" s="410" t="s">
        <v>789</v>
      </c>
      <c r="C2" s="410" t="s">
        <v>582</v>
      </c>
      <c r="D2" s="253" t="s">
        <v>583</v>
      </c>
      <c r="E2" s="253" t="s">
        <v>584</v>
      </c>
    </row>
    <row r="3" spans="1:5" ht="54" x14ac:dyDescent="0.25">
      <c r="A3" s="410">
        <v>1</v>
      </c>
      <c r="B3" s="407" t="s">
        <v>985</v>
      </c>
      <c r="C3" s="407" t="s">
        <v>1014</v>
      </c>
      <c r="D3" s="253" t="s">
        <v>571</v>
      </c>
      <c r="E3" s="256">
        <v>352.35</v>
      </c>
    </row>
    <row r="4" spans="1:5" ht="54" x14ac:dyDescent="0.25">
      <c r="A4" s="410">
        <v>2</v>
      </c>
      <c r="B4" s="407" t="s">
        <v>985</v>
      </c>
      <c r="C4" s="407" t="s">
        <v>1015</v>
      </c>
      <c r="D4" s="253" t="s">
        <v>571</v>
      </c>
      <c r="E4" s="256">
        <v>352.35</v>
      </c>
    </row>
    <row r="5" spans="1:5" ht="54" x14ac:dyDescent="0.25">
      <c r="A5" s="410">
        <v>3</v>
      </c>
      <c r="B5" s="407" t="s">
        <v>985</v>
      </c>
      <c r="C5" s="407" t="s">
        <v>1016</v>
      </c>
      <c r="D5" s="253" t="s">
        <v>571</v>
      </c>
      <c r="E5" s="256">
        <v>15.75</v>
      </c>
    </row>
    <row r="6" spans="1:5" ht="54" x14ac:dyDescent="0.25">
      <c r="A6" s="410">
        <v>4</v>
      </c>
      <c r="B6" s="407" t="s">
        <v>985</v>
      </c>
      <c r="C6" s="407" t="s">
        <v>1017</v>
      </c>
      <c r="D6" s="253" t="s">
        <v>571</v>
      </c>
      <c r="E6" s="256">
        <v>15.75</v>
      </c>
    </row>
    <row r="7" spans="1:5" ht="54" x14ac:dyDescent="0.25">
      <c r="A7" s="410">
        <v>5</v>
      </c>
      <c r="B7" s="407" t="s">
        <v>985</v>
      </c>
      <c r="C7" s="407" t="s">
        <v>1018</v>
      </c>
      <c r="D7" s="253" t="s">
        <v>571</v>
      </c>
      <c r="E7" s="256">
        <v>259.20999999999998</v>
      </c>
    </row>
    <row r="8" spans="1:5" ht="54" x14ac:dyDescent="0.25">
      <c r="A8" s="410">
        <v>6</v>
      </c>
      <c r="B8" s="407" t="s">
        <v>985</v>
      </c>
      <c r="C8" s="407" t="s">
        <v>1019</v>
      </c>
      <c r="D8" s="253" t="s">
        <v>571</v>
      </c>
      <c r="E8" s="256">
        <v>284.49</v>
      </c>
    </row>
    <row r="9" spans="1:5" ht="54" x14ac:dyDescent="0.25">
      <c r="A9" s="410">
        <v>7</v>
      </c>
      <c r="B9" s="407" t="s">
        <v>985</v>
      </c>
      <c r="C9" s="407" t="s">
        <v>1020</v>
      </c>
      <c r="D9" s="253" t="s">
        <v>571</v>
      </c>
      <c r="E9" s="256">
        <v>13.5</v>
      </c>
    </row>
    <row r="10" spans="1:5" ht="54" x14ac:dyDescent="0.25">
      <c r="A10" s="410">
        <v>8</v>
      </c>
      <c r="B10" s="407" t="s">
        <v>985</v>
      </c>
      <c r="C10" s="407" t="s">
        <v>1021</v>
      </c>
      <c r="D10" s="253" t="s">
        <v>571</v>
      </c>
      <c r="E10" s="256">
        <v>13.5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9"/>
  <sheetViews>
    <sheetView zoomScale="70" zoomScaleNormal="70" workbookViewId="0">
      <selection activeCell="D5" sqref="D5"/>
    </sheetView>
  </sheetViews>
  <sheetFormatPr defaultRowHeight="18" x14ac:dyDescent="0.25"/>
  <cols>
    <col min="1" max="1" width="7.5546875" style="220" bestFit="1" customWidth="1"/>
    <col min="2" max="2" width="46.5546875" style="220" customWidth="1"/>
    <col min="3" max="3" width="45.21875" style="220" customWidth="1"/>
    <col min="4" max="4" width="9.109375" style="220" bestFit="1" customWidth="1"/>
    <col min="5" max="5" width="10.218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10" t="s">
        <v>580</v>
      </c>
      <c r="B2" s="410" t="s">
        <v>789</v>
      </c>
      <c r="C2" s="410" t="s">
        <v>582</v>
      </c>
      <c r="D2" s="253" t="s">
        <v>583</v>
      </c>
      <c r="E2" s="253" t="s">
        <v>584</v>
      </c>
    </row>
    <row r="3" spans="1:5" ht="108" x14ac:dyDescent="0.25">
      <c r="A3" s="410">
        <v>1</v>
      </c>
      <c r="B3" s="407" t="s">
        <v>809</v>
      </c>
      <c r="C3" s="407" t="s">
        <v>1007</v>
      </c>
      <c r="D3" s="253" t="s">
        <v>571</v>
      </c>
      <c r="E3" s="256">
        <v>54.79</v>
      </c>
    </row>
    <row r="4" spans="1:5" ht="90" x14ac:dyDescent="0.25">
      <c r="A4" s="410">
        <v>2</v>
      </c>
      <c r="B4" s="407" t="s">
        <v>809</v>
      </c>
      <c r="C4" s="407" t="s">
        <v>1008</v>
      </c>
      <c r="D4" s="253" t="s">
        <v>571</v>
      </c>
      <c r="E4" s="256">
        <v>181.82</v>
      </c>
    </row>
    <row r="5" spans="1:5" ht="108" x14ac:dyDescent="0.25">
      <c r="A5" s="410">
        <v>3</v>
      </c>
      <c r="B5" s="407" t="s">
        <v>809</v>
      </c>
      <c r="C5" s="407" t="s">
        <v>1009</v>
      </c>
      <c r="D5" s="253" t="s">
        <v>571</v>
      </c>
      <c r="E5" s="256">
        <v>29.792999999999999</v>
      </c>
    </row>
    <row r="6" spans="1:5" ht="72" x14ac:dyDescent="0.25">
      <c r="A6" s="410">
        <v>4</v>
      </c>
      <c r="B6" s="407" t="s">
        <v>809</v>
      </c>
      <c r="C6" s="407" t="s">
        <v>1010</v>
      </c>
      <c r="D6" s="253" t="s">
        <v>571</v>
      </c>
      <c r="E6" s="256">
        <v>302.02999999999997</v>
      </c>
    </row>
    <row r="7" spans="1:5" ht="90" x14ac:dyDescent="0.25">
      <c r="A7" s="410">
        <v>5</v>
      </c>
      <c r="B7" s="407" t="s">
        <v>809</v>
      </c>
      <c r="C7" s="407" t="s">
        <v>1011</v>
      </c>
      <c r="D7" s="253" t="s">
        <v>571</v>
      </c>
      <c r="E7" s="256">
        <v>151.94999999999999</v>
      </c>
    </row>
    <row r="8" spans="1:5" ht="72" x14ac:dyDescent="0.25">
      <c r="A8" s="410">
        <v>6</v>
      </c>
      <c r="B8" s="407" t="s">
        <v>809</v>
      </c>
      <c r="C8" s="407" t="s">
        <v>1012</v>
      </c>
      <c r="D8" s="253" t="s">
        <v>571</v>
      </c>
      <c r="E8" s="256">
        <v>13.5</v>
      </c>
    </row>
    <row r="9" spans="1:5" ht="72" x14ac:dyDescent="0.25">
      <c r="A9" s="410">
        <v>7</v>
      </c>
      <c r="B9" s="407" t="s">
        <v>809</v>
      </c>
      <c r="C9" s="407" t="s">
        <v>1013</v>
      </c>
      <c r="D9" s="253" t="s">
        <v>571</v>
      </c>
      <c r="E9" s="256">
        <v>352.35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13"/>
  <sheetViews>
    <sheetView zoomScale="40" zoomScaleNormal="40" workbookViewId="0">
      <selection activeCell="J12" sqref="J12"/>
    </sheetView>
  </sheetViews>
  <sheetFormatPr defaultRowHeight="18" x14ac:dyDescent="0.25"/>
  <cols>
    <col min="1" max="1" width="7.5546875" style="220" bestFit="1" customWidth="1"/>
    <col min="2" max="2" width="46.5546875" style="220" customWidth="1"/>
    <col min="3" max="3" width="79.77734375" style="220" customWidth="1"/>
    <col min="4" max="4" width="9.109375" style="220" bestFit="1" customWidth="1"/>
    <col min="5" max="5" width="10.218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54" x14ac:dyDescent="0.25">
      <c r="A3" s="409">
        <v>1</v>
      </c>
      <c r="B3" s="407" t="s">
        <v>569</v>
      </c>
      <c r="C3" s="407" t="s">
        <v>573</v>
      </c>
      <c r="D3" s="253" t="s">
        <v>571</v>
      </c>
      <c r="E3" s="256">
        <v>46</v>
      </c>
    </row>
    <row r="4" spans="1:5" ht="54" x14ac:dyDescent="0.25">
      <c r="A4" s="410">
        <v>2</v>
      </c>
      <c r="B4" s="407" t="s">
        <v>569</v>
      </c>
      <c r="C4" s="407" t="s">
        <v>987</v>
      </c>
      <c r="D4" s="253" t="s">
        <v>571</v>
      </c>
      <c r="E4" s="256">
        <v>16.739999999999998</v>
      </c>
    </row>
    <row r="5" spans="1:5" ht="54" x14ac:dyDescent="0.25">
      <c r="A5" s="410">
        <v>3</v>
      </c>
      <c r="B5" s="407" t="s">
        <v>569</v>
      </c>
      <c r="C5" s="407" t="s">
        <v>988</v>
      </c>
      <c r="D5" s="253" t="s">
        <v>571</v>
      </c>
      <c r="E5" s="256">
        <v>3.49</v>
      </c>
    </row>
    <row r="6" spans="1:5" ht="54" x14ac:dyDescent="0.25">
      <c r="A6" s="410">
        <v>4</v>
      </c>
      <c r="B6" s="407" t="s">
        <v>569</v>
      </c>
      <c r="C6" s="407" t="s">
        <v>989</v>
      </c>
      <c r="D6" s="253" t="s">
        <v>571</v>
      </c>
      <c r="E6" s="256">
        <v>0.16</v>
      </c>
    </row>
    <row r="7" spans="1:5" ht="54" x14ac:dyDescent="0.25">
      <c r="A7" s="410">
        <v>5</v>
      </c>
      <c r="B7" s="407" t="s">
        <v>574</v>
      </c>
      <c r="C7" s="407" t="s">
        <v>578</v>
      </c>
      <c r="D7" s="253" t="s">
        <v>571</v>
      </c>
      <c r="E7" s="256">
        <v>6.1</v>
      </c>
    </row>
    <row r="8" spans="1:5" ht="54" x14ac:dyDescent="0.25">
      <c r="A8" s="410">
        <v>6</v>
      </c>
      <c r="B8" s="407" t="s">
        <v>574</v>
      </c>
      <c r="C8" s="407" t="s">
        <v>1005</v>
      </c>
      <c r="D8" s="253" t="s">
        <v>571</v>
      </c>
      <c r="E8" s="256">
        <v>20.100000000000001</v>
      </c>
    </row>
    <row r="9" spans="1:5" ht="54" x14ac:dyDescent="0.25">
      <c r="A9" s="410">
        <v>7</v>
      </c>
      <c r="B9" s="407" t="s">
        <v>574</v>
      </c>
      <c r="C9" s="407" t="s">
        <v>1006</v>
      </c>
      <c r="D9" s="253" t="s">
        <v>571</v>
      </c>
      <c r="E9" s="256">
        <v>2.6</v>
      </c>
    </row>
    <row r="10" spans="1:5" ht="54" x14ac:dyDescent="0.25">
      <c r="A10" s="410">
        <v>8</v>
      </c>
      <c r="B10" s="407" t="s">
        <v>574</v>
      </c>
      <c r="C10" s="407" t="s">
        <v>990</v>
      </c>
      <c r="D10" s="253" t="s">
        <v>571</v>
      </c>
      <c r="E10" s="256">
        <v>322.39999999999998</v>
      </c>
    </row>
    <row r="11" spans="1:5" ht="72" x14ac:dyDescent="0.25">
      <c r="A11" s="410">
        <v>9</v>
      </c>
      <c r="B11" s="407" t="s">
        <v>574</v>
      </c>
      <c r="C11" s="407" t="s">
        <v>991</v>
      </c>
      <c r="D11" s="253" t="s">
        <v>571</v>
      </c>
      <c r="E11" s="256">
        <v>0.18</v>
      </c>
    </row>
    <row r="12" spans="1:5" ht="72" x14ac:dyDescent="0.25">
      <c r="A12" s="410">
        <v>10</v>
      </c>
      <c r="B12" s="407" t="s">
        <v>574</v>
      </c>
      <c r="C12" s="407" t="s">
        <v>992</v>
      </c>
      <c r="D12" s="253" t="s">
        <v>571</v>
      </c>
      <c r="E12" s="256">
        <v>8.09</v>
      </c>
    </row>
    <row r="13" spans="1:5" ht="72" x14ac:dyDescent="0.25">
      <c r="A13" s="410">
        <v>11</v>
      </c>
      <c r="B13" s="407" t="s">
        <v>574</v>
      </c>
      <c r="C13" s="407" t="s">
        <v>993</v>
      </c>
      <c r="D13" s="253" t="s">
        <v>571</v>
      </c>
      <c r="E13" s="256">
        <v>9.31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"/>
  <sheetViews>
    <sheetView workbookViewId="0">
      <selection sqref="A1:E1"/>
    </sheetView>
  </sheetViews>
  <sheetFormatPr defaultRowHeight="18" x14ac:dyDescent="0.25"/>
  <cols>
    <col min="1" max="1" width="7.5546875" style="220" bestFit="1" customWidth="1"/>
    <col min="2" max="2" width="46.5546875" style="220" customWidth="1"/>
    <col min="3" max="3" width="45.21875" style="220" customWidth="1"/>
    <col min="4" max="4" width="9.109375" style="220" bestFit="1" customWidth="1"/>
    <col min="5" max="5" width="10.218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54" x14ac:dyDescent="0.25">
      <c r="A3" s="409">
        <v>1</v>
      </c>
      <c r="B3" s="407" t="s">
        <v>808</v>
      </c>
      <c r="C3" s="407" t="s">
        <v>983</v>
      </c>
      <c r="D3" s="253" t="s">
        <v>571</v>
      </c>
      <c r="E3" s="256">
        <v>1102.05</v>
      </c>
    </row>
    <row r="4" spans="1:5" ht="54" x14ac:dyDescent="0.25">
      <c r="A4" s="409">
        <v>2</v>
      </c>
      <c r="B4" s="407" t="s">
        <v>808</v>
      </c>
      <c r="C4" s="407" t="s">
        <v>984</v>
      </c>
      <c r="D4" s="253" t="s">
        <v>571</v>
      </c>
      <c r="E4" s="256">
        <v>4.6500000000000004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5"/>
  <sheetViews>
    <sheetView workbookViewId="0">
      <selection sqref="A1:E1"/>
    </sheetView>
  </sheetViews>
  <sheetFormatPr defaultRowHeight="18" x14ac:dyDescent="0.25"/>
  <cols>
    <col min="1" max="1" width="7.5546875" style="220" bestFit="1" customWidth="1"/>
    <col min="2" max="2" width="37.109375" style="220" customWidth="1"/>
    <col min="3" max="3" width="45.21875" style="220" customWidth="1"/>
    <col min="4" max="4" width="9.109375" style="220" bestFit="1" customWidth="1"/>
    <col min="5" max="5" width="10.218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72" x14ac:dyDescent="0.25">
      <c r="A3" s="409">
        <v>1</v>
      </c>
      <c r="B3" s="407" t="s">
        <v>808</v>
      </c>
      <c r="C3" s="407" t="s">
        <v>980</v>
      </c>
      <c r="D3" s="253" t="s">
        <v>571</v>
      </c>
      <c r="E3" s="256">
        <v>10794.83</v>
      </c>
    </row>
    <row r="4" spans="1:5" ht="54" x14ac:dyDescent="0.25">
      <c r="A4" s="409">
        <v>2</v>
      </c>
      <c r="B4" s="407" t="s">
        <v>808</v>
      </c>
      <c r="C4" s="407" t="s">
        <v>981</v>
      </c>
      <c r="D4" s="253" t="s">
        <v>571</v>
      </c>
      <c r="E4" s="256">
        <v>72.2</v>
      </c>
    </row>
    <row r="5" spans="1:5" ht="54" x14ac:dyDescent="0.25">
      <c r="A5" s="409">
        <v>3</v>
      </c>
      <c r="B5" s="407" t="s">
        <v>808</v>
      </c>
      <c r="C5" s="407" t="s">
        <v>982</v>
      </c>
      <c r="D5" s="253" t="s">
        <v>571</v>
      </c>
      <c r="E5" s="256">
        <v>25.902000000000001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9"/>
  <sheetViews>
    <sheetView workbookViewId="0">
      <selection sqref="A1:E1"/>
    </sheetView>
  </sheetViews>
  <sheetFormatPr defaultRowHeight="18" x14ac:dyDescent="0.25"/>
  <cols>
    <col min="1" max="1" width="7.5546875" style="220" bestFit="1" customWidth="1"/>
    <col min="2" max="2" width="46.5546875" style="220" customWidth="1"/>
    <col min="3" max="3" width="45.21875" style="220" customWidth="1"/>
    <col min="4" max="4" width="9.109375" style="220" bestFit="1" customWidth="1"/>
    <col min="5" max="5" width="8.777343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72" x14ac:dyDescent="0.25">
      <c r="A3" s="409">
        <v>1</v>
      </c>
      <c r="B3" s="407" t="s">
        <v>971</v>
      </c>
      <c r="C3" s="407" t="s">
        <v>973</v>
      </c>
      <c r="D3" s="253" t="s">
        <v>571</v>
      </c>
      <c r="E3" s="256">
        <v>203.2</v>
      </c>
    </row>
    <row r="4" spans="1:5" ht="72" x14ac:dyDescent="0.25">
      <c r="A4" s="409">
        <v>2</v>
      </c>
      <c r="B4" s="407" t="s">
        <v>971</v>
      </c>
      <c r="C4" s="407" t="s">
        <v>974</v>
      </c>
      <c r="D4" s="253" t="s">
        <v>571</v>
      </c>
      <c r="E4" s="256">
        <v>25.9</v>
      </c>
    </row>
    <row r="5" spans="1:5" ht="90" x14ac:dyDescent="0.25">
      <c r="A5" s="409">
        <v>3</v>
      </c>
      <c r="B5" s="407" t="s">
        <v>971</v>
      </c>
      <c r="C5" s="407" t="s">
        <v>975</v>
      </c>
      <c r="D5" s="253" t="s">
        <v>571</v>
      </c>
      <c r="E5" s="256">
        <v>854.15</v>
      </c>
    </row>
    <row r="6" spans="1:5" ht="72" x14ac:dyDescent="0.25">
      <c r="A6" s="409">
        <v>4</v>
      </c>
      <c r="B6" s="407" t="s">
        <v>971</v>
      </c>
      <c r="C6" s="407" t="s">
        <v>976</v>
      </c>
      <c r="D6" s="253" t="s">
        <v>571</v>
      </c>
      <c r="E6" s="256">
        <v>1075.53</v>
      </c>
    </row>
    <row r="7" spans="1:5" ht="72" x14ac:dyDescent="0.25">
      <c r="A7" s="409">
        <v>5</v>
      </c>
      <c r="B7" s="407" t="s">
        <v>971</v>
      </c>
      <c r="C7" s="407" t="s">
        <v>977</v>
      </c>
      <c r="D7" s="253" t="s">
        <v>571</v>
      </c>
      <c r="E7" s="256">
        <v>54.322000000000003</v>
      </c>
    </row>
    <row r="8" spans="1:5" ht="72" x14ac:dyDescent="0.25">
      <c r="A8" s="409">
        <v>6</v>
      </c>
      <c r="B8" s="407" t="s">
        <v>971</v>
      </c>
      <c r="C8" s="407" t="s">
        <v>978</v>
      </c>
      <c r="D8" s="253" t="s">
        <v>571</v>
      </c>
      <c r="E8" s="256">
        <v>85.21</v>
      </c>
    </row>
    <row r="9" spans="1:5" ht="72" x14ac:dyDescent="0.25">
      <c r="A9" s="409">
        <v>7</v>
      </c>
      <c r="B9" s="407" t="s">
        <v>971</v>
      </c>
      <c r="C9" s="407" t="s">
        <v>979</v>
      </c>
      <c r="D9" s="253" t="s">
        <v>571</v>
      </c>
      <c r="E9" s="256">
        <v>37.9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workbookViewId="0">
      <selection sqref="A1:E1"/>
    </sheetView>
  </sheetViews>
  <sheetFormatPr defaultRowHeight="18" x14ac:dyDescent="0.25"/>
  <cols>
    <col min="1" max="1" width="7.5546875" style="220" bestFit="1" customWidth="1"/>
    <col min="2" max="2" width="46.5546875" style="220" customWidth="1"/>
    <col min="3" max="3" width="45.21875" style="220" customWidth="1"/>
    <col min="4" max="4" width="9.109375" style="220" bestFit="1" customWidth="1"/>
    <col min="5" max="5" width="8.777343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72" x14ac:dyDescent="0.25">
      <c r="A3" s="409">
        <v>1</v>
      </c>
      <c r="B3" s="407" t="s">
        <v>926</v>
      </c>
      <c r="C3" s="407" t="s">
        <v>972</v>
      </c>
      <c r="D3" s="253" t="s">
        <v>571</v>
      </c>
      <c r="E3" s="256">
        <v>455.65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85" zoomScaleNormal="85" workbookViewId="0">
      <selection activeCell="E4" sqref="E4"/>
    </sheetView>
  </sheetViews>
  <sheetFormatPr defaultRowHeight="18" x14ac:dyDescent="0.25"/>
  <cols>
    <col min="1" max="1" width="7.5546875" style="220" bestFit="1" customWidth="1"/>
    <col min="2" max="2" width="33.77734375" style="220" customWidth="1"/>
    <col min="3" max="3" width="52.6640625" style="220" bestFit="1" customWidth="1"/>
    <col min="4" max="4" width="9.109375" style="220" bestFit="1" customWidth="1"/>
    <col min="5" max="5" width="7.55468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54" x14ac:dyDescent="0.25">
      <c r="A3" s="409">
        <v>1</v>
      </c>
      <c r="B3" s="407" t="s">
        <v>791</v>
      </c>
      <c r="C3" s="407" t="s">
        <v>970</v>
      </c>
      <c r="D3" s="253" t="s">
        <v>571</v>
      </c>
      <c r="E3" s="256">
        <v>90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85" zoomScaleNormal="85" workbookViewId="0">
      <selection activeCell="E4" sqref="E4"/>
    </sheetView>
  </sheetViews>
  <sheetFormatPr defaultRowHeight="18" x14ac:dyDescent="0.25"/>
  <cols>
    <col min="1" max="1" width="7.5546875" style="220" bestFit="1" customWidth="1"/>
    <col min="2" max="2" width="33.77734375" style="220" customWidth="1"/>
    <col min="3" max="3" width="52.6640625" style="220" bestFit="1" customWidth="1"/>
    <col min="4" max="4" width="9.109375" style="220" bestFit="1" customWidth="1"/>
    <col min="5" max="5" width="7.55468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54" x14ac:dyDescent="0.25">
      <c r="A3" s="409">
        <v>1</v>
      </c>
      <c r="B3" s="407" t="s">
        <v>791</v>
      </c>
      <c r="C3" s="407" t="s">
        <v>969</v>
      </c>
      <c r="D3" s="253" t="s">
        <v>571</v>
      </c>
      <c r="E3" s="256">
        <v>90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workbookViewId="0">
      <selection sqref="A1:E1"/>
    </sheetView>
  </sheetViews>
  <sheetFormatPr defaultRowHeight="18" x14ac:dyDescent="0.25"/>
  <cols>
    <col min="1" max="1" width="7.5546875" style="220" bestFit="1" customWidth="1"/>
    <col min="2" max="2" width="33.77734375" style="220" customWidth="1"/>
    <col min="3" max="3" width="52.6640625" style="220" bestFit="1" customWidth="1"/>
    <col min="4" max="4" width="9.109375" style="220" bestFit="1" customWidth="1"/>
    <col min="5" max="5" width="7.55468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54" x14ac:dyDescent="0.25">
      <c r="A3" s="409">
        <v>1</v>
      </c>
      <c r="B3" s="407" t="s">
        <v>791</v>
      </c>
      <c r="C3" s="407" t="s">
        <v>967</v>
      </c>
      <c r="D3" s="253" t="s">
        <v>571</v>
      </c>
      <c r="E3" s="256">
        <v>953.76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workbookViewId="0">
      <selection sqref="A1:E1"/>
    </sheetView>
  </sheetViews>
  <sheetFormatPr defaultRowHeight="18" x14ac:dyDescent="0.25"/>
  <cols>
    <col min="1" max="1" width="7.5546875" style="220" bestFit="1" customWidth="1"/>
    <col min="2" max="2" width="33.77734375" style="220" customWidth="1"/>
    <col min="3" max="3" width="52.6640625" style="220" bestFit="1" customWidth="1"/>
    <col min="4" max="4" width="9.109375" style="220" bestFit="1" customWidth="1"/>
    <col min="5" max="5" width="7.55468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54" x14ac:dyDescent="0.25">
      <c r="A3" s="409">
        <v>1</v>
      </c>
      <c r="B3" s="407" t="s">
        <v>791</v>
      </c>
      <c r="C3" s="407" t="s">
        <v>968</v>
      </c>
      <c r="D3" s="253" t="s">
        <v>571</v>
      </c>
      <c r="E3" s="256">
        <v>213.54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3"/>
  <sheetViews>
    <sheetView workbookViewId="0">
      <selection sqref="A1:D1"/>
    </sheetView>
  </sheetViews>
  <sheetFormatPr defaultRowHeight="18" x14ac:dyDescent="0.25"/>
  <cols>
    <col min="1" max="1" width="7.5546875" style="220" bestFit="1" customWidth="1"/>
    <col min="2" max="2" width="33.77734375" style="220" customWidth="1"/>
    <col min="3" max="3" width="9.109375" style="220" bestFit="1" customWidth="1"/>
    <col min="4" max="4" width="7.5546875" style="220" bestFit="1" customWidth="1"/>
    <col min="5" max="16384" width="8.88671875" style="220"/>
  </cols>
  <sheetData>
    <row r="1" spans="1:4" ht="18" customHeight="1" x14ac:dyDescent="0.25">
      <c r="A1" s="607" t="s">
        <v>586</v>
      </c>
      <c r="B1" s="607"/>
      <c r="C1" s="607"/>
      <c r="D1" s="607"/>
    </row>
    <row r="2" spans="1:4" s="408" customFormat="1" ht="18" customHeight="1" x14ac:dyDescent="0.25">
      <c r="A2" s="409" t="s">
        <v>580</v>
      </c>
      <c r="B2" s="409" t="s">
        <v>789</v>
      </c>
      <c r="C2" s="253" t="s">
        <v>583</v>
      </c>
      <c r="D2" s="253" t="s">
        <v>584</v>
      </c>
    </row>
    <row r="3" spans="1:4" ht="54" x14ac:dyDescent="0.25">
      <c r="A3" s="409">
        <v>1</v>
      </c>
      <c r="B3" s="407" t="s">
        <v>965</v>
      </c>
      <c r="C3" s="253" t="s">
        <v>966</v>
      </c>
      <c r="D3" s="256">
        <v>357</v>
      </c>
    </row>
  </sheetData>
  <mergeCells count="1">
    <mergeCell ref="A1:D1"/>
  </mergeCells>
  <pageMargins left="0.7" right="0.7" top="0.75" bottom="0.75" header="0.3" footer="0.3"/>
  <pageSetup paperSize="9" orientation="portrait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workbookViewId="0">
      <selection sqref="A1:E1"/>
    </sheetView>
  </sheetViews>
  <sheetFormatPr defaultRowHeight="18" x14ac:dyDescent="0.25"/>
  <cols>
    <col min="1" max="1" width="9" style="220" customWidth="1"/>
    <col min="2" max="2" width="33.77734375" style="220" customWidth="1"/>
    <col min="3" max="3" width="52.6640625" style="220" bestFit="1" customWidth="1"/>
    <col min="4" max="4" width="9.109375" style="220" bestFit="1" customWidth="1"/>
    <col min="5" max="5" width="7.55468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72" x14ac:dyDescent="0.25">
      <c r="A3" s="409">
        <v>1</v>
      </c>
      <c r="B3" s="407" t="s">
        <v>963</v>
      </c>
      <c r="C3" s="407" t="s">
        <v>964</v>
      </c>
      <c r="D3" s="253" t="s">
        <v>571</v>
      </c>
      <c r="E3" s="256">
        <v>145.30000000000001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D9:J18"/>
  <sheetViews>
    <sheetView workbookViewId="0"/>
  </sheetViews>
  <sheetFormatPr defaultRowHeight="13.2" x14ac:dyDescent="0.25"/>
  <sheetData>
    <row r="9" spans="4:10" x14ac:dyDescent="0.25">
      <c r="F9">
        <v>2</v>
      </c>
      <c r="G9">
        <v>6.4</v>
      </c>
    </row>
    <row r="10" spans="4:10" x14ac:dyDescent="0.25">
      <c r="D10" s="357" t="s">
        <v>792</v>
      </c>
      <c r="E10">
        <v>85.4</v>
      </c>
      <c r="F10">
        <v>6</v>
      </c>
      <c r="G10">
        <v>28.7</v>
      </c>
      <c r="J10">
        <v>4.3</v>
      </c>
    </row>
    <row r="11" spans="4:10" x14ac:dyDescent="0.25">
      <c r="D11">
        <v>1</v>
      </c>
      <c r="E11">
        <v>198.6</v>
      </c>
      <c r="F11">
        <v>1</v>
      </c>
      <c r="G11">
        <v>28.7</v>
      </c>
    </row>
    <row r="12" spans="4:10" x14ac:dyDescent="0.25">
      <c r="D12">
        <v>4</v>
      </c>
      <c r="E12">
        <v>4.3</v>
      </c>
      <c r="F12">
        <v>5</v>
      </c>
      <c r="G12">
        <v>154.5</v>
      </c>
      <c r="I12">
        <v>5</v>
      </c>
      <c r="J12">
        <v>20.6</v>
      </c>
    </row>
    <row r="13" spans="4:10" x14ac:dyDescent="0.25">
      <c r="D13">
        <v>5</v>
      </c>
      <c r="E13">
        <v>183.6</v>
      </c>
      <c r="F13">
        <v>10</v>
      </c>
      <c r="G13">
        <v>11.3</v>
      </c>
    </row>
    <row r="14" spans="4:10" x14ac:dyDescent="0.25">
      <c r="D14">
        <v>8</v>
      </c>
      <c r="E14">
        <v>6.1</v>
      </c>
      <c r="F14">
        <v>11</v>
      </c>
      <c r="G14">
        <v>45.4</v>
      </c>
    </row>
    <row r="15" spans="4:10" x14ac:dyDescent="0.25">
      <c r="D15">
        <v>10</v>
      </c>
      <c r="E15">
        <v>14.2</v>
      </c>
      <c r="F15">
        <v>13</v>
      </c>
      <c r="G15">
        <v>34.200000000000003</v>
      </c>
    </row>
    <row r="18" spans="5:10" x14ac:dyDescent="0.25">
      <c r="E18">
        <f>SUM(E9:E15)</f>
        <v>492.2</v>
      </c>
      <c r="G18">
        <f>SUM(G9:G15)</f>
        <v>309.2</v>
      </c>
      <c r="J18">
        <f>SUM(J9:J15)</f>
        <v>24.900000000000002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3"/>
  <sheetViews>
    <sheetView workbookViewId="0">
      <selection sqref="A1:O1"/>
    </sheetView>
  </sheetViews>
  <sheetFormatPr defaultRowHeight="13.2" x14ac:dyDescent="0.25"/>
  <cols>
    <col min="5" max="5" width="2.88671875" customWidth="1"/>
    <col min="6" max="6" width="7.6640625" customWidth="1"/>
    <col min="10" max="10" width="4.109375" customWidth="1"/>
    <col min="11" max="11" width="7.6640625" customWidth="1"/>
    <col min="12" max="12" width="10.44140625" customWidth="1"/>
  </cols>
  <sheetData>
    <row r="1" spans="1:16" ht="18" x14ac:dyDescent="0.25">
      <c r="A1" s="626" t="s">
        <v>579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6" s="197" customFormat="1" ht="18" customHeight="1" x14ac:dyDescent="0.25">
      <c r="A2" s="173" t="s">
        <v>580</v>
      </c>
      <c r="B2" s="173" t="s">
        <v>937</v>
      </c>
      <c r="C2" s="663" t="s">
        <v>581</v>
      </c>
      <c r="D2" s="664"/>
      <c r="E2" s="664"/>
      <c r="F2" s="664"/>
      <c r="G2" s="664"/>
      <c r="H2" s="664"/>
      <c r="I2" s="664"/>
      <c r="J2" s="664"/>
      <c r="K2" s="665"/>
      <c r="L2" s="646" t="s">
        <v>582</v>
      </c>
      <c r="M2" s="648"/>
      <c r="N2" s="356" t="s">
        <v>583</v>
      </c>
      <c r="O2" s="356" t="s">
        <v>584</v>
      </c>
    </row>
    <row r="3" spans="1:16" ht="60" customHeight="1" x14ac:dyDescent="0.25">
      <c r="A3" s="355">
        <v>1</v>
      </c>
      <c r="B3" s="355">
        <v>67</v>
      </c>
      <c r="C3" s="641" t="s">
        <v>943</v>
      </c>
      <c r="D3" s="642"/>
      <c r="E3" s="642"/>
      <c r="F3" s="642"/>
      <c r="G3" s="642"/>
      <c r="H3" s="642"/>
      <c r="I3" s="642"/>
      <c r="J3" s="642"/>
      <c r="K3" s="643"/>
      <c r="L3" s="598" t="s">
        <v>947</v>
      </c>
      <c r="M3" s="600"/>
      <c r="N3" s="356" t="s">
        <v>571</v>
      </c>
      <c r="O3" s="356">
        <v>718.5</v>
      </c>
      <c r="P3">
        <v>719.88</v>
      </c>
    </row>
    <row r="4" spans="1:16" ht="58.8" customHeight="1" x14ac:dyDescent="0.25">
      <c r="A4" s="379">
        <v>2</v>
      </c>
      <c r="B4" s="379">
        <v>72</v>
      </c>
      <c r="C4" s="661" t="s">
        <v>943</v>
      </c>
      <c r="D4" s="666"/>
      <c r="E4" s="666"/>
      <c r="F4" s="666"/>
      <c r="G4" s="666"/>
      <c r="H4" s="666"/>
      <c r="I4" s="666"/>
      <c r="J4" s="666"/>
      <c r="K4" s="662"/>
      <c r="L4" s="661" t="s">
        <v>953</v>
      </c>
      <c r="M4" s="662"/>
      <c r="N4" s="380" t="s">
        <v>571</v>
      </c>
      <c r="O4" s="381">
        <v>802.6</v>
      </c>
      <c r="P4">
        <v>804.46</v>
      </c>
    </row>
    <row r="5" spans="1:16" ht="63" customHeight="1" x14ac:dyDescent="0.25">
      <c r="A5" s="355">
        <v>3</v>
      </c>
      <c r="B5" s="355">
        <v>77</v>
      </c>
      <c r="C5" s="641" t="s">
        <v>943</v>
      </c>
      <c r="D5" s="642"/>
      <c r="E5" s="642"/>
      <c r="F5" s="642"/>
      <c r="G5" s="642"/>
      <c r="H5" s="642"/>
      <c r="I5" s="642"/>
      <c r="J5" s="642"/>
      <c r="K5" s="643"/>
      <c r="L5" s="598" t="s">
        <v>948</v>
      </c>
      <c r="M5" s="600"/>
      <c r="N5" s="356" t="s">
        <v>571</v>
      </c>
      <c r="O5" s="356">
        <v>374.22999999999996</v>
      </c>
      <c r="P5">
        <v>377.82</v>
      </c>
    </row>
    <row r="6" spans="1:16" ht="16.2" customHeight="1" x14ac:dyDescent="0.25">
      <c r="A6" s="657"/>
      <c r="B6" s="657"/>
      <c r="C6" s="657"/>
      <c r="D6" s="657"/>
      <c r="E6" s="657"/>
      <c r="F6" s="657"/>
      <c r="G6" s="657"/>
      <c r="H6" s="657"/>
      <c r="I6" s="657"/>
      <c r="J6" s="657"/>
      <c r="K6" s="657"/>
      <c r="L6" s="657"/>
      <c r="M6" s="657"/>
      <c r="N6" s="657"/>
      <c r="O6" s="657"/>
    </row>
    <row r="7" spans="1:16" ht="18" x14ac:dyDescent="0.25">
      <c r="A7" s="382" t="s">
        <v>821</v>
      </c>
      <c r="B7" s="383" t="s">
        <v>652</v>
      </c>
      <c r="C7" s="382" t="s">
        <v>583</v>
      </c>
      <c r="D7" s="382" t="s">
        <v>940</v>
      </c>
      <c r="E7" s="658"/>
      <c r="F7" s="382" t="s">
        <v>821</v>
      </c>
      <c r="G7" s="383" t="s">
        <v>652</v>
      </c>
      <c r="H7" s="382" t="s">
        <v>583</v>
      </c>
      <c r="I7" s="382" t="s">
        <v>940</v>
      </c>
      <c r="J7" s="659"/>
      <c r="K7" s="384" t="s">
        <v>821</v>
      </c>
      <c r="L7" s="385" t="s">
        <v>652</v>
      </c>
      <c r="M7" s="386" t="s">
        <v>583</v>
      </c>
      <c r="N7" s="387" t="s">
        <v>940</v>
      </c>
      <c r="O7" s="660"/>
    </row>
    <row r="8" spans="1:16" ht="18" x14ac:dyDescent="0.25">
      <c r="A8" s="195">
        <v>1</v>
      </c>
      <c r="B8" s="388" t="s">
        <v>483</v>
      </c>
      <c r="C8" s="389" t="s">
        <v>571</v>
      </c>
      <c r="D8" s="390">
        <v>41.32</v>
      </c>
      <c r="E8" s="658"/>
      <c r="F8" s="195">
        <v>2</v>
      </c>
      <c r="G8" s="388" t="s">
        <v>427</v>
      </c>
      <c r="H8" s="389" t="s">
        <v>571</v>
      </c>
      <c r="I8" s="390">
        <v>23.92</v>
      </c>
      <c r="J8" s="659"/>
      <c r="K8" s="391">
        <v>3</v>
      </c>
      <c r="L8" s="392" t="s">
        <v>366</v>
      </c>
      <c r="M8" s="393" t="s">
        <v>571</v>
      </c>
      <c r="N8" s="394">
        <v>19.86</v>
      </c>
      <c r="O8" s="660"/>
    </row>
    <row r="9" spans="1:16" ht="18" x14ac:dyDescent="0.25">
      <c r="A9" s="195">
        <v>1</v>
      </c>
      <c r="B9" s="388" t="s">
        <v>485</v>
      </c>
      <c r="C9" s="389" t="s">
        <v>571</v>
      </c>
      <c r="D9" s="390">
        <v>24.56</v>
      </c>
      <c r="E9" s="658"/>
      <c r="F9" s="195">
        <v>2</v>
      </c>
      <c r="G9" s="388" t="s">
        <v>428</v>
      </c>
      <c r="H9" s="389" t="s">
        <v>571</v>
      </c>
      <c r="I9" s="390">
        <v>12.879999999999999</v>
      </c>
      <c r="J9" s="659"/>
      <c r="K9" s="395">
        <v>3</v>
      </c>
      <c r="L9" s="396" t="s">
        <v>688</v>
      </c>
      <c r="M9" s="397" t="s">
        <v>571</v>
      </c>
      <c r="N9" s="398">
        <v>25.76</v>
      </c>
      <c r="O9" s="660"/>
    </row>
    <row r="10" spans="1:16" ht="18" x14ac:dyDescent="0.25">
      <c r="A10" s="195">
        <v>1</v>
      </c>
      <c r="B10" s="388" t="s">
        <v>488</v>
      </c>
      <c r="C10" s="389" t="s">
        <v>571</v>
      </c>
      <c r="D10" s="390">
        <v>11.96</v>
      </c>
      <c r="E10" s="658"/>
      <c r="F10" s="195">
        <v>2</v>
      </c>
      <c r="G10" s="388" t="s">
        <v>432</v>
      </c>
      <c r="H10" s="389" t="s">
        <v>571</v>
      </c>
      <c r="I10" s="390">
        <v>14.96</v>
      </c>
      <c r="J10" s="659"/>
      <c r="K10" s="391">
        <v>3</v>
      </c>
      <c r="L10" s="392" t="s">
        <v>371</v>
      </c>
      <c r="M10" s="393" t="s">
        <v>571</v>
      </c>
      <c r="N10" s="394">
        <v>25.439999999999998</v>
      </c>
      <c r="O10" s="660"/>
    </row>
    <row r="11" spans="1:16" ht="18" x14ac:dyDescent="0.25">
      <c r="A11" s="195">
        <v>1</v>
      </c>
      <c r="B11" s="388" t="s">
        <v>489</v>
      </c>
      <c r="C11" s="389" t="s">
        <v>571</v>
      </c>
      <c r="D11" s="390">
        <v>6.44</v>
      </c>
      <c r="E11" s="658"/>
      <c r="F11" s="195">
        <v>2</v>
      </c>
      <c r="G11" s="388" t="s">
        <v>434</v>
      </c>
      <c r="H11" s="389" t="s">
        <v>571</v>
      </c>
      <c r="I11" s="390">
        <v>37.64</v>
      </c>
      <c r="J11" s="659"/>
      <c r="K11" s="395">
        <v>3</v>
      </c>
      <c r="L11" s="396" t="s">
        <v>378</v>
      </c>
      <c r="M11" s="397" t="s">
        <v>571</v>
      </c>
      <c r="N11" s="398">
        <v>2.4</v>
      </c>
      <c r="O11" s="660"/>
    </row>
    <row r="12" spans="1:16" ht="18" x14ac:dyDescent="0.25">
      <c r="A12" s="195">
        <v>1</v>
      </c>
      <c r="B12" s="388" t="s">
        <v>490</v>
      </c>
      <c r="C12" s="389" t="s">
        <v>571</v>
      </c>
      <c r="D12" s="390">
        <v>8.24</v>
      </c>
      <c r="E12" s="658"/>
      <c r="F12" s="195">
        <v>2</v>
      </c>
      <c r="G12" s="388" t="s">
        <v>436</v>
      </c>
      <c r="H12" s="389" t="s">
        <v>571</v>
      </c>
      <c r="I12" s="390">
        <v>40.270000000000003</v>
      </c>
      <c r="J12" s="659"/>
      <c r="K12" s="391">
        <v>3</v>
      </c>
      <c r="L12" s="392" t="s">
        <v>646</v>
      </c>
      <c r="M12" s="393" t="s">
        <v>571</v>
      </c>
      <c r="N12" s="394">
        <v>13.6</v>
      </c>
      <c r="O12" s="660"/>
    </row>
    <row r="13" spans="1:16" ht="18" x14ac:dyDescent="0.25">
      <c r="A13" s="195">
        <v>1</v>
      </c>
      <c r="B13" s="388" t="s">
        <v>499</v>
      </c>
      <c r="C13" s="389" t="s">
        <v>571</v>
      </c>
      <c r="D13" s="390">
        <v>12.52</v>
      </c>
      <c r="E13" s="658"/>
      <c r="F13" s="195">
        <v>2</v>
      </c>
      <c r="G13" s="388" t="s">
        <v>437</v>
      </c>
      <c r="H13" s="389" t="s">
        <v>571</v>
      </c>
      <c r="I13" s="390">
        <v>47.9</v>
      </c>
      <c r="J13" s="659"/>
      <c r="K13" s="395">
        <v>3</v>
      </c>
      <c r="L13" s="396" t="s">
        <v>851</v>
      </c>
      <c r="M13" s="397" t="s">
        <v>571</v>
      </c>
      <c r="N13" s="398">
        <v>26.05</v>
      </c>
      <c r="O13" s="660"/>
    </row>
    <row r="14" spans="1:16" ht="18" x14ac:dyDescent="0.25">
      <c r="A14" s="195">
        <v>1</v>
      </c>
      <c r="B14" s="388" t="s">
        <v>500</v>
      </c>
      <c r="C14" s="389" t="s">
        <v>571</v>
      </c>
      <c r="D14" s="390">
        <v>25.8</v>
      </c>
      <c r="E14" s="658"/>
      <c r="F14" s="195">
        <v>2</v>
      </c>
      <c r="G14" s="388" t="s">
        <v>440</v>
      </c>
      <c r="H14" s="389" t="s">
        <v>571</v>
      </c>
      <c r="I14" s="390">
        <v>37.4</v>
      </c>
      <c r="J14" s="659"/>
      <c r="K14" s="391">
        <v>3</v>
      </c>
      <c r="L14" s="392" t="s">
        <v>944</v>
      </c>
      <c r="M14" s="393" t="s">
        <v>571</v>
      </c>
      <c r="N14" s="394">
        <v>19.04</v>
      </c>
      <c r="O14" s="660"/>
    </row>
    <row r="15" spans="1:16" ht="18" x14ac:dyDescent="0.25">
      <c r="A15" s="195">
        <v>1</v>
      </c>
      <c r="B15" s="388" t="s">
        <v>502</v>
      </c>
      <c r="C15" s="389" t="s">
        <v>571</v>
      </c>
      <c r="D15" s="390">
        <v>28</v>
      </c>
      <c r="E15" s="658"/>
      <c r="F15" s="195">
        <v>2</v>
      </c>
      <c r="G15" s="388" t="s">
        <v>444</v>
      </c>
      <c r="H15" s="389" t="s">
        <v>571</v>
      </c>
      <c r="I15" s="390">
        <v>14.26</v>
      </c>
      <c r="J15" s="659"/>
      <c r="K15" s="395">
        <v>3</v>
      </c>
      <c r="L15" s="396" t="s">
        <v>648</v>
      </c>
      <c r="M15" s="397" t="s">
        <v>571</v>
      </c>
      <c r="N15" s="398">
        <v>19.920000000000002</v>
      </c>
      <c r="O15" s="660"/>
    </row>
    <row r="16" spans="1:16" ht="18" x14ac:dyDescent="0.25">
      <c r="A16" s="195">
        <v>1</v>
      </c>
      <c r="B16" s="388" t="s">
        <v>505</v>
      </c>
      <c r="C16" s="389" t="s">
        <v>571</v>
      </c>
      <c r="D16" s="390">
        <v>11.35</v>
      </c>
      <c r="E16" s="658"/>
      <c r="F16" s="195">
        <v>2</v>
      </c>
      <c r="G16" s="388" t="s">
        <v>447</v>
      </c>
      <c r="H16" s="389" t="s">
        <v>571</v>
      </c>
      <c r="I16" s="390">
        <v>30.56</v>
      </c>
      <c r="J16" s="659"/>
      <c r="K16" s="391">
        <v>3</v>
      </c>
      <c r="L16" s="392" t="s">
        <v>945</v>
      </c>
      <c r="M16" s="393" t="s">
        <v>571</v>
      </c>
      <c r="N16" s="394">
        <v>66.680000000000007</v>
      </c>
      <c r="O16" s="660"/>
    </row>
    <row r="17" spans="1:15" ht="18" x14ac:dyDescent="0.25">
      <c r="A17" s="195">
        <v>1</v>
      </c>
      <c r="B17" s="388" t="s">
        <v>508</v>
      </c>
      <c r="C17" s="389" t="s">
        <v>571</v>
      </c>
      <c r="D17" s="390">
        <v>24.76</v>
      </c>
      <c r="E17" s="658"/>
      <c r="F17" s="195">
        <v>2</v>
      </c>
      <c r="G17" s="388" t="s">
        <v>448</v>
      </c>
      <c r="H17" s="389" t="s">
        <v>571</v>
      </c>
      <c r="I17" s="390">
        <v>30.56</v>
      </c>
      <c r="J17" s="659"/>
      <c r="K17" s="395">
        <v>3</v>
      </c>
      <c r="L17" s="396" t="s">
        <v>379</v>
      </c>
      <c r="M17" s="397" t="s">
        <v>571</v>
      </c>
      <c r="N17" s="398">
        <v>31.06</v>
      </c>
      <c r="O17" s="660"/>
    </row>
    <row r="18" spans="1:15" ht="18" x14ac:dyDescent="0.25">
      <c r="A18" s="195">
        <v>1</v>
      </c>
      <c r="B18" s="388" t="s">
        <v>513</v>
      </c>
      <c r="C18" s="389" t="s">
        <v>571</v>
      </c>
      <c r="D18" s="390">
        <v>13.6</v>
      </c>
      <c r="E18" s="658"/>
      <c r="F18" s="195">
        <v>2</v>
      </c>
      <c r="G18" s="388" t="s">
        <v>457</v>
      </c>
      <c r="H18" s="389" t="s">
        <v>571</v>
      </c>
      <c r="I18" s="390">
        <v>13.6</v>
      </c>
      <c r="J18" s="659"/>
      <c r="K18" s="391">
        <v>3</v>
      </c>
      <c r="L18" s="392" t="s">
        <v>381</v>
      </c>
      <c r="M18" s="393" t="s">
        <v>571</v>
      </c>
      <c r="N18" s="394">
        <v>19.399999999999999</v>
      </c>
      <c r="O18" s="660"/>
    </row>
    <row r="19" spans="1:15" ht="18" x14ac:dyDescent="0.25">
      <c r="A19" s="195">
        <v>1</v>
      </c>
      <c r="B19" s="388" t="s">
        <v>515</v>
      </c>
      <c r="C19" s="389" t="s">
        <v>571</v>
      </c>
      <c r="D19" s="390">
        <v>42.36</v>
      </c>
      <c r="E19" s="658"/>
      <c r="F19" s="195">
        <v>2</v>
      </c>
      <c r="G19" s="388" t="s">
        <v>458</v>
      </c>
      <c r="H19" s="389" t="s">
        <v>571</v>
      </c>
      <c r="I19" s="390">
        <v>27.84</v>
      </c>
      <c r="J19" s="659"/>
      <c r="K19" s="395">
        <v>3</v>
      </c>
      <c r="L19" s="396" t="s">
        <v>382</v>
      </c>
      <c r="M19" s="397" t="s">
        <v>571</v>
      </c>
      <c r="N19" s="398">
        <v>76.08</v>
      </c>
      <c r="O19" s="660"/>
    </row>
    <row r="20" spans="1:15" ht="18" x14ac:dyDescent="0.25">
      <c r="A20" s="195">
        <v>1</v>
      </c>
      <c r="B20" s="388" t="s">
        <v>543</v>
      </c>
      <c r="C20" s="389" t="s">
        <v>571</v>
      </c>
      <c r="D20" s="390">
        <v>17.84</v>
      </c>
      <c r="E20" s="658"/>
      <c r="F20" s="195">
        <v>2</v>
      </c>
      <c r="G20" s="388" t="s">
        <v>461</v>
      </c>
      <c r="H20" s="389" t="s">
        <v>571</v>
      </c>
      <c r="I20" s="390">
        <v>94.36</v>
      </c>
      <c r="J20" s="659"/>
      <c r="K20" s="391">
        <v>3</v>
      </c>
      <c r="L20" s="392" t="s">
        <v>383</v>
      </c>
      <c r="M20" s="393" t="s">
        <v>571</v>
      </c>
      <c r="N20" s="394">
        <v>8.7200000000000006</v>
      </c>
      <c r="O20" s="660"/>
    </row>
    <row r="21" spans="1:15" ht="18" x14ac:dyDescent="0.25">
      <c r="A21" s="195">
        <v>1</v>
      </c>
      <c r="B21" s="388" t="s">
        <v>544</v>
      </c>
      <c r="C21" s="389" t="s">
        <v>571</v>
      </c>
      <c r="D21" s="390">
        <v>94.68</v>
      </c>
      <c r="E21" s="658"/>
      <c r="F21" s="195">
        <v>2</v>
      </c>
      <c r="G21" s="388" t="s">
        <v>465</v>
      </c>
      <c r="H21" s="389" t="s">
        <v>571</v>
      </c>
      <c r="I21" s="390">
        <v>17.440000000000001</v>
      </c>
      <c r="J21" s="659"/>
      <c r="K21" s="395">
        <v>3</v>
      </c>
      <c r="L21" s="396" t="s">
        <v>385</v>
      </c>
      <c r="M21" s="397" t="s">
        <v>571</v>
      </c>
      <c r="N21" s="398">
        <v>3.8</v>
      </c>
      <c r="O21" s="660"/>
    </row>
    <row r="22" spans="1:15" ht="18" x14ac:dyDescent="0.25">
      <c r="A22" s="195">
        <v>1</v>
      </c>
      <c r="B22" s="388" t="s">
        <v>549</v>
      </c>
      <c r="C22" s="389" t="s">
        <v>571</v>
      </c>
      <c r="D22" s="390">
        <v>17.440000000000001</v>
      </c>
      <c r="E22" s="658"/>
      <c r="F22" s="195">
        <v>2</v>
      </c>
      <c r="G22" s="388" t="s">
        <v>468</v>
      </c>
      <c r="H22" s="389" t="s">
        <v>571</v>
      </c>
      <c r="I22" s="390">
        <v>94.36</v>
      </c>
      <c r="J22" s="659"/>
      <c r="K22" s="391">
        <v>3</v>
      </c>
      <c r="L22" s="392" t="s">
        <v>390</v>
      </c>
      <c r="M22" s="393" t="s">
        <v>571</v>
      </c>
      <c r="N22" s="394">
        <v>9.64</v>
      </c>
      <c r="O22" s="660"/>
    </row>
    <row r="23" spans="1:15" ht="18" x14ac:dyDescent="0.25">
      <c r="A23" s="195">
        <v>1</v>
      </c>
      <c r="B23" s="388" t="s">
        <v>550</v>
      </c>
      <c r="C23" s="389" t="s">
        <v>571</v>
      </c>
      <c r="D23" s="390">
        <v>94.32</v>
      </c>
      <c r="E23" s="658"/>
      <c r="F23" s="195">
        <v>2</v>
      </c>
      <c r="G23" s="388" t="s">
        <v>469</v>
      </c>
      <c r="H23" s="389" t="s">
        <v>571</v>
      </c>
      <c r="I23" s="390">
        <v>8.32</v>
      </c>
      <c r="J23" s="659"/>
      <c r="K23" s="395">
        <v>3</v>
      </c>
      <c r="L23" s="396" t="s">
        <v>392</v>
      </c>
      <c r="M23" s="397" t="s">
        <v>571</v>
      </c>
      <c r="N23" s="398">
        <v>6.78</v>
      </c>
      <c r="O23" s="660"/>
    </row>
    <row r="24" spans="1:15" ht="18" x14ac:dyDescent="0.25">
      <c r="A24" s="195">
        <v>1</v>
      </c>
      <c r="B24" s="388" t="s">
        <v>553</v>
      </c>
      <c r="C24" s="389" t="s">
        <v>571</v>
      </c>
      <c r="D24" s="390">
        <v>42.589999999999996</v>
      </c>
      <c r="E24" s="658"/>
      <c r="F24" s="195">
        <v>2</v>
      </c>
      <c r="G24" s="388" t="s">
        <v>471</v>
      </c>
      <c r="H24" s="389" t="s">
        <v>571</v>
      </c>
      <c r="I24" s="390">
        <v>5.12</v>
      </c>
      <c r="J24" s="659"/>
      <c r="K24" s="399"/>
      <c r="L24" s="396" t="s">
        <v>622</v>
      </c>
      <c r="M24" s="397" t="s">
        <v>571</v>
      </c>
      <c r="N24" s="399">
        <f>SUM(N8:N23)</f>
        <v>374.22999999999996</v>
      </c>
      <c r="O24" s="660"/>
    </row>
    <row r="25" spans="1:15" ht="18" x14ac:dyDescent="0.25">
      <c r="A25" s="195"/>
      <c r="B25" s="388" t="s">
        <v>622</v>
      </c>
      <c r="C25" s="389" t="s">
        <v>571</v>
      </c>
      <c r="D25" s="389">
        <f>SUM(D8:D24)</f>
        <v>517.78</v>
      </c>
      <c r="E25" s="658"/>
      <c r="F25" s="195">
        <v>2</v>
      </c>
      <c r="G25" s="388" t="s">
        <v>472</v>
      </c>
      <c r="H25" s="389" t="s">
        <v>571</v>
      </c>
      <c r="I25" s="390">
        <v>13.04</v>
      </c>
      <c r="J25" s="659"/>
      <c r="K25" s="400"/>
      <c r="L25" s="400"/>
      <c r="M25" s="400"/>
      <c r="N25" s="400"/>
      <c r="O25" s="660"/>
    </row>
    <row r="26" spans="1:15" ht="18" x14ac:dyDescent="0.25">
      <c r="A26" s="400"/>
      <c r="B26" s="400"/>
      <c r="C26" s="400"/>
      <c r="D26" s="400"/>
      <c r="E26" s="658"/>
      <c r="F26" s="195">
        <v>2</v>
      </c>
      <c r="G26" s="388" t="s">
        <v>474</v>
      </c>
      <c r="H26" s="389" t="s">
        <v>571</v>
      </c>
      <c r="I26" s="390">
        <v>20.72</v>
      </c>
      <c r="J26" s="659"/>
      <c r="K26" s="400"/>
      <c r="L26" s="400"/>
      <c r="M26" s="400"/>
      <c r="N26" s="400"/>
      <c r="O26" s="660"/>
    </row>
    <row r="27" spans="1:15" ht="18" x14ac:dyDescent="0.25">
      <c r="A27" s="400"/>
      <c r="B27" s="400"/>
      <c r="C27" s="400"/>
      <c r="D27" s="400"/>
      <c r="E27" s="658"/>
      <c r="F27" s="195">
        <v>2</v>
      </c>
      <c r="G27" s="388" t="s">
        <v>478</v>
      </c>
      <c r="H27" s="389" t="s">
        <v>571</v>
      </c>
      <c r="I27" s="390">
        <v>6.8</v>
      </c>
      <c r="J27" s="659"/>
      <c r="K27" s="400"/>
      <c r="L27" s="400"/>
      <c r="M27" s="400"/>
      <c r="N27" s="400"/>
      <c r="O27" s="660"/>
    </row>
    <row r="28" spans="1:15" ht="18" x14ac:dyDescent="0.25">
      <c r="A28" s="400"/>
      <c r="B28" s="400"/>
      <c r="C28" s="400"/>
      <c r="D28" s="400"/>
      <c r="E28" s="658"/>
      <c r="F28" s="401"/>
      <c r="G28" s="402" t="s">
        <v>622</v>
      </c>
      <c r="H28" s="403" t="s">
        <v>571</v>
      </c>
      <c r="I28" s="404">
        <f>SUM(I8:I27)</f>
        <v>591.95000000000005</v>
      </c>
      <c r="J28" s="659"/>
      <c r="K28" s="400"/>
      <c r="L28" s="400"/>
      <c r="M28" s="400"/>
      <c r="N28" s="400"/>
      <c r="O28" s="660"/>
    </row>
    <row r="29" spans="1:15" x14ac:dyDescent="0.25">
      <c r="A29" s="400"/>
      <c r="B29" s="400"/>
      <c r="C29" s="400"/>
      <c r="D29" s="400"/>
      <c r="E29" s="400"/>
      <c r="F29" s="400"/>
      <c r="G29" s="400"/>
      <c r="H29" s="400"/>
      <c r="I29" s="400"/>
      <c r="J29" s="400"/>
      <c r="K29" s="400"/>
      <c r="L29" s="400"/>
      <c r="M29" s="400"/>
      <c r="N29" s="400"/>
      <c r="O29" s="400"/>
    </row>
    <row r="32" spans="1:15" x14ac:dyDescent="0.25">
      <c r="B32">
        <v>13</v>
      </c>
      <c r="C32">
        <f>3.64*4</f>
        <v>14.56</v>
      </c>
    </row>
    <row r="33" spans="2:3" x14ac:dyDescent="0.25">
      <c r="B33">
        <v>15</v>
      </c>
      <c r="C33">
        <f>3.64*4</f>
        <v>14.56</v>
      </c>
    </row>
  </sheetData>
  <mergeCells count="13">
    <mergeCell ref="A1:O1"/>
    <mergeCell ref="A6:O6"/>
    <mergeCell ref="E7:E28"/>
    <mergeCell ref="J7:J28"/>
    <mergeCell ref="O7:O28"/>
    <mergeCell ref="L5:M5"/>
    <mergeCell ref="C5:K5"/>
    <mergeCell ref="L2:M2"/>
    <mergeCell ref="L3:M3"/>
    <mergeCell ref="L4:M4"/>
    <mergeCell ref="C2:K2"/>
    <mergeCell ref="C3:K3"/>
    <mergeCell ref="C4:K4"/>
  </mergeCells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4"/>
  <sheetViews>
    <sheetView workbookViewId="0">
      <selection sqref="A1:O1"/>
    </sheetView>
  </sheetViews>
  <sheetFormatPr defaultRowHeight="13.2" x14ac:dyDescent="0.25"/>
  <cols>
    <col min="5" max="5" width="2.88671875" customWidth="1"/>
    <col min="6" max="6" width="7.6640625" customWidth="1"/>
    <col min="7" max="7" width="10.109375" customWidth="1"/>
    <col min="10" max="10" width="4.109375" customWidth="1"/>
    <col min="11" max="11" width="7.6640625" customWidth="1"/>
    <col min="12" max="12" width="10.44140625" customWidth="1"/>
  </cols>
  <sheetData>
    <row r="1" spans="1:16" ht="18" x14ac:dyDescent="0.25">
      <c r="A1" s="626" t="s">
        <v>579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6" s="197" customFormat="1" ht="18" customHeight="1" x14ac:dyDescent="0.25">
      <c r="A2" s="173" t="s">
        <v>580</v>
      </c>
      <c r="B2" s="173" t="s">
        <v>937</v>
      </c>
      <c r="C2" s="597" t="s">
        <v>581</v>
      </c>
      <c r="D2" s="597"/>
      <c r="E2" s="597"/>
      <c r="F2" s="597"/>
      <c r="G2" s="597"/>
      <c r="H2" s="597"/>
      <c r="I2" s="650" t="s">
        <v>582</v>
      </c>
      <c r="J2" s="650"/>
      <c r="K2" s="650"/>
      <c r="L2" s="650"/>
      <c r="M2" s="650"/>
      <c r="N2" s="356" t="s">
        <v>583</v>
      </c>
      <c r="O2" s="356" t="s">
        <v>584</v>
      </c>
    </row>
    <row r="3" spans="1:16" ht="71.400000000000006" customHeight="1" x14ac:dyDescent="0.25">
      <c r="A3" s="355">
        <v>1</v>
      </c>
      <c r="B3" s="355">
        <v>20</v>
      </c>
      <c r="C3" s="611" t="s">
        <v>939</v>
      </c>
      <c r="D3" s="611"/>
      <c r="E3" s="611"/>
      <c r="F3" s="611"/>
      <c r="G3" s="611"/>
      <c r="H3" s="611"/>
      <c r="I3" s="579" t="s">
        <v>949</v>
      </c>
      <c r="J3" s="579"/>
      <c r="K3" s="579"/>
      <c r="L3" s="579"/>
      <c r="M3" s="579"/>
      <c r="N3" s="356" t="s">
        <v>807</v>
      </c>
      <c r="O3" s="356">
        <f>D34</f>
        <v>1.79</v>
      </c>
    </row>
    <row r="4" spans="1:16" ht="71.400000000000006" customHeight="1" x14ac:dyDescent="0.25">
      <c r="A4" s="379">
        <v>2</v>
      </c>
      <c r="B4" s="379">
        <v>37</v>
      </c>
      <c r="C4" s="667" t="s">
        <v>939</v>
      </c>
      <c r="D4" s="667"/>
      <c r="E4" s="667"/>
      <c r="F4" s="667"/>
      <c r="G4" s="667"/>
      <c r="H4" s="667"/>
      <c r="I4" s="667" t="s">
        <v>950</v>
      </c>
      <c r="J4" s="667"/>
      <c r="K4" s="667"/>
      <c r="L4" s="667"/>
      <c r="M4" s="667"/>
      <c r="N4" s="380" t="s">
        <v>807</v>
      </c>
      <c r="O4" s="380">
        <f>D30</f>
        <v>58.045000000000002</v>
      </c>
    </row>
    <row r="5" spans="1:16" ht="71.400000000000006" customHeight="1" x14ac:dyDescent="0.25">
      <c r="A5" s="355">
        <v>3</v>
      </c>
      <c r="B5" s="355">
        <v>44</v>
      </c>
      <c r="C5" s="611" t="s">
        <v>939</v>
      </c>
      <c r="D5" s="611"/>
      <c r="E5" s="611"/>
      <c r="F5" s="611"/>
      <c r="G5" s="611"/>
      <c r="H5" s="611"/>
      <c r="I5" s="579" t="s">
        <v>951</v>
      </c>
      <c r="J5" s="579"/>
      <c r="K5" s="579"/>
      <c r="L5" s="579"/>
      <c r="M5" s="579"/>
      <c r="N5" s="356" t="s">
        <v>807</v>
      </c>
      <c r="O5" s="356">
        <f>I21</f>
        <v>15.92</v>
      </c>
    </row>
    <row r="6" spans="1:16" ht="71.400000000000006" customHeight="1" x14ac:dyDescent="0.25">
      <c r="A6" s="379">
        <v>4</v>
      </c>
      <c r="B6" s="379">
        <v>51</v>
      </c>
      <c r="C6" s="667" t="s">
        <v>939</v>
      </c>
      <c r="D6" s="667"/>
      <c r="E6" s="667"/>
      <c r="F6" s="667"/>
      <c r="G6" s="667"/>
      <c r="H6" s="667"/>
      <c r="I6" s="667" t="s">
        <v>952</v>
      </c>
      <c r="J6" s="667"/>
      <c r="K6" s="667"/>
      <c r="L6" s="667"/>
      <c r="M6" s="667"/>
      <c r="N6" s="380" t="s">
        <v>807</v>
      </c>
      <c r="O6" s="380">
        <f>N26</f>
        <v>53.38000000000001</v>
      </c>
    </row>
    <row r="7" spans="1:16" ht="71.400000000000006" customHeight="1" x14ac:dyDescent="0.25">
      <c r="A7" s="355">
        <v>5</v>
      </c>
      <c r="B7" s="355">
        <v>131</v>
      </c>
      <c r="C7" s="611" t="s">
        <v>939</v>
      </c>
      <c r="D7" s="611"/>
      <c r="E7" s="611"/>
      <c r="F7" s="611"/>
      <c r="G7" s="611"/>
      <c r="H7" s="611"/>
      <c r="I7" s="598" t="s">
        <v>950</v>
      </c>
      <c r="J7" s="599"/>
      <c r="K7" s="599"/>
      <c r="L7" s="599"/>
      <c r="M7" s="600"/>
      <c r="N7" s="356" t="s">
        <v>807</v>
      </c>
      <c r="O7" s="356">
        <f>I34</f>
        <v>9.2799999999999994</v>
      </c>
      <c r="P7">
        <v>9.4</v>
      </c>
    </row>
    <row r="8" spans="1:16" ht="71.400000000000006" customHeight="1" x14ac:dyDescent="0.25">
      <c r="A8" s="379">
        <v>6</v>
      </c>
      <c r="B8" s="379">
        <v>138</v>
      </c>
      <c r="C8" s="667" t="s">
        <v>939</v>
      </c>
      <c r="D8" s="667"/>
      <c r="E8" s="667"/>
      <c r="F8" s="667"/>
      <c r="G8" s="667"/>
      <c r="H8" s="667"/>
      <c r="I8" s="667" t="s">
        <v>952</v>
      </c>
      <c r="J8" s="667"/>
      <c r="K8" s="667"/>
      <c r="L8" s="667"/>
      <c r="M8" s="667"/>
      <c r="N8" s="380" t="s">
        <v>807</v>
      </c>
      <c r="O8" s="380">
        <f>N34</f>
        <v>0.42</v>
      </c>
      <c r="P8">
        <v>0.45</v>
      </c>
    </row>
    <row r="9" spans="1:16" ht="16.2" customHeight="1" x14ac:dyDescent="0.25">
      <c r="A9" s="657"/>
      <c r="B9" s="657"/>
      <c r="C9" s="657"/>
      <c r="D9" s="657"/>
      <c r="E9" s="657"/>
      <c r="F9" s="657"/>
      <c r="G9" s="657"/>
      <c r="H9" s="657"/>
      <c r="I9" s="657"/>
      <c r="J9" s="657"/>
      <c r="K9" s="657"/>
      <c r="L9" s="657"/>
      <c r="M9" s="657"/>
      <c r="N9" s="657"/>
      <c r="O9" s="657"/>
    </row>
    <row r="10" spans="1:16" ht="18" x14ac:dyDescent="0.25">
      <c r="A10" s="360" t="s">
        <v>821</v>
      </c>
      <c r="B10" s="361" t="s">
        <v>652</v>
      </c>
      <c r="C10" s="360" t="s">
        <v>583</v>
      </c>
      <c r="D10" s="360" t="s">
        <v>940</v>
      </c>
      <c r="E10" s="670"/>
      <c r="F10" s="362" t="s">
        <v>821</v>
      </c>
      <c r="G10" s="363" t="s">
        <v>652</v>
      </c>
      <c r="H10" s="364" t="s">
        <v>583</v>
      </c>
      <c r="I10" s="365" t="s">
        <v>940</v>
      </c>
      <c r="J10" s="672"/>
      <c r="K10" s="362" t="s">
        <v>821</v>
      </c>
      <c r="L10" s="363" t="s">
        <v>652</v>
      </c>
      <c r="M10" s="364" t="s">
        <v>583</v>
      </c>
      <c r="N10" s="365" t="s">
        <v>940</v>
      </c>
      <c r="O10" s="633"/>
    </row>
    <row r="11" spans="1:16" ht="18" x14ac:dyDescent="0.25">
      <c r="A11" s="366">
        <v>1</v>
      </c>
      <c r="B11" s="367" t="s">
        <v>484</v>
      </c>
      <c r="C11" s="368" t="s">
        <v>807</v>
      </c>
      <c r="D11" s="378">
        <v>3.45</v>
      </c>
      <c r="E11" s="670"/>
      <c r="F11" s="369">
        <v>2</v>
      </c>
      <c r="G11" s="370" t="s">
        <v>444</v>
      </c>
      <c r="H11" s="287" t="s">
        <v>807</v>
      </c>
      <c r="I11" s="376">
        <v>2.31</v>
      </c>
      <c r="J11" s="672"/>
      <c r="K11" s="371">
        <v>3</v>
      </c>
      <c r="L11" s="372" t="s">
        <v>361</v>
      </c>
      <c r="M11" s="373" t="s">
        <v>807</v>
      </c>
      <c r="N11" s="377">
        <v>5.8849999999999998</v>
      </c>
      <c r="O11" s="633"/>
    </row>
    <row r="12" spans="1:16" ht="18" x14ac:dyDescent="0.25">
      <c r="A12" s="366">
        <v>1</v>
      </c>
      <c r="B12" s="367" t="s">
        <v>485</v>
      </c>
      <c r="C12" s="368" t="s">
        <v>807</v>
      </c>
      <c r="D12" s="378">
        <v>2.88</v>
      </c>
      <c r="E12" s="670"/>
      <c r="F12" s="371">
        <v>2</v>
      </c>
      <c r="G12" s="372" t="s">
        <v>480</v>
      </c>
      <c r="H12" s="373" t="s">
        <v>807</v>
      </c>
      <c r="I12" s="377">
        <v>0.6</v>
      </c>
      <c r="J12" s="672"/>
      <c r="K12" s="369">
        <v>3</v>
      </c>
      <c r="L12" s="370" t="s">
        <v>362</v>
      </c>
      <c r="M12" s="287" t="s">
        <v>807</v>
      </c>
      <c r="N12" s="376">
        <v>4.59</v>
      </c>
      <c r="O12" s="633"/>
    </row>
    <row r="13" spans="1:16" ht="18" x14ac:dyDescent="0.25">
      <c r="A13" s="366">
        <v>1</v>
      </c>
      <c r="B13" s="367" t="s">
        <v>487</v>
      </c>
      <c r="C13" s="368" t="s">
        <v>807</v>
      </c>
      <c r="D13" s="378">
        <v>3.93</v>
      </c>
      <c r="E13" s="670"/>
      <c r="F13" s="369">
        <v>2</v>
      </c>
      <c r="G13" s="370" t="s">
        <v>424</v>
      </c>
      <c r="H13" s="287" t="s">
        <v>807</v>
      </c>
      <c r="I13" s="376">
        <v>1.98</v>
      </c>
      <c r="J13" s="672"/>
      <c r="K13" s="371">
        <v>3</v>
      </c>
      <c r="L13" s="372" t="s">
        <v>363</v>
      </c>
      <c r="M13" s="373" t="s">
        <v>807</v>
      </c>
      <c r="N13" s="377">
        <v>2.72</v>
      </c>
      <c r="O13" s="633"/>
    </row>
    <row r="14" spans="1:16" ht="18" x14ac:dyDescent="0.25">
      <c r="A14" s="366">
        <v>1</v>
      </c>
      <c r="B14" s="367" t="s">
        <v>504</v>
      </c>
      <c r="C14" s="368" t="s">
        <v>807</v>
      </c>
      <c r="D14" s="378">
        <v>4.4450000000000003</v>
      </c>
      <c r="E14" s="670"/>
      <c r="F14" s="371">
        <v>2</v>
      </c>
      <c r="G14" s="372" t="s">
        <v>451</v>
      </c>
      <c r="H14" s="373" t="s">
        <v>807</v>
      </c>
      <c r="I14" s="377">
        <v>0.875</v>
      </c>
      <c r="J14" s="672"/>
      <c r="K14" s="369">
        <v>3</v>
      </c>
      <c r="L14" s="370" t="s">
        <v>364</v>
      </c>
      <c r="M14" s="287" t="s">
        <v>807</v>
      </c>
      <c r="N14" s="376">
        <v>1.89</v>
      </c>
      <c r="O14" s="633"/>
    </row>
    <row r="15" spans="1:16" ht="18" x14ac:dyDescent="0.25">
      <c r="A15" s="366">
        <v>1</v>
      </c>
      <c r="B15" s="367" t="s">
        <v>507</v>
      </c>
      <c r="C15" s="368" t="s">
        <v>807</v>
      </c>
      <c r="D15" s="378">
        <v>0.76</v>
      </c>
      <c r="E15" s="670"/>
      <c r="F15" s="369">
        <v>2</v>
      </c>
      <c r="G15" s="370" t="s">
        <v>455</v>
      </c>
      <c r="H15" s="287" t="s">
        <v>807</v>
      </c>
      <c r="I15" s="376">
        <v>2.0750000000000002</v>
      </c>
      <c r="J15" s="672"/>
      <c r="K15" s="369">
        <v>3</v>
      </c>
      <c r="L15" s="370" t="s">
        <v>395</v>
      </c>
      <c r="M15" s="287" t="s">
        <v>807</v>
      </c>
      <c r="N15" s="376">
        <v>0.69499999999999995</v>
      </c>
      <c r="O15" s="633"/>
    </row>
    <row r="16" spans="1:16" ht="18" x14ac:dyDescent="0.25">
      <c r="A16" s="366">
        <v>1</v>
      </c>
      <c r="B16" s="367" t="s">
        <v>508</v>
      </c>
      <c r="C16" s="368" t="s">
        <v>807</v>
      </c>
      <c r="D16" s="378">
        <v>4.92</v>
      </c>
      <c r="E16" s="670"/>
      <c r="F16" s="371">
        <v>2</v>
      </c>
      <c r="G16" s="372" t="s">
        <v>428</v>
      </c>
      <c r="H16" s="373" t="s">
        <v>807</v>
      </c>
      <c r="I16" s="377">
        <v>0.88</v>
      </c>
      <c r="J16" s="672"/>
      <c r="K16" s="371">
        <v>3</v>
      </c>
      <c r="L16" s="372" t="s">
        <v>941</v>
      </c>
      <c r="M16" s="373" t="s">
        <v>807</v>
      </c>
      <c r="N16" s="377">
        <v>2.91</v>
      </c>
      <c r="O16" s="633"/>
    </row>
    <row r="17" spans="1:15" ht="18" x14ac:dyDescent="0.25">
      <c r="A17" s="366">
        <v>1</v>
      </c>
      <c r="B17" s="367" t="s">
        <v>489</v>
      </c>
      <c r="C17" s="368" t="s">
        <v>807</v>
      </c>
      <c r="D17" s="378">
        <v>1.89</v>
      </c>
      <c r="E17" s="670"/>
      <c r="F17" s="369">
        <v>2</v>
      </c>
      <c r="G17" s="370" t="s">
        <v>472</v>
      </c>
      <c r="H17" s="287" t="s">
        <v>807</v>
      </c>
      <c r="I17" s="376">
        <v>0.68</v>
      </c>
      <c r="J17" s="672"/>
      <c r="K17" s="369">
        <v>3</v>
      </c>
      <c r="L17" s="370" t="s">
        <v>377</v>
      </c>
      <c r="M17" s="287" t="s">
        <v>807</v>
      </c>
      <c r="N17" s="376">
        <v>2.1549999999999998</v>
      </c>
      <c r="O17" s="633"/>
    </row>
    <row r="18" spans="1:15" ht="18" x14ac:dyDescent="0.25">
      <c r="A18" s="366">
        <v>1</v>
      </c>
      <c r="B18" s="367" t="s">
        <v>488</v>
      </c>
      <c r="C18" s="368" t="s">
        <v>807</v>
      </c>
      <c r="D18" s="378">
        <v>0.97499999999999998</v>
      </c>
      <c r="E18" s="670"/>
      <c r="F18" s="369">
        <v>2</v>
      </c>
      <c r="G18" s="370" t="s">
        <v>473</v>
      </c>
      <c r="H18" s="287" t="s">
        <v>807</v>
      </c>
      <c r="I18" s="376">
        <v>2.2599999999999998</v>
      </c>
      <c r="J18" s="672"/>
      <c r="K18" s="371">
        <v>3</v>
      </c>
      <c r="L18" s="372" t="s">
        <v>378</v>
      </c>
      <c r="M18" s="373" t="s">
        <v>807</v>
      </c>
      <c r="N18" s="377">
        <v>6.3049999999999997</v>
      </c>
      <c r="O18" s="633"/>
    </row>
    <row r="19" spans="1:15" ht="18" x14ac:dyDescent="0.25">
      <c r="A19" s="366">
        <v>1</v>
      </c>
      <c r="B19" s="367" t="s">
        <v>517</v>
      </c>
      <c r="C19" s="368" t="s">
        <v>807</v>
      </c>
      <c r="D19" s="378">
        <f>6.25+0.46</f>
        <v>6.71</v>
      </c>
      <c r="E19" s="670"/>
      <c r="F19" s="371">
        <v>2</v>
      </c>
      <c r="G19" s="372" t="s">
        <v>755</v>
      </c>
      <c r="H19" s="373" t="s">
        <v>807</v>
      </c>
      <c r="I19" s="377">
        <v>2.9</v>
      </c>
      <c r="J19" s="672"/>
      <c r="K19" s="369">
        <v>3</v>
      </c>
      <c r="L19" s="370" t="s">
        <v>371</v>
      </c>
      <c r="M19" s="287" t="s">
        <v>807</v>
      </c>
      <c r="N19" s="376">
        <f>5.2+0.895</f>
        <v>6.0950000000000006</v>
      </c>
      <c r="O19" s="633"/>
    </row>
    <row r="20" spans="1:15" ht="18" x14ac:dyDescent="0.25">
      <c r="A20" s="366">
        <v>1</v>
      </c>
      <c r="B20" s="367" t="s">
        <v>519</v>
      </c>
      <c r="C20" s="368" t="s">
        <v>807</v>
      </c>
      <c r="D20" s="378">
        <v>2.04</v>
      </c>
      <c r="E20" s="670"/>
      <c r="F20" s="369">
        <v>2</v>
      </c>
      <c r="G20" s="370" t="s">
        <v>469</v>
      </c>
      <c r="H20" s="287" t="s">
        <v>807</v>
      </c>
      <c r="I20" s="376">
        <v>1.36</v>
      </c>
      <c r="J20" s="672"/>
      <c r="K20" s="371">
        <v>3</v>
      </c>
      <c r="L20" s="372" t="s">
        <v>851</v>
      </c>
      <c r="M20" s="373" t="s">
        <v>807</v>
      </c>
      <c r="N20" s="377">
        <v>2.2000000000000002</v>
      </c>
      <c r="O20" s="633"/>
    </row>
    <row r="21" spans="1:15" ht="18" x14ac:dyDescent="0.25">
      <c r="A21" s="366">
        <v>1</v>
      </c>
      <c r="B21" s="367" t="s">
        <v>516</v>
      </c>
      <c r="C21" s="368" t="s">
        <v>807</v>
      </c>
      <c r="D21" s="378">
        <f>6.05+5</f>
        <v>11.05</v>
      </c>
      <c r="E21" s="670"/>
      <c r="F21" s="375"/>
      <c r="G21" s="370" t="s">
        <v>622</v>
      </c>
      <c r="H21" s="287" t="s">
        <v>807</v>
      </c>
      <c r="I21" s="375">
        <f>SUM(I11:I20)</f>
        <v>15.92</v>
      </c>
      <c r="J21" s="672"/>
      <c r="K21" s="369">
        <v>3</v>
      </c>
      <c r="L21" s="370" t="s">
        <v>391</v>
      </c>
      <c r="M21" s="287" t="s">
        <v>807</v>
      </c>
      <c r="N21" s="376">
        <v>2.2549999999999999</v>
      </c>
      <c r="O21" s="633"/>
    </row>
    <row r="22" spans="1:15" ht="18" x14ac:dyDescent="0.25">
      <c r="A22" s="366">
        <v>1</v>
      </c>
      <c r="B22" s="367" t="s">
        <v>560</v>
      </c>
      <c r="C22" s="368" t="s">
        <v>807</v>
      </c>
      <c r="D22" s="378">
        <v>1.2</v>
      </c>
      <c r="E22" s="670"/>
      <c r="F22" s="633"/>
      <c r="G22" s="633"/>
      <c r="H22" s="633"/>
      <c r="I22" s="633"/>
      <c r="J22" s="672"/>
      <c r="K22" s="371">
        <v>3</v>
      </c>
      <c r="L22" s="372" t="s">
        <v>385</v>
      </c>
      <c r="M22" s="373" t="s">
        <v>807</v>
      </c>
      <c r="N22" s="377">
        <v>3.875</v>
      </c>
      <c r="O22" s="633"/>
    </row>
    <row r="23" spans="1:15" ht="18" x14ac:dyDescent="0.25">
      <c r="A23" s="366">
        <v>1</v>
      </c>
      <c r="B23" s="367" t="s">
        <v>509</v>
      </c>
      <c r="C23" s="368" t="s">
        <v>807</v>
      </c>
      <c r="D23" s="378">
        <v>5.2</v>
      </c>
      <c r="E23" s="670"/>
      <c r="F23" s="633"/>
      <c r="G23" s="633"/>
      <c r="H23" s="633"/>
      <c r="I23" s="633"/>
      <c r="J23" s="672"/>
      <c r="K23" s="369">
        <v>3</v>
      </c>
      <c r="L23" s="370" t="s">
        <v>383</v>
      </c>
      <c r="M23" s="287" t="s">
        <v>807</v>
      </c>
      <c r="N23" s="376">
        <v>2.97</v>
      </c>
      <c r="O23" s="633"/>
    </row>
    <row r="24" spans="1:15" ht="18" x14ac:dyDescent="0.25">
      <c r="A24" s="366">
        <v>1</v>
      </c>
      <c r="B24" s="367" t="s">
        <v>541</v>
      </c>
      <c r="C24" s="368" t="s">
        <v>807</v>
      </c>
      <c r="D24" s="378">
        <v>0.79500000000000004</v>
      </c>
      <c r="E24" s="670"/>
      <c r="F24" s="633"/>
      <c r="G24" s="633"/>
      <c r="H24" s="633"/>
      <c r="I24" s="633"/>
      <c r="J24" s="672"/>
      <c r="K24" s="371">
        <v>3</v>
      </c>
      <c r="L24" s="372" t="s">
        <v>392</v>
      </c>
      <c r="M24" s="373" t="s">
        <v>807</v>
      </c>
      <c r="N24" s="377">
        <v>3.6349999999999998</v>
      </c>
      <c r="O24" s="633"/>
    </row>
    <row r="25" spans="1:15" ht="18" x14ac:dyDescent="0.25">
      <c r="A25" s="366">
        <v>1</v>
      </c>
      <c r="B25" s="367" t="s">
        <v>553</v>
      </c>
      <c r="C25" s="368" t="s">
        <v>807</v>
      </c>
      <c r="D25" s="378">
        <v>1.2</v>
      </c>
      <c r="E25" s="670"/>
      <c r="F25" s="633"/>
      <c r="G25" s="633"/>
      <c r="H25" s="633"/>
      <c r="I25" s="633"/>
      <c r="J25" s="672"/>
      <c r="K25" s="369">
        <v>3</v>
      </c>
      <c r="L25" s="370" t="s">
        <v>371</v>
      </c>
      <c r="M25" s="287" t="s">
        <v>807</v>
      </c>
      <c r="N25" s="376">
        <v>5.2</v>
      </c>
      <c r="O25" s="633"/>
    </row>
    <row r="26" spans="1:15" ht="18" x14ac:dyDescent="0.25">
      <c r="A26" s="366">
        <v>1</v>
      </c>
      <c r="B26" s="367" t="s">
        <v>555</v>
      </c>
      <c r="C26" s="368" t="s">
        <v>807</v>
      </c>
      <c r="D26" s="378">
        <v>2.2650000000000001</v>
      </c>
      <c r="E26" s="670"/>
      <c r="F26" s="633"/>
      <c r="G26" s="633"/>
      <c r="H26" s="633"/>
      <c r="I26" s="633"/>
      <c r="J26" s="672"/>
      <c r="K26" s="375"/>
      <c r="L26" s="370" t="s">
        <v>622</v>
      </c>
      <c r="M26" s="287" t="s">
        <v>807</v>
      </c>
      <c r="N26" s="375">
        <f>SUM(N11:N25)</f>
        <v>53.38000000000001</v>
      </c>
      <c r="O26" s="633"/>
    </row>
    <row r="27" spans="1:15" ht="18" x14ac:dyDescent="0.25">
      <c r="A27" s="366">
        <v>1</v>
      </c>
      <c r="B27" s="367" t="s">
        <v>539</v>
      </c>
      <c r="C27" s="368" t="s">
        <v>807</v>
      </c>
      <c r="D27" s="378">
        <v>1.3</v>
      </c>
      <c r="E27" s="670"/>
      <c r="F27" s="633"/>
      <c r="G27" s="633"/>
      <c r="H27" s="633"/>
      <c r="I27" s="633"/>
      <c r="J27" s="672"/>
      <c r="K27" s="670"/>
      <c r="L27" s="670"/>
      <c r="M27" s="670"/>
      <c r="N27" s="670"/>
      <c r="O27" s="633"/>
    </row>
    <row r="28" spans="1:15" ht="18" x14ac:dyDescent="0.25">
      <c r="A28" s="366">
        <v>1</v>
      </c>
      <c r="B28" s="367" t="s">
        <v>537</v>
      </c>
      <c r="C28" s="368" t="s">
        <v>807</v>
      </c>
      <c r="D28" s="378">
        <v>0.88500000000000001</v>
      </c>
      <c r="E28" s="670"/>
      <c r="F28" s="633"/>
      <c r="G28" s="633"/>
      <c r="H28" s="633"/>
      <c r="I28" s="633"/>
      <c r="J28" s="672"/>
      <c r="K28" s="670"/>
      <c r="L28" s="670"/>
      <c r="M28" s="670"/>
      <c r="N28" s="670"/>
      <c r="O28" s="633"/>
    </row>
    <row r="29" spans="1:15" ht="18" x14ac:dyDescent="0.25">
      <c r="A29" s="366">
        <v>1</v>
      </c>
      <c r="B29" s="367" t="s">
        <v>540</v>
      </c>
      <c r="C29" s="368" t="s">
        <v>807</v>
      </c>
      <c r="D29" s="378">
        <v>2.15</v>
      </c>
      <c r="E29" s="670"/>
      <c r="F29" s="633"/>
      <c r="G29" s="633"/>
      <c r="H29" s="633"/>
      <c r="I29" s="633"/>
      <c r="J29" s="672"/>
      <c r="K29" s="670"/>
      <c r="L29" s="670"/>
      <c r="M29" s="670"/>
      <c r="N29" s="670"/>
      <c r="O29" s="633"/>
    </row>
    <row r="30" spans="1:15" ht="18" x14ac:dyDescent="0.25">
      <c r="A30" s="366"/>
      <c r="B30" s="367" t="s">
        <v>622</v>
      </c>
      <c r="C30" s="368" t="s">
        <v>807</v>
      </c>
      <c r="D30" s="368">
        <f>SUM(D11:D29)</f>
        <v>58.045000000000002</v>
      </c>
      <c r="E30" s="670"/>
      <c r="F30" s="633"/>
      <c r="G30" s="633"/>
      <c r="H30" s="633"/>
      <c r="I30" s="633"/>
      <c r="J30" s="672"/>
      <c r="K30" s="670"/>
      <c r="L30" s="670"/>
      <c r="M30" s="670"/>
      <c r="N30" s="670"/>
      <c r="O30" s="633"/>
    </row>
    <row r="31" spans="1:15" ht="13.2" customHeight="1" x14ac:dyDescent="0.25">
      <c r="A31" s="669"/>
      <c r="B31" s="669"/>
      <c r="C31" s="669"/>
      <c r="D31" s="669"/>
      <c r="E31" s="670"/>
      <c r="F31" s="668"/>
      <c r="G31" s="668"/>
      <c r="H31" s="668"/>
      <c r="I31" s="668"/>
      <c r="J31" s="672"/>
      <c r="K31" s="671"/>
      <c r="L31" s="671"/>
      <c r="M31" s="671"/>
      <c r="N31" s="671"/>
      <c r="O31" s="633"/>
    </row>
    <row r="32" spans="1:15" ht="18" x14ac:dyDescent="0.25">
      <c r="A32" s="362" t="s">
        <v>821</v>
      </c>
      <c r="B32" s="363" t="s">
        <v>652</v>
      </c>
      <c r="C32" s="364" t="s">
        <v>583</v>
      </c>
      <c r="D32" s="365" t="s">
        <v>940</v>
      </c>
      <c r="E32" s="670"/>
      <c r="F32" s="362" t="s">
        <v>821</v>
      </c>
      <c r="G32" s="363" t="s">
        <v>652</v>
      </c>
      <c r="H32" s="364" t="s">
        <v>583</v>
      </c>
      <c r="I32" s="365" t="s">
        <v>940</v>
      </c>
      <c r="J32" s="672"/>
      <c r="K32" s="362" t="s">
        <v>821</v>
      </c>
      <c r="L32" s="363" t="s">
        <v>652</v>
      </c>
      <c r="M32" s="364" t="s">
        <v>583</v>
      </c>
      <c r="N32" s="365" t="s">
        <v>940</v>
      </c>
      <c r="O32" s="633"/>
    </row>
    <row r="33" spans="1:15" ht="36" x14ac:dyDescent="0.25">
      <c r="A33" s="371">
        <v>-1</v>
      </c>
      <c r="B33" s="372" t="s">
        <v>942</v>
      </c>
      <c r="C33" s="373" t="s">
        <v>807</v>
      </c>
      <c r="D33" s="374">
        <v>1.79</v>
      </c>
      <c r="E33" s="670"/>
      <c r="F33" s="369">
        <v>1</v>
      </c>
      <c r="G33" s="372" t="s">
        <v>556</v>
      </c>
      <c r="H33" s="373" t="s">
        <v>807</v>
      </c>
      <c r="I33" s="374">
        <v>9.2799999999999994</v>
      </c>
      <c r="J33" s="672"/>
      <c r="K33" s="369">
        <v>3</v>
      </c>
      <c r="L33" s="372" t="s">
        <v>365</v>
      </c>
      <c r="M33" s="373" t="s">
        <v>807</v>
      </c>
      <c r="N33" s="374">
        <v>0.42</v>
      </c>
      <c r="O33" s="633"/>
    </row>
    <row r="34" spans="1:15" ht="18" x14ac:dyDescent="0.25">
      <c r="A34" s="375"/>
      <c r="B34" s="370" t="s">
        <v>622</v>
      </c>
      <c r="C34" s="287" t="s">
        <v>807</v>
      </c>
      <c r="D34" s="375">
        <f>D33</f>
        <v>1.79</v>
      </c>
      <c r="E34" s="670"/>
      <c r="F34" s="375"/>
      <c r="G34" s="370" t="s">
        <v>622</v>
      </c>
      <c r="H34" s="287" t="s">
        <v>807</v>
      </c>
      <c r="I34" s="375">
        <f>I33</f>
        <v>9.2799999999999994</v>
      </c>
      <c r="J34" s="672"/>
      <c r="K34" s="375"/>
      <c r="L34" s="370" t="s">
        <v>622</v>
      </c>
      <c r="M34" s="287" t="s">
        <v>807</v>
      </c>
      <c r="N34" s="375">
        <f>N33</f>
        <v>0.42</v>
      </c>
      <c r="O34" s="633"/>
    </row>
  </sheetData>
  <mergeCells count="22">
    <mergeCell ref="I7:M7"/>
    <mergeCell ref="C8:H8"/>
    <mergeCell ref="I8:M8"/>
    <mergeCell ref="K27:N31"/>
    <mergeCell ref="J10:J34"/>
    <mergeCell ref="E10:E34"/>
    <mergeCell ref="I6:M6"/>
    <mergeCell ref="F22:I31"/>
    <mergeCell ref="O10:O34"/>
    <mergeCell ref="A1:O1"/>
    <mergeCell ref="I2:M2"/>
    <mergeCell ref="I3:M3"/>
    <mergeCell ref="I4:M4"/>
    <mergeCell ref="I5:M5"/>
    <mergeCell ref="C2:H2"/>
    <mergeCell ref="C3:H3"/>
    <mergeCell ref="C4:H4"/>
    <mergeCell ref="C5:H5"/>
    <mergeCell ref="C6:H6"/>
    <mergeCell ref="A31:D31"/>
    <mergeCell ref="A9:O9"/>
    <mergeCell ref="C7:H7"/>
  </mergeCells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10"/>
  <sheetViews>
    <sheetView workbookViewId="0">
      <selection sqref="A1:F1"/>
    </sheetView>
  </sheetViews>
  <sheetFormatPr defaultRowHeight="15.6" x14ac:dyDescent="0.3"/>
  <cols>
    <col min="1" max="1" width="7.109375" style="318" customWidth="1"/>
    <col min="2" max="2" width="5" style="318" customWidth="1"/>
    <col min="3" max="3" width="39.109375" style="318" customWidth="1"/>
    <col min="4" max="4" width="25" style="318" customWidth="1"/>
    <col min="5" max="5" width="8.77734375" style="318" customWidth="1"/>
    <col min="6" max="6" width="9.44140625" style="318" customWidth="1"/>
    <col min="7" max="16384" width="8.88671875" style="318"/>
  </cols>
  <sheetData>
    <row r="1" spans="1:6" x14ac:dyDescent="0.3">
      <c r="A1" s="673" t="s">
        <v>586</v>
      </c>
      <c r="B1" s="673"/>
      <c r="C1" s="673"/>
      <c r="D1" s="673"/>
      <c r="E1" s="673"/>
      <c r="F1" s="673"/>
    </row>
    <row r="2" spans="1:6" s="359" customFormat="1" x14ac:dyDescent="0.25">
      <c r="A2" s="352" t="s">
        <v>580</v>
      </c>
      <c r="B2" s="353" t="s">
        <v>937</v>
      </c>
      <c r="C2" s="352" t="s">
        <v>789</v>
      </c>
      <c r="D2" s="352" t="s">
        <v>582</v>
      </c>
      <c r="E2" s="352" t="s">
        <v>938</v>
      </c>
      <c r="F2" s="312" t="s">
        <v>584</v>
      </c>
    </row>
    <row r="3" spans="1:6" ht="82.2" customHeight="1" x14ac:dyDescent="0.3">
      <c r="A3" s="352">
        <v>1</v>
      </c>
      <c r="B3" s="353">
        <v>28</v>
      </c>
      <c r="C3" s="354" t="s">
        <v>936</v>
      </c>
      <c r="D3" s="354" t="s">
        <v>946</v>
      </c>
      <c r="E3" s="312" t="s">
        <v>571</v>
      </c>
      <c r="F3" s="313">
        <v>361.26</v>
      </c>
    </row>
    <row r="4" spans="1:6" ht="78" x14ac:dyDescent="0.3">
      <c r="A4" s="352">
        <v>2</v>
      </c>
      <c r="B4" s="353">
        <v>60</v>
      </c>
      <c r="C4" s="354" t="s">
        <v>936</v>
      </c>
      <c r="D4" s="354" t="s">
        <v>946</v>
      </c>
      <c r="E4" s="312" t="s">
        <v>571</v>
      </c>
      <c r="F4" s="313">
        <v>113.26</v>
      </c>
    </row>
    <row r="8" spans="1:6" x14ac:dyDescent="0.3">
      <c r="A8" s="673" t="s">
        <v>586</v>
      </c>
      <c r="B8" s="673"/>
      <c r="C8" s="673"/>
      <c r="D8" s="673"/>
      <c r="E8" s="673"/>
      <c r="F8" s="673"/>
    </row>
    <row r="9" spans="1:6" x14ac:dyDescent="0.3">
      <c r="A9" s="352" t="s">
        <v>580</v>
      </c>
      <c r="B9" s="353" t="s">
        <v>937</v>
      </c>
      <c r="C9" s="352" t="s">
        <v>789</v>
      </c>
      <c r="D9" s="352" t="s">
        <v>582</v>
      </c>
      <c r="E9" s="352" t="s">
        <v>938</v>
      </c>
      <c r="F9" s="312" t="s">
        <v>584</v>
      </c>
    </row>
    <row r="10" spans="1:6" ht="78" x14ac:dyDescent="0.3">
      <c r="A10" s="352">
        <v>1</v>
      </c>
      <c r="B10" s="353">
        <v>60</v>
      </c>
      <c r="C10" s="354" t="s">
        <v>936</v>
      </c>
      <c r="D10" s="358" t="s">
        <v>946</v>
      </c>
      <c r="E10" s="312" t="s">
        <v>571</v>
      </c>
      <c r="F10" s="313">
        <v>113.26</v>
      </c>
    </row>
  </sheetData>
  <mergeCells count="2">
    <mergeCell ref="A8:F8"/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E15"/>
  <sheetViews>
    <sheetView workbookViewId="0">
      <selection activeCell="C6" sqref="C6"/>
    </sheetView>
  </sheetViews>
  <sheetFormatPr defaultRowHeight="15.6" x14ac:dyDescent="0.3"/>
  <cols>
    <col min="1" max="1" width="8.88671875" style="318"/>
    <col min="2" max="2" width="11.109375" style="318" bestFit="1" customWidth="1"/>
    <col min="3" max="3" width="17.109375" style="318" customWidth="1"/>
    <col min="4" max="4" width="8.77734375" style="318" customWidth="1"/>
    <col min="5" max="5" width="9.44140625" style="318" customWidth="1"/>
    <col min="6" max="16384" width="8.88671875" style="318"/>
  </cols>
  <sheetData>
    <row r="1" spans="1:5" x14ac:dyDescent="0.3">
      <c r="A1" s="673" t="s">
        <v>586</v>
      </c>
      <c r="B1" s="673"/>
      <c r="C1" s="673"/>
      <c r="D1" s="673"/>
      <c r="E1" s="673"/>
    </row>
    <row r="2" spans="1:5" x14ac:dyDescent="0.3">
      <c r="A2" s="310" t="s">
        <v>580</v>
      </c>
      <c r="B2" s="677" t="s">
        <v>789</v>
      </c>
      <c r="C2" s="678"/>
      <c r="D2" s="311" t="s">
        <v>583</v>
      </c>
      <c r="E2" s="311" t="s">
        <v>584</v>
      </c>
    </row>
    <row r="3" spans="1:5" ht="38.4" customHeight="1" x14ac:dyDescent="0.3">
      <c r="A3" s="310">
        <v>1</v>
      </c>
      <c r="B3" s="679" t="s">
        <v>806</v>
      </c>
      <c r="C3" s="680"/>
      <c r="D3" s="312" t="s">
        <v>571</v>
      </c>
      <c r="E3" s="313">
        <f>C15</f>
        <v>1802.53</v>
      </c>
    </row>
    <row r="4" spans="1:5" x14ac:dyDescent="0.3">
      <c r="A4" s="676"/>
      <c r="B4" s="676"/>
      <c r="C4" s="676"/>
      <c r="D4" s="676"/>
      <c r="E4" s="676"/>
    </row>
    <row r="5" spans="1:5" s="319" customFormat="1" ht="17.399999999999999" customHeight="1" x14ac:dyDescent="0.3">
      <c r="A5" s="317" t="s">
        <v>847</v>
      </c>
      <c r="B5" s="323" t="s">
        <v>848</v>
      </c>
      <c r="C5" s="323" t="s">
        <v>849</v>
      </c>
      <c r="D5" s="674"/>
      <c r="E5" s="675"/>
    </row>
    <row r="6" spans="1:5" x14ac:dyDescent="0.3">
      <c r="A6" s="324">
        <v>1</v>
      </c>
      <c r="B6" s="325" t="s">
        <v>850</v>
      </c>
      <c r="C6" s="326">
        <f>14*2*7.5+3*2*2.5+81</f>
        <v>306</v>
      </c>
      <c r="D6" s="674"/>
      <c r="E6" s="675"/>
    </row>
    <row r="7" spans="1:5" x14ac:dyDescent="0.3">
      <c r="A7" s="324">
        <v>2</v>
      </c>
      <c r="B7" s="325" t="s">
        <v>442</v>
      </c>
      <c r="C7" s="326">
        <f>32*2*7.5</f>
        <v>480</v>
      </c>
      <c r="D7" s="674"/>
      <c r="E7" s="675"/>
    </row>
    <row r="8" spans="1:5" x14ac:dyDescent="0.3">
      <c r="A8" s="324">
        <v>3</v>
      </c>
      <c r="B8" s="325" t="s">
        <v>371</v>
      </c>
      <c r="C8" s="326">
        <f>35*2*7.5+165.26</f>
        <v>690.26</v>
      </c>
      <c r="D8" s="674"/>
      <c r="E8" s="675"/>
    </row>
    <row r="9" spans="1:5" x14ac:dyDescent="0.3">
      <c r="A9" s="324">
        <v>4</v>
      </c>
      <c r="B9" s="325" t="s">
        <v>454</v>
      </c>
      <c r="C9" s="326">
        <f>8*2*2.4</f>
        <v>38.4</v>
      </c>
      <c r="D9" s="674"/>
      <c r="E9" s="675"/>
    </row>
    <row r="10" spans="1:5" x14ac:dyDescent="0.3">
      <c r="A10" s="324">
        <v>5</v>
      </c>
      <c r="B10" s="325" t="s">
        <v>376</v>
      </c>
      <c r="C10" s="326">
        <f>8*2*3.2+5.28</f>
        <v>56.480000000000004</v>
      </c>
      <c r="D10" s="674"/>
      <c r="E10" s="675"/>
    </row>
    <row r="11" spans="1:5" x14ac:dyDescent="0.3">
      <c r="A11" s="324">
        <v>6</v>
      </c>
      <c r="B11" s="325" t="s">
        <v>689</v>
      </c>
      <c r="C11" s="326">
        <f>8*2*3.2+4.91</f>
        <v>56.11</v>
      </c>
      <c r="D11" s="674"/>
      <c r="E11" s="675"/>
    </row>
    <row r="12" spans="1:5" x14ac:dyDescent="0.3">
      <c r="A12" s="324">
        <v>7</v>
      </c>
      <c r="B12" s="325" t="s">
        <v>646</v>
      </c>
      <c r="C12" s="326">
        <f>9*2*3.2+6.26</f>
        <v>63.86</v>
      </c>
      <c r="D12" s="674"/>
      <c r="E12" s="675"/>
    </row>
    <row r="13" spans="1:5" x14ac:dyDescent="0.3">
      <c r="A13" s="324">
        <v>8</v>
      </c>
      <c r="B13" s="325" t="s">
        <v>388</v>
      </c>
      <c r="C13" s="326">
        <f>10*2*2.5+4.95</f>
        <v>54.95</v>
      </c>
      <c r="D13" s="674"/>
      <c r="E13" s="675"/>
    </row>
    <row r="14" spans="1:5" x14ac:dyDescent="0.3">
      <c r="A14" s="324">
        <v>9</v>
      </c>
      <c r="B14" s="325" t="s">
        <v>393</v>
      </c>
      <c r="C14" s="326">
        <f>8*2*3.2+5.27</f>
        <v>56.47</v>
      </c>
      <c r="D14" s="674"/>
      <c r="E14" s="675"/>
    </row>
    <row r="15" spans="1:5" x14ac:dyDescent="0.3">
      <c r="A15" s="326"/>
      <c r="B15" s="328" t="s">
        <v>622</v>
      </c>
      <c r="C15" s="327">
        <f>SUM(C6:C14)</f>
        <v>1802.53</v>
      </c>
      <c r="D15" s="674"/>
      <c r="E15" s="675"/>
    </row>
  </sheetData>
  <mergeCells count="5">
    <mergeCell ref="D5:E15"/>
    <mergeCell ref="A4:E4"/>
    <mergeCell ref="A1:E1"/>
    <mergeCell ref="B2:C2"/>
    <mergeCell ref="B3:C3"/>
  </mergeCells>
  <pageMargins left="0.7" right="0.7" top="0.75" bottom="0.75" header="0.3" footer="0.3"/>
  <pageSetup paperSize="9" orientation="portrait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G26"/>
  <sheetViews>
    <sheetView workbookViewId="0">
      <selection sqref="A1:G1"/>
    </sheetView>
  </sheetViews>
  <sheetFormatPr defaultRowHeight="15.6" x14ac:dyDescent="0.3"/>
  <cols>
    <col min="1" max="1" width="8.88671875" style="318"/>
    <col min="2" max="2" width="11.109375" style="318" bestFit="1" customWidth="1"/>
    <col min="3" max="3" width="14.5546875" style="318" customWidth="1"/>
    <col min="4" max="4" width="8.77734375" style="318" customWidth="1"/>
    <col min="5" max="5" width="6.44140625" style="318" customWidth="1"/>
    <col min="6" max="6" width="8.77734375" style="318" customWidth="1"/>
    <col min="7" max="7" width="12" style="318" customWidth="1"/>
    <col min="8" max="16384" width="8.88671875" style="318"/>
  </cols>
  <sheetData>
    <row r="1" spans="1:7" x14ac:dyDescent="0.3">
      <c r="A1" s="673" t="s">
        <v>586</v>
      </c>
      <c r="B1" s="673"/>
      <c r="C1" s="673"/>
      <c r="D1" s="673"/>
      <c r="E1" s="673"/>
      <c r="F1" s="673"/>
      <c r="G1" s="673"/>
    </row>
    <row r="2" spans="1:7" ht="15.6" customHeight="1" x14ac:dyDescent="0.3">
      <c r="A2" s="330" t="s">
        <v>580</v>
      </c>
      <c r="B2" s="677" t="s">
        <v>789</v>
      </c>
      <c r="C2" s="678"/>
      <c r="D2" s="678"/>
      <c r="E2" s="681"/>
      <c r="F2" s="311" t="s">
        <v>583</v>
      </c>
      <c r="G2" s="311" t="s">
        <v>584</v>
      </c>
    </row>
    <row r="3" spans="1:7" ht="18.600000000000001" customHeight="1" x14ac:dyDescent="0.3">
      <c r="A3" s="314">
        <v>1</v>
      </c>
      <c r="B3" s="682" t="s">
        <v>912</v>
      </c>
      <c r="C3" s="683"/>
      <c r="D3" s="683"/>
      <c r="E3" s="684"/>
      <c r="F3" s="315" t="s">
        <v>571</v>
      </c>
      <c r="G3" s="316">
        <f>C26</f>
        <v>396.23999999999995</v>
      </c>
    </row>
    <row r="4" spans="1:7" ht="52.2" customHeight="1" x14ac:dyDescent="0.3">
      <c r="A4" s="330">
        <v>2</v>
      </c>
      <c r="B4" s="679" t="s">
        <v>914</v>
      </c>
      <c r="C4" s="680"/>
      <c r="D4" s="680"/>
      <c r="E4" s="685"/>
      <c r="F4" s="312" t="s">
        <v>571</v>
      </c>
      <c r="G4" s="313">
        <f>G3</f>
        <v>396.23999999999995</v>
      </c>
    </row>
    <row r="5" spans="1:7" ht="17.399999999999999" customHeight="1" x14ac:dyDescent="0.3">
      <c r="A5" s="330">
        <v>3</v>
      </c>
      <c r="B5" s="679" t="s">
        <v>913</v>
      </c>
      <c r="C5" s="680"/>
      <c r="D5" s="680"/>
      <c r="E5" s="685"/>
      <c r="F5" s="312" t="s">
        <v>571</v>
      </c>
      <c r="G5" s="313">
        <f>G26</f>
        <v>214.84999999999997</v>
      </c>
    </row>
    <row r="6" spans="1:7" x14ac:dyDescent="0.3">
      <c r="A6" s="673"/>
      <c r="B6" s="673"/>
      <c r="C6" s="673"/>
      <c r="D6" s="673"/>
      <c r="E6" s="673"/>
      <c r="F6" s="673"/>
      <c r="G6" s="673"/>
    </row>
    <row r="7" spans="1:7" x14ac:dyDescent="0.3">
      <c r="A7" s="673" t="s">
        <v>910</v>
      </c>
      <c r="B7" s="673"/>
      <c r="C7" s="673"/>
      <c r="D7" s="673"/>
      <c r="E7" s="673" t="s">
        <v>911</v>
      </c>
      <c r="F7" s="673"/>
      <c r="G7" s="673"/>
    </row>
    <row r="8" spans="1:7" s="319" customFormat="1" ht="19.8" customHeight="1" x14ac:dyDescent="0.3">
      <c r="A8" s="338" t="s">
        <v>580</v>
      </c>
      <c r="B8" s="323" t="s">
        <v>909</v>
      </c>
      <c r="C8" s="323" t="s">
        <v>849</v>
      </c>
      <c r="D8" s="673"/>
      <c r="E8" s="338" t="s">
        <v>580</v>
      </c>
      <c r="F8" s="323" t="s">
        <v>909</v>
      </c>
      <c r="G8" s="323" t="s">
        <v>849</v>
      </c>
    </row>
    <row r="9" spans="1:7" x14ac:dyDescent="0.3">
      <c r="A9" s="335">
        <v>1</v>
      </c>
      <c r="B9" s="336" t="s">
        <v>488</v>
      </c>
      <c r="C9" s="332">
        <v>16.100000000000001</v>
      </c>
      <c r="D9" s="673"/>
      <c r="E9" s="335">
        <v>1</v>
      </c>
      <c r="F9" s="336" t="s">
        <v>488</v>
      </c>
      <c r="G9" s="332">
        <v>10</v>
      </c>
    </row>
    <row r="10" spans="1:7" x14ac:dyDescent="0.3">
      <c r="A10" s="335">
        <v>2</v>
      </c>
      <c r="B10" s="336" t="s">
        <v>489</v>
      </c>
      <c r="C10" s="332">
        <v>22.09</v>
      </c>
      <c r="D10" s="673"/>
      <c r="E10" s="335">
        <v>2</v>
      </c>
      <c r="F10" s="336" t="s">
        <v>489</v>
      </c>
      <c r="G10" s="332">
        <v>4</v>
      </c>
    </row>
    <row r="11" spans="1:7" x14ac:dyDescent="0.3">
      <c r="A11" s="335">
        <v>3</v>
      </c>
      <c r="B11" s="336" t="s">
        <v>490</v>
      </c>
      <c r="C11" s="332">
        <v>11.36</v>
      </c>
      <c r="D11" s="673"/>
      <c r="E11" s="335">
        <v>3</v>
      </c>
      <c r="F11" s="336" t="s">
        <v>490</v>
      </c>
      <c r="G11" s="332">
        <v>2.04</v>
      </c>
    </row>
    <row r="12" spans="1:7" x14ac:dyDescent="0.3">
      <c r="A12" s="335">
        <v>4</v>
      </c>
      <c r="B12" s="336" t="s">
        <v>491</v>
      </c>
      <c r="C12" s="332">
        <v>22.18</v>
      </c>
      <c r="D12" s="673"/>
      <c r="E12" s="335">
        <v>4</v>
      </c>
      <c r="F12" s="336" t="s">
        <v>491</v>
      </c>
      <c r="G12" s="332">
        <v>17.41</v>
      </c>
    </row>
    <row r="13" spans="1:7" x14ac:dyDescent="0.3">
      <c r="A13" s="335">
        <v>5</v>
      </c>
      <c r="B13" s="336" t="s">
        <v>425</v>
      </c>
      <c r="C13" s="332">
        <v>21.18</v>
      </c>
      <c r="D13" s="673"/>
      <c r="E13" s="335">
        <v>5</v>
      </c>
      <c r="F13" s="336" t="s">
        <v>425</v>
      </c>
      <c r="G13" s="332">
        <v>9.18</v>
      </c>
    </row>
    <row r="14" spans="1:7" x14ac:dyDescent="0.3">
      <c r="A14" s="335">
        <v>6</v>
      </c>
      <c r="B14" s="336" t="s">
        <v>426</v>
      </c>
      <c r="C14" s="332">
        <v>39.82</v>
      </c>
      <c r="D14" s="673"/>
      <c r="E14" s="335">
        <v>6</v>
      </c>
      <c r="F14" s="336" t="s">
        <v>426</v>
      </c>
      <c r="G14" s="332">
        <v>21.74</v>
      </c>
    </row>
    <row r="15" spans="1:7" x14ac:dyDescent="0.3">
      <c r="A15" s="335">
        <v>7</v>
      </c>
      <c r="B15" s="336" t="s">
        <v>428</v>
      </c>
      <c r="C15" s="332">
        <v>24.84</v>
      </c>
      <c r="D15" s="673"/>
      <c r="E15" s="335">
        <v>7</v>
      </c>
      <c r="F15" s="336" t="s">
        <v>428</v>
      </c>
      <c r="G15" s="332">
        <v>8.02</v>
      </c>
    </row>
    <row r="16" spans="1:7" x14ac:dyDescent="0.3">
      <c r="A16" s="335">
        <v>8</v>
      </c>
      <c r="B16" s="336" t="s">
        <v>429</v>
      </c>
      <c r="C16" s="332">
        <v>23.21</v>
      </c>
      <c r="D16" s="673"/>
      <c r="E16" s="335">
        <v>8</v>
      </c>
      <c r="F16" s="336" t="s">
        <v>429</v>
      </c>
      <c r="G16" s="332">
        <v>17.16</v>
      </c>
    </row>
    <row r="17" spans="1:7" x14ac:dyDescent="0.3">
      <c r="A17" s="335">
        <v>9</v>
      </c>
      <c r="B17" s="336" t="s">
        <v>430</v>
      </c>
      <c r="C17" s="332">
        <v>23.94</v>
      </c>
      <c r="D17" s="673"/>
      <c r="E17" s="335">
        <v>9</v>
      </c>
      <c r="F17" s="336" t="s">
        <v>430</v>
      </c>
      <c r="G17" s="332">
        <v>23.94</v>
      </c>
    </row>
    <row r="18" spans="1:7" x14ac:dyDescent="0.3">
      <c r="A18" s="335">
        <v>10</v>
      </c>
      <c r="B18" s="336" t="s">
        <v>431</v>
      </c>
      <c r="C18" s="332">
        <v>26.34</v>
      </c>
      <c r="D18" s="673"/>
      <c r="E18" s="335">
        <v>10</v>
      </c>
      <c r="F18" s="336" t="s">
        <v>431</v>
      </c>
      <c r="G18" s="332">
        <v>26.34</v>
      </c>
    </row>
    <row r="19" spans="1:7" x14ac:dyDescent="0.3">
      <c r="A19" s="335">
        <v>11</v>
      </c>
      <c r="B19" s="336" t="s">
        <v>361</v>
      </c>
      <c r="C19" s="332">
        <v>7.42</v>
      </c>
      <c r="D19" s="673"/>
      <c r="E19" s="335">
        <v>11</v>
      </c>
      <c r="F19" s="336" t="s">
        <v>361</v>
      </c>
      <c r="G19" s="332">
        <v>0</v>
      </c>
    </row>
    <row r="20" spans="1:7" x14ac:dyDescent="0.3">
      <c r="A20" s="335">
        <v>12</v>
      </c>
      <c r="B20" s="336" t="s">
        <v>362</v>
      </c>
      <c r="C20" s="332">
        <v>32.06</v>
      </c>
      <c r="D20" s="673"/>
      <c r="E20" s="335">
        <v>12</v>
      </c>
      <c r="F20" s="336" t="s">
        <v>362</v>
      </c>
      <c r="G20" s="332">
        <v>10</v>
      </c>
    </row>
    <row r="21" spans="1:7" x14ac:dyDescent="0.3">
      <c r="A21" s="335">
        <v>13</v>
      </c>
      <c r="B21" s="336" t="s">
        <v>364</v>
      </c>
      <c r="C21" s="332">
        <v>22.84</v>
      </c>
      <c r="D21" s="673"/>
      <c r="E21" s="335">
        <v>13</v>
      </c>
      <c r="F21" s="336" t="s">
        <v>364</v>
      </c>
      <c r="G21" s="332">
        <v>12</v>
      </c>
    </row>
    <row r="22" spans="1:7" x14ac:dyDescent="0.3">
      <c r="A22" s="335">
        <v>14</v>
      </c>
      <c r="B22" s="336" t="s">
        <v>365</v>
      </c>
      <c r="C22" s="332">
        <v>24.84</v>
      </c>
      <c r="D22" s="673"/>
      <c r="E22" s="335">
        <v>14</v>
      </c>
      <c r="F22" s="336" t="s">
        <v>365</v>
      </c>
      <c r="G22" s="332">
        <v>14</v>
      </c>
    </row>
    <row r="23" spans="1:7" x14ac:dyDescent="0.3">
      <c r="A23" s="335">
        <v>15</v>
      </c>
      <c r="B23" s="336" t="s">
        <v>366</v>
      </c>
      <c r="C23" s="332">
        <v>25.86</v>
      </c>
      <c r="D23" s="673"/>
      <c r="E23" s="335">
        <v>15</v>
      </c>
      <c r="F23" s="336" t="s">
        <v>366</v>
      </c>
      <c r="G23" s="332">
        <v>14.26</v>
      </c>
    </row>
    <row r="24" spans="1:7" x14ac:dyDescent="0.3">
      <c r="A24" s="335">
        <v>16</v>
      </c>
      <c r="B24" s="336" t="s">
        <v>367</v>
      </c>
      <c r="C24" s="332">
        <v>26.16</v>
      </c>
      <c r="D24" s="673"/>
      <c r="E24" s="335">
        <v>16</v>
      </c>
      <c r="F24" s="336" t="s">
        <v>367</v>
      </c>
      <c r="G24" s="332">
        <v>14.94</v>
      </c>
    </row>
    <row r="25" spans="1:7" x14ac:dyDescent="0.3">
      <c r="A25" s="335">
        <v>17</v>
      </c>
      <c r="B25" s="336" t="s">
        <v>368</v>
      </c>
      <c r="C25" s="332">
        <v>26</v>
      </c>
      <c r="D25" s="673"/>
      <c r="E25" s="335">
        <v>17</v>
      </c>
      <c r="F25" s="336" t="s">
        <v>368</v>
      </c>
      <c r="G25" s="332">
        <v>9.82</v>
      </c>
    </row>
    <row r="26" spans="1:7" x14ac:dyDescent="0.3">
      <c r="A26" s="332"/>
      <c r="B26" s="337" t="s">
        <v>622</v>
      </c>
      <c r="C26" s="331">
        <f>SUM(C9:C25)</f>
        <v>396.23999999999995</v>
      </c>
      <c r="D26" s="673"/>
      <c r="E26" s="332"/>
      <c r="F26" s="337" t="s">
        <v>622</v>
      </c>
      <c r="G26" s="331">
        <f>SUM(G9:G25)</f>
        <v>214.84999999999997</v>
      </c>
    </row>
  </sheetData>
  <mergeCells count="9">
    <mergeCell ref="A7:C7"/>
    <mergeCell ref="E7:G7"/>
    <mergeCell ref="D7:D26"/>
    <mergeCell ref="A6:G6"/>
    <mergeCell ref="A1:G1"/>
    <mergeCell ref="B2:E2"/>
    <mergeCell ref="B3:E3"/>
    <mergeCell ref="B5:E5"/>
    <mergeCell ref="B4:E4"/>
  </mergeCells>
  <pageMargins left="0.7" right="0.7" top="0.75" bottom="0.75" header="0.3" footer="0.3"/>
  <pageSetup paperSize="9" orientation="portrait" horizontalDpi="0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I44"/>
  <sheetViews>
    <sheetView zoomScaleNormal="100" workbookViewId="0">
      <selection activeCell="L9" sqref="L9"/>
    </sheetView>
  </sheetViews>
  <sheetFormatPr defaultRowHeight="15.6" x14ac:dyDescent="0.3"/>
  <cols>
    <col min="1" max="3" width="9.6640625" style="318" customWidth="1"/>
    <col min="4" max="4" width="5.88671875" style="318" customWidth="1"/>
    <col min="5" max="7" width="9.6640625" style="318" customWidth="1"/>
    <col min="8" max="8" width="8.77734375" style="318" customWidth="1"/>
    <col min="9" max="16384" width="8.88671875" style="318"/>
  </cols>
  <sheetData>
    <row r="1" spans="1:9" x14ac:dyDescent="0.3">
      <c r="A1" s="689" t="s">
        <v>586</v>
      </c>
      <c r="B1" s="690"/>
      <c r="C1" s="690"/>
      <c r="D1" s="690"/>
      <c r="E1" s="690"/>
      <c r="F1" s="690"/>
      <c r="G1" s="690"/>
      <c r="H1" s="690"/>
      <c r="I1" s="690"/>
    </row>
    <row r="2" spans="1:9" x14ac:dyDescent="0.3">
      <c r="A2" s="342" t="s">
        <v>580</v>
      </c>
      <c r="B2" s="677" t="s">
        <v>789</v>
      </c>
      <c r="C2" s="678"/>
      <c r="D2" s="678"/>
      <c r="E2" s="678"/>
      <c r="F2" s="678"/>
      <c r="G2" s="681"/>
      <c r="H2" s="311" t="s">
        <v>583</v>
      </c>
      <c r="I2" s="311" t="s">
        <v>584</v>
      </c>
    </row>
    <row r="3" spans="1:9" ht="30" customHeight="1" x14ac:dyDescent="0.3">
      <c r="A3" s="416">
        <v>1</v>
      </c>
      <c r="B3" s="691" t="s">
        <v>923</v>
      </c>
      <c r="C3" s="691"/>
      <c r="D3" s="691"/>
      <c r="E3" s="691"/>
      <c r="F3" s="691"/>
      <c r="G3" s="691"/>
      <c r="H3" s="346" t="s">
        <v>571</v>
      </c>
      <c r="I3" s="347">
        <v>482.3</v>
      </c>
    </row>
    <row r="4" spans="1:9" ht="30" customHeight="1" x14ac:dyDescent="0.3">
      <c r="A4" s="413">
        <v>2</v>
      </c>
      <c r="B4" s="692" t="s">
        <v>924</v>
      </c>
      <c r="C4" s="692"/>
      <c r="D4" s="692"/>
      <c r="E4" s="692"/>
      <c r="F4" s="692"/>
      <c r="G4" s="692"/>
      <c r="H4" s="312" t="s">
        <v>571</v>
      </c>
      <c r="I4" s="313">
        <v>499.5</v>
      </c>
    </row>
    <row r="5" spans="1:9" ht="30" customHeight="1" x14ac:dyDescent="0.3">
      <c r="A5" s="416">
        <v>3</v>
      </c>
      <c r="B5" s="691" t="s">
        <v>924</v>
      </c>
      <c r="C5" s="691"/>
      <c r="D5" s="691"/>
      <c r="E5" s="691"/>
      <c r="F5" s="691"/>
      <c r="G5" s="691"/>
      <c r="H5" s="346" t="s">
        <v>571</v>
      </c>
      <c r="I5" s="347">
        <v>82.45</v>
      </c>
    </row>
    <row r="6" spans="1:9" ht="30" customHeight="1" x14ac:dyDescent="0.3">
      <c r="A6" s="413">
        <v>4</v>
      </c>
      <c r="B6" s="692" t="s">
        <v>791</v>
      </c>
      <c r="C6" s="692"/>
      <c r="D6" s="692"/>
      <c r="E6" s="692"/>
      <c r="F6" s="692"/>
      <c r="G6" s="692"/>
      <c r="H6" s="312" t="s">
        <v>571</v>
      </c>
      <c r="I6" s="313">
        <v>1102.79</v>
      </c>
    </row>
    <row r="7" spans="1:9" ht="44.4" customHeight="1" x14ac:dyDescent="0.3">
      <c r="A7" s="416">
        <v>5</v>
      </c>
      <c r="B7" s="691" t="s">
        <v>1024</v>
      </c>
      <c r="C7" s="691"/>
      <c r="D7" s="691"/>
      <c r="E7" s="691"/>
      <c r="F7" s="691"/>
      <c r="G7" s="691"/>
      <c r="H7" s="346" t="s">
        <v>571</v>
      </c>
      <c r="I7" s="347">
        <v>4.8</v>
      </c>
    </row>
    <row r="8" spans="1:9" ht="44.4" customHeight="1" x14ac:dyDescent="0.3">
      <c r="A8" s="413">
        <v>6</v>
      </c>
      <c r="B8" s="692" t="s">
        <v>1025</v>
      </c>
      <c r="C8" s="692"/>
      <c r="D8" s="692"/>
      <c r="E8" s="692"/>
      <c r="F8" s="692"/>
      <c r="G8" s="692"/>
      <c r="H8" s="312" t="s">
        <v>571</v>
      </c>
      <c r="I8" s="313">
        <v>78.33</v>
      </c>
    </row>
    <row r="9" spans="1:9" ht="44.4" customHeight="1" x14ac:dyDescent="0.3">
      <c r="A9" s="416">
        <v>7</v>
      </c>
      <c r="B9" s="691" t="s">
        <v>1026</v>
      </c>
      <c r="C9" s="691"/>
      <c r="D9" s="691"/>
      <c r="E9" s="691"/>
      <c r="F9" s="691"/>
      <c r="G9" s="691"/>
      <c r="H9" s="346" t="s">
        <v>571</v>
      </c>
      <c r="I9" s="347">
        <v>3</v>
      </c>
    </row>
    <row r="10" spans="1:9" x14ac:dyDescent="0.3">
      <c r="A10" s="417">
        <v>8</v>
      </c>
      <c r="B10" s="692" t="s">
        <v>934</v>
      </c>
      <c r="C10" s="692"/>
      <c r="D10" s="692"/>
      <c r="E10" s="692"/>
      <c r="F10" s="692"/>
      <c r="G10" s="692"/>
      <c r="H10" s="312" t="s">
        <v>788</v>
      </c>
      <c r="I10" s="348">
        <v>21.091999999999999</v>
      </c>
    </row>
    <row r="11" spans="1:9" s="412" customFormat="1" x14ac:dyDescent="0.25">
      <c r="A11" s="686"/>
      <c r="B11" s="686"/>
      <c r="C11" s="686"/>
      <c r="D11" s="686"/>
      <c r="E11" s="686"/>
      <c r="F11" s="686"/>
      <c r="G11" s="686"/>
      <c r="H11" s="686"/>
      <c r="I11" s="686"/>
    </row>
    <row r="12" spans="1:9" s="412" customFormat="1" x14ac:dyDescent="0.25">
      <c r="A12" s="413" t="s">
        <v>1022</v>
      </c>
      <c r="B12" s="413" t="s">
        <v>652</v>
      </c>
      <c r="C12" s="413" t="s">
        <v>1023</v>
      </c>
      <c r="D12" s="687"/>
      <c r="E12" s="413" t="s">
        <v>1022</v>
      </c>
      <c r="F12" s="413" t="s">
        <v>652</v>
      </c>
      <c r="G12" s="413" t="s">
        <v>1023</v>
      </c>
      <c r="H12" s="687"/>
      <c r="I12" s="687"/>
    </row>
    <row r="13" spans="1:9" s="412" customFormat="1" x14ac:dyDescent="0.25">
      <c r="A13" s="413">
        <v>1</v>
      </c>
      <c r="B13" s="413" t="s">
        <v>488</v>
      </c>
      <c r="C13" s="414">
        <v>14</v>
      </c>
      <c r="D13" s="687"/>
      <c r="E13" s="413">
        <v>1</v>
      </c>
      <c r="F13" s="413" t="s">
        <v>426</v>
      </c>
      <c r="G13" s="414">
        <v>28</v>
      </c>
      <c r="H13" s="687"/>
      <c r="I13" s="687"/>
    </row>
    <row r="14" spans="1:9" s="412" customFormat="1" x14ac:dyDescent="0.25">
      <c r="A14" s="413">
        <v>2</v>
      </c>
      <c r="B14" s="413" t="s">
        <v>489</v>
      </c>
      <c r="C14" s="414">
        <v>10.5</v>
      </c>
      <c r="D14" s="687"/>
      <c r="E14" s="413">
        <v>2</v>
      </c>
      <c r="F14" s="413" t="s">
        <v>426</v>
      </c>
      <c r="G14" s="414">
        <v>14</v>
      </c>
      <c r="H14" s="687"/>
      <c r="I14" s="687"/>
    </row>
    <row r="15" spans="1:9" s="412" customFormat="1" x14ac:dyDescent="0.25">
      <c r="A15" s="413">
        <v>3</v>
      </c>
      <c r="B15" s="413" t="s">
        <v>490</v>
      </c>
      <c r="C15" s="414">
        <f>31 + 8.3</f>
        <v>39.299999999999997</v>
      </c>
      <c r="D15" s="687"/>
      <c r="E15" s="413">
        <v>3</v>
      </c>
      <c r="F15" s="413" t="s">
        <v>427</v>
      </c>
      <c r="G15" s="414">
        <v>40</v>
      </c>
      <c r="H15" s="687"/>
      <c r="I15" s="687"/>
    </row>
    <row r="16" spans="1:9" s="412" customFormat="1" x14ac:dyDescent="0.25">
      <c r="A16" s="413">
        <v>4</v>
      </c>
      <c r="B16" s="413" t="s">
        <v>491</v>
      </c>
      <c r="C16" s="414">
        <v>1.9</v>
      </c>
      <c r="D16" s="687"/>
      <c r="E16" s="413">
        <v>4</v>
      </c>
      <c r="F16" s="413" t="s">
        <v>428</v>
      </c>
      <c r="G16" s="414">
        <v>10</v>
      </c>
      <c r="H16" s="687"/>
      <c r="I16" s="687"/>
    </row>
    <row r="17" spans="1:9" s="412" customFormat="1" x14ac:dyDescent="0.25">
      <c r="A17" s="413">
        <v>5</v>
      </c>
      <c r="B17" s="413" t="s">
        <v>496</v>
      </c>
      <c r="C17" s="414">
        <v>33</v>
      </c>
      <c r="D17" s="687"/>
      <c r="E17" s="413">
        <v>5</v>
      </c>
      <c r="F17" s="413" t="s">
        <v>430</v>
      </c>
      <c r="G17" s="414">
        <v>20</v>
      </c>
      <c r="H17" s="687"/>
      <c r="I17" s="687"/>
    </row>
    <row r="18" spans="1:9" s="412" customFormat="1" x14ac:dyDescent="0.25">
      <c r="A18" s="413">
        <v>6</v>
      </c>
      <c r="B18" s="413" t="s">
        <v>660</v>
      </c>
      <c r="C18" s="414">
        <v>2.9</v>
      </c>
      <c r="D18" s="687"/>
      <c r="E18" s="413">
        <v>6</v>
      </c>
      <c r="F18" s="413" t="s">
        <v>431</v>
      </c>
      <c r="G18" s="414">
        <v>16</v>
      </c>
      <c r="H18" s="687"/>
      <c r="I18" s="687"/>
    </row>
    <row r="19" spans="1:9" s="412" customFormat="1" x14ac:dyDescent="0.25">
      <c r="A19" s="413">
        <v>7</v>
      </c>
      <c r="B19" s="413" t="s">
        <v>498</v>
      </c>
      <c r="C19" s="414">
        <v>3.9</v>
      </c>
      <c r="D19" s="687"/>
      <c r="E19" s="413">
        <v>7</v>
      </c>
      <c r="F19" s="413" t="s">
        <v>432</v>
      </c>
      <c r="G19" s="414">
        <v>7.2</v>
      </c>
      <c r="H19" s="687"/>
      <c r="I19" s="687"/>
    </row>
    <row r="20" spans="1:9" s="412" customFormat="1" x14ac:dyDescent="0.25">
      <c r="A20" s="413">
        <v>8</v>
      </c>
      <c r="B20" s="413" t="s">
        <v>499</v>
      </c>
      <c r="C20" s="414">
        <v>15.4</v>
      </c>
      <c r="D20" s="687"/>
      <c r="E20" s="413">
        <v>8</v>
      </c>
      <c r="F20" s="413" t="s">
        <v>434</v>
      </c>
      <c r="G20" s="414">
        <v>12.8</v>
      </c>
      <c r="H20" s="687"/>
      <c r="I20" s="687"/>
    </row>
    <row r="21" spans="1:9" s="412" customFormat="1" x14ac:dyDescent="0.25">
      <c r="A21" s="413">
        <v>9</v>
      </c>
      <c r="B21" s="413" t="s">
        <v>501</v>
      </c>
      <c r="C21" s="414">
        <v>34</v>
      </c>
      <c r="D21" s="687"/>
      <c r="E21" s="413">
        <v>9</v>
      </c>
      <c r="F21" s="413" t="s">
        <v>436</v>
      </c>
      <c r="G21" s="414">
        <v>29</v>
      </c>
      <c r="H21" s="687"/>
      <c r="I21" s="687"/>
    </row>
    <row r="22" spans="1:9" s="412" customFormat="1" x14ac:dyDescent="0.25">
      <c r="A22" s="413">
        <v>10</v>
      </c>
      <c r="B22" s="413" t="s">
        <v>502</v>
      </c>
      <c r="C22" s="414">
        <v>4.5</v>
      </c>
      <c r="D22" s="687"/>
      <c r="E22" s="413">
        <v>10</v>
      </c>
      <c r="F22" s="413" t="s">
        <v>444</v>
      </c>
      <c r="G22" s="414">
        <v>18.7</v>
      </c>
      <c r="H22" s="687"/>
      <c r="I22" s="687"/>
    </row>
    <row r="23" spans="1:9" s="412" customFormat="1" x14ac:dyDescent="0.25">
      <c r="A23" s="413">
        <v>11</v>
      </c>
      <c r="B23" s="413" t="s">
        <v>505</v>
      </c>
      <c r="C23" s="414">
        <f xml:space="preserve"> 14.4 + 13.2</f>
        <v>27.6</v>
      </c>
      <c r="D23" s="687"/>
      <c r="E23" s="413">
        <v>11</v>
      </c>
      <c r="F23" s="413" t="s">
        <v>451</v>
      </c>
      <c r="G23" s="414">
        <v>14</v>
      </c>
      <c r="H23" s="687"/>
      <c r="I23" s="687"/>
    </row>
    <row r="24" spans="1:9" s="412" customFormat="1" x14ac:dyDescent="0.25">
      <c r="A24" s="413">
        <v>12</v>
      </c>
      <c r="B24" s="413" t="s">
        <v>508</v>
      </c>
      <c r="C24" s="414">
        <f xml:space="preserve"> 23 + 17.6</f>
        <v>40.6</v>
      </c>
      <c r="D24" s="687"/>
      <c r="E24" s="413">
        <v>12</v>
      </c>
      <c r="F24" s="413" t="s">
        <v>452</v>
      </c>
      <c r="G24" s="414">
        <f>6.8+31</f>
        <v>37.799999999999997</v>
      </c>
      <c r="H24" s="687"/>
      <c r="I24" s="687"/>
    </row>
    <row r="25" spans="1:9" s="412" customFormat="1" x14ac:dyDescent="0.25">
      <c r="A25" s="413">
        <v>13</v>
      </c>
      <c r="B25" s="415" t="s">
        <v>545</v>
      </c>
      <c r="C25" s="414">
        <v>7</v>
      </c>
      <c r="D25" s="687"/>
      <c r="E25" s="413">
        <v>13</v>
      </c>
      <c r="F25" s="413" t="s">
        <v>458</v>
      </c>
      <c r="G25" s="414">
        <v>16.5</v>
      </c>
      <c r="H25" s="687"/>
      <c r="I25" s="687"/>
    </row>
    <row r="26" spans="1:9" s="412" customFormat="1" x14ac:dyDescent="0.25">
      <c r="A26" s="413">
        <v>14</v>
      </c>
      <c r="B26" s="415" t="s">
        <v>532</v>
      </c>
      <c r="C26" s="414">
        <v>13.5</v>
      </c>
      <c r="D26" s="687"/>
      <c r="E26" s="413">
        <v>14</v>
      </c>
      <c r="F26" s="413" t="s">
        <v>463</v>
      </c>
      <c r="G26" s="414">
        <v>0.9</v>
      </c>
      <c r="H26" s="687"/>
      <c r="I26" s="687"/>
    </row>
    <row r="27" spans="1:9" s="412" customFormat="1" x14ac:dyDescent="0.25">
      <c r="A27" s="413">
        <v>15</v>
      </c>
      <c r="B27" s="413" t="s">
        <v>515</v>
      </c>
      <c r="C27" s="414">
        <v>30.5</v>
      </c>
      <c r="D27" s="687"/>
      <c r="E27" s="413">
        <v>15</v>
      </c>
      <c r="F27" s="413" t="s">
        <v>464</v>
      </c>
      <c r="G27" s="414">
        <v>15</v>
      </c>
      <c r="H27" s="687"/>
      <c r="I27" s="687"/>
    </row>
    <row r="28" spans="1:9" s="412" customFormat="1" x14ac:dyDescent="0.25">
      <c r="A28" s="413">
        <v>16</v>
      </c>
      <c r="B28" s="413" t="s">
        <v>516</v>
      </c>
      <c r="C28" s="414">
        <v>23.7</v>
      </c>
      <c r="D28" s="687"/>
      <c r="E28" s="413">
        <v>16</v>
      </c>
      <c r="F28" s="413" t="s">
        <v>465</v>
      </c>
      <c r="G28" s="414">
        <f>2.7+36</f>
        <v>38.700000000000003</v>
      </c>
      <c r="H28" s="687"/>
      <c r="I28" s="687"/>
    </row>
    <row r="29" spans="1:9" s="412" customFormat="1" x14ac:dyDescent="0.25">
      <c r="A29" s="413">
        <v>17</v>
      </c>
      <c r="B29" s="413" t="s">
        <v>538</v>
      </c>
      <c r="C29" s="414">
        <v>17</v>
      </c>
      <c r="D29" s="687"/>
      <c r="E29" s="413">
        <v>17</v>
      </c>
      <c r="F29" s="413" t="s">
        <v>469</v>
      </c>
      <c r="G29" s="414">
        <v>10.5</v>
      </c>
      <c r="H29" s="687"/>
      <c r="I29" s="687"/>
    </row>
    <row r="30" spans="1:9" s="412" customFormat="1" x14ac:dyDescent="0.25">
      <c r="A30" s="413">
        <v>18</v>
      </c>
      <c r="B30" s="413" t="s">
        <v>538</v>
      </c>
      <c r="C30" s="414">
        <v>11</v>
      </c>
      <c r="D30" s="687"/>
      <c r="E30" s="413">
        <v>18</v>
      </c>
      <c r="F30" s="413" t="s">
        <v>471</v>
      </c>
      <c r="G30" s="414">
        <v>3.5</v>
      </c>
      <c r="H30" s="687"/>
      <c r="I30" s="687"/>
    </row>
    <row r="31" spans="1:9" s="412" customFormat="1" x14ac:dyDescent="0.25">
      <c r="A31" s="413">
        <v>19</v>
      </c>
      <c r="B31" s="413" t="s">
        <v>543</v>
      </c>
      <c r="C31" s="414">
        <v>14.5</v>
      </c>
      <c r="D31" s="687"/>
      <c r="E31" s="413">
        <v>19</v>
      </c>
      <c r="F31" s="413" t="s">
        <v>472</v>
      </c>
      <c r="G31" s="414">
        <v>38</v>
      </c>
      <c r="H31" s="687"/>
      <c r="I31" s="687"/>
    </row>
    <row r="32" spans="1:9" s="412" customFormat="1" x14ac:dyDescent="0.25">
      <c r="A32" s="413">
        <v>20</v>
      </c>
      <c r="B32" s="413" t="s">
        <v>546</v>
      </c>
      <c r="C32" s="414">
        <v>37.5</v>
      </c>
      <c r="D32" s="687"/>
      <c r="E32" s="413">
        <v>20</v>
      </c>
      <c r="F32" s="413" t="s">
        <v>478</v>
      </c>
      <c r="G32" s="414">
        <v>12.6</v>
      </c>
      <c r="H32" s="687"/>
      <c r="I32" s="687"/>
    </row>
    <row r="33" spans="1:9" s="412" customFormat="1" x14ac:dyDescent="0.25">
      <c r="A33" s="413">
        <v>21</v>
      </c>
      <c r="B33" s="413" t="s">
        <v>553</v>
      </c>
      <c r="C33" s="414">
        <v>19</v>
      </c>
      <c r="D33" s="687"/>
      <c r="E33" s="413">
        <v>21</v>
      </c>
      <c r="F33" s="413" t="s">
        <v>362</v>
      </c>
      <c r="G33" s="414">
        <f>3.6+55.5</f>
        <v>59.1</v>
      </c>
      <c r="H33" s="687"/>
      <c r="I33" s="687"/>
    </row>
    <row r="34" spans="1:9" s="412" customFormat="1" x14ac:dyDescent="0.25">
      <c r="A34" s="413">
        <v>22</v>
      </c>
      <c r="B34" s="413" t="s">
        <v>555</v>
      </c>
      <c r="C34" s="414">
        <f xml:space="preserve"> 30.5 + 2.7</f>
        <v>33.200000000000003</v>
      </c>
      <c r="D34" s="687"/>
      <c r="E34" s="413">
        <v>22</v>
      </c>
      <c r="F34" s="413" t="s">
        <v>363</v>
      </c>
      <c r="G34" s="414">
        <v>33.5</v>
      </c>
      <c r="H34" s="687"/>
      <c r="I34" s="687"/>
    </row>
    <row r="35" spans="1:9" s="412" customFormat="1" x14ac:dyDescent="0.25">
      <c r="A35" s="413">
        <v>23</v>
      </c>
      <c r="B35" s="413" t="s">
        <v>556</v>
      </c>
      <c r="C35" s="414">
        <v>44.3</v>
      </c>
      <c r="D35" s="687"/>
      <c r="E35" s="413">
        <v>23</v>
      </c>
      <c r="F35" s="413" t="s">
        <v>364</v>
      </c>
      <c r="G35" s="414">
        <v>23.7</v>
      </c>
      <c r="H35" s="687"/>
      <c r="I35" s="687"/>
    </row>
    <row r="36" spans="1:9" s="412" customFormat="1" x14ac:dyDescent="0.25">
      <c r="A36" s="413">
        <v>24</v>
      </c>
      <c r="B36" s="413" t="s">
        <v>559</v>
      </c>
      <c r="C36" s="414">
        <v>3.5</v>
      </c>
      <c r="D36" s="687"/>
      <c r="F36" s="413" t="s">
        <v>622</v>
      </c>
      <c r="G36" s="413">
        <f>SUM(G13:G35)</f>
        <v>499.5</v>
      </c>
      <c r="H36" s="687"/>
      <c r="I36" s="687"/>
    </row>
    <row r="37" spans="1:9" s="412" customFormat="1" x14ac:dyDescent="0.25">
      <c r="B37" s="413" t="s">
        <v>622</v>
      </c>
      <c r="C37" s="413">
        <f>SUM(C13:C36)</f>
        <v>482.3</v>
      </c>
      <c r="D37" s="687"/>
      <c r="E37" s="687"/>
      <c r="F37" s="687"/>
      <c r="G37" s="687"/>
      <c r="H37" s="687"/>
      <c r="I37" s="687"/>
    </row>
    <row r="38" spans="1:9" s="412" customFormat="1" x14ac:dyDescent="0.25">
      <c r="A38" s="688"/>
      <c r="B38" s="688"/>
      <c r="C38" s="688"/>
      <c r="D38" s="687"/>
      <c r="E38" s="687"/>
      <c r="F38" s="687"/>
      <c r="G38" s="687"/>
      <c r="H38" s="687"/>
      <c r="I38" s="687"/>
    </row>
    <row r="39" spans="1:9" s="412" customFormat="1" x14ac:dyDescent="0.25">
      <c r="A39" s="413" t="s">
        <v>1022</v>
      </c>
      <c r="B39" s="413" t="s">
        <v>652</v>
      </c>
      <c r="C39" s="413" t="s">
        <v>1023</v>
      </c>
      <c r="D39" s="687"/>
      <c r="E39" s="687"/>
      <c r="F39" s="687"/>
      <c r="G39" s="687"/>
      <c r="H39" s="687"/>
      <c r="I39" s="687"/>
    </row>
    <row r="40" spans="1:9" s="412" customFormat="1" x14ac:dyDescent="0.25">
      <c r="A40" s="413">
        <v>1</v>
      </c>
      <c r="B40" s="413" t="s">
        <v>365</v>
      </c>
      <c r="C40" s="414">
        <v>18</v>
      </c>
      <c r="D40" s="687"/>
      <c r="E40" s="687"/>
      <c r="F40" s="687"/>
      <c r="G40" s="687"/>
      <c r="H40" s="687"/>
      <c r="I40" s="687"/>
    </row>
    <row r="41" spans="1:9" s="412" customFormat="1" x14ac:dyDescent="0.25">
      <c r="A41" s="413">
        <v>2</v>
      </c>
      <c r="B41" s="413" t="s">
        <v>366</v>
      </c>
      <c r="C41" s="414">
        <v>22</v>
      </c>
      <c r="D41" s="687"/>
      <c r="E41" s="687"/>
      <c r="F41" s="687"/>
      <c r="G41" s="687"/>
      <c r="H41" s="687"/>
      <c r="I41" s="687"/>
    </row>
    <row r="42" spans="1:9" s="412" customFormat="1" x14ac:dyDescent="0.25">
      <c r="A42" s="413">
        <v>3</v>
      </c>
      <c r="B42" s="413" t="s">
        <v>367</v>
      </c>
      <c r="C42" s="414">
        <v>20.45</v>
      </c>
      <c r="D42" s="687"/>
      <c r="E42" s="687"/>
      <c r="F42" s="687"/>
      <c r="G42" s="687"/>
      <c r="H42" s="687"/>
      <c r="I42" s="687"/>
    </row>
    <row r="43" spans="1:9" s="412" customFormat="1" x14ac:dyDescent="0.25">
      <c r="A43" s="413">
        <v>4</v>
      </c>
      <c r="B43" s="413" t="s">
        <v>371</v>
      </c>
      <c r="C43" s="414">
        <v>22</v>
      </c>
      <c r="D43" s="687"/>
      <c r="E43" s="687"/>
      <c r="F43" s="687"/>
      <c r="G43" s="687"/>
      <c r="H43" s="687"/>
      <c r="I43" s="687"/>
    </row>
    <row r="44" spans="1:9" s="412" customFormat="1" x14ac:dyDescent="0.3">
      <c r="A44" s="318"/>
      <c r="B44" s="413" t="s">
        <v>622</v>
      </c>
      <c r="C44" s="413">
        <f>SUM(C40:C43)</f>
        <v>82.45</v>
      </c>
      <c r="D44" s="687"/>
      <c r="E44" s="687"/>
      <c r="F44" s="687"/>
      <c r="G44" s="687"/>
      <c r="H44" s="687"/>
      <c r="I44" s="687"/>
    </row>
  </sheetData>
  <mergeCells count="15">
    <mergeCell ref="B6:G6"/>
    <mergeCell ref="B7:G7"/>
    <mergeCell ref="B8:G8"/>
    <mergeCell ref="B9:G9"/>
    <mergeCell ref="B10:G10"/>
    <mergeCell ref="A1:I1"/>
    <mergeCell ref="B2:G2"/>
    <mergeCell ref="B3:G3"/>
    <mergeCell ref="B4:G4"/>
    <mergeCell ref="B5:G5"/>
    <mergeCell ref="A11:I11"/>
    <mergeCell ref="D12:D44"/>
    <mergeCell ref="A38:C38"/>
    <mergeCell ref="H12:I44"/>
    <mergeCell ref="E37:G44"/>
  </mergeCells>
  <pageMargins left="0.7" right="0.7" top="0.75" bottom="0.75" header="0.3" footer="0.3"/>
  <pageSetup paperSize="9" orientation="portrait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K28"/>
  <sheetViews>
    <sheetView workbookViewId="0">
      <selection sqref="A1:J1"/>
    </sheetView>
  </sheetViews>
  <sheetFormatPr defaultRowHeight="15.6" x14ac:dyDescent="0.3"/>
  <cols>
    <col min="1" max="1" width="8.88671875" style="318"/>
    <col min="2" max="2" width="16.21875" style="318" customWidth="1"/>
    <col min="3" max="3" width="19.44140625" style="318" customWidth="1"/>
    <col min="4" max="4" width="16.21875" style="318" customWidth="1"/>
    <col min="5" max="5" width="17.33203125" style="318" customWidth="1"/>
    <col min="6" max="6" width="15.44140625" style="318" customWidth="1"/>
    <col min="7" max="7" width="6.21875" style="318" customWidth="1"/>
    <col min="8" max="8" width="8.33203125" style="318" customWidth="1"/>
    <col min="9" max="9" width="8.44140625" style="318" customWidth="1"/>
    <col min="10" max="10" width="8.77734375" style="318" customWidth="1"/>
    <col min="11" max="16384" width="8.88671875" style="318"/>
  </cols>
  <sheetData>
    <row r="1" spans="1:10" ht="15.6" customHeight="1" x14ac:dyDescent="0.3">
      <c r="A1" s="673" t="s">
        <v>586</v>
      </c>
      <c r="B1" s="673"/>
      <c r="C1" s="673"/>
      <c r="D1" s="673"/>
      <c r="E1" s="673"/>
      <c r="F1" s="673"/>
      <c r="G1" s="673"/>
      <c r="H1" s="673"/>
      <c r="I1" s="673"/>
      <c r="J1" s="673"/>
    </row>
    <row r="2" spans="1:10" ht="15.6" customHeight="1" x14ac:dyDescent="0.3">
      <c r="A2" s="342" t="s">
        <v>580</v>
      </c>
      <c r="B2" s="673" t="s">
        <v>789</v>
      </c>
      <c r="C2" s="673"/>
      <c r="D2" s="673"/>
      <c r="E2" s="673" t="s">
        <v>582</v>
      </c>
      <c r="F2" s="673"/>
      <c r="G2" s="673"/>
      <c r="H2" s="673"/>
      <c r="I2" s="311" t="s">
        <v>583</v>
      </c>
      <c r="J2" s="311" t="s">
        <v>584</v>
      </c>
    </row>
    <row r="3" spans="1:10" x14ac:dyDescent="0.3">
      <c r="A3" s="342">
        <v>1</v>
      </c>
      <c r="B3" s="703" t="s">
        <v>921</v>
      </c>
      <c r="C3" s="703"/>
      <c r="D3" s="703"/>
      <c r="E3" s="705" t="s">
        <v>832</v>
      </c>
      <c r="F3" s="705"/>
      <c r="G3" s="705"/>
      <c r="H3" s="705"/>
      <c r="I3" s="312" t="s">
        <v>571</v>
      </c>
      <c r="J3" s="313">
        <f>B16</f>
        <v>5.8900000000000006</v>
      </c>
    </row>
    <row r="4" spans="1:10" ht="33" customHeight="1" x14ac:dyDescent="0.3">
      <c r="A4" s="345">
        <v>2</v>
      </c>
      <c r="B4" s="702" t="s">
        <v>836</v>
      </c>
      <c r="C4" s="702"/>
      <c r="D4" s="702"/>
      <c r="E4" s="701" t="s">
        <v>833</v>
      </c>
      <c r="F4" s="701"/>
      <c r="G4" s="701"/>
      <c r="H4" s="701"/>
      <c r="I4" s="346" t="s">
        <v>571</v>
      </c>
      <c r="J4" s="347">
        <f>C16</f>
        <v>312.35999999999996</v>
      </c>
    </row>
    <row r="5" spans="1:10" ht="42.6" customHeight="1" x14ac:dyDescent="0.3">
      <c r="A5" s="342">
        <v>3</v>
      </c>
      <c r="B5" s="703" t="s">
        <v>836</v>
      </c>
      <c r="C5" s="703"/>
      <c r="D5" s="703"/>
      <c r="E5" s="704" t="s">
        <v>835</v>
      </c>
      <c r="F5" s="704"/>
      <c r="G5" s="704"/>
      <c r="H5" s="704"/>
      <c r="I5" s="312" t="s">
        <v>571</v>
      </c>
      <c r="J5" s="313">
        <f>D16</f>
        <v>23.16</v>
      </c>
    </row>
    <row r="6" spans="1:10" ht="42.6" customHeight="1" x14ac:dyDescent="0.3">
      <c r="A6" s="342">
        <v>4</v>
      </c>
      <c r="B6" s="703" t="s">
        <v>836</v>
      </c>
      <c r="C6" s="703"/>
      <c r="D6" s="703"/>
      <c r="E6" s="704" t="s">
        <v>920</v>
      </c>
      <c r="F6" s="704"/>
      <c r="G6" s="704"/>
      <c r="H6" s="704"/>
      <c r="I6" s="312" t="s">
        <v>571</v>
      </c>
      <c r="J6" s="313">
        <f>E16</f>
        <v>32.46</v>
      </c>
    </row>
    <row r="7" spans="1:10" x14ac:dyDescent="0.3">
      <c r="A7" s="345">
        <v>5</v>
      </c>
      <c r="B7" s="702" t="s">
        <v>915</v>
      </c>
      <c r="C7" s="702"/>
      <c r="D7" s="702"/>
      <c r="E7" s="701" t="s">
        <v>832</v>
      </c>
      <c r="F7" s="701"/>
      <c r="G7" s="701"/>
      <c r="H7" s="701"/>
      <c r="I7" s="346" t="s">
        <v>571</v>
      </c>
      <c r="J7" s="347">
        <f>F16</f>
        <v>0</v>
      </c>
    </row>
    <row r="8" spans="1:10" ht="33" customHeight="1" x14ac:dyDescent="0.3">
      <c r="A8" s="342">
        <v>6</v>
      </c>
      <c r="B8" s="703" t="s">
        <v>916</v>
      </c>
      <c r="C8" s="703"/>
      <c r="D8" s="703"/>
      <c r="E8" s="704" t="s">
        <v>918</v>
      </c>
      <c r="F8" s="704"/>
      <c r="G8" s="704"/>
      <c r="H8" s="704"/>
      <c r="I8" s="312" t="s">
        <v>571</v>
      </c>
      <c r="J8" s="313">
        <f>G16</f>
        <v>834.24</v>
      </c>
    </row>
    <row r="9" spans="1:10" ht="33" customHeight="1" x14ac:dyDescent="0.3">
      <c r="A9" s="345">
        <v>7</v>
      </c>
      <c r="B9" s="702" t="s">
        <v>917</v>
      </c>
      <c r="C9" s="702"/>
      <c r="D9" s="702"/>
      <c r="E9" s="701" t="s">
        <v>919</v>
      </c>
      <c r="F9" s="701"/>
      <c r="G9" s="701"/>
      <c r="H9" s="701"/>
      <c r="I9" s="346" t="s">
        <v>571</v>
      </c>
      <c r="J9" s="347">
        <f>I16</f>
        <v>268.55</v>
      </c>
    </row>
    <row r="10" spans="1:10" x14ac:dyDescent="0.3">
      <c r="A10" s="342">
        <v>8</v>
      </c>
      <c r="B10" s="679" t="s">
        <v>922</v>
      </c>
      <c r="C10" s="680"/>
      <c r="D10" s="680"/>
      <c r="E10" s="680"/>
      <c r="F10" s="680"/>
      <c r="G10" s="680"/>
      <c r="H10" s="685"/>
      <c r="I10" s="312" t="s">
        <v>788</v>
      </c>
      <c r="J10" s="348">
        <v>21.091999999999999</v>
      </c>
    </row>
    <row r="11" spans="1:10" x14ac:dyDescent="0.3">
      <c r="A11" s="676"/>
      <c r="B11" s="676"/>
      <c r="C11" s="676"/>
      <c r="D11" s="676"/>
      <c r="E11" s="676"/>
      <c r="F11" s="676"/>
      <c r="G11" s="676"/>
      <c r="H11" s="676"/>
    </row>
    <row r="12" spans="1:10" s="319" customFormat="1" ht="127.8" customHeight="1" x14ac:dyDescent="0.3">
      <c r="A12" s="317"/>
      <c r="B12" s="340" t="str">
        <f xml:space="preserve"> B3 &amp; ", " &amp; E3</f>
        <v>Штукатурка стен ,  колонн и простенков до 500 мм, Гипсовая по бетону + Бетонконтакт, м2</v>
      </c>
      <c r="C12" s="343" t="str">
        <f xml:space="preserve"> B4 &amp; ", " &amp; E4</f>
        <v>Штукатурка стен  , Гипсовая по Блоку ячеистому, кирпичу и ПГП + Грунт глубокого проникновения, м2</v>
      </c>
      <c r="D12" s="340" t="str">
        <f xml:space="preserve"> B5 &amp; ", " &amp; E5</f>
        <v>Штукатурка стен  , Цементная + Грунт глубокого проникновения (по бетону, блоку ячеистому и ПГП под плитку), м2</v>
      </c>
      <c r="E12" s="340" t="str">
        <f xml:space="preserve"> B6 &amp; ", " &amp; E6</f>
        <v>Штукатурка стен  , КНАУФ (по ПГП под плитку), м2</v>
      </c>
      <c r="F12" s="340" t="str">
        <f xml:space="preserve"> B7 &amp; ", " &amp; E7</f>
        <v>Штукатурка откосов т. 60 мм, шириной 320 мм., Гипсовая по бетону + Бетонконтакт, м2</v>
      </c>
      <c r="G12" s="700" t="str">
        <f xml:space="preserve"> B8 &amp; ", " &amp; E8</f>
        <v>Шпаклевка стен, базовая, Гипсовыми смесями базовая + грунтовка глубокого проникновения</v>
      </c>
      <c r="H12" s="700"/>
      <c r="I12" s="700" t="str">
        <f xml:space="preserve"> B9 &amp; ", " &amp; E9</f>
        <v>Шпаклевка стен, финишная, Гипсовыми смесями финишная + грунтовка глубокого проникновения</v>
      </c>
      <c r="J12" s="700"/>
    </row>
    <row r="13" spans="1:10" x14ac:dyDescent="0.3">
      <c r="A13" s="341" t="s">
        <v>838</v>
      </c>
      <c r="B13" s="341">
        <v>0</v>
      </c>
      <c r="C13" s="344">
        <v>144.22</v>
      </c>
      <c r="D13" s="341">
        <v>19.86</v>
      </c>
      <c r="E13" s="341">
        <v>5.3</v>
      </c>
      <c r="F13" s="341"/>
      <c r="G13" s="695">
        <v>108.59</v>
      </c>
      <c r="H13" s="695"/>
      <c r="I13" s="695">
        <v>2.56</v>
      </c>
      <c r="J13" s="695"/>
    </row>
    <row r="14" spans="1:10" x14ac:dyDescent="0.3">
      <c r="A14" s="341" t="s">
        <v>839</v>
      </c>
      <c r="B14" s="341">
        <f>1.19+4.7</f>
        <v>5.8900000000000006</v>
      </c>
      <c r="C14" s="344">
        <v>114.56</v>
      </c>
      <c r="D14" s="341">
        <v>3.3</v>
      </c>
      <c r="E14" s="341">
        <v>21.59</v>
      </c>
      <c r="F14" s="341"/>
      <c r="G14" s="695">
        <v>278.02999999999997</v>
      </c>
      <c r="H14" s="695"/>
      <c r="I14" s="695">
        <v>82.13</v>
      </c>
      <c r="J14" s="695"/>
    </row>
    <row r="15" spans="1:10" x14ac:dyDescent="0.3">
      <c r="A15" s="341" t="s">
        <v>840</v>
      </c>
      <c r="B15" s="341">
        <v>0</v>
      </c>
      <c r="C15" s="344">
        <f>6.05+3.02+15.01+11.34+4.54+4.78+8.84</f>
        <v>53.58</v>
      </c>
      <c r="D15" s="341">
        <v>0</v>
      </c>
      <c r="E15" s="341">
        <v>5.57</v>
      </c>
      <c r="F15" s="341"/>
      <c r="G15" s="695">
        <f>16.55+19.26+15.01+19.84+11.03+16.06+16.3+8.84+324.73</f>
        <v>447.62</v>
      </c>
      <c r="H15" s="695"/>
      <c r="I15" s="695">
        <f>16.55+19.26+15.01+19.84+11.03+16.06+16.3+69.81</f>
        <v>183.86</v>
      </c>
      <c r="J15" s="695"/>
    </row>
    <row r="16" spans="1:10" x14ac:dyDescent="0.3">
      <c r="A16" s="341"/>
      <c r="B16" s="339">
        <f>SUM(B13:B15)</f>
        <v>5.8900000000000006</v>
      </c>
      <c r="C16" s="339">
        <f>SUM(C13:C15)</f>
        <v>312.35999999999996</v>
      </c>
      <c r="D16" s="339">
        <f>SUM(D13:D15)</f>
        <v>23.16</v>
      </c>
      <c r="E16" s="339">
        <f>SUM(E13:E15)</f>
        <v>32.46</v>
      </c>
      <c r="F16" s="339">
        <f>SUM(F13:F15)</f>
        <v>0</v>
      </c>
      <c r="G16" s="699">
        <f t="shared" ref="G16:I16" si="0">SUM(G13:G15)</f>
        <v>834.24</v>
      </c>
      <c r="H16" s="699"/>
      <c r="I16" s="699">
        <f t="shared" si="0"/>
        <v>268.55</v>
      </c>
      <c r="J16" s="699"/>
    </row>
    <row r="17" spans="1:11" x14ac:dyDescent="0.3">
      <c r="B17" s="344">
        <v>0</v>
      </c>
      <c r="C17" s="344">
        <f>6.05+3.02+15.01+11.34+4.54+4.78+8.84</f>
        <v>53.58</v>
      </c>
      <c r="D17" s="344">
        <v>0</v>
      </c>
      <c r="E17" s="344">
        <v>5.57</v>
      </c>
      <c r="F17" s="344"/>
      <c r="G17" s="695">
        <v>834.24</v>
      </c>
      <c r="H17" s="695"/>
      <c r="I17" s="695">
        <v>268.55</v>
      </c>
      <c r="J17" s="695"/>
    </row>
    <row r="18" spans="1:11" x14ac:dyDescent="0.3">
      <c r="B18" s="344">
        <f t="shared" ref="B18:G18" si="1">B16-B17</f>
        <v>5.8900000000000006</v>
      </c>
      <c r="C18" s="344">
        <f t="shared" si="1"/>
        <v>258.77999999999997</v>
      </c>
      <c r="D18" s="344">
        <f t="shared" si="1"/>
        <v>23.16</v>
      </c>
      <c r="E18" s="344">
        <f t="shared" si="1"/>
        <v>26.89</v>
      </c>
      <c r="F18" s="344">
        <f t="shared" si="1"/>
        <v>0</v>
      </c>
      <c r="G18" s="696">
        <f t="shared" si="1"/>
        <v>0</v>
      </c>
      <c r="H18" s="697"/>
      <c r="I18" s="696">
        <f>I16-I17</f>
        <v>0</v>
      </c>
      <c r="J18" s="697"/>
    </row>
    <row r="21" spans="1:11" ht="31.2" customHeight="1" x14ac:dyDescent="0.3">
      <c r="A21" s="351">
        <v>1</v>
      </c>
      <c r="B21" s="691" t="s">
        <v>923</v>
      </c>
      <c r="C21" s="691"/>
      <c r="D21" s="691"/>
      <c r="E21" s="691"/>
      <c r="F21" s="693" t="s">
        <v>927</v>
      </c>
      <c r="G21" s="693"/>
      <c r="H21" s="693"/>
      <c r="I21" s="693"/>
      <c r="J21" s="346" t="s">
        <v>571</v>
      </c>
      <c r="K21" s="347">
        <v>482.3</v>
      </c>
    </row>
    <row r="22" spans="1:11" ht="31.2" customHeight="1" x14ac:dyDescent="0.3">
      <c r="A22" s="350">
        <v>2</v>
      </c>
      <c r="B22" s="692" t="s">
        <v>924</v>
      </c>
      <c r="C22" s="692"/>
      <c r="D22" s="692"/>
      <c r="E22" s="692"/>
      <c r="F22" s="698" t="s">
        <v>928</v>
      </c>
      <c r="G22" s="698"/>
      <c r="H22" s="698"/>
      <c r="I22" s="698"/>
      <c r="J22" s="312" t="s">
        <v>571</v>
      </c>
      <c r="K22" s="313">
        <v>499.5</v>
      </c>
    </row>
    <row r="23" spans="1:11" ht="31.2" customHeight="1" x14ac:dyDescent="0.3">
      <c r="A23" s="351">
        <v>3</v>
      </c>
      <c r="B23" s="691" t="s">
        <v>924</v>
      </c>
      <c r="C23" s="691"/>
      <c r="D23" s="691"/>
      <c r="E23" s="691"/>
      <c r="F23" s="693" t="s">
        <v>929</v>
      </c>
      <c r="G23" s="693"/>
      <c r="H23" s="693"/>
      <c r="I23" s="693"/>
      <c r="J23" s="346" t="s">
        <v>571</v>
      </c>
      <c r="K23" s="347">
        <v>82.45</v>
      </c>
    </row>
    <row r="24" spans="1:11" ht="31.2" customHeight="1" x14ac:dyDescent="0.3">
      <c r="A24" s="350">
        <v>4</v>
      </c>
      <c r="B24" s="692" t="s">
        <v>791</v>
      </c>
      <c r="C24" s="692"/>
      <c r="D24" s="692"/>
      <c r="E24" s="692"/>
      <c r="F24" s="698" t="s">
        <v>930</v>
      </c>
      <c r="G24" s="698"/>
      <c r="H24" s="698"/>
      <c r="I24" s="698"/>
      <c r="J24" s="312" t="s">
        <v>571</v>
      </c>
      <c r="K24" s="313">
        <v>1102.79</v>
      </c>
    </row>
    <row r="25" spans="1:11" ht="36" customHeight="1" x14ac:dyDescent="0.3">
      <c r="A25" s="351">
        <v>5</v>
      </c>
      <c r="B25" s="691" t="s">
        <v>925</v>
      </c>
      <c r="C25" s="691"/>
      <c r="D25" s="691"/>
      <c r="E25" s="691"/>
      <c r="F25" s="693" t="s">
        <v>931</v>
      </c>
      <c r="G25" s="693"/>
      <c r="H25" s="693"/>
      <c r="I25" s="693"/>
      <c r="J25" s="346" t="s">
        <v>571</v>
      </c>
      <c r="K25" s="347">
        <v>4.8</v>
      </c>
    </row>
    <row r="26" spans="1:11" ht="48.6" customHeight="1" x14ac:dyDescent="0.3">
      <c r="A26" s="350">
        <v>6</v>
      </c>
      <c r="B26" s="692" t="s">
        <v>926</v>
      </c>
      <c r="C26" s="692"/>
      <c r="D26" s="692"/>
      <c r="E26" s="692"/>
      <c r="F26" s="698" t="s">
        <v>932</v>
      </c>
      <c r="G26" s="698"/>
      <c r="H26" s="698"/>
      <c r="I26" s="698"/>
      <c r="J26" s="312" t="s">
        <v>571</v>
      </c>
      <c r="K26" s="313">
        <v>78.33</v>
      </c>
    </row>
    <row r="27" spans="1:11" ht="31.2" customHeight="1" x14ac:dyDescent="0.3">
      <c r="A27" s="351">
        <v>7</v>
      </c>
      <c r="B27" s="691" t="s">
        <v>809</v>
      </c>
      <c r="C27" s="691"/>
      <c r="D27" s="691"/>
      <c r="E27" s="691"/>
      <c r="F27" s="693" t="s">
        <v>933</v>
      </c>
      <c r="G27" s="693"/>
      <c r="H27" s="693"/>
      <c r="I27" s="693"/>
      <c r="J27" s="346" t="s">
        <v>571</v>
      </c>
      <c r="K27" s="347">
        <v>3</v>
      </c>
    </row>
    <row r="28" spans="1:11" x14ac:dyDescent="0.3">
      <c r="A28" s="349">
        <v>8</v>
      </c>
      <c r="B28" s="692" t="s">
        <v>934</v>
      </c>
      <c r="C28" s="692"/>
      <c r="D28" s="692"/>
      <c r="E28" s="692"/>
      <c r="F28" s="694" t="s">
        <v>935</v>
      </c>
      <c r="G28" s="694"/>
      <c r="H28" s="694"/>
      <c r="I28" s="694"/>
      <c r="J28" s="312" t="s">
        <v>788</v>
      </c>
      <c r="K28" s="348">
        <v>21.091999999999999</v>
      </c>
    </row>
  </sheetData>
  <mergeCells count="49">
    <mergeCell ref="E7:H7"/>
    <mergeCell ref="B4:D4"/>
    <mergeCell ref="B5:D5"/>
    <mergeCell ref="B7:D7"/>
    <mergeCell ref="B8:D8"/>
    <mergeCell ref="E8:H8"/>
    <mergeCell ref="E2:H2"/>
    <mergeCell ref="B2:D2"/>
    <mergeCell ref="B3:D3"/>
    <mergeCell ref="A1:J1"/>
    <mergeCell ref="B6:D6"/>
    <mergeCell ref="E6:H6"/>
    <mergeCell ref="E3:H3"/>
    <mergeCell ref="E4:H4"/>
    <mergeCell ref="E5:H5"/>
    <mergeCell ref="E9:H9"/>
    <mergeCell ref="A11:H11"/>
    <mergeCell ref="G12:H12"/>
    <mergeCell ref="G13:H13"/>
    <mergeCell ref="B9:D9"/>
    <mergeCell ref="F23:I23"/>
    <mergeCell ref="F24:I24"/>
    <mergeCell ref="F25:I25"/>
    <mergeCell ref="B26:E26"/>
    <mergeCell ref="B10:H10"/>
    <mergeCell ref="G15:H15"/>
    <mergeCell ref="G16:H16"/>
    <mergeCell ref="G14:H14"/>
    <mergeCell ref="I12:J12"/>
    <mergeCell ref="I13:J13"/>
    <mergeCell ref="I14:J14"/>
    <mergeCell ref="I15:J15"/>
    <mergeCell ref="I16:J16"/>
    <mergeCell ref="B27:E27"/>
    <mergeCell ref="B28:E28"/>
    <mergeCell ref="F27:I27"/>
    <mergeCell ref="F28:I28"/>
    <mergeCell ref="G17:H17"/>
    <mergeCell ref="I17:J17"/>
    <mergeCell ref="G18:H18"/>
    <mergeCell ref="I18:J18"/>
    <mergeCell ref="B21:E21"/>
    <mergeCell ref="F21:I21"/>
    <mergeCell ref="B22:E22"/>
    <mergeCell ref="B23:E23"/>
    <mergeCell ref="B24:E24"/>
    <mergeCell ref="B25:E25"/>
    <mergeCell ref="F26:I26"/>
    <mergeCell ref="F22:I22"/>
  </mergeCells>
  <pageMargins left="0.7" right="0.7" top="0.75" bottom="0.75" header="0.3" footer="0.3"/>
  <pageSetup paperSize="9" orientation="portrait" horizontalDpi="0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H14"/>
  <sheetViews>
    <sheetView workbookViewId="0">
      <selection sqref="A1:H1"/>
    </sheetView>
  </sheetViews>
  <sheetFormatPr defaultRowHeight="15.6" x14ac:dyDescent="0.3"/>
  <cols>
    <col min="1" max="1" width="8.88671875" style="318"/>
    <col min="2" max="2" width="11.109375" style="318" bestFit="1" customWidth="1"/>
    <col min="3" max="3" width="17.109375" style="318" customWidth="1"/>
    <col min="4" max="4" width="17.6640625" style="318" customWidth="1"/>
    <col min="5" max="5" width="15.21875" style="318" customWidth="1"/>
    <col min="6" max="6" width="18.5546875" style="318" customWidth="1"/>
    <col min="7" max="7" width="8.77734375" style="318" customWidth="1"/>
    <col min="8" max="8" width="9.44140625" style="318" customWidth="1"/>
    <col min="9" max="16384" width="8.88671875" style="318"/>
  </cols>
  <sheetData>
    <row r="1" spans="1:8" x14ac:dyDescent="0.3">
      <c r="A1" s="673" t="s">
        <v>586</v>
      </c>
      <c r="B1" s="673"/>
      <c r="C1" s="673"/>
      <c r="D1" s="673"/>
      <c r="E1" s="673"/>
      <c r="F1" s="673"/>
      <c r="G1" s="673"/>
      <c r="H1" s="673"/>
    </row>
    <row r="2" spans="1:8" x14ac:dyDescent="0.3">
      <c r="A2" s="310" t="s">
        <v>580</v>
      </c>
      <c r="B2" s="677" t="s">
        <v>789</v>
      </c>
      <c r="C2" s="678"/>
      <c r="D2" s="677" t="s">
        <v>582</v>
      </c>
      <c r="E2" s="678"/>
      <c r="F2" s="678"/>
      <c r="G2" s="311" t="s">
        <v>583</v>
      </c>
      <c r="H2" s="311" t="s">
        <v>584</v>
      </c>
    </row>
    <row r="3" spans="1:8" ht="38.4" customHeight="1" x14ac:dyDescent="0.3">
      <c r="A3" s="310">
        <v>1</v>
      </c>
      <c r="B3" s="679" t="s">
        <v>836</v>
      </c>
      <c r="C3" s="680"/>
      <c r="D3" s="706" t="s">
        <v>832</v>
      </c>
      <c r="E3" s="707"/>
      <c r="F3" s="707"/>
      <c r="G3" s="312" t="s">
        <v>571</v>
      </c>
      <c r="H3" s="313">
        <v>2019.5709999999997</v>
      </c>
    </row>
    <row r="4" spans="1:8" ht="38.4" customHeight="1" x14ac:dyDescent="0.3">
      <c r="A4" s="314">
        <v>2</v>
      </c>
      <c r="B4" s="682" t="s">
        <v>837</v>
      </c>
      <c r="C4" s="683"/>
      <c r="D4" s="708" t="s">
        <v>832</v>
      </c>
      <c r="E4" s="709"/>
      <c r="F4" s="709"/>
      <c r="G4" s="315" t="s">
        <v>571</v>
      </c>
      <c r="H4" s="316">
        <v>187.29249999999999</v>
      </c>
    </row>
    <row r="5" spans="1:8" ht="38.4" customHeight="1" x14ac:dyDescent="0.3">
      <c r="A5" s="310">
        <v>3</v>
      </c>
      <c r="B5" s="679" t="s">
        <v>836</v>
      </c>
      <c r="C5" s="680"/>
      <c r="D5" s="706" t="s">
        <v>833</v>
      </c>
      <c r="E5" s="707"/>
      <c r="F5" s="707"/>
      <c r="G5" s="312" t="s">
        <v>571</v>
      </c>
      <c r="H5" s="313">
        <v>921.35473500000012</v>
      </c>
    </row>
    <row r="6" spans="1:8" ht="38.4" customHeight="1" x14ac:dyDescent="0.3">
      <c r="A6" s="314">
        <v>4</v>
      </c>
      <c r="B6" s="682" t="s">
        <v>837</v>
      </c>
      <c r="C6" s="683"/>
      <c r="D6" s="708" t="s">
        <v>834</v>
      </c>
      <c r="E6" s="709"/>
      <c r="F6" s="709"/>
      <c r="G6" s="315" t="s">
        <v>571</v>
      </c>
      <c r="H6" s="316">
        <v>1.6559999999999999</v>
      </c>
    </row>
    <row r="7" spans="1:8" ht="38.4" customHeight="1" x14ac:dyDescent="0.3">
      <c r="A7" s="310">
        <v>5</v>
      </c>
      <c r="B7" s="679" t="s">
        <v>836</v>
      </c>
      <c r="C7" s="680"/>
      <c r="D7" s="706" t="s">
        <v>835</v>
      </c>
      <c r="E7" s="707"/>
      <c r="F7" s="707"/>
      <c r="G7" s="312" t="s">
        <v>571</v>
      </c>
      <c r="H7" s="313">
        <v>308.42155000000002</v>
      </c>
    </row>
    <row r="8" spans="1:8" ht="38.4" customHeight="1" x14ac:dyDescent="0.3">
      <c r="A8" s="314">
        <v>6</v>
      </c>
      <c r="B8" s="682" t="s">
        <v>837</v>
      </c>
      <c r="C8" s="683"/>
      <c r="D8" s="708" t="s">
        <v>835</v>
      </c>
      <c r="E8" s="709"/>
      <c r="F8" s="709"/>
      <c r="G8" s="315" t="s">
        <v>571</v>
      </c>
      <c r="H8" s="316">
        <v>21.026000000000003</v>
      </c>
    </row>
    <row r="9" spans="1:8" x14ac:dyDescent="0.3">
      <c r="A9" s="676"/>
      <c r="B9" s="676"/>
      <c r="C9" s="676"/>
      <c r="D9" s="676"/>
      <c r="E9" s="676"/>
      <c r="F9" s="676"/>
      <c r="G9" s="676"/>
      <c r="H9" s="676"/>
    </row>
    <row r="10" spans="1:8" s="319" customFormat="1" ht="99.6" customHeight="1" x14ac:dyDescent="0.3">
      <c r="A10" s="317"/>
      <c r="B10" s="321" t="s">
        <v>841</v>
      </c>
      <c r="C10" s="321" t="s">
        <v>844</v>
      </c>
      <c r="D10" s="321" t="s">
        <v>842</v>
      </c>
      <c r="E10" s="321" t="s">
        <v>845</v>
      </c>
      <c r="F10" s="321" t="s">
        <v>843</v>
      </c>
      <c r="G10" s="700" t="s">
        <v>846</v>
      </c>
      <c r="H10" s="700"/>
    </row>
    <row r="11" spans="1:8" x14ac:dyDescent="0.3">
      <c r="A11" s="320" t="s">
        <v>838</v>
      </c>
      <c r="B11" s="320">
        <v>654.87799999999993</v>
      </c>
      <c r="C11" s="320">
        <v>20.842499999999998</v>
      </c>
      <c r="D11" s="320">
        <v>257.89698500000003</v>
      </c>
      <c r="E11" s="320">
        <v>0</v>
      </c>
      <c r="F11" s="320">
        <v>107.64855000000001</v>
      </c>
      <c r="G11" s="695">
        <v>9.2690000000000019</v>
      </c>
      <c r="H11" s="695"/>
    </row>
    <row r="12" spans="1:8" x14ac:dyDescent="0.3">
      <c r="A12" s="320" t="s">
        <v>839</v>
      </c>
      <c r="B12" s="320">
        <v>653.30674999999985</v>
      </c>
      <c r="C12" s="320">
        <v>82.800750000000008</v>
      </c>
      <c r="D12" s="320">
        <v>322.58204999999998</v>
      </c>
      <c r="E12" s="320">
        <v>1.6559999999999999</v>
      </c>
      <c r="F12" s="320">
        <v>172.68799999999999</v>
      </c>
      <c r="G12" s="695">
        <v>10.587</v>
      </c>
      <c r="H12" s="695"/>
    </row>
    <row r="13" spans="1:8" x14ac:dyDescent="0.3">
      <c r="A13" s="320" t="s">
        <v>840</v>
      </c>
      <c r="B13" s="320">
        <v>711.38625000000002</v>
      </c>
      <c r="C13" s="320">
        <v>83.649249999999995</v>
      </c>
      <c r="D13" s="320">
        <v>340.87569999999999</v>
      </c>
      <c r="E13" s="320">
        <v>0</v>
      </c>
      <c r="F13" s="320">
        <v>28.084999999999997</v>
      </c>
      <c r="G13" s="695">
        <v>1.17</v>
      </c>
      <c r="H13" s="695"/>
    </row>
    <row r="14" spans="1:8" x14ac:dyDescent="0.3">
      <c r="A14" s="320"/>
      <c r="B14" s="322">
        <f>SUM(B11:B13)</f>
        <v>2019.5709999999999</v>
      </c>
      <c r="C14" s="322">
        <f>SUM(C11:C13)</f>
        <v>187.29250000000002</v>
      </c>
      <c r="D14" s="322">
        <f>SUM(D11:D13)</f>
        <v>921.35473500000012</v>
      </c>
      <c r="E14" s="322">
        <f>SUM(E11:E13)</f>
        <v>1.6559999999999999</v>
      </c>
      <c r="F14" s="322">
        <f>SUM(F11:F13)</f>
        <v>308.42154999999997</v>
      </c>
      <c r="G14" s="699">
        <f t="shared" ref="G14" si="0">SUM(G11:G13)</f>
        <v>21.026000000000003</v>
      </c>
      <c r="H14" s="699"/>
    </row>
  </sheetData>
  <mergeCells count="21">
    <mergeCell ref="B4:C4"/>
    <mergeCell ref="D4:F4"/>
    <mergeCell ref="A1:H1"/>
    <mergeCell ref="B2:C2"/>
    <mergeCell ref="D2:F2"/>
    <mergeCell ref="B3:C3"/>
    <mergeCell ref="D3:F3"/>
    <mergeCell ref="G14:H14"/>
    <mergeCell ref="A9:H9"/>
    <mergeCell ref="B5:C5"/>
    <mergeCell ref="D5:F5"/>
    <mergeCell ref="B6:C6"/>
    <mergeCell ref="D6:F6"/>
    <mergeCell ref="B7:C7"/>
    <mergeCell ref="D7:F7"/>
    <mergeCell ref="B8:C8"/>
    <mergeCell ref="D8:F8"/>
    <mergeCell ref="G10:H10"/>
    <mergeCell ref="G11:H11"/>
    <mergeCell ref="G12:H12"/>
    <mergeCell ref="G13:H13"/>
  </mergeCells>
  <pageMargins left="0.7" right="0.7" top="0.75" bottom="0.75" header="0.3" footer="0.3"/>
  <pageSetup paperSize="9" orientation="portrait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79"/>
  <sheetViews>
    <sheetView workbookViewId="0"/>
  </sheetViews>
  <sheetFormatPr defaultRowHeight="13.2" x14ac:dyDescent="0.25"/>
  <cols>
    <col min="1" max="1" width="18.5546875" style="198" customWidth="1"/>
    <col min="2" max="2" width="10.5546875" style="198" customWidth="1"/>
    <col min="3" max="3" width="8.88671875" style="198"/>
  </cols>
  <sheetData>
    <row r="2" spans="1:3" ht="13.2" customHeight="1" x14ac:dyDescent="0.25">
      <c r="A2" s="104" t="s">
        <v>1</v>
      </c>
    </row>
    <row r="3" spans="1:3" ht="17.399999999999999" x14ac:dyDescent="0.25">
      <c r="A3" s="104"/>
      <c r="B3" s="198" t="s">
        <v>571</v>
      </c>
      <c r="C3" s="262" t="s">
        <v>571</v>
      </c>
    </row>
    <row r="4" spans="1:3" ht="34.799999999999997" x14ac:dyDescent="0.25">
      <c r="A4" s="104" t="s">
        <v>1</v>
      </c>
      <c r="B4" s="198" t="s">
        <v>813</v>
      </c>
      <c r="C4" s="261" t="s">
        <v>64</v>
      </c>
    </row>
    <row r="5" spans="1:3" ht="14.4" x14ac:dyDescent="0.25">
      <c r="A5" s="99" t="s">
        <v>65</v>
      </c>
      <c r="B5" s="101">
        <v>0</v>
      </c>
      <c r="C5" s="101">
        <v>0</v>
      </c>
    </row>
    <row r="6" spans="1:3" ht="14.4" x14ac:dyDescent="0.25">
      <c r="A6" s="99" t="s">
        <v>69</v>
      </c>
      <c r="B6" s="101">
        <v>6.3</v>
      </c>
      <c r="C6" s="101">
        <v>15.1</v>
      </c>
    </row>
    <row r="7" spans="1:3" ht="14.4" x14ac:dyDescent="0.25">
      <c r="A7" s="99" t="s">
        <v>72</v>
      </c>
      <c r="B7" s="101">
        <v>0</v>
      </c>
      <c r="C7" s="101">
        <v>27.1</v>
      </c>
    </row>
    <row r="8" spans="1:3" ht="14.4" x14ac:dyDescent="0.25">
      <c r="A8" s="99" t="s">
        <v>75</v>
      </c>
      <c r="B8" s="101">
        <v>160.5</v>
      </c>
      <c r="C8" s="101">
        <v>6.4</v>
      </c>
    </row>
    <row r="9" spans="1:3" ht="14.4" x14ac:dyDescent="0.25">
      <c r="A9" s="99" t="s">
        <v>78</v>
      </c>
      <c r="B9" s="101">
        <v>31.8</v>
      </c>
      <c r="C9" s="101">
        <v>13.6</v>
      </c>
    </row>
    <row r="10" spans="1:3" ht="14.4" x14ac:dyDescent="0.25">
      <c r="A10" s="99" t="s">
        <v>80</v>
      </c>
      <c r="B10" s="101">
        <v>15</v>
      </c>
      <c r="C10" s="101">
        <v>21.5</v>
      </c>
    </row>
    <row r="11" spans="1:3" ht="14.4" x14ac:dyDescent="0.25">
      <c r="A11" s="99" t="s">
        <v>82</v>
      </c>
      <c r="B11" s="101">
        <v>34.299999999999997</v>
      </c>
      <c r="C11" s="101">
        <v>0</v>
      </c>
    </row>
    <row r="12" spans="1:3" ht="14.4" x14ac:dyDescent="0.25">
      <c r="A12" s="99" t="s">
        <v>84</v>
      </c>
      <c r="B12" s="101">
        <v>72.599999999999994</v>
      </c>
      <c r="C12" s="101">
        <v>16</v>
      </c>
    </row>
    <row r="13" spans="1:3" ht="14.4" x14ac:dyDescent="0.25">
      <c r="A13" s="99" t="s">
        <v>86</v>
      </c>
      <c r="B13" s="101">
        <v>72.5</v>
      </c>
      <c r="C13" s="101">
        <v>8.1999999999999993</v>
      </c>
    </row>
    <row r="14" spans="1:3" ht="14.4" x14ac:dyDescent="0.25">
      <c r="A14" s="7" t="s">
        <v>88</v>
      </c>
      <c r="B14" s="9">
        <v>54.4</v>
      </c>
      <c r="C14" s="9">
        <v>6.4</v>
      </c>
    </row>
    <row r="15" spans="1:3" ht="14.4" x14ac:dyDescent="0.25">
      <c r="A15" s="7" t="s">
        <v>91</v>
      </c>
      <c r="B15" s="9">
        <v>14.3</v>
      </c>
      <c r="C15" s="9">
        <v>7.8</v>
      </c>
    </row>
    <row r="16" spans="1:3" ht="14.4" x14ac:dyDescent="0.25">
      <c r="A16" s="260" t="s">
        <v>95</v>
      </c>
      <c r="B16" s="121">
        <v>31.6</v>
      </c>
      <c r="C16" s="121">
        <v>26.2</v>
      </c>
    </row>
    <row r="17" spans="1:3" ht="14.4" x14ac:dyDescent="0.25">
      <c r="A17" s="260" t="s">
        <v>99</v>
      </c>
      <c r="B17" s="121">
        <v>0</v>
      </c>
      <c r="C17" s="121">
        <v>30.1</v>
      </c>
    </row>
    <row r="18" spans="1:3" ht="14.4" x14ac:dyDescent="0.25">
      <c r="A18" s="260" t="s">
        <v>103</v>
      </c>
      <c r="B18" s="121">
        <v>0</v>
      </c>
      <c r="C18" s="121">
        <v>27.6</v>
      </c>
    </row>
    <row r="19" spans="1:3" ht="14.4" x14ac:dyDescent="0.25">
      <c r="A19" s="260" t="s">
        <v>106</v>
      </c>
      <c r="B19" s="121">
        <v>0</v>
      </c>
      <c r="C19" s="121">
        <v>30.4</v>
      </c>
    </row>
    <row r="20" spans="1:3" ht="14.4" x14ac:dyDescent="0.25">
      <c r="A20" s="260" t="s">
        <v>110</v>
      </c>
      <c r="B20" s="121">
        <v>4.8</v>
      </c>
      <c r="C20" s="121">
        <v>16.7</v>
      </c>
    </row>
    <row r="21" spans="1:3" ht="14.4" x14ac:dyDescent="0.25">
      <c r="A21" s="260" t="s">
        <v>114</v>
      </c>
      <c r="B21" s="121">
        <v>5.3</v>
      </c>
      <c r="C21" s="121">
        <v>39.1</v>
      </c>
    </row>
    <row r="22" spans="1:3" ht="14.4" x14ac:dyDescent="0.25">
      <c r="A22" s="260" t="s">
        <v>118</v>
      </c>
      <c r="B22" s="121">
        <v>3</v>
      </c>
      <c r="C22" s="121">
        <v>49</v>
      </c>
    </row>
    <row r="23" spans="1:3" ht="14.4" x14ac:dyDescent="0.25">
      <c r="A23" s="263" t="s">
        <v>660</v>
      </c>
      <c r="B23" s="121">
        <v>0.7</v>
      </c>
      <c r="C23" s="87">
        <v>28.7</v>
      </c>
    </row>
    <row r="24" spans="1:3" ht="14.4" x14ac:dyDescent="0.25">
      <c r="A24" s="7" t="s">
        <v>89</v>
      </c>
      <c r="B24" s="9">
        <v>24.1</v>
      </c>
      <c r="C24" s="82">
        <v>35.700000000000003</v>
      </c>
    </row>
    <row r="25" spans="1:3" ht="14.4" x14ac:dyDescent="0.25">
      <c r="A25" s="260" t="s">
        <v>92</v>
      </c>
      <c r="B25" s="121">
        <v>14.3</v>
      </c>
      <c r="C25" s="87">
        <v>21.7</v>
      </c>
    </row>
    <row r="26" spans="1:3" ht="14.4" x14ac:dyDescent="0.25">
      <c r="A26" s="260" t="s">
        <v>97</v>
      </c>
      <c r="B26" s="121">
        <v>9</v>
      </c>
      <c r="C26" s="87">
        <v>20.9</v>
      </c>
    </row>
    <row r="27" spans="1:3" ht="14.4" x14ac:dyDescent="0.25">
      <c r="A27" s="260" t="s">
        <v>101</v>
      </c>
      <c r="B27" s="121">
        <v>12.2</v>
      </c>
      <c r="C27" s="87">
        <v>12.6</v>
      </c>
    </row>
    <row r="28" spans="1:3" ht="14.4" x14ac:dyDescent="0.25">
      <c r="A28" s="260" t="s">
        <v>104</v>
      </c>
      <c r="B28" s="121">
        <v>10.1</v>
      </c>
      <c r="C28" s="87">
        <v>23.6</v>
      </c>
    </row>
    <row r="29" spans="1:3" ht="14.4" x14ac:dyDescent="0.25">
      <c r="A29" s="7" t="s">
        <v>108</v>
      </c>
      <c r="B29" s="9">
        <v>11.3</v>
      </c>
      <c r="C29" s="82">
        <v>26.4</v>
      </c>
    </row>
    <row r="30" spans="1:3" ht="14.4" x14ac:dyDescent="0.25">
      <c r="A30" s="7" t="s">
        <v>112</v>
      </c>
      <c r="B30" s="9">
        <v>39.4</v>
      </c>
      <c r="C30" s="82">
        <v>0</v>
      </c>
    </row>
    <row r="31" spans="1:3" ht="14.4" x14ac:dyDescent="0.25">
      <c r="A31" s="267" t="s">
        <v>505</v>
      </c>
      <c r="B31" s="268">
        <v>40.799999999999997</v>
      </c>
      <c r="C31" s="269">
        <v>0</v>
      </c>
    </row>
    <row r="32" spans="1:3" ht="14.4" x14ac:dyDescent="0.25">
      <c r="A32" s="267" t="s">
        <v>506</v>
      </c>
      <c r="B32" s="268">
        <v>37.299999999999997</v>
      </c>
      <c r="C32" s="269">
        <v>0</v>
      </c>
    </row>
    <row r="33" spans="1:3" ht="14.4" x14ac:dyDescent="0.25">
      <c r="A33" s="7" t="s">
        <v>120</v>
      </c>
      <c r="B33" s="9">
        <v>59.7</v>
      </c>
      <c r="C33" s="9">
        <v>0</v>
      </c>
    </row>
    <row r="34" spans="1:3" ht="14.4" x14ac:dyDescent="0.25">
      <c r="A34" s="7" t="s">
        <v>122</v>
      </c>
      <c r="B34" s="9">
        <v>88.7</v>
      </c>
      <c r="C34" s="9">
        <v>23.7</v>
      </c>
    </row>
    <row r="35" spans="1:3" ht="14.4" x14ac:dyDescent="0.25">
      <c r="A35" s="265" t="s">
        <v>509</v>
      </c>
      <c r="B35" s="266">
        <v>117.7</v>
      </c>
      <c r="C35" s="266">
        <v>4.5</v>
      </c>
    </row>
    <row r="36" spans="1:3" ht="14.4" x14ac:dyDescent="0.25">
      <c r="A36" s="7" t="s">
        <v>125</v>
      </c>
      <c r="B36" s="9">
        <v>0</v>
      </c>
      <c r="C36" s="9">
        <v>0</v>
      </c>
    </row>
    <row r="37" spans="1:3" ht="14.4" x14ac:dyDescent="0.25">
      <c r="A37" s="7" t="s">
        <v>127</v>
      </c>
      <c r="B37" s="9">
        <v>0</v>
      </c>
      <c r="C37" s="9">
        <v>0</v>
      </c>
    </row>
    <row r="38" spans="1:3" ht="14.4" x14ac:dyDescent="0.25">
      <c r="A38" s="7" t="s">
        <v>129</v>
      </c>
      <c r="B38" s="9">
        <v>0</v>
      </c>
      <c r="C38" s="9">
        <v>0</v>
      </c>
    </row>
    <row r="39" spans="1:3" ht="14.4" x14ac:dyDescent="0.25">
      <c r="A39" s="7" t="s">
        <v>131</v>
      </c>
      <c r="B39" s="9">
        <v>0</v>
      </c>
      <c r="C39" s="9">
        <v>13.7</v>
      </c>
    </row>
    <row r="40" spans="1:3" ht="14.4" x14ac:dyDescent="0.25">
      <c r="A40" s="7" t="s">
        <v>133</v>
      </c>
      <c r="B40" s="9">
        <v>21.2</v>
      </c>
      <c r="C40" s="9">
        <v>0</v>
      </c>
    </row>
    <row r="41" spans="1:3" ht="14.4" x14ac:dyDescent="0.25">
      <c r="A41" s="260" t="s">
        <v>135</v>
      </c>
      <c r="B41" s="121">
        <v>0</v>
      </c>
      <c r="C41" s="121">
        <v>38.9</v>
      </c>
    </row>
    <row r="42" spans="1:3" ht="14.4" x14ac:dyDescent="0.25">
      <c r="A42" s="260" t="s">
        <v>137</v>
      </c>
      <c r="B42" s="121">
        <v>87.3</v>
      </c>
      <c r="C42" s="121">
        <v>21.2</v>
      </c>
    </row>
    <row r="43" spans="1:3" ht="14.4" x14ac:dyDescent="0.25">
      <c r="A43" s="7" t="s">
        <v>140</v>
      </c>
      <c r="B43" s="9">
        <v>100.1</v>
      </c>
      <c r="C43" s="9">
        <v>2</v>
      </c>
    </row>
    <row r="44" spans="1:3" ht="14.4" x14ac:dyDescent="0.25">
      <c r="A44" s="7" t="s">
        <v>142</v>
      </c>
      <c r="B44" s="9">
        <v>22.3</v>
      </c>
      <c r="C44" s="9">
        <v>27.9</v>
      </c>
    </row>
    <row r="45" spans="1:3" ht="14.4" x14ac:dyDescent="0.25">
      <c r="A45" s="7" t="s">
        <v>144</v>
      </c>
      <c r="B45" s="9">
        <v>62.9</v>
      </c>
      <c r="C45" s="9">
        <v>69.3</v>
      </c>
    </row>
    <row r="46" spans="1:3" ht="14.4" x14ac:dyDescent="0.25">
      <c r="A46" s="7" t="s">
        <v>146</v>
      </c>
      <c r="B46" s="9">
        <v>0</v>
      </c>
      <c r="C46" s="9">
        <v>61.5</v>
      </c>
    </row>
    <row r="47" spans="1:3" ht="14.4" x14ac:dyDescent="0.25">
      <c r="A47" s="7" t="s">
        <v>148</v>
      </c>
      <c r="B47" s="9">
        <v>0</v>
      </c>
      <c r="C47" s="9">
        <v>51.6</v>
      </c>
    </row>
    <row r="48" spans="1:3" ht="14.4" x14ac:dyDescent="0.25">
      <c r="A48" s="7" t="s">
        <v>150</v>
      </c>
      <c r="B48" s="9">
        <v>0</v>
      </c>
      <c r="C48" s="9">
        <v>86.5</v>
      </c>
    </row>
    <row r="49" spans="1:3" ht="14.4" x14ac:dyDescent="0.25">
      <c r="A49" s="7" t="s">
        <v>152</v>
      </c>
      <c r="B49" s="9">
        <v>0</v>
      </c>
      <c r="C49" s="9">
        <v>52.8</v>
      </c>
    </row>
    <row r="50" spans="1:3" ht="14.4" x14ac:dyDescent="0.25">
      <c r="A50" s="260" t="s">
        <v>154</v>
      </c>
      <c r="B50" s="121">
        <v>0</v>
      </c>
      <c r="C50" s="121">
        <v>48.2</v>
      </c>
    </row>
    <row r="51" spans="1:3" ht="14.4" x14ac:dyDescent="0.25">
      <c r="A51" s="260" t="s">
        <v>156</v>
      </c>
      <c r="B51" s="121">
        <v>0</v>
      </c>
      <c r="C51" s="121">
        <v>54.7</v>
      </c>
    </row>
    <row r="52" spans="1:3" ht="14.4" x14ac:dyDescent="0.25">
      <c r="A52" s="260" t="s">
        <v>158</v>
      </c>
      <c r="B52" s="121">
        <v>8.5</v>
      </c>
      <c r="C52" s="121">
        <v>22.5</v>
      </c>
    </row>
    <row r="53" spans="1:3" ht="14.4" x14ac:dyDescent="0.25">
      <c r="A53" s="7" t="s">
        <v>160</v>
      </c>
      <c r="B53" s="9">
        <v>0</v>
      </c>
      <c r="C53" s="9">
        <v>18.8</v>
      </c>
    </row>
    <row r="54" spans="1:3" ht="14.4" x14ac:dyDescent="0.25">
      <c r="A54" s="7" t="s">
        <v>161</v>
      </c>
      <c r="B54" s="9">
        <v>0</v>
      </c>
      <c r="C54" s="9">
        <v>23.8</v>
      </c>
    </row>
    <row r="55" spans="1:3" ht="14.4" x14ac:dyDescent="0.25">
      <c r="A55" s="7" t="s">
        <v>163</v>
      </c>
      <c r="B55" s="9">
        <v>0</v>
      </c>
      <c r="C55" s="9">
        <v>0</v>
      </c>
    </row>
    <row r="56" spans="1:3" ht="14.4" x14ac:dyDescent="0.25">
      <c r="A56" s="7" t="s">
        <v>166</v>
      </c>
      <c r="B56" s="9">
        <v>0</v>
      </c>
      <c r="C56" s="9">
        <v>0</v>
      </c>
    </row>
    <row r="57" spans="1:3" ht="14.4" x14ac:dyDescent="0.25">
      <c r="A57" s="7" t="s">
        <v>167</v>
      </c>
      <c r="B57" s="9">
        <v>0</v>
      </c>
      <c r="C57" s="9">
        <v>26.5</v>
      </c>
    </row>
    <row r="58" spans="1:3" ht="14.4" x14ac:dyDescent="0.25">
      <c r="A58" s="7" t="s">
        <v>168</v>
      </c>
      <c r="B58" s="9">
        <v>4.5</v>
      </c>
      <c r="C58" s="9">
        <v>53.1</v>
      </c>
    </row>
    <row r="59" spans="1:3" ht="14.4" x14ac:dyDescent="0.25">
      <c r="A59" s="7" t="s">
        <v>170</v>
      </c>
      <c r="B59" s="9">
        <v>0.8</v>
      </c>
      <c r="C59" s="9">
        <v>34</v>
      </c>
    </row>
    <row r="60" spans="1:3" ht="14.4" x14ac:dyDescent="0.25">
      <c r="A60" s="260" t="s">
        <v>172</v>
      </c>
      <c r="B60" s="121">
        <v>1.5</v>
      </c>
      <c r="C60" s="121">
        <v>32.799999999999997</v>
      </c>
    </row>
    <row r="61" spans="1:3" ht="14.4" x14ac:dyDescent="0.25">
      <c r="A61" s="60" t="s">
        <v>174</v>
      </c>
      <c r="B61" s="90">
        <v>5.6</v>
      </c>
      <c r="C61" s="90">
        <v>51.2</v>
      </c>
    </row>
    <row r="62" spans="1:3" ht="14.4" x14ac:dyDescent="0.25">
      <c r="A62" s="260" t="s">
        <v>176</v>
      </c>
      <c r="B62" s="121">
        <v>6.7</v>
      </c>
      <c r="C62" s="121">
        <v>143.9</v>
      </c>
    </row>
    <row r="63" spans="1:3" ht="14.4" x14ac:dyDescent="0.25">
      <c r="A63" s="7" t="s">
        <v>177</v>
      </c>
      <c r="B63" s="9">
        <v>0</v>
      </c>
      <c r="C63" s="9">
        <v>0</v>
      </c>
    </row>
    <row r="64" spans="1:3" ht="14.4" x14ac:dyDescent="0.25">
      <c r="A64" s="7" t="s">
        <v>179</v>
      </c>
      <c r="B64" s="9">
        <v>40</v>
      </c>
      <c r="C64" s="9">
        <v>6.5</v>
      </c>
    </row>
    <row r="65" spans="1:3" ht="14.4" x14ac:dyDescent="0.25">
      <c r="A65" s="265" t="s">
        <v>539</v>
      </c>
      <c r="B65" s="266">
        <v>29.6</v>
      </c>
      <c r="C65" s="266">
        <v>0</v>
      </c>
    </row>
    <row r="66" spans="1:3" ht="14.4" x14ac:dyDescent="0.25">
      <c r="A66" s="265" t="s">
        <v>540</v>
      </c>
      <c r="B66" s="266">
        <v>8.8000000000000007</v>
      </c>
      <c r="C66" s="266">
        <v>28.9</v>
      </c>
    </row>
    <row r="67" spans="1:3" ht="14.4" x14ac:dyDescent="0.25">
      <c r="A67" s="7" t="s">
        <v>185</v>
      </c>
      <c r="B67" s="9">
        <v>0</v>
      </c>
      <c r="C67" s="9">
        <v>0</v>
      </c>
    </row>
    <row r="68" spans="1:3" ht="14.4" x14ac:dyDescent="0.25">
      <c r="A68" s="265" t="s">
        <v>542</v>
      </c>
      <c r="B68" s="266">
        <v>6.4</v>
      </c>
      <c r="C68" s="266">
        <v>38.299999999999997</v>
      </c>
    </row>
    <row r="69" spans="1:3" ht="14.4" x14ac:dyDescent="0.25">
      <c r="A69" s="267" t="s">
        <v>543</v>
      </c>
      <c r="B69" s="268">
        <v>5.2</v>
      </c>
      <c r="C69" s="268">
        <v>35</v>
      </c>
    </row>
    <row r="70" spans="1:3" ht="14.4" x14ac:dyDescent="0.25">
      <c r="A70" s="260" t="s">
        <v>191</v>
      </c>
      <c r="B70" s="121">
        <v>0</v>
      </c>
      <c r="C70" s="121">
        <v>79.900000000000006</v>
      </c>
    </row>
    <row r="71" spans="1:3" ht="14.4" x14ac:dyDescent="0.25">
      <c r="A71" s="260" t="s">
        <v>193</v>
      </c>
      <c r="B71" s="121">
        <v>11.5</v>
      </c>
      <c r="C71" s="121">
        <v>33.5</v>
      </c>
    </row>
    <row r="72" spans="1:3" ht="14.4" x14ac:dyDescent="0.25">
      <c r="A72" s="265" t="s">
        <v>546</v>
      </c>
      <c r="B72" s="266">
        <v>33.1</v>
      </c>
      <c r="C72" s="266">
        <v>19.2</v>
      </c>
    </row>
    <row r="73" spans="1:3" ht="14.4" x14ac:dyDescent="0.25">
      <c r="A73" s="265" t="s">
        <v>547</v>
      </c>
      <c r="B73" s="266">
        <v>6.3</v>
      </c>
      <c r="C73" s="266">
        <v>29</v>
      </c>
    </row>
    <row r="74" spans="1:3" ht="14.4" x14ac:dyDescent="0.25">
      <c r="A74" s="7" t="s">
        <v>198</v>
      </c>
      <c r="B74" s="9">
        <v>0</v>
      </c>
      <c r="C74" s="9">
        <v>0</v>
      </c>
    </row>
    <row r="75" spans="1:3" ht="14.4" x14ac:dyDescent="0.25">
      <c r="A75" s="265" t="s">
        <v>549</v>
      </c>
      <c r="B75" s="266">
        <v>5.0999999999999996</v>
      </c>
      <c r="C75" s="266">
        <v>35</v>
      </c>
    </row>
    <row r="76" spans="1:3" ht="14.4" x14ac:dyDescent="0.25">
      <c r="A76" s="7" t="s">
        <v>200</v>
      </c>
      <c r="B76" s="9">
        <v>0</v>
      </c>
      <c r="C76" s="9">
        <v>80.2</v>
      </c>
    </row>
    <row r="77" spans="1:3" ht="14.4" x14ac:dyDescent="0.25">
      <c r="A77" s="7" t="s">
        <v>201</v>
      </c>
      <c r="B77" s="9">
        <v>5.7</v>
      </c>
      <c r="C77" s="9">
        <v>36.200000000000003</v>
      </c>
    </row>
    <row r="78" spans="1:3" ht="14.4" x14ac:dyDescent="0.25">
      <c r="A78" s="260" t="s">
        <v>202</v>
      </c>
      <c r="B78" s="121">
        <v>8.1</v>
      </c>
      <c r="C78" s="121">
        <v>19.899999999999999</v>
      </c>
    </row>
    <row r="79" spans="1:3" ht="14.4" x14ac:dyDescent="0.25">
      <c r="A79" s="260" t="s">
        <v>203</v>
      </c>
      <c r="B79" s="121">
        <v>2.2000000000000002</v>
      </c>
      <c r="C79" s="121">
        <v>36.5</v>
      </c>
    </row>
    <row r="80" spans="1:3" ht="14.4" x14ac:dyDescent="0.25">
      <c r="A80" s="7" t="s">
        <v>204</v>
      </c>
      <c r="B80" s="9">
        <v>0</v>
      </c>
      <c r="C80" s="9">
        <v>41.9</v>
      </c>
    </row>
    <row r="81" spans="1:3" ht="14.4" x14ac:dyDescent="0.25">
      <c r="A81" s="7" t="s">
        <v>206</v>
      </c>
      <c r="B81" s="9">
        <v>47.6</v>
      </c>
      <c r="C81" s="9">
        <v>14.6</v>
      </c>
    </row>
    <row r="82" spans="1:3" ht="14.4" x14ac:dyDescent="0.25">
      <c r="A82" s="7" t="s">
        <v>207</v>
      </c>
      <c r="B82" s="9">
        <v>74</v>
      </c>
      <c r="C82" s="9">
        <v>7.2</v>
      </c>
    </row>
    <row r="83" spans="1:3" ht="14.4" x14ac:dyDescent="0.25">
      <c r="A83" s="7" t="s">
        <v>208</v>
      </c>
      <c r="B83" s="9">
        <v>0</v>
      </c>
      <c r="C83" s="9">
        <v>0</v>
      </c>
    </row>
    <row r="84" spans="1:3" ht="14.4" x14ac:dyDescent="0.25">
      <c r="A84" s="7" t="s">
        <v>211</v>
      </c>
      <c r="B84" s="9">
        <v>0</v>
      </c>
      <c r="C84" s="9">
        <v>0</v>
      </c>
    </row>
    <row r="85" spans="1:3" ht="14.4" x14ac:dyDescent="0.25">
      <c r="A85" s="260" t="s">
        <v>213</v>
      </c>
      <c r="B85" s="121">
        <v>4.8</v>
      </c>
      <c r="C85" s="121">
        <v>9.1</v>
      </c>
    </row>
    <row r="86" spans="1:3" ht="14.4" x14ac:dyDescent="0.25">
      <c r="A86" s="260" t="s">
        <v>214</v>
      </c>
      <c r="B86" s="121">
        <v>73.900000000000006</v>
      </c>
      <c r="C86" s="121">
        <v>36.4</v>
      </c>
    </row>
    <row r="87" spans="1:3" ht="14.4" x14ac:dyDescent="0.25">
      <c r="A87" s="99" t="s">
        <v>75</v>
      </c>
      <c r="B87" s="101">
        <v>45.7</v>
      </c>
      <c r="C87" s="101">
        <v>0</v>
      </c>
    </row>
    <row r="88" spans="1:3" ht="14.4" x14ac:dyDescent="0.25">
      <c r="A88" s="270" t="s">
        <v>425</v>
      </c>
      <c r="B88" s="271">
        <v>51.2</v>
      </c>
      <c r="C88" s="271">
        <v>13.6</v>
      </c>
    </row>
    <row r="89" spans="1:3" ht="14.4" x14ac:dyDescent="0.25">
      <c r="A89" s="99" t="s">
        <v>221</v>
      </c>
      <c r="B89" s="101">
        <v>71.900000000000006</v>
      </c>
      <c r="C89" s="101">
        <v>16.3</v>
      </c>
    </row>
    <row r="90" spans="1:3" ht="14.4" x14ac:dyDescent="0.25">
      <c r="A90" s="99" t="s">
        <v>225</v>
      </c>
      <c r="B90" s="101">
        <v>56.7</v>
      </c>
      <c r="C90" s="101">
        <v>19.100000000000001</v>
      </c>
    </row>
    <row r="91" spans="1:3" ht="14.4" x14ac:dyDescent="0.25">
      <c r="A91" s="270" t="s">
        <v>428</v>
      </c>
      <c r="B91" s="271">
        <v>15.4</v>
      </c>
      <c r="C91" s="271">
        <v>12.6</v>
      </c>
    </row>
    <row r="92" spans="1:3" ht="14.4" x14ac:dyDescent="0.25">
      <c r="A92" s="99" t="s">
        <v>232</v>
      </c>
      <c r="B92" s="101">
        <v>38.1</v>
      </c>
      <c r="C92" s="101">
        <v>17</v>
      </c>
    </row>
    <row r="93" spans="1:3" ht="14.4" x14ac:dyDescent="0.25">
      <c r="A93" s="99" t="s">
        <v>235</v>
      </c>
      <c r="B93" s="101">
        <v>39.200000000000003</v>
      </c>
      <c r="C93" s="101">
        <v>13</v>
      </c>
    </row>
    <row r="94" spans="1:3" ht="14.4" x14ac:dyDescent="0.25">
      <c r="A94" s="270" t="s">
        <v>431</v>
      </c>
      <c r="B94" s="271">
        <v>31.7</v>
      </c>
      <c r="C94" s="271">
        <v>0</v>
      </c>
    </row>
    <row r="95" spans="1:3" ht="14.4" x14ac:dyDescent="0.25">
      <c r="A95" s="270" t="s">
        <v>432</v>
      </c>
      <c r="B95" s="271">
        <v>81.400000000000006</v>
      </c>
      <c r="C95" s="271">
        <v>43.6</v>
      </c>
    </row>
    <row r="96" spans="1:3" ht="14.4" x14ac:dyDescent="0.25">
      <c r="A96" s="99" t="s">
        <v>244</v>
      </c>
      <c r="B96" s="101">
        <v>0</v>
      </c>
      <c r="C96" s="101">
        <v>36.299999999999997</v>
      </c>
    </row>
    <row r="97" spans="1:3" ht="14.4" x14ac:dyDescent="0.25">
      <c r="A97" s="264" t="s">
        <v>671</v>
      </c>
      <c r="B97" s="101">
        <v>0</v>
      </c>
      <c r="C97" s="101">
        <v>52</v>
      </c>
    </row>
    <row r="98" spans="1:3" ht="14.4" x14ac:dyDescent="0.25">
      <c r="A98" s="99" t="s">
        <v>215</v>
      </c>
      <c r="B98" s="101">
        <v>0</v>
      </c>
      <c r="C98" s="101">
        <v>37.5</v>
      </c>
    </row>
    <row r="99" spans="1:3" ht="14.4" x14ac:dyDescent="0.25">
      <c r="A99" s="99" t="s">
        <v>219</v>
      </c>
      <c r="B99" s="101">
        <v>9</v>
      </c>
      <c r="C99" s="101">
        <v>52.8</v>
      </c>
    </row>
    <row r="100" spans="1:3" ht="14.4" x14ac:dyDescent="0.25">
      <c r="A100" s="99" t="s">
        <v>223</v>
      </c>
      <c r="B100" s="101">
        <v>10.5</v>
      </c>
      <c r="C100" s="101">
        <v>41.4</v>
      </c>
    </row>
    <row r="101" spans="1:3" ht="14.4" x14ac:dyDescent="0.25">
      <c r="A101" s="99" t="s">
        <v>227</v>
      </c>
      <c r="B101" s="101">
        <v>7.4</v>
      </c>
      <c r="C101" s="101">
        <v>32.5</v>
      </c>
    </row>
    <row r="102" spans="1:3" ht="14.4" x14ac:dyDescent="0.25">
      <c r="A102" s="99" t="s">
        <v>230</v>
      </c>
      <c r="B102" s="101">
        <v>10.5</v>
      </c>
      <c r="C102" s="101">
        <v>55.2</v>
      </c>
    </row>
    <row r="103" spans="1:3" ht="14.4" x14ac:dyDescent="0.25">
      <c r="A103" s="99" t="s">
        <v>234</v>
      </c>
      <c r="B103" s="101">
        <v>1.6</v>
      </c>
      <c r="C103" s="101">
        <v>33.1</v>
      </c>
    </row>
    <row r="104" spans="1:3" ht="14.4" x14ac:dyDescent="0.25">
      <c r="A104" s="99" t="s">
        <v>236</v>
      </c>
      <c r="B104" s="101">
        <v>10.1</v>
      </c>
      <c r="C104" s="101">
        <v>38.1</v>
      </c>
    </row>
    <row r="105" spans="1:3" ht="14.4" x14ac:dyDescent="0.25">
      <c r="A105" s="99" t="s">
        <v>239</v>
      </c>
      <c r="B105" s="101">
        <v>43.8</v>
      </c>
      <c r="C105" s="101">
        <v>24.3</v>
      </c>
    </row>
    <row r="106" spans="1:3" ht="14.4" x14ac:dyDescent="0.25">
      <c r="A106" s="99" t="s">
        <v>242</v>
      </c>
      <c r="B106" s="101">
        <v>98.8</v>
      </c>
      <c r="C106" s="101">
        <v>0</v>
      </c>
    </row>
    <row r="107" spans="1:3" ht="14.4" x14ac:dyDescent="0.25">
      <c r="A107" s="99" t="s">
        <v>245</v>
      </c>
      <c r="B107" s="101">
        <v>0</v>
      </c>
      <c r="C107" s="101">
        <v>50.3</v>
      </c>
    </row>
    <row r="108" spans="1:3" ht="14.4" x14ac:dyDescent="0.25">
      <c r="A108" s="99" t="s">
        <v>248</v>
      </c>
      <c r="B108" s="101">
        <v>17.8</v>
      </c>
      <c r="C108" s="101">
        <v>12.8</v>
      </c>
    </row>
    <row r="109" spans="1:3" ht="14.4" x14ac:dyDescent="0.25">
      <c r="A109" s="99" t="s">
        <v>251</v>
      </c>
      <c r="B109" s="101">
        <v>16.3</v>
      </c>
      <c r="C109" s="101">
        <v>6.7</v>
      </c>
    </row>
    <row r="110" spans="1:3" ht="14.4" x14ac:dyDescent="0.25">
      <c r="A110" s="99" t="s">
        <v>255</v>
      </c>
      <c r="B110" s="101">
        <v>15</v>
      </c>
      <c r="C110" s="101">
        <v>27.8</v>
      </c>
    </row>
    <row r="111" spans="1:3" ht="14.4" x14ac:dyDescent="0.25">
      <c r="A111" s="99" t="s">
        <v>257</v>
      </c>
      <c r="B111" s="101">
        <v>0</v>
      </c>
      <c r="C111" s="101">
        <v>29.9</v>
      </c>
    </row>
    <row r="112" spans="1:3" ht="14.4" x14ac:dyDescent="0.25">
      <c r="A112" s="99" t="s">
        <v>259</v>
      </c>
      <c r="B112" s="101">
        <v>0</v>
      </c>
      <c r="C112" s="101">
        <v>30</v>
      </c>
    </row>
    <row r="113" spans="1:3" ht="14.4" x14ac:dyDescent="0.25">
      <c r="A113" s="99" t="s">
        <v>261</v>
      </c>
      <c r="B113" s="101">
        <v>0</v>
      </c>
      <c r="C113" s="101">
        <v>27.3</v>
      </c>
    </row>
    <row r="114" spans="1:3" ht="14.4" x14ac:dyDescent="0.25">
      <c r="A114" s="270" t="s">
        <v>450</v>
      </c>
      <c r="B114" s="271">
        <v>30.6</v>
      </c>
      <c r="C114" s="271">
        <v>0</v>
      </c>
    </row>
    <row r="115" spans="1:3" ht="14.4" x14ac:dyDescent="0.25">
      <c r="A115" s="270" t="s">
        <v>451</v>
      </c>
      <c r="B115" s="271">
        <v>85.3</v>
      </c>
      <c r="C115" s="271">
        <v>42.8</v>
      </c>
    </row>
    <row r="116" spans="1:3" ht="14.4" x14ac:dyDescent="0.25">
      <c r="A116" s="270" t="s">
        <v>452</v>
      </c>
      <c r="B116" s="271">
        <v>123.1</v>
      </c>
      <c r="C116" s="271">
        <v>6.7</v>
      </c>
    </row>
    <row r="117" spans="1:3" ht="14.4" x14ac:dyDescent="0.25">
      <c r="A117" s="99" t="s">
        <v>250</v>
      </c>
      <c r="B117" s="101">
        <v>0</v>
      </c>
      <c r="C117" s="101">
        <v>0</v>
      </c>
    </row>
    <row r="118" spans="1:3" ht="14.4" x14ac:dyDescent="0.25">
      <c r="A118" s="99" t="s">
        <v>252</v>
      </c>
      <c r="B118" s="101">
        <v>0</v>
      </c>
      <c r="C118" s="101">
        <v>0</v>
      </c>
    </row>
    <row r="119" spans="1:3" ht="14.4" x14ac:dyDescent="0.25">
      <c r="A119" s="99" t="s">
        <v>253</v>
      </c>
      <c r="B119" s="101">
        <v>20.9</v>
      </c>
      <c r="C119" s="101">
        <v>0</v>
      </c>
    </row>
    <row r="120" spans="1:3" ht="14.4" x14ac:dyDescent="0.25">
      <c r="A120" s="99" t="s">
        <v>256</v>
      </c>
      <c r="B120" s="101">
        <v>0</v>
      </c>
      <c r="C120" s="101">
        <v>0</v>
      </c>
    </row>
    <row r="121" spans="1:3" ht="14.4" x14ac:dyDescent="0.25">
      <c r="A121" s="99" t="s">
        <v>258</v>
      </c>
      <c r="B121" s="101">
        <v>0</v>
      </c>
      <c r="C121" s="101">
        <v>13.5</v>
      </c>
    </row>
    <row r="122" spans="1:3" ht="14.4" x14ac:dyDescent="0.25">
      <c r="A122" s="99" t="s">
        <v>260</v>
      </c>
      <c r="B122" s="101">
        <v>15.6</v>
      </c>
      <c r="C122" s="101">
        <v>21.3</v>
      </c>
    </row>
    <row r="123" spans="1:3" ht="14.4" x14ac:dyDescent="0.25">
      <c r="A123" s="99" t="s">
        <v>263</v>
      </c>
      <c r="B123" s="101">
        <v>6.3</v>
      </c>
      <c r="C123" s="101">
        <v>33.799999999999997</v>
      </c>
    </row>
    <row r="124" spans="1:3" ht="14.4" x14ac:dyDescent="0.25">
      <c r="A124" s="260" t="s">
        <v>266</v>
      </c>
      <c r="B124" s="121">
        <v>5.0999999999999996</v>
      </c>
      <c r="C124" s="121">
        <v>34.5</v>
      </c>
    </row>
    <row r="125" spans="1:3" ht="14.4" x14ac:dyDescent="0.25">
      <c r="A125" s="7" t="s">
        <v>270</v>
      </c>
      <c r="B125" s="101">
        <v>0</v>
      </c>
      <c r="C125" s="101">
        <v>79.2</v>
      </c>
    </row>
    <row r="126" spans="1:3" ht="14.4" x14ac:dyDescent="0.25">
      <c r="A126" s="7" t="s">
        <v>271</v>
      </c>
      <c r="B126" s="101">
        <v>0</v>
      </c>
      <c r="C126" s="101">
        <v>34.299999999999997</v>
      </c>
    </row>
    <row r="127" spans="1:3" ht="14.4" x14ac:dyDescent="0.25">
      <c r="A127" s="265" t="s">
        <v>463</v>
      </c>
      <c r="B127" s="271">
        <v>27.9</v>
      </c>
      <c r="C127" s="271">
        <v>19.8</v>
      </c>
    </row>
    <row r="128" spans="1:3" ht="14.4" x14ac:dyDescent="0.25">
      <c r="A128" s="7" t="s">
        <v>277</v>
      </c>
      <c r="B128" s="101">
        <v>14.4</v>
      </c>
      <c r="C128" s="101">
        <v>33.799999999999997</v>
      </c>
    </row>
    <row r="129" spans="1:3" ht="14.4" x14ac:dyDescent="0.25">
      <c r="A129" s="7" t="s">
        <v>280</v>
      </c>
      <c r="B129" s="101">
        <v>5.0999999999999996</v>
      </c>
      <c r="C129" s="101">
        <v>34.5</v>
      </c>
    </row>
    <row r="130" spans="1:3" ht="14.4" x14ac:dyDescent="0.25">
      <c r="A130" s="60" t="s">
        <v>281</v>
      </c>
      <c r="B130" s="101">
        <v>0</v>
      </c>
      <c r="C130" s="101">
        <v>34.299999999999997</v>
      </c>
    </row>
    <row r="131" spans="1:3" ht="14.4" x14ac:dyDescent="0.25">
      <c r="A131" s="60" t="s">
        <v>282</v>
      </c>
      <c r="B131" s="101">
        <v>7.5</v>
      </c>
      <c r="C131" s="101">
        <v>19.8</v>
      </c>
    </row>
    <row r="132" spans="1:3" ht="14.4" x14ac:dyDescent="0.25">
      <c r="A132" s="7" t="s">
        <v>267</v>
      </c>
      <c r="B132" s="101">
        <v>0</v>
      </c>
      <c r="C132" s="101">
        <v>79.2</v>
      </c>
    </row>
    <row r="133" spans="1:3" ht="14.4" x14ac:dyDescent="0.25">
      <c r="A133" s="260" t="s">
        <v>268</v>
      </c>
      <c r="B133" s="101">
        <v>42.3</v>
      </c>
      <c r="C133" s="101">
        <v>9.1</v>
      </c>
    </row>
    <row r="134" spans="1:3" ht="14.4" x14ac:dyDescent="0.25">
      <c r="A134" s="7" t="s">
        <v>272</v>
      </c>
      <c r="B134" s="101">
        <v>6</v>
      </c>
      <c r="C134" s="101">
        <v>0</v>
      </c>
    </row>
    <row r="135" spans="1:3" ht="14.4" x14ac:dyDescent="0.25">
      <c r="A135" s="7" t="s">
        <v>275</v>
      </c>
      <c r="B135" s="101">
        <v>36.700000000000003</v>
      </c>
      <c r="C135" s="101">
        <v>17.5</v>
      </c>
    </row>
    <row r="136" spans="1:3" ht="14.4" x14ac:dyDescent="0.25">
      <c r="A136" s="265" t="s">
        <v>472</v>
      </c>
      <c r="B136" s="271">
        <v>4.5</v>
      </c>
      <c r="C136" s="271">
        <v>23.2</v>
      </c>
    </row>
    <row r="137" spans="1:3" ht="14.4" x14ac:dyDescent="0.25">
      <c r="A137" s="7" t="s">
        <v>283</v>
      </c>
      <c r="B137" s="9">
        <v>39.9</v>
      </c>
      <c r="C137" s="9">
        <v>4.9000000000000004</v>
      </c>
    </row>
    <row r="138" spans="1:3" ht="14.4" x14ac:dyDescent="0.25">
      <c r="A138" s="265" t="s">
        <v>474</v>
      </c>
      <c r="B138" s="266">
        <v>13.2</v>
      </c>
      <c r="C138" s="266">
        <v>19.5</v>
      </c>
    </row>
    <row r="139" spans="1:3" ht="14.4" x14ac:dyDescent="0.25">
      <c r="A139" s="7" t="s">
        <v>286</v>
      </c>
      <c r="B139" s="9">
        <v>0</v>
      </c>
      <c r="C139" s="9">
        <v>13.7</v>
      </c>
    </row>
    <row r="140" spans="1:3" ht="14.4" x14ac:dyDescent="0.25">
      <c r="A140" s="7" t="s">
        <v>288</v>
      </c>
      <c r="B140" s="9">
        <v>0</v>
      </c>
      <c r="C140" s="9">
        <v>0</v>
      </c>
    </row>
    <row r="141" spans="1:3" ht="14.4" x14ac:dyDescent="0.25">
      <c r="A141" s="7" t="s">
        <v>290</v>
      </c>
      <c r="B141" s="9">
        <v>4.7</v>
      </c>
      <c r="C141" s="9">
        <v>9.1</v>
      </c>
    </row>
    <row r="142" spans="1:3" ht="14.4" x14ac:dyDescent="0.25">
      <c r="A142" s="265" t="s">
        <v>478</v>
      </c>
      <c r="B142" s="266">
        <v>79.099999999999994</v>
      </c>
      <c r="C142" s="266">
        <v>7.1</v>
      </c>
    </row>
    <row r="143" spans="1:3" ht="14.4" x14ac:dyDescent="0.25">
      <c r="A143" s="60" t="s">
        <v>292</v>
      </c>
      <c r="B143" s="90">
        <v>0</v>
      </c>
      <c r="C143" s="90">
        <v>0</v>
      </c>
    </row>
    <row r="144" spans="1:3" ht="14.4" x14ac:dyDescent="0.25">
      <c r="A144" s="260" t="s">
        <v>293</v>
      </c>
      <c r="B144" s="121">
        <v>53.7</v>
      </c>
      <c r="C144" s="121">
        <v>19.100000000000001</v>
      </c>
    </row>
    <row r="145" spans="1:3" ht="14.4" x14ac:dyDescent="0.25">
      <c r="A145" s="99" t="s">
        <v>295</v>
      </c>
      <c r="B145" s="101">
        <v>43.5</v>
      </c>
      <c r="C145" s="101">
        <v>16.8</v>
      </c>
    </row>
    <row r="146" spans="1:3" ht="14.4" x14ac:dyDescent="0.25">
      <c r="A146" s="99" t="s">
        <v>297</v>
      </c>
      <c r="B146" s="101">
        <v>68.099999999999994</v>
      </c>
      <c r="C146" s="101">
        <v>27.4</v>
      </c>
    </row>
    <row r="147" spans="1:3" ht="14.4" x14ac:dyDescent="0.25">
      <c r="A147" s="99" t="s">
        <v>301</v>
      </c>
      <c r="B147" s="101">
        <v>48.7</v>
      </c>
      <c r="C147" s="101">
        <v>16</v>
      </c>
    </row>
    <row r="148" spans="1:3" ht="14.4" x14ac:dyDescent="0.25">
      <c r="A148" s="99" t="s">
        <v>305</v>
      </c>
      <c r="B148" s="101">
        <v>43.2</v>
      </c>
      <c r="C148" s="101">
        <v>12.5</v>
      </c>
    </row>
    <row r="149" spans="1:3" ht="14.4" x14ac:dyDescent="0.25">
      <c r="A149" s="99" t="s">
        <v>307</v>
      </c>
      <c r="B149" s="101">
        <v>11.3</v>
      </c>
      <c r="C149" s="101">
        <v>15.3</v>
      </c>
    </row>
    <row r="150" spans="1:3" ht="14.4" x14ac:dyDescent="0.25">
      <c r="A150" s="99" t="s">
        <v>309</v>
      </c>
      <c r="B150" s="101">
        <v>35.5</v>
      </c>
      <c r="C150" s="101">
        <v>18.8</v>
      </c>
    </row>
    <row r="151" spans="1:3" ht="14.4" x14ac:dyDescent="0.25">
      <c r="A151" s="99" t="s">
        <v>311</v>
      </c>
      <c r="B151" s="101">
        <v>36.700000000000003</v>
      </c>
      <c r="C151" s="101">
        <v>15.3</v>
      </c>
    </row>
    <row r="152" spans="1:3" ht="14.4" x14ac:dyDescent="0.25">
      <c r="A152" s="99" t="s">
        <v>313</v>
      </c>
      <c r="B152" s="101">
        <v>14.9</v>
      </c>
      <c r="C152" s="101">
        <v>0</v>
      </c>
    </row>
    <row r="153" spans="1:3" ht="14.4" x14ac:dyDescent="0.25">
      <c r="A153" s="99" t="s">
        <v>315</v>
      </c>
      <c r="B153" s="101">
        <v>0</v>
      </c>
      <c r="C153" s="101">
        <v>27.1</v>
      </c>
    </row>
    <row r="154" spans="1:3" ht="14.4" x14ac:dyDescent="0.25">
      <c r="A154" s="99" t="s">
        <v>296</v>
      </c>
      <c r="B154" s="101">
        <v>0</v>
      </c>
      <c r="C154" s="101">
        <v>29.9</v>
      </c>
    </row>
    <row r="155" spans="1:3" ht="14.4" x14ac:dyDescent="0.25">
      <c r="A155" s="270" t="s">
        <v>371</v>
      </c>
      <c r="B155" s="271">
        <v>124.2</v>
      </c>
      <c r="C155" s="271">
        <v>26.1</v>
      </c>
    </row>
    <row r="156" spans="1:3" ht="14.4" x14ac:dyDescent="0.25">
      <c r="A156" s="99" t="s">
        <v>303</v>
      </c>
      <c r="B156" s="101">
        <v>0</v>
      </c>
      <c r="C156" s="101">
        <v>0</v>
      </c>
    </row>
    <row r="157" spans="1:3" ht="14.4" x14ac:dyDescent="0.25">
      <c r="A157" s="99" t="s">
        <v>306</v>
      </c>
      <c r="B157" s="101">
        <v>16.3</v>
      </c>
      <c r="C157" s="101">
        <v>6.7</v>
      </c>
    </row>
    <row r="158" spans="1:3" ht="14.4" x14ac:dyDescent="0.25">
      <c r="A158" s="99" t="s">
        <v>308</v>
      </c>
      <c r="B158" s="101">
        <v>15</v>
      </c>
      <c r="C158" s="101">
        <v>30</v>
      </c>
    </row>
    <row r="159" spans="1:3" ht="14.4" x14ac:dyDescent="0.25">
      <c r="A159" s="99" t="s">
        <v>310</v>
      </c>
      <c r="B159" s="101">
        <v>16.2</v>
      </c>
      <c r="C159" s="101">
        <v>1.2</v>
      </c>
    </row>
    <row r="160" spans="1:3" ht="14.4" x14ac:dyDescent="0.25">
      <c r="A160" s="99" t="s">
        <v>312</v>
      </c>
      <c r="B160" s="101">
        <v>0</v>
      </c>
      <c r="C160" s="101">
        <v>0</v>
      </c>
    </row>
    <row r="161" spans="1:3" ht="14.4" x14ac:dyDescent="0.25">
      <c r="A161" s="99" t="s">
        <v>314</v>
      </c>
      <c r="B161" s="101">
        <v>54.2</v>
      </c>
      <c r="C161" s="101">
        <v>8.8000000000000007</v>
      </c>
    </row>
    <row r="162" spans="1:3" ht="14.4" x14ac:dyDescent="0.25">
      <c r="A162" s="270" t="s">
        <v>378</v>
      </c>
      <c r="B162" s="271">
        <v>117.1</v>
      </c>
      <c r="C162" s="271">
        <v>2.2000000000000002</v>
      </c>
    </row>
    <row r="163" spans="1:3" ht="14.4" x14ac:dyDescent="0.25">
      <c r="A163" s="60" t="s">
        <v>318</v>
      </c>
      <c r="B163" s="90">
        <v>15.1</v>
      </c>
      <c r="C163" s="39">
        <v>33.700000000000003</v>
      </c>
    </row>
    <row r="164" spans="1:3" ht="14.4" x14ac:dyDescent="0.25">
      <c r="A164" s="60" t="s">
        <v>320</v>
      </c>
      <c r="B164" s="90">
        <v>0</v>
      </c>
      <c r="C164" s="39">
        <v>34.200000000000003</v>
      </c>
    </row>
    <row r="165" spans="1:3" ht="14.4" x14ac:dyDescent="0.25">
      <c r="A165" s="60" t="s">
        <v>323</v>
      </c>
      <c r="B165" s="90">
        <v>5</v>
      </c>
      <c r="C165" s="39">
        <v>34.4</v>
      </c>
    </row>
    <row r="166" spans="1:3" ht="14.4" x14ac:dyDescent="0.25">
      <c r="A166" s="60" t="s">
        <v>326</v>
      </c>
      <c r="B166" s="90">
        <v>0</v>
      </c>
      <c r="C166" s="39">
        <v>78.5</v>
      </c>
    </row>
    <row r="167" spans="1:3" ht="14.4" x14ac:dyDescent="0.25">
      <c r="A167" s="60" t="s">
        <v>329</v>
      </c>
      <c r="B167" s="90">
        <v>59.7</v>
      </c>
      <c r="C167" s="39">
        <v>9.1</v>
      </c>
    </row>
    <row r="168" spans="1:3" ht="14.4" x14ac:dyDescent="0.25">
      <c r="A168" s="60" t="s">
        <v>332</v>
      </c>
      <c r="B168" s="90">
        <v>4.8</v>
      </c>
      <c r="C168" s="39">
        <v>2.6</v>
      </c>
    </row>
    <row r="169" spans="1:3" ht="14.4" x14ac:dyDescent="0.25">
      <c r="A169" s="265" t="s">
        <v>385</v>
      </c>
      <c r="B169" s="266">
        <v>64.400000000000006</v>
      </c>
      <c r="C169" s="266">
        <v>5.7</v>
      </c>
    </row>
    <row r="170" spans="1:3" ht="14.4" x14ac:dyDescent="0.25">
      <c r="A170" s="7" t="s">
        <v>340</v>
      </c>
      <c r="B170" s="9">
        <v>16.399999999999999</v>
      </c>
      <c r="C170" s="9">
        <v>13.6</v>
      </c>
    </row>
    <row r="171" spans="1:3" ht="14.4" x14ac:dyDescent="0.25">
      <c r="A171" s="7" t="s">
        <v>344</v>
      </c>
      <c r="B171" s="9">
        <v>0</v>
      </c>
      <c r="C171" s="9">
        <v>13.6</v>
      </c>
    </row>
    <row r="172" spans="1:3" ht="14.4" x14ac:dyDescent="0.25">
      <c r="A172" s="7" t="s">
        <v>346</v>
      </c>
      <c r="B172" s="9">
        <v>0</v>
      </c>
      <c r="C172" s="9">
        <v>0</v>
      </c>
    </row>
    <row r="173" spans="1:3" ht="14.4" x14ac:dyDescent="0.25">
      <c r="A173" s="7" t="s">
        <v>348</v>
      </c>
      <c r="B173" s="9">
        <v>4.5999999999999996</v>
      </c>
      <c r="C173" s="9">
        <v>13.1</v>
      </c>
    </row>
    <row r="174" spans="1:3" ht="14.4" x14ac:dyDescent="0.25">
      <c r="A174" s="265" t="s">
        <v>390</v>
      </c>
      <c r="B174" s="266">
        <v>12.8</v>
      </c>
      <c r="C174" s="266">
        <v>11.5</v>
      </c>
    </row>
    <row r="175" spans="1:3" ht="14.4" x14ac:dyDescent="0.25">
      <c r="A175" s="265" t="s">
        <v>391</v>
      </c>
      <c r="B175" s="266">
        <v>43.9</v>
      </c>
      <c r="C175" s="266">
        <v>4.9000000000000004</v>
      </c>
    </row>
    <row r="176" spans="1:3" ht="14.4" x14ac:dyDescent="0.25">
      <c r="A176" s="265" t="s">
        <v>392</v>
      </c>
      <c r="B176" s="266">
        <v>115.9</v>
      </c>
      <c r="C176" s="266">
        <v>7</v>
      </c>
    </row>
    <row r="177" spans="1:3" ht="14.4" x14ac:dyDescent="0.25">
      <c r="A177" s="7" t="s">
        <v>352</v>
      </c>
      <c r="B177" s="9">
        <v>0</v>
      </c>
      <c r="C177" s="9">
        <v>0</v>
      </c>
    </row>
    <row r="178" spans="1:3" ht="14.4" x14ac:dyDescent="0.25">
      <c r="A178" s="260" t="s">
        <v>353</v>
      </c>
      <c r="B178" s="121">
        <v>31.5</v>
      </c>
      <c r="C178" s="121">
        <v>0</v>
      </c>
    </row>
    <row r="179" spans="1:3" ht="14.4" x14ac:dyDescent="0.25">
      <c r="A179" s="267" t="s">
        <v>395</v>
      </c>
      <c r="B179" s="268">
        <v>37.6</v>
      </c>
      <c r="C179" s="268">
        <v>24.6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Q33"/>
  <sheetViews>
    <sheetView workbookViewId="0">
      <selection sqref="A1:Q1"/>
    </sheetView>
  </sheetViews>
  <sheetFormatPr defaultRowHeight="13.2" x14ac:dyDescent="0.25"/>
  <cols>
    <col min="1" max="1" width="6.44140625" customWidth="1"/>
    <col min="2" max="2" width="23.33203125" customWidth="1"/>
    <col min="3" max="3" width="26.109375" customWidth="1"/>
    <col min="4" max="4" width="13.109375" customWidth="1"/>
    <col min="5" max="5" width="26.109375" customWidth="1"/>
    <col min="6" max="6" width="13.109375" customWidth="1"/>
    <col min="7" max="7" width="26.109375" customWidth="1"/>
    <col min="8" max="8" width="13.109375" customWidth="1"/>
    <col min="9" max="9" width="26.109375" customWidth="1"/>
    <col min="10" max="10" width="13.109375" customWidth="1"/>
    <col min="11" max="11" width="19.77734375" customWidth="1"/>
    <col min="12" max="12" width="13.109375" customWidth="1"/>
    <col min="13" max="13" width="19.77734375" customWidth="1"/>
    <col min="14" max="14" width="13.109375" customWidth="1"/>
    <col min="15" max="15" width="19.77734375" customWidth="1"/>
    <col min="16" max="16" width="12.77734375" customWidth="1"/>
    <col min="17" max="17" width="16.44140625" customWidth="1"/>
  </cols>
  <sheetData>
    <row r="1" spans="1:17" ht="30" customHeight="1" x14ac:dyDescent="0.25">
      <c r="A1" s="557" t="s">
        <v>0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</row>
    <row r="2" spans="1:17" ht="19.5" customHeight="1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555" t="s">
        <v>4</v>
      </c>
      <c r="N2" s="555"/>
      <c r="O2" s="558" t="s">
        <v>5</v>
      </c>
      <c r="P2" s="558"/>
      <c r="Q2" s="559" t="s">
        <v>6</v>
      </c>
    </row>
    <row r="3" spans="1:17" ht="19.5" customHeight="1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562" t="s">
        <v>10</v>
      </c>
      <c r="J3" s="562"/>
      <c r="K3" s="563" t="s">
        <v>11</v>
      </c>
      <c r="L3" s="563"/>
      <c r="M3" s="555" t="s">
        <v>12</v>
      </c>
      <c r="N3" s="556" t="s">
        <v>13</v>
      </c>
      <c r="O3" s="555" t="s">
        <v>12</v>
      </c>
      <c r="P3" s="560" t="s">
        <v>14</v>
      </c>
      <c r="Q3" s="559"/>
    </row>
    <row r="4" spans="1:17" ht="46.35" customHeight="1" x14ac:dyDescent="0.25">
      <c r="A4" s="556"/>
      <c r="B4" s="555"/>
      <c r="C4" s="96" t="s">
        <v>12</v>
      </c>
      <c r="D4" s="132" t="s">
        <v>13</v>
      </c>
      <c r="E4" s="96" t="s">
        <v>12</v>
      </c>
      <c r="F4" s="132" t="s">
        <v>13</v>
      </c>
      <c r="G4" s="96" t="s">
        <v>12</v>
      </c>
      <c r="H4" s="132" t="s">
        <v>13</v>
      </c>
      <c r="I4" s="96" t="s">
        <v>12</v>
      </c>
      <c r="J4" s="132" t="s">
        <v>13</v>
      </c>
      <c r="K4" s="98" t="s">
        <v>12</v>
      </c>
      <c r="L4" s="132" t="s">
        <v>13</v>
      </c>
      <c r="M4" s="555"/>
      <c r="N4" s="556"/>
      <c r="O4" s="555"/>
      <c r="P4" s="560"/>
      <c r="Q4" s="559"/>
    </row>
    <row r="5" spans="1:17" ht="192" customHeight="1" x14ac:dyDescent="0.25">
      <c r="A5" s="99" t="s">
        <v>15</v>
      </c>
      <c r="B5" s="100" t="s">
        <v>16</v>
      </c>
      <c r="C5" s="132" t="s">
        <v>17</v>
      </c>
      <c r="D5" s="101">
        <v>64</v>
      </c>
      <c r="E5" s="132" t="s">
        <v>18</v>
      </c>
      <c r="F5" s="101">
        <v>25.4</v>
      </c>
      <c r="G5" s="102" t="s">
        <v>19</v>
      </c>
      <c r="H5" s="101">
        <v>0</v>
      </c>
      <c r="I5" s="102" t="s">
        <v>19</v>
      </c>
      <c r="J5" s="101">
        <v>0</v>
      </c>
      <c r="K5" s="100" t="s">
        <v>20</v>
      </c>
      <c r="L5" s="101">
        <v>89.4</v>
      </c>
      <c r="M5" s="132" t="s">
        <v>21</v>
      </c>
      <c r="N5" s="101">
        <v>10.7</v>
      </c>
      <c r="O5" s="100" t="s">
        <v>20</v>
      </c>
      <c r="P5" s="101">
        <v>28.8</v>
      </c>
      <c r="Q5" s="102" t="s">
        <v>19</v>
      </c>
    </row>
    <row r="6" spans="1:17" ht="192.15" customHeight="1" x14ac:dyDescent="0.25">
      <c r="A6" s="99" t="s">
        <v>24</v>
      </c>
      <c r="B6" s="102" t="s">
        <v>25</v>
      </c>
      <c r="C6" s="132" t="s">
        <v>17</v>
      </c>
      <c r="D6" s="101">
        <v>21.9</v>
      </c>
      <c r="E6" s="132" t="s">
        <v>18</v>
      </c>
      <c r="F6" s="101">
        <v>31.9</v>
      </c>
      <c r="G6" s="102" t="s">
        <v>19</v>
      </c>
      <c r="H6" s="101">
        <v>0</v>
      </c>
      <c r="I6" s="132" t="s">
        <v>26</v>
      </c>
      <c r="J6" s="101">
        <v>79.7</v>
      </c>
      <c r="K6" s="100" t="s">
        <v>20</v>
      </c>
      <c r="L6" s="101">
        <v>133.5</v>
      </c>
      <c r="M6" s="132" t="s">
        <v>21</v>
      </c>
      <c r="N6" s="101">
        <v>57.6</v>
      </c>
      <c r="O6" s="100" t="s">
        <v>20</v>
      </c>
      <c r="P6" s="101">
        <v>42.8</v>
      </c>
      <c r="Q6" s="102" t="s">
        <v>19</v>
      </c>
    </row>
    <row r="7" spans="1:17" ht="192" customHeight="1" x14ac:dyDescent="0.25">
      <c r="A7" s="106" t="s">
        <v>31</v>
      </c>
      <c r="B7" s="106" t="s">
        <v>32</v>
      </c>
      <c r="C7" s="105" t="s">
        <v>17</v>
      </c>
      <c r="D7" s="103">
        <v>140.9</v>
      </c>
      <c r="E7" s="105" t="s">
        <v>18</v>
      </c>
      <c r="F7" s="103">
        <v>221.4</v>
      </c>
      <c r="G7" s="105" t="s">
        <v>33</v>
      </c>
      <c r="H7" s="103">
        <v>5.2</v>
      </c>
      <c r="I7" s="106" t="s">
        <v>19</v>
      </c>
      <c r="J7" s="103">
        <v>0</v>
      </c>
      <c r="K7" s="104" t="s">
        <v>20</v>
      </c>
      <c r="L7" s="103">
        <v>367.5</v>
      </c>
      <c r="M7" s="105" t="s">
        <v>21</v>
      </c>
      <c r="N7" s="103">
        <v>164.4</v>
      </c>
      <c r="O7" s="104" t="s">
        <v>20</v>
      </c>
      <c r="P7" s="103">
        <v>116.4</v>
      </c>
      <c r="Q7" s="106" t="s">
        <v>19</v>
      </c>
    </row>
    <row r="8" spans="1:17" ht="151.5" customHeight="1" x14ac:dyDescent="0.25">
      <c r="A8" s="106" t="s">
        <v>36</v>
      </c>
      <c r="B8" s="106" t="s">
        <v>37</v>
      </c>
      <c r="C8" s="105" t="s">
        <v>17</v>
      </c>
      <c r="D8" s="103">
        <v>126.5</v>
      </c>
      <c r="E8" s="105" t="s">
        <v>18</v>
      </c>
      <c r="F8" s="103">
        <v>4.9000000000000004</v>
      </c>
      <c r="G8" s="106" t="s">
        <v>19</v>
      </c>
      <c r="H8" s="103">
        <v>0</v>
      </c>
      <c r="I8" s="106" t="s">
        <v>19</v>
      </c>
      <c r="J8" s="103">
        <v>0</v>
      </c>
      <c r="K8" s="104" t="s">
        <v>20</v>
      </c>
      <c r="L8" s="103">
        <v>131.30000000000001</v>
      </c>
      <c r="M8" s="105" t="s">
        <v>21</v>
      </c>
      <c r="N8" s="103">
        <v>58.2</v>
      </c>
      <c r="O8" s="104" t="s">
        <v>20</v>
      </c>
      <c r="P8" s="103">
        <v>42.1</v>
      </c>
      <c r="Q8" s="106" t="s">
        <v>19</v>
      </c>
    </row>
    <row r="9" spans="1:17" ht="151.5" customHeight="1" x14ac:dyDescent="0.25">
      <c r="A9" s="106" t="s">
        <v>40</v>
      </c>
      <c r="B9" s="106" t="s">
        <v>25</v>
      </c>
      <c r="C9" s="105" t="s">
        <v>17</v>
      </c>
      <c r="D9" s="103">
        <v>37.700000000000003</v>
      </c>
      <c r="E9" s="105" t="s">
        <v>18</v>
      </c>
      <c r="F9" s="103">
        <v>29.7</v>
      </c>
      <c r="G9" s="106" t="s">
        <v>19</v>
      </c>
      <c r="H9" s="103">
        <v>0</v>
      </c>
      <c r="I9" s="106" t="s">
        <v>19</v>
      </c>
      <c r="J9" s="103">
        <v>0</v>
      </c>
      <c r="K9" s="104" t="s">
        <v>20</v>
      </c>
      <c r="L9" s="103">
        <v>67.400000000000006</v>
      </c>
      <c r="M9" s="105" t="s">
        <v>21</v>
      </c>
      <c r="N9" s="103">
        <v>54.2</v>
      </c>
      <c r="O9" s="104" t="s">
        <v>20</v>
      </c>
      <c r="P9" s="103">
        <v>30.1</v>
      </c>
      <c r="Q9" s="106" t="s">
        <v>19</v>
      </c>
    </row>
    <row r="10" spans="1:17" ht="114.75" customHeight="1" x14ac:dyDescent="0.25">
      <c r="A10" s="106" t="s">
        <v>42</v>
      </c>
      <c r="B10" s="106" t="s">
        <v>43</v>
      </c>
      <c r="C10" s="105" t="s">
        <v>17</v>
      </c>
      <c r="D10" s="103">
        <v>57.5</v>
      </c>
      <c r="E10" s="105" t="s">
        <v>18</v>
      </c>
      <c r="F10" s="103">
        <v>72.2</v>
      </c>
      <c r="G10" s="106" t="s">
        <v>19</v>
      </c>
      <c r="H10" s="103">
        <v>0</v>
      </c>
      <c r="I10" s="106" t="s">
        <v>19</v>
      </c>
      <c r="J10" s="103">
        <v>0</v>
      </c>
      <c r="K10" s="104" t="s">
        <v>20</v>
      </c>
      <c r="L10" s="103">
        <v>129.69999999999999</v>
      </c>
      <c r="M10" s="105" t="s">
        <v>21</v>
      </c>
      <c r="N10" s="103">
        <v>99.5</v>
      </c>
      <c r="O10" s="104" t="s">
        <v>20</v>
      </c>
      <c r="P10" s="103">
        <v>41.7</v>
      </c>
      <c r="Q10" s="106" t="s">
        <v>19</v>
      </c>
    </row>
    <row r="11" spans="1:17" ht="50.25" customHeight="1" x14ac:dyDescent="0.25">
      <c r="A11" s="106" t="s">
        <v>45</v>
      </c>
      <c r="B11" s="106" t="s">
        <v>25</v>
      </c>
      <c r="C11" s="106" t="s">
        <v>19</v>
      </c>
      <c r="D11" s="103">
        <v>0</v>
      </c>
      <c r="E11" s="105" t="s">
        <v>18</v>
      </c>
      <c r="F11" s="103">
        <v>31.4</v>
      </c>
      <c r="G11" s="106" t="s">
        <v>19</v>
      </c>
      <c r="H11" s="103">
        <v>0</v>
      </c>
      <c r="I11" s="105" t="s">
        <v>26</v>
      </c>
      <c r="J11" s="103">
        <v>64.400000000000006</v>
      </c>
      <c r="K11" s="104" t="s">
        <v>20</v>
      </c>
      <c r="L11" s="103">
        <v>95.8</v>
      </c>
      <c r="M11" s="105" t="s">
        <v>21</v>
      </c>
      <c r="N11" s="103">
        <v>40.700000000000003</v>
      </c>
      <c r="O11" s="104" t="s">
        <v>20</v>
      </c>
      <c r="P11" s="103">
        <v>31.4</v>
      </c>
      <c r="Q11" s="106" t="s">
        <v>19</v>
      </c>
    </row>
    <row r="12" spans="1:17" ht="187.2" x14ac:dyDescent="0.25">
      <c r="A12" s="99" t="s">
        <v>22</v>
      </c>
      <c r="B12" s="100" t="s">
        <v>23</v>
      </c>
      <c r="C12" s="132" t="s">
        <v>17</v>
      </c>
      <c r="D12" s="101">
        <v>44.3</v>
      </c>
      <c r="E12" s="132" t="s">
        <v>18</v>
      </c>
      <c r="F12" s="103">
        <v>23.1</v>
      </c>
      <c r="G12" s="104" t="s">
        <v>20</v>
      </c>
      <c r="H12" s="103">
        <v>67.400000000000006</v>
      </c>
      <c r="I12" s="103"/>
      <c r="J12" s="103"/>
      <c r="K12" s="103"/>
      <c r="L12" s="103"/>
      <c r="M12" s="105" t="s">
        <v>21</v>
      </c>
      <c r="N12" s="101">
        <v>24.5</v>
      </c>
      <c r="O12" s="100" t="s">
        <v>20</v>
      </c>
      <c r="P12" s="103">
        <v>21.4</v>
      </c>
      <c r="Q12" s="106" t="s">
        <v>19</v>
      </c>
    </row>
    <row r="13" spans="1:17" ht="187.2" x14ac:dyDescent="0.25">
      <c r="A13" s="99" t="s">
        <v>27</v>
      </c>
      <c r="B13" s="100" t="s">
        <v>28</v>
      </c>
      <c r="C13" s="132" t="s">
        <v>29</v>
      </c>
      <c r="D13" s="101">
        <v>233.1</v>
      </c>
      <c r="E13" s="132" t="s">
        <v>18</v>
      </c>
      <c r="F13" s="103">
        <v>72.400000000000006</v>
      </c>
      <c r="G13" s="106" t="s">
        <v>19</v>
      </c>
      <c r="H13" s="103">
        <v>305.5</v>
      </c>
      <c r="I13" s="103"/>
      <c r="J13" s="103"/>
      <c r="K13" s="103"/>
      <c r="L13" s="103"/>
      <c r="M13" s="104" t="s">
        <v>30</v>
      </c>
      <c r="N13" s="101">
        <v>156.9</v>
      </c>
      <c r="O13" s="102" t="s">
        <v>19</v>
      </c>
      <c r="P13" s="103">
        <v>98.5</v>
      </c>
      <c r="Q13" s="106" t="s">
        <v>19</v>
      </c>
    </row>
    <row r="14" spans="1:17" ht="187.2" x14ac:dyDescent="0.25">
      <c r="A14" s="99" t="s">
        <v>34</v>
      </c>
      <c r="B14" s="100" t="s">
        <v>28</v>
      </c>
      <c r="C14" s="132" t="s">
        <v>29</v>
      </c>
      <c r="D14" s="101">
        <v>387.1</v>
      </c>
      <c r="E14" s="132" t="s">
        <v>18</v>
      </c>
      <c r="F14" s="103">
        <v>31.8</v>
      </c>
      <c r="G14" s="106" t="s">
        <v>19</v>
      </c>
      <c r="H14" s="103">
        <v>419</v>
      </c>
      <c r="I14" s="103"/>
      <c r="J14" s="103"/>
      <c r="K14" s="103"/>
      <c r="L14" s="103"/>
      <c r="M14" s="104" t="s">
        <v>30</v>
      </c>
      <c r="N14" s="101">
        <v>243.4</v>
      </c>
      <c r="O14" s="102" t="s">
        <v>19</v>
      </c>
      <c r="P14" s="103">
        <v>135.5</v>
      </c>
      <c r="Q14" s="106" t="s">
        <v>19</v>
      </c>
    </row>
    <row r="15" spans="1:17" ht="187.2" x14ac:dyDescent="0.25">
      <c r="A15" s="106" t="s">
        <v>35</v>
      </c>
      <c r="B15" s="104" t="s">
        <v>28</v>
      </c>
      <c r="C15" s="105" t="s">
        <v>29</v>
      </c>
      <c r="D15" s="103">
        <v>87.2</v>
      </c>
      <c r="E15" s="105" t="s">
        <v>18</v>
      </c>
      <c r="F15" s="103">
        <v>11.1</v>
      </c>
      <c r="G15" s="106" t="s">
        <v>19</v>
      </c>
      <c r="H15" s="103">
        <v>98.3</v>
      </c>
      <c r="I15" s="103"/>
      <c r="J15" s="103"/>
      <c r="K15" s="103"/>
      <c r="L15" s="103"/>
      <c r="M15" s="104" t="s">
        <v>30</v>
      </c>
      <c r="N15" s="103">
        <v>64.3</v>
      </c>
      <c r="O15" s="106" t="s">
        <v>19</v>
      </c>
      <c r="P15" s="103">
        <v>32.299999999999997</v>
      </c>
      <c r="Q15" s="106" t="s">
        <v>19</v>
      </c>
    </row>
    <row r="16" spans="1:17" ht="187.2" x14ac:dyDescent="0.25">
      <c r="A16" s="106" t="s">
        <v>38</v>
      </c>
      <c r="B16" s="104" t="s">
        <v>39</v>
      </c>
      <c r="C16" s="105" t="s">
        <v>17</v>
      </c>
      <c r="D16" s="103">
        <v>89.2</v>
      </c>
      <c r="E16" s="105" t="s">
        <v>18</v>
      </c>
      <c r="F16" s="103">
        <v>26.1</v>
      </c>
      <c r="G16" s="104" t="s">
        <v>20</v>
      </c>
      <c r="H16" s="103">
        <v>115.3</v>
      </c>
      <c r="I16" s="103"/>
      <c r="J16" s="103"/>
      <c r="K16" s="103"/>
      <c r="L16" s="103"/>
      <c r="M16" s="105" t="s">
        <v>21</v>
      </c>
      <c r="N16" s="103">
        <v>17</v>
      </c>
      <c r="O16" s="104" t="s">
        <v>20</v>
      </c>
      <c r="P16" s="103">
        <v>37.299999999999997</v>
      </c>
      <c r="Q16" s="106" t="s">
        <v>19</v>
      </c>
    </row>
    <row r="17" spans="1:17" ht="187.2" x14ac:dyDescent="0.25">
      <c r="A17" s="106" t="s">
        <v>41</v>
      </c>
      <c r="B17" s="104" t="s">
        <v>28</v>
      </c>
      <c r="C17" s="105" t="s">
        <v>29</v>
      </c>
      <c r="D17" s="103">
        <v>49.8</v>
      </c>
      <c r="E17" s="105" t="s">
        <v>18</v>
      </c>
      <c r="F17" s="103">
        <v>16.5</v>
      </c>
      <c r="G17" s="106" t="s">
        <v>19</v>
      </c>
      <c r="H17" s="103">
        <v>70.400000000000006</v>
      </c>
      <c r="I17" s="103"/>
      <c r="J17" s="103"/>
      <c r="K17" s="103"/>
      <c r="L17" s="103"/>
      <c r="M17" s="104" t="s">
        <v>30</v>
      </c>
      <c r="N17" s="103">
        <v>16.600000000000001</v>
      </c>
      <c r="O17" s="106" t="s">
        <v>19</v>
      </c>
      <c r="P17" s="103">
        <v>22.3</v>
      </c>
      <c r="Q17" s="106" t="s">
        <v>19</v>
      </c>
    </row>
    <row r="18" spans="1:17" ht="187.2" x14ac:dyDescent="0.25">
      <c r="A18" s="106" t="s">
        <v>44</v>
      </c>
      <c r="B18" s="104" t="s">
        <v>28</v>
      </c>
      <c r="C18" s="105" t="s">
        <v>29</v>
      </c>
      <c r="D18" s="103">
        <v>197.8</v>
      </c>
      <c r="E18" s="105" t="s">
        <v>18</v>
      </c>
      <c r="F18" s="103">
        <v>25.9</v>
      </c>
      <c r="G18" s="106" t="s">
        <v>19</v>
      </c>
      <c r="H18" s="103">
        <v>223.7</v>
      </c>
      <c r="I18" s="103"/>
      <c r="J18" s="103"/>
      <c r="K18" s="103"/>
      <c r="L18" s="103"/>
      <c r="M18" s="104" t="s">
        <v>30</v>
      </c>
      <c r="N18" s="103">
        <v>176.6</v>
      </c>
      <c r="O18" s="106" t="s">
        <v>19</v>
      </c>
      <c r="P18" s="103">
        <v>68.599999999999994</v>
      </c>
      <c r="Q18" s="106" t="s">
        <v>19</v>
      </c>
    </row>
    <row r="19" spans="1:17" ht="187.2" x14ac:dyDescent="0.25">
      <c r="A19" s="7" t="s">
        <v>46</v>
      </c>
      <c r="B19" s="8" t="s">
        <v>47</v>
      </c>
      <c r="C19" s="3" t="s">
        <v>17</v>
      </c>
      <c r="D19" s="9">
        <v>26.3</v>
      </c>
      <c r="E19" s="3" t="s">
        <v>18</v>
      </c>
      <c r="F19" s="9">
        <v>18.899999999999999</v>
      </c>
      <c r="G19" s="10" t="s">
        <v>19</v>
      </c>
      <c r="H19" s="9">
        <v>0</v>
      </c>
      <c r="I19" s="9"/>
      <c r="J19" s="9"/>
      <c r="K19" s="8" t="s">
        <v>20</v>
      </c>
      <c r="L19" s="9">
        <v>45.2</v>
      </c>
      <c r="M19" s="3" t="s">
        <v>21</v>
      </c>
      <c r="N19" s="9">
        <v>11.8</v>
      </c>
      <c r="O19" s="8" t="s">
        <v>20</v>
      </c>
      <c r="P19" s="9">
        <v>14.3</v>
      </c>
      <c r="Q19" s="10" t="s">
        <v>19</v>
      </c>
    </row>
    <row r="20" spans="1:17" ht="187.2" x14ac:dyDescent="0.25">
      <c r="A20" s="7" t="s">
        <v>49</v>
      </c>
      <c r="B20" s="8" t="s">
        <v>50</v>
      </c>
      <c r="C20" s="3" t="s">
        <v>17</v>
      </c>
      <c r="D20" s="9">
        <v>30.7</v>
      </c>
      <c r="E20" s="3" t="s">
        <v>18</v>
      </c>
      <c r="F20" s="9">
        <v>11.7</v>
      </c>
      <c r="G20" s="10" t="s">
        <v>19</v>
      </c>
      <c r="H20" s="9">
        <v>0</v>
      </c>
      <c r="I20" s="9"/>
      <c r="J20" s="9"/>
      <c r="K20" s="8" t="s">
        <v>20</v>
      </c>
      <c r="L20" s="9">
        <v>42.4</v>
      </c>
      <c r="M20" s="3" t="s">
        <v>21</v>
      </c>
      <c r="N20" s="9">
        <v>12.4</v>
      </c>
      <c r="O20" s="8" t="s">
        <v>20</v>
      </c>
      <c r="P20" s="9">
        <v>13.4</v>
      </c>
      <c r="Q20" s="10" t="s">
        <v>19</v>
      </c>
    </row>
    <row r="21" spans="1:17" ht="187.2" x14ac:dyDescent="0.25">
      <c r="A21" s="7" t="s">
        <v>52</v>
      </c>
      <c r="B21" s="10" t="s">
        <v>32</v>
      </c>
      <c r="C21" s="3" t="s">
        <v>17</v>
      </c>
      <c r="D21" s="9">
        <v>33.700000000000003</v>
      </c>
      <c r="E21" s="3" t="s">
        <v>18</v>
      </c>
      <c r="F21" s="9">
        <v>45.4</v>
      </c>
      <c r="G21" s="10" t="s">
        <v>19</v>
      </c>
      <c r="H21" s="9">
        <v>0</v>
      </c>
      <c r="I21" s="9"/>
      <c r="J21" s="9"/>
      <c r="K21" s="8" t="s">
        <v>20</v>
      </c>
      <c r="L21" s="9">
        <v>79.099999999999994</v>
      </c>
      <c r="M21" s="3" t="s">
        <v>21</v>
      </c>
      <c r="N21" s="9">
        <v>30.4</v>
      </c>
      <c r="O21" s="8" t="s">
        <v>20</v>
      </c>
      <c r="P21" s="9">
        <v>24.3</v>
      </c>
      <c r="Q21" s="10" t="s">
        <v>19</v>
      </c>
    </row>
    <row r="22" spans="1:17" ht="187.2" x14ac:dyDescent="0.25">
      <c r="A22" s="7" t="s">
        <v>54</v>
      </c>
      <c r="B22" s="8" t="s">
        <v>55</v>
      </c>
      <c r="C22" s="3" t="s">
        <v>17</v>
      </c>
      <c r="D22" s="9">
        <v>69.900000000000006</v>
      </c>
      <c r="E22" s="3" t="s">
        <v>18</v>
      </c>
      <c r="F22" s="9">
        <v>24.3</v>
      </c>
      <c r="G22" s="10" t="s">
        <v>19</v>
      </c>
      <c r="H22" s="9">
        <v>0</v>
      </c>
      <c r="I22" s="9"/>
      <c r="J22" s="9"/>
      <c r="K22" s="8" t="s">
        <v>20</v>
      </c>
      <c r="L22" s="9">
        <v>94.2</v>
      </c>
      <c r="M22" s="3" t="s">
        <v>21</v>
      </c>
      <c r="N22" s="9">
        <v>13</v>
      </c>
      <c r="O22" s="8" t="s">
        <v>20</v>
      </c>
      <c r="P22" s="9">
        <v>29.8</v>
      </c>
      <c r="Q22" s="10" t="s">
        <v>19</v>
      </c>
    </row>
    <row r="23" spans="1:17" ht="187.2" x14ac:dyDescent="0.25">
      <c r="A23" s="17" t="s">
        <v>57</v>
      </c>
      <c r="B23" s="22" t="s">
        <v>28</v>
      </c>
      <c r="C23" s="127" t="s">
        <v>29</v>
      </c>
      <c r="D23" s="121">
        <v>60.3</v>
      </c>
      <c r="E23" s="127" t="s">
        <v>18</v>
      </c>
      <c r="F23" s="122">
        <v>29.4</v>
      </c>
      <c r="G23" s="17" t="s">
        <v>19</v>
      </c>
      <c r="H23" s="121">
        <v>0</v>
      </c>
      <c r="I23" s="121"/>
      <c r="J23" s="121"/>
      <c r="K23" s="17" t="s">
        <v>19</v>
      </c>
      <c r="L23" s="121">
        <v>89.7</v>
      </c>
      <c r="M23" s="22" t="s">
        <v>30</v>
      </c>
      <c r="N23" s="121">
        <v>31.4</v>
      </c>
      <c r="O23" s="17" t="s">
        <v>19</v>
      </c>
      <c r="P23" s="121">
        <v>28.9</v>
      </c>
      <c r="Q23" s="17" t="s">
        <v>19</v>
      </c>
    </row>
    <row r="24" spans="1:17" ht="187.2" x14ac:dyDescent="0.25">
      <c r="A24" s="17" t="s">
        <v>59</v>
      </c>
      <c r="B24" s="22" t="s">
        <v>28</v>
      </c>
      <c r="C24" s="127" t="s">
        <v>29</v>
      </c>
      <c r="D24" s="122">
        <v>337.9</v>
      </c>
      <c r="E24" s="127" t="s">
        <v>18</v>
      </c>
      <c r="F24" s="122">
        <v>126.9</v>
      </c>
      <c r="G24" s="17" t="s">
        <v>19</v>
      </c>
      <c r="H24" s="121">
        <v>0</v>
      </c>
      <c r="I24" s="121"/>
      <c r="J24" s="121"/>
      <c r="K24" s="17" t="s">
        <v>19</v>
      </c>
      <c r="L24" s="122">
        <v>464.7</v>
      </c>
      <c r="M24" s="22" t="s">
        <v>30</v>
      </c>
      <c r="N24" s="122">
        <v>289.10000000000002</v>
      </c>
      <c r="O24" s="17" t="s">
        <v>19</v>
      </c>
      <c r="P24" s="122">
        <v>162</v>
      </c>
      <c r="Q24" s="17" t="s">
        <v>19</v>
      </c>
    </row>
    <row r="25" spans="1:17" ht="187.2" x14ac:dyDescent="0.25">
      <c r="A25" s="17" t="s">
        <v>61</v>
      </c>
      <c r="B25" s="22" t="s">
        <v>28</v>
      </c>
      <c r="C25" s="127" t="s">
        <v>29</v>
      </c>
      <c r="D25" s="122">
        <v>278.8</v>
      </c>
      <c r="E25" s="127" t="s">
        <v>18</v>
      </c>
      <c r="F25" s="122">
        <v>64</v>
      </c>
      <c r="G25" s="17" t="s">
        <v>19</v>
      </c>
      <c r="H25" s="121">
        <v>0</v>
      </c>
      <c r="I25" s="121"/>
      <c r="J25" s="121"/>
      <c r="K25" s="17" t="s">
        <v>19</v>
      </c>
      <c r="L25" s="122">
        <v>342.8</v>
      </c>
      <c r="M25" s="22" t="s">
        <v>30</v>
      </c>
      <c r="N25" s="122">
        <v>259.2</v>
      </c>
      <c r="O25" s="17" t="s">
        <v>19</v>
      </c>
      <c r="P25" s="121">
        <v>111.1</v>
      </c>
      <c r="Q25" s="17" t="s">
        <v>19</v>
      </c>
    </row>
    <row r="26" spans="1:17" ht="187.2" x14ac:dyDescent="0.25">
      <c r="A26" s="17" t="s">
        <v>62</v>
      </c>
      <c r="B26" s="22" t="s">
        <v>28</v>
      </c>
      <c r="C26" s="127" t="s">
        <v>29</v>
      </c>
      <c r="D26" s="121">
        <v>32.799999999999997</v>
      </c>
      <c r="E26" s="127" t="s">
        <v>18</v>
      </c>
      <c r="F26" s="122">
        <v>40.700000000000003</v>
      </c>
      <c r="G26" s="17" t="s">
        <v>19</v>
      </c>
      <c r="H26" s="121">
        <v>0</v>
      </c>
      <c r="I26" s="121"/>
      <c r="J26" s="121"/>
      <c r="K26" s="17" t="s">
        <v>19</v>
      </c>
      <c r="L26" s="121">
        <v>73.5</v>
      </c>
      <c r="M26" s="22" t="s">
        <v>30</v>
      </c>
      <c r="N26" s="122">
        <v>26.4</v>
      </c>
      <c r="O26" s="17" t="s">
        <v>19</v>
      </c>
      <c r="P26" s="121">
        <v>24.1</v>
      </c>
      <c r="Q26" s="17" t="s">
        <v>19</v>
      </c>
    </row>
    <row r="27" spans="1:17" ht="187.2" x14ac:dyDescent="0.25">
      <c r="A27" s="7" t="s">
        <v>48</v>
      </c>
      <c r="B27" s="10" t="s">
        <v>25</v>
      </c>
      <c r="C27" s="3" t="s">
        <v>17</v>
      </c>
      <c r="D27" s="9">
        <v>89.7</v>
      </c>
      <c r="E27" s="3" t="s">
        <v>18</v>
      </c>
      <c r="F27" s="9">
        <v>52.7</v>
      </c>
      <c r="G27" s="10" t="s">
        <v>19</v>
      </c>
      <c r="H27" s="82">
        <v>0</v>
      </c>
      <c r="I27" s="12"/>
      <c r="J27" s="83"/>
      <c r="K27" s="13" t="s">
        <v>20</v>
      </c>
      <c r="L27" s="14">
        <v>142.30000000000001</v>
      </c>
      <c r="M27" s="6" t="s">
        <v>21</v>
      </c>
      <c r="N27" s="9">
        <v>126</v>
      </c>
      <c r="O27" s="8" t="s">
        <v>20</v>
      </c>
      <c r="P27" s="14">
        <v>56.4</v>
      </c>
      <c r="Q27" s="16" t="s">
        <v>19</v>
      </c>
    </row>
    <row r="28" spans="1:17" ht="187.2" x14ac:dyDescent="0.25">
      <c r="A28" s="7" t="s">
        <v>51</v>
      </c>
      <c r="B28" s="10" t="s">
        <v>25</v>
      </c>
      <c r="C28" s="3" t="s">
        <v>17</v>
      </c>
      <c r="D28" s="9">
        <v>26.4</v>
      </c>
      <c r="E28" s="3" t="s">
        <v>18</v>
      </c>
      <c r="F28" s="9">
        <v>92.5</v>
      </c>
      <c r="G28" s="10" t="s">
        <v>19</v>
      </c>
      <c r="H28" s="82">
        <v>0</v>
      </c>
      <c r="I28" s="12"/>
      <c r="J28" s="83"/>
      <c r="K28" s="13" t="s">
        <v>20</v>
      </c>
      <c r="L28" s="14">
        <v>118.9</v>
      </c>
      <c r="M28" s="6" t="s">
        <v>21</v>
      </c>
      <c r="N28" s="9">
        <v>70.7</v>
      </c>
      <c r="O28" s="8" t="s">
        <v>20</v>
      </c>
      <c r="P28" s="14">
        <v>38.799999999999997</v>
      </c>
      <c r="Q28" s="16" t="s">
        <v>19</v>
      </c>
    </row>
    <row r="29" spans="1:17" ht="187.2" x14ac:dyDescent="0.25">
      <c r="A29" s="7" t="s">
        <v>53</v>
      </c>
      <c r="B29" s="8" t="s">
        <v>28</v>
      </c>
      <c r="C29" s="3" t="s">
        <v>29</v>
      </c>
      <c r="D29" s="9">
        <v>210.2</v>
      </c>
      <c r="E29" s="3" t="s">
        <v>18</v>
      </c>
      <c r="F29" s="9">
        <v>94.2</v>
      </c>
      <c r="G29" s="10" t="s">
        <v>19</v>
      </c>
      <c r="H29" s="82">
        <v>0</v>
      </c>
      <c r="I29" s="12"/>
      <c r="J29" s="83"/>
      <c r="K29" s="16" t="s">
        <v>19</v>
      </c>
      <c r="L29" s="14">
        <v>304.3</v>
      </c>
      <c r="M29" s="13" t="s">
        <v>30</v>
      </c>
      <c r="N29" s="9">
        <v>242</v>
      </c>
      <c r="O29" s="10" t="s">
        <v>19</v>
      </c>
      <c r="P29" s="14">
        <v>99.1</v>
      </c>
      <c r="Q29" s="16" t="s">
        <v>19</v>
      </c>
    </row>
    <row r="30" spans="1:17" ht="230.4" x14ac:dyDescent="0.25">
      <c r="A30" s="17" t="s">
        <v>56</v>
      </c>
      <c r="B30" s="17" t="s">
        <v>32</v>
      </c>
      <c r="C30" s="127" t="s">
        <v>17</v>
      </c>
      <c r="D30" s="122">
        <v>261.60000000000002</v>
      </c>
      <c r="E30" s="127" t="s">
        <v>18</v>
      </c>
      <c r="F30" s="122">
        <v>130.30000000000001</v>
      </c>
      <c r="G30" s="127" t="s">
        <v>33</v>
      </c>
      <c r="H30" s="87">
        <v>3.8</v>
      </c>
      <c r="I30" s="25"/>
      <c r="J30" s="88"/>
      <c r="K30" s="30" t="s">
        <v>20</v>
      </c>
      <c r="L30" s="32">
        <v>395.7</v>
      </c>
      <c r="M30" s="34" t="s">
        <v>21</v>
      </c>
      <c r="N30" s="122">
        <v>180.7</v>
      </c>
      <c r="O30" s="22" t="s">
        <v>20</v>
      </c>
      <c r="P30" s="32">
        <v>123.9</v>
      </c>
      <c r="Q30" s="28" t="s">
        <v>19</v>
      </c>
    </row>
    <row r="31" spans="1:17" ht="14.4" x14ac:dyDescent="0.25">
      <c r="A31" s="18"/>
      <c r="B31" s="18"/>
      <c r="C31" s="4"/>
      <c r="D31" s="20"/>
      <c r="E31" s="4"/>
      <c r="F31" s="20"/>
      <c r="G31" s="4"/>
      <c r="H31" s="26"/>
      <c r="I31" s="27"/>
      <c r="J31" s="89"/>
      <c r="K31" s="31"/>
      <c r="L31" s="33"/>
      <c r="M31" s="36"/>
      <c r="N31" s="20"/>
      <c r="O31" s="23"/>
      <c r="P31" s="33"/>
      <c r="Q31" s="29"/>
    </row>
    <row r="32" spans="1:17" ht="187.2" x14ac:dyDescent="0.25">
      <c r="A32" s="17" t="s">
        <v>58</v>
      </c>
      <c r="B32" s="22" t="s">
        <v>28</v>
      </c>
      <c r="C32" s="127" t="s">
        <v>29</v>
      </c>
      <c r="D32" s="122">
        <v>114.6</v>
      </c>
      <c r="E32" s="127" t="s">
        <v>18</v>
      </c>
      <c r="F32" s="121">
        <v>76.2</v>
      </c>
      <c r="G32" s="17" t="s">
        <v>19</v>
      </c>
      <c r="H32" s="87">
        <v>0</v>
      </c>
      <c r="I32" s="25"/>
      <c r="J32" s="88"/>
      <c r="K32" s="28" t="s">
        <v>19</v>
      </c>
      <c r="L32" s="32">
        <v>190.8</v>
      </c>
      <c r="M32" s="30" t="s">
        <v>30</v>
      </c>
      <c r="N32" s="122">
        <v>103.5</v>
      </c>
      <c r="O32" s="17" t="s">
        <v>19</v>
      </c>
      <c r="P32" s="32">
        <v>62.1</v>
      </c>
      <c r="Q32" s="28" t="s">
        <v>19</v>
      </c>
    </row>
    <row r="33" spans="1:17" ht="187.2" x14ac:dyDescent="0.25">
      <c r="A33" s="17" t="s">
        <v>60</v>
      </c>
      <c r="B33" s="22" t="s">
        <v>28</v>
      </c>
      <c r="C33" s="127" t="s">
        <v>29</v>
      </c>
      <c r="D33" s="122">
        <v>185.8</v>
      </c>
      <c r="E33" s="127" t="s">
        <v>18</v>
      </c>
      <c r="F33" s="121">
        <v>41.3</v>
      </c>
      <c r="G33" s="17" t="s">
        <v>19</v>
      </c>
      <c r="H33" s="87">
        <v>0</v>
      </c>
      <c r="I33" s="25"/>
      <c r="J33" s="88"/>
      <c r="K33" s="28" t="s">
        <v>19</v>
      </c>
      <c r="L33" s="32">
        <v>227.1</v>
      </c>
      <c r="M33" s="30" t="s">
        <v>30</v>
      </c>
      <c r="N33" s="122">
        <v>181.1</v>
      </c>
      <c r="O33" s="17" t="s">
        <v>19</v>
      </c>
      <c r="P33" s="32">
        <v>71</v>
      </c>
      <c r="Q33" s="28" t="s">
        <v>19</v>
      </c>
    </row>
  </sheetData>
  <mergeCells count="16">
    <mergeCell ref="P3:P4"/>
    <mergeCell ref="A1:Q1"/>
    <mergeCell ref="A2:A4"/>
    <mergeCell ref="B2:B4"/>
    <mergeCell ref="C2:L2"/>
    <mergeCell ref="M2:N2"/>
    <mergeCell ref="O2:P2"/>
    <mergeCell ref="Q2:Q4"/>
    <mergeCell ref="C3:D3"/>
    <mergeCell ref="E3:F3"/>
    <mergeCell ref="G3:H3"/>
    <mergeCell ref="I3:J3"/>
    <mergeCell ref="K3:L3"/>
    <mergeCell ref="M3:M4"/>
    <mergeCell ref="N3:N4"/>
    <mergeCell ref="O3:O4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85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customWidth="1"/>
    <col min="3" max="3" width="42.109375" customWidth="1"/>
    <col min="4" max="4" width="13.109375" customWidth="1"/>
    <col min="5" max="5" width="26.109375" customWidth="1"/>
    <col min="6" max="6" width="13.109375" customWidth="1"/>
    <col min="7" max="7" width="50.44140625" customWidth="1"/>
    <col min="8" max="8" width="13.109375" customWidth="1"/>
    <col min="9" max="9" width="26.109375" customWidth="1"/>
    <col min="10" max="10" width="13.109375" customWidth="1"/>
    <col min="11" max="11" width="48.44140625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9" ht="31.5" customHeight="1" x14ac:dyDescent="0.25">
      <c r="A1" s="564" t="s">
        <v>0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</row>
    <row r="2" spans="1:29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33"/>
      <c r="N2" s="133"/>
      <c r="O2" s="133"/>
      <c r="P2" s="133"/>
      <c r="Q2" s="555" t="s">
        <v>4</v>
      </c>
      <c r="R2" s="555"/>
      <c r="S2" s="558" t="s">
        <v>5</v>
      </c>
      <c r="T2" s="558"/>
      <c r="U2" s="134" t="s">
        <v>6</v>
      </c>
    </row>
    <row r="3" spans="1:29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80" t="s">
        <v>63</v>
      </c>
      <c r="J3" s="81"/>
      <c r="K3" s="80" t="s">
        <v>64</v>
      </c>
      <c r="L3" s="81"/>
      <c r="M3" s="562" t="s">
        <v>10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34"/>
    </row>
    <row r="4" spans="1:29" ht="34.799999999999997" x14ac:dyDescent="0.25">
      <c r="A4" s="556"/>
      <c r="B4" s="555"/>
      <c r="C4" s="96" t="s">
        <v>12</v>
      </c>
      <c r="D4" s="132" t="s">
        <v>13</v>
      </c>
      <c r="E4" s="96" t="s">
        <v>12</v>
      </c>
      <c r="F4" s="132" t="s">
        <v>13</v>
      </c>
      <c r="G4" s="96" t="s">
        <v>12</v>
      </c>
      <c r="H4" s="132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132" t="s">
        <v>13</v>
      </c>
      <c r="O4" s="98" t="s">
        <v>12</v>
      </c>
      <c r="P4" s="132" t="s">
        <v>13</v>
      </c>
      <c r="Q4" s="555"/>
      <c r="R4" s="556"/>
      <c r="S4" s="555"/>
      <c r="T4" s="560"/>
      <c r="U4" s="134"/>
    </row>
    <row r="5" spans="1:29" ht="144" x14ac:dyDescent="0.25">
      <c r="A5" s="102" t="s">
        <v>65</v>
      </c>
      <c r="B5" s="102" t="s">
        <v>66</v>
      </c>
      <c r="C5" s="132" t="s">
        <v>67</v>
      </c>
      <c r="D5" s="101">
        <v>5.6</v>
      </c>
      <c r="E5" s="101"/>
      <c r="F5" s="101"/>
      <c r="G5" s="102" t="s">
        <v>19</v>
      </c>
      <c r="H5" s="101">
        <v>0</v>
      </c>
      <c r="I5" s="102" t="s">
        <v>19</v>
      </c>
      <c r="J5" s="101">
        <v>0</v>
      </c>
      <c r="K5" s="102" t="s">
        <v>19</v>
      </c>
      <c r="L5" s="101">
        <v>0</v>
      </c>
      <c r="M5" s="132" t="s">
        <v>26</v>
      </c>
      <c r="N5" s="101">
        <v>5.4</v>
      </c>
      <c r="O5" s="100" t="s">
        <v>20</v>
      </c>
      <c r="P5" s="101">
        <v>11</v>
      </c>
      <c r="Q5" s="132" t="s">
        <v>21</v>
      </c>
      <c r="R5" s="101">
        <v>13.4</v>
      </c>
      <c r="S5" s="100" t="s">
        <v>20</v>
      </c>
      <c r="T5" s="101">
        <v>7.7</v>
      </c>
      <c r="U5" s="132" t="s">
        <v>68</v>
      </c>
      <c r="AC5" s="95"/>
    </row>
    <row r="6" spans="1:29" ht="86.4" x14ac:dyDescent="0.25">
      <c r="A6" s="102" t="s">
        <v>69</v>
      </c>
      <c r="B6" s="132" t="s">
        <v>70</v>
      </c>
      <c r="C6" s="132" t="s">
        <v>67</v>
      </c>
      <c r="D6" s="101">
        <v>11.6</v>
      </c>
      <c r="E6" s="101"/>
      <c r="F6" s="101"/>
      <c r="G6" s="132" t="s">
        <v>71</v>
      </c>
      <c r="H6" s="101">
        <v>6.3</v>
      </c>
      <c r="I6" s="102" t="s">
        <v>19</v>
      </c>
      <c r="J6" s="101">
        <v>0</v>
      </c>
      <c r="K6" s="132" t="s">
        <v>71</v>
      </c>
      <c r="L6" s="101">
        <v>15.1</v>
      </c>
      <c r="M6" s="102" t="s">
        <v>19</v>
      </c>
      <c r="N6" s="101">
        <v>0</v>
      </c>
      <c r="O6" s="100" t="s">
        <v>20</v>
      </c>
      <c r="P6" s="101">
        <v>32.9</v>
      </c>
      <c r="Q6" s="110" t="s">
        <v>30</v>
      </c>
      <c r="R6" s="101">
        <v>17.600000000000001</v>
      </c>
      <c r="S6" s="100" t="s">
        <v>20</v>
      </c>
      <c r="T6" s="101">
        <v>14</v>
      </c>
      <c r="U6" s="132" t="s">
        <v>68</v>
      </c>
      <c r="AC6" s="95"/>
    </row>
    <row r="7" spans="1:29" ht="86.4" x14ac:dyDescent="0.25">
      <c r="A7" s="102" t="s">
        <v>72</v>
      </c>
      <c r="B7" s="100" t="s">
        <v>73</v>
      </c>
      <c r="C7" s="102" t="s">
        <v>19</v>
      </c>
      <c r="D7" s="101">
        <v>0</v>
      </c>
      <c r="E7" s="101"/>
      <c r="F7" s="101"/>
      <c r="G7" s="102" t="s">
        <v>19</v>
      </c>
      <c r="H7" s="101">
        <v>0</v>
      </c>
      <c r="I7" s="102" t="s">
        <v>19</v>
      </c>
      <c r="J7" s="101">
        <v>0</v>
      </c>
      <c r="K7" s="132" t="s">
        <v>74</v>
      </c>
      <c r="L7" s="101">
        <v>27.1</v>
      </c>
      <c r="M7" s="102" t="s">
        <v>19</v>
      </c>
      <c r="N7" s="101">
        <v>0</v>
      </c>
      <c r="O7" s="100" t="s">
        <v>20</v>
      </c>
      <c r="P7" s="101">
        <v>27.1</v>
      </c>
      <c r="Q7" s="132" t="s">
        <v>21</v>
      </c>
      <c r="R7" s="101">
        <v>5.8</v>
      </c>
      <c r="S7" s="100" t="s">
        <v>20</v>
      </c>
      <c r="T7" s="101">
        <v>8.5</v>
      </c>
      <c r="U7" s="132" t="s">
        <v>68</v>
      </c>
      <c r="AC7" s="95"/>
    </row>
    <row r="8" spans="1:29" ht="129.6" x14ac:dyDescent="0.25">
      <c r="A8" s="102" t="s">
        <v>75</v>
      </c>
      <c r="B8" s="132" t="s">
        <v>76</v>
      </c>
      <c r="C8" s="132" t="s">
        <v>67</v>
      </c>
      <c r="D8" s="101">
        <v>266.7</v>
      </c>
      <c r="E8" s="101"/>
      <c r="F8" s="101"/>
      <c r="G8" s="132" t="s">
        <v>71</v>
      </c>
      <c r="H8" s="101">
        <v>166.5</v>
      </c>
      <c r="I8" s="132" t="s">
        <v>77</v>
      </c>
      <c r="J8" s="101">
        <v>4.3</v>
      </c>
      <c r="K8" s="132" t="s">
        <v>71</v>
      </c>
      <c r="L8" s="101">
        <v>7.1</v>
      </c>
      <c r="M8" s="102" t="s">
        <v>19</v>
      </c>
      <c r="N8" s="101">
        <v>0</v>
      </c>
      <c r="O8" s="100" t="s">
        <v>20</v>
      </c>
      <c r="P8" s="101">
        <v>444.7</v>
      </c>
      <c r="Q8" s="132" t="s">
        <v>21</v>
      </c>
      <c r="R8" s="101">
        <v>357.2</v>
      </c>
      <c r="S8" s="100" t="s">
        <v>20</v>
      </c>
      <c r="T8" s="101">
        <v>88.6</v>
      </c>
      <c r="U8" s="132" t="s">
        <v>68</v>
      </c>
      <c r="AC8" s="95"/>
    </row>
    <row r="9" spans="1:29" ht="86.4" x14ac:dyDescent="0.25">
      <c r="A9" s="102" t="s">
        <v>78</v>
      </c>
      <c r="B9" s="100" t="s">
        <v>79</v>
      </c>
      <c r="C9" s="132" t="s">
        <v>67</v>
      </c>
      <c r="D9" s="101">
        <v>26.5</v>
      </c>
      <c r="E9" s="101"/>
      <c r="F9" s="101"/>
      <c r="G9" s="132" t="s">
        <v>71</v>
      </c>
      <c r="H9" s="101">
        <v>28.2</v>
      </c>
      <c r="I9" s="102" t="s">
        <v>19</v>
      </c>
      <c r="J9" s="101">
        <v>0</v>
      </c>
      <c r="K9" s="132" t="s">
        <v>71</v>
      </c>
      <c r="L9" s="101">
        <v>14</v>
      </c>
      <c r="M9" s="102" t="s">
        <v>19</v>
      </c>
      <c r="N9" s="101">
        <v>0</v>
      </c>
      <c r="O9" s="100" t="s">
        <v>20</v>
      </c>
      <c r="P9" s="101">
        <v>68.7</v>
      </c>
      <c r="Q9" s="110" t="s">
        <v>30</v>
      </c>
      <c r="R9" s="101">
        <v>22.1</v>
      </c>
      <c r="S9" s="100" t="s">
        <v>20</v>
      </c>
      <c r="T9" s="101">
        <v>19</v>
      </c>
      <c r="U9" s="132" t="s">
        <v>68</v>
      </c>
      <c r="AC9" s="95"/>
    </row>
    <row r="10" spans="1:29" ht="86.4" x14ac:dyDescent="0.25">
      <c r="A10" s="102" t="s">
        <v>80</v>
      </c>
      <c r="B10" s="100" t="s">
        <v>81</v>
      </c>
      <c r="C10" s="102" t="s">
        <v>19</v>
      </c>
      <c r="D10" s="101">
        <v>0</v>
      </c>
      <c r="E10" s="101"/>
      <c r="F10" s="101"/>
      <c r="G10" s="132" t="s">
        <v>74</v>
      </c>
      <c r="H10" s="101">
        <v>15</v>
      </c>
      <c r="I10" s="102" t="s">
        <v>19</v>
      </c>
      <c r="J10" s="101">
        <v>0</v>
      </c>
      <c r="K10" s="132" t="s">
        <v>74</v>
      </c>
      <c r="L10" s="101">
        <v>21.5</v>
      </c>
      <c r="M10" s="102" t="s">
        <v>19</v>
      </c>
      <c r="N10" s="101">
        <v>0</v>
      </c>
      <c r="O10" s="100" t="s">
        <v>20</v>
      </c>
      <c r="P10" s="101">
        <v>36.5</v>
      </c>
      <c r="Q10" s="132" t="s">
        <v>21</v>
      </c>
      <c r="R10" s="101">
        <v>5.9</v>
      </c>
      <c r="S10" s="100" t="s">
        <v>20</v>
      </c>
      <c r="T10" s="101">
        <v>9</v>
      </c>
      <c r="U10" s="132" t="s">
        <v>68</v>
      </c>
      <c r="AC10" s="95"/>
    </row>
    <row r="11" spans="1:29" ht="86.4" x14ac:dyDescent="0.25">
      <c r="A11" s="102" t="s">
        <v>82</v>
      </c>
      <c r="B11" s="100" t="s">
        <v>83</v>
      </c>
      <c r="C11" s="132" t="s">
        <v>67</v>
      </c>
      <c r="D11" s="101">
        <v>12.4</v>
      </c>
      <c r="E11" s="101"/>
      <c r="F11" s="101"/>
      <c r="G11" s="132" t="s">
        <v>71</v>
      </c>
      <c r="H11" s="101">
        <v>34.299999999999997</v>
      </c>
      <c r="I11" s="102" t="s">
        <v>19</v>
      </c>
      <c r="J11" s="101">
        <v>0</v>
      </c>
      <c r="K11" s="102" t="s">
        <v>19</v>
      </c>
      <c r="L11" s="101">
        <v>0</v>
      </c>
      <c r="M11" s="102" t="s">
        <v>19</v>
      </c>
      <c r="N11" s="101">
        <v>0</v>
      </c>
      <c r="O11" s="100" t="s">
        <v>20</v>
      </c>
      <c r="P11" s="101">
        <v>46.7</v>
      </c>
      <c r="Q11" s="110" t="s">
        <v>30</v>
      </c>
      <c r="R11" s="101">
        <v>10</v>
      </c>
      <c r="S11" s="100" t="s">
        <v>20</v>
      </c>
      <c r="T11" s="101">
        <v>11.7</v>
      </c>
      <c r="U11" s="132" t="s">
        <v>68</v>
      </c>
      <c r="AC11" s="95"/>
    </row>
    <row r="12" spans="1:29" ht="86.4" x14ac:dyDescent="0.25">
      <c r="A12" s="102" t="s">
        <v>84</v>
      </c>
      <c r="B12" s="100" t="s">
        <v>85</v>
      </c>
      <c r="C12" s="132" t="s">
        <v>67</v>
      </c>
      <c r="D12" s="101">
        <v>72.900000000000006</v>
      </c>
      <c r="E12" s="101"/>
      <c r="F12" s="101"/>
      <c r="G12" s="132" t="s">
        <v>71</v>
      </c>
      <c r="H12" s="101">
        <v>66.099999999999994</v>
      </c>
      <c r="I12" s="102" t="s">
        <v>19</v>
      </c>
      <c r="J12" s="101">
        <v>0</v>
      </c>
      <c r="K12" s="132" t="s">
        <v>71</v>
      </c>
      <c r="L12" s="101">
        <v>16.5</v>
      </c>
      <c r="M12" s="102" t="s">
        <v>19</v>
      </c>
      <c r="N12" s="101">
        <v>0</v>
      </c>
      <c r="O12" s="100" t="s">
        <v>20</v>
      </c>
      <c r="P12" s="101">
        <v>155.5</v>
      </c>
      <c r="Q12" s="110" t="s">
        <v>30</v>
      </c>
      <c r="R12" s="101">
        <v>105.4</v>
      </c>
      <c r="S12" s="100" t="s">
        <v>20</v>
      </c>
      <c r="T12" s="101">
        <v>48.2</v>
      </c>
      <c r="U12" s="132" t="s">
        <v>68</v>
      </c>
      <c r="AC12" s="95"/>
    </row>
    <row r="13" spans="1:29" ht="86.4" x14ac:dyDescent="0.25">
      <c r="A13" s="102" t="s">
        <v>86</v>
      </c>
      <c r="B13" s="100" t="s">
        <v>87</v>
      </c>
      <c r="C13" s="132" t="s">
        <v>67</v>
      </c>
      <c r="D13" s="101">
        <v>40.1</v>
      </c>
      <c r="E13" s="101"/>
      <c r="F13" s="101"/>
      <c r="G13" s="132" t="s">
        <v>71</v>
      </c>
      <c r="H13" s="101">
        <v>70.099999999999994</v>
      </c>
      <c r="I13" s="102" t="s">
        <v>19</v>
      </c>
      <c r="J13" s="101">
        <v>0</v>
      </c>
      <c r="K13" s="132" t="s">
        <v>71</v>
      </c>
      <c r="L13" s="101">
        <v>8.4</v>
      </c>
      <c r="M13" s="102" t="s">
        <v>19</v>
      </c>
      <c r="N13" s="101">
        <v>0</v>
      </c>
      <c r="O13" s="100" t="s">
        <v>20</v>
      </c>
      <c r="P13" s="101">
        <v>118.6</v>
      </c>
      <c r="Q13" s="110" t="s">
        <v>30</v>
      </c>
      <c r="R13" s="101">
        <v>62.9</v>
      </c>
      <c r="S13" s="100" t="s">
        <v>20</v>
      </c>
      <c r="T13" s="101">
        <v>34.6</v>
      </c>
      <c r="U13" s="132" t="s">
        <v>68</v>
      </c>
      <c r="AC13" s="95"/>
    </row>
    <row r="14" spans="1:29" ht="86.4" x14ac:dyDescent="0.25">
      <c r="A14" s="10" t="s">
        <v>88</v>
      </c>
      <c r="B14" s="8" t="s">
        <v>87</v>
      </c>
      <c r="C14" s="3" t="s">
        <v>67</v>
      </c>
      <c r="D14" s="9">
        <v>55.6</v>
      </c>
      <c r="E14" s="9"/>
      <c r="F14" s="9"/>
      <c r="G14" s="3" t="s">
        <v>71</v>
      </c>
      <c r="H14" s="9">
        <v>47.3</v>
      </c>
      <c r="I14" s="9"/>
      <c r="J14" s="9"/>
      <c r="K14" s="3" t="s">
        <v>71</v>
      </c>
      <c r="L14" s="9">
        <v>6.6</v>
      </c>
      <c r="M14" s="9"/>
      <c r="N14" s="9"/>
      <c r="O14" s="8" t="s">
        <v>20</v>
      </c>
      <c r="P14" s="9">
        <v>109.5</v>
      </c>
      <c r="Q14" s="51" t="s">
        <v>30</v>
      </c>
      <c r="R14" s="9">
        <v>64.3</v>
      </c>
      <c r="S14" s="8" t="s">
        <v>20</v>
      </c>
      <c r="T14" s="9">
        <v>32.4</v>
      </c>
      <c r="U14" s="3" t="s">
        <v>68</v>
      </c>
    </row>
    <row r="15" spans="1:29" ht="86.4" x14ac:dyDescent="0.25">
      <c r="A15" s="10" t="s">
        <v>91</v>
      </c>
      <c r="B15" s="8" t="s">
        <v>87</v>
      </c>
      <c r="C15" s="3" t="s">
        <v>67</v>
      </c>
      <c r="D15" s="9">
        <v>92.6</v>
      </c>
      <c r="E15" s="9"/>
      <c r="F15" s="9"/>
      <c r="G15" s="3" t="s">
        <v>71</v>
      </c>
      <c r="H15" s="9">
        <v>11.6</v>
      </c>
      <c r="I15" s="9"/>
      <c r="J15" s="9"/>
      <c r="K15" s="3" t="s">
        <v>71</v>
      </c>
      <c r="L15" s="9">
        <v>8.5</v>
      </c>
      <c r="M15" s="9"/>
      <c r="N15" s="9"/>
      <c r="O15" s="8" t="s">
        <v>20</v>
      </c>
      <c r="P15" s="9">
        <v>112.7</v>
      </c>
      <c r="Q15" s="51" t="s">
        <v>30</v>
      </c>
      <c r="R15" s="9">
        <v>64.400000000000006</v>
      </c>
      <c r="S15" s="8" t="s">
        <v>20</v>
      </c>
      <c r="T15" s="9">
        <v>32.6</v>
      </c>
      <c r="U15" s="3" t="s">
        <v>68</v>
      </c>
    </row>
    <row r="16" spans="1:29" ht="86.4" x14ac:dyDescent="0.25">
      <c r="A16" s="17" t="s">
        <v>95</v>
      </c>
      <c r="B16" s="22" t="s">
        <v>96</v>
      </c>
      <c r="C16" s="127" t="s">
        <v>67</v>
      </c>
      <c r="D16" s="122">
        <v>121.5</v>
      </c>
      <c r="E16" s="122"/>
      <c r="F16" s="122"/>
      <c r="G16" s="127" t="s">
        <v>71</v>
      </c>
      <c r="H16" s="122">
        <v>24.2</v>
      </c>
      <c r="I16" s="122"/>
      <c r="J16" s="122"/>
      <c r="K16" s="127" t="s">
        <v>71</v>
      </c>
      <c r="L16" s="121">
        <v>28.6</v>
      </c>
      <c r="M16" s="121"/>
      <c r="N16" s="121"/>
      <c r="O16" s="22" t="s">
        <v>20</v>
      </c>
      <c r="P16" s="122">
        <v>174.2</v>
      </c>
      <c r="Q16" s="22" t="s">
        <v>30</v>
      </c>
      <c r="R16" s="122">
        <v>131.19999999999999</v>
      </c>
      <c r="S16" s="22" t="s">
        <v>20</v>
      </c>
      <c r="T16" s="122">
        <v>46</v>
      </c>
      <c r="U16" s="127" t="s">
        <v>68</v>
      </c>
    </row>
    <row r="17" spans="1:21" ht="86.4" x14ac:dyDescent="0.25">
      <c r="A17" s="17" t="s">
        <v>99</v>
      </c>
      <c r="B17" s="22" t="s">
        <v>100</v>
      </c>
      <c r="C17" s="127" t="s">
        <v>94</v>
      </c>
      <c r="D17" s="121">
        <v>50.1</v>
      </c>
      <c r="E17" s="121"/>
      <c r="F17" s="121"/>
      <c r="G17" s="17" t="s">
        <v>19</v>
      </c>
      <c r="H17" s="121">
        <v>0</v>
      </c>
      <c r="I17" s="121"/>
      <c r="J17" s="121"/>
      <c r="K17" s="127" t="s">
        <v>74</v>
      </c>
      <c r="L17" s="121">
        <v>30.1</v>
      </c>
      <c r="M17" s="121"/>
      <c r="N17" s="121"/>
      <c r="O17" s="22" t="s">
        <v>20</v>
      </c>
      <c r="P17" s="121">
        <v>80.2</v>
      </c>
      <c r="Q17" s="127" t="s">
        <v>21</v>
      </c>
      <c r="R17" s="121">
        <v>15.8</v>
      </c>
      <c r="S17" s="22" t="s">
        <v>20</v>
      </c>
      <c r="T17" s="121">
        <v>20.3</v>
      </c>
      <c r="U17" s="127" t="s">
        <v>68</v>
      </c>
    </row>
    <row r="18" spans="1:21" ht="86.4" x14ac:dyDescent="0.25">
      <c r="A18" s="17" t="s">
        <v>103</v>
      </c>
      <c r="B18" s="22" t="s">
        <v>81</v>
      </c>
      <c r="C18" s="127" t="s">
        <v>94</v>
      </c>
      <c r="D18" s="121">
        <v>7.2</v>
      </c>
      <c r="E18" s="121"/>
      <c r="F18" s="121"/>
      <c r="G18" s="17" t="s">
        <v>19</v>
      </c>
      <c r="H18" s="121">
        <v>0</v>
      </c>
      <c r="I18" s="121"/>
      <c r="J18" s="121"/>
      <c r="K18" s="127" t="s">
        <v>74</v>
      </c>
      <c r="L18" s="121">
        <v>27.6</v>
      </c>
      <c r="M18" s="121"/>
      <c r="N18" s="121"/>
      <c r="O18" s="22" t="s">
        <v>20</v>
      </c>
      <c r="P18" s="122">
        <v>34.799999999999997</v>
      </c>
      <c r="Q18" s="127" t="s">
        <v>21</v>
      </c>
      <c r="R18" s="121">
        <v>5.4</v>
      </c>
      <c r="S18" s="22" t="s">
        <v>20</v>
      </c>
      <c r="T18" s="121">
        <v>8.1999999999999993</v>
      </c>
      <c r="U18" s="127" t="s">
        <v>68</v>
      </c>
    </row>
    <row r="19" spans="1:21" ht="86.4" x14ac:dyDescent="0.25">
      <c r="A19" s="17" t="s">
        <v>106</v>
      </c>
      <c r="B19" s="22" t="s">
        <v>107</v>
      </c>
      <c r="C19" s="127" t="s">
        <v>94</v>
      </c>
      <c r="D19" s="122">
        <v>49.9</v>
      </c>
      <c r="E19" s="122"/>
      <c r="F19" s="122"/>
      <c r="G19" s="17" t="s">
        <v>19</v>
      </c>
      <c r="H19" s="121">
        <v>0</v>
      </c>
      <c r="I19" s="121"/>
      <c r="J19" s="121"/>
      <c r="K19" s="127" t="s">
        <v>74</v>
      </c>
      <c r="L19" s="122">
        <v>30.4</v>
      </c>
      <c r="M19" s="122"/>
      <c r="N19" s="122"/>
      <c r="O19" s="22" t="s">
        <v>20</v>
      </c>
      <c r="P19" s="121">
        <v>80.3</v>
      </c>
      <c r="Q19" s="127" t="s">
        <v>21</v>
      </c>
      <c r="R19" s="121">
        <v>15.8</v>
      </c>
      <c r="S19" s="22" t="s">
        <v>20</v>
      </c>
      <c r="T19" s="121">
        <v>20.2</v>
      </c>
      <c r="U19" s="127" t="s">
        <v>68</v>
      </c>
    </row>
    <row r="20" spans="1:21" ht="86.4" x14ac:dyDescent="0.25">
      <c r="A20" s="17" t="s">
        <v>110</v>
      </c>
      <c r="B20" s="22" t="s">
        <v>111</v>
      </c>
      <c r="C20" s="127" t="s">
        <v>94</v>
      </c>
      <c r="D20" s="121">
        <v>1.1000000000000001</v>
      </c>
      <c r="E20" s="121"/>
      <c r="F20" s="121"/>
      <c r="G20" s="127" t="s">
        <v>74</v>
      </c>
      <c r="H20" s="121">
        <v>4.8</v>
      </c>
      <c r="I20" s="121"/>
      <c r="J20" s="121"/>
      <c r="K20" s="127" t="s">
        <v>74</v>
      </c>
      <c r="L20" s="121">
        <v>16.7</v>
      </c>
      <c r="M20" s="121"/>
      <c r="N20" s="121"/>
      <c r="O20" s="22" t="s">
        <v>20</v>
      </c>
      <c r="P20" s="121">
        <v>22.7</v>
      </c>
      <c r="Q20" s="22" t="s">
        <v>30</v>
      </c>
      <c r="R20" s="121">
        <v>2.4</v>
      </c>
      <c r="S20" s="22" t="s">
        <v>20</v>
      </c>
      <c r="T20" s="121">
        <v>5.3</v>
      </c>
      <c r="U20" s="127" t="s">
        <v>68</v>
      </c>
    </row>
    <row r="21" spans="1:21" ht="86.4" x14ac:dyDescent="0.25">
      <c r="A21" s="17" t="s">
        <v>114</v>
      </c>
      <c r="B21" s="22" t="s">
        <v>115</v>
      </c>
      <c r="C21" s="127" t="s">
        <v>94</v>
      </c>
      <c r="D21" s="121">
        <v>18.600000000000001</v>
      </c>
      <c r="E21" s="121"/>
      <c r="F21" s="121"/>
      <c r="G21" s="17" t="s">
        <v>19</v>
      </c>
      <c r="H21" s="121">
        <v>0</v>
      </c>
      <c r="I21" s="121"/>
      <c r="J21" s="121"/>
      <c r="K21" s="127" t="s">
        <v>74</v>
      </c>
      <c r="L21" s="122">
        <v>40.799999999999997</v>
      </c>
      <c r="M21" s="122"/>
      <c r="N21" s="122"/>
      <c r="O21" s="22" t="s">
        <v>20</v>
      </c>
      <c r="P21" s="122">
        <v>59.4</v>
      </c>
      <c r="Q21" s="127" t="s">
        <v>21</v>
      </c>
      <c r="R21" s="121">
        <v>13.9</v>
      </c>
      <c r="S21" s="22" t="s">
        <v>20</v>
      </c>
      <c r="T21" s="121">
        <v>16.2</v>
      </c>
      <c r="U21" s="127" t="s">
        <v>68</v>
      </c>
    </row>
    <row r="22" spans="1:21" ht="86.4" x14ac:dyDescent="0.25">
      <c r="A22" s="17" t="s">
        <v>118</v>
      </c>
      <c r="B22" s="22" t="s">
        <v>119</v>
      </c>
      <c r="C22" s="127" t="s">
        <v>94</v>
      </c>
      <c r="D22" s="121">
        <v>7.2</v>
      </c>
      <c r="E22" s="121"/>
      <c r="F22" s="121"/>
      <c r="G22" s="17" t="s">
        <v>19</v>
      </c>
      <c r="H22" s="121">
        <v>0</v>
      </c>
      <c r="I22" s="121"/>
      <c r="J22" s="121"/>
      <c r="K22" s="127" t="s">
        <v>74</v>
      </c>
      <c r="L22" s="121">
        <v>50.8</v>
      </c>
      <c r="M22" s="121"/>
      <c r="N22" s="121"/>
      <c r="O22" s="22" t="s">
        <v>20</v>
      </c>
      <c r="P22" s="121">
        <v>58</v>
      </c>
      <c r="Q22" s="127" t="s">
        <v>21</v>
      </c>
      <c r="R22" s="121">
        <v>13.9</v>
      </c>
      <c r="S22" s="22" t="s">
        <v>20</v>
      </c>
      <c r="T22" s="121">
        <v>15.4</v>
      </c>
      <c r="U22" s="127" t="s">
        <v>68</v>
      </c>
    </row>
    <row r="23" spans="1:21" ht="86.4" x14ac:dyDescent="0.25">
      <c r="A23" s="7" t="s">
        <v>89</v>
      </c>
      <c r="B23" s="10" t="s">
        <v>90</v>
      </c>
      <c r="C23" s="3" t="s">
        <v>67</v>
      </c>
      <c r="D23" s="52">
        <v>7.4</v>
      </c>
      <c r="E23" s="52"/>
      <c r="F23" s="52"/>
      <c r="G23" s="3" t="s">
        <v>71</v>
      </c>
      <c r="H23" s="9">
        <v>24.1</v>
      </c>
      <c r="I23" s="9"/>
      <c r="J23" s="9"/>
      <c r="K23" s="3" t="s">
        <v>71</v>
      </c>
      <c r="L23" s="82">
        <v>35.700000000000003</v>
      </c>
      <c r="M23" s="83"/>
      <c r="N23" s="12"/>
      <c r="O23" s="13" t="s">
        <v>20</v>
      </c>
      <c r="P23" s="14">
        <v>67.2</v>
      </c>
      <c r="Q23" s="13" t="s">
        <v>30</v>
      </c>
      <c r="R23" s="9">
        <v>20.399999999999999</v>
      </c>
      <c r="S23" s="8" t="s">
        <v>20</v>
      </c>
      <c r="T23" s="14">
        <v>15.9</v>
      </c>
      <c r="U23" s="6" t="s">
        <v>68</v>
      </c>
    </row>
    <row r="24" spans="1:21" ht="86.4" x14ac:dyDescent="0.25">
      <c r="A24" s="17" t="s">
        <v>92</v>
      </c>
      <c r="B24" s="127" t="s">
        <v>93</v>
      </c>
      <c r="C24" s="127" t="s">
        <v>94</v>
      </c>
      <c r="D24" s="121">
        <v>7.7</v>
      </c>
      <c r="E24" s="121"/>
      <c r="F24" s="121"/>
      <c r="G24" s="127" t="s">
        <v>74</v>
      </c>
      <c r="H24" s="121">
        <v>14.3</v>
      </c>
      <c r="I24" s="121"/>
      <c r="J24" s="121"/>
      <c r="K24" s="127" t="s">
        <v>74</v>
      </c>
      <c r="L24" s="87">
        <v>21.7</v>
      </c>
      <c r="M24" s="88"/>
      <c r="N24" s="25"/>
      <c r="O24" s="30" t="s">
        <v>20</v>
      </c>
      <c r="P24" s="32">
        <v>43.7</v>
      </c>
      <c r="Q24" s="34" t="s">
        <v>21</v>
      </c>
      <c r="R24" s="121">
        <v>6</v>
      </c>
      <c r="S24" s="22" t="s">
        <v>20</v>
      </c>
      <c r="T24" s="32">
        <v>10.7</v>
      </c>
      <c r="U24" s="34" t="s">
        <v>68</v>
      </c>
    </row>
    <row r="25" spans="1:21" ht="86.4" x14ac:dyDescent="0.25">
      <c r="A25" s="17" t="s">
        <v>97</v>
      </c>
      <c r="B25" s="22" t="s">
        <v>98</v>
      </c>
      <c r="C25" s="127" t="s">
        <v>94</v>
      </c>
      <c r="D25" s="121">
        <v>3.2</v>
      </c>
      <c r="E25" s="121"/>
      <c r="F25" s="121"/>
      <c r="G25" s="127" t="s">
        <v>74</v>
      </c>
      <c r="H25" s="121">
        <v>9</v>
      </c>
      <c r="I25" s="121"/>
      <c r="J25" s="121"/>
      <c r="K25" s="127" t="s">
        <v>74</v>
      </c>
      <c r="L25" s="87">
        <v>20.9</v>
      </c>
      <c r="M25" s="88"/>
      <c r="N25" s="25"/>
      <c r="O25" s="30" t="s">
        <v>20</v>
      </c>
      <c r="P25" s="32">
        <v>33</v>
      </c>
      <c r="Q25" s="34" t="s">
        <v>21</v>
      </c>
      <c r="R25" s="121">
        <v>4.7</v>
      </c>
      <c r="S25" s="22" t="s">
        <v>20</v>
      </c>
      <c r="T25" s="87">
        <v>8</v>
      </c>
      <c r="U25" s="34" t="s">
        <v>68</v>
      </c>
    </row>
    <row r="26" spans="1:21" ht="86.4" x14ac:dyDescent="0.25">
      <c r="A26" s="17" t="s">
        <v>101</v>
      </c>
      <c r="B26" s="22" t="s">
        <v>102</v>
      </c>
      <c r="C26" s="127" t="s">
        <v>94</v>
      </c>
      <c r="D26" s="121">
        <v>18.100000000000001</v>
      </c>
      <c r="E26" s="121"/>
      <c r="F26" s="121"/>
      <c r="G26" s="127" t="s">
        <v>74</v>
      </c>
      <c r="H26" s="121">
        <v>12.2</v>
      </c>
      <c r="I26" s="121"/>
      <c r="J26" s="121"/>
      <c r="K26" s="127" t="s">
        <v>74</v>
      </c>
      <c r="L26" s="87">
        <v>12.6</v>
      </c>
      <c r="M26" s="88"/>
      <c r="N26" s="25"/>
      <c r="O26" s="30" t="s">
        <v>20</v>
      </c>
      <c r="P26" s="32">
        <v>42.9</v>
      </c>
      <c r="Q26" s="34" t="s">
        <v>21</v>
      </c>
      <c r="R26" s="121">
        <v>4.7</v>
      </c>
      <c r="S26" s="22" t="s">
        <v>20</v>
      </c>
      <c r="T26" s="32">
        <v>10.4</v>
      </c>
      <c r="U26" s="34" t="s">
        <v>68</v>
      </c>
    </row>
    <row r="27" spans="1:21" ht="86.4" x14ac:dyDescent="0.25">
      <c r="A27" s="17" t="s">
        <v>104</v>
      </c>
      <c r="B27" s="22" t="s">
        <v>105</v>
      </c>
      <c r="C27" s="127" t="s">
        <v>67</v>
      </c>
      <c r="D27" s="121">
        <v>17</v>
      </c>
      <c r="E27" s="121"/>
      <c r="F27" s="121"/>
      <c r="G27" s="127" t="s">
        <v>71</v>
      </c>
      <c r="H27" s="121">
        <v>10.4</v>
      </c>
      <c r="I27" s="121"/>
      <c r="J27" s="121"/>
      <c r="K27" s="127" t="s">
        <v>71</v>
      </c>
      <c r="L27" s="87">
        <v>23.9</v>
      </c>
      <c r="M27" s="88"/>
      <c r="N27" s="25"/>
      <c r="O27" s="30" t="s">
        <v>20</v>
      </c>
      <c r="P27" s="87">
        <v>51.3</v>
      </c>
      <c r="Q27" s="34" t="s">
        <v>21</v>
      </c>
      <c r="R27" s="121">
        <v>10.1</v>
      </c>
      <c r="S27" s="22" t="s">
        <v>20</v>
      </c>
      <c r="T27" s="32">
        <v>12.4</v>
      </c>
      <c r="U27" s="34" t="s">
        <v>68</v>
      </c>
    </row>
    <row r="28" spans="1:21" ht="86.4" x14ac:dyDescent="0.25">
      <c r="A28" s="7" t="s">
        <v>108</v>
      </c>
      <c r="B28" s="10" t="s">
        <v>109</v>
      </c>
      <c r="C28" s="3" t="s">
        <v>67</v>
      </c>
      <c r="D28" s="53">
        <v>13</v>
      </c>
      <c r="E28" s="53"/>
      <c r="F28" s="53"/>
      <c r="G28" s="3" t="s">
        <v>71</v>
      </c>
      <c r="H28" s="9">
        <v>11.3</v>
      </c>
      <c r="I28" s="9"/>
      <c r="J28" s="9"/>
      <c r="K28" s="3" t="s">
        <v>71</v>
      </c>
      <c r="L28" s="14">
        <v>26.4</v>
      </c>
      <c r="M28" s="86"/>
      <c r="N28" s="15"/>
      <c r="O28" s="13" t="s">
        <v>20</v>
      </c>
      <c r="P28" s="14">
        <v>50.7</v>
      </c>
      <c r="Q28" s="6" t="s">
        <v>21</v>
      </c>
      <c r="R28" s="9">
        <v>10.3</v>
      </c>
      <c r="S28" s="8" t="s">
        <v>20</v>
      </c>
      <c r="T28" s="82">
        <v>12.1</v>
      </c>
      <c r="U28" s="6" t="s">
        <v>68</v>
      </c>
    </row>
    <row r="29" spans="1:21" ht="86.4" x14ac:dyDescent="0.25">
      <c r="A29" s="7" t="s">
        <v>112</v>
      </c>
      <c r="B29" s="10" t="s">
        <v>109</v>
      </c>
      <c r="C29" s="3" t="s">
        <v>67</v>
      </c>
      <c r="D29" s="53">
        <v>20.3</v>
      </c>
      <c r="E29" s="53"/>
      <c r="F29" s="53"/>
      <c r="G29" s="3" t="s">
        <v>71</v>
      </c>
      <c r="H29" s="9">
        <v>39.4</v>
      </c>
      <c r="I29" s="9"/>
      <c r="J29" s="9"/>
      <c r="K29" s="10" t="s">
        <v>19</v>
      </c>
      <c r="L29" s="82">
        <v>0</v>
      </c>
      <c r="M29" s="83"/>
      <c r="N29" s="12"/>
      <c r="O29" s="13" t="s">
        <v>20</v>
      </c>
      <c r="P29" s="14">
        <v>59.7</v>
      </c>
      <c r="Q29" s="6" t="s">
        <v>21</v>
      </c>
      <c r="R29" s="9">
        <v>10.7</v>
      </c>
      <c r="S29" s="8" t="s">
        <v>20</v>
      </c>
      <c r="T29" s="14">
        <v>14.4</v>
      </c>
      <c r="U29" s="6" t="s">
        <v>68</v>
      </c>
    </row>
    <row r="30" spans="1:21" ht="86.4" x14ac:dyDescent="0.25">
      <c r="A30" s="17" t="s">
        <v>113</v>
      </c>
      <c r="B30" s="17" t="s">
        <v>32</v>
      </c>
      <c r="C30" s="127" t="s">
        <v>67</v>
      </c>
      <c r="D30" s="121">
        <v>22.6</v>
      </c>
      <c r="E30" s="121"/>
      <c r="F30" s="121"/>
      <c r="G30" s="127" t="s">
        <v>71</v>
      </c>
      <c r="H30" s="122">
        <v>40.799999999999997</v>
      </c>
      <c r="I30" s="122"/>
      <c r="J30" s="122"/>
      <c r="K30" s="17" t="s">
        <v>19</v>
      </c>
      <c r="L30" s="87">
        <v>0</v>
      </c>
      <c r="M30" s="88"/>
      <c r="N30" s="25"/>
      <c r="O30" s="30" t="s">
        <v>20</v>
      </c>
      <c r="P30" s="32">
        <v>63.5</v>
      </c>
      <c r="Q30" s="34" t="s">
        <v>21</v>
      </c>
      <c r="R30" s="121">
        <v>25.9</v>
      </c>
      <c r="S30" s="22" t="s">
        <v>20</v>
      </c>
      <c r="T30" s="32">
        <v>10.9</v>
      </c>
      <c r="U30" s="34" t="s">
        <v>68</v>
      </c>
    </row>
    <row r="31" spans="1:21" ht="86.4" x14ac:dyDescent="0.25">
      <c r="A31" s="17" t="s">
        <v>116</v>
      </c>
      <c r="B31" s="17" t="s">
        <v>117</v>
      </c>
      <c r="C31" s="127" t="s">
        <v>67</v>
      </c>
      <c r="D31" s="122">
        <v>42.4</v>
      </c>
      <c r="E31" s="122"/>
      <c r="F31" s="122"/>
      <c r="G31" s="127" t="s">
        <v>71</v>
      </c>
      <c r="H31" s="121">
        <v>39.299999999999997</v>
      </c>
      <c r="I31" s="121"/>
      <c r="J31" s="121"/>
      <c r="K31" s="17" t="s">
        <v>19</v>
      </c>
      <c r="L31" s="87">
        <v>0</v>
      </c>
      <c r="M31" s="88"/>
      <c r="N31" s="25"/>
      <c r="O31" s="30" t="s">
        <v>20</v>
      </c>
      <c r="P31" s="87">
        <v>81.7</v>
      </c>
      <c r="Q31" s="30" t="s">
        <v>30</v>
      </c>
      <c r="R31" s="121">
        <v>35.799999999999997</v>
      </c>
      <c r="S31" s="22" t="s">
        <v>20</v>
      </c>
      <c r="T31" s="32">
        <v>22</v>
      </c>
      <c r="U31" s="34" t="s">
        <v>68</v>
      </c>
    </row>
    <row r="32" spans="1:21" ht="86.4" x14ac:dyDescent="0.25">
      <c r="A32" s="10" t="s">
        <v>120</v>
      </c>
      <c r="B32" s="10" t="s">
        <v>121</v>
      </c>
      <c r="C32" s="3" t="s">
        <v>67</v>
      </c>
      <c r="D32" s="9">
        <v>31.2</v>
      </c>
      <c r="E32" s="10" t="s">
        <v>19</v>
      </c>
      <c r="F32" s="9">
        <v>0</v>
      </c>
      <c r="G32" s="3" t="s">
        <v>71</v>
      </c>
      <c r="H32" s="9">
        <v>59.7</v>
      </c>
      <c r="I32" s="9"/>
      <c r="J32" s="9"/>
      <c r="K32" s="10" t="s">
        <v>19</v>
      </c>
      <c r="L32" s="9">
        <v>0</v>
      </c>
      <c r="M32" s="9"/>
      <c r="N32" s="9"/>
      <c r="O32" s="8" t="s">
        <v>20</v>
      </c>
      <c r="P32" s="9">
        <v>90.9</v>
      </c>
      <c r="Q32" s="3" t="s">
        <v>21</v>
      </c>
      <c r="R32" s="9">
        <v>45.9</v>
      </c>
      <c r="S32" s="8" t="s">
        <v>20</v>
      </c>
      <c r="T32" s="9">
        <v>24.9</v>
      </c>
      <c r="U32" s="3" t="s">
        <v>68</v>
      </c>
    </row>
    <row r="33" spans="1:21" ht="86.4" x14ac:dyDescent="0.25">
      <c r="A33" s="10" t="s">
        <v>122</v>
      </c>
      <c r="B33" s="8" t="s">
        <v>123</v>
      </c>
      <c r="C33" s="3" t="s">
        <v>67</v>
      </c>
      <c r="D33" s="9">
        <v>64.900000000000006</v>
      </c>
      <c r="E33" s="10" t="s">
        <v>19</v>
      </c>
      <c r="F33" s="9">
        <v>0</v>
      </c>
      <c r="G33" s="3" t="s">
        <v>71</v>
      </c>
      <c r="H33" s="9">
        <v>88.7</v>
      </c>
      <c r="I33" s="9"/>
      <c r="J33" s="9"/>
      <c r="K33" s="3" t="s">
        <v>71</v>
      </c>
      <c r="L33" s="9">
        <v>23.7</v>
      </c>
      <c r="M33" s="9"/>
      <c r="N33" s="9"/>
      <c r="O33" s="8" t="s">
        <v>20</v>
      </c>
      <c r="P33" s="9">
        <v>177.2</v>
      </c>
      <c r="Q33" s="3" t="s">
        <v>21</v>
      </c>
      <c r="R33" s="9">
        <v>180.7</v>
      </c>
      <c r="S33" s="8" t="s">
        <v>20</v>
      </c>
      <c r="T33" s="9">
        <v>38.299999999999997</v>
      </c>
      <c r="U33" s="3" t="s">
        <v>68</v>
      </c>
    </row>
    <row r="34" spans="1:21" ht="86.4" x14ac:dyDescent="0.25">
      <c r="A34" s="10" t="s">
        <v>124</v>
      </c>
      <c r="B34" s="10" t="s">
        <v>32</v>
      </c>
      <c r="C34" s="3" t="s">
        <v>67</v>
      </c>
      <c r="D34" s="9">
        <v>130.19999999999999</v>
      </c>
      <c r="E34" s="10" t="s">
        <v>19</v>
      </c>
      <c r="F34" s="9">
        <v>0</v>
      </c>
      <c r="G34" s="3" t="s">
        <v>71</v>
      </c>
      <c r="H34" s="9">
        <v>128.19999999999999</v>
      </c>
      <c r="I34" s="9"/>
      <c r="J34" s="9"/>
      <c r="K34" s="3" t="s">
        <v>71</v>
      </c>
      <c r="L34" s="9">
        <v>4.5999999999999996</v>
      </c>
      <c r="M34" s="9"/>
      <c r="N34" s="9"/>
      <c r="O34" s="8" t="s">
        <v>20</v>
      </c>
      <c r="P34" s="9">
        <v>263.10000000000002</v>
      </c>
      <c r="Q34" s="3" t="s">
        <v>21</v>
      </c>
      <c r="R34" s="9">
        <v>113</v>
      </c>
      <c r="S34" s="8" t="s">
        <v>20</v>
      </c>
      <c r="T34" s="9">
        <v>51.4</v>
      </c>
      <c r="U34" s="3" t="s">
        <v>68</v>
      </c>
    </row>
    <row r="35" spans="1:21" ht="129.6" x14ac:dyDescent="0.25">
      <c r="A35" s="10" t="s">
        <v>125</v>
      </c>
      <c r="B35" s="8" t="s">
        <v>126</v>
      </c>
      <c r="C35" s="3" t="s">
        <v>67</v>
      </c>
      <c r="D35" s="9">
        <v>73.900000000000006</v>
      </c>
      <c r="E35" s="3" t="s">
        <v>71</v>
      </c>
      <c r="F35" s="9">
        <v>36.799999999999997</v>
      </c>
      <c r="G35" s="10" t="s">
        <v>19</v>
      </c>
      <c r="H35" s="9">
        <v>0</v>
      </c>
      <c r="I35" s="9"/>
      <c r="J35" s="9"/>
      <c r="K35" s="10" t="s">
        <v>19</v>
      </c>
      <c r="L35" s="9">
        <v>0</v>
      </c>
      <c r="M35" s="9"/>
      <c r="N35" s="9"/>
      <c r="O35" s="8" t="s">
        <v>20</v>
      </c>
      <c r="P35" s="9">
        <v>110.6</v>
      </c>
      <c r="Q35" s="3" t="s">
        <v>21</v>
      </c>
      <c r="R35" s="9">
        <v>14.4</v>
      </c>
      <c r="S35" s="8" t="s">
        <v>20</v>
      </c>
      <c r="T35" s="9">
        <v>26.9</v>
      </c>
      <c r="U35" s="3" t="s">
        <v>68</v>
      </c>
    </row>
    <row r="36" spans="1:21" ht="86.4" x14ac:dyDescent="0.25">
      <c r="A36" s="10" t="s">
        <v>127</v>
      </c>
      <c r="B36" s="8" t="s">
        <v>128</v>
      </c>
      <c r="C36" s="3" t="s">
        <v>67</v>
      </c>
      <c r="D36" s="9">
        <v>82.3</v>
      </c>
      <c r="E36" s="10" t="s">
        <v>19</v>
      </c>
      <c r="F36" s="9">
        <v>0</v>
      </c>
      <c r="G36" s="10" t="s">
        <v>19</v>
      </c>
      <c r="H36" s="9">
        <v>0</v>
      </c>
      <c r="I36" s="9"/>
      <c r="J36" s="9"/>
      <c r="K36" s="10" t="s">
        <v>19</v>
      </c>
      <c r="L36" s="9">
        <v>0</v>
      </c>
      <c r="M36" s="9"/>
      <c r="N36" s="9"/>
      <c r="O36" s="8" t="s">
        <v>20</v>
      </c>
      <c r="P36" s="9">
        <v>82.3</v>
      </c>
      <c r="Q36" s="3" t="s">
        <v>21</v>
      </c>
      <c r="R36" s="9">
        <v>17.899999999999999</v>
      </c>
      <c r="S36" s="8" t="s">
        <v>20</v>
      </c>
      <c r="T36" s="9">
        <v>20</v>
      </c>
      <c r="U36" s="3" t="s">
        <v>68</v>
      </c>
    </row>
    <row r="37" spans="1:21" ht="86.4" x14ac:dyDescent="0.25">
      <c r="A37" s="10" t="s">
        <v>129</v>
      </c>
      <c r="B37" s="8" t="s">
        <v>130</v>
      </c>
      <c r="C37" s="3" t="s">
        <v>67</v>
      </c>
      <c r="D37" s="9">
        <v>78.400000000000006</v>
      </c>
      <c r="E37" s="10" t="s">
        <v>19</v>
      </c>
      <c r="F37" s="9">
        <v>0</v>
      </c>
      <c r="G37" s="10" t="s">
        <v>19</v>
      </c>
      <c r="H37" s="9">
        <v>0</v>
      </c>
      <c r="I37" s="9"/>
      <c r="J37" s="9"/>
      <c r="K37" s="10" t="s">
        <v>19</v>
      </c>
      <c r="L37" s="9">
        <v>0</v>
      </c>
      <c r="M37" s="9"/>
      <c r="N37" s="9"/>
      <c r="O37" s="8" t="s">
        <v>20</v>
      </c>
      <c r="P37" s="9">
        <v>78.400000000000006</v>
      </c>
      <c r="Q37" s="3" t="s">
        <v>21</v>
      </c>
      <c r="R37" s="9">
        <v>15.5</v>
      </c>
      <c r="S37" s="8" t="s">
        <v>20</v>
      </c>
      <c r="T37" s="9">
        <v>18.8</v>
      </c>
      <c r="U37" s="3" t="s">
        <v>68</v>
      </c>
    </row>
    <row r="38" spans="1:21" ht="86.4" x14ac:dyDescent="0.25">
      <c r="A38" s="10" t="s">
        <v>131</v>
      </c>
      <c r="B38" s="8" t="s">
        <v>132</v>
      </c>
      <c r="C38" s="3" t="s">
        <v>67</v>
      </c>
      <c r="D38" s="9">
        <v>82.6</v>
      </c>
      <c r="E38" s="10" t="s">
        <v>19</v>
      </c>
      <c r="F38" s="9">
        <v>0</v>
      </c>
      <c r="G38" s="10" t="s">
        <v>19</v>
      </c>
      <c r="H38" s="9">
        <v>0</v>
      </c>
      <c r="I38" s="9"/>
      <c r="J38" s="9"/>
      <c r="K38" s="3" t="s">
        <v>71</v>
      </c>
      <c r="L38" s="9">
        <v>13.7</v>
      </c>
      <c r="M38" s="9"/>
      <c r="N38" s="9"/>
      <c r="O38" s="8" t="s">
        <v>20</v>
      </c>
      <c r="P38" s="9">
        <v>96.3</v>
      </c>
      <c r="Q38" s="3" t="s">
        <v>21</v>
      </c>
      <c r="R38" s="9">
        <v>23.4</v>
      </c>
      <c r="S38" s="8" t="s">
        <v>20</v>
      </c>
      <c r="T38" s="9">
        <v>23.1</v>
      </c>
      <c r="U38" s="3" t="s">
        <v>68</v>
      </c>
    </row>
    <row r="39" spans="1:21" ht="86.4" x14ac:dyDescent="0.25">
      <c r="A39" s="10" t="s">
        <v>133</v>
      </c>
      <c r="B39" s="8" t="s">
        <v>134</v>
      </c>
      <c r="C39" s="3" t="s">
        <v>67</v>
      </c>
      <c r="D39" s="9">
        <v>32.799999999999997</v>
      </c>
      <c r="E39" s="10" t="s">
        <v>19</v>
      </c>
      <c r="F39" s="9">
        <v>0</v>
      </c>
      <c r="G39" s="3" t="s">
        <v>71</v>
      </c>
      <c r="H39" s="9">
        <v>22</v>
      </c>
      <c r="I39" s="9"/>
      <c r="J39" s="9"/>
      <c r="K39" s="10" t="s">
        <v>19</v>
      </c>
      <c r="L39" s="9">
        <v>0</v>
      </c>
      <c r="M39" s="9"/>
      <c r="N39" s="9"/>
      <c r="O39" s="8" t="s">
        <v>20</v>
      </c>
      <c r="P39" s="9">
        <v>54.8</v>
      </c>
      <c r="Q39" s="3" t="s">
        <v>21</v>
      </c>
      <c r="R39" s="9">
        <v>25.9</v>
      </c>
      <c r="S39" s="8" t="s">
        <v>20</v>
      </c>
      <c r="T39" s="9">
        <v>15.2</v>
      </c>
      <c r="U39" s="3" t="s">
        <v>68</v>
      </c>
    </row>
    <row r="40" spans="1:21" ht="86.4" x14ac:dyDescent="0.25">
      <c r="A40" s="17" t="s">
        <v>135</v>
      </c>
      <c r="B40" s="17" t="s">
        <v>136</v>
      </c>
      <c r="C40" s="127" t="s">
        <v>94</v>
      </c>
      <c r="D40" s="121">
        <v>11</v>
      </c>
      <c r="E40" s="17" t="s">
        <v>19</v>
      </c>
      <c r="F40" s="121">
        <v>0</v>
      </c>
      <c r="G40" s="17" t="s">
        <v>19</v>
      </c>
      <c r="H40" s="121">
        <v>0</v>
      </c>
      <c r="I40" s="121"/>
      <c r="J40" s="121"/>
      <c r="K40" s="127" t="s">
        <v>74</v>
      </c>
      <c r="L40" s="121">
        <v>38.9</v>
      </c>
      <c r="M40" s="121"/>
      <c r="N40" s="121"/>
      <c r="O40" s="22" t="s">
        <v>20</v>
      </c>
      <c r="P40" s="122">
        <v>49.9</v>
      </c>
      <c r="Q40" s="127" t="s">
        <v>21</v>
      </c>
      <c r="R40" s="121">
        <v>11.8</v>
      </c>
      <c r="S40" s="22" t="s">
        <v>20</v>
      </c>
      <c r="T40" s="121">
        <v>12.2</v>
      </c>
      <c r="U40" s="127" t="s">
        <v>68</v>
      </c>
    </row>
    <row r="41" spans="1:21" ht="86.4" x14ac:dyDescent="0.25">
      <c r="A41" s="17" t="s">
        <v>137</v>
      </c>
      <c r="B41" s="22" t="s">
        <v>138</v>
      </c>
      <c r="C41" s="127" t="s">
        <v>67</v>
      </c>
      <c r="D41" s="122">
        <v>116.4</v>
      </c>
      <c r="E41" s="17" t="s">
        <v>19</v>
      </c>
      <c r="F41" s="121">
        <v>0</v>
      </c>
      <c r="G41" s="127" t="s">
        <v>71</v>
      </c>
      <c r="H41" s="121">
        <v>87.3</v>
      </c>
      <c r="I41" s="121"/>
      <c r="J41" s="121"/>
      <c r="K41" s="127" t="s">
        <v>71</v>
      </c>
      <c r="L41" s="121">
        <v>22.5</v>
      </c>
      <c r="M41" s="121"/>
      <c r="N41" s="121"/>
      <c r="O41" s="22" t="s">
        <v>20</v>
      </c>
      <c r="P41" s="122">
        <v>226.1</v>
      </c>
      <c r="Q41" s="127" t="s">
        <v>21</v>
      </c>
      <c r="R41" s="122">
        <v>170.4</v>
      </c>
      <c r="S41" s="22" t="s">
        <v>20</v>
      </c>
      <c r="T41" s="121">
        <v>62.7</v>
      </c>
      <c r="U41" s="127" t="s">
        <v>68</v>
      </c>
    </row>
    <row r="42" spans="1:21" ht="86.4" x14ac:dyDescent="0.25">
      <c r="A42" s="7" t="s">
        <v>140</v>
      </c>
      <c r="B42" s="8" t="s">
        <v>141</v>
      </c>
      <c r="C42" s="3" t="s">
        <v>94</v>
      </c>
      <c r="D42" s="9">
        <v>20.5</v>
      </c>
      <c r="E42" s="10" t="s">
        <v>19</v>
      </c>
      <c r="F42" s="9">
        <v>0</v>
      </c>
      <c r="G42" s="3" t="s">
        <v>74</v>
      </c>
      <c r="H42" s="9">
        <v>102.4</v>
      </c>
      <c r="I42" s="9"/>
      <c r="J42" s="9"/>
      <c r="K42" s="3" t="s">
        <v>74</v>
      </c>
      <c r="L42" s="9">
        <v>2</v>
      </c>
      <c r="M42" s="9"/>
      <c r="N42" s="9"/>
      <c r="O42" s="8" t="s">
        <v>20</v>
      </c>
      <c r="P42" s="9">
        <v>125</v>
      </c>
      <c r="Q42" s="3" t="s">
        <v>21</v>
      </c>
      <c r="R42" s="9">
        <v>36.4</v>
      </c>
      <c r="S42" s="8" t="s">
        <v>20</v>
      </c>
      <c r="T42" s="9">
        <v>32.200000000000003</v>
      </c>
      <c r="U42" s="3" t="s">
        <v>68</v>
      </c>
    </row>
    <row r="43" spans="1:21" ht="144" x14ac:dyDescent="0.25">
      <c r="A43" s="7" t="s">
        <v>142</v>
      </c>
      <c r="B43" s="8" t="s">
        <v>143</v>
      </c>
      <c r="C43" s="3" t="s">
        <v>94</v>
      </c>
      <c r="D43" s="9">
        <v>5</v>
      </c>
      <c r="E43" s="3" t="s">
        <v>74</v>
      </c>
      <c r="F43" s="9">
        <v>1.4</v>
      </c>
      <c r="G43" s="3" t="s">
        <v>74</v>
      </c>
      <c r="H43" s="9">
        <v>22.3</v>
      </c>
      <c r="I43" s="9"/>
      <c r="J43" s="9"/>
      <c r="K43" s="3" t="s">
        <v>74</v>
      </c>
      <c r="L43" s="9">
        <v>27.9</v>
      </c>
      <c r="M43" s="9"/>
      <c r="N43" s="9"/>
      <c r="O43" s="8" t="s">
        <v>20</v>
      </c>
      <c r="P43" s="9">
        <v>56.7</v>
      </c>
      <c r="Q43" s="3" t="s">
        <v>21</v>
      </c>
      <c r="R43" s="9">
        <v>15</v>
      </c>
      <c r="S43" s="8" t="s">
        <v>20</v>
      </c>
      <c r="T43" s="9">
        <v>12.6</v>
      </c>
      <c r="U43" s="3" t="s">
        <v>68</v>
      </c>
    </row>
    <row r="44" spans="1:21" ht="144" x14ac:dyDescent="0.25">
      <c r="A44" s="7" t="s">
        <v>144</v>
      </c>
      <c r="B44" s="8" t="s">
        <v>145</v>
      </c>
      <c r="C44" s="3" t="s">
        <v>94</v>
      </c>
      <c r="D44" s="9">
        <v>53.6</v>
      </c>
      <c r="E44" s="3" t="s">
        <v>74</v>
      </c>
      <c r="F44" s="9">
        <v>5.5</v>
      </c>
      <c r="G44" s="3" t="s">
        <v>74</v>
      </c>
      <c r="H44" s="9">
        <v>62.9</v>
      </c>
      <c r="I44" s="9"/>
      <c r="J44" s="9"/>
      <c r="K44" s="3" t="s">
        <v>74</v>
      </c>
      <c r="L44" s="9">
        <v>69.3</v>
      </c>
      <c r="M44" s="9"/>
      <c r="N44" s="9"/>
      <c r="O44" s="8" t="s">
        <v>20</v>
      </c>
      <c r="P44" s="9">
        <v>191.3</v>
      </c>
      <c r="Q44" s="3" t="s">
        <v>21</v>
      </c>
      <c r="R44" s="9">
        <v>89.2</v>
      </c>
      <c r="S44" s="8" t="s">
        <v>20</v>
      </c>
      <c r="T44" s="9">
        <v>44</v>
      </c>
      <c r="U44" s="3" t="s">
        <v>68</v>
      </c>
    </row>
    <row r="45" spans="1:21" ht="86.4" x14ac:dyDescent="0.25">
      <c r="A45" s="7" t="s">
        <v>146</v>
      </c>
      <c r="B45" s="8" t="s">
        <v>147</v>
      </c>
      <c r="C45" s="3" t="s">
        <v>94</v>
      </c>
      <c r="D45" s="9">
        <v>6.7</v>
      </c>
      <c r="E45" s="10" t="s">
        <v>19</v>
      </c>
      <c r="F45" s="9">
        <v>0</v>
      </c>
      <c r="G45" s="10" t="s">
        <v>19</v>
      </c>
      <c r="H45" s="9">
        <v>0</v>
      </c>
      <c r="I45" s="9"/>
      <c r="J45" s="9"/>
      <c r="K45" s="3" t="s">
        <v>74</v>
      </c>
      <c r="L45" s="9">
        <v>61.5</v>
      </c>
      <c r="M45" s="9"/>
      <c r="N45" s="9"/>
      <c r="O45" s="8" t="s">
        <v>20</v>
      </c>
      <c r="P45" s="9">
        <v>68.2</v>
      </c>
      <c r="Q45" s="3" t="s">
        <v>21</v>
      </c>
      <c r="R45" s="9">
        <v>13.6</v>
      </c>
      <c r="S45" s="8" t="s">
        <v>20</v>
      </c>
      <c r="T45" s="9">
        <v>16.2</v>
      </c>
      <c r="U45" s="3" t="s">
        <v>68</v>
      </c>
    </row>
    <row r="46" spans="1:21" ht="86.4" x14ac:dyDescent="0.25">
      <c r="A46" s="7" t="s">
        <v>148</v>
      </c>
      <c r="B46" s="8" t="s">
        <v>149</v>
      </c>
      <c r="C46" s="3" t="s">
        <v>94</v>
      </c>
      <c r="D46" s="9">
        <v>5.2</v>
      </c>
      <c r="E46" s="10" t="s">
        <v>19</v>
      </c>
      <c r="F46" s="9">
        <v>0</v>
      </c>
      <c r="G46" s="10" t="s">
        <v>19</v>
      </c>
      <c r="H46" s="9">
        <v>0</v>
      </c>
      <c r="I46" s="9"/>
      <c r="J46" s="9"/>
      <c r="K46" s="3" t="s">
        <v>74</v>
      </c>
      <c r="L46" s="9">
        <v>51.6</v>
      </c>
      <c r="M46" s="9"/>
      <c r="N46" s="9"/>
      <c r="O46" s="8" t="s">
        <v>20</v>
      </c>
      <c r="P46" s="9">
        <v>56.8</v>
      </c>
      <c r="Q46" s="3" t="s">
        <v>21</v>
      </c>
      <c r="R46" s="9">
        <v>12.1</v>
      </c>
      <c r="S46" s="8" t="s">
        <v>20</v>
      </c>
      <c r="T46" s="9">
        <v>14.2</v>
      </c>
      <c r="U46" s="3" t="s">
        <v>68</v>
      </c>
    </row>
    <row r="47" spans="1:21" ht="86.4" x14ac:dyDescent="0.25">
      <c r="A47" s="7" t="s">
        <v>150</v>
      </c>
      <c r="B47" s="8" t="s">
        <v>151</v>
      </c>
      <c r="C47" s="3" t="s">
        <v>94</v>
      </c>
      <c r="D47" s="9">
        <v>11.2</v>
      </c>
      <c r="E47" s="10" t="s">
        <v>19</v>
      </c>
      <c r="F47" s="9">
        <v>0</v>
      </c>
      <c r="G47" s="10" t="s">
        <v>19</v>
      </c>
      <c r="H47" s="9">
        <v>0</v>
      </c>
      <c r="I47" s="9"/>
      <c r="J47" s="9"/>
      <c r="K47" s="3" t="s">
        <v>74</v>
      </c>
      <c r="L47" s="9">
        <v>86.5</v>
      </c>
      <c r="M47" s="9"/>
      <c r="N47" s="9"/>
      <c r="O47" s="8" t="s">
        <v>20</v>
      </c>
      <c r="P47" s="9">
        <v>97.6</v>
      </c>
      <c r="Q47" s="3" t="s">
        <v>21</v>
      </c>
      <c r="R47" s="9">
        <v>29.7</v>
      </c>
      <c r="S47" s="8" t="s">
        <v>20</v>
      </c>
      <c r="T47" s="9">
        <v>23.8</v>
      </c>
      <c r="U47" s="3" t="s">
        <v>68</v>
      </c>
    </row>
    <row r="48" spans="1:21" ht="86.4" x14ac:dyDescent="0.25">
      <c r="A48" s="7" t="s">
        <v>152</v>
      </c>
      <c r="B48" s="8" t="s">
        <v>153</v>
      </c>
      <c r="C48" s="3" t="s">
        <v>94</v>
      </c>
      <c r="D48" s="9">
        <v>2</v>
      </c>
      <c r="E48" s="10" t="s">
        <v>19</v>
      </c>
      <c r="F48" s="9">
        <v>0</v>
      </c>
      <c r="G48" s="10" t="s">
        <v>19</v>
      </c>
      <c r="H48" s="9">
        <v>0</v>
      </c>
      <c r="I48" s="9"/>
      <c r="J48" s="9"/>
      <c r="K48" s="3" t="s">
        <v>74</v>
      </c>
      <c r="L48" s="9">
        <v>52.8</v>
      </c>
      <c r="M48" s="9"/>
      <c r="N48" s="9"/>
      <c r="O48" s="8" t="s">
        <v>20</v>
      </c>
      <c r="P48" s="9">
        <v>54.8</v>
      </c>
      <c r="Q48" s="3" t="s">
        <v>21</v>
      </c>
      <c r="R48" s="9">
        <v>10.8</v>
      </c>
      <c r="S48" s="8" t="s">
        <v>20</v>
      </c>
      <c r="T48" s="9">
        <v>13.4</v>
      </c>
      <c r="U48" s="3" t="s">
        <v>68</v>
      </c>
    </row>
    <row r="49" spans="1:21" ht="86.4" x14ac:dyDescent="0.25">
      <c r="A49" s="17" t="s">
        <v>154</v>
      </c>
      <c r="B49" s="22" t="s">
        <v>155</v>
      </c>
      <c r="C49" s="127" t="s">
        <v>94</v>
      </c>
      <c r="D49" s="121">
        <v>6.5</v>
      </c>
      <c r="E49" s="17" t="s">
        <v>19</v>
      </c>
      <c r="F49" s="121">
        <v>0</v>
      </c>
      <c r="G49" s="17" t="s">
        <v>19</v>
      </c>
      <c r="H49" s="121">
        <v>0</v>
      </c>
      <c r="I49" s="121"/>
      <c r="J49" s="121"/>
      <c r="K49" s="127" t="s">
        <v>74</v>
      </c>
      <c r="L49" s="122">
        <v>48.2</v>
      </c>
      <c r="M49" s="122"/>
      <c r="N49" s="122"/>
      <c r="O49" s="22" t="s">
        <v>20</v>
      </c>
      <c r="P49" s="122">
        <v>54.7</v>
      </c>
      <c r="Q49" s="127" t="s">
        <v>21</v>
      </c>
      <c r="R49" s="121">
        <v>9.3000000000000007</v>
      </c>
      <c r="S49" s="22" t="s">
        <v>20</v>
      </c>
      <c r="T49" s="121">
        <v>13.5</v>
      </c>
      <c r="U49" s="127" t="s">
        <v>68</v>
      </c>
    </row>
    <row r="50" spans="1:21" ht="86.4" x14ac:dyDescent="0.25">
      <c r="A50" s="17" t="s">
        <v>156</v>
      </c>
      <c r="B50" s="22" t="s">
        <v>157</v>
      </c>
      <c r="C50" s="17" t="s">
        <v>19</v>
      </c>
      <c r="D50" s="121">
        <v>0</v>
      </c>
      <c r="E50" s="17" t="s">
        <v>19</v>
      </c>
      <c r="F50" s="121">
        <v>0</v>
      </c>
      <c r="G50" s="17" t="s">
        <v>19</v>
      </c>
      <c r="H50" s="121">
        <v>0</v>
      </c>
      <c r="I50" s="121"/>
      <c r="J50" s="121"/>
      <c r="K50" s="127" t="s">
        <v>74</v>
      </c>
      <c r="L50" s="122">
        <v>54.7</v>
      </c>
      <c r="M50" s="122"/>
      <c r="N50" s="122"/>
      <c r="O50" s="22" t="s">
        <v>20</v>
      </c>
      <c r="P50" s="122">
        <v>54.7</v>
      </c>
      <c r="Q50" s="127" t="s">
        <v>21</v>
      </c>
      <c r="R50" s="121">
        <v>9.6999999999999993</v>
      </c>
      <c r="S50" s="22" t="s">
        <v>20</v>
      </c>
      <c r="T50" s="121">
        <v>13.1</v>
      </c>
      <c r="U50" s="127" t="s">
        <v>68</v>
      </c>
    </row>
    <row r="51" spans="1:21" ht="86.4" x14ac:dyDescent="0.25">
      <c r="A51" s="17" t="s">
        <v>158</v>
      </c>
      <c r="B51" s="17" t="s">
        <v>159</v>
      </c>
      <c r="C51" s="127" t="s">
        <v>67</v>
      </c>
      <c r="D51" s="121">
        <v>10.6</v>
      </c>
      <c r="E51" s="17" t="s">
        <v>19</v>
      </c>
      <c r="F51" s="121">
        <v>0</v>
      </c>
      <c r="G51" s="127" t="s">
        <v>71</v>
      </c>
      <c r="H51" s="121">
        <v>8.5</v>
      </c>
      <c r="I51" s="121"/>
      <c r="J51" s="121"/>
      <c r="K51" s="127" t="s">
        <v>71</v>
      </c>
      <c r="L51" s="121">
        <v>22.5</v>
      </c>
      <c r="M51" s="121"/>
      <c r="N51" s="121"/>
      <c r="O51" s="22" t="s">
        <v>20</v>
      </c>
      <c r="P51" s="121">
        <v>41.6</v>
      </c>
      <c r="Q51" s="127" t="s">
        <v>21</v>
      </c>
      <c r="R51" s="121">
        <v>7.7</v>
      </c>
      <c r="S51" s="22" t="s">
        <v>20</v>
      </c>
      <c r="T51" s="121">
        <v>9.8000000000000007</v>
      </c>
      <c r="U51" s="127" t="s">
        <v>68</v>
      </c>
    </row>
    <row r="52" spans="1:21" ht="86.4" x14ac:dyDescent="0.25">
      <c r="A52" s="10" t="s">
        <v>160</v>
      </c>
      <c r="B52" s="8" t="s">
        <v>98</v>
      </c>
      <c r="C52" s="3" t="s">
        <v>94</v>
      </c>
      <c r="D52" s="9">
        <v>11.7</v>
      </c>
      <c r="E52" s="10" t="s">
        <v>19</v>
      </c>
      <c r="F52" s="9">
        <v>0</v>
      </c>
      <c r="G52" s="10" t="s">
        <v>19</v>
      </c>
      <c r="H52" s="9">
        <v>0</v>
      </c>
      <c r="I52" s="9"/>
      <c r="J52" s="9"/>
      <c r="K52" s="3" t="s">
        <v>74</v>
      </c>
      <c r="L52" s="9">
        <v>18.8</v>
      </c>
      <c r="M52" s="10" t="s">
        <v>19</v>
      </c>
      <c r="N52" s="9">
        <v>0</v>
      </c>
      <c r="O52" s="8" t="s">
        <v>20</v>
      </c>
      <c r="P52" s="9">
        <v>30.5</v>
      </c>
      <c r="Q52" s="3" t="s">
        <v>21</v>
      </c>
      <c r="R52" s="9">
        <v>3.3</v>
      </c>
      <c r="S52" s="8" t="s">
        <v>20</v>
      </c>
      <c r="T52" s="9">
        <v>7.2</v>
      </c>
      <c r="U52" s="3" t="s">
        <v>68</v>
      </c>
    </row>
    <row r="53" spans="1:21" ht="86.4" x14ac:dyDescent="0.25">
      <c r="A53" s="10" t="s">
        <v>161</v>
      </c>
      <c r="B53" s="8" t="s">
        <v>162</v>
      </c>
      <c r="C53" s="3" t="s">
        <v>94</v>
      </c>
      <c r="D53" s="9">
        <v>26.2</v>
      </c>
      <c r="E53" s="10" t="s">
        <v>19</v>
      </c>
      <c r="F53" s="9">
        <v>0</v>
      </c>
      <c r="G53" s="10" t="s">
        <v>19</v>
      </c>
      <c r="H53" s="9">
        <v>0</v>
      </c>
      <c r="I53" s="9"/>
      <c r="J53" s="9"/>
      <c r="K53" s="3" t="s">
        <v>74</v>
      </c>
      <c r="L53" s="9">
        <v>23.8</v>
      </c>
      <c r="M53" s="10" t="s">
        <v>19</v>
      </c>
      <c r="N53" s="9">
        <v>0</v>
      </c>
      <c r="O53" s="8" t="s">
        <v>20</v>
      </c>
      <c r="P53" s="9">
        <v>50</v>
      </c>
      <c r="Q53" s="3" t="s">
        <v>21</v>
      </c>
      <c r="R53" s="9">
        <v>8.6999999999999993</v>
      </c>
      <c r="S53" s="8" t="s">
        <v>20</v>
      </c>
      <c r="T53" s="9">
        <v>11.9</v>
      </c>
      <c r="U53" s="3" t="s">
        <v>68</v>
      </c>
    </row>
    <row r="54" spans="1:21" ht="86.4" x14ac:dyDescent="0.25">
      <c r="A54" s="10" t="s">
        <v>163</v>
      </c>
      <c r="B54" s="10" t="s">
        <v>164</v>
      </c>
      <c r="C54" s="10" t="s">
        <v>19</v>
      </c>
      <c r="D54" s="9">
        <v>0</v>
      </c>
      <c r="E54" s="10" t="s">
        <v>19</v>
      </c>
      <c r="F54" s="9">
        <v>0</v>
      </c>
      <c r="G54" s="10" t="s">
        <v>19</v>
      </c>
      <c r="H54" s="9">
        <v>0</v>
      </c>
      <c r="I54" s="9"/>
      <c r="J54" s="9"/>
      <c r="K54" s="10" t="s">
        <v>19</v>
      </c>
      <c r="L54" s="9">
        <v>0</v>
      </c>
      <c r="M54" s="3" t="s">
        <v>165</v>
      </c>
      <c r="N54" s="9">
        <v>42.1</v>
      </c>
      <c r="O54" s="8" t="s">
        <v>20</v>
      </c>
      <c r="P54" s="9">
        <v>42.1</v>
      </c>
      <c r="Q54" s="3" t="s">
        <v>21</v>
      </c>
      <c r="R54" s="9">
        <v>8.3000000000000007</v>
      </c>
      <c r="S54" s="8" t="s">
        <v>20</v>
      </c>
      <c r="T54" s="9">
        <v>10.7</v>
      </c>
      <c r="U54" s="3" t="s">
        <v>68</v>
      </c>
    </row>
    <row r="55" spans="1:21" ht="86.4" x14ac:dyDescent="0.25">
      <c r="A55" s="10" t="s">
        <v>166</v>
      </c>
      <c r="B55" s="10" t="s">
        <v>66</v>
      </c>
      <c r="C55" s="10" t="s">
        <v>19</v>
      </c>
      <c r="D55" s="9">
        <v>0</v>
      </c>
      <c r="E55" s="10" t="s">
        <v>19</v>
      </c>
      <c r="F55" s="9">
        <v>0</v>
      </c>
      <c r="G55" s="10" t="s">
        <v>19</v>
      </c>
      <c r="H55" s="9">
        <v>0</v>
      </c>
      <c r="I55" s="9"/>
      <c r="J55" s="9"/>
      <c r="K55" s="10" t="s">
        <v>19</v>
      </c>
      <c r="L55" s="9">
        <v>0</v>
      </c>
      <c r="M55" s="3" t="s">
        <v>165</v>
      </c>
      <c r="N55" s="9">
        <v>19.7</v>
      </c>
      <c r="O55" s="8" t="s">
        <v>20</v>
      </c>
      <c r="P55" s="9">
        <v>19.7</v>
      </c>
      <c r="Q55" s="3" t="s">
        <v>21</v>
      </c>
      <c r="R55" s="9">
        <v>2.2000000000000002</v>
      </c>
      <c r="S55" s="8" t="s">
        <v>20</v>
      </c>
      <c r="T55" s="9">
        <v>5.0999999999999996</v>
      </c>
      <c r="U55" s="10" t="s">
        <v>19</v>
      </c>
    </row>
    <row r="56" spans="1:21" ht="86.4" x14ac:dyDescent="0.25">
      <c r="A56" s="10" t="s">
        <v>167</v>
      </c>
      <c r="B56" s="8" t="s">
        <v>102</v>
      </c>
      <c r="C56" s="10" t="s">
        <v>19</v>
      </c>
      <c r="D56" s="9">
        <v>0</v>
      </c>
      <c r="E56" s="10" t="s">
        <v>19</v>
      </c>
      <c r="F56" s="9">
        <v>0</v>
      </c>
      <c r="G56" s="10" t="s">
        <v>19</v>
      </c>
      <c r="H56" s="9">
        <v>0</v>
      </c>
      <c r="I56" s="9"/>
      <c r="J56" s="9"/>
      <c r="K56" s="3" t="s">
        <v>74</v>
      </c>
      <c r="L56" s="9">
        <v>26.5</v>
      </c>
      <c r="M56" s="10" t="s">
        <v>19</v>
      </c>
      <c r="N56" s="9">
        <v>0</v>
      </c>
      <c r="O56" s="8" t="s">
        <v>20</v>
      </c>
      <c r="P56" s="9">
        <v>26.5</v>
      </c>
      <c r="Q56" s="3" t="s">
        <v>21</v>
      </c>
      <c r="R56" s="9">
        <v>3.3</v>
      </c>
      <c r="S56" s="8" t="s">
        <v>20</v>
      </c>
      <c r="T56" s="9">
        <v>6.3</v>
      </c>
      <c r="U56" s="3" t="s">
        <v>68</v>
      </c>
    </row>
    <row r="57" spans="1:21" ht="86.4" x14ac:dyDescent="0.25">
      <c r="A57" s="10" t="s">
        <v>168</v>
      </c>
      <c r="B57" s="8" t="s">
        <v>169</v>
      </c>
      <c r="C57" s="3" t="s">
        <v>67</v>
      </c>
      <c r="D57" s="9">
        <v>8.3000000000000007</v>
      </c>
      <c r="E57" s="10" t="s">
        <v>19</v>
      </c>
      <c r="F57" s="9">
        <v>0</v>
      </c>
      <c r="G57" s="10" t="s">
        <v>19</v>
      </c>
      <c r="H57" s="9">
        <v>0</v>
      </c>
      <c r="I57" s="9"/>
      <c r="J57" s="9"/>
      <c r="K57" s="3" t="s">
        <v>71</v>
      </c>
      <c r="L57" s="9">
        <v>40</v>
      </c>
      <c r="M57" s="10" t="s">
        <v>19</v>
      </c>
      <c r="N57" s="9">
        <v>0</v>
      </c>
      <c r="O57" s="8" t="s">
        <v>20</v>
      </c>
      <c r="P57" s="9">
        <v>48.4</v>
      </c>
      <c r="Q57" s="3" t="s">
        <v>21</v>
      </c>
      <c r="R57" s="9">
        <v>10.199999999999999</v>
      </c>
      <c r="S57" s="8" t="s">
        <v>20</v>
      </c>
      <c r="T57" s="9">
        <v>12.8</v>
      </c>
      <c r="U57" s="3" t="s">
        <v>68</v>
      </c>
    </row>
    <row r="58" spans="1:21" ht="86.4" x14ac:dyDescent="0.25">
      <c r="A58" s="10" t="s">
        <v>170</v>
      </c>
      <c r="B58" s="8" t="s">
        <v>171</v>
      </c>
      <c r="C58" s="3" t="s">
        <v>94</v>
      </c>
      <c r="D58" s="9">
        <v>10.6</v>
      </c>
      <c r="E58" s="10" t="s">
        <v>19</v>
      </c>
      <c r="F58" s="9">
        <v>0</v>
      </c>
      <c r="G58" s="10" t="s">
        <v>19</v>
      </c>
      <c r="H58" s="9">
        <v>0</v>
      </c>
      <c r="I58" s="9"/>
      <c r="J58" s="9"/>
      <c r="K58" s="3" t="s">
        <v>74</v>
      </c>
      <c r="L58" s="9">
        <v>35.299999999999997</v>
      </c>
      <c r="M58" s="10" t="s">
        <v>19</v>
      </c>
      <c r="N58" s="9">
        <v>0</v>
      </c>
      <c r="O58" s="8" t="s">
        <v>20</v>
      </c>
      <c r="P58" s="9">
        <v>45.9</v>
      </c>
      <c r="Q58" s="3" t="s">
        <v>21</v>
      </c>
      <c r="R58" s="9">
        <v>13.9</v>
      </c>
      <c r="S58" s="8" t="s">
        <v>20</v>
      </c>
      <c r="T58" s="9">
        <v>13.2</v>
      </c>
      <c r="U58" s="3" t="s">
        <v>68</v>
      </c>
    </row>
    <row r="59" spans="1:21" ht="86.4" x14ac:dyDescent="0.25">
      <c r="A59" s="17" t="s">
        <v>172</v>
      </c>
      <c r="B59" s="22" t="s">
        <v>173</v>
      </c>
      <c r="C59" s="127" t="s">
        <v>94</v>
      </c>
      <c r="D59" s="121">
        <v>10.8</v>
      </c>
      <c r="E59" s="17" t="s">
        <v>19</v>
      </c>
      <c r="F59" s="121">
        <v>0</v>
      </c>
      <c r="G59" s="17" t="s">
        <v>19</v>
      </c>
      <c r="H59" s="121">
        <v>0</v>
      </c>
      <c r="I59" s="121"/>
      <c r="J59" s="121"/>
      <c r="K59" s="127" t="s">
        <v>74</v>
      </c>
      <c r="L59" s="122">
        <v>34.200000000000003</v>
      </c>
      <c r="M59" s="17" t="s">
        <v>19</v>
      </c>
      <c r="N59" s="121">
        <v>0</v>
      </c>
      <c r="O59" s="22" t="s">
        <v>20</v>
      </c>
      <c r="P59" s="122">
        <v>45</v>
      </c>
      <c r="Q59" s="127" t="s">
        <v>21</v>
      </c>
      <c r="R59" s="121">
        <v>12.2</v>
      </c>
      <c r="S59" s="22" t="s">
        <v>20</v>
      </c>
      <c r="T59" s="121">
        <v>12.6</v>
      </c>
      <c r="U59" s="127" t="s">
        <v>68</v>
      </c>
    </row>
    <row r="60" spans="1:21" ht="86.4" x14ac:dyDescent="0.25">
      <c r="A60" s="37" t="s">
        <v>174</v>
      </c>
      <c r="B60" s="38" t="s">
        <v>175</v>
      </c>
      <c r="C60" s="127" t="s">
        <v>94</v>
      </c>
      <c r="D60" s="90">
        <v>15.4</v>
      </c>
      <c r="E60" s="37" t="s">
        <v>19</v>
      </c>
      <c r="F60" s="90">
        <v>0</v>
      </c>
      <c r="G60" s="37" t="s">
        <v>19</v>
      </c>
      <c r="H60" s="90">
        <v>0</v>
      </c>
      <c r="I60" s="90"/>
      <c r="J60" s="90"/>
      <c r="K60" s="127" t="s">
        <v>74</v>
      </c>
      <c r="L60" s="90">
        <v>51.8</v>
      </c>
      <c r="M60" s="37" t="s">
        <v>19</v>
      </c>
      <c r="N60" s="90">
        <v>0</v>
      </c>
      <c r="O60" s="38" t="s">
        <v>20</v>
      </c>
      <c r="P60" s="90">
        <v>67.2</v>
      </c>
      <c r="Q60" s="127" t="s">
        <v>21</v>
      </c>
      <c r="R60" s="90">
        <v>21.4</v>
      </c>
      <c r="S60" s="38" t="s">
        <v>20</v>
      </c>
      <c r="T60" s="90">
        <v>19.5</v>
      </c>
      <c r="U60" s="127" t="s">
        <v>68</v>
      </c>
    </row>
    <row r="61" spans="1:21" ht="144" x14ac:dyDescent="0.25">
      <c r="A61" s="17" t="s">
        <v>176</v>
      </c>
      <c r="B61" s="17" t="s">
        <v>32</v>
      </c>
      <c r="C61" s="127" t="s">
        <v>94</v>
      </c>
      <c r="D61" s="121">
        <v>41.9</v>
      </c>
      <c r="E61" s="127" t="s">
        <v>74</v>
      </c>
      <c r="F61" s="121">
        <v>7</v>
      </c>
      <c r="G61" s="127" t="s">
        <v>74</v>
      </c>
      <c r="H61" s="121">
        <v>4.2</v>
      </c>
      <c r="I61" s="121"/>
      <c r="J61" s="121"/>
      <c r="K61" s="127" t="s">
        <v>74</v>
      </c>
      <c r="L61" s="122">
        <v>150.69999999999999</v>
      </c>
      <c r="M61" s="17" t="s">
        <v>19</v>
      </c>
      <c r="N61" s="121">
        <v>0</v>
      </c>
      <c r="O61" s="22" t="s">
        <v>20</v>
      </c>
      <c r="P61" s="122">
        <v>203.8</v>
      </c>
      <c r="Q61" s="127" t="s">
        <v>21</v>
      </c>
      <c r="R61" s="121">
        <v>58.8</v>
      </c>
      <c r="S61" s="22" t="s">
        <v>20</v>
      </c>
      <c r="T61" s="121">
        <v>43.1</v>
      </c>
      <c r="U61" s="17" t="s">
        <v>19</v>
      </c>
    </row>
    <row r="62" spans="1:21" ht="86.4" x14ac:dyDescent="0.25">
      <c r="A62" s="10" t="s">
        <v>177</v>
      </c>
      <c r="B62" s="10" t="s">
        <v>66</v>
      </c>
      <c r="C62" s="3" t="s">
        <v>67</v>
      </c>
      <c r="D62" s="9">
        <v>0.1</v>
      </c>
      <c r="E62" s="9"/>
      <c r="F62" s="9"/>
      <c r="G62" s="10" t="s">
        <v>19</v>
      </c>
      <c r="H62" s="9">
        <v>0</v>
      </c>
      <c r="I62" s="9"/>
      <c r="J62" s="9"/>
      <c r="K62" s="10" t="s">
        <v>19</v>
      </c>
      <c r="L62" s="9">
        <v>0</v>
      </c>
      <c r="M62" s="3" t="s">
        <v>165</v>
      </c>
      <c r="N62" s="9">
        <v>37</v>
      </c>
      <c r="O62" s="8" t="s">
        <v>20</v>
      </c>
      <c r="P62" s="9">
        <v>37.1</v>
      </c>
      <c r="Q62" s="8" t="s">
        <v>178</v>
      </c>
      <c r="R62" s="9">
        <v>27.4</v>
      </c>
      <c r="S62" s="8" t="s">
        <v>20</v>
      </c>
      <c r="T62" s="9">
        <v>10.6</v>
      </c>
      <c r="U62" s="3" t="s">
        <v>68</v>
      </c>
    </row>
    <row r="63" spans="1:21" ht="115.2" x14ac:dyDescent="0.25">
      <c r="A63" s="10" t="s">
        <v>179</v>
      </c>
      <c r="B63" s="8" t="s">
        <v>180</v>
      </c>
      <c r="C63" s="3" t="s">
        <v>17</v>
      </c>
      <c r="D63" s="9">
        <v>62.4</v>
      </c>
      <c r="E63" s="9"/>
      <c r="F63" s="9"/>
      <c r="G63" s="3" t="s">
        <v>18</v>
      </c>
      <c r="H63" s="9">
        <v>43</v>
      </c>
      <c r="I63" s="9"/>
      <c r="J63" s="9"/>
      <c r="K63" s="3" t="s">
        <v>18</v>
      </c>
      <c r="L63" s="9">
        <v>6.7</v>
      </c>
      <c r="M63" s="10" t="s">
        <v>19</v>
      </c>
      <c r="N63" s="9">
        <v>0</v>
      </c>
      <c r="O63" s="8" t="s">
        <v>20</v>
      </c>
      <c r="P63" s="9">
        <v>112.1</v>
      </c>
      <c r="Q63" s="8" t="s">
        <v>178</v>
      </c>
      <c r="R63" s="9">
        <v>92.5</v>
      </c>
      <c r="S63" s="8" t="s">
        <v>20</v>
      </c>
      <c r="T63" s="9">
        <v>31.1</v>
      </c>
      <c r="U63" s="10" t="s">
        <v>19</v>
      </c>
    </row>
    <row r="64" spans="1:21" ht="115.2" x14ac:dyDescent="0.25">
      <c r="A64" s="10" t="s">
        <v>181</v>
      </c>
      <c r="B64" s="8" t="s">
        <v>182</v>
      </c>
      <c r="C64" s="3" t="s">
        <v>17</v>
      </c>
      <c r="D64" s="9">
        <v>25.4</v>
      </c>
      <c r="E64" s="9"/>
      <c r="F64" s="9"/>
      <c r="G64" s="3" t="s">
        <v>18</v>
      </c>
      <c r="H64" s="9">
        <v>29.6</v>
      </c>
      <c r="I64" s="9"/>
      <c r="J64" s="9"/>
      <c r="K64" s="10" t="s">
        <v>19</v>
      </c>
      <c r="L64" s="9">
        <v>0</v>
      </c>
      <c r="M64" s="10" t="s">
        <v>19</v>
      </c>
      <c r="N64" s="9">
        <v>0</v>
      </c>
      <c r="O64" s="8" t="s">
        <v>20</v>
      </c>
      <c r="P64" s="9">
        <v>55</v>
      </c>
      <c r="Q64" s="8" t="s">
        <v>178</v>
      </c>
      <c r="R64" s="9">
        <v>21.6</v>
      </c>
      <c r="S64" s="8" t="s">
        <v>20</v>
      </c>
      <c r="T64" s="9">
        <v>15.1</v>
      </c>
      <c r="U64" s="10" t="s">
        <v>19</v>
      </c>
    </row>
    <row r="65" spans="1:21" ht="86.4" x14ac:dyDescent="0.25">
      <c r="A65" s="10" t="s">
        <v>183</v>
      </c>
      <c r="B65" s="8" t="s">
        <v>184</v>
      </c>
      <c r="C65" s="10" t="s">
        <v>19</v>
      </c>
      <c r="D65" s="9">
        <v>0</v>
      </c>
      <c r="E65" s="9"/>
      <c r="F65" s="9"/>
      <c r="G65" s="3" t="s">
        <v>74</v>
      </c>
      <c r="H65" s="9">
        <v>8.8000000000000007</v>
      </c>
      <c r="I65" s="9"/>
      <c r="J65" s="9"/>
      <c r="K65" s="3" t="s">
        <v>74</v>
      </c>
      <c r="L65" s="9">
        <v>28.9</v>
      </c>
      <c r="M65" s="10" t="s">
        <v>19</v>
      </c>
      <c r="N65" s="9">
        <v>0</v>
      </c>
      <c r="O65" s="8" t="s">
        <v>20</v>
      </c>
      <c r="P65" s="9">
        <v>37.700000000000003</v>
      </c>
      <c r="Q65" s="8" t="s">
        <v>178</v>
      </c>
      <c r="R65" s="9">
        <v>6.2</v>
      </c>
      <c r="S65" s="8" t="s">
        <v>20</v>
      </c>
      <c r="T65" s="9">
        <v>8.9</v>
      </c>
      <c r="U65" s="3" t="s">
        <v>68</v>
      </c>
    </row>
    <row r="66" spans="1:21" ht="57.6" x14ac:dyDescent="0.25">
      <c r="A66" s="10" t="s">
        <v>185</v>
      </c>
      <c r="B66" s="10" t="s">
        <v>66</v>
      </c>
      <c r="C66" s="10" t="s">
        <v>19</v>
      </c>
      <c r="D66" s="9">
        <v>0</v>
      </c>
      <c r="E66" s="9"/>
      <c r="F66" s="9"/>
      <c r="G66" s="10" t="s">
        <v>19</v>
      </c>
      <c r="H66" s="9">
        <v>0</v>
      </c>
      <c r="I66" s="9"/>
      <c r="J66" s="9"/>
      <c r="K66" s="10" t="s">
        <v>19</v>
      </c>
      <c r="L66" s="9">
        <v>0</v>
      </c>
      <c r="M66" s="3" t="s">
        <v>165</v>
      </c>
      <c r="N66" s="9">
        <v>19.600000000000001</v>
      </c>
      <c r="O66" s="8" t="s">
        <v>20</v>
      </c>
      <c r="P66" s="9">
        <v>19.600000000000001</v>
      </c>
      <c r="Q66" s="8" t="s">
        <v>178</v>
      </c>
      <c r="R66" s="9">
        <v>10.9</v>
      </c>
      <c r="S66" s="8" t="s">
        <v>20</v>
      </c>
      <c r="T66" s="9">
        <v>8.6999999999999993</v>
      </c>
      <c r="U66" s="3" t="s">
        <v>68</v>
      </c>
    </row>
    <row r="67" spans="1:21" ht="115.2" x14ac:dyDescent="0.25">
      <c r="A67" s="10" t="s">
        <v>186</v>
      </c>
      <c r="B67" s="8" t="s">
        <v>187</v>
      </c>
      <c r="C67" s="3" t="s">
        <v>17</v>
      </c>
      <c r="D67" s="9">
        <v>45.4</v>
      </c>
      <c r="E67" s="9"/>
      <c r="F67" s="9"/>
      <c r="G67" s="3" t="s">
        <v>18</v>
      </c>
      <c r="H67" s="9">
        <v>6.4</v>
      </c>
      <c r="I67" s="9"/>
      <c r="J67" s="9"/>
      <c r="K67" s="3" t="s">
        <v>18</v>
      </c>
      <c r="L67" s="9">
        <v>38.299999999999997</v>
      </c>
      <c r="M67" s="10" t="s">
        <v>19</v>
      </c>
      <c r="N67" s="9">
        <v>0</v>
      </c>
      <c r="O67" s="8" t="s">
        <v>20</v>
      </c>
      <c r="P67" s="9">
        <v>90</v>
      </c>
      <c r="Q67" s="8" t="s">
        <v>178</v>
      </c>
      <c r="R67" s="9">
        <v>24</v>
      </c>
      <c r="S67" s="8" t="s">
        <v>20</v>
      </c>
      <c r="T67" s="9">
        <v>20.8</v>
      </c>
      <c r="U67" s="10" t="s">
        <v>19</v>
      </c>
    </row>
    <row r="68" spans="1:21" ht="115.2" x14ac:dyDescent="0.25">
      <c r="A68" s="17" t="s">
        <v>188</v>
      </c>
      <c r="B68" s="17" t="s">
        <v>189</v>
      </c>
      <c r="C68" s="127" t="s">
        <v>17</v>
      </c>
      <c r="D68" s="121">
        <v>0.1</v>
      </c>
      <c r="E68" s="121"/>
      <c r="F68" s="121"/>
      <c r="G68" s="127" t="s">
        <v>18</v>
      </c>
      <c r="H68" s="121">
        <v>5.2</v>
      </c>
      <c r="I68" s="121"/>
      <c r="J68" s="121"/>
      <c r="K68" s="127" t="s">
        <v>18</v>
      </c>
      <c r="L68" s="121">
        <v>35</v>
      </c>
      <c r="M68" s="17" t="s">
        <v>19</v>
      </c>
      <c r="N68" s="121">
        <v>0</v>
      </c>
      <c r="O68" s="22" t="s">
        <v>20</v>
      </c>
      <c r="P68" s="122">
        <v>40.200000000000003</v>
      </c>
      <c r="Q68" s="22" t="s">
        <v>178</v>
      </c>
      <c r="R68" s="121">
        <v>6.7</v>
      </c>
      <c r="S68" s="22" t="s">
        <v>20</v>
      </c>
      <c r="T68" s="121">
        <v>9</v>
      </c>
      <c r="U68" s="127" t="s">
        <v>190</v>
      </c>
    </row>
    <row r="69" spans="1:21" ht="86.4" x14ac:dyDescent="0.25">
      <c r="A69" s="17" t="s">
        <v>191</v>
      </c>
      <c r="B69" s="22" t="s">
        <v>192</v>
      </c>
      <c r="C69" s="127" t="s">
        <v>94</v>
      </c>
      <c r="D69" s="121">
        <v>8.6</v>
      </c>
      <c r="E69" s="121"/>
      <c r="F69" s="121"/>
      <c r="G69" s="17" t="s">
        <v>19</v>
      </c>
      <c r="H69" s="121">
        <v>0</v>
      </c>
      <c r="I69" s="121"/>
      <c r="J69" s="121"/>
      <c r="K69" s="127" t="s">
        <v>74</v>
      </c>
      <c r="L69" s="121">
        <v>79.900000000000006</v>
      </c>
      <c r="M69" s="17" t="s">
        <v>19</v>
      </c>
      <c r="N69" s="121">
        <v>0</v>
      </c>
      <c r="O69" s="22" t="s">
        <v>20</v>
      </c>
      <c r="P69" s="121">
        <v>88.5</v>
      </c>
      <c r="Q69" s="22" t="s">
        <v>178</v>
      </c>
      <c r="R69" s="121">
        <v>29.6</v>
      </c>
      <c r="S69" s="22" t="s">
        <v>20</v>
      </c>
      <c r="T69" s="121">
        <v>21.7</v>
      </c>
      <c r="U69" s="127" t="s">
        <v>68</v>
      </c>
    </row>
    <row r="70" spans="1:21" ht="115.2" x14ac:dyDescent="0.25">
      <c r="A70" s="17" t="s">
        <v>193</v>
      </c>
      <c r="B70" s="17" t="s">
        <v>194</v>
      </c>
      <c r="C70" s="127" t="s">
        <v>17</v>
      </c>
      <c r="D70" s="122">
        <v>49.4</v>
      </c>
      <c r="E70" s="122"/>
      <c r="F70" s="122"/>
      <c r="G70" s="17" t="s">
        <v>19</v>
      </c>
      <c r="H70" s="121">
        <v>0</v>
      </c>
      <c r="I70" s="121"/>
      <c r="J70" s="121"/>
      <c r="K70" s="127" t="s">
        <v>18</v>
      </c>
      <c r="L70" s="122">
        <v>34.799999999999997</v>
      </c>
      <c r="M70" s="17" t="s">
        <v>19</v>
      </c>
      <c r="N70" s="121">
        <v>0</v>
      </c>
      <c r="O70" s="22" t="s">
        <v>20</v>
      </c>
      <c r="P70" s="122">
        <v>84.2</v>
      </c>
      <c r="Q70" s="22" t="s">
        <v>178</v>
      </c>
      <c r="R70" s="121">
        <v>51.3</v>
      </c>
      <c r="S70" s="22" t="s">
        <v>20</v>
      </c>
      <c r="T70" s="121">
        <v>23.6</v>
      </c>
      <c r="U70" s="17" t="s">
        <v>19</v>
      </c>
    </row>
    <row r="71" spans="1:21" ht="115.2" x14ac:dyDescent="0.25">
      <c r="A71" s="10" t="s">
        <v>195</v>
      </c>
      <c r="B71" s="10" t="s">
        <v>196</v>
      </c>
      <c r="C71" s="3" t="s">
        <v>17</v>
      </c>
      <c r="D71" s="9">
        <v>44.5</v>
      </c>
      <c r="E71" s="9"/>
      <c r="F71" s="9"/>
      <c r="G71" s="3" t="s">
        <v>18</v>
      </c>
      <c r="H71" s="9">
        <v>28.3</v>
      </c>
      <c r="I71" s="9"/>
      <c r="J71" s="9"/>
      <c r="K71" s="3" t="s">
        <v>18</v>
      </c>
      <c r="L71" s="9">
        <v>20.100000000000001</v>
      </c>
      <c r="M71" s="10" t="s">
        <v>19</v>
      </c>
      <c r="N71" s="9">
        <v>0</v>
      </c>
      <c r="O71" s="8" t="s">
        <v>20</v>
      </c>
      <c r="P71" s="9">
        <v>92.9</v>
      </c>
      <c r="Q71" s="8" t="s">
        <v>178</v>
      </c>
      <c r="R71" s="9">
        <v>56.6</v>
      </c>
      <c r="S71" s="8" t="s">
        <v>20</v>
      </c>
      <c r="T71" s="9">
        <v>25</v>
      </c>
      <c r="U71" s="10" t="s">
        <v>19</v>
      </c>
    </row>
    <row r="72" spans="1:21" ht="115.2" x14ac:dyDescent="0.25">
      <c r="A72" s="10" t="s">
        <v>197</v>
      </c>
      <c r="B72" s="8" t="s">
        <v>187</v>
      </c>
      <c r="C72" s="3" t="s">
        <v>17</v>
      </c>
      <c r="D72" s="9">
        <v>32.1</v>
      </c>
      <c r="E72" s="9"/>
      <c r="F72" s="9"/>
      <c r="G72" s="3" t="s">
        <v>18</v>
      </c>
      <c r="H72" s="9">
        <v>6.3</v>
      </c>
      <c r="I72" s="9"/>
      <c r="J72" s="9"/>
      <c r="K72" s="3" t="s">
        <v>18</v>
      </c>
      <c r="L72" s="9">
        <v>29</v>
      </c>
      <c r="M72" s="10" t="s">
        <v>19</v>
      </c>
      <c r="N72" s="9">
        <v>0</v>
      </c>
      <c r="O72" s="8" t="s">
        <v>20</v>
      </c>
      <c r="P72" s="9">
        <v>67.400000000000006</v>
      </c>
      <c r="Q72" s="8" t="s">
        <v>178</v>
      </c>
      <c r="R72" s="9">
        <v>18.5</v>
      </c>
      <c r="S72" s="8" t="s">
        <v>20</v>
      </c>
      <c r="T72" s="9">
        <v>15.3</v>
      </c>
      <c r="U72" s="10" t="s">
        <v>19</v>
      </c>
    </row>
    <row r="73" spans="1:21" ht="57.6" x14ac:dyDescent="0.25">
      <c r="A73" s="10" t="s">
        <v>198</v>
      </c>
      <c r="B73" s="10" t="s">
        <v>66</v>
      </c>
      <c r="C73" s="10" t="s">
        <v>19</v>
      </c>
      <c r="D73" s="9">
        <v>0</v>
      </c>
      <c r="E73" s="9"/>
      <c r="F73" s="9"/>
      <c r="G73" s="10" t="s">
        <v>19</v>
      </c>
      <c r="H73" s="9">
        <v>0</v>
      </c>
      <c r="I73" s="9"/>
      <c r="J73" s="9"/>
      <c r="K73" s="10" t="s">
        <v>19</v>
      </c>
      <c r="L73" s="9">
        <v>0</v>
      </c>
      <c r="M73" s="3" t="s">
        <v>165</v>
      </c>
      <c r="N73" s="9">
        <v>21.5</v>
      </c>
      <c r="O73" s="8" t="s">
        <v>20</v>
      </c>
      <c r="P73" s="9">
        <v>21.5</v>
      </c>
      <c r="Q73" s="8" t="s">
        <v>178</v>
      </c>
      <c r="R73" s="9">
        <v>4.8</v>
      </c>
      <c r="S73" s="8" t="s">
        <v>20</v>
      </c>
      <c r="T73" s="9">
        <v>6.6</v>
      </c>
      <c r="U73" s="3" t="s">
        <v>68</v>
      </c>
    </row>
    <row r="74" spans="1:21" ht="115.2" x14ac:dyDescent="0.25">
      <c r="A74" s="10" t="s">
        <v>199</v>
      </c>
      <c r="B74" s="10" t="s">
        <v>189</v>
      </c>
      <c r="C74" s="3" t="s">
        <v>17</v>
      </c>
      <c r="D74" s="9">
        <v>0.1</v>
      </c>
      <c r="E74" s="9"/>
      <c r="F74" s="9"/>
      <c r="G74" s="3" t="s">
        <v>18</v>
      </c>
      <c r="H74" s="9">
        <v>5.0999999999999996</v>
      </c>
      <c r="I74" s="9"/>
      <c r="J74" s="9"/>
      <c r="K74" s="3" t="s">
        <v>18</v>
      </c>
      <c r="L74" s="9">
        <v>35</v>
      </c>
      <c r="M74" s="10" t="s">
        <v>19</v>
      </c>
      <c r="N74" s="9">
        <v>0</v>
      </c>
      <c r="O74" s="8" t="s">
        <v>20</v>
      </c>
      <c r="P74" s="9">
        <v>40.200000000000003</v>
      </c>
      <c r="Q74" s="8" t="s">
        <v>178</v>
      </c>
      <c r="R74" s="9">
        <v>6.7</v>
      </c>
      <c r="S74" s="8" t="s">
        <v>20</v>
      </c>
      <c r="T74" s="9">
        <v>9</v>
      </c>
      <c r="U74" s="3" t="s">
        <v>190</v>
      </c>
    </row>
    <row r="75" spans="1:21" ht="86.4" x14ac:dyDescent="0.25">
      <c r="A75" s="10" t="s">
        <v>200</v>
      </c>
      <c r="B75" s="8" t="s">
        <v>192</v>
      </c>
      <c r="C75" s="3" t="s">
        <v>94</v>
      </c>
      <c r="D75" s="9">
        <v>8.9</v>
      </c>
      <c r="E75" s="9"/>
      <c r="F75" s="9"/>
      <c r="G75" s="10" t="s">
        <v>19</v>
      </c>
      <c r="H75" s="9">
        <v>0</v>
      </c>
      <c r="I75" s="9"/>
      <c r="J75" s="9"/>
      <c r="K75" s="3" t="s">
        <v>74</v>
      </c>
      <c r="L75" s="9">
        <v>80.2</v>
      </c>
      <c r="M75" s="10" t="s">
        <v>19</v>
      </c>
      <c r="N75" s="9">
        <v>0</v>
      </c>
      <c r="O75" s="8" t="s">
        <v>20</v>
      </c>
      <c r="P75" s="9">
        <v>89.1</v>
      </c>
      <c r="Q75" s="8" t="s">
        <v>178</v>
      </c>
      <c r="R75" s="9">
        <v>29.9</v>
      </c>
      <c r="S75" s="8" t="s">
        <v>20</v>
      </c>
      <c r="T75" s="9">
        <v>21.9</v>
      </c>
      <c r="U75" s="3" t="s">
        <v>68</v>
      </c>
    </row>
    <row r="76" spans="1:21" ht="115.2" x14ac:dyDescent="0.25">
      <c r="A76" s="10" t="s">
        <v>201</v>
      </c>
      <c r="B76" s="10" t="s">
        <v>194</v>
      </c>
      <c r="C76" s="3" t="s">
        <v>17</v>
      </c>
      <c r="D76" s="9">
        <v>47.9</v>
      </c>
      <c r="E76" s="9"/>
      <c r="F76" s="9"/>
      <c r="G76" s="10" t="s">
        <v>19</v>
      </c>
      <c r="H76" s="9">
        <v>0</v>
      </c>
      <c r="I76" s="9"/>
      <c r="J76" s="9"/>
      <c r="K76" s="3" t="s">
        <v>18</v>
      </c>
      <c r="L76" s="9">
        <v>37.5</v>
      </c>
      <c r="M76" s="10" t="s">
        <v>19</v>
      </c>
      <c r="N76" s="9">
        <v>0</v>
      </c>
      <c r="O76" s="8" t="s">
        <v>20</v>
      </c>
      <c r="P76" s="9">
        <v>85.4</v>
      </c>
      <c r="Q76" s="8" t="s">
        <v>178</v>
      </c>
      <c r="R76" s="9">
        <v>51.2</v>
      </c>
      <c r="S76" s="8" t="s">
        <v>20</v>
      </c>
      <c r="T76" s="9">
        <v>23.8</v>
      </c>
      <c r="U76" s="10" t="s">
        <v>19</v>
      </c>
    </row>
    <row r="77" spans="1:21" ht="115.2" x14ac:dyDescent="0.25">
      <c r="A77" s="17" t="s">
        <v>202</v>
      </c>
      <c r="B77" s="17" t="s">
        <v>196</v>
      </c>
      <c r="C77" s="127" t="s">
        <v>17</v>
      </c>
      <c r="D77" s="121">
        <v>61.1</v>
      </c>
      <c r="E77" s="121"/>
      <c r="F77" s="121"/>
      <c r="G77" s="127" t="s">
        <v>18</v>
      </c>
      <c r="H77" s="121">
        <v>7.6</v>
      </c>
      <c r="I77" s="121"/>
      <c r="J77" s="121"/>
      <c r="K77" s="127" t="s">
        <v>18</v>
      </c>
      <c r="L77" s="121">
        <v>20.8</v>
      </c>
      <c r="M77" s="17" t="s">
        <v>19</v>
      </c>
      <c r="N77" s="121">
        <v>0</v>
      </c>
      <c r="O77" s="22" t="s">
        <v>20</v>
      </c>
      <c r="P77" s="121">
        <v>89.5</v>
      </c>
      <c r="Q77" s="22" t="s">
        <v>178</v>
      </c>
      <c r="R77" s="121">
        <v>56.3</v>
      </c>
      <c r="S77" s="22" t="s">
        <v>20</v>
      </c>
      <c r="T77" s="121">
        <v>25.2</v>
      </c>
      <c r="U77" s="17" t="s">
        <v>19</v>
      </c>
    </row>
    <row r="78" spans="1:21" ht="86.4" x14ac:dyDescent="0.25">
      <c r="A78" s="17" t="s">
        <v>203</v>
      </c>
      <c r="B78" s="22" t="s">
        <v>102</v>
      </c>
      <c r="C78" s="127" t="s">
        <v>94</v>
      </c>
      <c r="D78" s="121">
        <v>0.8</v>
      </c>
      <c r="E78" s="121"/>
      <c r="F78" s="121"/>
      <c r="G78" s="127" t="s">
        <v>74</v>
      </c>
      <c r="H78" s="121">
        <v>2.2000000000000002</v>
      </c>
      <c r="I78" s="121"/>
      <c r="J78" s="121"/>
      <c r="K78" s="127" t="s">
        <v>74</v>
      </c>
      <c r="L78" s="121">
        <v>36.5</v>
      </c>
      <c r="M78" s="17" t="s">
        <v>19</v>
      </c>
      <c r="N78" s="121">
        <v>0</v>
      </c>
      <c r="O78" s="22" t="s">
        <v>20</v>
      </c>
      <c r="P78" s="122">
        <v>39.4</v>
      </c>
      <c r="Q78" s="22" t="s">
        <v>178</v>
      </c>
      <c r="R78" s="121">
        <v>5.7</v>
      </c>
      <c r="S78" s="22" t="s">
        <v>20</v>
      </c>
      <c r="T78" s="121">
        <v>9.4</v>
      </c>
      <c r="U78" s="127" t="s">
        <v>68</v>
      </c>
    </row>
    <row r="79" spans="1:21" ht="115.2" x14ac:dyDescent="0.25">
      <c r="A79" s="7" t="s">
        <v>204</v>
      </c>
      <c r="B79" s="8" t="s">
        <v>205</v>
      </c>
      <c r="C79" s="3" t="s">
        <v>17</v>
      </c>
      <c r="D79" s="9">
        <v>36.1</v>
      </c>
      <c r="E79" s="10" t="s">
        <v>19</v>
      </c>
      <c r="F79" s="9">
        <v>0</v>
      </c>
      <c r="G79" s="10" t="s">
        <v>19</v>
      </c>
      <c r="H79" s="9">
        <v>0</v>
      </c>
      <c r="I79" s="9"/>
      <c r="J79" s="9"/>
      <c r="K79" s="3" t="s">
        <v>18</v>
      </c>
      <c r="L79" s="9">
        <v>32.1</v>
      </c>
      <c r="M79" s="9"/>
      <c r="N79" s="9"/>
      <c r="O79" s="8" t="s">
        <v>20</v>
      </c>
      <c r="P79" s="9">
        <v>68.2</v>
      </c>
      <c r="Q79" s="8" t="s">
        <v>178</v>
      </c>
      <c r="R79" s="9">
        <v>10.7</v>
      </c>
      <c r="S79" s="8" t="s">
        <v>20</v>
      </c>
      <c r="T79" s="9">
        <v>15.2</v>
      </c>
      <c r="U79" s="10" t="s">
        <v>19</v>
      </c>
    </row>
    <row r="80" spans="1:21" ht="115.2" x14ac:dyDescent="0.25">
      <c r="A80" s="7" t="s">
        <v>206</v>
      </c>
      <c r="B80" s="10" t="s">
        <v>32</v>
      </c>
      <c r="C80" s="3" t="s">
        <v>17</v>
      </c>
      <c r="D80" s="9">
        <v>41.8</v>
      </c>
      <c r="E80" s="10" t="s">
        <v>19</v>
      </c>
      <c r="F80" s="9">
        <v>0</v>
      </c>
      <c r="G80" s="3" t="s">
        <v>18</v>
      </c>
      <c r="H80" s="9">
        <v>47.6</v>
      </c>
      <c r="I80" s="9"/>
      <c r="J80" s="9"/>
      <c r="K80" s="3" t="s">
        <v>18</v>
      </c>
      <c r="L80" s="9">
        <v>14.6</v>
      </c>
      <c r="M80" s="9"/>
      <c r="N80" s="9"/>
      <c r="O80" s="8" t="s">
        <v>20</v>
      </c>
      <c r="P80" s="9">
        <v>104</v>
      </c>
      <c r="Q80" s="8" t="s">
        <v>178</v>
      </c>
      <c r="R80" s="9">
        <v>41.2</v>
      </c>
      <c r="S80" s="8" t="s">
        <v>20</v>
      </c>
      <c r="T80" s="9">
        <v>18.100000000000001</v>
      </c>
      <c r="U80" s="10" t="s">
        <v>19</v>
      </c>
    </row>
    <row r="81" spans="1:21" ht="115.2" x14ac:dyDescent="0.25">
      <c r="A81" s="7" t="s">
        <v>207</v>
      </c>
      <c r="B81" s="10" t="s">
        <v>32</v>
      </c>
      <c r="C81" s="3" t="s">
        <v>17</v>
      </c>
      <c r="D81" s="9">
        <v>56.7</v>
      </c>
      <c r="E81" s="10" t="s">
        <v>19</v>
      </c>
      <c r="F81" s="9">
        <v>0</v>
      </c>
      <c r="G81" s="3" t="s">
        <v>18</v>
      </c>
      <c r="H81" s="9">
        <v>74</v>
      </c>
      <c r="I81" s="9"/>
      <c r="J81" s="9"/>
      <c r="K81" s="3" t="s">
        <v>18</v>
      </c>
      <c r="L81" s="9">
        <v>7.2</v>
      </c>
      <c r="M81" s="9"/>
      <c r="N81" s="9"/>
      <c r="O81" s="8" t="s">
        <v>20</v>
      </c>
      <c r="P81" s="9">
        <v>137.9</v>
      </c>
      <c r="Q81" s="8" t="s">
        <v>178</v>
      </c>
      <c r="R81" s="9">
        <v>60.8</v>
      </c>
      <c r="S81" s="8" t="s">
        <v>20</v>
      </c>
      <c r="T81" s="9">
        <v>42.3</v>
      </c>
      <c r="U81" s="10" t="s">
        <v>19</v>
      </c>
    </row>
    <row r="82" spans="1:21" ht="187.2" x14ac:dyDescent="0.25">
      <c r="A82" s="7" t="s">
        <v>208</v>
      </c>
      <c r="B82" s="8" t="s">
        <v>209</v>
      </c>
      <c r="C82" s="3" t="s">
        <v>17</v>
      </c>
      <c r="D82" s="9">
        <v>105.7</v>
      </c>
      <c r="E82" s="3" t="s">
        <v>18</v>
      </c>
      <c r="F82" s="9">
        <v>38.299999999999997</v>
      </c>
      <c r="G82" s="10" t="s">
        <v>19</v>
      </c>
      <c r="H82" s="9">
        <v>0</v>
      </c>
      <c r="I82" s="9"/>
      <c r="J82" s="9"/>
      <c r="K82" s="10" t="s">
        <v>19</v>
      </c>
      <c r="L82" s="9">
        <v>0</v>
      </c>
      <c r="M82" s="9"/>
      <c r="N82" s="9"/>
      <c r="O82" s="8" t="s">
        <v>20</v>
      </c>
      <c r="P82" s="9">
        <v>144</v>
      </c>
      <c r="Q82" s="3" t="s">
        <v>210</v>
      </c>
      <c r="R82" s="9">
        <v>26</v>
      </c>
      <c r="S82" s="8" t="s">
        <v>20</v>
      </c>
      <c r="T82" s="9">
        <v>40.4</v>
      </c>
      <c r="U82" s="10" t="s">
        <v>19</v>
      </c>
    </row>
    <row r="83" spans="1:21" ht="187.2" x14ac:dyDescent="0.25">
      <c r="A83" s="7" t="s">
        <v>211</v>
      </c>
      <c r="B83" s="8" t="s">
        <v>212</v>
      </c>
      <c r="C83" s="3" t="s">
        <v>17</v>
      </c>
      <c r="D83" s="9">
        <v>78.8</v>
      </c>
      <c r="E83" s="3" t="s">
        <v>18</v>
      </c>
      <c r="F83" s="9">
        <v>36.5</v>
      </c>
      <c r="G83" s="10" t="s">
        <v>19</v>
      </c>
      <c r="H83" s="9">
        <v>0</v>
      </c>
      <c r="I83" s="9"/>
      <c r="J83" s="9"/>
      <c r="K83" s="10" t="s">
        <v>19</v>
      </c>
      <c r="L83" s="9">
        <v>0</v>
      </c>
      <c r="M83" s="9"/>
      <c r="N83" s="9"/>
      <c r="O83" s="8" t="s">
        <v>20</v>
      </c>
      <c r="P83" s="9">
        <v>115.3</v>
      </c>
      <c r="Q83" s="3" t="s">
        <v>210</v>
      </c>
      <c r="R83" s="9">
        <v>19.3</v>
      </c>
      <c r="S83" s="8" t="s">
        <v>20</v>
      </c>
      <c r="T83" s="9">
        <v>30</v>
      </c>
      <c r="U83" s="10" t="s">
        <v>19</v>
      </c>
    </row>
    <row r="84" spans="1:21" ht="115.2" x14ac:dyDescent="0.25">
      <c r="A84" s="17" t="s">
        <v>213</v>
      </c>
      <c r="B84" s="22" t="s">
        <v>134</v>
      </c>
      <c r="C84" s="127" t="s">
        <v>17</v>
      </c>
      <c r="D84" s="121">
        <v>26.2</v>
      </c>
      <c r="E84" s="17" t="s">
        <v>19</v>
      </c>
      <c r="F84" s="121">
        <v>0</v>
      </c>
      <c r="G84" s="127" t="s">
        <v>18</v>
      </c>
      <c r="H84" s="121">
        <v>4.8</v>
      </c>
      <c r="I84" s="121"/>
      <c r="J84" s="121"/>
      <c r="K84" s="127" t="s">
        <v>18</v>
      </c>
      <c r="L84" s="121">
        <v>9.1</v>
      </c>
      <c r="M84" s="121"/>
      <c r="N84" s="121"/>
      <c r="O84" s="22" t="s">
        <v>20</v>
      </c>
      <c r="P84" s="121">
        <v>40.1</v>
      </c>
      <c r="Q84" s="22" t="s">
        <v>178</v>
      </c>
      <c r="R84" s="121">
        <v>6.5</v>
      </c>
      <c r="S84" s="22" t="s">
        <v>20</v>
      </c>
      <c r="T84" s="121">
        <v>8.6</v>
      </c>
      <c r="U84" s="17" t="s">
        <v>19</v>
      </c>
    </row>
    <row r="85" spans="1:21" ht="86.4" x14ac:dyDescent="0.25">
      <c r="A85" s="17" t="s">
        <v>214</v>
      </c>
      <c r="B85" s="17" t="s">
        <v>32</v>
      </c>
      <c r="C85" s="127" t="s">
        <v>94</v>
      </c>
      <c r="D85" s="121">
        <v>18</v>
      </c>
      <c r="E85" s="17" t="s">
        <v>19</v>
      </c>
      <c r="F85" s="121">
        <v>0</v>
      </c>
      <c r="G85" s="127" t="s">
        <v>74</v>
      </c>
      <c r="H85" s="121">
        <v>73.900000000000006</v>
      </c>
      <c r="I85" s="121"/>
      <c r="J85" s="121"/>
      <c r="K85" s="127" t="s">
        <v>74</v>
      </c>
      <c r="L85" s="122">
        <v>36.4</v>
      </c>
      <c r="M85" s="122"/>
      <c r="N85" s="122"/>
      <c r="O85" s="22" t="s">
        <v>20</v>
      </c>
      <c r="P85" s="122">
        <v>128.30000000000001</v>
      </c>
      <c r="Q85" s="127" t="s">
        <v>21</v>
      </c>
      <c r="R85" s="121">
        <v>25.1</v>
      </c>
      <c r="S85" s="22" t="s">
        <v>20</v>
      </c>
      <c r="T85" s="121">
        <v>28</v>
      </c>
      <c r="U85" s="17" t="s">
        <v>19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U61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customWidth="1"/>
    <col min="3" max="3" width="42.109375" customWidth="1"/>
    <col min="4" max="4" width="13.109375" customWidth="1"/>
    <col min="5" max="5" width="26.109375" customWidth="1"/>
    <col min="6" max="6" width="13.109375" customWidth="1"/>
    <col min="7" max="7" width="50.44140625" customWidth="1"/>
    <col min="8" max="8" width="13.109375" customWidth="1"/>
    <col min="9" max="9" width="26.109375" customWidth="1"/>
    <col min="10" max="10" width="13.109375" customWidth="1"/>
    <col min="11" max="11" width="48.44140625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x14ac:dyDescent="0.25">
      <c r="A1" s="567" t="s">
        <v>359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21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33"/>
      <c r="N2" s="133"/>
      <c r="O2" s="133"/>
      <c r="P2" s="133"/>
      <c r="Q2" s="555" t="s">
        <v>4</v>
      </c>
      <c r="R2" s="555"/>
      <c r="S2" s="558" t="s">
        <v>5</v>
      </c>
      <c r="T2" s="558"/>
      <c r="U2" s="134" t="s">
        <v>6</v>
      </c>
    </row>
    <row r="3" spans="1:21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135" t="s">
        <v>63</v>
      </c>
      <c r="J3" s="135"/>
      <c r="K3" s="135" t="s">
        <v>64</v>
      </c>
      <c r="L3" s="135"/>
      <c r="M3" s="566" t="s">
        <v>358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34"/>
    </row>
    <row r="4" spans="1:21" ht="34.799999999999997" x14ac:dyDescent="0.25">
      <c r="A4" s="556"/>
      <c r="B4" s="555"/>
      <c r="C4" s="96" t="s">
        <v>12</v>
      </c>
      <c r="D4" s="132" t="s">
        <v>13</v>
      </c>
      <c r="E4" s="96" t="s">
        <v>12</v>
      </c>
      <c r="F4" s="132" t="s">
        <v>13</v>
      </c>
      <c r="G4" s="96" t="s">
        <v>12</v>
      </c>
      <c r="H4" s="132" t="s">
        <v>13</v>
      </c>
      <c r="I4" s="96" t="s">
        <v>12</v>
      </c>
      <c r="J4" s="132" t="s">
        <v>13</v>
      </c>
      <c r="K4" s="96" t="s">
        <v>12</v>
      </c>
      <c r="L4" s="132" t="s">
        <v>13</v>
      </c>
      <c r="M4" s="96" t="s">
        <v>12</v>
      </c>
      <c r="N4" s="132" t="s">
        <v>13</v>
      </c>
      <c r="O4" s="98" t="s">
        <v>12</v>
      </c>
      <c r="P4" s="132" t="s">
        <v>13</v>
      </c>
      <c r="Q4" s="555"/>
      <c r="R4" s="556"/>
      <c r="S4" s="555"/>
      <c r="T4" s="560"/>
      <c r="U4" s="134"/>
    </row>
    <row r="5" spans="1:21" ht="129.6" x14ac:dyDescent="0.25">
      <c r="A5" s="99" t="s">
        <v>75</v>
      </c>
      <c r="B5" s="132" t="s">
        <v>76</v>
      </c>
      <c r="C5" s="132" t="s">
        <v>67</v>
      </c>
      <c r="D5" s="101">
        <v>38.1</v>
      </c>
      <c r="E5" s="101"/>
      <c r="F5" s="101"/>
      <c r="G5" s="132" t="s">
        <v>71</v>
      </c>
      <c r="H5" s="101">
        <v>45.7</v>
      </c>
      <c r="I5" s="101"/>
      <c r="J5" s="101"/>
      <c r="K5" s="102" t="s">
        <v>19</v>
      </c>
      <c r="L5" s="101">
        <v>0</v>
      </c>
      <c r="M5" s="101"/>
      <c r="N5" s="101"/>
      <c r="O5" s="100" t="s">
        <v>20</v>
      </c>
      <c r="P5" s="101">
        <v>83.8</v>
      </c>
      <c r="Q5" s="132" t="s">
        <v>21</v>
      </c>
      <c r="R5" s="101">
        <v>43.1</v>
      </c>
      <c r="S5" s="100" t="s">
        <v>20</v>
      </c>
      <c r="T5" s="101">
        <v>22.2</v>
      </c>
      <c r="U5" s="132" t="s">
        <v>68</v>
      </c>
    </row>
    <row r="6" spans="1:21" ht="86.4" x14ac:dyDescent="0.25">
      <c r="A6" s="99" t="s">
        <v>217</v>
      </c>
      <c r="B6" s="100" t="s">
        <v>218</v>
      </c>
      <c r="C6" s="132" t="s">
        <v>67</v>
      </c>
      <c r="D6" s="101">
        <v>52.2</v>
      </c>
      <c r="E6" s="101"/>
      <c r="F6" s="101"/>
      <c r="G6" s="132" t="s">
        <v>71</v>
      </c>
      <c r="H6" s="101">
        <v>47.9</v>
      </c>
      <c r="I6" s="101"/>
      <c r="J6" s="101"/>
      <c r="K6" s="132" t="s">
        <v>71</v>
      </c>
      <c r="L6" s="101">
        <v>13.8</v>
      </c>
      <c r="M6" s="101"/>
      <c r="N6" s="101"/>
      <c r="O6" s="100" t="s">
        <v>20</v>
      </c>
      <c r="P6" s="101">
        <v>114</v>
      </c>
      <c r="Q6" s="110" t="s">
        <v>30</v>
      </c>
      <c r="R6" s="101">
        <v>63.7</v>
      </c>
      <c r="S6" s="100" t="s">
        <v>20</v>
      </c>
      <c r="T6" s="101">
        <v>34.1</v>
      </c>
      <c r="U6" s="132" t="s">
        <v>68</v>
      </c>
    </row>
    <row r="7" spans="1:21" ht="86.4" x14ac:dyDescent="0.25">
      <c r="A7" s="99" t="s">
        <v>221</v>
      </c>
      <c r="B7" s="132" t="s">
        <v>222</v>
      </c>
      <c r="C7" s="132" t="s">
        <v>67</v>
      </c>
      <c r="D7" s="101">
        <v>47.5</v>
      </c>
      <c r="E7" s="101"/>
      <c r="F7" s="101"/>
      <c r="G7" s="132" t="s">
        <v>71</v>
      </c>
      <c r="H7" s="101">
        <v>68.599999999999994</v>
      </c>
      <c r="I7" s="101"/>
      <c r="J7" s="101"/>
      <c r="K7" s="132" t="s">
        <v>71</v>
      </c>
      <c r="L7" s="101">
        <v>16.7</v>
      </c>
      <c r="M7" s="101"/>
      <c r="N7" s="101"/>
      <c r="O7" s="100" t="s">
        <v>20</v>
      </c>
      <c r="P7" s="101">
        <v>132.80000000000001</v>
      </c>
      <c r="Q7" s="110" t="s">
        <v>30</v>
      </c>
      <c r="R7" s="101">
        <v>90.2</v>
      </c>
      <c r="S7" s="100" t="s">
        <v>20</v>
      </c>
      <c r="T7" s="101">
        <v>40.299999999999997</v>
      </c>
      <c r="U7" s="132" t="s">
        <v>68</v>
      </c>
    </row>
    <row r="8" spans="1:21" ht="86.4" x14ac:dyDescent="0.25">
      <c r="A8" s="102" t="s">
        <v>225</v>
      </c>
      <c r="B8" s="100" t="s">
        <v>226</v>
      </c>
      <c r="C8" s="132" t="s">
        <v>67</v>
      </c>
      <c r="D8" s="101">
        <v>22.2</v>
      </c>
      <c r="E8" s="101"/>
      <c r="F8" s="101"/>
      <c r="G8" s="132" t="s">
        <v>71</v>
      </c>
      <c r="H8" s="111">
        <v>54.5</v>
      </c>
      <c r="I8" s="111"/>
      <c r="J8" s="111"/>
      <c r="K8" s="132" t="s">
        <v>71</v>
      </c>
      <c r="L8" s="101">
        <v>19.5</v>
      </c>
      <c r="M8" s="101"/>
      <c r="N8" s="101"/>
      <c r="O8" s="100" t="s">
        <v>20</v>
      </c>
      <c r="P8" s="101">
        <v>96.2</v>
      </c>
      <c r="Q8" s="100" t="s">
        <v>30</v>
      </c>
      <c r="R8" s="101">
        <v>39.799999999999997</v>
      </c>
      <c r="S8" s="100" t="s">
        <v>20</v>
      </c>
      <c r="T8" s="101">
        <v>26.9</v>
      </c>
      <c r="U8" s="132" t="s">
        <v>68</v>
      </c>
    </row>
    <row r="9" spans="1:21" ht="86.4" x14ac:dyDescent="0.25">
      <c r="A9" s="102" t="s">
        <v>229</v>
      </c>
      <c r="B9" s="100" t="s">
        <v>218</v>
      </c>
      <c r="C9" s="132" t="s">
        <v>67</v>
      </c>
      <c r="D9" s="101">
        <v>87.3</v>
      </c>
      <c r="E9" s="101"/>
      <c r="F9" s="101"/>
      <c r="G9" s="132" t="s">
        <v>71</v>
      </c>
      <c r="H9" s="101">
        <v>11.4</v>
      </c>
      <c r="I9" s="101"/>
      <c r="J9" s="101"/>
      <c r="K9" s="132" t="s">
        <v>71</v>
      </c>
      <c r="L9" s="101">
        <v>13.2</v>
      </c>
      <c r="M9" s="101"/>
      <c r="N9" s="101"/>
      <c r="O9" s="100" t="s">
        <v>20</v>
      </c>
      <c r="P9" s="111">
        <v>111.9</v>
      </c>
      <c r="Q9" s="100" t="s">
        <v>30</v>
      </c>
      <c r="R9" s="111">
        <v>64</v>
      </c>
      <c r="S9" s="100" t="s">
        <v>20</v>
      </c>
      <c r="T9" s="101">
        <v>32.6</v>
      </c>
      <c r="U9" s="132" t="s">
        <v>68</v>
      </c>
    </row>
    <row r="10" spans="1:21" ht="86.4" x14ac:dyDescent="0.25">
      <c r="A10" s="102" t="s">
        <v>232</v>
      </c>
      <c r="B10" s="132" t="s">
        <v>233</v>
      </c>
      <c r="C10" s="132" t="s">
        <v>67</v>
      </c>
      <c r="D10" s="101">
        <v>56.5</v>
      </c>
      <c r="E10" s="101"/>
      <c r="F10" s="101"/>
      <c r="G10" s="132" t="s">
        <v>71</v>
      </c>
      <c r="H10" s="101">
        <v>35.6</v>
      </c>
      <c r="I10" s="101"/>
      <c r="J10" s="101"/>
      <c r="K10" s="132" t="s">
        <v>71</v>
      </c>
      <c r="L10" s="101">
        <v>17.899999999999999</v>
      </c>
      <c r="M10" s="101"/>
      <c r="N10" s="101"/>
      <c r="O10" s="100" t="s">
        <v>20</v>
      </c>
      <c r="P10" s="111">
        <v>110</v>
      </c>
      <c r="Q10" s="132" t="s">
        <v>21</v>
      </c>
      <c r="R10" s="111">
        <v>65.400000000000006</v>
      </c>
      <c r="S10" s="100" t="s">
        <v>20</v>
      </c>
      <c r="T10" s="101">
        <v>33.1</v>
      </c>
      <c r="U10" s="132" t="s">
        <v>68</v>
      </c>
    </row>
    <row r="11" spans="1:21" ht="86.4" x14ac:dyDescent="0.25">
      <c r="A11" s="102" t="s">
        <v>235</v>
      </c>
      <c r="B11" s="132" t="s">
        <v>233</v>
      </c>
      <c r="C11" s="132" t="s">
        <v>67</v>
      </c>
      <c r="D11" s="101">
        <v>58.7</v>
      </c>
      <c r="E11" s="101"/>
      <c r="F11" s="101"/>
      <c r="G11" s="132" t="s">
        <v>71</v>
      </c>
      <c r="H11" s="101">
        <v>36.700000000000003</v>
      </c>
      <c r="I11" s="101"/>
      <c r="J11" s="101"/>
      <c r="K11" s="132" t="s">
        <v>71</v>
      </c>
      <c r="L11" s="101">
        <v>12.3</v>
      </c>
      <c r="M11" s="101"/>
      <c r="N11" s="101"/>
      <c r="O11" s="100" t="s">
        <v>20</v>
      </c>
      <c r="P11" s="111">
        <v>107.7</v>
      </c>
      <c r="Q11" s="132" t="s">
        <v>21</v>
      </c>
      <c r="R11" s="101">
        <v>64.099999999999994</v>
      </c>
      <c r="S11" s="100" t="s">
        <v>20</v>
      </c>
      <c r="T11" s="101">
        <v>32.6</v>
      </c>
      <c r="U11" s="132" t="s">
        <v>68</v>
      </c>
    </row>
    <row r="12" spans="1:21" ht="86.4" x14ac:dyDescent="0.25">
      <c r="A12" s="102" t="s">
        <v>238</v>
      </c>
      <c r="B12" s="100" t="s">
        <v>218</v>
      </c>
      <c r="C12" s="132" t="s">
        <v>67</v>
      </c>
      <c r="D12" s="101">
        <v>91</v>
      </c>
      <c r="E12" s="101"/>
      <c r="F12" s="101"/>
      <c r="G12" s="132" t="s">
        <v>71</v>
      </c>
      <c r="H12" s="101">
        <v>17.3</v>
      </c>
      <c r="I12" s="101"/>
      <c r="J12" s="101"/>
      <c r="K12" s="102" t="s">
        <v>19</v>
      </c>
      <c r="L12" s="101">
        <v>0</v>
      </c>
      <c r="M12" s="101"/>
      <c r="N12" s="101"/>
      <c r="O12" s="100" t="s">
        <v>20</v>
      </c>
      <c r="P12" s="111">
        <v>108.3</v>
      </c>
      <c r="Q12" s="100" t="s">
        <v>30</v>
      </c>
      <c r="R12" s="111">
        <v>64.3</v>
      </c>
      <c r="S12" s="100" t="s">
        <v>20</v>
      </c>
      <c r="T12" s="101">
        <v>33.299999999999997</v>
      </c>
      <c r="U12" s="132" t="s">
        <v>68</v>
      </c>
    </row>
    <row r="13" spans="1:21" ht="86.4" x14ac:dyDescent="0.25">
      <c r="A13" s="102" t="s">
        <v>241</v>
      </c>
      <c r="B13" s="102" t="s">
        <v>32</v>
      </c>
      <c r="C13" s="132" t="s">
        <v>67</v>
      </c>
      <c r="D13" s="101">
        <v>51.5</v>
      </c>
      <c r="E13" s="101"/>
      <c r="F13" s="101"/>
      <c r="G13" s="132" t="s">
        <v>71</v>
      </c>
      <c r="H13" s="101">
        <v>81.400000000000006</v>
      </c>
      <c r="I13" s="101"/>
      <c r="J13" s="101"/>
      <c r="K13" s="132" t="s">
        <v>71</v>
      </c>
      <c r="L13" s="111">
        <v>43.6</v>
      </c>
      <c r="M13" s="111"/>
      <c r="N13" s="111"/>
      <c r="O13" s="100" t="s">
        <v>20</v>
      </c>
      <c r="P13" s="111">
        <v>176.5</v>
      </c>
      <c r="Q13" s="132" t="s">
        <v>21</v>
      </c>
      <c r="R13" s="101">
        <v>91.5</v>
      </c>
      <c r="S13" s="100" t="s">
        <v>20</v>
      </c>
      <c r="T13" s="101">
        <v>41.9</v>
      </c>
      <c r="U13" s="132" t="s">
        <v>68</v>
      </c>
    </row>
    <row r="14" spans="1:21" ht="86.4" x14ac:dyDescent="0.25">
      <c r="A14" s="102" t="s">
        <v>244</v>
      </c>
      <c r="B14" s="100" t="s">
        <v>102</v>
      </c>
      <c r="C14" s="102" t="s">
        <v>19</v>
      </c>
      <c r="D14" s="101">
        <v>0</v>
      </c>
      <c r="E14" s="101"/>
      <c r="F14" s="101"/>
      <c r="G14" s="102" t="s">
        <v>19</v>
      </c>
      <c r="H14" s="101">
        <v>0</v>
      </c>
      <c r="I14" s="101"/>
      <c r="J14" s="101"/>
      <c r="K14" s="132" t="s">
        <v>74</v>
      </c>
      <c r="L14" s="101">
        <v>36.299999999999997</v>
      </c>
      <c r="M14" s="101"/>
      <c r="N14" s="101"/>
      <c r="O14" s="100" t="s">
        <v>20</v>
      </c>
      <c r="P14" s="101">
        <v>36.299999999999997</v>
      </c>
      <c r="Q14" s="132" t="s">
        <v>21</v>
      </c>
      <c r="R14" s="101">
        <v>5.0999999999999996</v>
      </c>
      <c r="S14" s="100" t="s">
        <v>20</v>
      </c>
      <c r="T14" s="101">
        <v>8.9</v>
      </c>
      <c r="U14" s="132" t="s">
        <v>68</v>
      </c>
    </row>
    <row r="15" spans="1:21" ht="86.4" x14ac:dyDescent="0.25">
      <c r="A15" s="99" t="s">
        <v>215</v>
      </c>
      <c r="B15" s="100" t="s">
        <v>216</v>
      </c>
      <c r="C15" s="132" t="s">
        <v>67</v>
      </c>
      <c r="D15" s="101">
        <v>16</v>
      </c>
      <c r="E15" s="101"/>
      <c r="F15" s="101"/>
      <c r="G15" s="102" t="s">
        <v>19</v>
      </c>
      <c r="H15" s="101">
        <v>0</v>
      </c>
      <c r="I15" s="101"/>
      <c r="J15" s="101"/>
      <c r="K15" s="132" t="s">
        <v>71</v>
      </c>
      <c r="L15" s="101">
        <v>37.5</v>
      </c>
      <c r="M15" s="101"/>
      <c r="N15" s="101"/>
      <c r="O15" s="100" t="s">
        <v>20</v>
      </c>
      <c r="P15" s="111">
        <v>53.5</v>
      </c>
      <c r="Q15" s="132" t="s">
        <v>21</v>
      </c>
      <c r="R15" s="101">
        <v>13.1</v>
      </c>
      <c r="S15" s="100" t="s">
        <v>20</v>
      </c>
      <c r="T15" s="111">
        <v>13.5</v>
      </c>
      <c r="U15" s="132" t="s">
        <v>68</v>
      </c>
    </row>
    <row r="16" spans="1:21" ht="86.4" x14ac:dyDescent="0.25">
      <c r="A16" s="99" t="s">
        <v>219</v>
      </c>
      <c r="B16" s="100" t="s">
        <v>220</v>
      </c>
      <c r="C16" s="132" t="s">
        <v>67</v>
      </c>
      <c r="D16" s="101">
        <v>16.3</v>
      </c>
      <c r="E16" s="101"/>
      <c r="F16" s="101"/>
      <c r="G16" s="132" t="s">
        <v>71</v>
      </c>
      <c r="H16" s="101">
        <v>8</v>
      </c>
      <c r="I16" s="101"/>
      <c r="J16" s="101"/>
      <c r="K16" s="132" t="s">
        <v>71</v>
      </c>
      <c r="L16" s="111">
        <v>54.6</v>
      </c>
      <c r="M16" s="111"/>
      <c r="N16" s="111"/>
      <c r="O16" s="100" t="s">
        <v>20</v>
      </c>
      <c r="P16" s="111">
        <v>78.900000000000006</v>
      </c>
      <c r="Q16" s="132" t="s">
        <v>21</v>
      </c>
      <c r="R16" s="101">
        <v>27</v>
      </c>
      <c r="S16" s="100" t="s">
        <v>20</v>
      </c>
      <c r="T16" s="101">
        <v>21.1</v>
      </c>
      <c r="U16" s="132" t="s">
        <v>68</v>
      </c>
    </row>
    <row r="17" spans="1:21" ht="86.4" x14ac:dyDescent="0.25">
      <c r="A17" s="102" t="s">
        <v>223</v>
      </c>
      <c r="B17" s="100" t="s">
        <v>224</v>
      </c>
      <c r="C17" s="132" t="s">
        <v>94</v>
      </c>
      <c r="D17" s="101">
        <v>1.7</v>
      </c>
      <c r="E17" s="101"/>
      <c r="F17" s="101"/>
      <c r="G17" s="132" t="s">
        <v>74</v>
      </c>
      <c r="H17" s="101">
        <v>10.5</v>
      </c>
      <c r="I17" s="101"/>
      <c r="J17" s="101"/>
      <c r="K17" s="132" t="s">
        <v>74</v>
      </c>
      <c r="L17" s="101">
        <v>41.4</v>
      </c>
      <c r="M17" s="101"/>
      <c r="N17" s="101"/>
      <c r="O17" s="100" t="s">
        <v>20</v>
      </c>
      <c r="P17" s="111">
        <v>53.6</v>
      </c>
      <c r="Q17" s="132" t="s">
        <v>21</v>
      </c>
      <c r="R17" s="101">
        <v>12.7</v>
      </c>
      <c r="S17" s="100" t="s">
        <v>20</v>
      </c>
      <c r="T17" s="111">
        <v>13.4</v>
      </c>
      <c r="U17" s="132" t="s">
        <v>68</v>
      </c>
    </row>
    <row r="18" spans="1:21" ht="86.4" x14ac:dyDescent="0.25">
      <c r="A18" s="102" t="s">
        <v>227</v>
      </c>
      <c r="B18" s="100" t="s">
        <v>228</v>
      </c>
      <c r="C18" s="132" t="s">
        <v>94</v>
      </c>
      <c r="D18" s="101">
        <v>5.5</v>
      </c>
      <c r="E18" s="101"/>
      <c r="F18" s="101"/>
      <c r="G18" s="102" t="s">
        <v>19</v>
      </c>
      <c r="H18" s="101">
        <v>0</v>
      </c>
      <c r="I18" s="101"/>
      <c r="J18" s="101"/>
      <c r="K18" s="132" t="s">
        <v>74</v>
      </c>
      <c r="L18" s="101">
        <v>33.299999999999997</v>
      </c>
      <c r="M18" s="101"/>
      <c r="N18" s="101"/>
      <c r="O18" s="100" t="s">
        <v>20</v>
      </c>
      <c r="P18" s="111">
        <v>38.799999999999997</v>
      </c>
      <c r="Q18" s="132" t="s">
        <v>21</v>
      </c>
      <c r="R18" s="101">
        <v>8.5</v>
      </c>
      <c r="S18" s="100" t="s">
        <v>20</v>
      </c>
      <c r="T18" s="101">
        <v>11.6</v>
      </c>
      <c r="U18" s="132" t="s">
        <v>68</v>
      </c>
    </row>
    <row r="19" spans="1:21" ht="86.4" x14ac:dyDescent="0.25">
      <c r="A19" s="102" t="s">
        <v>230</v>
      </c>
      <c r="B19" s="100" t="s">
        <v>231</v>
      </c>
      <c r="C19" s="132" t="s">
        <v>67</v>
      </c>
      <c r="D19" s="101">
        <v>16.8</v>
      </c>
      <c r="E19" s="101"/>
      <c r="F19" s="101"/>
      <c r="G19" s="132" t="s">
        <v>71</v>
      </c>
      <c r="H19" s="101">
        <v>10.3</v>
      </c>
      <c r="I19" s="101"/>
      <c r="J19" s="101"/>
      <c r="K19" s="132" t="s">
        <v>71</v>
      </c>
      <c r="L19" s="101">
        <v>55.5</v>
      </c>
      <c r="M19" s="101"/>
      <c r="N19" s="101"/>
      <c r="O19" s="100" t="s">
        <v>20</v>
      </c>
      <c r="P19" s="111">
        <v>82.6</v>
      </c>
      <c r="Q19" s="132" t="s">
        <v>21</v>
      </c>
      <c r="R19" s="101">
        <v>28</v>
      </c>
      <c r="S19" s="100" t="s">
        <v>20</v>
      </c>
      <c r="T19" s="111">
        <v>21.6</v>
      </c>
      <c r="U19" s="132" t="s">
        <v>68</v>
      </c>
    </row>
    <row r="20" spans="1:21" ht="86.4" x14ac:dyDescent="0.25">
      <c r="A20" s="102" t="s">
        <v>234</v>
      </c>
      <c r="B20" s="100" t="s">
        <v>100</v>
      </c>
      <c r="C20" s="132" t="s">
        <v>94</v>
      </c>
      <c r="D20" s="101">
        <v>7.8</v>
      </c>
      <c r="E20" s="101"/>
      <c r="F20" s="101"/>
      <c r="G20" s="102" t="s">
        <v>19</v>
      </c>
      <c r="H20" s="101">
        <v>0</v>
      </c>
      <c r="I20" s="101"/>
      <c r="J20" s="101"/>
      <c r="K20" s="132" t="s">
        <v>74</v>
      </c>
      <c r="L20" s="101">
        <v>33.1</v>
      </c>
      <c r="M20" s="101"/>
      <c r="N20" s="101"/>
      <c r="O20" s="100" t="s">
        <v>20</v>
      </c>
      <c r="P20" s="111">
        <v>40.799999999999997</v>
      </c>
      <c r="Q20" s="132" t="s">
        <v>21</v>
      </c>
      <c r="R20" s="101">
        <v>10.7</v>
      </c>
      <c r="S20" s="100" t="s">
        <v>20</v>
      </c>
      <c r="T20" s="111">
        <v>12</v>
      </c>
      <c r="U20" s="132" t="s">
        <v>68</v>
      </c>
    </row>
    <row r="21" spans="1:21" ht="86.4" x14ac:dyDescent="0.25">
      <c r="A21" s="102" t="s">
        <v>236</v>
      </c>
      <c r="B21" s="100" t="s">
        <v>237</v>
      </c>
      <c r="C21" s="132" t="s">
        <v>94</v>
      </c>
      <c r="D21" s="101">
        <v>4.5</v>
      </c>
      <c r="E21" s="101"/>
      <c r="F21" s="101"/>
      <c r="G21" s="132" t="s">
        <v>74</v>
      </c>
      <c r="H21" s="101">
        <v>10.8</v>
      </c>
      <c r="I21" s="101"/>
      <c r="J21" s="101"/>
      <c r="K21" s="132" t="s">
        <v>74</v>
      </c>
      <c r="L21" s="101">
        <v>37.5</v>
      </c>
      <c r="M21" s="101"/>
      <c r="N21" s="101"/>
      <c r="O21" s="100" t="s">
        <v>20</v>
      </c>
      <c r="P21" s="111">
        <v>52.9</v>
      </c>
      <c r="Q21" s="132" t="s">
        <v>21</v>
      </c>
      <c r="R21" s="101">
        <v>11.3</v>
      </c>
      <c r="S21" s="100" t="s">
        <v>20</v>
      </c>
      <c r="T21" s="111">
        <v>13</v>
      </c>
      <c r="U21" s="132" t="s">
        <v>68</v>
      </c>
    </row>
    <row r="22" spans="1:21" ht="86.4" x14ac:dyDescent="0.25">
      <c r="A22" s="102" t="s">
        <v>239</v>
      </c>
      <c r="B22" s="100" t="s">
        <v>240</v>
      </c>
      <c r="C22" s="132" t="s">
        <v>67</v>
      </c>
      <c r="D22" s="101">
        <v>22</v>
      </c>
      <c r="E22" s="101"/>
      <c r="F22" s="101"/>
      <c r="G22" s="132" t="s">
        <v>71</v>
      </c>
      <c r="H22" s="101">
        <v>37</v>
      </c>
      <c r="I22" s="101"/>
      <c r="J22" s="101"/>
      <c r="K22" s="132" t="s">
        <v>71</v>
      </c>
      <c r="L22" s="111">
        <v>24.8</v>
      </c>
      <c r="M22" s="111"/>
      <c r="N22" s="111"/>
      <c r="O22" s="100" t="s">
        <v>20</v>
      </c>
      <c r="P22" s="111">
        <v>83.8</v>
      </c>
      <c r="Q22" s="132" t="s">
        <v>21</v>
      </c>
      <c r="R22" s="101">
        <v>31.5</v>
      </c>
      <c r="S22" s="100" t="s">
        <v>20</v>
      </c>
      <c r="T22" s="111">
        <v>23.6</v>
      </c>
      <c r="U22" s="132" t="s">
        <v>68</v>
      </c>
    </row>
    <row r="23" spans="1:21" ht="86.4" x14ac:dyDescent="0.25">
      <c r="A23" s="102" t="s">
        <v>242</v>
      </c>
      <c r="B23" s="100" t="s">
        <v>243</v>
      </c>
      <c r="C23" s="132" t="s">
        <v>67</v>
      </c>
      <c r="D23" s="111">
        <v>532.70000000000005</v>
      </c>
      <c r="E23" s="111"/>
      <c r="F23" s="111"/>
      <c r="G23" s="132" t="s">
        <v>71</v>
      </c>
      <c r="H23" s="101">
        <v>63.7</v>
      </c>
      <c r="I23" s="101"/>
      <c r="J23" s="101"/>
      <c r="K23" s="102" t="s">
        <v>19</v>
      </c>
      <c r="L23" s="101">
        <v>0</v>
      </c>
      <c r="M23" s="101"/>
      <c r="N23" s="101"/>
      <c r="O23" s="100" t="s">
        <v>20</v>
      </c>
      <c r="P23" s="111">
        <v>596.4</v>
      </c>
      <c r="Q23" s="102" t="s">
        <v>19</v>
      </c>
      <c r="R23" s="111">
        <v>703.2</v>
      </c>
      <c r="S23" s="100" t="s">
        <v>20</v>
      </c>
      <c r="T23" s="111">
        <v>81</v>
      </c>
      <c r="U23" s="132" t="s">
        <v>68</v>
      </c>
    </row>
    <row r="24" spans="1:21" ht="86.4" x14ac:dyDescent="0.25">
      <c r="A24" s="99" t="s">
        <v>245</v>
      </c>
      <c r="B24" s="100" t="s">
        <v>246</v>
      </c>
      <c r="C24" s="132" t="s">
        <v>67</v>
      </c>
      <c r="D24" s="101">
        <v>57.1</v>
      </c>
      <c r="E24" s="101"/>
      <c r="F24" s="101"/>
      <c r="G24" s="102" t="s">
        <v>19</v>
      </c>
      <c r="H24" s="101">
        <v>0</v>
      </c>
      <c r="I24" s="101"/>
      <c r="J24" s="101"/>
      <c r="K24" s="132" t="s">
        <v>71</v>
      </c>
      <c r="L24" s="101">
        <v>50.3</v>
      </c>
      <c r="M24" s="101"/>
      <c r="N24" s="101"/>
      <c r="O24" s="100" t="s">
        <v>20</v>
      </c>
      <c r="P24" s="101">
        <v>107.3</v>
      </c>
      <c r="Q24" s="132" t="s">
        <v>21</v>
      </c>
      <c r="R24" s="101">
        <v>23.7</v>
      </c>
      <c r="S24" s="100" t="s">
        <v>20</v>
      </c>
      <c r="T24" s="101">
        <v>25</v>
      </c>
      <c r="U24" s="132" t="s">
        <v>68</v>
      </c>
    </row>
    <row r="25" spans="1:21" ht="86.4" x14ac:dyDescent="0.25">
      <c r="A25" s="99" t="s">
        <v>248</v>
      </c>
      <c r="B25" s="132" t="s">
        <v>249</v>
      </c>
      <c r="C25" s="132" t="s">
        <v>67</v>
      </c>
      <c r="D25" s="101">
        <v>21.2</v>
      </c>
      <c r="E25" s="101"/>
      <c r="F25" s="101"/>
      <c r="G25" s="132" t="s">
        <v>71</v>
      </c>
      <c r="H25" s="101">
        <v>17.8</v>
      </c>
      <c r="I25" s="101"/>
      <c r="J25" s="101"/>
      <c r="K25" s="132" t="s">
        <v>71</v>
      </c>
      <c r="L25" s="101">
        <v>12.8</v>
      </c>
      <c r="M25" s="101"/>
      <c r="N25" s="101"/>
      <c r="O25" s="100" t="s">
        <v>20</v>
      </c>
      <c r="P25" s="101">
        <v>51.7</v>
      </c>
      <c r="Q25" s="110" t="s">
        <v>30</v>
      </c>
      <c r="R25" s="101">
        <v>14</v>
      </c>
      <c r="S25" s="100" t="s">
        <v>20</v>
      </c>
      <c r="T25" s="101">
        <v>14</v>
      </c>
      <c r="U25" s="132" t="s">
        <v>68</v>
      </c>
    </row>
    <row r="26" spans="1:21" ht="86.4" x14ac:dyDescent="0.25">
      <c r="A26" s="102" t="s">
        <v>251</v>
      </c>
      <c r="B26" s="100" t="s">
        <v>98</v>
      </c>
      <c r="C26" s="132" t="s">
        <v>94</v>
      </c>
      <c r="D26" s="101">
        <v>13.7</v>
      </c>
      <c r="E26" s="101"/>
      <c r="F26" s="101"/>
      <c r="G26" s="132" t="s">
        <v>74</v>
      </c>
      <c r="H26" s="101">
        <v>16.3</v>
      </c>
      <c r="I26" s="101"/>
      <c r="J26" s="101"/>
      <c r="K26" s="132" t="s">
        <v>74</v>
      </c>
      <c r="L26" s="101">
        <v>6.7</v>
      </c>
      <c r="M26" s="101"/>
      <c r="N26" s="101"/>
      <c r="O26" s="100" t="s">
        <v>20</v>
      </c>
      <c r="P26" s="101">
        <v>36.700000000000003</v>
      </c>
      <c r="Q26" s="132" t="s">
        <v>21</v>
      </c>
      <c r="R26" s="101">
        <v>5.4</v>
      </c>
      <c r="S26" s="100" t="s">
        <v>20</v>
      </c>
      <c r="T26" s="101">
        <v>8.9</v>
      </c>
      <c r="U26" s="132" t="s">
        <v>68</v>
      </c>
    </row>
    <row r="27" spans="1:21" ht="86.4" x14ac:dyDescent="0.25">
      <c r="A27" s="102" t="s">
        <v>255</v>
      </c>
      <c r="B27" s="100" t="s">
        <v>102</v>
      </c>
      <c r="C27" s="132" t="s">
        <v>94</v>
      </c>
      <c r="D27" s="101">
        <v>8.8000000000000007</v>
      </c>
      <c r="E27" s="101"/>
      <c r="F27" s="101"/>
      <c r="G27" s="132" t="s">
        <v>74</v>
      </c>
      <c r="H27" s="101">
        <v>15</v>
      </c>
      <c r="I27" s="101"/>
      <c r="J27" s="101"/>
      <c r="K27" s="132" t="s">
        <v>74</v>
      </c>
      <c r="L27" s="101">
        <v>27.8</v>
      </c>
      <c r="M27" s="101"/>
      <c r="N27" s="101"/>
      <c r="O27" s="100" t="s">
        <v>20</v>
      </c>
      <c r="P27" s="101">
        <v>51.6</v>
      </c>
      <c r="Q27" s="132" t="s">
        <v>21</v>
      </c>
      <c r="R27" s="101">
        <v>9.8000000000000007</v>
      </c>
      <c r="S27" s="100" t="s">
        <v>20</v>
      </c>
      <c r="T27" s="101">
        <v>12.7</v>
      </c>
      <c r="U27" s="132" t="s">
        <v>68</v>
      </c>
    </row>
    <row r="28" spans="1:21" ht="86.4" x14ac:dyDescent="0.25">
      <c r="A28" s="102" t="s">
        <v>257</v>
      </c>
      <c r="B28" s="100" t="s">
        <v>100</v>
      </c>
      <c r="C28" s="132" t="s">
        <v>94</v>
      </c>
      <c r="D28" s="111">
        <v>49.7</v>
      </c>
      <c r="E28" s="111"/>
      <c r="F28" s="111"/>
      <c r="G28" s="102" t="s">
        <v>19</v>
      </c>
      <c r="H28" s="101">
        <v>0</v>
      </c>
      <c r="I28" s="101"/>
      <c r="J28" s="101"/>
      <c r="K28" s="132" t="s">
        <v>74</v>
      </c>
      <c r="L28" s="101">
        <v>29.9</v>
      </c>
      <c r="M28" s="101"/>
      <c r="N28" s="101"/>
      <c r="O28" s="100" t="s">
        <v>20</v>
      </c>
      <c r="P28" s="101">
        <v>79.599999999999994</v>
      </c>
      <c r="Q28" s="132" t="s">
        <v>21</v>
      </c>
      <c r="R28" s="101">
        <v>15.8</v>
      </c>
      <c r="S28" s="100" t="s">
        <v>20</v>
      </c>
      <c r="T28" s="101">
        <v>20.3</v>
      </c>
      <c r="U28" s="132" t="s">
        <v>68</v>
      </c>
    </row>
    <row r="29" spans="1:21" ht="86.4" x14ac:dyDescent="0.25">
      <c r="A29" s="102" t="s">
        <v>259</v>
      </c>
      <c r="B29" s="100" t="s">
        <v>107</v>
      </c>
      <c r="C29" s="132" t="s">
        <v>94</v>
      </c>
      <c r="D29" s="111">
        <v>49.3</v>
      </c>
      <c r="E29" s="111"/>
      <c r="F29" s="111"/>
      <c r="G29" s="102" t="s">
        <v>19</v>
      </c>
      <c r="H29" s="101">
        <v>0</v>
      </c>
      <c r="I29" s="101"/>
      <c r="J29" s="101"/>
      <c r="K29" s="132" t="s">
        <v>74</v>
      </c>
      <c r="L29" s="101">
        <v>30</v>
      </c>
      <c r="M29" s="101"/>
      <c r="N29" s="101"/>
      <c r="O29" s="100" t="s">
        <v>20</v>
      </c>
      <c r="P29" s="101">
        <v>79.3</v>
      </c>
      <c r="Q29" s="132" t="s">
        <v>21</v>
      </c>
      <c r="R29" s="101">
        <v>15.8</v>
      </c>
      <c r="S29" s="100" t="s">
        <v>20</v>
      </c>
      <c r="T29" s="101">
        <v>20.2</v>
      </c>
      <c r="U29" s="132" t="s">
        <v>68</v>
      </c>
    </row>
    <row r="30" spans="1:21" ht="86.4" x14ac:dyDescent="0.25">
      <c r="A30" s="99" t="s">
        <v>261</v>
      </c>
      <c r="B30" s="100" t="s">
        <v>81</v>
      </c>
      <c r="C30" s="132" t="s">
        <v>94</v>
      </c>
      <c r="D30" s="101">
        <v>7.1</v>
      </c>
      <c r="E30" s="101"/>
      <c r="F30" s="101"/>
      <c r="G30" s="102" t="s">
        <v>19</v>
      </c>
      <c r="H30" s="101">
        <v>0</v>
      </c>
      <c r="I30" s="101"/>
      <c r="J30" s="101"/>
      <c r="K30" s="132" t="s">
        <v>74</v>
      </c>
      <c r="L30" s="101">
        <v>27.3</v>
      </c>
      <c r="M30" s="101"/>
      <c r="N30" s="101"/>
      <c r="O30" s="100" t="s">
        <v>20</v>
      </c>
      <c r="P30" s="101">
        <v>34.4</v>
      </c>
      <c r="Q30" s="132" t="s">
        <v>21</v>
      </c>
      <c r="R30" s="101">
        <v>5.4</v>
      </c>
      <c r="S30" s="100" t="s">
        <v>20</v>
      </c>
      <c r="T30" s="101">
        <v>8.1999999999999993</v>
      </c>
      <c r="U30" s="132" t="s">
        <v>68</v>
      </c>
    </row>
    <row r="31" spans="1:21" ht="86.4" x14ac:dyDescent="0.25">
      <c r="A31" s="99" t="s">
        <v>262</v>
      </c>
      <c r="B31" s="99" t="s">
        <v>32</v>
      </c>
      <c r="C31" s="132" t="s">
        <v>67</v>
      </c>
      <c r="D31" s="101">
        <v>16.3</v>
      </c>
      <c r="E31" s="113"/>
      <c r="F31" s="113"/>
      <c r="G31" s="132" t="s">
        <v>71</v>
      </c>
      <c r="H31" s="101">
        <v>30.6</v>
      </c>
      <c r="I31" s="113"/>
      <c r="J31" s="113"/>
      <c r="K31" s="99" t="s">
        <v>19</v>
      </c>
      <c r="L31" s="101">
        <v>0</v>
      </c>
      <c r="M31" s="113"/>
      <c r="N31" s="113"/>
      <c r="O31" s="110" t="s">
        <v>20</v>
      </c>
      <c r="P31" s="101">
        <v>46.9</v>
      </c>
      <c r="Q31" s="132" t="s">
        <v>21</v>
      </c>
      <c r="R31" s="101">
        <v>19.100000000000001</v>
      </c>
      <c r="S31" s="110" t="s">
        <v>20</v>
      </c>
      <c r="T31" s="101">
        <v>4.7</v>
      </c>
      <c r="U31" s="132" t="s">
        <v>68</v>
      </c>
    </row>
    <row r="32" spans="1:21" ht="86.4" x14ac:dyDescent="0.25">
      <c r="A32" s="102" t="s">
        <v>264</v>
      </c>
      <c r="B32" s="102" t="s">
        <v>265</v>
      </c>
      <c r="C32" s="132" t="s">
        <v>67</v>
      </c>
      <c r="D32" s="111">
        <v>164.1</v>
      </c>
      <c r="E32" s="111"/>
      <c r="F32" s="111"/>
      <c r="G32" s="132" t="s">
        <v>71</v>
      </c>
      <c r="H32" s="101">
        <v>85.3</v>
      </c>
      <c r="I32" s="101"/>
      <c r="J32" s="101"/>
      <c r="K32" s="132" t="s">
        <v>71</v>
      </c>
      <c r="L32" s="111">
        <v>42.8</v>
      </c>
      <c r="M32" s="111"/>
      <c r="N32" s="111"/>
      <c r="O32" s="100" t="s">
        <v>20</v>
      </c>
      <c r="P32" s="111">
        <v>292.2</v>
      </c>
      <c r="Q32" s="132" t="s">
        <v>21</v>
      </c>
      <c r="R32" s="111">
        <v>377.8</v>
      </c>
      <c r="S32" s="100" t="s">
        <v>20</v>
      </c>
      <c r="T32" s="101">
        <v>70.5</v>
      </c>
      <c r="U32" s="132" t="s">
        <v>68</v>
      </c>
    </row>
    <row r="33" spans="1:21" ht="86.4" x14ac:dyDescent="0.25">
      <c r="A33" s="99" t="s">
        <v>247</v>
      </c>
      <c r="B33" s="102" t="s">
        <v>32</v>
      </c>
      <c r="C33" s="132" t="s">
        <v>67</v>
      </c>
      <c r="D33" s="101">
        <v>138.9</v>
      </c>
      <c r="E33" s="101"/>
      <c r="F33" s="101"/>
      <c r="G33" s="132" t="s">
        <v>71</v>
      </c>
      <c r="H33" s="101">
        <v>123.1</v>
      </c>
      <c r="I33" s="101"/>
      <c r="J33" s="101"/>
      <c r="K33" s="132" t="s">
        <v>71</v>
      </c>
      <c r="L33" s="101">
        <v>6.7</v>
      </c>
      <c r="M33" s="101"/>
      <c r="N33" s="101"/>
      <c r="O33" s="100" t="s">
        <v>20</v>
      </c>
      <c r="P33" s="111">
        <v>268.7</v>
      </c>
      <c r="Q33" s="132" t="s">
        <v>21</v>
      </c>
      <c r="R33" s="101">
        <v>115.5</v>
      </c>
      <c r="S33" s="100" t="s">
        <v>20</v>
      </c>
      <c r="T33" s="111">
        <v>52.7</v>
      </c>
      <c r="U33" s="132" t="s">
        <v>68</v>
      </c>
    </row>
    <row r="34" spans="1:21" ht="86.4" x14ac:dyDescent="0.25">
      <c r="A34" s="99" t="s">
        <v>250</v>
      </c>
      <c r="B34" s="100" t="s">
        <v>126</v>
      </c>
      <c r="C34" s="132" t="s">
        <v>67</v>
      </c>
      <c r="D34" s="101">
        <v>78.7</v>
      </c>
      <c r="E34" s="101"/>
      <c r="F34" s="101"/>
      <c r="G34" s="102" t="s">
        <v>19</v>
      </c>
      <c r="H34" s="101">
        <v>0</v>
      </c>
      <c r="I34" s="101"/>
      <c r="J34" s="101"/>
      <c r="K34" s="102" t="s">
        <v>19</v>
      </c>
      <c r="L34" s="101">
        <v>0</v>
      </c>
      <c r="M34" s="101"/>
      <c r="N34" s="101"/>
      <c r="O34" s="100" t="s">
        <v>20</v>
      </c>
      <c r="P34" s="111">
        <v>78.7</v>
      </c>
      <c r="Q34" s="132" t="s">
        <v>21</v>
      </c>
      <c r="R34" s="101">
        <v>13.5</v>
      </c>
      <c r="S34" s="100" t="s">
        <v>20</v>
      </c>
      <c r="T34" s="111">
        <v>20.5</v>
      </c>
      <c r="U34" s="132" t="s">
        <v>68</v>
      </c>
    </row>
    <row r="35" spans="1:21" ht="86.4" x14ac:dyDescent="0.25">
      <c r="A35" s="99" t="s">
        <v>252</v>
      </c>
      <c r="B35" s="100" t="s">
        <v>128</v>
      </c>
      <c r="C35" s="132" t="s">
        <v>67</v>
      </c>
      <c r="D35" s="101">
        <v>84</v>
      </c>
      <c r="E35" s="101"/>
      <c r="F35" s="101"/>
      <c r="G35" s="102" t="s">
        <v>19</v>
      </c>
      <c r="H35" s="101">
        <v>0</v>
      </c>
      <c r="I35" s="101"/>
      <c r="J35" s="101"/>
      <c r="K35" s="102" t="s">
        <v>19</v>
      </c>
      <c r="L35" s="101">
        <v>0</v>
      </c>
      <c r="M35" s="101"/>
      <c r="N35" s="101"/>
      <c r="O35" s="100" t="s">
        <v>20</v>
      </c>
      <c r="P35" s="111">
        <v>84</v>
      </c>
      <c r="Q35" s="132" t="s">
        <v>21</v>
      </c>
      <c r="R35" s="101">
        <v>27.9</v>
      </c>
      <c r="S35" s="100" t="s">
        <v>20</v>
      </c>
      <c r="T35" s="111">
        <v>21.7</v>
      </c>
      <c r="U35" s="132" t="s">
        <v>68</v>
      </c>
    </row>
    <row r="36" spans="1:21" ht="86.4" x14ac:dyDescent="0.25">
      <c r="A36" s="102" t="s">
        <v>253</v>
      </c>
      <c r="B36" s="100" t="s">
        <v>254</v>
      </c>
      <c r="C36" s="132" t="s">
        <v>67</v>
      </c>
      <c r="D36" s="101">
        <v>33.5</v>
      </c>
      <c r="E36" s="101"/>
      <c r="F36" s="101"/>
      <c r="G36" s="132" t="s">
        <v>71</v>
      </c>
      <c r="H36" s="101">
        <v>20.9</v>
      </c>
      <c r="I36" s="101"/>
      <c r="J36" s="101"/>
      <c r="K36" s="102" t="s">
        <v>19</v>
      </c>
      <c r="L36" s="101">
        <v>0</v>
      </c>
      <c r="M36" s="101"/>
      <c r="N36" s="101"/>
      <c r="O36" s="100" t="s">
        <v>20</v>
      </c>
      <c r="P36" s="111">
        <v>54.3</v>
      </c>
      <c r="Q36" s="100" t="s">
        <v>30</v>
      </c>
      <c r="R36" s="101">
        <v>25.9</v>
      </c>
      <c r="S36" s="100" t="s">
        <v>20</v>
      </c>
      <c r="T36" s="111">
        <v>14.5</v>
      </c>
      <c r="U36" s="132" t="s">
        <v>68</v>
      </c>
    </row>
    <row r="37" spans="1:21" ht="86.4" x14ac:dyDescent="0.25">
      <c r="A37" s="102" t="s">
        <v>256</v>
      </c>
      <c r="B37" s="100" t="s">
        <v>130</v>
      </c>
      <c r="C37" s="132" t="s">
        <v>67</v>
      </c>
      <c r="D37" s="101">
        <v>82.1</v>
      </c>
      <c r="E37" s="101"/>
      <c r="F37" s="101"/>
      <c r="G37" s="102" t="s">
        <v>19</v>
      </c>
      <c r="H37" s="101">
        <v>0</v>
      </c>
      <c r="I37" s="101"/>
      <c r="J37" s="101"/>
      <c r="K37" s="102" t="s">
        <v>19</v>
      </c>
      <c r="L37" s="101">
        <v>0</v>
      </c>
      <c r="M37" s="101"/>
      <c r="N37" s="101"/>
      <c r="O37" s="100" t="s">
        <v>20</v>
      </c>
      <c r="P37" s="101">
        <v>82.1</v>
      </c>
      <c r="Q37" s="132" t="s">
        <v>21</v>
      </c>
      <c r="R37" s="101">
        <v>13.6</v>
      </c>
      <c r="S37" s="100" t="s">
        <v>20</v>
      </c>
      <c r="T37" s="111">
        <v>20.5</v>
      </c>
      <c r="U37" s="132" t="s">
        <v>68</v>
      </c>
    </row>
    <row r="38" spans="1:21" ht="86.4" x14ac:dyDescent="0.25">
      <c r="A38" s="102" t="s">
        <v>258</v>
      </c>
      <c r="B38" s="100" t="s">
        <v>132</v>
      </c>
      <c r="C38" s="132" t="s">
        <v>67</v>
      </c>
      <c r="D38" s="101">
        <v>85.1</v>
      </c>
      <c r="E38" s="101"/>
      <c r="F38" s="101"/>
      <c r="G38" s="102" t="s">
        <v>19</v>
      </c>
      <c r="H38" s="101">
        <v>0</v>
      </c>
      <c r="I38" s="101"/>
      <c r="J38" s="101"/>
      <c r="K38" s="132" t="s">
        <v>71</v>
      </c>
      <c r="L38" s="101">
        <v>13.5</v>
      </c>
      <c r="M38" s="101"/>
      <c r="N38" s="101"/>
      <c r="O38" s="100" t="s">
        <v>20</v>
      </c>
      <c r="P38" s="111">
        <v>98.7</v>
      </c>
      <c r="Q38" s="132" t="s">
        <v>21</v>
      </c>
      <c r="R38" s="111">
        <v>23.4</v>
      </c>
      <c r="S38" s="100" t="s">
        <v>20</v>
      </c>
      <c r="T38" s="111">
        <v>24.8</v>
      </c>
      <c r="U38" s="132" t="s">
        <v>68</v>
      </c>
    </row>
    <row r="39" spans="1:21" ht="187.2" x14ac:dyDescent="0.25">
      <c r="A39" s="102" t="s">
        <v>260</v>
      </c>
      <c r="B39" s="102" t="s">
        <v>159</v>
      </c>
      <c r="C39" s="132" t="s">
        <v>94</v>
      </c>
      <c r="D39" s="101">
        <v>10.8</v>
      </c>
      <c r="E39" s="101"/>
      <c r="F39" s="101"/>
      <c r="G39" s="132" t="s">
        <v>74</v>
      </c>
      <c r="H39" s="101">
        <v>15.6</v>
      </c>
      <c r="I39" s="101"/>
      <c r="J39" s="101"/>
      <c r="K39" s="132" t="s">
        <v>74</v>
      </c>
      <c r="L39" s="101">
        <v>21.3</v>
      </c>
      <c r="M39" s="101"/>
      <c r="N39" s="101"/>
      <c r="O39" s="100" t="s">
        <v>20</v>
      </c>
      <c r="P39" s="111">
        <v>47.6</v>
      </c>
      <c r="Q39" s="132" t="s">
        <v>210</v>
      </c>
      <c r="R39" s="101">
        <v>8.3000000000000007</v>
      </c>
      <c r="S39" s="100" t="s">
        <v>20</v>
      </c>
      <c r="T39" s="111">
        <v>10.8</v>
      </c>
      <c r="U39" s="132" t="s">
        <v>68</v>
      </c>
    </row>
    <row r="40" spans="1:21" ht="115.2" x14ac:dyDescent="0.25">
      <c r="A40" s="102" t="s">
        <v>263</v>
      </c>
      <c r="B40" s="100" t="s">
        <v>187</v>
      </c>
      <c r="C40" s="132" t="s">
        <v>17</v>
      </c>
      <c r="D40" s="111">
        <v>43.8</v>
      </c>
      <c r="E40" s="111"/>
      <c r="F40" s="111"/>
      <c r="G40" s="132" t="s">
        <v>18</v>
      </c>
      <c r="H40" s="101">
        <v>6.3</v>
      </c>
      <c r="I40" s="101"/>
      <c r="J40" s="101"/>
      <c r="K40" s="132" t="s">
        <v>18</v>
      </c>
      <c r="L40" s="101">
        <v>33.799999999999997</v>
      </c>
      <c r="M40" s="101"/>
      <c r="N40" s="101"/>
      <c r="O40" s="100" t="s">
        <v>20</v>
      </c>
      <c r="P40" s="111">
        <v>83.9</v>
      </c>
      <c r="Q40" s="100" t="s">
        <v>178</v>
      </c>
      <c r="R40" s="101">
        <v>21.6</v>
      </c>
      <c r="S40" s="100" t="s">
        <v>20</v>
      </c>
      <c r="T40" s="111">
        <v>20.3</v>
      </c>
      <c r="U40" s="102" t="s">
        <v>19</v>
      </c>
    </row>
    <row r="41" spans="1:21" ht="115.2" x14ac:dyDescent="0.25">
      <c r="A41" s="17" t="s">
        <v>266</v>
      </c>
      <c r="B41" s="17" t="s">
        <v>189</v>
      </c>
      <c r="C41" s="127" t="s">
        <v>17</v>
      </c>
      <c r="D41" s="121">
        <v>0.1</v>
      </c>
      <c r="E41" s="121"/>
      <c r="F41" s="121"/>
      <c r="G41" s="127" t="s">
        <v>18</v>
      </c>
      <c r="H41" s="121">
        <v>5.0999999999999996</v>
      </c>
      <c r="I41" s="121"/>
      <c r="J41" s="121"/>
      <c r="K41" s="127" t="s">
        <v>18</v>
      </c>
      <c r="L41" s="122">
        <v>34.5</v>
      </c>
      <c r="M41" s="122"/>
      <c r="N41" s="122"/>
      <c r="O41" s="22" t="s">
        <v>20</v>
      </c>
      <c r="P41" s="121">
        <v>39.700000000000003</v>
      </c>
      <c r="Q41" s="22" t="s">
        <v>178</v>
      </c>
      <c r="R41" s="121">
        <v>6.7</v>
      </c>
      <c r="S41" s="22" t="s">
        <v>20</v>
      </c>
      <c r="T41" s="121">
        <v>9</v>
      </c>
      <c r="U41" s="127" t="s">
        <v>190</v>
      </c>
    </row>
    <row r="42" spans="1:21" ht="86.4" x14ac:dyDescent="0.25">
      <c r="A42" s="7" t="s">
        <v>270</v>
      </c>
      <c r="B42" s="8" t="s">
        <v>192</v>
      </c>
      <c r="C42" s="3" t="s">
        <v>94</v>
      </c>
      <c r="D42" s="9">
        <v>8.5</v>
      </c>
      <c r="E42" s="9"/>
      <c r="F42" s="82"/>
      <c r="G42" s="102" t="s">
        <v>19</v>
      </c>
      <c r="H42" s="101">
        <v>0</v>
      </c>
      <c r="I42" s="101"/>
      <c r="J42" s="101"/>
      <c r="K42" s="132" t="s">
        <v>74</v>
      </c>
      <c r="L42" s="101">
        <v>79.2</v>
      </c>
      <c r="M42" s="101"/>
      <c r="N42" s="101"/>
      <c r="O42" s="100" t="s">
        <v>20</v>
      </c>
      <c r="P42" s="101">
        <v>87.8</v>
      </c>
      <c r="Q42" s="100" t="s">
        <v>178</v>
      </c>
      <c r="R42" s="101">
        <v>29.6</v>
      </c>
      <c r="S42" s="100" t="s">
        <v>20</v>
      </c>
      <c r="T42" s="101">
        <v>21.7</v>
      </c>
      <c r="U42" s="132" t="s">
        <v>68</v>
      </c>
    </row>
    <row r="43" spans="1:21" ht="115.2" x14ac:dyDescent="0.25">
      <c r="A43" s="7" t="s">
        <v>271</v>
      </c>
      <c r="B43" s="10" t="s">
        <v>194</v>
      </c>
      <c r="C43" s="3" t="s">
        <v>17</v>
      </c>
      <c r="D43" s="9">
        <v>46.6</v>
      </c>
      <c r="E43" s="9"/>
      <c r="F43" s="82"/>
      <c r="G43" s="102" t="s">
        <v>19</v>
      </c>
      <c r="H43" s="101">
        <v>0</v>
      </c>
      <c r="I43" s="101"/>
      <c r="J43" s="101"/>
      <c r="K43" s="132" t="s">
        <v>18</v>
      </c>
      <c r="L43" s="101">
        <v>34.299999999999997</v>
      </c>
      <c r="M43" s="101"/>
      <c r="N43" s="101"/>
      <c r="O43" s="100" t="s">
        <v>20</v>
      </c>
      <c r="P43" s="101">
        <v>80.900000000000006</v>
      </c>
      <c r="Q43" s="100" t="s">
        <v>178</v>
      </c>
      <c r="R43" s="101">
        <v>51.3</v>
      </c>
      <c r="S43" s="100" t="s">
        <v>20</v>
      </c>
      <c r="T43" s="101">
        <v>23.6</v>
      </c>
      <c r="U43" s="102" t="s">
        <v>19</v>
      </c>
    </row>
    <row r="44" spans="1:21" ht="115.2" x14ac:dyDescent="0.25">
      <c r="A44" s="7" t="s">
        <v>274</v>
      </c>
      <c r="B44" s="10" t="s">
        <v>196</v>
      </c>
      <c r="C44" s="3" t="s">
        <v>17</v>
      </c>
      <c r="D44" s="9">
        <v>43.2</v>
      </c>
      <c r="E44" s="9"/>
      <c r="F44" s="82"/>
      <c r="G44" s="132" t="s">
        <v>18</v>
      </c>
      <c r="H44" s="101">
        <v>27.9</v>
      </c>
      <c r="I44" s="101"/>
      <c r="J44" s="101"/>
      <c r="K44" s="132" t="s">
        <v>18</v>
      </c>
      <c r="L44" s="101">
        <v>19.8</v>
      </c>
      <c r="M44" s="101"/>
      <c r="N44" s="101"/>
      <c r="O44" s="100" t="s">
        <v>20</v>
      </c>
      <c r="P44" s="101">
        <v>90.9</v>
      </c>
      <c r="Q44" s="100" t="s">
        <v>178</v>
      </c>
      <c r="R44" s="101">
        <v>56.6</v>
      </c>
      <c r="S44" s="100" t="s">
        <v>20</v>
      </c>
      <c r="T44" s="101">
        <v>25</v>
      </c>
      <c r="U44" s="102" t="s">
        <v>19</v>
      </c>
    </row>
    <row r="45" spans="1:21" ht="115.2" x14ac:dyDescent="0.25">
      <c r="A45" s="7" t="s">
        <v>277</v>
      </c>
      <c r="B45" s="8" t="s">
        <v>187</v>
      </c>
      <c r="C45" s="3" t="s">
        <v>17</v>
      </c>
      <c r="D45" s="9">
        <v>33.700000000000003</v>
      </c>
      <c r="E45" s="9"/>
      <c r="F45" s="82"/>
      <c r="G45" s="132" t="s">
        <v>18</v>
      </c>
      <c r="H45" s="101">
        <v>14.4</v>
      </c>
      <c r="I45" s="101"/>
      <c r="J45" s="101"/>
      <c r="K45" s="132" t="s">
        <v>18</v>
      </c>
      <c r="L45" s="101">
        <v>33.799999999999997</v>
      </c>
      <c r="M45" s="101"/>
      <c r="N45" s="101"/>
      <c r="O45" s="100" t="s">
        <v>20</v>
      </c>
      <c r="P45" s="101">
        <v>81.8</v>
      </c>
      <c r="Q45" s="100" t="s">
        <v>178</v>
      </c>
      <c r="R45" s="101">
        <v>21.5</v>
      </c>
      <c r="S45" s="100" t="s">
        <v>20</v>
      </c>
      <c r="T45" s="101">
        <v>20.3</v>
      </c>
      <c r="U45" s="102" t="s">
        <v>19</v>
      </c>
    </row>
    <row r="46" spans="1:21" ht="115.2" x14ac:dyDescent="0.25">
      <c r="A46" s="7" t="s">
        <v>280</v>
      </c>
      <c r="B46" s="10" t="s">
        <v>189</v>
      </c>
      <c r="C46" s="3" t="s">
        <v>17</v>
      </c>
      <c r="D46" s="9">
        <v>0.1</v>
      </c>
      <c r="E46" s="9"/>
      <c r="F46" s="82"/>
      <c r="G46" s="132" t="s">
        <v>18</v>
      </c>
      <c r="H46" s="101">
        <v>5.0999999999999996</v>
      </c>
      <c r="I46" s="101"/>
      <c r="J46" s="101"/>
      <c r="K46" s="132" t="s">
        <v>18</v>
      </c>
      <c r="L46" s="101">
        <v>34.5</v>
      </c>
      <c r="M46" s="101"/>
      <c r="N46" s="101"/>
      <c r="O46" s="100" t="s">
        <v>20</v>
      </c>
      <c r="P46" s="101">
        <v>39.700000000000003</v>
      </c>
      <c r="Q46" s="100" t="s">
        <v>178</v>
      </c>
      <c r="R46" s="101">
        <v>6.7</v>
      </c>
      <c r="S46" s="100" t="s">
        <v>20</v>
      </c>
      <c r="T46" s="101">
        <v>9</v>
      </c>
      <c r="U46" s="132" t="s">
        <v>190</v>
      </c>
    </row>
    <row r="47" spans="1:21" ht="115.2" x14ac:dyDescent="0.25">
      <c r="A47" s="57" t="s">
        <v>281</v>
      </c>
      <c r="B47" s="124" t="s">
        <v>194</v>
      </c>
      <c r="C47" s="127" t="s">
        <v>17</v>
      </c>
      <c r="D47" s="126">
        <v>46.6</v>
      </c>
      <c r="E47" s="126"/>
      <c r="F47" s="66"/>
      <c r="G47" s="112" t="s">
        <v>19</v>
      </c>
      <c r="H47" s="113">
        <v>0</v>
      </c>
      <c r="I47" s="113"/>
      <c r="J47" s="113"/>
      <c r="K47" s="132" t="s">
        <v>18</v>
      </c>
      <c r="L47" s="113">
        <v>34.299999999999997</v>
      </c>
      <c r="M47" s="113"/>
      <c r="N47" s="113"/>
      <c r="O47" s="132" t="s">
        <v>20</v>
      </c>
      <c r="P47" s="113">
        <v>80.8</v>
      </c>
      <c r="Q47" s="132" t="s">
        <v>178</v>
      </c>
      <c r="R47" s="113">
        <v>51.3</v>
      </c>
      <c r="S47" s="132" t="s">
        <v>20</v>
      </c>
      <c r="T47" s="113">
        <v>23.6</v>
      </c>
      <c r="U47" s="112" t="s">
        <v>19</v>
      </c>
    </row>
    <row r="48" spans="1:21" ht="115.2" x14ac:dyDescent="0.25">
      <c r="A48" s="124" t="s">
        <v>282</v>
      </c>
      <c r="B48" s="124" t="s">
        <v>196</v>
      </c>
      <c r="C48" s="127" t="s">
        <v>17</v>
      </c>
      <c r="D48" s="126">
        <v>59.5</v>
      </c>
      <c r="E48" s="126"/>
      <c r="F48" s="66"/>
      <c r="G48" s="132" t="s">
        <v>18</v>
      </c>
      <c r="H48" s="113">
        <v>7.5</v>
      </c>
      <c r="I48" s="113"/>
      <c r="J48" s="113"/>
      <c r="K48" s="132" t="s">
        <v>18</v>
      </c>
      <c r="L48" s="113">
        <v>19.8</v>
      </c>
      <c r="M48" s="113"/>
      <c r="N48" s="113"/>
      <c r="O48" s="132" t="s">
        <v>20</v>
      </c>
      <c r="P48" s="113">
        <v>86.8</v>
      </c>
      <c r="Q48" s="132" t="s">
        <v>178</v>
      </c>
      <c r="R48" s="113">
        <v>56.3</v>
      </c>
      <c r="S48" s="132" t="s">
        <v>20</v>
      </c>
      <c r="T48" s="114">
        <v>24.9</v>
      </c>
      <c r="U48" s="112" t="s">
        <v>19</v>
      </c>
    </row>
    <row r="49" spans="1:21" ht="86.4" x14ac:dyDescent="0.25">
      <c r="A49" s="7" t="s">
        <v>267</v>
      </c>
      <c r="B49" s="8" t="s">
        <v>192</v>
      </c>
      <c r="C49" s="3" t="s">
        <v>94</v>
      </c>
      <c r="D49" s="9">
        <v>8.5</v>
      </c>
      <c r="E49" s="9"/>
      <c r="F49" s="82"/>
      <c r="G49" s="102" t="s">
        <v>19</v>
      </c>
      <c r="H49" s="101">
        <v>0</v>
      </c>
      <c r="I49" s="101"/>
      <c r="J49" s="101"/>
      <c r="K49" s="132" t="s">
        <v>74</v>
      </c>
      <c r="L49" s="101">
        <v>79.2</v>
      </c>
      <c r="M49" s="101"/>
      <c r="N49" s="101"/>
      <c r="O49" s="100" t="s">
        <v>20</v>
      </c>
      <c r="P49" s="111">
        <v>87.7</v>
      </c>
      <c r="Q49" s="100" t="s">
        <v>178</v>
      </c>
      <c r="R49" s="115">
        <v>29.6</v>
      </c>
      <c r="S49" s="100" t="s">
        <v>20</v>
      </c>
      <c r="T49" s="111">
        <v>21.7</v>
      </c>
      <c r="U49" s="132" t="s">
        <v>68</v>
      </c>
    </row>
    <row r="50" spans="1:21" ht="115.2" x14ac:dyDescent="0.25">
      <c r="A50" s="17" t="s">
        <v>268</v>
      </c>
      <c r="B50" s="127" t="s">
        <v>269</v>
      </c>
      <c r="C50" s="127" t="s">
        <v>17</v>
      </c>
      <c r="D50" s="121">
        <v>60.7</v>
      </c>
      <c r="E50" s="121"/>
      <c r="F50" s="87"/>
      <c r="G50" s="132" t="s">
        <v>18</v>
      </c>
      <c r="H50" s="111">
        <v>42.3</v>
      </c>
      <c r="I50" s="111"/>
      <c r="J50" s="111"/>
      <c r="K50" s="132" t="s">
        <v>18</v>
      </c>
      <c r="L50" s="101">
        <v>9.1</v>
      </c>
      <c r="M50" s="101"/>
      <c r="N50" s="101"/>
      <c r="O50" s="100" t="s">
        <v>20</v>
      </c>
      <c r="P50" s="111">
        <v>112.1</v>
      </c>
      <c r="Q50" s="100" t="s">
        <v>178</v>
      </c>
      <c r="R50" s="101">
        <v>81.7</v>
      </c>
      <c r="S50" s="100" t="s">
        <v>20</v>
      </c>
      <c r="T50" s="111">
        <v>31</v>
      </c>
      <c r="U50" s="102" t="s">
        <v>19</v>
      </c>
    </row>
    <row r="51" spans="1:21" ht="115.2" x14ac:dyDescent="0.25">
      <c r="A51" s="7" t="s">
        <v>272</v>
      </c>
      <c r="B51" s="8" t="s">
        <v>273</v>
      </c>
      <c r="C51" s="3" t="s">
        <v>17</v>
      </c>
      <c r="D51" s="9">
        <v>35.4</v>
      </c>
      <c r="E51" s="9"/>
      <c r="F51" s="82"/>
      <c r="G51" s="132" t="s">
        <v>18</v>
      </c>
      <c r="H51" s="101">
        <v>6</v>
      </c>
      <c r="I51" s="101"/>
      <c r="J51" s="101"/>
      <c r="K51" s="102" t="s">
        <v>19</v>
      </c>
      <c r="L51" s="101">
        <v>0</v>
      </c>
      <c r="M51" s="101"/>
      <c r="N51" s="101"/>
      <c r="O51" s="100" t="s">
        <v>20</v>
      </c>
      <c r="P51" s="101">
        <v>41.3</v>
      </c>
      <c r="Q51" s="100" t="s">
        <v>178</v>
      </c>
      <c r="R51" s="116">
        <v>7</v>
      </c>
      <c r="S51" s="100" t="s">
        <v>20</v>
      </c>
      <c r="T51" s="101">
        <v>9.9</v>
      </c>
      <c r="U51" s="102" t="s">
        <v>19</v>
      </c>
    </row>
    <row r="52" spans="1:21" ht="115.2" x14ac:dyDescent="0.25">
      <c r="A52" s="7" t="s">
        <v>275</v>
      </c>
      <c r="B52" s="8" t="s">
        <v>276</v>
      </c>
      <c r="C52" s="3" t="s">
        <v>17</v>
      </c>
      <c r="D52" s="9">
        <v>47.7</v>
      </c>
      <c r="E52" s="9"/>
      <c r="F52" s="82"/>
      <c r="G52" s="132" t="s">
        <v>18</v>
      </c>
      <c r="H52" s="101">
        <v>36.700000000000003</v>
      </c>
      <c r="I52" s="101"/>
      <c r="J52" s="101"/>
      <c r="K52" s="132" t="s">
        <v>18</v>
      </c>
      <c r="L52" s="101">
        <v>17.5</v>
      </c>
      <c r="M52" s="101"/>
      <c r="N52" s="101"/>
      <c r="O52" s="100" t="s">
        <v>20</v>
      </c>
      <c r="P52" s="111">
        <v>102</v>
      </c>
      <c r="Q52" s="100" t="s">
        <v>178</v>
      </c>
      <c r="R52" s="115">
        <v>75.2</v>
      </c>
      <c r="S52" s="100" t="s">
        <v>20</v>
      </c>
      <c r="T52" s="111">
        <v>29.4</v>
      </c>
      <c r="U52" s="102" t="s">
        <v>19</v>
      </c>
    </row>
    <row r="53" spans="1:21" ht="115.2" x14ac:dyDescent="0.25">
      <c r="A53" s="7" t="s">
        <v>278</v>
      </c>
      <c r="B53" s="8" t="s">
        <v>279</v>
      </c>
      <c r="C53" s="3" t="s">
        <v>17</v>
      </c>
      <c r="D53" s="9">
        <v>12.5</v>
      </c>
      <c r="E53" s="9"/>
      <c r="F53" s="82"/>
      <c r="G53" s="132" t="s">
        <v>18</v>
      </c>
      <c r="H53" s="101">
        <v>4.5</v>
      </c>
      <c r="I53" s="101"/>
      <c r="J53" s="101"/>
      <c r="K53" s="132" t="s">
        <v>18</v>
      </c>
      <c r="L53" s="101">
        <v>23.2</v>
      </c>
      <c r="M53" s="101"/>
      <c r="N53" s="101"/>
      <c r="O53" s="100" t="s">
        <v>20</v>
      </c>
      <c r="P53" s="111">
        <v>40.200000000000003</v>
      </c>
      <c r="Q53" s="100" t="s">
        <v>178</v>
      </c>
      <c r="R53" s="116">
        <v>6.2</v>
      </c>
      <c r="S53" s="100" t="s">
        <v>20</v>
      </c>
      <c r="T53" s="101">
        <v>9.6</v>
      </c>
      <c r="U53" s="102" t="s">
        <v>19</v>
      </c>
    </row>
    <row r="54" spans="1:21" ht="187.2" x14ac:dyDescent="0.25">
      <c r="A54" s="7" t="s">
        <v>283</v>
      </c>
      <c r="B54" s="10" t="s">
        <v>32</v>
      </c>
      <c r="C54" s="3" t="s">
        <v>17</v>
      </c>
      <c r="D54" s="9">
        <v>40</v>
      </c>
      <c r="E54" s="3" t="s">
        <v>18</v>
      </c>
      <c r="F54" s="9">
        <v>3.7</v>
      </c>
      <c r="G54" s="3" t="s">
        <v>18</v>
      </c>
      <c r="H54" s="9">
        <v>39.9</v>
      </c>
      <c r="I54" s="9"/>
      <c r="J54" s="9"/>
      <c r="K54" s="3" t="s">
        <v>18</v>
      </c>
      <c r="L54" s="9">
        <v>4.9000000000000004</v>
      </c>
      <c r="M54" s="9"/>
      <c r="N54" s="9"/>
      <c r="O54" s="8" t="s">
        <v>20</v>
      </c>
      <c r="P54" s="9">
        <v>88.6</v>
      </c>
      <c r="Q54" s="8" t="s">
        <v>284</v>
      </c>
      <c r="R54" s="9">
        <v>38.700000000000003</v>
      </c>
      <c r="S54" s="8" t="s">
        <v>20</v>
      </c>
      <c r="T54" s="9">
        <v>14.8</v>
      </c>
      <c r="U54" s="10" t="s">
        <v>19</v>
      </c>
    </row>
    <row r="55" spans="1:21" ht="86.4" x14ac:dyDescent="0.25">
      <c r="A55" s="7" t="s">
        <v>285</v>
      </c>
      <c r="B55" s="8" t="s">
        <v>102</v>
      </c>
      <c r="C55" s="3" t="s">
        <v>94</v>
      </c>
      <c r="D55" s="9">
        <v>7.1</v>
      </c>
      <c r="E55" s="10" t="s">
        <v>19</v>
      </c>
      <c r="F55" s="9">
        <v>0</v>
      </c>
      <c r="G55" s="3" t="s">
        <v>74</v>
      </c>
      <c r="H55" s="9">
        <v>13.2</v>
      </c>
      <c r="I55" s="9"/>
      <c r="J55" s="9"/>
      <c r="K55" s="3" t="s">
        <v>74</v>
      </c>
      <c r="L55" s="9">
        <v>19.5</v>
      </c>
      <c r="M55" s="9"/>
      <c r="N55" s="9"/>
      <c r="O55" s="8" t="s">
        <v>20</v>
      </c>
      <c r="P55" s="9">
        <v>39.799999999999997</v>
      </c>
      <c r="Q55" s="8" t="s">
        <v>284</v>
      </c>
      <c r="R55" s="9">
        <v>5.8</v>
      </c>
      <c r="S55" s="8" t="s">
        <v>20</v>
      </c>
      <c r="T55" s="9">
        <v>9.6</v>
      </c>
      <c r="U55" s="3" t="s">
        <v>68</v>
      </c>
    </row>
    <row r="56" spans="1:21" ht="115.2" x14ac:dyDescent="0.25">
      <c r="A56" s="7" t="s">
        <v>286</v>
      </c>
      <c r="B56" s="8" t="s">
        <v>287</v>
      </c>
      <c r="C56" s="3" t="s">
        <v>17</v>
      </c>
      <c r="D56" s="9">
        <v>25.2</v>
      </c>
      <c r="E56" s="10" t="s">
        <v>19</v>
      </c>
      <c r="F56" s="9">
        <v>0</v>
      </c>
      <c r="G56" s="10" t="s">
        <v>19</v>
      </c>
      <c r="H56" s="9">
        <v>0</v>
      </c>
      <c r="I56" s="9"/>
      <c r="J56" s="9"/>
      <c r="K56" s="3" t="s">
        <v>18</v>
      </c>
      <c r="L56" s="9">
        <v>13.7</v>
      </c>
      <c r="M56" s="9"/>
      <c r="N56" s="9"/>
      <c r="O56" s="8" t="s">
        <v>20</v>
      </c>
      <c r="P56" s="9">
        <v>38.9</v>
      </c>
      <c r="Q56" s="8" t="s">
        <v>284</v>
      </c>
      <c r="R56" s="9">
        <v>6.2</v>
      </c>
      <c r="S56" s="8" t="s">
        <v>20</v>
      </c>
      <c r="T56" s="9">
        <v>9.5</v>
      </c>
      <c r="U56" s="10" t="s">
        <v>19</v>
      </c>
    </row>
    <row r="57" spans="1:21" ht="172.8" x14ac:dyDescent="0.25">
      <c r="A57" s="7" t="s">
        <v>288</v>
      </c>
      <c r="B57" s="8" t="s">
        <v>209</v>
      </c>
      <c r="C57" s="3" t="s">
        <v>17</v>
      </c>
      <c r="D57" s="9">
        <v>104</v>
      </c>
      <c r="E57" s="10" t="s">
        <v>19</v>
      </c>
      <c r="F57" s="9">
        <v>0</v>
      </c>
      <c r="G57" s="10" t="s">
        <v>19</v>
      </c>
      <c r="H57" s="9">
        <v>0</v>
      </c>
      <c r="I57" s="9"/>
      <c r="J57" s="9"/>
      <c r="K57" s="10" t="s">
        <v>19</v>
      </c>
      <c r="L57" s="9">
        <v>0</v>
      </c>
      <c r="M57" s="9"/>
      <c r="N57" s="9"/>
      <c r="O57" s="8" t="s">
        <v>20</v>
      </c>
      <c r="P57" s="9">
        <v>104</v>
      </c>
      <c r="Q57" s="3" t="s">
        <v>289</v>
      </c>
      <c r="R57" s="9">
        <v>26.3</v>
      </c>
      <c r="S57" s="8" t="s">
        <v>20</v>
      </c>
      <c r="T57" s="9">
        <v>28.7</v>
      </c>
      <c r="U57" s="10" t="s">
        <v>19</v>
      </c>
    </row>
    <row r="58" spans="1:21" ht="115.2" x14ac:dyDescent="0.25">
      <c r="A58" s="7" t="s">
        <v>290</v>
      </c>
      <c r="B58" s="8" t="s">
        <v>254</v>
      </c>
      <c r="C58" s="3" t="s">
        <v>17</v>
      </c>
      <c r="D58" s="9">
        <v>25.2</v>
      </c>
      <c r="E58" s="10" t="s">
        <v>19</v>
      </c>
      <c r="F58" s="9">
        <v>0</v>
      </c>
      <c r="G58" s="3" t="s">
        <v>18</v>
      </c>
      <c r="H58" s="9">
        <v>4.7</v>
      </c>
      <c r="I58" s="9"/>
      <c r="J58" s="9"/>
      <c r="K58" s="3" t="s">
        <v>18</v>
      </c>
      <c r="L58" s="9">
        <v>9.1</v>
      </c>
      <c r="M58" s="9"/>
      <c r="N58" s="9"/>
      <c r="O58" s="8" t="s">
        <v>20</v>
      </c>
      <c r="P58" s="9">
        <v>38.9</v>
      </c>
      <c r="Q58" s="8" t="s">
        <v>284</v>
      </c>
      <c r="R58" s="9">
        <v>6.5</v>
      </c>
      <c r="S58" s="8" t="s">
        <v>20</v>
      </c>
      <c r="T58" s="9">
        <v>8.6</v>
      </c>
      <c r="U58" s="10" t="s">
        <v>19</v>
      </c>
    </row>
    <row r="59" spans="1:21" ht="115.2" x14ac:dyDescent="0.25">
      <c r="A59" s="7" t="s">
        <v>291</v>
      </c>
      <c r="B59" s="10" t="s">
        <v>32</v>
      </c>
      <c r="C59" s="3" t="s">
        <v>17</v>
      </c>
      <c r="D59" s="9">
        <v>60.8</v>
      </c>
      <c r="E59" s="10" t="s">
        <v>19</v>
      </c>
      <c r="F59" s="9">
        <v>0</v>
      </c>
      <c r="G59" s="3" t="s">
        <v>18</v>
      </c>
      <c r="H59" s="9">
        <v>79.099999999999994</v>
      </c>
      <c r="I59" s="9"/>
      <c r="J59" s="9"/>
      <c r="K59" s="3" t="s">
        <v>18</v>
      </c>
      <c r="L59" s="9">
        <v>7.1</v>
      </c>
      <c r="M59" s="9"/>
      <c r="N59" s="9"/>
      <c r="O59" s="8" t="s">
        <v>20</v>
      </c>
      <c r="P59" s="9">
        <v>147</v>
      </c>
      <c r="Q59" s="8" t="s">
        <v>284</v>
      </c>
      <c r="R59" s="9">
        <v>63.1</v>
      </c>
      <c r="S59" s="8" t="s">
        <v>20</v>
      </c>
      <c r="T59" s="9">
        <v>31.5</v>
      </c>
      <c r="U59" s="10" t="s">
        <v>19</v>
      </c>
    </row>
    <row r="60" spans="1:21" ht="172.8" x14ac:dyDescent="0.25">
      <c r="A60" s="57" t="s">
        <v>292</v>
      </c>
      <c r="B60" s="136" t="s">
        <v>212</v>
      </c>
      <c r="C60" s="127" t="s">
        <v>17</v>
      </c>
      <c r="D60" s="126">
        <v>83.5</v>
      </c>
      <c r="E60" s="124" t="s">
        <v>19</v>
      </c>
      <c r="F60" s="126">
        <v>0</v>
      </c>
      <c r="G60" s="124" t="s">
        <v>19</v>
      </c>
      <c r="H60" s="126">
        <v>0</v>
      </c>
      <c r="I60" s="126"/>
      <c r="J60" s="126"/>
      <c r="K60" s="124" t="s">
        <v>19</v>
      </c>
      <c r="L60" s="126">
        <v>0</v>
      </c>
      <c r="M60" s="126"/>
      <c r="N60" s="126"/>
      <c r="O60" s="136" t="s">
        <v>20</v>
      </c>
      <c r="P60" s="126">
        <v>83.5</v>
      </c>
      <c r="Q60" s="127" t="s">
        <v>289</v>
      </c>
      <c r="R60" s="126">
        <v>18.399999999999999</v>
      </c>
      <c r="S60" s="136" t="s">
        <v>20</v>
      </c>
      <c r="T60" s="126">
        <v>20.399999999999999</v>
      </c>
      <c r="U60" s="124" t="s">
        <v>19</v>
      </c>
    </row>
    <row r="61" spans="1:21" ht="100.8" x14ac:dyDescent="0.25">
      <c r="A61" s="17" t="s">
        <v>293</v>
      </c>
      <c r="B61" s="17" t="s">
        <v>265</v>
      </c>
      <c r="C61" s="127" t="s">
        <v>67</v>
      </c>
      <c r="D61" s="121">
        <v>43.1</v>
      </c>
      <c r="E61" s="17" t="s">
        <v>19</v>
      </c>
      <c r="F61" s="121">
        <v>0</v>
      </c>
      <c r="G61" s="127" t="s">
        <v>71</v>
      </c>
      <c r="H61" s="121">
        <v>53.7</v>
      </c>
      <c r="I61" s="121"/>
      <c r="J61" s="121"/>
      <c r="K61" s="127" t="s">
        <v>71</v>
      </c>
      <c r="L61" s="121">
        <v>19.100000000000001</v>
      </c>
      <c r="M61" s="121"/>
      <c r="N61" s="121"/>
      <c r="O61" s="22" t="s">
        <v>20</v>
      </c>
      <c r="P61" s="122">
        <v>116</v>
      </c>
      <c r="Q61" s="127" t="s">
        <v>294</v>
      </c>
      <c r="R61" s="121">
        <v>79.599999999999994</v>
      </c>
      <c r="S61" s="22" t="s">
        <v>20</v>
      </c>
      <c r="T61" s="121">
        <v>27.6</v>
      </c>
      <c r="U61" s="127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U39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customWidth="1"/>
    <col min="3" max="3" width="42.109375" customWidth="1"/>
    <col min="4" max="4" width="13.109375" customWidth="1"/>
    <col min="5" max="5" width="26.109375" customWidth="1"/>
    <col min="6" max="6" width="13.109375" customWidth="1"/>
    <col min="7" max="7" width="50.44140625" customWidth="1"/>
    <col min="8" max="8" width="13.109375" customWidth="1"/>
    <col min="9" max="9" width="26.109375" customWidth="1"/>
    <col min="10" max="10" width="13.109375" customWidth="1"/>
    <col min="11" max="11" width="48.44140625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ht="29.25" customHeight="1" x14ac:dyDescent="0.25">
      <c r="A1" s="567" t="s">
        <v>359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7"/>
      <c r="N1" s="557"/>
      <c r="O1" s="557"/>
      <c r="P1" s="557"/>
      <c r="Q1" s="557"/>
      <c r="R1" s="557"/>
      <c r="S1" s="557"/>
      <c r="T1" s="557"/>
      <c r="U1" s="557"/>
    </row>
    <row r="2" spans="1:21" ht="17.399999999999999" x14ac:dyDescent="0.25">
      <c r="A2" s="556" t="s">
        <v>1</v>
      </c>
      <c r="B2" s="555" t="s">
        <v>2</v>
      </c>
      <c r="C2" s="557" t="s">
        <v>3</v>
      </c>
      <c r="D2" s="557"/>
      <c r="E2" s="557"/>
      <c r="F2" s="557"/>
      <c r="G2" s="557"/>
      <c r="H2" s="557"/>
      <c r="I2" s="557"/>
      <c r="J2" s="557"/>
      <c r="K2" s="557"/>
      <c r="L2" s="557"/>
      <c r="M2" s="133"/>
      <c r="N2" s="133"/>
      <c r="O2" s="133"/>
      <c r="P2" s="133"/>
      <c r="Q2" s="555" t="s">
        <v>4</v>
      </c>
      <c r="R2" s="555"/>
      <c r="S2" s="558" t="s">
        <v>5</v>
      </c>
      <c r="T2" s="558"/>
      <c r="U2" s="134" t="s">
        <v>6</v>
      </c>
    </row>
    <row r="3" spans="1:21" ht="17.399999999999999" x14ac:dyDescent="0.25">
      <c r="A3" s="556"/>
      <c r="B3" s="555"/>
      <c r="C3" s="558" t="s">
        <v>7</v>
      </c>
      <c r="D3" s="558"/>
      <c r="E3" s="561" t="s">
        <v>8</v>
      </c>
      <c r="F3" s="561"/>
      <c r="G3" s="562" t="s">
        <v>9</v>
      </c>
      <c r="H3" s="562"/>
      <c r="I3" s="135" t="s">
        <v>63</v>
      </c>
      <c r="J3" s="135"/>
      <c r="K3" s="135" t="s">
        <v>64</v>
      </c>
      <c r="L3" s="135"/>
      <c r="M3" s="566" t="s">
        <v>358</v>
      </c>
      <c r="N3" s="562"/>
      <c r="O3" s="563" t="s">
        <v>11</v>
      </c>
      <c r="P3" s="563"/>
      <c r="Q3" s="555" t="s">
        <v>12</v>
      </c>
      <c r="R3" s="556" t="s">
        <v>13</v>
      </c>
      <c r="S3" s="555" t="s">
        <v>12</v>
      </c>
      <c r="T3" s="560" t="s">
        <v>14</v>
      </c>
      <c r="U3" s="134"/>
    </row>
    <row r="4" spans="1:21" ht="34.799999999999997" x14ac:dyDescent="0.25">
      <c r="A4" s="556"/>
      <c r="B4" s="555"/>
      <c r="C4" s="96" t="s">
        <v>12</v>
      </c>
      <c r="D4" s="132" t="s">
        <v>13</v>
      </c>
      <c r="E4" s="96" t="s">
        <v>12</v>
      </c>
      <c r="F4" s="132" t="s">
        <v>13</v>
      </c>
      <c r="G4" s="96" t="s">
        <v>12</v>
      </c>
      <c r="H4" s="132" t="s">
        <v>13</v>
      </c>
      <c r="I4" s="96" t="s">
        <v>12</v>
      </c>
      <c r="J4" s="132" t="s">
        <v>13</v>
      </c>
      <c r="K4" s="96" t="s">
        <v>12</v>
      </c>
      <c r="L4" s="132" t="s">
        <v>13</v>
      </c>
      <c r="M4" s="96" t="s">
        <v>12</v>
      </c>
      <c r="N4" s="132" t="s">
        <v>13</v>
      </c>
      <c r="O4" s="98" t="s">
        <v>12</v>
      </c>
      <c r="P4" s="132" t="s">
        <v>13</v>
      </c>
      <c r="Q4" s="555"/>
      <c r="R4" s="556"/>
      <c r="S4" s="555"/>
      <c r="T4" s="560"/>
      <c r="U4" s="134"/>
    </row>
    <row r="5" spans="1:21" ht="86.4" x14ac:dyDescent="0.25">
      <c r="A5" s="102" t="s">
        <v>295</v>
      </c>
      <c r="B5" s="100" t="s">
        <v>218</v>
      </c>
      <c r="C5" s="132" t="s">
        <v>67</v>
      </c>
      <c r="D5" s="111">
        <v>49.2</v>
      </c>
      <c r="E5" s="111"/>
      <c r="F5" s="111"/>
      <c r="G5" s="132" t="s">
        <v>71</v>
      </c>
      <c r="H5" s="111">
        <v>43.5</v>
      </c>
      <c r="I5" s="111"/>
      <c r="J5" s="111"/>
      <c r="K5" s="132" t="s">
        <v>71</v>
      </c>
      <c r="L5" s="101">
        <v>16.8</v>
      </c>
      <c r="M5" s="101"/>
      <c r="N5" s="101"/>
      <c r="O5" s="100" t="s">
        <v>20</v>
      </c>
      <c r="P5" s="111">
        <v>109.4</v>
      </c>
      <c r="Q5" s="100" t="s">
        <v>30</v>
      </c>
      <c r="R5" s="101">
        <v>62.8</v>
      </c>
      <c r="S5" s="100" t="s">
        <v>20</v>
      </c>
      <c r="T5" s="101">
        <v>25.1</v>
      </c>
      <c r="U5" s="132" t="s">
        <v>68</v>
      </c>
    </row>
    <row r="6" spans="1:21" ht="86.4" x14ac:dyDescent="0.25">
      <c r="A6" s="102" t="s">
        <v>297</v>
      </c>
      <c r="B6" s="132" t="s">
        <v>298</v>
      </c>
      <c r="C6" s="132" t="s">
        <v>67</v>
      </c>
      <c r="D6" s="101">
        <v>30.9</v>
      </c>
      <c r="E6" s="101"/>
      <c r="F6" s="101"/>
      <c r="G6" s="132" t="s">
        <v>71</v>
      </c>
      <c r="H6" s="101">
        <v>68.099999999999994</v>
      </c>
      <c r="I6" s="101"/>
      <c r="J6" s="101"/>
      <c r="K6" s="132" t="s">
        <v>71</v>
      </c>
      <c r="L6" s="111">
        <v>27.4</v>
      </c>
      <c r="M6" s="111"/>
      <c r="N6" s="111"/>
      <c r="O6" s="100" t="s">
        <v>20</v>
      </c>
      <c r="P6" s="111">
        <v>126.4</v>
      </c>
      <c r="Q6" s="100" t="s">
        <v>30</v>
      </c>
      <c r="R6" s="101">
        <v>89.1</v>
      </c>
      <c r="S6" s="100" t="s">
        <v>20</v>
      </c>
      <c r="T6" s="101">
        <v>22.7</v>
      </c>
      <c r="U6" s="132" t="s">
        <v>68</v>
      </c>
    </row>
    <row r="7" spans="1:21" ht="86.4" x14ac:dyDescent="0.25">
      <c r="A7" s="102" t="s">
        <v>301</v>
      </c>
      <c r="B7" s="100" t="s">
        <v>302</v>
      </c>
      <c r="C7" s="132" t="s">
        <v>67</v>
      </c>
      <c r="D7" s="101">
        <v>17.399999999999999</v>
      </c>
      <c r="E7" s="101"/>
      <c r="F7" s="101"/>
      <c r="G7" s="132" t="s">
        <v>71</v>
      </c>
      <c r="H7" s="111">
        <v>48.7</v>
      </c>
      <c r="I7" s="111"/>
      <c r="J7" s="111"/>
      <c r="K7" s="132" t="s">
        <v>71</v>
      </c>
      <c r="L7" s="101">
        <v>16</v>
      </c>
      <c r="M7" s="101"/>
      <c r="N7" s="101"/>
      <c r="O7" s="100" t="s">
        <v>20</v>
      </c>
      <c r="P7" s="101">
        <v>82.2</v>
      </c>
      <c r="Q7" s="100" t="s">
        <v>30</v>
      </c>
      <c r="R7" s="101">
        <v>29.7</v>
      </c>
      <c r="S7" s="100" t="s">
        <v>20</v>
      </c>
      <c r="T7" s="101">
        <v>19.8</v>
      </c>
      <c r="U7" s="132" t="s">
        <v>68</v>
      </c>
    </row>
    <row r="8" spans="1:21" ht="86.4" x14ac:dyDescent="0.25">
      <c r="A8" s="102" t="s">
        <v>305</v>
      </c>
      <c r="B8" s="100" t="s">
        <v>218</v>
      </c>
      <c r="C8" s="132" t="s">
        <v>67</v>
      </c>
      <c r="D8" s="101">
        <v>52.9</v>
      </c>
      <c r="E8" s="101"/>
      <c r="F8" s="101"/>
      <c r="G8" s="132" t="s">
        <v>71</v>
      </c>
      <c r="H8" s="111">
        <v>43.2</v>
      </c>
      <c r="I8" s="111"/>
      <c r="J8" s="111"/>
      <c r="K8" s="132" t="s">
        <v>71</v>
      </c>
      <c r="L8" s="101">
        <v>12.5</v>
      </c>
      <c r="M8" s="101"/>
      <c r="N8" s="101"/>
      <c r="O8" s="100" t="s">
        <v>20</v>
      </c>
      <c r="P8" s="111">
        <v>108.7</v>
      </c>
      <c r="Q8" s="100" t="s">
        <v>30</v>
      </c>
      <c r="R8" s="111">
        <v>64.599999999999994</v>
      </c>
      <c r="S8" s="100" t="s">
        <v>20</v>
      </c>
      <c r="T8" s="101">
        <v>25.1</v>
      </c>
      <c r="U8" s="132" t="s">
        <v>68</v>
      </c>
    </row>
    <row r="9" spans="1:21" ht="86.4" x14ac:dyDescent="0.25">
      <c r="A9" s="102" t="s">
        <v>307</v>
      </c>
      <c r="B9" s="100" t="s">
        <v>218</v>
      </c>
      <c r="C9" s="132" t="s">
        <v>67</v>
      </c>
      <c r="D9" s="101">
        <v>84.1</v>
      </c>
      <c r="E9" s="101"/>
      <c r="F9" s="101"/>
      <c r="G9" s="132" t="s">
        <v>71</v>
      </c>
      <c r="H9" s="101">
        <v>11.3</v>
      </c>
      <c r="I9" s="101"/>
      <c r="J9" s="101"/>
      <c r="K9" s="132" t="s">
        <v>71</v>
      </c>
      <c r="L9" s="101">
        <v>15.3</v>
      </c>
      <c r="M9" s="101"/>
      <c r="N9" s="101"/>
      <c r="O9" s="100" t="s">
        <v>20</v>
      </c>
      <c r="P9" s="111">
        <v>110.8</v>
      </c>
      <c r="Q9" s="100" t="s">
        <v>30</v>
      </c>
      <c r="R9" s="101">
        <v>69.5</v>
      </c>
      <c r="S9" s="100" t="s">
        <v>20</v>
      </c>
      <c r="T9" s="111">
        <v>24.8</v>
      </c>
      <c r="U9" s="132" t="s">
        <v>68</v>
      </c>
    </row>
    <row r="10" spans="1:21" ht="86.4" x14ac:dyDescent="0.25">
      <c r="A10" s="102" t="s">
        <v>309</v>
      </c>
      <c r="B10" s="100" t="s">
        <v>218</v>
      </c>
      <c r="C10" s="132" t="s">
        <v>67</v>
      </c>
      <c r="D10" s="101">
        <v>55.7</v>
      </c>
      <c r="E10" s="101"/>
      <c r="F10" s="101"/>
      <c r="G10" s="132" t="s">
        <v>71</v>
      </c>
      <c r="H10" s="101">
        <v>35.5</v>
      </c>
      <c r="I10" s="101"/>
      <c r="J10" s="101"/>
      <c r="K10" s="132" t="s">
        <v>71</v>
      </c>
      <c r="L10" s="101">
        <v>18.8</v>
      </c>
      <c r="M10" s="101"/>
      <c r="N10" s="101"/>
      <c r="O10" s="100" t="s">
        <v>20</v>
      </c>
      <c r="P10" s="111">
        <v>110</v>
      </c>
      <c r="Q10" s="100" t="s">
        <v>30</v>
      </c>
      <c r="R10" s="111">
        <v>65.400000000000006</v>
      </c>
      <c r="S10" s="100" t="s">
        <v>20</v>
      </c>
      <c r="T10" s="101">
        <v>25.2</v>
      </c>
      <c r="U10" s="132" t="s">
        <v>68</v>
      </c>
    </row>
    <row r="11" spans="1:21" ht="86.4" x14ac:dyDescent="0.25">
      <c r="A11" s="102" t="s">
        <v>311</v>
      </c>
      <c r="B11" s="100" t="s">
        <v>218</v>
      </c>
      <c r="C11" s="132" t="s">
        <v>67</v>
      </c>
      <c r="D11" s="101">
        <v>55.3</v>
      </c>
      <c r="E11" s="101"/>
      <c r="F11" s="101"/>
      <c r="G11" s="132" t="s">
        <v>71</v>
      </c>
      <c r="H11" s="101">
        <v>36.700000000000003</v>
      </c>
      <c r="I11" s="101"/>
      <c r="J11" s="101"/>
      <c r="K11" s="132" t="s">
        <v>71</v>
      </c>
      <c r="L11" s="101">
        <v>15.3</v>
      </c>
      <c r="M11" s="101"/>
      <c r="N11" s="101"/>
      <c r="O11" s="100" t="s">
        <v>20</v>
      </c>
      <c r="P11" s="111">
        <v>107.3</v>
      </c>
      <c r="Q11" s="100" t="s">
        <v>30</v>
      </c>
      <c r="R11" s="101">
        <v>63.7</v>
      </c>
      <c r="S11" s="100" t="s">
        <v>20</v>
      </c>
      <c r="T11" s="101">
        <v>32.6</v>
      </c>
      <c r="U11" s="132" t="s">
        <v>68</v>
      </c>
    </row>
    <row r="12" spans="1:21" ht="86.4" x14ac:dyDescent="0.25">
      <c r="A12" s="102" t="s">
        <v>313</v>
      </c>
      <c r="B12" s="100" t="s">
        <v>218</v>
      </c>
      <c r="C12" s="132" t="s">
        <v>67</v>
      </c>
      <c r="D12" s="101">
        <v>88.8</v>
      </c>
      <c r="E12" s="101"/>
      <c r="F12" s="101"/>
      <c r="G12" s="132" t="s">
        <v>71</v>
      </c>
      <c r="H12" s="101">
        <v>14.9</v>
      </c>
      <c r="I12" s="101"/>
      <c r="J12" s="101"/>
      <c r="K12" s="102" t="s">
        <v>19</v>
      </c>
      <c r="L12" s="101">
        <v>0</v>
      </c>
      <c r="M12" s="101"/>
      <c r="N12" s="101"/>
      <c r="O12" s="100" t="s">
        <v>20</v>
      </c>
      <c r="P12" s="111">
        <v>103.7</v>
      </c>
      <c r="Q12" s="100" t="s">
        <v>30</v>
      </c>
      <c r="R12" s="111">
        <v>123.1</v>
      </c>
      <c r="S12" s="100" t="s">
        <v>20</v>
      </c>
      <c r="T12" s="101">
        <v>33.299999999999997</v>
      </c>
      <c r="U12" s="132" t="s">
        <v>68</v>
      </c>
    </row>
    <row r="13" spans="1:21" ht="86.4" x14ac:dyDescent="0.25">
      <c r="A13" s="102" t="s">
        <v>315</v>
      </c>
      <c r="B13" s="100" t="s">
        <v>81</v>
      </c>
      <c r="C13" s="132" t="s">
        <v>94</v>
      </c>
      <c r="D13" s="101">
        <v>7.1</v>
      </c>
      <c r="E13" s="101"/>
      <c r="F13" s="101"/>
      <c r="G13" s="102" t="s">
        <v>19</v>
      </c>
      <c r="H13" s="101">
        <v>0</v>
      </c>
      <c r="I13" s="101"/>
      <c r="J13" s="101"/>
      <c r="K13" s="132" t="s">
        <v>74</v>
      </c>
      <c r="L13" s="101">
        <v>27.1</v>
      </c>
      <c r="M13" s="101"/>
      <c r="N13" s="101"/>
      <c r="O13" s="100" t="s">
        <v>20</v>
      </c>
      <c r="P13" s="111">
        <v>34.200000000000003</v>
      </c>
      <c r="Q13" s="132" t="s">
        <v>21</v>
      </c>
      <c r="R13" s="101">
        <v>5.4</v>
      </c>
      <c r="S13" s="100" t="s">
        <v>20</v>
      </c>
      <c r="T13" s="101">
        <v>8.1999999999999993</v>
      </c>
      <c r="U13" s="132" t="s">
        <v>68</v>
      </c>
    </row>
    <row r="14" spans="1:21" ht="86.4" x14ac:dyDescent="0.25">
      <c r="A14" s="102" t="s">
        <v>296</v>
      </c>
      <c r="B14" s="100" t="s">
        <v>228</v>
      </c>
      <c r="C14" s="132" t="s">
        <v>94</v>
      </c>
      <c r="D14" s="111">
        <v>49.2</v>
      </c>
      <c r="E14" s="111"/>
      <c r="F14" s="111"/>
      <c r="G14" s="102" t="s">
        <v>19</v>
      </c>
      <c r="H14" s="101">
        <v>0</v>
      </c>
      <c r="I14" s="101"/>
      <c r="J14" s="101"/>
      <c r="K14" s="132" t="s">
        <v>74</v>
      </c>
      <c r="L14" s="101">
        <v>29.9</v>
      </c>
      <c r="M14" s="101"/>
      <c r="N14" s="101"/>
      <c r="O14" s="100" t="s">
        <v>20</v>
      </c>
      <c r="P14" s="101">
        <v>79.099999999999994</v>
      </c>
      <c r="Q14" s="132" t="s">
        <v>21</v>
      </c>
      <c r="R14" s="101">
        <v>15.8</v>
      </c>
      <c r="S14" s="100" t="s">
        <v>20</v>
      </c>
      <c r="T14" s="111">
        <v>20.2</v>
      </c>
      <c r="U14" s="132" t="s">
        <v>68</v>
      </c>
    </row>
    <row r="15" spans="1:21" ht="115.2" x14ac:dyDescent="0.25">
      <c r="A15" s="102" t="s">
        <v>299</v>
      </c>
      <c r="B15" s="132" t="s">
        <v>300</v>
      </c>
      <c r="C15" s="132" t="s">
        <v>67</v>
      </c>
      <c r="D15" s="111">
        <v>316.89999999999998</v>
      </c>
      <c r="E15" s="111"/>
      <c r="F15" s="111"/>
      <c r="G15" s="132" t="s">
        <v>71</v>
      </c>
      <c r="H15" s="111">
        <v>124.2</v>
      </c>
      <c r="I15" s="111"/>
      <c r="J15" s="111"/>
      <c r="K15" s="132" t="s">
        <v>71</v>
      </c>
      <c r="L15" s="101">
        <v>26.1</v>
      </c>
      <c r="M15" s="101"/>
      <c r="N15" s="101"/>
      <c r="O15" s="100" t="s">
        <v>20</v>
      </c>
      <c r="P15" s="111">
        <v>467.2</v>
      </c>
      <c r="Q15" s="132" t="s">
        <v>21</v>
      </c>
      <c r="R15" s="111">
        <v>256.89999999999998</v>
      </c>
      <c r="S15" s="100" t="s">
        <v>20</v>
      </c>
      <c r="T15" s="111">
        <v>80.400000000000006</v>
      </c>
      <c r="U15" s="132" t="s">
        <v>68</v>
      </c>
    </row>
    <row r="16" spans="1:21" ht="86.4" x14ac:dyDescent="0.25">
      <c r="A16" s="102" t="s">
        <v>303</v>
      </c>
      <c r="B16" s="102" t="s">
        <v>304</v>
      </c>
      <c r="C16" s="132" t="s">
        <v>67</v>
      </c>
      <c r="D16" s="101">
        <v>78.7</v>
      </c>
      <c r="E16" s="101"/>
      <c r="F16" s="101"/>
      <c r="G16" s="102" t="s">
        <v>19</v>
      </c>
      <c r="H16" s="101">
        <v>0</v>
      </c>
      <c r="I16" s="101"/>
      <c r="J16" s="101"/>
      <c r="K16" s="102" t="s">
        <v>19</v>
      </c>
      <c r="L16" s="101">
        <v>0</v>
      </c>
      <c r="M16" s="101"/>
      <c r="N16" s="101"/>
      <c r="O16" s="100" t="s">
        <v>20</v>
      </c>
      <c r="P16" s="111">
        <v>78.7</v>
      </c>
      <c r="Q16" s="100" t="s">
        <v>30</v>
      </c>
      <c r="R16" s="101">
        <v>13.3</v>
      </c>
      <c r="S16" s="100" t="s">
        <v>20</v>
      </c>
      <c r="T16" s="111">
        <v>13.8</v>
      </c>
      <c r="U16" s="132" t="s">
        <v>68</v>
      </c>
    </row>
    <row r="17" spans="1:21" ht="86.4" x14ac:dyDescent="0.25">
      <c r="A17" s="102" t="s">
        <v>306</v>
      </c>
      <c r="B17" s="100" t="s">
        <v>98</v>
      </c>
      <c r="C17" s="132" t="s">
        <v>94</v>
      </c>
      <c r="D17" s="101">
        <v>13.6</v>
      </c>
      <c r="E17" s="101"/>
      <c r="F17" s="101"/>
      <c r="G17" s="132" t="s">
        <v>74</v>
      </c>
      <c r="H17" s="101">
        <v>16.3</v>
      </c>
      <c r="I17" s="101"/>
      <c r="J17" s="101"/>
      <c r="K17" s="132" t="s">
        <v>74</v>
      </c>
      <c r="L17" s="101">
        <v>6.7</v>
      </c>
      <c r="M17" s="101"/>
      <c r="N17" s="101"/>
      <c r="O17" s="100" t="s">
        <v>20</v>
      </c>
      <c r="P17" s="111">
        <v>36.6</v>
      </c>
      <c r="Q17" s="132" t="s">
        <v>21</v>
      </c>
      <c r="R17" s="101">
        <v>5.4</v>
      </c>
      <c r="S17" s="100" t="s">
        <v>20</v>
      </c>
      <c r="T17" s="101">
        <v>8.9</v>
      </c>
      <c r="U17" s="132" t="s">
        <v>68</v>
      </c>
    </row>
    <row r="18" spans="1:21" ht="86.4" x14ac:dyDescent="0.25">
      <c r="A18" s="102" t="s">
        <v>308</v>
      </c>
      <c r="B18" s="100" t="s">
        <v>102</v>
      </c>
      <c r="C18" s="132" t="s">
        <v>94</v>
      </c>
      <c r="D18" s="101">
        <v>16</v>
      </c>
      <c r="E18" s="101"/>
      <c r="F18" s="101"/>
      <c r="G18" s="132" t="s">
        <v>74</v>
      </c>
      <c r="H18" s="101">
        <v>15</v>
      </c>
      <c r="I18" s="101"/>
      <c r="J18" s="101"/>
      <c r="K18" s="132" t="s">
        <v>74</v>
      </c>
      <c r="L18" s="101">
        <v>30</v>
      </c>
      <c r="M18" s="101"/>
      <c r="N18" s="101"/>
      <c r="O18" s="100" t="s">
        <v>20</v>
      </c>
      <c r="P18" s="101">
        <v>61</v>
      </c>
      <c r="Q18" s="132" t="s">
        <v>21</v>
      </c>
      <c r="R18" s="101">
        <v>11.9</v>
      </c>
      <c r="S18" s="100" t="s">
        <v>20</v>
      </c>
      <c r="T18" s="111">
        <v>15</v>
      </c>
      <c r="U18" s="132" t="s">
        <v>68</v>
      </c>
    </row>
    <row r="19" spans="1:21" ht="86.4" x14ac:dyDescent="0.25">
      <c r="A19" s="102" t="s">
        <v>310</v>
      </c>
      <c r="B19" s="100" t="s">
        <v>254</v>
      </c>
      <c r="C19" s="132" t="s">
        <v>67</v>
      </c>
      <c r="D19" s="101">
        <v>31.8</v>
      </c>
      <c r="E19" s="101"/>
      <c r="F19" s="101"/>
      <c r="G19" s="132" t="s">
        <v>71</v>
      </c>
      <c r="H19" s="101">
        <v>16.2</v>
      </c>
      <c r="I19" s="101"/>
      <c r="J19" s="101"/>
      <c r="K19" s="132" t="s">
        <v>71</v>
      </c>
      <c r="L19" s="101">
        <v>1.2</v>
      </c>
      <c r="M19" s="101"/>
      <c r="N19" s="101"/>
      <c r="O19" s="100" t="s">
        <v>20</v>
      </c>
      <c r="P19" s="101">
        <v>49.1</v>
      </c>
      <c r="Q19" s="100" t="s">
        <v>30</v>
      </c>
      <c r="R19" s="101">
        <v>25.8</v>
      </c>
      <c r="S19" s="100" t="s">
        <v>20</v>
      </c>
      <c r="T19" s="111">
        <v>14.5</v>
      </c>
      <c r="U19" s="132" t="s">
        <v>68</v>
      </c>
    </row>
    <row r="20" spans="1:21" ht="86.4" x14ac:dyDescent="0.25">
      <c r="A20" s="102" t="s">
        <v>312</v>
      </c>
      <c r="B20" s="100" t="s">
        <v>126</v>
      </c>
      <c r="C20" s="132" t="s">
        <v>67</v>
      </c>
      <c r="D20" s="111">
        <v>78.400000000000006</v>
      </c>
      <c r="E20" s="111"/>
      <c r="F20" s="111"/>
      <c r="G20" s="102" t="s">
        <v>19</v>
      </c>
      <c r="H20" s="101">
        <v>0</v>
      </c>
      <c r="I20" s="101"/>
      <c r="J20" s="101"/>
      <c r="K20" s="102" t="s">
        <v>19</v>
      </c>
      <c r="L20" s="101">
        <v>0</v>
      </c>
      <c r="M20" s="101"/>
      <c r="N20" s="101"/>
      <c r="O20" s="100" t="s">
        <v>20</v>
      </c>
      <c r="P20" s="111">
        <v>78.400000000000006</v>
      </c>
      <c r="Q20" s="132" t="s">
        <v>21</v>
      </c>
      <c r="R20" s="111">
        <v>45</v>
      </c>
      <c r="S20" s="100" t="s">
        <v>20</v>
      </c>
      <c r="T20" s="101">
        <v>17.100000000000001</v>
      </c>
      <c r="U20" s="132" t="s">
        <v>68</v>
      </c>
    </row>
    <row r="21" spans="1:21" ht="86.4" x14ac:dyDescent="0.25">
      <c r="A21" s="102" t="s">
        <v>314</v>
      </c>
      <c r="B21" s="102" t="s">
        <v>265</v>
      </c>
      <c r="C21" s="132" t="s">
        <v>67</v>
      </c>
      <c r="D21" s="101">
        <v>94.1</v>
      </c>
      <c r="E21" s="101"/>
      <c r="F21" s="101"/>
      <c r="G21" s="132" t="s">
        <v>71</v>
      </c>
      <c r="H21" s="111">
        <v>54.2</v>
      </c>
      <c r="I21" s="111"/>
      <c r="J21" s="111"/>
      <c r="K21" s="132" t="s">
        <v>71</v>
      </c>
      <c r="L21" s="101">
        <v>8.8000000000000007</v>
      </c>
      <c r="M21" s="101"/>
      <c r="N21" s="101"/>
      <c r="O21" s="100" t="s">
        <v>20</v>
      </c>
      <c r="P21" s="111">
        <v>157.1</v>
      </c>
      <c r="Q21" s="132" t="s">
        <v>21</v>
      </c>
      <c r="R21" s="111">
        <v>207</v>
      </c>
      <c r="S21" s="100" t="s">
        <v>20</v>
      </c>
      <c r="T21" s="111">
        <v>34.200000000000003</v>
      </c>
      <c r="U21" s="132" t="s">
        <v>68</v>
      </c>
    </row>
    <row r="22" spans="1:21" ht="86.4" x14ac:dyDescent="0.25">
      <c r="A22" s="102" t="s">
        <v>316</v>
      </c>
      <c r="B22" s="102" t="s">
        <v>32</v>
      </c>
      <c r="C22" s="132" t="s">
        <v>67</v>
      </c>
      <c r="D22" s="111">
        <v>150.9</v>
      </c>
      <c r="E22" s="111"/>
      <c r="F22" s="111"/>
      <c r="G22" s="132" t="s">
        <v>71</v>
      </c>
      <c r="H22" s="111">
        <v>117.1</v>
      </c>
      <c r="I22" s="111"/>
      <c r="J22" s="111"/>
      <c r="K22" s="132" t="s">
        <v>71</v>
      </c>
      <c r="L22" s="101">
        <v>2.2000000000000002</v>
      </c>
      <c r="M22" s="101"/>
      <c r="N22" s="101"/>
      <c r="O22" s="100" t="s">
        <v>20</v>
      </c>
      <c r="P22" s="111">
        <v>270.2</v>
      </c>
      <c r="Q22" s="132" t="s">
        <v>21</v>
      </c>
      <c r="R22" s="111">
        <v>218.4</v>
      </c>
      <c r="S22" s="100" t="s">
        <v>20</v>
      </c>
      <c r="T22" s="111">
        <v>52.4</v>
      </c>
      <c r="U22" s="132" t="s">
        <v>68</v>
      </c>
    </row>
    <row r="23" spans="1:21" ht="115.2" x14ac:dyDescent="0.25">
      <c r="A23" s="60" t="s">
        <v>318</v>
      </c>
      <c r="B23" s="38" t="s">
        <v>187</v>
      </c>
      <c r="C23" s="3" t="s">
        <v>337</v>
      </c>
      <c r="D23" s="61">
        <v>27.9</v>
      </c>
      <c r="E23" s="61"/>
      <c r="F23" s="61"/>
      <c r="G23" s="3" t="s">
        <v>337</v>
      </c>
      <c r="H23" s="90">
        <v>15.1</v>
      </c>
      <c r="I23" s="90"/>
      <c r="J23" s="90"/>
      <c r="K23" s="3" t="s">
        <v>337</v>
      </c>
      <c r="L23" s="39">
        <v>33.700000000000003</v>
      </c>
      <c r="M23" s="141"/>
      <c r="N23" s="40"/>
      <c r="O23" s="44" t="s">
        <v>20</v>
      </c>
      <c r="P23" s="42">
        <v>76.8</v>
      </c>
      <c r="Q23" s="93" t="s">
        <v>178</v>
      </c>
      <c r="R23" s="61">
        <v>21.6</v>
      </c>
      <c r="S23" s="38" t="s">
        <v>20</v>
      </c>
      <c r="T23" s="39">
        <v>18.100000000000001</v>
      </c>
      <c r="U23" s="41" t="s">
        <v>19</v>
      </c>
    </row>
    <row r="24" spans="1:21" ht="115.2" x14ac:dyDescent="0.25">
      <c r="A24" s="124" t="s">
        <v>320</v>
      </c>
      <c r="B24" s="124" t="s">
        <v>194</v>
      </c>
      <c r="C24" s="3" t="s">
        <v>337</v>
      </c>
      <c r="D24" s="126">
        <v>27.8</v>
      </c>
      <c r="E24" s="126"/>
      <c r="F24" s="126"/>
      <c r="G24" s="124" t="s">
        <v>19</v>
      </c>
      <c r="H24" s="126">
        <v>0</v>
      </c>
      <c r="I24" s="126"/>
      <c r="J24" s="126"/>
      <c r="K24" s="136" t="s">
        <v>321</v>
      </c>
      <c r="L24" s="62">
        <v>34.200000000000003</v>
      </c>
      <c r="M24" s="142"/>
      <c r="N24" s="63"/>
      <c r="O24" s="93" t="s">
        <v>20</v>
      </c>
      <c r="P24" s="62">
        <v>62</v>
      </c>
      <c r="Q24" s="93" t="s">
        <v>178</v>
      </c>
      <c r="R24" s="126">
        <v>51.6</v>
      </c>
      <c r="S24" s="136" t="s">
        <v>20</v>
      </c>
      <c r="T24" s="62">
        <v>14.1</v>
      </c>
      <c r="U24" s="64" t="s">
        <v>19</v>
      </c>
    </row>
    <row r="25" spans="1:21" ht="115.2" x14ac:dyDescent="0.25">
      <c r="A25" s="60" t="s">
        <v>323</v>
      </c>
      <c r="B25" s="37" t="s">
        <v>189</v>
      </c>
      <c r="C25" s="3" t="s">
        <v>337</v>
      </c>
      <c r="D25" s="68">
        <v>0.1</v>
      </c>
      <c r="E25" s="68"/>
      <c r="F25" s="68"/>
      <c r="G25" s="3" t="s">
        <v>337</v>
      </c>
      <c r="H25" s="90">
        <v>5</v>
      </c>
      <c r="I25" s="90"/>
      <c r="J25" s="90"/>
      <c r="K25" s="3" t="s">
        <v>337</v>
      </c>
      <c r="L25" s="42">
        <v>34.4</v>
      </c>
      <c r="M25" s="143"/>
      <c r="N25" s="43"/>
      <c r="O25" s="44" t="s">
        <v>20</v>
      </c>
      <c r="P25" s="42">
        <v>39.5</v>
      </c>
      <c r="Q25" s="44" t="s">
        <v>178</v>
      </c>
      <c r="R25" s="68">
        <v>6.7</v>
      </c>
      <c r="S25" s="38" t="s">
        <v>20</v>
      </c>
      <c r="T25" s="39">
        <v>9</v>
      </c>
      <c r="U25" s="93" t="s">
        <v>324</v>
      </c>
    </row>
    <row r="26" spans="1:21" ht="115.2" x14ac:dyDescent="0.3">
      <c r="A26" s="69" t="s">
        <v>326</v>
      </c>
      <c r="B26" s="46" t="s">
        <v>192</v>
      </c>
      <c r="C26" s="3" t="s">
        <v>337</v>
      </c>
      <c r="D26" s="70">
        <v>8.5</v>
      </c>
      <c r="E26" s="70"/>
      <c r="F26" s="70"/>
      <c r="G26" s="71" t="s">
        <v>19</v>
      </c>
      <c r="H26" s="72">
        <v>0</v>
      </c>
      <c r="I26" s="72"/>
      <c r="J26" s="72"/>
      <c r="K26" s="3" t="s">
        <v>337</v>
      </c>
      <c r="L26" s="73">
        <v>78.5</v>
      </c>
      <c r="M26" s="144"/>
      <c r="N26" s="74"/>
      <c r="O26" s="47" t="s">
        <v>20</v>
      </c>
      <c r="P26" s="75">
        <v>87</v>
      </c>
      <c r="Q26" s="93" t="s">
        <v>178</v>
      </c>
      <c r="R26" s="76">
        <v>29.6</v>
      </c>
      <c r="S26" s="46" t="s">
        <v>20</v>
      </c>
      <c r="T26" s="75">
        <v>21.7</v>
      </c>
      <c r="U26" s="93" t="s">
        <v>327</v>
      </c>
    </row>
    <row r="27" spans="1:21" ht="115.2" x14ac:dyDescent="0.25">
      <c r="A27" s="60" t="s">
        <v>329</v>
      </c>
      <c r="B27" s="136" t="s">
        <v>330</v>
      </c>
      <c r="C27" s="3" t="s">
        <v>337</v>
      </c>
      <c r="D27" s="61">
        <v>56.3</v>
      </c>
      <c r="E27" s="61"/>
      <c r="F27" s="61"/>
      <c r="G27" s="3" t="s">
        <v>337</v>
      </c>
      <c r="H27" s="90">
        <v>59.7</v>
      </c>
      <c r="I27" s="90"/>
      <c r="J27" s="90"/>
      <c r="K27" s="3" t="s">
        <v>337</v>
      </c>
      <c r="L27" s="39">
        <v>9.1</v>
      </c>
      <c r="M27" s="141"/>
      <c r="N27" s="40"/>
      <c r="O27" s="44" t="s">
        <v>20</v>
      </c>
      <c r="P27" s="42">
        <v>125.1</v>
      </c>
      <c r="Q27" s="93" t="s">
        <v>178</v>
      </c>
      <c r="R27" s="61">
        <v>78.3</v>
      </c>
      <c r="S27" s="38" t="s">
        <v>20</v>
      </c>
      <c r="T27" s="42">
        <v>35.6</v>
      </c>
      <c r="U27" s="41" t="s">
        <v>19</v>
      </c>
    </row>
    <row r="28" spans="1:21" ht="115.2" x14ac:dyDescent="0.25">
      <c r="A28" s="57" t="s">
        <v>332</v>
      </c>
      <c r="B28" s="136" t="s">
        <v>333</v>
      </c>
      <c r="C28" s="127" t="s">
        <v>17</v>
      </c>
      <c r="D28" s="65">
        <v>33.799999999999997</v>
      </c>
      <c r="E28" s="65"/>
      <c r="F28" s="65"/>
      <c r="G28" s="127" t="s">
        <v>18</v>
      </c>
      <c r="H28" s="126">
        <v>4.8</v>
      </c>
      <c r="I28" s="126"/>
      <c r="J28" s="126"/>
      <c r="K28" s="127" t="s">
        <v>18</v>
      </c>
      <c r="L28" s="66">
        <v>2.6</v>
      </c>
      <c r="M28" s="145"/>
      <c r="N28" s="67"/>
      <c r="O28" s="93" t="s">
        <v>20</v>
      </c>
      <c r="P28" s="66">
        <v>41.2</v>
      </c>
      <c r="Q28" s="93" t="s">
        <v>178</v>
      </c>
      <c r="R28" s="77">
        <v>6.9</v>
      </c>
      <c r="S28" s="136" t="s">
        <v>20</v>
      </c>
      <c r="T28" s="62">
        <v>10</v>
      </c>
      <c r="U28" s="64" t="s">
        <v>19</v>
      </c>
    </row>
    <row r="29" spans="1:21" ht="115.2" x14ac:dyDescent="0.25">
      <c r="A29" s="7" t="s">
        <v>335</v>
      </c>
      <c r="B29" s="3" t="s">
        <v>336</v>
      </c>
      <c r="C29" s="3" t="s">
        <v>337</v>
      </c>
      <c r="D29" s="9">
        <v>44.1</v>
      </c>
      <c r="E29" s="10" t="s">
        <v>19</v>
      </c>
      <c r="F29" s="9">
        <v>0</v>
      </c>
      <c r="G29" s="3" t="s">
        <v>338</v>
      </c>
      <c r="H29" s="9">
        <v>64.400000000000006</v>
      </c>
      <c r="I29" s="9"/>
      <c r="J29" s="9"/>
      <c r="K29" s="3" t="s">
        <v>338</v>
      </c>
      <c r="L29" s="9">
        <v>5.7</v>
      </c>
      <c r="M29" s="9"/>
      <c r="N29" s="9"/>
      <c r="O29" s="8" t="s">
        <v>20</v>
      </c>
      <c r="P29" s="9">
        <v>114.2</v>
      </c>
      <c r="Q29" s="8" t="s">
        <v>339</v>
      </c>
      <c r="R29" s="9">
        <v>77.8</v>
      </c>
      <c r="S29" s="8" t="s">
        <v>20</v>
      </c>
      <c r="T29" s="9">
        <v>31.9</v>
      </c>
      <c r="U29" s="10" t="s">
        <v>19</v>
      </c>
    </row>
    <row r="30" spans="1:21" ht="86.4" x14ac:dyDescent="0.25">
      <c r="A30" s="7" t="s">
        <v>340</v>
      </c>
      <c r="B30" s="8" t="s">
        <v>341</v>
      </c>
      <c r="C30" s="3" t="s">
        <v>342</v>
      </c>
      <c r="D30" s="9">
        <v>9.1</v>
      </c>
      <c r="E30" s="10" t="s">
        <v>19</v>
      </c>
      <c r="F30" s="9">
        <v>0</v>
      </c>
      <c r="G30" s="3" t="s">
        <v>343</v>
      </c>
      <c r="H30" s="9">
        <v>16.399999999999999</v>
      </c>
      <c r="I30" s="9"/>
      <c r="J30" s="9"/>
      <c r="K30" s="3" t="s">
        <v>343</v>
      </c>
      <c r="L30" s="9">
        <v>13.6</v>
      </c>
      <c r="M30" s="9"/>
      <c r="N30" s="9"/>
      <c r="O30" s="8" t="s">
        <v>20</v>
      </c>
      <c r="P30" s="9">
        <v>39.1</v>
      </c>
      <c r="Q30" s="8" t="s">
        <v>339</v>
      </c>
      <c r="R30" s="9">
        <v>6</v>
      </c>
      <c r="S30" s="8" t="s">
        <v>20</v>
      </c>
      <c r="T30" s="9">
        <v>9.4</v>
      </c>
      <c r="U30" s="3" t="s">
        <v>68</v>
      </c>
    </row>
    <row r="31" spans="1:21" ht="86.4" x14ac:dyDescent="0.25">
      <c r="A31" s="7" t="s">
        <v>344</v>
      </c>
      <c r="B31" s="8" t="s">
        <v>345</v>
      </c>
      <c r="C31" s="3" t="s">
        <v>342</v>
      </c>
      <c r="D31" s="9">
        <v>24.8</v>
      </c>
      <c r="E31" s="10" t="s">
        <v>19</v>
      </c>
      <c r="F31" s="9">
        <v>0</v>
      </c>
      <c r="G31" s="10" t="s">
        <v>19</v>
      </c>
      <c r="H31" s="9">
        <v>0</v>
      </c>
      <c r="I31" s="9"/>
      <c r="J31" s="9"/>
      <c r="K31" s="3" t="s">
        <v>343</v>
      </c>
      <c r="L31" s="9">
        <v>13.6</v>
      </c>
      <c r="M31" s="9"/>
      <c r="N31" s="9"/>
      <c r="O31" s="8" t="s">
        <v>20</v>
      </c>
      <c r="P31" s="9">
        <v>38.5</v>
      </c>
      <c r="Q31" s="8" t="s">
        <v>339</v>
      </c>
      <c r="R31" s="9">
        <v>6.1</v>
      </c>
      <c r="S31" s="8" t="s">
        <v>20</v>
      </c>
      <c r="T31" s="9">
        <v>9.5</v>
      </c>
      <c r="U31" s="3" t="s">
        <v>68</v>
      </c>
    </row>
    <row r="32" spans="1:21" ht="172.8" x14ac:dyDescent="0.25">
      <c r="A32" s="7" t="s">
        <v>346</v>
      </c>
      <c r="B32" s="8" t="s">
        <v>209</v>
      </c>
      <c r="C32" s="3" t="s">
        <v>337</v>
      </c>
      <c r="D32" s="9">
        <v>103.5</v>
      </c>
      <c r="E32" s="10" t="s">
        <v>19</v>
      </c>
      <c r="F32" s="9">
        <v>0</v>
      </c>
      <c r="G32" s="10" t="s">
        <v>19</v>
      </c>
      <c r="H32" s="9">
        <v>0</v>
      </c>
      <c r="I32" s="9"/>
      <c r="J32" s="9"/>
      <c r="K32" s="10" t="s">
        <v>19</v>
      </c>
      <c r="L32" s="9">
        <v>0</v>
      </c>
      <c r="M32" s="9"/>
      <c r="N32" s="9"/>
      <c r="O32" s="8" t="s">
        <v>20</v>
      </c>
      <c r="P32" s="9">
        <v>103.5</v>
      </c>
      <c r="Q32" s="3" t="s">
        <v>347</v>
      </c>
      <c r="R32" s="9">
        <v>32.1</v>
      </c>
      <c r="S32" s="8" t="s">
        <v>20</v>
      </c>
      <c r="T32" s="9">
        <v>28.7</v>
      </c>
      <c r="U32" s="10" t="s">
        <v>19</v>
      </c>
    </row>
    <row r="33" spans="1:21" ht="115.2" x14ac:dyDescent="0.25">
      <c r="A33" s="7" t="s">
        <v>348</v>
      </c>
      <c r="B33" s="8" t="s">
        <v>254</v>
      </c>
      <c r="C33" s="3" t="s">
        <v>337</v>
      </c>
      <c r="D33" s="9">
        <v>19.3</v>
      </c>
      <c r="E33" s="10" t="s">
        <v>19</v>
      </c>
      <c r="F33" s="9">
        <v>0</v>
      </c>
      <c r="G33" s="3" t="s">
        <v>338</v>
      </c>
      <c r="H33" s="9">
        <v>4.5999999999999996</v>
      </c>
      <c r="I33" s="9"/>
      <c r="J33" s="9"/>
      <c r="K33" s="3" t="s">
        <v>338</v>
      </c>
      <c r="L33" s="9">
        <v>13.1</v>
      </c>
      <c r="M33" s="9"/>
      <c r="N33" s="9"/>
      <c r="O33" s="8" t="s">
        <v>20</v>
      </c>
      <c r="P33" s="9">
        <v>37</v>
      </c>
      <c r="Q33" s="8" t="s">
        <v>339</v>
      </c>
      <c r="R33" s="9">
        <v>5.9</v>
      </c>
      <c r="S33" s="8" t="s">
        <v>20</v>
      </c>
      <c r="T33" s="9">
        <v>7.9</v>
      </c>
      <c r="U33" s="10" t="s">
        <v>19</v>
      </c>
    </row>
    <row r="34" spans="1:21" ht="129.6" x14ac:dyDescent="0.25">
      <c r="A34" s="7" t="s">
        <v>349</v>
      </c>
      <c r="B34" s="8" t="s">
        <v>102</v>
      </c>
      <c r="C34" s="3" t="s">
        <v>342</v>
      </c>
      <c r="D34" s="9">
        <v>10.9</v>
      </c>
      <c r="E34" s="3" t="s">
        <v>343</v>
      </c>
      <c r="F34" s="9">
        <v>5.2</v>
      </c>
      <c r="G34" s="3" t="s">
        <v>343</v>
      </c>
      <c r="H34" s="9">
        <v>12.8</v>
      </c>
      <c r="I34" s="9"/>
      <c r="J34" s="9"/>
      <c r="K34" s="3" t="s">
        <v>343</v>
      </c>
      <c r="L34" s="9">
        <v>11.5</v>
      </c>
      <c r="M34" s="9"/>
      <c r="N34" s="9"/>
      <c r="O34" s="8" t="s">
        <v>20</v>
      </c>
      <c r="P34" s="9">
        <v>40.4</v>
      </c>
      <c r="Q34" s="8" t="s">
        <v>339</v>
      </c>
      <c r="R34" s="9">
        <v>6.3</v>
      </c>
      <c r="S34" s="8" t="s">
        <v>20</v>
      </c>
      <c r="T34" s="9">
        <v>9.8000000000000007</v>
      </c>
      <c r="U34" s="3" t="s">
        <v>68</v>
      </c>
    </row>
    <row r="35" spans="1:21" ht="172.8" x14ac:dyDescent="0.25">
      <c r="A35" s="7" t="s">
        <v>350</v>
      </c>
      <c r="B35" s="10" t="s">
        <v>32</v>
      </c>
      <c r="C35" s="3" t="s">
        <v>337</v>
      </c>
      <c r="D35" s="9">
        <v>40.799999999999997</v>
      </c>
      <c r="E35" s="3" t="s">
        <v>338</v>
      </c>
      <c r="F35" s="9">
        <v>3.7</v>
      </c>
      <c r="G35" s="3" t="s">
        <v>338</v>
      </c>
      <c r="H35" s="9">
        <v>43.9</v>
      </c>
      <c r="I35" s="9"/>
      <c r="J35" s="9"/>
      <c r="K35" s="3" t="s">
        <v>338</v>
      </c>
      <c r="L35" s="9">
        <v>4.9000000000000004</v>
      </c>
      <c r="M35" s="9"/>
      <c r="N35" s="9"/>
      <c r="O35" s="8" t="s">
        <v>20</v>
      </c>
      <c r="P35" s="9">
        <v>93.3</v>
      </c>
      <c r="Q35" s="8" t="s">
        <v>339</v>
      </c>
      <c r="R35" s="9">
        <v>38.700000000000003</v>
      </c>
      <c r="S35" s="8" t="s">
        <v>20</v>
      </c>
      <c r="T35" s="9">
        <v>16.899999999999999</v>
      </c>
      <c r="U35" s="10" t="s">
        <v>19</v>
      </c>
    </row>
    <row r="36" spans="1:21" ht="115.2" x14ac:dyDescent="0.25">
      <c r="A36" s="7" t="s">
        <v>351</v>
      </c>
      <c r="B36" s="10" t="s">
        <v>32</v>
      </c>
      <c r="C36" s="3" t="s">
        <v>337</v>
      </c>
      <c r="D36" s="9">
        <v>58</v>
      </c>
      <c r="E36" s="10" t="s">
        <v>19</v>
      </c>
      <c r="F36" s="9">
        <v>0</v>
      </c>
      <c r="G36" s="3" t="s">
        <v>338</v>
      </c>
      <c r="H36" s="9">
        <v>115.9</v>
      </c>
      <c r="I36" s="9"/>
      <c r="J36" s="9"/>
      <c r="K36" s="3" t="s">
        <v>338</v>
      </c>
      <c r="L36" s="9">
        <v>7</v>
      </c>
      <c r="M36" s="9"/>
      <c r="N36" s="9"/>
      <c r="O36" s="8" t="s">
        <v>20</v>
      </c>
      <c r="P36" s="9">
        <v>180.9</v>
      </c>
      <c r="Q36" s="8" t="s">
        <v>339</v>
      </c>
      <c r="R36" s="9">
        <v>62.9</v>
      </c>
      <c r="S36" s="8" t="s">
        <v>20</v>
      </c>
      <c r="T36" s="9">
        <v>40.1</v>
      </c>
      <c r="U36" s="10" t="s">
        <v>19</v>
      </c>
    </row>
    <row r="37" spans="1:21" ht="172.8" x14ac:dyDescent="0.25">
      <c r="A37" s="7" t="s">
        <v>352</v>
      </c>
      <c r="B37" s="8" t="s">
        <v>212</v>
      </c>
      <c r="C37" s="3" t="s">
        <v>337</v>
      </c>
      <c r="D37" s="9">
        <v>83.5</v>
      </c>
      <c r="E37" s="10" t="s">
        <v>19</v>
      </c>
      <c r="F37" s="9">
        <v>0</v>
      </c>
      <c r="G37" s="10" t="s">
        <v>19</v>
      </c>
      <c r="H37" s="9">
        <v>0</v>
      </c>
      <c r="I37" s="9"/>
      <c r="J37" s="9"/>
      <c r="K37" s="10" t="s">
        <v>19</v>
      </c>
      <c r="L37" s="9">
        <v>0</v>
      </c>
      <c r="M37" s="9"/>
      <c r="N37" s="9"/>
      <c r="O37" s="8" t="s">
        <v>20</v>
      </c>
      <c r="P37" s="9">
        <v>83.5</v>
      </c>
      <c r="Q37" s="3" t="s">
        <v>347</v>
      </c>
      <c r="R37" s="9">
        <v>28</v>
      </c>
      <c r="S37" s="8" t="s">
        <v>20</v>
      </c>
      <c r="T37" s="9">
        <v>20.399999999999999</v>
      </c>
      <c r="U37" s="10" t="s">
        <v>19</v>
      </c>
    </row>
    <row r="38" spans="1:21" ht="86.4" x14ac:dyDescent="0.25">
      <c r="A38" s="128" t="s">
        <v>353</v>
      </c>
      <c r="B38" s="128" t="s">
        <v>32</v>
      </c>
      <c r="C38" s="129" t="s">
        <v>354</v>
      </c>
      <c r="D38" s="130">
        <v>17.7</v>
      </c>
      <c r="E38" s="128" t="s">
        <v>19</v>
      </c>
      <c r="F38" s="130">
        <v>0</v>
      </c>
      <c r="G38" s="129" t="s">
        <v>355</v>
      </c>
      <c r="H38" s="130">
        <v>31.5</v>
      </c>
      <c r="I38" s="121"/>
      <c r="J38" s="121"/>
      <c r="K38" s="128" t="s">
        <v>19</v>
      </c>
      <c r="L38" s="130">
        <v>0</v>
      </c>
      <c r="M38" s="121"/>
      <c r="N38" s="121"/>
      <c r="O38" s="131" t="s">
        <v>20</v>
      </c>
      <c r="P38" s="130">
        <v>49.2</v>
      </c>
      <c r="Q38" s="129" t="s">
        <v>356</v>
      </c>
      <c r="R38" s="130">
        <v>21.8</v>
      </c>
      <c r="S38" s="131" t="s">
        <v>20</v>
      </c>
      <c r="T38" s="130">
        <v>9.4</v>
      </c>
      <c r="U38" s="129" t="s">
        <v>68</v>
      </c>
    </row>
    <row r="39" spans="1:21" ht="86.4" x14ac:dyDescent="0.25">
      <c r="A39" s="128" t="s">
        <v>357</v>
      </c>
      <c r="B39" s="128" t="s">
        <v>265</v>
      </c>
      <c r="C39" s="129" t="s">
        <v>354</v>
      </c>
      <c r="D39" s="130">
        <v>51.7</v>
      </c>
      <c r="E39" s="128" t="s">
        <v>19</v>
      </c>
      <c r="F39" s="130">
        <v>0</v>
      </c>
      <c r="G39" s="129" t="s">
        <v>355</v>
      </c>
      <c r="H39" s="130">
        <v>37.6</v>
      </c>
      <c r="I39" s="121"/>
      <c r="J39" s="121"/>
      <c r="K39" s="129" t="s">
        <v>355</v>
      </c>
      <c r="L39" s="130">
        <v>24.6</v>
      </c>
      <c r="M39" s="122"/>
      <c r="N39" s="122"/>
      <c r="O39" s="131" t="s">
        <v>20</v>
      </c>
      <c r="P39" s="130">
        <v>113.8</v>
      </c>
      <c r="Q39" s="129" t="s">
        <v>356</v>
      </c>
      <c r="R39" s="130">
        <v>87.4</v>
      </c>
      <c r="S39" s="131" t="s">
        <v>20</v>
      </c>
      <c r="T39" s="130">
        <v>32.700000000000003</v>
      </c>
      <c r="U39" s="129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G31"/>
  <sheetViews>
    <sheetView workbookViewId="0">
      <selection sqref="A1:B1"/>
    </sheetView>
  </sheetViews>
  <sheetFormatPr defaultColWidth="9.33203125" defaultRowHeight="13.2" x14ac:dyDescent="0.25"/>
  <cols>
    <col min="1" max="1" width="9.77734375" style="155" customWidth="1"/>
    <col min="2" max="2" width="13.109375" style="155" customWidth="1"/>
    <col min="3" max="16384" width="9.33203125" style="155"/>
  </cols>
  <sheetData>
    <row r="1" spans="1:7" x14ac:dyDescent="0.25">
      <c r="A1" s="710" t="s">
        <v>561</v>
      </c>
      <c r="B1" s="710"/>
    </row>
    <row r="2" spans="1:7" ht="12.75" customHeight="1" x14ac:dyDescent="0.25">
      <c r="A2" s="154" t="s">
        <v>562</v>
      </c>
      <c r="B2" s="153"/>
    </row>
    <row r="3" spans="1:7" ht="26.4" x14ac:dyDescent="0.25">
      <c r="A3" s="172"/>
      <c r="B3" s="153" t="s">
        <v>563</v>
      </c>
      <c r="G3" s="153" t="s">
        <v>563</v>
      </c>
    </row>
    <row r="4" spans="1:7" x14ac:dyDescent="0.25">
      <c r="A4" s="159" t="s">
        <v>396</v>
      </c>
      <c r="B4" s="147">
        <v>85.4</v>
      </c>
      <c r="E4" s="157">
        <f ca="1">B4-RANDBETWEEN(2, 5)-RANDBETWEEN(1,10)/10</f>
        <v>81.2</v>
      </c>
      <c r="G4" s="147">
        <v>89.4</v>
      </c>
    </row>
    <row r="5" spans="1:7" x14ac:dyDescent="0.25">
      <c r="A5" s="159" t="s">
        <v>397</v>
      </c>
      <c r="B5" s="147">
        <v>130.69999999999999</v>
      </c>
      <c r="E5" s="157">
        <f t="shared" ref="E5:E31" ca="1" si="0">B5-RANDBETWEEN(2, 5)-RANDBETWEEN(1,10)/10</f>
        <v>125.79999999999998</v>
      </c>
      <c r="G5" s="147">
        <v>133.5</v>
      </c>
    </row>
    <row r="6" spans="1:7" x14ac:dyDescent="0.25">
      <c r="A6" s="159" t="s">
        <v>398</v>
      </c>
      <c r="B6" s="147">
        <v>362.2</v>
      </c>
      <c r="E6" s="157">
        <f t="shared" ca="1" si="0"/>
        <v>357.59999999999997</v>
      </c>
      <c r="G6" s="147">
        <v>367.5</v>
      </c>
    </row>
    <row r="7" spans="1:7" x14ac:dyDescent="0.25">
      <c r="A7" s="159" t="s">
        <v>399</v>
      </c>
      <c r="B7" s="147">
        <v>125.30000000000001</v>
      </c>
      <c r="E7" s="157">
        <f t="shared" ca="1" si="0"/>
        <v>121.50000000000001</v>
      </c>
      <c r="G7" s="147">
        <v>131.30000000000001</v>
      </c>
    </row>
    <row r="8" spans="1:7" x14ac:dyDescent="0.25">
      <c r="A8" s="159" t="s">
        <v>400</v>
      </c>
      <c r="B8" s="147">
        <v>61.400000000000006</v>
      </c>
      <c r="E8" s="157">
        <f t="shared" ca="1" si="0"/>
        <v>58.100000000000009</v>
      </c>
      <c r="G8" s="147">
        <v>67.400000000000006</v>
      </c>
    </row>
    <row r="9" spans="1:7" x14ac:dyDescent="0.25">
      <c r="A9" s="159" t="s">
        <v>401</v>
      </c>
      <c r="B9" s="147">
        <v>126.69999999999999</v>
      </c>
      <c r="E9" s="157">
        <f t="shared" ca="1" si="0"/>
        <v>122.6</v>
      </c>
      <c r="G9" s="147">
        <v>129.69999999999999</v>
      </c>
    </row>
    <row r="10" spans="1:7" x14ac:dyDescent="0.25">
      <c r="A10" s="159" t="s">
        <v>402</v>
      </c>
      <c r="B10" s="147">
        <v>91.7</v>
      </c>
      <c r="E10" s="157">
        <f t="shared" ca="1" si="0"/>
        <v>88.2</v>
      </c>
      <c r="G10" s="147">
        <v>95.8</v>
      </c>
    </row>
    <row r="11" spans="1:7" x14ac:dyDescent="0.25">
      <c r="A11" s="159" t="s">
        <v>403</v>
      </c>
      <c r="B11" s="147">
        <v>62.7</v>
      </c>
      <c r="E11" s="157">
        <f t="shared" ca="1" si="0"/>
        <v>57.5</v>
      </c>
      <c r="G11" s="147">
        <v>67.400000000000006</v>
      </c>
    </row>
    <row r="12" spans="1:7" x14ac:dyDescent="0.25">
      <c r="A12" s="159" t="s">
        <v>404</v>
      </c>
      <c r="B12" s="147">
        <v>302.60000000000002</v>
      </c>
      <c r="E12" s="157">
        <f t="shared" ca="1" si="0"/>
        <v>297.90000000000003</v>
      </c>
      <c r="G12" s="147">
        <v>305.5</v>
      </c>
    </row>
    <row r="13" spans="1:7" x14ac:dyDescent="0.25">
      <c r="A13" s="159" t="s">
        <v>405</v>
      </c>
      <c r="B13" s="147">
        <v>414</v>
      </c>
      <c r="E13" s="157">
        <f t="shared" ca="1" si="0"/>
        <v>409.8</v>
      </c>
      <c r="G13" s="147">
        <v>419</v>
      </c>
    </row>
    <row r="14" spans="1:7" x14ac:dyDescent="0.25">
      <c r="A14" s="159" t="s">
        <v>406</v>
      </c>
      <c r="B14" s="147">
        <v>95.2</v>
      </c>
      <c r="E14" s="157">
        <f t="shared" ca="1" si="0"/>
        <v>91.7</v>
      </c>
      <c r="G14" s="147">
        <v>98.3</v>
      </c>
    </row>
    <row r="15" spans="1:7" x14ac:dyDescent="0.25">
      <c r="A15" s="159" t="s">
        <v>407</v>
      </c>
      <c r="B15" s="147">
        <v>112.3</v>
      </c>
      <c r="E15" s="157">
        <f t="shared" ca="1" si="0"/>
        <v>109.2</v>
      </c>
      <c r="G15" s="147">
        <v>115.3</v>
      </c>
    </row>
    <row r="16" spans="1:7" x14ac:dyDescent="0.25">
      <c r="A16" s="159" t="s">
        <v>408</v>
      </c>
      <c r="B16" s="147">
        <v>66.900000000000006</v>
      </c>
      <c r="E16" s="157">
        <f t="shared" ca="1" si="0"/>
        <v>61.100000000000009</v>
      </c>
      <c r="G16" s="147">
        <v>70.400000000000006</v>
      </c>
    </row>
    <row r="17" spans="1:7" x14ac:dyDescent="0.25">
      <c r="A17" s="159" t="s">
        <v>409</v>
      </c>
      <c r="B17" s="147">
        <v>218.5</v>
      </c>
      <c r="E17" s="157">
        <f t="shared" ca="1" si="0"/>
        <v>212.9</v>
      </c>
      <c r="G17" s="147">
        <v>223.7</v>
      </c>
    </row>
    <row r="18" spans="1:7" x14ac:dyDescent="0.25">
      <c r="A18" s="160" t="s">
        <v>410</v>
      </c>
      <c r="B18" s="147">
        <v>40.700000000000003</v>
      </c>
      <c r="E18" s="157">
        <f t="shared" ca="1" si="0"/>
        <v>34.800000000000004</v>
      </c>
      <c r="G18" s="147">
        <v>45.2</v>
      </c>
    </row>
    <row r="19" spans="1:7" x14ac:dyDescent="0.25">
      <c r="A19" s="160" t="s">
        <v>411</v>
      </c>
      <c r="B19" s="147">
        <v>40.299999999999997</v>
      </c>
      <c r="E19" s="157">
        <f t="shared" ca="1" si="0"/>
        <v>37.799999999999997</v>
      </c>
      <c r="G19" s="147">
        <v>42.4</v>
      </c>
    </row>
    <row r="20" spans="1:7" x14ac:dyDescent="0.25">
      <c r="A20" s="160" t="s">
        <v>412</v>
      </c>
      <c r="B20" s="147">
        <v>75.099999999999994</v>
      </c>
      <c r="E20" s="157">
        <f t="shared" ca="1" si="0"/>
        <v>69.3</v>
      </c>
      <c r="G20" s="147">
        <v>79.099999999999994</v>
      </c>
    </row>
    <row r="21" spans="1:7" x14ac:dyDescent="0.25">
      <c r="A21" s="160" t="s">
        <v>413</v>
      </c>
      <c r="B21" s="147">
        <v>88.8</v>
      </c>
      <c r="E21" s="157">
        <f t="shared" ca="1" si="0"/>
        <v>83.6</v>
      </c>
      <c r="G21" s="147">
        <v>94.2</v>
      </c>
    </row>
    <row r="22" spans="1:7" x14ac:dyDescent="0.25">
      <c r="A22" s="161" t="s">
        <v>414</v>
      </c>
      <c r="B22" s="147">
        <v>84.5</v>
      </c>
      <c r="E22" s="157">
        <f t="shared" ca="1" si="0"/>
        <v>79.599999999999994</v>
      </c>
      <c r="G22" s="147">
        <v>89.7</v>
      </c>
    </row>
    <row r="23" spans="1:7" x14ac:dyDescent="0.25">
      <c r="A23" s="161" t="s">
        <v>415</v>
      </c>
      <c r="B23" s="147">
        <v>461</v>
      </c>
      <c r="E23" s="157">
        <f t="shared" ca="1" si="0"/>
        <v>458.4</v>
      </c>
      <c r="G23" s="147">
        <v>464.7</v>
      </c>
    </row>
    <row r="24" spans="1:7" x14ac:dyDescent="0.25">
      <c r="A24" s="161" t="s">
        <v>416</v>
      </c>
      <c r="B24" s="147">
        <v>337.1</v>
      </c>
      <c r="E24" s="157">
        <f t="shared" ca="1" si="0"/>
        <v>334.6</v>
      </c>
      <c r="G24" s="147">
        <v>342.8</v>
      </c>
    </row>
    <row r="25" spans="1:7" x14ac:dyDescent="0.25">
      <c r="A25" s="161" t="s">
        <v>417</v>
      </c>
      <c r="B25" s="147">
        <v>67.8</v>
      </c>
      <c r="E25" s="157">
        <f t="shared" ca="1" si="0"/>
        <v>64.7</v>
      </c>
      <c r="G25" s="147">
        <v>73.5</v>
      </c>
    </row>
    <row r="26" spans="1:7" x14ac:dyDescent="0.25">
      <c r="A26" s="160" t="s">
        <v>418</v>
      </c>
      <c r="B26" s="147">
        <v>138.5</v>
      </c>
      <c r="E26" s="157">
        <f t="shared" ca="1" si="0"/>
        <v>136.19999999999999</v>
      </c>
      <c r="G26" s="147">
        <v>142.30000000000001</v>
      </c>
    </row>
    <row r="27" spans="1:7" x14ac:dyDescent="0.25">
      <c r="A27" s="160" t="s">
        <v>419</v>
      </c>
      <c r="B27" s="147">
        <v>113.60000000000001</v>
      </c>
      <c r="E27" s="157">
        <f t="shared" ca="1" si="0"/>
        <v>108.4</v>
      </c>
      <c r="G27" s="147">
        <v>118.9</v>
      </c>
    </row>
    <row r="28" spans="1:7" x14ac:dyDescent="0.25">
      <c r="A28" s="160" t="s">
        <v>420</v>
      </c>
      <c r="B28" s="147">
        <v>301.5</v>
      </c>
      <c r="E28" s="157">
        <f t="shared" ca="1" si="0"/>
        <v>296.10000000000002</v>
      </c>
      <c r="G28" s="147">
        <v>304.3</v>
      </c>
    </row>
    <row r="29" spans="1:7" x14ac:dyDescent="0.25">
      <c r="A29" s="161" t="s">
        <v>421</v>
      </c>
      <c r="B29" s="147">
        <v>390.59999999999997</v>
      </c>
      <c r="E29" s="157">
        <f t="shared" ca="1" si="0"/>
        <v>387.9</v>
      </c>
      <c r="G29" s="147">
        <v>395.7</v>
      </c>
    </row>
    <row r="30" spans="1:7" x14ac:dyDescent="0.25">
      <c r="A30" s="161" t="s">
        <v>422</v>
      </c>
      <c r="B30" s="147">
        <v>188.60000000000002</v>
      </c>
      <c r="E30" s="157">
        <f t="shared" ca="1" si="0"/>
        <v>185.3</v>
      </c>
      <c r="G30" s="147">
        <v>190.8</v>
      </c>
    </row>
    <row r="31" spans="1:7" x14ac:dyDescent="0.25">
      <c r="A31" s="146" t="s">
        <v>423</v>
      </c>
      <c r="B31" s="147">
        <v>223.4</v>
      </c>
      <c r="E31" s="157">
        <f t="shared" ca="1" si="0"/>
        <v>219.3</v>
      </c>
      <c r="G31" s="147">
        <v>227.1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85"/>
  <sheetViews>
    <sheetView workbookViewId="0">
      <selection sqref="A1:B1"/>
    </sheetView>
  </sheetViews>
  <sheetFormatPr defaultColWidth="9.33203125" defaultRowHeight="13.2" x14ac:dyDescent="0.25"/>
  <cols>
    <col min="1" max="1" width="21" style="155" customWidth="1"/>
    <col min="2" max="2" width="12.77734375" style="155" customWidth="1"/>
    <col min="3" max="16384" width="9.33203125" style="155"/>
  </cols>
  <sheetData>
    <row r="1" spans="1:7" ht="31.5" customHeight="1" x14ac:dyDescent="0.25">
      <c r="A1" s="711" t="s">
        <v>561</v>
      </c>
      <c r="B1" s="712"/>
    </row>
    <row r="2" spans="1:7" ht="17.25" customHeight="1" x14ac:dyDescent="0.25">
      <c r="A2" s="713" t="s">
        <v>565</v>
      </c>
      <c r="B2" s="153"/>
    </row>
    <row r="3" spans="1:7" ht="17.25" customHeight="1" x14ac:dyDescent="0.25">
      <c r="A3" s="710"/>
      <c r="B3" s="153"/>
    </row>
    <row r="4" spans="1:7" ht="26.4" x14ac:dyDescent="0.25">
      <c r="A4" s="710"/>
      <c r="B4" s="153" t="s">
        <v>563</v>
      </c>
      <c r="G4" s="153" t="s">
        <v>563</v>
      </c>
    </row>
    <row r="5" spans="1:7" x14ac:dyDescent="0.25">
      <c r="A5" s="146" t="s">
        <v>481</v>
      </c>
      <c r="B5" s="147">
        <v>10.4</v>
      </c>
      <c r="E5" s="157">
        <f ca="1">B5-RANDBETWEEN(2, 5)-RANDBETWEEN(1,10)/10</f>
        <v>5.7</v>
      </c>
      <c r="F5" s="157"/>
      <c r="G5" s="147">
        <v>11</v>
      </c>
    </row>
    <row r="6" spans="1:7" x14ac:dyDescent="0.25">
      <c r="A6" s="146" t="s">
        <v>482</v>
      </c>
      <c r="B6" s="147">
        <v>27.4</v>
      </c>
      <c r="E6" s="157">
        <f t="shared" ref="E6:E69" ca="1" si="0">B6-RANDBETWEEN(2, 5)-RANDBETWEEN(1,10)/10</f>
        <v>24.4</v>
      </c>
      <c r="G6" s="147">
        <v>32.9</v>
      </c>
    </row>
    <row r="7" spans="1:7" x14ac:dyDescent="0.25">
      <c r="A7" s="146" t="s">
        <v>483</v>
      </c>
      <c r="B7" s="147">
        <v>24.1</v>
      </c>
      <c r="E7" s="157">
        <f t="shared" ca="1" si="0"/>
        <v>19.900000000000002</v>
      </c>
      <c r="G7" s="147">
        <v>27.1</v>
      </c>
    </row>
    <row r="8" spans="1:7" x14ac:dyDescent="0.25">
      <c r="A8" s="146" t="s">
        <v>424</v>
      </c>
      <c r="B8" s="147">
        <v>439.4</v>
      </c>
      <c r="E8" s="157">
        <f t="shared" ca="1" si="0"/>
        <v>437.09999999999997</v>
      </c>
      <c r="G8" s="147">
        <v>444.7</v>
      </c>
    </row>
    <row r="9" spans="1:7" x14ac:dyDescent="0.25">
      <c r="A9" s="146" t="s">
        <v>484</v>
      </c>
      <c r="B9" s="147">
        <v>64.7</v>
      </c>
      <c r="E9" s="157">
        <f t="shared" ca="1" si="0"/>
        <v>61</v>
      </c>
      <c r="G9" s="147">
        <v>68.7</v>
      </c>
    </row>
    <row r="10" spans="1:7" x14ac:dyDescent="0.25">
      <c r="A10" s="146" t="s">
        <v>485</v>
      </c>
      <c r="B10" s="147">
        <v>30.7</v>
      </c>
      <c r="E10" s="157">
        <f t="shared" ca="1" si="0"/>
        <v>25.9</v>
      </c>
      <c r="G10" s="147">
        <v>36.5</v>
      </c>
    </row>
    <row r="11" spans="1:7" x14ac:dyDescent="0.25">
      <c r="A11" s="146" t="s">
        <v>486</v>
      </c>
      <c r="B11" s="147">
        <v>43.800000000000004</v>
      </c>
      <c r="E11" s="157">
        <f t="shared" ca="1" si="0"/>
        <v>38.900000000000006</v>
      </c>
      <c r="G11" s="147">
        <v>46.7</v>
      </c>
    </row>
    <row r="12" spans="1:7" x14ac:dyDescent="0.25">
      <c r="A12" s="146" t="s">
        <v>487</v>
      </c>
      <c r="B12" s="147">
        <v>150</v>
      </c>
      <c r="E12" s="157">
        <f t="shared" ca="1" si="0"/>
        <v>145.1</v>
      </c>
      <c r="G12" s="147">
        <v>155.5</v>
      </c>
    </row>
    <row r="13" spans="1:7" x14ac:dyDescent="0.25">
      <c r="A13" s="146" t="s">
        <v>488</v>
      </c>
      <c r="B13" s="147">
        <v>114.19999999999999</v>
      </c>
      <c r="E13" s="157">
        <f t="shared" ca="1" si="0"/>
        <v>109.99999999999999</v>
      </c>
      <c r="G13" s="147">
        <v>118.6</v>
      </c>
    </row>
    <row r="14" spans="1:7" x14ac:dyDescent="0.25">
      <c r="A14" s="146" t="s">
        <v>489</v>
      </c>
      <c r="B14" s="147">
        <v>105.9</v>
      </c>
      <c r="E14" s="157">
        <f t="shared" ca="1" si="0"/>
        <v>99.9</v>
      </c>
      <c r="G14" s="147">
        <v>109.5</v>
      </c>
    </row>
    <row r="15" spans="1:7" x14ac:dyDescent="0.25">
      <c r="A15" s="146" t="s">
        <v>490</v>
      </c>
      <c r="B15" s="147">
        <v>107.10000000000001</v>
      </c>
      <c r="E15" s="157">
        <f t="shared" ca="1" si="0"/>
        <v>102.9</v>
      </c>
      <c r="G15" s="147">
        <v>112.7</v>
      </c>
    </row>
    <row r="16" spans="1:7" x14ac:dyDescent="0.25">
      <c r="A16" s="146" t="s">
        <v>491</v>
      </c>
      <c r="B16" s="147">
        <v>169.5</v>
      </c>
      <c r="E16" s="157">
        <f t="shared" ca="1" si="0"/>
        <v>164.8</v>
      </c>
      <c r="G16" s="147">
        <v>174.2</v>
      </c>
    </row>
    <row r="17" spans="1:7" x14ac:dyDescent="0.25">
      <c r="A17" s="146" t="s">
        <v>492</v>
      </c>
      <c r="B17" s="147">
        <v>77.5</v>
      </c>
      <c r="E17" s="157">
        <f t="shared" ca="1" si="0"/>
        <v>72.2</v>
      </c>
      <c r="G17" s="147">
        <v>80.2</v>
      </c>
    </row>
    <row r="18" spans="1:7" x14ac:dyDescent="0.25">
      <c r="A18" s="146" t="s">
        <v>493</v>
      </c>
      <c r="B18" s="147">
        <v>32.199999999999996</v>
      </c>
      <c r="E18" s="157">
        <f t="shared" ca="1" si="0"/>
        <v>28.999999999999996</v>
      </c>
      <c r="G18" s="147">
        <v>34.799999999999997</v>
      </c>
    </row>
    <row r="19" spans="1:7" x14ac:dyDescent="0.25">
      <c r="A19" s="146" t="s">
        <v>494</v>
      </c>
      <c r="B19" s="147">
        <v>74.5</v>
      </c>
      <c r="E19" s="157">
        <f t="shared" ca="1" si="0"/>
        <v>69.599999999999994</v>
      </c>
      <c r="G19" s="147">
        <v>80.3</v>
      </c>
    </row>
    <row r="20" spans="1:7" x14ac:dyDescent="0.25">
      <c r="A20" s="146" t="s">
        <v>495</v>
      </c>
      <c r="B20" s="147">
        <v>19</v>
      </c>
      <c r="E20" s="157">
        <f t="shared" ca="1" si="0"/>
        <v>15.9</v>
      </c>
      <c r="G20" s="147">
        <v>22.7</v>
      </c>
    </row>
    <row r="21" spans="1:7" x14ac:dyDescent="0.25">
      <c r="A21" s="146" t="s">
        <v>496</v>
      </c>
      <c r="B21" s="147">
        <v>55.9</v>
      </c>
      <c r="E21" s="157">
        <f t="shared" ca="1" si="0"/>
        <v>53.5</v>
      </c>
      <c r="G21" s="147">
        <v>59.4</v>
      </c>
    </row>
    <row r="22" spans="1:7" x14ac:dyDescent="0.25">
      <c r="A22" s="146" t="s">
        <v>497</v>
      </c>
      <c r="B22" s="147">
        <v>55.1</v>
      </c>
      <c r="E22" s="157">
        <f t="shared" ca="1" si="0"/>
        <v>51.5</v>
      </c>
      <c r="G22" s="147">
        <v>58</v>
      </c>
    </row>
    <row r="23" spans="1:7" x14ac:dyDescent="0.25">
      <c r="A23" s="146" t="s">
        <v>498</v>
      </c>
      <c r="B23" s="147">
        <v>62.900000000000006</v>
      </c>
      <c r="E23" s="157">
        <f t="shared" ca="1" si="0"/>
        <v>60.000000000000007</v>
      </c>
      <c r="G23" s="147">
        <v>67.2</v>
      </c>
    </row>
    <row r="24" spans="1:7" x14ac:dyDescent="0.25">
      <c r="A24" s="146" t="s">
        <v>499</v>
      </c>
      <c r="B24" s="147">
        <v>39.400000000000006</v>
      </c>
      <c r="E24" s="157">
        <f t="shared" ca="1" si="0"/>
        <v>34.000000000000007</v>
      </c>
      <c r="G24" s="147">
        <v>43.7</v>
      </c>
    </row>
    <row r="25" spans="1:7" x14ac:dyDescent="0.25">
      <c r="A25" s="146" t="s">
        <v>500</v>
      </c>
      <c r="B25" s="147">
        <v>29.7</v>
      </c>
      <c r="E25" s="157">
        <f t="shared" ca="1" si="0"/>
        <v>26.7</v>
      </c>
      <c r="G25" s="147">
        <v>33</v>
      </c>
    </row>
    <row r="26" spans="1:7" x14ac:dyDescent="0.25">
      <c r="A26" s="146" t="s">
        <v>501</v>
      </c>
      <c r="B26" s="147">
        <v>37.4</v>
      </c>
      <c r="E26" s="157">
        <f t="shared" ca="1" si="0"/>
        <v>32.299999999999997</v>
      </c>
      <c r="G26" s="147">
        <v>42.9</v>
      </c>
    </row>
    <row r="27" spans="1:7" x14ac:dyDescent="0.25">
      <c r="A27" s="146" t="s">
        <v>502</v>
      </c>
      <c r="B27" s="147">
        <v>49.199999999999996</v>
      </c>
      <c r="E27" s="157">
        <f t="shared" ca="1" si="0"/>
        <v>44.199999999999996</v>
      </c>
      <c r="G27" s="147">
        <v>51.3</v>
      </c>
    </row>
    <row r="28" spans="1:7" x14ac:dyDescent="0.25">
      <c r="A28" s="146" t="s">
        <v>503</v>
      </c>
      <c r="B28" s="147">
        <v>47.2</v>
      </c>
      <c r="E28" s="157">
        <f t="shared" ca="1" si="0"/>
        <v>42.400000000000006</v>
      </c>
      <c r="G28" s="147">
        <v>50.7</v>
      </c>
    </row>
    <row r="29" spans="1:7" x14ac:dyDescent="0.25">
      <c r="A29" s="146" t="s">
        <v>504</v>
      </c>
      <c r="B29" s="147">
        <v>54.5</v>
      </c>
      <c r="E29" s="157">
        <f t="shared" ca="1" si="0"/>
        <v>49.8</v>
      </c>
      <c r="G29" s="147">
        <v>59.7</v>
      </c>
    </row>
    <row r="30" spans="1:7" x14ac:dyDescent="0.25">
      <c r="A30" s="146" t="s">
        <v>505</v>
      </c>
      <c r="B30" s="147">
        <v>59.2</v>
      </c>
      <c r="E30" s="157">
        <f t="shared" ca="1" si="0"/>
        <v>55.800000000000004</v>
      </c>
      <c r="G30" s="147">
        <v>63.5</v>
      </c>
    </row>
    <row r="31" spans="1:7" x14ac:dyDescent="0.25">
      <c r="A31" s="146" t="s">
        <v>506</v>
      </c>
      <c r="B31" s="147">
        <v>79.100000000000009</v>
      </c>
      <c r="E31" s="157">
        <f t="shared" ca="1" si="0"/>
        <v>74.2</v>
      </c>
      <c r="G31" s="147">
        <v>81.7</v>
      </c>
    </row>
    <row r="32" spans="1:7" x14ac:dyDescent="0.25">
      <c r="A32" s="146" t="s">
        <v>507</v>
      </c>
      <c r="B32" s="147">
        <v>85.600000000000009</v>
      </c>
      <c r="E32" s="157">
        <f t="shared" ca="1" si="0"/>
        <v>79.900000000000006</v>
      </c>
      <c r="G32" s="147">
        <v>90.9</v>
      </c>
    </row>
    <row r="33" spans="1:7" x14ac:dyDescent="0.25">
      <c r="A33" s="146" t="s">
        <v>508</v>
      </c>
      <c r="B33" s="147">
        <v>172.89999999999998</v>
      </c>
      <c r="E33" s="157">
        <f t="shared" ca="1" si="0"/>
        <v>170.79999999999998</v>
      </c>
      <c r="G33" s="147">
        <v>177.2</v>
      </c>
    </row>
    <row r="34" spans="1:7" x14ac:dyDescent="0.25">
      <c r="A34" s="146" t="s">
        <v>509</v>
      </c>
      <c r="B34" s="147">
        <v>260.70000000000005</v>
      </c>
      <c r="E34" s="157">
        <f t="shared" ca="1" si="0"/>
        <v>258.10000000000002</v>
      </c>
      <c r="G34" s="147">
        <v>263.10000000000002</v>
      </c>
    </row>
    <row r="35" spans="1:7" x14ac:dyDescent="0.25">
      <c r="A35" s="146" t="s">
        <v>510</v>
      </c>
      <c r="B35" s="147">
        <v>106.19999999999999</v>
      </c>
      <c r="E35" s="157">
        <f t="shared" ca="1" si="0"/>
        <v>103.79999999999998</v>
      </c>
      <c r="G35" s="147">
        <v>110.6</v>
      </c>
    </row>
    <row r="36" spans="1:7" x14ac:dyDescent="0.25">
      <c r="A36" s="146" t="s">
        <v>511</v>
      </c>
      <c r="B36" s="147">
        <v>76.7</v>
      </c>
      <c r="E36" s="157">
        <f t="shared" ca="1" si="0"/>
        <v>71</v>
      </c>
      <c r="G36" s="147">
        <v>82.3</v>
      </c>
    </row>
    <row r="37" spans="1:7" x14ac:dyDescent="0.25">
      <c r="A37" s="146" t="s">
        <v>512</v>
      </c>
      <c r="B37" s="147">
        <v>73.400000000000006</v>
      </c>
      <c r="E37" s="157">
        <f t="shared" ca="1" si="0"/>
        <v>70.300000000000011</v>
      </c>
      <c r="G37" s="147">
        <v>78.400000000000006</v>
      </c>
    </row>
    <row r="38" spans="1:7" x14ac:dyDescent="0.25">
      <c r="A38" s="146" t="s">
        <v>513</v>
      </c>
      <c r="B38" s="147">
        <v>93.2</v>
      </c>
      <c r="E38" s="157">
        <f t="shared" ca="1" si="0"/>
        <v>87.4</v>
      </c>
      <c r="G38" s="147">
        <v>96.3</v>
      </c>
    </row>
    <row r="39" spans="1:7" x14ac:dyDescent="0.25">
      <c r="A39" s="146" t="s">
        <v>514</v>
      </c>
      <c r="B39" s="147">
        <v>48.8</v>
      </c>
      <c r="E39" s="157">
        <f t="shared" ca="1" si="0"/>
        <v>43.4</v>
      </c>
      <c r="G39" s="147">
        <v>54.8</v>
      </c>
    </row>
    <row r="40" spans="1:7" x14ac:dyDescent="0.25">
      <c r="A40" s="146" t="s">
        <v>515</v>
      </c>
      <c r="B40" s="147">
        <v>45.6</v>
      </c>
      <c r="E40" s="157">
        <f t="shared" ca="1" si="0"/>
        <v>42.1</v>
      </c>
      <c r="G40" s="147">
        <v>49.9</v>
      </c>
    </row>
    <row r="41" spans="1:7" x14ac:dyDescent="0.25">
      <c r="A41" s="146" t="s">
        <v>516</v>
      </c>
      <c r="B41" s="147">
        <v>221.1</v>
      </c>
      <c r="E41" s="157">
        <f t="shared" ca="1" si="0"/>
        <v>217.1</v>
      </c>
      <c r="G41" s="147">
        <v>226.1</v>
      </c>
    </row>
    <row r="42" spans="1:7" x14ac:dyDescent="0.25">
      <c r="A42" s="146" t="s">
        <v>517</v>
      </c>
      <c r="B42" s="147">
        <v>120.5</v>
      </c>
      <c r="E42" s="157">
        <f t="shared" ca="1" si="0"/>
        <v>118.4</v>
      </c>
      <c r="G42" s="147">
        <v>125</v>
      </c>
    </row>
    <row r="43" spans="1:7" x14ac:dyDescent="0.25">
      <c r="A43" s="146" t="s">
        <v>518</v>
      </c>
      <c r="B43" s="147">
        <v>54</v>
      </c>
      <c r="E43" s="157">
        <f t="shared" ca="1" si="0"/>
        <v>48.8</v>
      </c>
      <c r="G43" s="147">
        <v>56.7</v>
      </c>
    </row>
    <row r="44" spans="1:7" x14ac:dyDescent="0.25">
      <c r="A44" s="146" t="s">
        <v>519</v>
      </c>
      <c r="B44" s="147">
        <v>187</v>
      </c>
      <c r="E44" s="157">
        <f t="shared" ca="1" si="0"/>
        <v>181.1</v>
      </c>
      <c r="G44" s="147">
        <v>191.3</v>
      </c>
    </row>
    <row r="45" spans="1:7" x14ac:dyDescent="0.25">
      <c r="A45" s="146" t="s">
        <v>520</v>
      </c>
      <c r="B45" s="147">
        <v>64.5</v>
      </c>
      <c r="E45" s="157">
        <f t="shared" ca="1" si="0"/>
        <v>60.8</v>
      </c>
      <c r="G45" s="147">
        <v>68.2</v>
      </c>
    </row>
    <row r="46" spans="1:7" x14ac:dyDescent="0.25">
      <c r="A46" s="146" t="s">
        <v>521</v>
      </c>
      <c r="B46" s="147">
        <v>54.5</v>
      </c>
      <c r="E46" s="157">
        <f t="shared" ca="1" si="0"/>
        <v>48.6</v>
      </c>
      <c r="G46" s="147">
        <v>56.8</v>
      </c>
    </row>
    <row r="47" spans="1:7" x14ac:dyDescent="0.25">
      <c r="A47" s="146" t="s">
        <v>522</v>
      </c>
      <c r="B47" s="147">
        <v>94.899999999999991</v>
      </c>
      <c r="E47" s="157">
        <f t="shared" ca="1" si="0"/>
        <v>91.499999999999986</v>
      </c>
      <c r="G47" s="147">
        <v>97.6</v>
      </c>
    </row>
    <row r="48" spans="1:7" x14ac:dyDescent="0.25">
      <c r="A48" s="146" t="s">
        <v>523</v>
      </c>
      <c r="B48" s="147">
        <v>49.8</v>
      </c>
      <c r="E48" s="157">
        <f t="shared" ca="1" si="0"/>
        <v>47.4</v>
      </c>
      <c r="G48" s="147">
        <v>54.8</v>
      </c>
    </row>
    <row r="49" spans="1:7" x14ac:dyDescent="0.25">
      <c r="A49" s="146" t="s">
        <v>524</v>
      </c>
      <c r="B49" s="147">
        <v>48.900000000000006</v>
      </c>
      <c r="E49" s="157">
        <f t="shared" ca="1" si="0"/>
        <v>45.600000000000009</v>
      </c>
      <c r="G49" s="147">
        <v>54.7</v>
      </c>
    </row>
    <row r="50" spans="1:7" x14ac:dyDescent="0.25">
      <c r="A50" s="146" t="s">
        <v>525</v>
      </c>
      <c r="B50" s="147">
        <v>50.5</v>
      </c>
      <c r="E50" s="157">
        <f t="shared" ca="1" si="0"/>
        <v>45</v>
      </c>
      <c r="G50" s="147">
        <v>54.7</v>
      </c>
    </row>
    <row r="51" spans="1:7" x14ac:dyDescent="0.25">
      <c r="A51" s="146" t="s">
        <v>526</v>
      </c>
      <c r="B51" s="147">
        <v>38.6</v>
      </c>
      <c r="E51" s="157">
        <f t="shared" ca="1" si="0"/>
        <v>32.800000000000004</v>
      </c>
      <c r="G51" s="147">
        <v>41.6</v>
      </c>
    </row>
    <row r="52" spans="1:7" x14ac:dyDescent="0.25">
      <c r="A52" s="146" t="s">
        <v>527</v>
      </c>
      <c r="B52" s="147">
        <v>27.8</v>
      </c>
      <c r="E52" s="157">
        <f t="shared" ca="1" si="0"/>
        <v>21.8</v>
      </c>
      <c r="G52" s="147">
        <v>30.5</v>
      </c>
    </row>
    <row r="53" spans="1:7" x14ac:dyDescent="0.25">
      <c r="A53" s="146" t="s">
        <v>528</v>
      </c>
      <c r="B53" s="147">
        <v>45.5</v>
      </c>
      <c r="E53" s="157">
        <f t="shared" ca="1" si="0"/>
        <v>41.6</v>
      </c>
      <c r="G53" s="147">
        <v>50</v>
      </c>
    </row>
    <row r="54" spans="1:7" x14ac:dyDescent="0.25">
      <c r="A54" s="146" t="s">
        <v>529</v>
      </c>
      <c r="B54" s="147">
        <v>39.5</v>
      </c>
      <c r="E54" s="157">
        <f t="shared" ca="1" si="0"/>
        <v>33.799999999999997</v>
      </c>
      <c r="G54" s="147">
        <v>42.1</v>
      </c>
    </row>
    <row r="55" spans="1:7" x14ac:dyDescent="0.25">
      <c r="A55" s="146" t="s">
        <v>530</v>
      </c>
      <c r="B55" s="147">
        <v>14.299999999999999</v>
      </c>
      <c r="E55" s="157">
        <f t="shared" ca="1" si="0"/>
        <v>8.9999999999999982</v>
      </c>
      <c r="G55" s="147">
        <v>19.7</v>
      </c>
    </row>
    <row r="56" spans="1:7" x14ac:dyDescent="0.25">
      <c r="A56" s="146" t="s">
        <v>531</v>
      </c>
      <c r="B56" s="147">
        <v>23.8</v>
      </c>
      <c r="E56" s="157">
        <f t="shared" ca="1" si="0"/>
        <v>20.100000000000001</v>
      </c>
      <c r="G56" s="147">
        <v>26.5</v>
      </c>
    </row>
    <row r="57" spans="1:7" x14ac:dyDescent="0.25">
      <c r="A57" s="146" t="s">
        <v>532</v>
      </c>
      <c r="B57" s="147">
        <v>44.9</v>
      </c>
      <c r="E57" s="157">
        <f t="shared" ca="1" si="0"/>
        <v>39.699999999999996</v>
      </c>
      <c r="G57" s="147">
        <v>48.4</v>
      </c>
    </row>
    <row r="58" spans="1:7" x14ac:dyDescent="0.25">
      <c r="A58" s="146" t="s">
        <v>533</v>
      </c>
      <c r="B58" s="147">
        <v>43</v>
      </c>
      <c r="E58" s="157">
        <f t="shared" ca="1" si="0"/>
        <v>37.4</v>
      </c>
      <c r="G58" s="147">
        <v>45.9</v>
      </c>
    </row>
    <row r="59" spans="1:7" x14ac:dyDescent="0.25">
      <c r="A59" s="146" t="s">
        <v>534</v>
      </c>
      <c r="B59" s="147">
        <v>39.799999999999997</v>
      </c>
      <c r="E59" s="157">
        <f t="shared" ca="1" si="0"/>
        <v>34.799999999999997</v>
      </c>
      <c r="G59" s="147">
        <v>45</v>
      </c>
    </row>
    <row r="60" spans="1:7" x14ac:dyDescent="0.25">
      <c r="A60" s="146" t="s">
        <v>535</v>
      </c>
      <c r="B60" s="147">
        <v>62.800000000000004</v>
      </c>
      <c r="E60" s="157">
        <f t="shared" ca="1" si="0"/>
        <v>59.800000000000004</v>
      </c>
      <c r="G60" s="147">
        <v>67.2</v>
      </c>
    </row>
    <row r="61" spans="1:7" x14ac:dyDescent="0.25">
      <c r="A61" s="146" t="s">
        <v>536</v>
      </c>
      <c r="B61" s="147">
        <v>201.10000000000002</v>
      </c>
      <c r="E61" s="157">
        <f t="shared" ca="1" si="0"/>
        <v>197.70000000000002</v>
      </c>
      <c r="G61" s="147">
        <v>203.8</v>
      </c>
    </row>
    <row r="62" spans="1:7" x14ac:dyDescent="0.25">
      <c r="A62" s="162" t="s">
        <v>537</v>
      </c>
      <c r="B62" s="163">
        <v>34.5</v>
      </c>
      <c r="E62" s="157">
        <f t="shared" ca="1" si="0"/>
        <v>32</v>
      </c>
      <c r="G62" s="147">
        <v>37.1</v>
      </c>
    </row>
    <row r="63" spans="1:7" x14ac:dyDescent="0.25">
      <c r="A63" s="164" t="s">
        <v>538</v>
      </c>
      <c r="B63" s="165">
        <v>107.6</v>
      </c>
      <c r="E63" s="157">
        <f t="shared" ca="1" si="0"/>
        <v>105</v>
      </c>
      <c r="G63" s="158">
        <v>112.1</v>
      </c>
    </row>
    <row r="64" spans="1:7" x14ac:dyDescent="0.25">
      <c r="A64" s="166" t="s">
        <v>539</v>
      </c>
      <c r="B64" s="167">
        <v>50.1</v>
      </c>
      <c r="E64" s="157">
        <f t="shared" ca="1" si="0"/>
        <v>46.800000000000004</v>
      </c>
      <c r="G64" s="149">
        <v>55</v>
      </c>
    </row>
    <row r="65" spans="1:7" x14ac:dyDescent="0.25">
      <c r="A65" s="166" t="s">
        <v>540</v>
      </c>
      <c r="B65" s="167">
        <v>33.6</v>
      </c>
      <c r="E65" s="157">
        <f t="shared" ca="1" si="0"/>
        <v>29</v>
      </c>
      <c r="G65" s="149">
        <v>37.700000000000003</v>
      </c>
    </row>
    <row r="66" spans="1:7" x14ac:dyDescent="0.25">
      <c r="A66" s="166" t="s">
        <v>541</v>
      </c>
      <c r="B66" s="167">
        <v>16.8</v>
      </c>
      <c r="E66" s="157">
        <f t="shared" ca="1" si="0"/>
        <v>14.600000000000001</v>
      </c>
      <c r="G66" s="149">
        <v>19.600000000000001</v>
      </c>
    </row>
    <row r="67" spans="1:7" x14ac:dyDescent="0.25">
      <c r="A67" s="166" t="s">
        <v>542</v>
      </c>
      <c r="B67" s="167">
        <v>86.6</v>
      </c>
      <c r="E67" s="157">
        <f t="shared" ca="1" si="0"/>
        <v>84.5</v>
      </c>
      <c r="G67" s="149">
        <v>90</v>
      </c>
    </row>
    <row r="68" spans="1:7" x14ac:dyDescent="0.25">
      <c r="A68" s="168" t="s">
        <v>543</v>
      </c>
      <c r="B68" s="169">
        <v>36.700000000000003</v>
      </c>
      <c r="E68" s="157">
        <f t="shared" ca="1" si="0"/>
        <v>33.5</v>
      </c>
      <c r="G68" s="150">
        <v>40.200000000000003</v>
      </c>
    </row>
    <row r="69" spans="1:7" x14ac:dyDescent="0.25">
      <c r="A69" s="168" t="s">
        <v>544</v>
      </c>
      <c r="B69" s="169">
        <v>82.5</v>
      </c>
      <c r="E69" s="157">
        <f t="shared" ca="1" si="0"/>
        <v>78.5</v>
      </c>
      <c r="G69" s="150">
        <v>88.5</v>
      </c>
    </row>
    <row r="70" spans="1:7" x14ac:dyDescent="0.25">
      <c r="A70" s="168" t="s">
        <v>545</v>
      </c>
      <c r="B70" s="169">
        <v>80.7</v>
      </c>
      <c r="E70" s="157">
        <f t="shared" ref="E70:E85" ca="1" si="1">B70-RANDBETWEEN(2, 5)-RANDBETWEEN(1,10)/10</f>
        <v>75.8</v>
      </c>
      <c r="G70" s="150">
        <v>84.2</v>
      </c>
    </row>
    <row r="71" spans="1:7" x14ac:dyDescent="0.25">
      <c r="A71" s="166" t="s">
        <v>546</v>
      </c>
      <c r="B71" s="167">
        <v>87.600000000000009</v>
      </c>
      <c r="E71" s="157">
        <f t="shared" ca="1" si="1"/>
        <v>83.2</v>
      </c>
      <c r="G71" s="149">
        <v>92.9</v>
      </c>
    </row>
    <row r="72" spans="1:7" x14ac:dyDescent="0.25">
      <c r="A72" s="166" t="s">
        <v>547</v>
      </c>
      <c r="B72" s="167">
        <v>61.400000000000006</v>
      </c>
      <c r="E72" s="157">
        <f t="shared" ca="1" si="1"/>
        <v>56.300000000000004</v>
      </c>
      <c r="G72" s="149">
        <v>67.400000000000006</v>
      </c>
    </row>
    <row r="73" spans="1:7" x14ac:dyDescent="0.25">
      <c r="A73" s="166" t="s">
        <v>548</v>
      </c>
      <c r="B73" s="167">
        <v>18.600000000000001</v>
      </c>
      <c r="E73" s="157">
        <f t="shared" ca="1" si="1"/>
        <v>15.400000000000002</v>
      </c>
      <c r="G73" s="149">
        <v>21.5</v>
      </c>
    </row>
    <row r="74" spans="1:7" x14ac:dyDescent="0.25">
      <c r="A74" s="166" t="s">
        <v>549</v>
      </c>
      <c r="B74" s="167">
        <v>35.900000000000006</v>
      </c>
      <c r="E74" s="157">
        <f t="shared" ca="1" si="1"/>
        <v>30.300000000000004</v>
      </c>
      <c r="G74" s="149">
        <v>40.200000000000003</v>
      </c>
    </row>
    <row r="75" spans="1:7" x14ac:dyDescent="0.25">
      <c r="A75" s="166" t="s">
        <v>550</v>
      </c>
      <c r="B75" s="167">
        <v>86.399999999999991</v>
      </c>
      <c r="E75" s="157">
        <f t="shared" ca="1" si="1"/>
        <v>83.3</v>
      </c>
      <c r="G75" s="149">
        <v>89.1</v>
      </c>
    </row>
    <row r="76" spans="1:7" x14ac:dyDescent="0.25">
      <c r="A76" s="166" t="s">
        <v>551</v>
      </c>
      <c r="B76" s="167">
        <v>80.600000000000009</v>
      </c>
      <c r="E76" s="157">
        <f t="shared" ca="1" si="1"/>
        <v>76.100000000000009</v>
      </c>
      <c r="G76" s="149">
        <v>85.4</v>
      </c>
    </row>
    <row r="77" spans="1:7" x14ac:dyDescent="0.25">
      <c r="A77" s="168" t="s">
        <v>552</v>
      </c>
      <c r="B77" s="169">
        <v>84.8</v>
      </c>
      <c r="E77" s="157">
        <f t="shared" ca="1" si="1"/>
        <v>79.5</v>
      </c>
      <c r="G77" s="150">
        <v>89.5</v>
      </c>
    </row>
    <row r="78" spans="1:7" x14ac:dyDescent="0.25">
      <c r="A78" s="168" t="s">
        <v>553</v>
      </c>
      <c r="B78" s="169">
        <v>33.4</v>
      </c>
      <c r="E78" s="157">
        <f t="shared" ca="1" si="1"/>
        <v>30.799999999999997</v>
      </c>
      <c r="G78" s="150">
        <v>39.4</v>
      </c>
    </row>
    <row r="79" spans="1:7" x14ac:dyDescent="0.25">
      <c r="A79" s="166" t="s">
        <v>554</v>
      </c>
      <c r="B79" s="167">
        <v>65.3</v>
      </c>
      <c r="E79" s="157">
        <f t="shared" ca="1" si="1"/>
        <v>62.199999999999996</v>
      </c>
      <c r="G79" s="149">
        <v>68.2</v>
      </c>
    </row>
    <row r="80" spans="1:7" x14ac:dyDescent="0.25">
      <c r="A80" s="166" t="s">
        <v>555</v>
      </c>
      <c r="B80" s="167">
        <v>101</v>
      </c>
      <c r="E80" s="157">
        <f t="shared" ca="1" si="1"/>
        <v>96.2</v>
      </c>
      <c r="G80" s="149">
        <v>104</v>
      </c>
    </row>
    <row r="81" spans="1:7" x14ac:dyDescent="0.25">
      <c r="A81" s="166" t="s">
        <v>556</v>
      </c>
      <c r="B81" s="167">
        <v>133.5</v>
      </c>
      <c r="E81" s="157">
        <f t="shared" ca="1" si="1"/>
        <v>128</v>
      </c>
      <c r="G81" s="149">
        <v>137.9</v>
      </c>
    </row>
    <row r="82" spans="1:7" x14ac:dyDescent="0.25">
      <c r="A82" s="148" t="s">
        <v>557</v>
      </c>
      <c r="B82" s="149">
        <v>141</v>
      </c>
      <c r="E82" s="157">
        <f t="shared" ca="1" si="1"/>
        <v>137.30000000000001</v>
      </c>
      <c r="G82" s="149">
        <v>144</v>
      </c>
    </row>
    <row r="83" spans="1:7" x14ac:dyDescent="0.25">
      <c r="A83" s="148" t="s">
        <v>558</v>
      </c>
      <c r="B83" s="149">
        <v>112.39999999999999</v>
      </c>
      <c r="E83" s="157">
        <f t="shared" ca="1" si="1"/>
        <v>107.19999999999999</v>
      </c>
      <c r="G83" s="149">
        <v>115.3</v>
      </c>
    </row>
    <row r="84" spans="1:7" x14ac:dyDescent="0.25">
      <c r="A84" s="156" t="s">
        <v>559</v>
      </c>
      <c r="B84" s="150">
        <v>34.5</v>
      </c>
      <c r="E84" s="157">
        <f t="shared" ca="1" si="1"/>
        <v>30.9</v>
      </c>
      <c r="G84" s="150">
        <v>40.1</v>
      </c>
    </row>
    <row r="85" spans="1:7" x14ac:dyDescent="0.25">
      <c r="A85" s="156" t="s">
        <v>560</v>
      </c>
      <c r="B85" s="150">
        <v>125.10000000000001</v>
      </c>
      <c r="E85" s="157">
        <f t="shared" ca="1" si="1"/>
        <v>123.00000000000001</v>
      </c>
      <c r="G85" s="150">
        <v>128.30000000000001</v>
      </c>
    </row>
  </sheetData>
  <mergeCells count="2">
    <mergeCell ref="A1:B1"/>
    <mergeCell ref="A2:A4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G61"/>
  <sheetViews>
    <sheetView workbookViewId="0">
      <selection sqref="A1:B1"/>
    </sheetView>
  </sheetViews>
  <sheetFormatPr defaultColWidth="9.33203125" defaultRowHeight="13.2" x14ac:dyDescent="0.25"/>
  <cols>
    <col min="1" max="1" width="21" style="155" customWidth="1"/>
    <col min="2" max="2" width="12.77734375" style="155" customWidth="1"/>
    <col min="3" max="16384" width="9.33203125" style="155"/>
  </cols>
  <sheetData>
    <row r="1" spans="1:7" x14ac:dyDescent="0.25">
      <c r="A1" s="713" t="s">
        <v>564</v>
      </c>
      <c r="B1" s="710"/>
    </row>
    <row r="2" spans="1:7" ht="17.25" customHeight="1" x14ac:dyDescent="0.25">
      <c r="A2" s="713" t="s">
        <v>565</v>
      </c>
      <c r="B2" s="153"/>
    </row>
    <row r="3" spans="1:7" ht="17.25" customHeight="1" x14ac:dyDescent="0.25">
      <c r="A3" s="710"/>
      <c r="B3" s="153"/>
    </row>
    <row r="4" spans="1:7" ht="26.4" x14ac:dyDescent="0.25">
      <c r="A4" s="710"/>
      <c r="B4" s="153" t="s">
        <v>563</v>
      </c>
      <c r="G4" s="153" t="s">
        <v>563</v>
      </c>
    </row>
    <row r="5" spans="1:7" x14ac:dyDescent="0.25">
      <c r="A5" s="146" t="s">
        <v>424</v>
      </c>
      <c r="B5" s="147">
        <v>80</v>
      </c>
      <c r="E5" s="157">
        <f ca="1">B5-RANDBETWEEN(2, 5)-RANDBETWEEN(1,10)/10</f>
        <v>77</v>
      </c>
      <c r="F5" s="157"/>
      <c r="G5" s="147">
        <v>83.8</v>
      </c>
    </row>
    <row r="6" spans="1:7" x14ac:dyDescent="0.25">
      <c r="A6" s="146" t="s">
        <v>425</v>
      </c>
      <c r="B6" s="147">
        <v>108.3</v>
      </c>
      <c r="E6" s="157">
        <f t="shared" ref="E6:E61" ca="1" si="0">B6-RANDBETWEEN(2, 5)-RANDBETWEEN(1,10)/10</f>
        <v>103.39999999999999</v>
      </c>
      <c r="G6" s="147">
        <v>114</v>
      </c>
    </row>
    <row r="7" spans="1:7" x14ac:dyDescent="0.25">
      <c r="A7" s="146" t="s">
        <v>426</v>
      </c>
      <c r="B7" s="147">
        <v>127.20000000000002</v>
      </c>
      <c r="E7" s="157">
        <f t="shared" ca="1" si="0"/>
        <v>125.00000000000001</v>
      </c>
      <c r="G7" s="147">
        <v>132.80000000000001</v>
      </c>
    </row>
    <row r="8" spans="1:7" x14ac:dyDescent="0.25">
      <c r="A8" s="146" t="s">
        <v>427</v>
      </c>
      <c r="B8" s="147">
        <v>92.5</v>
      </c>
      <c r="E8" s="157">
        <f t="shared" ca="1" si="0"/>
        <v>87.1</v>
      </c>
      <c r="G8" s="147">
        <v>96.2</v>
      </c>
    </row>
    <row r="9" spans="1:7" x14ac:dyDescent="0.25">
      <c r="A9" s="146" t="s">
        <v>428</v>
      </c>
      <c r="B9" s="147">
        <v>106.30000000000001</v>
      </c>
      <c r="E9" s="157">
        <f t="shared" ca="1" si="0"/>
        <v>101.60000000000001</v>
      </c>
      <c r="G9" s="147">
        <v>111.9</v>
      </c>
    </row>
    <row r="10" spans="1:7" x14ac:dyDescent="0.25">
      <c r="A10" s="146" t="s">
        <v>429</v>
      </c>
      <c r="B10" s="147">
        <v>104.5</v>
      </c>
      <c r="E10" s="157">
        <f t="shared" ca="1" si="0"/>
        <v>98.5</v>
      </c>
      <c r="G10" s="147">
        <v>110</v>
      </c>
    </row>
    <row r="11" spans="1:7" x14ac:dyDescent="0.25">
      <c r="A11" s="146" t="s">
        <v>430</v>
      </c>
      <c r="B11" s="147">
        <v>102.3</v>
      </c>
      <c r="E11" s="157">
        <f t="shared" ca="1" si="0"/>
        <v>99.3</v>
      </c>
      <c r="G11" s="147">
        <v>107.7</v>
      </c>
    </row>
    <row r="12" spans="1:7" x14ac:dyDescent="0.25">
      <c r="A12" s="146" t="s">
        <v>431</v>
      </c>
      <c r="B12" s="147">
        <v>105.3</v>
      </c>
      <c r="E12" s="157">
        <f t="shared" ca="1" si="0"/>
        <v>102.7</v>
      </c>
      <c r="G12" s="147">
        <v>108.3</v>
      </c>
    </row>
    <row r="13" spans="1:7" x14ac:dyDescent="0.25">
      <c r="A13" s="146" t="s">
        <v>432</v>
      </c>
      <c r="B13" s="147">
        <v>173.9</v>
      </c>
      <c r="E13" s="157">
        <f t="shared" ca="1" si="0"/>
        <v>169.4</v>
      </c>
      <c r="G13" s="147">
        <v>176.5</v>
      </c>
    </row>
    <row r="14" spans="1:7" x14ac:dyDescent="0.25">
      <c r="A14" s="146" t="s">
        <v>433</v>
      </c>
      <c r="B14" s="147">
        <v>33.5</v>
      </c>
      <c r="E14" s="157">
        <f t="shared" ca="1" si="0"/>
        <v>27.8</v>
      </c>
      <c r="G14" s="147">
        <v>36.299999999999997</v>
      </c>
    </row>
    <row r="15" spans="1:7" x14ac:dyDescent="0.25">
      <c r="A15" s="146" t="s">
        <v>434</v>
      </c>
      <c r="B15" s="147">
        <v>48.1</v>
      </c>
      <c r="E15" s="157">
        <f t="shared" ca="1" si="0"/>
        <v>43.7</v>
      </c>
      <c r="G15" s="147">
        <v>53.5</v>
      </c>
    </row>
    <row r="16" spans="1:7" x14ac:dyDescent="0.25">
      <c r="A16" s="146" t="s">
        <v>435</v>
      </c>
      <c r="B16" s="147">
        <v>73.800000000000011</v>
      </c>
      <c r="E16" s="157">
        <f t="shared" ca="1" si="0"/>
        <v>69.500000000000014</v>
      </c>
      <c r="G16" s="147">
        <v>78.900000000000006</v>
      </c>
    </row>
    <row r="17" spans="1:7" x14ac:dyDescent="0.25">
      <c r="A17" s="146" t="s">
        <v>436</v>
      </c>
      <c r="B17" s="147">
        <v>51.4</v>
      </c>
      <c r="E17" s="157">
        <f t="shared" ca="1" si="0"/>
        <v>47.1</v>
      </c>
      <c r="G17" s="147">
        <v>53.6</v>
      </c>
    </row>
    <row r="18" spans="1:7" x14ac:dyDescent="0.25">
      <c r="A18" s="146" t="s">
        <v>437</v>
      </c>
      <c r="B18" s="147">
        <v>33.699999999999996</v>
      </c>
      <c r="E18" s="157">
        <f t="shared" ca="1" si="0"/>
        <v>28.299999999999997</v>
      </c>
      <c r="G18" s="147">
        <v>38.799999999999997</v>
      </c>
    </row>
    <row r="19" spans="1:7" x14ac:dyDescent="0.25">
      <c r="A19" s="146" t="s">
        <v>438</v>
      </c>
      <c r="B19" s="147">
        <v>78.699999999999989</v>
      </c>
      <c r="E19" s="157">
        <f t="shared" ca="1" si="0"/>
        <v>75.199999999999989</v>
      </c>
      <c r="G19" s="147">
        <v>82.6</v>
      </c>
    </row>
    <row r="20" spans="1:7" x14ac:dyDescent="0.25">
      <c r="A20" s="146" t="s">
        <v>439</v>
      </c>
      <c r="B20" s="147">
        <v>36.199999999999996</v>
      </c>
      <c r="E20" s="157">
        <f t="shared" ca="1" si="0"/>
        <v>33.299999999999997</v>
      </c>
      <c r="G20" s="147">
        <v>40.799999999999997</v>
      </c>
    </row>
    <row r="21" spans="1:7" x14ac:dyDescent="0.25">
      <c r="A21" s="146" t="s">
        <v>440</v>
      </c>
      <c r="B21" s="147">
        <v>49.699999999999996</v>
      </c>
      <c r="E21" s="157">
        <f t="shared" ca="1" si="0"/>
        <v>46.999999999999993</v>
      </c>
      <c r="G21" s="147">
        <v>52.9</v>
      </c>
    </row>
    <row r="22" spans="1:7" x14ac:dyDescent="0.25">
      <c r="A22" s="146" t="s">
        <v>441</v>
      </c>
      <c r="B22" s="147">
        <v>80.099999999999994</v>
      </c>
      <c r="E22" s="157">
        <f t="shared" ca="1" si="0"/>
        <v>75.599999999999994</v>
      </c>
      <c r="G22" s="147">
        <v>83.8</v>
      </c>
    </row>
    <row r="23" spans="1:7" x14ac:dyDescent="0.25">
      <c r="A23" s="146" t="s">
        <v>442</v>
      </c>
      <c r="B23" s="147">
        <v>591.6</v>
      </c>
      <c r="E23" s="157">
        <f t="shared" ca="1" si="0"/>
        <v>587.80000000000007</v>
      </c>
      <c r="G23" s="147">
        <v>596.4</v>
      </c>
    </row>
    <row r="24" spans="1:7" x14ac:dyDescent="0.25">
      <c r="A24" s="146" t="s">
        <v>443</v>
      </c>
      <c r="B24" s="147">
        <v>103.6</v>
      </c>
      <c r="E24" s="157">
        <f t="shared" ca="1" si="0"/>
        <v>100.69999999999999</v>
      </c>
      <c r="G24" s="147">
        <v>107.3</v>
      </c>
    </row>
    <row r="25" spans="1:7" x14ac:dyDescent="0.25">
      <c r="A25" s="146" t="s">
        <v>444</v>
      </c>
      <c r="B25" s="147">
        <v>48</v>
      </c>
      <c r="E25" s="157">
        <f t="shared" ca="1" si="0"/>
        <v>44.6</v>
      </c>
      <c r="G25" s="147">
        <v>51.7</v>
      </c>
    </row>
    <row r="26" spans="1:7" x14ac:dyDescent="0.25">
      <c r="A26" s="146" t="s">
        <v>445</v>
      </c>
      <c r="B26" s="147">
        <v>33.700000000000003</v>
      </c>
      <c r="E26" s="157">
        <f t="shared" ca="1" si="0"/>
        <v>30.500000000000004</v>
      </c>
      <c r="G26" s="147">
        <v>36.700000000000003</v>
      </c>
    </row>
    <row r="27" spans="1:7" x14ac:dyDescent="0.25">
      <c r="A27" s="146" t="s">
        <v>446</v>
      </c>
      <c r="B27" s="147">
        <v>46.800000000000004</v>
      </c>
      <c r="E27" s="157">
        <f t="shared" ca="1" si="0"/>
        <v>41.500000000000007</v>
      </c>
      <c r="G27" s="147">
        <v>51.6</v>
      </c>
    </row>
    <row r="28" spans="1:7" x14ac:dyDescent="0.25">
      <c r="A28" s="146" t="s">
        <v>447</v>
      </c>
      <c r="B28" s="147">
        <v>74.699999999999989</v>
      </c>
      <c r="E28" s="157">
        <f t="shared" ca="1" si="0"/>
        <v>70.799999999999983</v>
      </c>
      <c r="G28" s="147">
        <v>79.599999999999994</v>
      </c>
    </row>
    <row r="29" spans="1:7" x14ac:dyDescent="0.25">
      <c r="A29" s="146" t="s">
        <v>448</v>
      </c>
      <c r="B29" s="147">
        <v>75.399999999999991</v>
      </c>
      <c r="E29" s="157">
        <f t="shared" ca="1" si="0"/>
        <v>73.099999999999994</v>
      </c>
      <c r="G29" s="147">
        <v>79.3</v>
      </c>
    </row>
    <row r="30" spans="1:7" x14ac:dyDescent="0.25">
      <c r="A30" s="146" t="s">
        <v>449</v>
      </c>
      <c r="B30" s="147">
        <v>28.4</v>
      </c>
      <c r="E30" s="157">
        <f t="shared" ca="1" si="0"/>
        <v>22.599999999999998</v>
      </c>
      <c r="G30" s="147">
        <v>34.4</v>
      </c>
    </row>
    <row r="31" spans="1:7" x14ac:dyDescent="0.25">
      <c r="A31" s="146" t="s">
        <v>450</v>
      </c>
      <c r="B31" s="147">
        <v>43.9</v>
      </c>
      <c r="E31" s="157">
        <f t="shared" ca="1" si="0"/>
        <v>40.4</v>
      </c>
      <c r="G31" s="147">
        <v>46.9</v>
      </c>
    </row>
    <row r="32" spans="1:7" x14ac:dyDescent="0.25">
      <c r="A32" s="146" t="s">
        <v>451</v>
      </c>
      <c r="B32" s="147">
        <v>287.7</v>
      </c>
      <c r="E32" s="157">
        <f t="shared" ca="1" si="0"/>
        <v>283.5</v>
      </c>
      <c r="G32" s="147">
        <v>292.2</v>
      </c>
    </row>
    <row r="33" spans="1:7" x14ac:dyDescent="0.25">
      <c r="A33" s="146" t="s">
        <v>452</v>
      </c>
      <c r="B33" s="147">
        <v>266.39999999999998</v>
      </c>
      <c r="E33" s="157">
        <f t="shared" ca="1" si="0"/>
        <v>262.2</v>
      </c>
      <c r="G33" s="147">
        <v>268.7</v>
      </c>
    </row>
    <row r="34" spans="1:7" x14ac:dyDescent="0.25">
      <c r="A34" s="146" t="s">
        <v>453</v>
      </c>
      <c r="B34" s="147">
        <v>76.600000000000009</v>
      </c>
      <c r="E34" s="157">
        <f t="shared" ca="1" si="0"/>
        <v>71.2</v>
      </c>
      <c r="G34" s="147">
        <v>78.7</v>
      </c>
    </row>
    <row r="35" spans="1:7" x14ac:dyDescent="0.25">
      <c r="A35" s="146" t="s">
        <v>454</v>
      </c>
      <c r="B35" s="147">
        <v>80.3</v>
      </c>
      <c r="E35" s="157">
        <f t="shared" ca="1" si="0"/>
        <v>75.399999999999991</v>
      </c>
      <c r="G35" s="147">
        <v>84</v>
      </c>
    </row>
    <row r="36" spans="1:7" x14ac:dyDescent="0.25">
      <c r="A36" s="146" t="s">
        <v>455</v>
      </c>
      <c r="B36" s="147">
        <v>49</v>
      </c>
      <c r="E36" s="157">
        <f t="shared" ca="1" si="0"/>
        <v>43.6</v>
      </c>
      <c r="G36" s="147">
        <v>54.3</v>
      </c>
    </row>
    <row r="37" spans="1:7" x14ac:dyDescent="0.25">
      <c r="A37" s="146" t="s">
        <v>456</v>
      </c>
      <c r="B37" s="147">
        <v>77.599999999999994</v>
      </c>
      <c r="E37" s="157">
        <f t="shared" ca="1" si="0"/>
        <v>73.699999999999989</v>
      </c>
      <c r="G37" s="147">
        <v>82.1</v>
      </c>
    </row>
    <row r="38" spans="1:7" x14ac:dyDescent="0.25">
      <c r="A38" s="146" t="s">
        <v>457</v>
      </c>
      <c r="B38" s="147">
        <v>94.600000000000009</v>
      </c>
      <c r="E38" s="157">
        <f t="shared" ca="1" si="0"/>
        <v>88.7</v>
      </c>
      <c r="G38" s="147">
        <v>98.7</v>
      </c>
    </row>
    <row r="39" spans="1:7" x14ac:dyDescent="0.25">
      <c r="A39" s="162" t="s">
        <v>458</v>
      </c>
      <c r="B39" s="163">
        <v>42</v>
      </c>
      <c r="E39" s="157">
        <f t="shared" ca="1" si="0"/>
        <v>38.1</v>
      </c>
      <c r="G39" s="147">
        <v>47.6</v>
      </c>
    </row>
    <row r="40" spans="1:7" x14ac:dyDescent="0.25">
      <c r="A40" s="162" t="s">
        <v>459</v>
      </c>
      <c r="B40" s="163">
        <v>81.100000000000009</v>
      </c>
      <c r="E40" s="157">
        <f t="shared" ca="1" si="0"/>
        <v>76.000000000000014</v>
      </c>
      <c r="G40" s="147">
        <v>83.9</v>
      </c>
    </row>
    <row r="41" spans="1:7" x14ac:dyDescent="0.25">
      <c r="A41" s="168" t="s">
        <v>460</v>
      </c>
      <c r="B41" s="169">
        <v>34.6</v>
      </c>
      <c r="E41" s="157">
        <f t="shared" ca="1" si="0"/>
        <v>29.3</v>
      </c>
      <c r="G41" s="150">
        <v>39.700000000000003</v>
      </c>
    </row>
    <row r="42" spans="1:7" x14ac:dyDescent="0.25">
      <c r="A42" s="166" t="s">
        <v>461</v>
      </c>
      <c r="B42" s="163">
        <v>85</v>
      </c>
      <c r="E42" s="157">
        <f t="shared" ca="1" si="0"/>
        <v>81.599999999999994</v>
      </c>
      <c r="G42" s="147">
        <v>87.8</v>
      </c>
    </row>
    <row r="43" spans="1:7" x14ac:dyDescent="0.25">
      <c r="A43" s="166" t="s">
        <v>462</v>
      </c>
      <c r="B43" s="163">
        <v>78.400000000000006</v>
      </c>
      <c r="E43" s="157">
        <f t="shared" ca="1" si="0"/>
        <v>73.2</v>
      </c>
      <c r="G43" s="147">
        <v>80.900000000000006</v>
      </c>
    </row>
    <row r="44" spans="1:7" x14ac:dyDescent="0.25">
      <c r="A44" s="166" t="s">
        <v>463</v>
      </c>
      <c r="B44" s="163">
        <v>87.800000000000011</v>
      </c>
      <c r="E44" s="157">
        <f t="shared" ca="1" si="0"/>
        <v>84.100000000000009</v>
      </c>
      <c r="G44" s="147">
        <v>90.9</v>
      </c>
    </row>
    <row r="45" spans="1:7" x14ac:dyDescent="0.25">
      <c r="A45" s="166" t="s">
        <v>464</v>
      </c>
      <c r="B45" s="163">
        <v>77.399999999999991</v>
      </c>
      <c r="E45" s="157">
        <f t="shared" ca="1" si="0"/>
        <v>72.399999999999991</v>
      </c>
      <c r="G45" s="147">
        <v>81.8</v>
      </c>
    </row>
    <row r="46" spans="1:7" x14ac:dyDescent="0.25">
      <c r="A46" s="168" t="s">
        <v>465</v>
      </c>
      <c r="B46" s="163">
        <v>37.200000000000003</v>
      </c>
      <c r="E46" s="157">
        <f t="shared" ca="1" si="0"/>
        <v>34.800000000000004</v>
      </c>
      <c r="G46" s="147">
        <v>39.700000000000003</v>
      </c>
    </row>
    <row r="47" spans="1:7" x14ac:dyDescent="0.25">
      <c r="A47" s="162" t="s">
        <v>466</v>
      </c>
      <c r="B47" s="163">
        <v>77.2</v>
      </c>
      <c r="E47" s="157">
        <f t="shared" ca="1" si="0"/>
        <v>73.8</v>
      </c>
      <c r="G47" s="147">
        <v>80.8</v>
      </c>
    </row>
    <row r="48" spans="1:7" x14ac:dyDescent="0.25">
      <c r="A48" s="170" t="s">
        <v>467</v>
      </c>
      <c r="B48" s="163">
        <v>83.6</v>
      </c>
      <c r="E48" s="157">
        <f t="shared" ca="1" si="0"/>
        <v>80.899999999999991</v>
      </c>
      <c r="G48" s="147">
        <v>86.8</v>
      </c>
    </row>
    <row r="49" spans="1:7" x14ac:dyDescent="0.25">
      <c r="A49" s="166" t="s">
        <v>468</v>
      </c>
      <c r="B49" s="163">
        <v>84.7</v>
      </c>
      <c r="E49" s="157">
        <f t="shared" ca="1" si="0"/>
        <v>80.600000000000009</v>
      </c>
      <c r="G49" s="147">
        <v>87.7</v>
      </c>
    </row>
    <row r="50" spans="1:7" x14ac:dyDescent="0.25">
      <c r="A50" s="168" t="s">
        <v>469</v>
      </c>
      <c r="B50" s="163">
        <v>109.1</v>
      </c>
      <c r="E50" s="157">
        <f t="shared" ca="1" si="0"/>
        <v>106.89999999999999</v>
      </c>
      <c r="G50" s="147">
        <v>112.1</v>
      </c>
    </row>
    <row r="51" spans="1:7" x14ac:dyDescent="0.25">
      <c r="A51" s="166" t="s">
        <v>470</v>
      </c>
      <c r="B51" s="163">
        <v>38.599999999999994</v>
      </c>
      <c r="E51" s="157">
        <f t="shared" ca="1" si="0"/>
        <v>34.899999999999991</v>
      </c>
      <c r="G51" s="147">
        <v>41.3</v>
      </c>
    </row>
    <row r="52" spans="1:7" x14ac:dyDescent="0.25">
      <c r="A52" s="166" t="s">
        <v>471</v>
      </c>
      <c r="B52" s="163">
        <v>98.9</v>
      </c>
      <c r="E52" s="157">
        <f t="shared" ca="1" si="0"/>
        <v>93.5</v>
      </c>
      <c r="G52" s="147">
        <v>102</v>
      </c>
    </row>
    <row r="53" spans="1:7" x14ac:dyDescent="0.25">
      <c r="A53" s="166" t="s">
        <v>472</v>
      </c>
      <c r="B53" s="163">
        <v>36.700000000000003</v>
      </c>
      <c r="E53" s="157">
        <f t="shared" ca="1" si="0"/>
        <v>33.6</v>
      </c>
      <c r="G53" s="147">
        <v>40.200000000000003</v>
      </c>
    </row>
    <row r="54" spans="1:7" x14ac:dyDescent="0.25">
      <c r="A54" s="166" t="s">
        <v>473</v>
      </c>
      <c r="B54" s="167">
        <v>84.8</v>
      </c>
      <c r="E54" s="157">
        <f t="shared" ca="1" si="0"/>
        <v>80</v>
      </c>
      <c r="G54" s="149">
        <v>88.6</v>
      </c>
    </row>
    <row r="55" spans="1:7" x14ac:dyDescent="0.25">
      <c r="A55" s="166" t="s">
        <v>474</v>
      </c>
      <c r="B55" s="167">
        <v>33.9</v>
      </c>
      <c r="E55" s="157">
        <f t="shared" ca="1" si="0"/>
        <v>31.799999999999997</v>
      </c>
      <c r="G55" s="149">
        <v>39.799999999999997</v>
      </c>
    </row>
    <row r="56" spans="1:7" x14ac:dyDescent="0.25">
      <c r="A56" s="166" t="s">
        <v>475</v>
      </c>
      <c r="B56" s="167">
        <v>34.199999999999996</v>
      </c>
      <c r="E56" s="157">
        <f t="shared" ca="1" si="0"/>
        <v>29.999999999999996</v>
      </c>
      <c r="G56" s="149">
        <v>38.9</v>
      </c>
    </row>
    <row r="57" spans="1:7" x14ac:dyDescent="0.25">
      <c r="A57" s="166" t="s">
        <v>476</v>
      </c>
      <c r="B57" s="167">
        <v>100.6</v>
      </c>
      <c r="E57" s="157">
        <f t="shared" ca="1" si="0"/>
        <v>95.899999999999991</v>
      </c>
      <c r="G57" s="149">
        <v>104</v>
      </c>
    </row>
    <row r="58" spans="1:7" x14ac:dyDescent="0.25">
      <c r="A58" s="166" t="s">
        <v>477</v>
      </c>
      <c r="B58" s="167">
        <v>35.6</v>
      </c>
      <c r="E58" s="157">
        <f t="shared" ca="1" si="0"/>
        <v>32</v>
      </c>
      <c r="G58" s="149">
        <v>38.9</v>
      </c>
    </row>
    <row r="59" spans="1:7" x14ac:dyDescent="0.25">
      <c r="A59" s="148" t="s">
        <v>478</v>
      </c>
      <c r="B59" s="149">
        <v>141.4</v>
      </c>
      <c r="E59" s="157">
        <f t="shared" ca="1" si="0"/>
        <v>136.30000000000001</v>
      </c>
      <c r="G59" s="149">
        <v>147</v>
      </c>
    </row>
    <row r="60" spans="1:7" x14ac:dyDescent="0.25">
      <c r="A60" s="151" t="s">
        <v>479</v>
      </c>
      <c r="B60" s="152">
        <v>78.099999999999994</v>
      </c>
      <c r="E60" s="157">
        <f t="shared" ca="1" si="0"/>
        <v>73.599999999999994</v>
      </c>
      <c r="G60" s="152">
        <v>83.5</v>
      </c>
    </row>
    <row r="61" spans="1:7" x14ac:dyDescent="0.25">
      <c r="A61" s="156" t="s">
        <v>480</v>
      </c>
      <c r="B61" s="150">
        <v>110.2</v>
      </c>
      <c r="E61" s="157">
        <f t="shared" ca="1" si="0"/>
        <v>104.3</v>
      </c>
      <c r="G61" s="150">
        <v>116</v>
      </c>
    </row>
  </sheetData>
  <mergeCells count="2">
    <mergeCell ref="A1:B1"/>
    <mergeCell ref="A2:A4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G46"/>
  <sheetViews>
    <sheetView workbookViewId="0">
      <selection sqref="A1:B1"/>
    </sheetView>
  </sheetViews>
  <sheetFormatPr defaultColWidth="9.33203125" defaultRowHeight="13.2" x14ac:dyDescent="0.25"/>
  <cols>
    <col min="1" max="1" width="21" style="155" customWidth="1"/>
    <col min="2" max="2" width="12.77734375" style="155" customWidth="1"/>
    <col min="3" max="16384" width="9.33203125" style="155"/>
  </cols>
  <sheetData>
    <row r="1" spans="1:7" ht="60" customHeight="1" x14ac:dyDescent="0.25">
      <c r="A1" s="713" t="s">
        <v>564</v>
      </c>
      <c r="B1" s="710"/>
    </row>
    <row r="2" spans="1:7" ht="12.75" customHeight="1" x14ac:dyDescent="0.25">
      <c r="A2" s="713" t="s">
        <v>565</v>
      </c>
      <c r="B2" s="153"/>
    </row>
    <row r="3" spans="1:7" ht="12.75" customHeight="1" x14ac:dyDescent="0.25">
      <c r="A3" s="710"/>
      <c r="B3" s="153"/>
    </row>
    <row r="4" spans="1:7" ht="26.4" x14ac:dyDescent="0.25">
      <c r="A4" s="710"/>
      <c r="B4" s="153" t="s">
        <v>563</v>
      </c>
      <c r="G4" s="153" t="s">
        <v>563</v>
      </c>
    </row>
    <row r="5" spans="1:7" x14ac:dyDescent="0.25">
      <c r="A5" s="146" t="s">
        <v>361</v>
      </c>
      <c r="B5" s="147">
        <v>104.2</v>
      </c>
      <c r="E5" s="157"/>
      <c r="G5" s="147">
        <v>109.4</v>
      </c>
    </row>
    <row r="6" spans="1:7" x14ac:dyDescent="0.25">
      <c r="A6" s="146" t="s">
        <v>362</v>
      </c>
      <c r="B6" s="147">
        <v>121.4</v>
      </c>
      <c r="E6" s="157"/>
      <c r="G6" s="147">
        <v>126.4</v>
      </c>
    </row>
    <row r="7" spans="1:7" x14ac:dyDescent="0.25">
      <c r="A7" s="146" t="s">
        <v>363</v>
      </c>
      <c r="B7" s="147">
        <v>77.400000000000006</v>
      </c>
      <c r="E7" s="157"/>
      <c r="G7" s="147">
        <v>82.2</v>
      </c>
    </row>
    <row r="8" spans="1:7" x14ac:dyDescent="0.25">
      <c r="A8" s="146" t="s">
        <v>364</v>
      </c>
      <c r="B8" s="147">
        <v>105.10000000000001</v>
      </c>
      <c r="E8" s="157"/>
      <c r="G8" s="147">
        <v>108.7</v>
      </c>
    </row>
    <row r="9" spans="1:7" x14ac:dyDescent="0.25">
      <c r="A9" s="146" t="s">
        <v>365</v>
      </c>
      <c r="B9" s="147">
        <v>107.6</v>
      </c>
      <c r="E9" s="157"/>
      <c r="G9" s="147">
        <v>110.8</v>
      </c>
    </row>
    <row r="10" spans="1:7" x14ac:dyDescent="0.25">
      <c r="A10" s="146" t="s">
        <v>366</v>
      </c>
      <c r="B10" s="147">
        <v>107.3</v>
      </c>
      <c r="E10" s="157"/>
      <c r="G10" s="147">
        <v>110</v>
      </c>
    </row>
    <row r="11" spans="1:7" x14ac:dyDescent="0.25">
      <c r="A11" s="146" t="s">
        <v>367</v>
      </c>
      <c r="B11" s="147">
        <v>103.6</v>
      </c>
      <c r="E11" s="157"/>
      <c r="G11" s="147">
        <v>107.3</v>
      </c>
    </row>
    <row r="12" spans="1:7" x14ac:dyDescent="0.25">
      <c r="A12" s="146" t="s">
        <v>368</v>
      </c>
      <c r="B12" s="147">
        <v>98.600000000000009</v>
      </c>
      <c r="E12" s="157"/>
      <c r="G12" s="147">
        <v>103.7</v>
      </c>
    </row>
    <row r="13" spans="1:7" x14ac:dyDescent="0.25">
      <c r="A13" s="146" t="s">
        <v>369</v>
      </c>
      <c r="B13" s="147">
        <v>30.400000000000002</v>
      </c>
      <c r="E13" s="157"/>
      <c r="G13" s="147">
        <v>34.200000000000003</v>
      </c>
    </row>
    <row r="14" spans="1:7" x14ac:dyDescent="0.25">
      <c r="A14" s="146" t="s">
        <v>370</v>
      </c>
      <c r="B14" s="147">
        <v>76.5</v>
      </c>
      <c r="E14" s="157"/>
      <c r="G14" s="147">
        <v>79.099999999999994</v>
      </c>
    </row>
    <row r="15" spans="1:7" x14ac:dyDescent="0.25">
      <c r="A15" s="146" t="s">
        <v>371</v>
      </c>
      <c r="B15" s="147">
        <v>461.4</v>
      </c>
      <c r="E15" s="157"/>
      <c r="G15" s="147">
        <v>467.2</v>
      </c>
    </row>
    <row r="16" spans="1:7" x14ac:dyDescent="0.25">
      <c r="A16" s="146" t="s">
        <v>372</v>
      </c>
      <c r="B16" s="147">
        <v>75.7</v>
      </c>
      <c r="E16" s="157"/>
      <c r="G16" s="147">
        <v>78.7</v>
      </c>
    </row>
    <row r="17" spans="1:7" x14ac:dyDescent="0.25">
      <c r="A17" s="146" t="s">
        <v>373</v>
      </c>
      <c r="B17" s="147">
        <v>34.1</v>
      </c>
      <c r="E17" s="157"/>
      <c r="G17" s="147">
        <v>36.6</v>
      </c>
    </row>
    <row r="18" spans="1:7" x14ac:dyDescent="0.25">
      <c r="A18" s="146" t="s">
        <v>374</v>
      </c>
      <c r="B18" s="147">
        <v>56</v>
      </c>
      <c r="E18" s="157"/>
      <c r="G18" s="147">
        <v>61</v>
      </c>
    </row>
    <row r="19" spans="1:7" x14ac:dyDescent="0.25">
      <c r="A19" s="146" t="s">
        <v>375</v>
      </c>
      <c r="B19" s="147">
        <v>45.9</v>
      </c>
      <c r="E19" s="157"/>
      <c r="G19" s="147">
        <v>49.1</v>
      </c>
    </row>
    <row r="20" spans="1:7" x14ac:dyDescent="0.25">
      <c r="A20" s="146" t="s">
        <v>376</v>
      </c>
      <c r="B20" s="147">
        <v>74.5</v>
      </c>
      <c r="E20" s="157"/>
      <c r="G20" s="147">
        <v>78.400000000000006</v>
      </c>
    </row>
    <row r="21" spans="1:7" x14ac:dyDescent="0.25">
      <c r="A21" s="146" t="s">
        <v>377</v>
      </c>
      <c r="B21" s="147">
        <v>153.1</v>
      </c>
      <c r="E21" s="157"/>
      <c r="G21" s="147">
        <v>157.1</v>
      </c>
    </row>
    <row r="22" spans="1:7" x14ac:dyDescent="0.25">
      <c r="A22" s="146" t="s">
        <v>378</v>
      </c>
      <c r="B22" s="147">
        <v>264.39999999999998</v>
      </c>
      <c r="E22" s="157"/>
      <c r="G22" s="147">
        <v>270.2</v>
      </c>
    </row>
    <row r="23" spans="1:7" x14ac:dyDescent="0.25">
      <c r="A23" s="171">
        <v>3.2</v>
      </c>
      <c r="B23" s="147">
        <v>81.599999999999994</v>
      </c>
      <c r="E23" s="157"/>
      <c r="G23" s="147"/>
    </row>
    <row r="24" spans="1:7" x14ac:dyDescent="0.25">
      <c r="A24" s="146">
        <v>3.21</v>
      </c>
      <c r="B24" s="147">
        <v>129.5</v>
      </c>
      <c r="E24" s="157"/>
      <c r="G24" s="147"/>
    </row>
    <row r="25" spans="1:7" x14ac:dyDescent="0.25">
      <c r="A25" s="162" t="s">
        <v>379</v>
      </c>
      <c r="B25" s="163">
        <v>70.899999999999991</v>
      </c>
      <c r="E25" s="157"/>
      <c r="G25" s="147">
        <v>76.8</v>
      </c>
    </row>
    <row r="26" spans="1:7" x14ac:dyDescent="0.25">
      <c r="A26" s="162" t="s">
        <v>380</v>
      </c>
      <c r="B26" s="163">
        <v>59.3</v>
      </c>
      <c r="E26" s="157"/>
      <c r="G26" s="147">
        <v>62</v>
      </c>
    </row>
    <row r="27" spans="1:7" x14ac:dyDescent="0.25">
      <c r="A27" s="162" t="s">
        <v>381</v>
      </c>
      <c r="B27" s="163">
        <v>34.4</v>
      </c>
      <c r="E27" s="157"/>
      <c r="G27" s="147">
        <v>39.5</v>
      </c>
    </row>
    <row r="28" spans="1:7" x14ac:dyDescent="0.25">
      <c r="A28" s="162" t="s">
        <v>382</v>
      </c>
      <c r="B28" s="163">
        <v>84.1</v>
      </c>
      <c r="E28" s="157"/>
      <c r="G28" s="147">
        <v>87</v>
      </c>
    </row>
    <row r="29" spans="1:7" x14ac:dyDescent="0.25">
      <c r="A29" s="162" t="s">
        <v>383</v>
      </c>
      <c r="B29" s="163">
        <v>119.5</v>
      </c>
      <c r="E29" s="157"/>
      <c r="G29" s="147">
        <v>125.1</v>
      </c>
    </row>
    <row r="30" spans="1:7" x14ac:dyDescent="0.25">
      <c r="A30" s="162" t="s">
        <v>384</v>
      </c>
      <c r="B30" s="163">
        <v>38.300000000000004</v>
      </c>
      <c r="E30" s="157"/>
      <c r="G30" s="147">
        <v>41.2</v>
      </c>
    </row>
    <row r="31" spans="1:7" x14ac:dyDescent="0.25">
      <c r="A31" s="162" t="s">
        <v>385</v>
      </c>
      <c r="B31" s="163">
        <v>110.2</v>
      </c>
      <c r="E31" s="157"/>
      <c r="G31" s="147">
        <v>114.2</v>
      </c>
    </row>
    <row r="32" spans="1:7" x14ac:dyDescent="0.25">
      <c r="A32" s="162" t="s">
        <v>386</v>
      </c>
      <c r="B32" s="163">
        <v>36.4</v>
      </c>
      <c r="E32" s="157"/>
      <c r="G32" s="147">
        <v>39.1</v>
      </c>
    </row>
    <row r="33" spans="1:7" x14ac:dyDescent="0.25">
      <c r="A33" s="162" t="s">
        <v>387</v>
      </c>
      <c r="B33" s="163">
        <v>32.5</v>
      </c>
      <c r="E33" s="157"/>
      <c r="G33" s="147">
        <v>38.5</v>
      </c>
    </row>
    <row r="34" spans="1:7" x14ac:dyDescent="0.25">
      <c r="A34" s="162" t="s">
        <v>388</v>
      </c>
      <c r="B34" s="163">
        <v>98.7</v>
      </c>
      <c r="E34" s="157"/>
      <c r="G34" s="147">
        <v>103.5</v>
      </c>
    </row>
    <row r="35" spans="1:7" x14ac:dyDescent="0.25">
      <c r="A35" s="162" t="s">
        <v>389</v>
      </c>
      <c r="B35" s="163">
        <v>33.4</v>
      </c>
      <c r="E35" s="157"/>
      <c r="G35" s="147">
        <v>37</v>
      </c>
    </row>
    <row r="36" spans="1:7" x14ac:dyDescent="0.25">
      <c r="A36" s="162" t="s">
        <v>390</v>
      </c>
      <c r="B36" s="163">
        <v>38.1</v>
      </c>
      <c r="E36" s="157"/>
      <c r="G36" s="147">
        <v>40.4</v>
      </c>
    </row>
    <row r="37" spans="1:7" x14ac:dyDescent="0.25">
      <c r="A37" s="162" t="s">
        <v>391</v>
      </c>
      <c r="B37" s="163">
        <v>91.1</v>
      </c>
      <c r="E37" s="157"/>
      <c r="G37" s="147">
        <v>93.3</v>
      </c>
    </row>
    <row r="38" spans="1:7" x14ac:dyDescent="0.25">
      <c r="A38" s="162" t="s">
        <v>392</v>
      </c>
      <c r="B38" s="163">
        <v>174.9</v>
      </c>
      <c r="E38" s="157"/>
      <c r="G38" s="147">
        <v>180.9</v>
      </c>
    </row>
    <row r="39" spans="1:7" x14ac:dyDescent="0.25">
      <c r="A39" s="146" t="s">
        <v>393</v>
      </c>
      <c r="B39" s="147">
        <v>78.599999999999994</v>
      </c>
      <c r="E39" s="157"/>
      <c r="G39" s="147">
        <v>83.5</v>
      </c>
    </row>
    <row r="40" spans="1:7" x14ac:dyDescent="0.25">
      <c r="A40" s="146" t="s">
        <v>394</v>
      </c>
      <c r="B40" s="147">
        <v>46.7</v>
      </c>
      <c r="E40" s="157"/>
      <c r="G40" s="147">
        <v>49.2</v>
      </c>
    </row>
    <row r="41" spans="1:7" x14ac:dyDescent="0.25">
      <c r="A41" s="146" t="s">
        <v>395</v>
      </c>
      <c r="B41" s="147">
        <v>108.2</v>
      </c>
      <c r="E41" s="157"/>
      <c r="G41" s="147">
        <v>113.8</v>
      </c>
    </row>
    <row r="44" spans="1:7" x14ac:dyDescent="0.25">
      <c r="A44" s="155" t="s">
        <v>567</v>
      </c>
    </row>
    <row r="45" spans="1:7" x14ac:dyDescent="0.25">
      <c r="A45" s="155" t="s">
        <v>566</v>
      </c>
    </row>
    <row r="46" spans="1:7" x14ac:dyDescent="0.25">
      <c r="A46" s="155">
        <v>3.3</v>
      </c>
    </row>
  </sheetData>
  <mergeCells count="2">
    <mergeCell ref="A1:B1"/>
    <mergeCell ref="A2:A4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zoomScale="85" zoomScaleNormal="85" workbookViewId="0"/>
  </sheetViews>
  <sheetFormatPr defaultRowHeight="18" x14ac:dyDescent="0.25"/>
  <cols>
    <col min="1" max="1" width="55.6640625" style="196" customWidth="1"/>
    <col min="2" max="2" width="46.5546875" style="190" customWidth="1"/>
    <col min="3" max="3" width="16.44140625" style="190" customWidth="1"/>
    <col min="4" max="4" width="16.77734375" style="190" customWidth="1"/>
    <col min="5" max="5" width="8.88671875" style="190"/>
    <col min="6" max="6" width="11.33203125" style="190" customWidth="1"/>
    <col min="7" max="7" width="12.33203125" style="190" customWidth="1"/>
    <col min="8" max="8" width="11.33203125" style="190" customWidth="1"/>
    <col min="9" max="16384" width="8.88671875" style="190"/>
  </cols>
  <sheetData>
    <row r="1" spans="1:11" ht="34.200000000000003" customHeight="1" x14ac:dyDescent="0.25">
      <c r="F1" s="191">
        <v>1</v>
      </c>
      <c r="G1" s="191">
        <v>2</v>
      </c>
      <c r="H1" s="191">
        <v>3</v>
      </c>
      <c r="I1" s="192" t="s">
        <v>622</v>
      </c>
    </row>
    <row r="2" spans="1:11" ht="54" x14ac:dyDescent="0.25">
      <c r="A2" s="185" t="s">
        <v>569</v>
      </c>
      <c r="B2" s="177" t="s">
        <v>570</v>
      </c>
      <c r="C2" s="177" t="s">
        <v>571</v>
      </c>
      <c r="D2" s="186">
        <v>1163</v>
      </c>
      <c r="E2" s="189"/>
      <c r="F2" s="193">
        <v>1163</v>
      </c>
      <c r="G2" s="193">
        <v>0</v>
      </c>
      <c r="H2" s="193">
        <v>0</v>
      </c>
      <c r="I2" s="194">
        <f>SUM(F2:H2)</f>
        <v>1163</v>
      </c>
    </row>
    <row r="3" spans="1:11" ht="54" x14ac:dyDescent="0.25">
      <c r="A3" s="185" t="s">
        <v>569</v>
      </c>
      <c r="B3" s="177" t="s">
        <v>572</v>
      </c>
      <c r="C3" s="177" t="s">
        <v>571</v>
      </c>
      <c r="D3" s="186">
        <v>593.5</v>
      </c>
      <c r="E3" s="189"/>
      <c r="F3" s="189">
        <v>316.89999999999998</v>
      </c>
      <c r="G3" s="189">
        <v>149.5</v>
      </c>
      <c r="H3" s="189">
        <v>127.1</v>
      </c>
      <c r="I3" s="194">
        <f>SUM(F3:H3)</f>
        <v>593.5</v>
      </c>
    </row>
    <row r="4" spans="1:11" ht="54" x14ac:dyDescent="0.25">
      <c r="A4" s="185" t="s">
        <v>569</v>
      </c>
      <c r="B4" s="177" t="s">
        <v>573</v>
      </c>
      <c r="C4" s="177" t="s">
        <v>571</v>
      </c>
      <c r="D4" s="186">
        <v>46</v>
      </c>
      <c r="E4" s="189"/>
      <c r="F4" s="189"/>
      <c r="G4" s="189"/>
      <c r="H4" s="189"/>
      <c r="I4" s="195"/>
    </row>
    <row r="5" spans="1:11" ht="54" x14ac:dyDescent="0.25">
      <c r="A5" s="185" t="s">
        <v>574</v>
      </c>
      <c r="B5" s="177" t="s">
        <v>575</v>
      </c>
      <c r="C5" s="177" t="s">
        <v>571</v>
      </c>
      <c r="D5" s="186">
        <v>320.39999999999998</v>
      </c>
      <c r="E5" s="189"/>
      <c r="F5" s="193">
        <v>120</v>
      </c>
      <c r="G5" s="193">
        <v>110.9</v>
      </c>
      <c r="H5" s="193">
        <v>89.5</v>
      </c>
      <c r="I5" s="194">
        <f>SUM(F5:H5)</f>
        <v>320.39999999999998</v>
      </c>
    </row>
    <row r="6" spans="1:11" ht="54" x14ac:dyDescent="0.25">
      <c r="A6" s="185" t="s">
        <v>574</v>
      </c>
      <c r="B6" s="177" t="s">
        <v>576</v>
      </c>
      <c r="C6" s="177" t="s">
        <v>571</v>
      </c>
      <c r="D6" s="186">
        <v>249.1</v>
      </c>
      <c r="E6" s="189"/>
      <c r="F6" s="193">
        <v>88.3</v>
      </c>
      <c r="G6" s="193">
        <v>128.9</v>
      </c>
      <c r="H6" s="193">
        <v>31.9</v>
      </c>
      <c r="I6" s="194">
        <f>SUM(F6:H6)</f>
        <v>249.1</v>
      </c>
      <c r="K6" s="190">
        <f>(0.58+1+3.48+6.53+0.07+0.5)*1.8</f>
        <v>21.888000000000002</v>
      </c>
    </row>
    <row r="7" spans="1:11" ht="54" x14ac:dyDescent="0.25">
      <c r="A7" s="185" t="s">
        <v>574</v>
      </c>
      <c r="B7" s="177" t="s">
        <v>577</v>
      </c>
      <c r="C7" s="177" t="s">
        <v>571</v>
      </c>
      <c r="D7" s="186">
        <v>238.4</v>
      </c>
      <c r="E7" s="189"/>
      <c r="F7" s="193">
        <v>157.19999999999999</v>
      </c>
      <c r="G7" s="193">
        <v>330.3</v>
      </c>
      <c r="H7" s="193">
        <v>81.2</v>
      </c>
      <c r="I7" s="194">
        <f>SUM(F7:H7)</f>
        <v>568.70000000000005</v>
      </c>
      <c r="K7" s="190">
        <f>10.8*1.8</f>
        <v>19.440000000000001</v>
      </c>
    </row>
    <row r="8" spans="1:11" ht="54" x14ac:dyDescent="0.25">
      <c r="A8" s="185" t="s">
        <v>574</v>
      </c>
      <c r="B8" s="177" t="s">
        <v>578</v>
      </c>
      <c r="C8" s="177" t="s">
        <v>571</v>
      </c>
      <c r="D8" s="186">
        <v>6.1</v>
      </c>
      <c r="E8" s="189"/>
      <c r="F8" s="189"/>
      <c r="G8" s="189"/>
      <c r="H8" s="189"/>
      <c r="I8" s="195"/>
    </row>
  </sheetData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3.2" x14ac:dyDescent="0.25"/>
  <cols>
    <col min="1" max="1" width="8.6640625" customWidth="1"/>
    <col min="2" max="2" width="37.88671875" customWidth="1"/>
    <col min="3" max="3" width="26.77734375" customWidth="1"/>
    <col min="4" max="4" width="11.6640625" customWidth="1"/>
    <col min="5" max="5" width="9.21875" customWidth="1"/>
  </cols>
  <sheetData>
    <row r="1" spans="1:5" ht="18" x14ac:dyDescent="0.35">
      <c r="A1" s="173"/>
      <c r="B1" s="174" t="s">
        <v>579</v>
      </c>
      <c r="C1" s="175"/>
      <c r="D1" s="175"/>
      <c r="E1" s="176"/>
    </row>
    <row r="2" spans="1:5" ht="18" x14ac:dyDescent="0.25">
      <c r="A2" s="173" t="s">
        <v>580</v>
      </c>
      <c r="B2" s="177" t="s">
        <v>581</v>
      </c>
      <c r="C2" s="177" t="s">
        <v>582</v>
      </c>
      <c r="D2" s="177" t="s">
        <v>583</v>
      </c>
      <c r="E2" s="175" t="s">
        <v>584</v>
      </c>
    </row>
    <row r="3" spans="1:5" ht="72" x14ac:dyDescent="0.25">
      <c r="A3" s="178">
        <v>1</v>
      </c>
      <c r="B3" s="187" t="s">
        <v>585</v>
      </c>
      <c r="C3" s="188" t="s">
        <v>605</v>
      </c>
      <c r="D3" s="188" t="s">
        <v>571</v>
      </c>
      <c r="E3" s="179">
        <f>'1.1п'!C12</f>
        <v>289.89999999999998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C1"/>
    </sheetView>
  </sheetViews>
  <sheetFormatPr defaultRowHeight="13.2" x14ac:dyDescent="0.25"/>
  <cols>
    <col min="2" max="2" width="42" customWidth="1"/>
    <col min="3" max="3" width="12" customWidth="1"/>
  </cols>
  <sheetData>
    <row r="1" spans="1:4" ht="18" x14ac:dyDescent="0.25">
      <c r="A1" s="714" t="s">
        <v>586</v>
      </c>
      <c r="B1" s="715"/>
      <c r="C1" s="716"/>
    </row>
    <row r="2" spans="1:4" ht="16.8" customHeight="1" x14ac:dyDescent="0.25">
      <c r="A2" s="180" t="s">
        <v>580</v>
      </c>
      <c r="B2" s="181" t="s">
        <v>587</v>
      </c>
      <c r="C2" s="182" t="s">
        <v>588</v>
      </c>
      <c r="D2" s="182" t="s">
        <v>591</v>
      </c>
    </row>
    <row r="3" spans="1:4" ht="16.8" customHeight="1" x14ac:dyDescent="0.25">
      <c r="A3" s="180">
        <v>1</v>
      </c>
      <c r="B3" s="183" t="s">
        <v>617</v>
      </c>
      <c r="C3" s="182">
        <v>13</v>
      </c>
      <c r="D3" s="182" t="s">
        <v>603</v>
      </c>
    </row>
    <row r="4" spans="1:4" ht="16.8" customHeight="1" x14ac:dyDescent="0.25">
      <c r="A4" s="180">
        <v>2</v>
      </c>
      <c r="B4" s="183" t="s">
        <v>618</v>
      </c>
      <c r="C4" s="182">
        <v>37.200000000000003</v>
      </c>
      <c r="D4" s="182" t="s">
        <v>603</v>
      </c>
    </row>
    <row r="5" spans="1:4" ht="16.8" customHeight="1" x14ac:dyDescent="0.25">
      <c r="A5" s="180">
        <v>3</v>
      </c>
      <c r="B5" s="183" t="s">
        <v>619</v>
      </c>
      <c r="C5" s="182">
        <v>37.200000000000003</v>
      </c>
      <c r="D5" s="182" t="s">
        <v>603</v>
      </c>
    </row>
    <row r="6" spans="1:4" ht="16.8" customHeight="1" x14ac:dyDescent="0.25">
      <c r="A6" s="180">
        <v>4</v>
      </c>
      <c r="B6" s="183" t="s">
        <v>620</v>
      </c>
      <c r="C6" s="182">
        <v>25</v>
      </c>
      <c r="D6" s="182" t="s">
        <v>603</v>
      </c>
    </row>
    <row r="7" spans="1:4" ht="16.8" customHeight="1" x14ac:dyDescent="0.25">
      <c r="A7" s="180">
        <v>5</v>
      </c>
      <c r="B7" s="183" t="s">
        <v>621</v>
      </c>
      <c r="C7" s="182">
        <v>27.2</v>
      </c>
      <c r="D7" s="182" t="s">
        <v>603</v>
      </c>
    </row>
    <row r="8" spans="1:4" ht="16.8" customHeight="1" x14ac:dyDescent="0.25">
      <c r="A8" s="180">
        <v>6</v>
      </c>
      <c r="B8" s="183" t="s">
        <v>599</v>
      </c>
      <c r="C8" s="182">
        <v>37.200000000000003</v>
      </c>
      <c r="D8" s="182" t="s">
        <v>603</v>
      </c>
    </row>
    <row r="9" spans="1:4" ht="16.8" customHeight="1" x14ac:dyDescent="0.25">
      <c r="A9" s="180">
        <v>7</v>
      </c>
      <c r="B9" s="183" t="s">
        <v>600</v>
      </c>
      <c r="C9" s="182">
        <v>37.200000000000003</v>
      </c>
      <c r="D9" s="182" t="s">
        <v>603</v>
      </c>
    </row>
    <row r="10" spans="1:4" ht="16.8" customHeight="1" x14ac:dyDescent="0.25">
      <c r="A10" s="180">
        <v>8</v>
      </c>
      <c r="B10" s="183" t="s">
        <v>601</v>
      </c>
      <c r="C10" s="182">
        <v>38.700000000000003</v>
      </c>
      <c r="D10" s="182" t="s">
        <v>603</v>
      </c>
    </row>
    <row r="11" spans="1:4" ht="16.8" customHeight="1" x14ac:dyDescent="0.25">
      <c r="A11" s="180">
        <v>9</v>
      </c>
      <c r="B11" s="183" t="s">
        <v>602</v>
      </c>
      <c r="C11" s="182">
        <v>37.200000000000003</v>
      </c>
      <c r="D11" s="182" t="s">
        <v>603</v>
      </c>
    </row>
    <row r="12" spans="1:4" ht="18" x14ac:dyDescent="0.25">
      <c r="A12" s="180"/>
      <c r="B12" s="184" t="s">
        <v>590</v>
      </c>
      <c r="C12" s="182">
        <f>SUM(C3:C11)</f>
        <v>289.89999999999998</v>
      </c>
    </row>
  </sheetData>
  <mergeCells count="1">
    <mergeCell ref="A1:C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3.2" x14ac:dyDescent="0.25"/>
  <cols>
    <col min="1" max="1" width="8.6640625" customWidth="1"/>
    <col min="2" max="2" width="37.88671875" customWidth="1"/>
    <col min="3" max="3" width="26.77734375" customWidth="1"/>
    <col min="4" max="4" width="11.6640625" customWidth="1"/>
    <col min="5" max="5" width="9.21875" customWidth="1"/>
  </cols>
  <sheetData>
    <row r="1" spans="1:5" ht="18" x14ac:dyDescent="0.35">
      <c r="A1" s="173"/>
      <c r="B1" s="174" t="s">
        <v>579</v>
      </c>
      <c r="C1" s="175"/>
      <c r="D1" s="175"/>
      <c r="E1" s="176"/>
    </row>
    <row r="2" spans="1:5" ht="18" x14ac:dyDescent="0.25">
      <c r="A2" s="173" t="s">
        <v>580</v>
      </c>
      <c r="B2" s="177" t="s">
        <v>581</v>
      </c>
      <c r="C2" s="177" t="s">
        <v>582</v>
      </c>
      <c r="D2" s="177" t="s">
        <v>583</v>
      </c>
      <c r="E2" s="175" t="s">
        <v>584</v>
      </c>
    </row>
    <row r="3" spans="1:5" ht="72" x14ac:dyDescent="0.25">
      <c r="A3" s="178">
        <v>1</v>
      </c>
      <c r="B3" s="187" t="s">
        <v>585</v>
      </c>
      <c r="C3" s="188" t="s">
        <v>606</v>
      </c>
      <c r="D3" s="188" t="s">
        <v>571</v>
      </c>
      <c r="E3" s="179">
        <f>'1.2п'!C12</f>
        <v>208.09999999999997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C1"/>
    </sheetView>
  </sheetViews>
  <sheetFormatPr defaultRowHeight="13.2" x14ac:dyDescent="0.25"/>
  <cols>
    <col min="2" max="2" width="42" customWidth="1"/>
    <col min="3" max="3" width="12" customWidth="1"/>
  </cols>
  <sheetData>
    <row r="1" spans="1:4" ht="18" x14ac:dyDescent="0.25">
      <c r="A1" s="714" t="s">
        <v>586</v>
      </c>
      <c r="B1" s="715"/>
      <c r="C1" s="716"/>
    </row>
    <row r="2" spans="1:4" ht="16.8" customHeight="1" x14ac:dyDescent="0.25">
      <c r="A2" s="180" t="s">
        <v>580</v>
      </c>
      <c r="B2" s="181" t="s">
        <v>587</v>
      </c>
      <c r="C2" s="182" t="s">
        <v>588</v>
      </c>
      <c r="D2" s="182" t="s">
        <v>591</v>
      </c>
    </row>
    <row r="3" spans="1:4" ht="16.8" customHeight="1" x14ac:dyDescent="0.25">
      <c r="A3" s="180">
        <v>1</v>
      </c>
      <c r="B3" s="183" t="s">
        <v>607</v>
      </c>
      <c r="C3" s="182">
        <v>18.5</v>
      </c>
      <c r="D3" s="182" t="s">
        <v>604</v>
      </c>
    </row>
    <row r="4" spans="1:4" ht="16.8" customHeight="1" x14ac:dyDescent="0.25">
      <c r="A4" s="180">
        <v>2</v>
      </c>
      <c r="B4" s="183" t="s">
        <v>608</v>
      </c>
      <c r="C4" s="182">
        <v>30</v>
      </c>
      <c r="D4" s="182" t="s">
        <v>604</v>
      </c>
    </row>
    <row r="5" spans="1:4" ht="16.8" customHeight="1" x14ac:dyDescent="0.25">
      <c r="A5" s="180">
        <v>3</v>
      </c>
      <c r="B5" s="183" t="s">
        <v>609</v>
      </c>
      <c r="C5" s="182">
        <v>9.5</v>
      </c>
      <c r="D5" s="182" t="s">
        <v>604</v>
      </c>
    </row>
    <row r="6" spans="1:4" ht="16.8" customHeight="1" x14ac:dyDescent="0.25">
      <c r="A6" s="180">
        <v>4</v>
      </c>
      <c r="B6" s="183" t="s">
        <v>610</v>
      </c>
      <c r="C6" s="182">
        <v>9.5</v>
      </c>
      <c r="D6" s="182" t="s">
        <v>604</v>
      </c>
    </row>
    <row r="7" spans="1:4" ht="16.8" customHeight="1" x14ac:dyDescent="0.25">
      <c r="A7" s="180">
        <v>5</v>
      </c>
      <c r="B7" s="183" t="s">
        <v>594</v>
      </c>
      <c r="C7" s="182">
        <v>80.2</v>
      </c>
      <c r="D7" s="182" t="s">
        <v>604</v>
      </c>
    </row>
    <row r="8" spans="1:4" ht="16.8" customHeight="1" x14ac:dyDescent="0.25">
      <c r="A8" s="180">
        <v>6</v>
      </c>
      <c r="B8" s="183" t="s">
        <v>611</v>
      </c>
      <c r="C8" s="182">
        <v>15.2</v>
      </c>
      <c r="D8" s="182" t="s">
        <v>604</v>
      </c>
    </row>
    <row r="9" spans="1:4" ht="16.8" customHeight="1" x14ac:dyDescent="0.25">
      <c r="A9" s="180">
        <v>7</v>
      </c>
      <c r="B9" s="183" t="s">
        <v>612</v>
      </c>
      <c r="C9" s="182">
        <v>15.2</v>
      </c>
      <c r="D9" s="182" t="s">
        <v>604</v>
      </c>
    </row>
    <row r="10" spans="1:4" ht="16.8" customHeight="1" x14ac:dyDescent="0.25">
      <c r="A10" s="180">
        <v>8</v>
      </c>
      <c r="B10" s="183" t="s">
        <v>613</v>
      </c>
      <c r="C10" s="182">
        <v>15</v>
      </c>
      <c r="D10" s="182" t="s">
        <v>604</v>
      </c>
    </row>
    <row r="11" spans="1:4" ht="16.8" customHeight="1" x14ac:dyDescent="0.25">
      <c r="A11" s="180">
        <v>9</v>
      </c>
      <c r="B11" s="183" t="s">
        <v>614</v>
      </c>
      <c r="C11" s="182">
        <v>15</v>
      </c>
      <c r="D11" s="182" t="s">
        <v>604</v>
      </c>
    </row>
    <row r="12" spans="1:4" ht="18" x14ac:dyDescent="0.25">
      <c r="A12" s="180"/>
      <c r="B12" s="184" t="s">
        <v>590</v>
      </c>
      <c r="C12" s="182">
        <f>SUM(C3:C11)</f>
        <v>208.09999999999997</v>
      </c>
    </row>
  </sheetData>
  <mergeCells count="1">
    <mergeCell ref="A1:C1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3.2" x14ac:dyDescent="0.25"/>
  <cols>
    <col min="1" max="1" width="8.6640625" customWidth="1"/>
    <col min="2" max="2" width="37.88671875" customWidth="1"/>
    <col min="3" max="3" width="26.77734375" customWidth="1"/>
    <col min="4" max="4" width="11.6640625" customWidth="1"/>
    <col min="5" max="5" width="9.21875" customWidth="1"/>
  </cols>
  <sheetData>
    <row r="1" spans="1:5" ht="18" x14ac:dyDescent="0.35">
      <c r="A1" s="173"/>
      <c r="B1" s="174" t="s">
        <v>579</v>
      </c>
      <c r="C1" s="175"/>
      <c r="D1" s="175"/>
      <c r="E1" s="176"/>
    </row>
    <row r="2" spans="1:5" ht="18" x14ac:dyDescent="0.25">
      <c r="A2" s="173" t="s">
        <v>580</v>
      </c>
      <c r="B2" s="177" t="s">
        <v>581</v>
      </c>
      <c r="C2" s="177" t="s">
        <v>582</v>
      </c>
      <c r="D2" s="177" t="s">
        <v>583</v>
      </c>
      <c r="E2" s="175" t="s">
        <v>584</v>
      </c>
    </row>
    <row r="3" spans="1:5" ht="72" x14ac:dyDescent="0.25">
      <c r="A3" s="178">
        <v>1</v>
      </c>
      <c r="B3" s="187" t="s">
        <v>585</v>
      </c>
      <c r="C3" s="188" t="s">
        <v>623</v>
      </c>
      <c r="D3" s="188" t="s">
        <v>571</v>
      </c>
      <c r="E3" s="179">
        <f>'1.3п'!C12</f>
        <v>220.4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70" zoomScaleNormal="70" workbookViewId="0">
      <selection activeCell="C3" sqref="C3:C11"/>
    </sheetView>
  </sheetViews>
  <sheetFormatPr defaultRowHeight="13.2" x14ac:dyDescent="0.25"/>
  <cols>
    <col min="2" max="2" width="42" customWidth="1"/>
    <col min="3" max="3" width="12" customWidth="1"/>
  </cols>
  <sheetData>
    <row r="1" spans="1:4" ht="18" x14ac:dyDescent="0.25">
      <c r="A1" s="714" t="s">
        <v>586</v>
      </c>
      <c r="B1" s="715"/>
      <c r="C1" s="716"/>
    </row>
    <row r="2" spans="1:4" ht="16.8" customHeight="1" x14ac:dyDescent="0.25">
      <c r="A2" s="180" t="s">
        <v>580</v>
      </c>
      <c r="B2" s="181" t="s">
        <v>587</v>
      </c>
      <c r="C2" s="182" t="s">
        <v>588</v>
      </c>
      <c r="D2" s="182" t="s">
        <v>591</v>
      </c>
    </row>
    <row r="3" spans="1:4" ht="16.8" customHeight="1" x14ac:dyDescent="0.25">
      <c r="A3" s="180">
        <v>1</v>
      </c>
      <c r="B3" s="183" t="s">
        <v>589</v>
      </c>
      <c r="C3" s="182">
        <v>15.84</v>
      </c>
      <c r="D3" s="182" t="s">
        <v>568</v>
      </c>
    </row>
    <row r="4" spans="1:4" ht="16.8" customHeight="1" x14ac:dyDescent="0.25">
      <c r="A4" s="180">
        <v>2</v>
      </c>
      <c r="B4" s="183" t="s">
        <v>592</v>
      </c>
      <c r="C4" s="182">
        <v>15.6</v>
      </c>
      <c r="D4" s="182" t="s">
        <v>568</v>
      </c>
    </row>
    <row r="5" spans="1:4" ht="16.8" customHeight="1" x14ac:dyDescent="0.25">
      <c r="A5" s="180">
        <v>3</v>
      </c>
      <c r="B5" s="183" t="s">
        <v>615</v>
      </c>
      <c r="C5" s="182">
        <v>22.14</v>
      </c>
      <c r="D5" s="182" t="s">
        <v>568</v>
      </c>
    </row>
    <row r="6" spans="1:4" ht="16.8" customHeight="1" x14ac:dyDescent="0.25">
      <c r="A6" s="180">
        <v>4</v>
      </c>
      <c r="B6" s="183" t="s">
        <v>593</v>
      </c>
      <c r="C6" s="182">
        <v>20.340000000000003</v>
      </c>
      <c r="D6" s="182" t="s">
        <v>568</v>
      </c>
    </row>
    <row r="7" spans="1:4" ht="16.8" customHeight="1" x14ac:dyDescent="0.25">
      <c r="A7" s="180">
        <v>5</v>
      </c>
      <c r="B7" s="183" t="s">
        <v>616</v>
      </c>
      <c r="C7" s="182">
        <v>20</v>
      </c>
      <c r="D7" s="182" t="s">
        <v>568</v>
      </c>
    </row>
    <row r="8" spans="1:4" ht="16.8" customHeight="1" x14ac:dyDescent="0.25">
      <c r="A8" s="180">
        <v>6</v>
      </c>
      <c r="B8" s="183" t="s">
        <v>595</v>
      </c>
      <c r="C8" s="182">
        <v>36</v>
      </c>
      <c r="D8" s="182" t="s">
        <v>568</v>
      </c>
    </row>
    <row r="9" spans="1:4" ht="16.8" customHeight="1" x14ac:dyDescent="0.25">
      <c r="A9" s="180">
        <v>7</v>
      </c>
      <c r="B9" s="183" t="s">
        <v>596</v>
      </c>
      <c r="C9" s="182">
        <v>19.2</v>
      </c>
      <c r="D9" s="182" t="s">
        <v>568</v>
      </c>
    </row>
    <row r="10" spans="1:4" ht="16.8" customHeight="1" x14ac:dyDescent="0.25">
      <c r="A10" s="180">
        <v>8</v>
      </c>
      <c r="B10" s="183" t="s">
        <v>597</v>
      </c>
      <c r="C10" s="182">
        <v>36</v>
      </c>
      <c r="D10" s="182" t="s">
        <v>568</v>
      </c>
    </row>
    <row r="11" spans="1:4" ht="16.8" customHeight="1" x14ac:dyDescent="0.25">
      <c r="A11" s="180">
        <v>9</v>
      </c>
      <c r="B11" s="183" t="s">
        <v>598</v>
      </c>
      <c r="C11" s="182">
        <v>35.28</v>
      </c>
      <c r="D11" s="182" t="s">
        <v>568</v>
      </c>
    </row>
    <row r="12" spans="1:4" ht="18" x14ac:dyDescent="0.25">
      <c r="A12" s="180"/>
      <c r="B12" s="184" t="s">
        <v>590</v>
      </c>
      <c r="C12" s="182">
        <f>SUM(C3:C11)</f>
        <v>220.4</v>
      </c>
    </row>
  </sheetData>
  <mergeCells count="1">
    <mergeCell ref="A1:C1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K16"/>
  <sheetViews>
    <sheetView workbookViewId="0">
      <selection activeCell="A3" sqref="A1:XFD3"/>
    </sheetView>
  </sheetViews>
  <sheetFormatPr defaultRowHeight="18" x14ac:dyDescent="0.25"/>
  <cols>
    <col min="1" max="1" width="7.21875" style="275" customWidth="1"/>
    <col min="2" max="2" width="10.88671875" style="275" customWidth="1"/>
    <col min="3" max="3" width="8" style="275" customWidth="1"/>
    <col min="4" max="4" width="12" style="275" customWidth="1"/>
    <col min="5" max="5" width="7.109375" style="275" customWidth="1"/>
    <col min="6" max="6" width="7.6640625" style="275" customWidth="1"/>
    <col min="7" max="7" width="9.33203125" style="275" customWidth="1"/>
    <col min="8" max="8" width="9.88671875" style="275" customWidth="1"/>
    <col min="9" max="9" width="12.109375" style="275" customWidth="1"/>
    <col min="10" max="10" width="7.88671875" style="275" customWidth="1"/>
    <col min="11" max="11" width="10.109375" style="275" customWidth="1"/>
    <col min="12" max="16384" width="8.88671875" style="275"/>
  </cols>
  <sheetData>
    <row r="1" spans="1:11" x14ac:dyDescent="0.25">
      <c r="A1" s="578" t="s">
        <v>579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</row>
    <row r="2" spans="1:11" ht="36" x14ac:dyDescent="0.25">
      <c r="A2" s="173" t="s">
        <v>580</v>
      </c>
      <c r="B2" s="650" t="s">
        <v>581</v>
      </c>
      <c r="C2" s="650"/>
      <c r="D2" s="650"/>
      <c r="E2" s="650"/>
      <c r="F2" s="650"/>
      <c r="G2" s="597" t="s">
        <v>582</v>
      </c>
      <c r="H2" s="597"/>
      <c r="I2" s="597"/>
      <c r="J2" s="296" t="s">
        <v>583</v>
      </c>
      <c r="K2" s="175" t="s">
        <v>584</v>
      </c>
    </row>
    <row r="3" spans="1:11" ht="54" customHeight="1" x14ac:dyDescent="0.25">
      <c r="A3" s="288">
        <v>1</v>
      </c>
      <c r="B3" s="651" t="s">
        <v>585</v>
      </c>
      <c r="C3" s="651"/>
      <c r="D3" s="651"/>
      <c r="E3" s="651"/>
      <c r="F3" s="651"/>
      <c r="G3" s="724" t="s">
        <v>623</v>
      </c>
      <c r="H3" s="578"/>
      <c r="I3" s="578"/>
      <c r="J3" s="288" t="s">
        <v>571</v>
      </c>
      <c r="K3" s="286">
        <f>D11+I12+D16</f>
        <v>266.53699999999998</v>
      </c>
    </row>
    <row r="4" spans="1:11" x14ac:dyDescent="0.35">
      <c r="A4" s="723"/>
      <c r="B4" s="723"/>
      <c r="C4" s="723"/>
      <c r="D4" s="723"/>
      <c r="E4" s="723"/>
      <c r="F4" s="723"/>
      <c r="G4" s="723"/>
      <c r="H4" s="723"/>
      <c r="I4" s="723"/>
      <c r="J4" s="723"/>
      <c r="K4" s="723"/>
    </row>
    <row r="5" spans="1:11" ht="36" x14ac:dyDescent="0.25">
      <c r="A5" s="287" t="s">
        <v>828</v>
      </c>
      <c r="B5" s="287" t="s">
        <v>826</v>
      </c>
      <c r="C5" s="287" t="s">
        <v>827</v>
      </c>
      <c r="D5" s="287" t="s">
        <v>829</v>
      </c>
      <c r="E5" s="720"/>
      <c r="F5" s="287" t="s">
        <v>828</v>
      </c>
      <c r="G5" s="287" t="s">
        <v>826</v>
      </c>
      <c r="H5" s="287" t="s">
        <v>827</v>
      </c>
      <c r="I5" s="287" t="s">
        <v>829</v>
      </c>
      <c r="J5" s="717"/>
      <c r="K5" s="717"/>
    </row>
    <row r="6" spans="1:11" x14ac:dyDescent="0.25">
      <c r="A6" s="290" t="s">
        <v>483</v>
      </c>
      <c r="B6" s="291">
        <v>1.8</v>
      </c>
      <c r="C6" s="291">
        <v>8.0399999999999991</v>
      </c>
      <c r="D6" s="294">
        <v>14.472</v>
      </c>
      <c r="E6" s="720"/>
      <c r="F6" s="290" t="s">
        <v>439</v>
      </c>
      <c r="G6" s="291">
        <v>1.8</v>
      </c>
      <c r="H6" s="291">
        <v>11.84</v>
      </c>
      <c r="I6" s="294">
        <v>21.312000000000001</v>
      </c>
      <c r="J6" s="717"/>
      <c r="K6" s="717"/>
    </row>
    <row r="7" spans="1:11" x14ac:dyDescent="0.25">
      <c r="A7" s="292" t="s">
        <v>500</v>
      </c>
      <c r="B7" s="293">
        <v>1.8</v>
      </c>
      <c r="C7" s="293">
        <v>6.9</v>
      </c>
      <c r="D7" s="295">
        <v>12.420000000000002</v>
      </c>
      <c r="E7" s="720"/>
      <c r="F7" s="292" t="s">
        <v>440</v>
      </c>
      <c r="G7" s="293">
        <v>0.85</v>
      </c>
      <c r="H7" s="293">
        <v>7.4</v>
      </c>
      <c r="I7" s="295">
        <v>6.29</v>
      </c>
      <c r="J7" s="717"/>
      <c r="K7" s="717"/>
    </row>
    <row r="8" spans="1:11" x14ac:dyDescent="0.25">
      <c r="A8" s="290" t="s">
        <v>527</v>
      </c>
      <c r="B8" s="291">
        <v>1.8</v>
      </c>
      <c r="C8" s="291">
        <v>6.7</v>
      </c>
      <c r="D8" s="294">
        <v>12.06</v>
      </c>
      <c r="E8" s="720"/>
      <c r="F8" s="290" t="s">
        <v>440</v>
      </c>
      <c r="G8" s="291">
        <v>4</v>
      </c>
      <c r="H8" s="291">
        <v>13.3</v>
      </c>
      <c r="I8" s="294">
        <v>53.2</v>
      </c>
      <c r="J8" s="717"/>
      <c r="K8" s="717"/>
    </row>
    <row r="9" spans="1:11" x14ac:dyDescent="0.25">
      <c r="A9" s="292" t="s">
        <v>493</v>
      </c>
      <c r="B9" s="293">
        <v>1.8</v>
      </c>
      <c r="C9" s="293">
        <v>7.96</v>
      </c>
      <c r="D9" s="295">
        <v>14.327999999999999</v>
      </c>
      <c r="E9" s="720"/>
      <c r="F9" s="292" t="s">
        <v>436</v>
      </c>
      <c r="G9" s="293">
        <v>0.85</v>
      </c>
      <c r="H9" s="293">
        <v>6.9</v>
      </c>
      <c r="I9" s="295">
        <v>5.8650000000000002</v>
      </c>
      <c r="J9" s="717"/>
      <c r="K9" s="717"/>
    </row>
    <row r="10" spans="1:11" x14ac:dyDescent="0.25">
      <c r="A10" s="290" t="s">
        <v>494</v>
      </c>
      <c r="B10" s="291">
        <v>1.8</v>
      </c>
      <c r="C10" s="291">
        <v>19.350000000000001</v>
      </c>
      <c r="D10" s="294">
        <v>34.830000000000005</v>
      </c>
      <c r="E10" s="720"/>
      <c r="F10" s="290" t="s">
        <v>436</v>
      </c>
      <c r="G10" s="291">
        <v>4</v>
      </c>
      <c r="H10" s="291">
        <v>13.4</v>
      </c>
      <c r="I10" s="294">
        <v>53.6</v>
      </c>
      <c r="J10" s="717"/>
      <c r="K10" s="717"/>
    </row>
    <row r="11" spans="1:11" x14ac:dyDescent="0.25">
      <c r="A11" s="721"/>
      <c r="B11" s="722"/>
      <c r="C11" s="288" t="s">
        <v>622</v>
      </c>
      <c r="D11" s="289">
        <f>SUM(D6:D10)</f>
        <v>88.110000000000014</v>
      </c>
      <c r="E11" s="720"/>
      <c r="F11" s="292" t="s">
        <v>671</v>
      </c>
      <c r="G11" s="293">
        <v>1.8</v>
      </c>
      <c r="H11" s="293">
        <v>13.2</v>
      </c>
      <c r="I11" s="295">
        <v>23.759999999999998</v>
      </c>
      <c r="J11" s="717"/>
      <c r="K11" s="717"/>
    </row>
    <row r="12" spans="1:11" x14ac:dyDescent="0.25">
      <c r="A12" s="717"/>
      <c r="B12" s="717"/>
      <c r="C12" s="717"/>
      <c r="D12" s="717"/>
      <c r="E12" s="717"/>
      <c r="F12" s="717"/>
      <c r="G12" s="717"/>
      <c r="H12" s="288" t="s">
        <v>622</v>
      </c>
      <c r="I12" s="289">
        <f>SUM(I6:I11)</f>
        <v>164.02699999999999</v>
      </c>
      <c r="J12" s="717"/>
      <c r="K12" s="717"/>
    </row>
    <row r="13" spans="1:11" x14ac:dyDescent="0.25">
      <c r="A13" s="717"/>
      <c r="B13" s="717"/>
      <c r="C13" s="717"/>
      <c r="D13" s="717"/>
      <c r="E13" s="717"/>
      <c r="F13" s="717"/>
      <c r="G13" s="717"/>
      <c r="H13" s="721"/>
      <c r="I13" s="722"/>
      <c r="J13" s="717"/>
      <c r="K13" s="717"/>
    </row>
    <row r="14" spans="1:11" ht="36" x14ac:dyDescent="0.25">
      <c r="A14" s="287" t="s">
        <v>828</v>
      </c>
      <c r="B14" s="287" t="s">
        <v>826</v>
      </c>
      <c r="C14" s="287" t="s">
        <v>827</v>
      </c>
      <c r="D14" s="287" t="s">
        <v>829</v>
      </c>
      <c r="E14" s="718"/>
      <c r="F14" s="719"/>
      <c r="G14" s="719"/>
      <c r="H14" s="719"/>
      <c r="I14" s="719"/>
      <c r="J14" s="717"/>
      <c r="K14" s="717"/>
    </row>
    <row r="15" spans="1:11" x14ac:dyDescent="0.25">
      <c r="A15" s="290" t="s">
        <v>369</v>
      </c>
      <c r="B15" s="291">
        <v>1.8</v>
      </c>
      <c r="C15" s="291">
        <v>8</v>
      </c>
      <c r="D15" s="294">
        <v>14.4</v>
      </c>
      <c r="E15" s="718"/>
      <c r="F15" s="719"/>
      <c r="G15" s="719"/>
      <c r="H15" s="719"/>
      <c r="I15" s="719"/>
      <c r="J15" s="717"/>
      <c r="K15" s="717"/>
    </row>
    <row r="16" spans="1:11" x14ac:dyDescent="0.25">
      <c r="A16" s="721"/>
      <c r="B16" s="722"/>
      <c r="C16" s="288" t="s">
        <v>622</v>
      </c>
      <c r="D16" s="289">
        <f>SUM(D15:D15)</f>
        <v>14.4</v>
      </c>
      <c r="E16" s="718"/>
      <c r="F16" s="719"/>
      <c r="G16" s="719"/>
      <c r="H16" s="719"/>
      <c r="I16" s="719"/>
      <c r="J16" s="717"/>
      <c r="K16" s="717"/>
    </row>
  </sheetData>
  <mergeCells count="13">
    <mergeCell ref="A4:K4"/>
    <mergeCell ref="A1:K1"/>
    <mergeCell ref="B2:F2"/>
    <mergeCell ref="G2:I2"/>
    <mergeCell ref="B3:F3"/>
    <mergeCell ref="G3:I3"/>
    <mergeCell ref="J5:K16"/>
    <mergeCell ref="E14:I16"/>
    <mergeCell ref="A12:G13"/>
    <mergeCell ref="E5:E11"/>
    <mergeCell ref="A16:B16"/>
    <mergeCell ref="A11:B11"/>
    <mergeCell ref="H13:I13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K9"/>
  <sheetViews>
    <sheetView workbookViewId="0">
      <selection sqref="A1:K1"/>
    </sheetView>
  </sheetViews>
  <sheetFormatPr defaultRowHeight="15" x14ac:dyDescent="0.25"/>
  <cols>
    <col min="1" max="1" width="8.88671875" style="298"/>
    <col min="2" max="2" width="11.109375" style="298" bestFit="1" customWidth="1"/>
    <col min="3" max="3" width="13.21875" style="298" customWidth="1"/>
    <col min="4" max="4" width="10.21875" style="298" customWidth="1"/>
    <col min="5" max="5" width="8.88671875" style="298" customWidth="1"/>
    <col min="6" max="6" width="13.44140625" style="298" customWidth="1"/>
    <col min="7" max="7" width="14.6640625" style="298" customWidth="1"/>
    <col min="8" max="8" width="4.21875" style="298" customWidth="1"/>
    <col min="9" max="9" width="13" style="298" customWidth="1"/>
    <col min="10" max="10" width="10.5546875" style="298" bestFit="1" customWidth="1"/>
    <col min="11" max="11" width="11.33203125" style="298" customWidth="1"/>
    <col min="12" max="16384" width="8.88671875" style="298"/>
  </cols>
  <sheetData>
    <row r="1" spans="1:11" ht="18" customHeight="1" x14ac:dyDescent="0.25">
      <c r="A1" s="736" t="s">
        <v>586</v>
      </c>
      <c r="B1" s="736"/>
      <c r="C1" s="736"/>
      <c r="D1" s="736"/>
      <c r="E1" s="736"/>
      <c r="F1" s="736"/>
      <c r="G1" s="736"/>
      <c r="H1" s="736"/>
      <c r="I1" s="736"/>
      <c r="J1" s="736"/>
      <c r="K1" s="736"/>
    </row>
    <row r="2" spans="1:11" ht="18" customHeight="1" x14ac:dyDescent="0.25">
      <c r="A2" s="308" t="s">
        <v>580</v>
      </c>
      <c r="B2" s="738" t="s">
        <v>789</v>
      </c>
      <c r="C2" s="739"/>
      <c r="D2" s="740"/>
      <c r="E2" s="738" t="s">
        <v>582</v>
      </c>
      <c r="F2" s="739"/>
      <c r="G2" s="739"/>
      <c r="H2" s="739"/>
      <c r="I2" s="740"/>
      <c r="J2" s="309" t="s">
        <v>583</v>
      </c>
      <c r="K2" s="309" t="s">
        <v>584</v>
      </c>
    </row>
    <row r="3" spans="1:11" ht="57.6" customHeight="1" x14ac:dyDescent="0.25">
      <c r="A3" s="308">
        <v>1</v>
      </c>
      <c r="B3" s="730" t="s">
        <v>810</v>
      </c>
      <c r="C3" s="731"/>
      <c r="D3" s="732"/>
      <c r="E3" s="733" t="s">
        <v>811</v>
      </c>
      <c r="F3" s="734"/>
      <c r="G3" s="734"/>
      <c r="H3" s="734"/>
      <c r="I3" s="735"/>
      <c r="J3" s="307" t="s">
        <v>571</v>
      </c>
      <c r="K3" s="306">
        <f>E8</f>
        <v>117.60000000000001</v>
      </c>
    </row>
    <row r="4" spans="1:11" ht="111" customHeight="1" x14ac:dyDescent="0.25">
      <c r="A4" s="308">
        <v>2</v>
      </c>
      <c r="B4" s="730" t="s">
        <v>810</v>
      </c>
      <c r="C4" s="731"/>
      <c r="D4" s="732"/>
      <c r="E4" s="733" t="s">
        <v>812</v>
      </c>
      <c r="F4" s="734"/>
      <c r="G4" s="734"/>
      <c r="H4" s="734"/>
      <c r="I4" s="735"/>
      <c r="J4" s="307" t="s">
        <v>571</v>
      </c>
      <c r="K4" s="306">
        <f>E9</f>
        <v>356.9</v>
      </c>
    </row>
    <row r="5" spans="1:11" ht="18" x14ac:dyDescent="0.25">
      <c r="A5" s="737"/>
      <c r="B5" s="737"/>
      <c r="C5" s="737"/>
      <c r="D5" s="737"/>
      <c r="E5" s="737"/>
      <c r="F5" s="737"/>
      <c r="G5" s="737"/>
      <c r="H5" s="737"/>
      <c r="I5" s="737"/>
      <c r="J5" s="737"/>
      <c r="K5" s="737"/>
    </row>
    <row r="6" spans="1:11" ht="18" x14ac:dyDescent="0.25">
      <c r="A6" s="305"/>
      <c r="B6" s="725" t="s">
        <v>821</v>
      </c>
      <c r="C6" s="726"/>
      <c r="D6" s="726"/>
      <c r="E6" s="727"/>
      <c r="F6" s="728"/>
      <c r="G6" s="729"/>
      <c r="H6" s="729"/>
      <c r="I6" s="729"/>
      <c r="J6" s="729"/>
      <c r="K6" s="729"/>
    </row>
    <row r="7" spans="1:11" ht="18" x14ac:dyDescent="0.25">
      <c r="A7" s="301" t="s">
        <v>591</v>
      </c>
      <c r="B7" s="302">
        <v>1</v>
      </c>
      <c r="C7" s="302" t="s">
        <v>823</v>
      </c>
      <c r="D7" s="302">
        <v>3</v>
      </c>
      <c r="E7" s="301" t="s">
        <v>831</v>
      </c>
      <c r="F7" s="728"/>
      <c r="G7" s="729"/>
      <c r="H7" s="729"/>
      <c r="I7" s="729"/>
      <c r="J7" s="729"/>
      <c r="K7" s="729"/>
    </row>
    <row r="8" spans="1:11" ht="18" x14ac:dyDescent="0.25">
      <c r="A8" s="300" t="s">
        <v>792</v>
      </c>
      <c r="B8" s="299">
        <v>84.9</v>
      </c>
      <c r="C8" s="304">
        <v>28.4</v>
      </c>
      <c r="D8" s="299">
        <v>4.3</v>
      </c>
      <c r="E8" s="300">
        <v>117.60000000000001</v>
      </c>
      <c r="F8" s="728"/>
      <c r="G8" s="729"/>
      <c r="H8" s="729"/>
      <c r="I8" s="729"/>
      <c r="J8" s="729"/>
      <c r="K8" s="729"/>
    </row>
    <row r="9" spans="1:11" ht="18" x14ac:dyDescent="0.25">
      <c r="A9" s="301" t="s">
        <v>795</v>
      </c>
      <c r="B9" s="302">
        <v>182.7</v>
      </c>
      <c r="C9" s="303">
        <v>153.80000000000001</v>
      </c>
      <c r="D9" s="302">
        <v>20.399999999999999</v>
      </c>
      <c r="E9" s="301">
        <v>356.9</v>
      </c>
      <c r="F9" s="728"/>
      <c r="G9" s="729"/>
      <c r="H9" s="729"/>
      <c r="I9" s="729"/>
      <c r="J9" s="729"/>
      <c r="K9" s="729"/>
    </row>
  </sheetData>
  <mergeCells count="10">
    <mergeCell ref="B6:E6"/>
    <mergeCell ref="F6:K9"/>
    <mergeCell ref="B4:D4"/>
    <mergeCell ref="E4:I4"/>
    <mergeCell ref="A1:K1"/>
    <mergeCell ref="A5:K5"/>
    <mergeCell ref="B3:D3"/>
    <mergeCell ref="E3:I3"/>
    <mergeCell ref="E2:I2"/>
    <mergeCell ref="B2:D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30"/>
  <sheetViews>
    <sheetView workbookViewId="0">
      <selection sqref="A1:K1"/>
    </sheetView>
  </sheetViews>
  <sheetFormatPr defaultRowHeight="18" x14ac:dyDescent="0.25"/>
  <cols>
    <col min="1" max="1" width="7.21875" style="275" customWidth="1"/>
    <col min="2" max="2" width="10.88671875" style="275" customWidth="1"/>
    <col min="3" max="3" width="8" style="275" customWidth="1"/>
    <col min="4" max="4" width="12" style="275" customWidth="1"/>
    <col min="5" max="5" width="7.109375" style="275" customWidth="1"/>
    <col min="6" max="6" width="7.6640625" style="275" customWidth="1"/>
    <col min="7" max="7" width="9.33203125" style="275" customWidth="1"/>
    <col min="8" max="8" width="9.88671875" style="275" customWidth="1"/>
    <col min="9" max="9" width="12.109375" style="275" customWidth="1"/>
    <col min="10" max="10" width="7.88671875" style="275" customWidth="1"/>
    <col min="11" max="11" width="10.109375" style="275" customWidth="1"/>
    <col min="12" max="16384" width="8.88671875" style="275"/>
  </cols>
  <sheetData>
    <row r="1" spans="1:11" x14ac:dyDescent="0.25">
      <c r="A1" s="578" t="s">
        <v>579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</row>
    <row r="2" spans="1:11" ht="36" x14ac:dyDescent="0.25">
      <c r="A2" s="173" t="s">
        <v>580</v>
      </c>
      <c r="B2" s="650" t="s">
        <v>581</v>
      </c>
      <c r="C2" s="650"/>
      <c r="D2" s="650"/>
      <c r="E2" s="650"/>
      <c r="F2" s="650"/>
      <c r="G2" s="597" t="s">
        <v>582</v>
      </c>
      <c r="H2" s="597"/>
      <c r="I2" s="597"/>
      <c r="J2" s="177" t="s">
        <v>583</v>
      </c>
      <c r="K2" s="175" t="s">
        <v>584</v>
      </c>
    </row>
    <row r="3" spans="1:11" ht="54" customHeight="1" x14ac:dyDescent="0.25">
      <c r="A3" s="285">
        <v>1</v>
      </c>
      <c r="B3" s="651" t="s">
        <v>585</v>
      </c>
      <c r="C3" s="651"/>
      <c r="D3" s="651"/>
      <c r="E3" s="651"/>
      <c r="F3" s="651"/>
      <c r="G3" s="724" t="s">
        <v>624</v>
      </c>
      <c r="H3" s="578"/>
      <c r="I3" s="578"/>
      <c r="J3" s="285" t="s">
        <v>571</v>
      </c>
      <c r="K3" s="286">
        <f>D16+I15+D27</f>
        <v>129.5916</v>
      </c>
    </row>
    <row r="4" spans="1:11" ht="52.8" customHeight="1" x14ac:dyDescent="0.25">
      <c r="A4" s="288">
        <v>1</v>
      </c>
      <c r="B4" s="651" t="s">
        <v>585</v>
      </c>
      <c r="C4" s="651"/>
      <c r="D4" s="651"/>
      <c r="E4" s="651"/>
      <c r="F4" s="651"/>
      <c r="G4" s="724" t="s">
        <v>830</v>
      </c>
      <c r="H4" s="578"/>
      <c r="I4" s="578"/>
      <c r="J4" s="288" t="s">
        <v>571</v>
      </c>
      <c r="K4" s="286">
        <f>C30</f>
        <v>15.5</v>
      </c>
    </row>
    <row r="5" spans="1:11" ht="8.4" customHeight="1" x14ac:dyDescent="0.35">
      <c r="A5" s="723"/>
      <c r="B5" s="723"/>
      <c r="C5" s="723"/>
      <c r="D5" s="723"/>
      <c r="E5" s="723"/>
      <c r="F5" s="723"/>
      <c r="G5" s="723"/>
      <c r="H5" s="723"/>
      <c r="I5" s="723"/>
      <c r="J5" s="723"/>
      <c r="K5" s="723"/>
    </row>
    <row r="6" spans="1:11" ht="36" x14ac:dyDescent="0.25">
      <c r="A6" s="287" t="s">
        <v>828</v>
      </c>
      <c r="B6" s="287" t="s">
        <v>826</v>
      </c>
      <c r="C6" s="287" t="s">
        <v>827</v>
      </c>
      <c r="D6" s="287" t="s">
        <v>829</v>
      </c>
      <c r="E6" s="717"/>
      <c r="F6" s="287" t="s">
        <v>828</v>
      </c>
      <c r="G6" s="287" t="s">
        <v>826</v>
      </c>
      <c r="H6" s="287" t="s">
        <v>827</v>
      </c>
      <c r="I6" s="287" t="s">
        <v>829</v>
      </c>
      <c r="J6" s="717"/>
      <c r="K6" s="717"/>
    </row>
    <row r="7" spans="1:11" x14ac:dyDescent="0.25">
      <c r="A7" s="290" t="s">
        <v>503</v>
      </c>
      <c r="B7" s="291">
        <v>1.8</v>
      </c>
      <c r="C7" s="291">
        <v>1.2</v>
      </c>
      <c r="D7" s="294">
        <f>B7*C7</f>
        <v>2.16</v>
      </c>
      <c r="E7" s="717"/>
      <c r="F7" s="290" t="s">
        <v>444</v>
      </c>
      <c r="G7" s="291">
        <v>1.8</v>
      </c>
      <c r="H7" s="291">
        <v>1.1499999999999999</v>
      </c>
      <c r="I7" s="294">
        <f>G7*H7</f>
        <v>2.0699999999999998</v>
      </c>
      <c r="J7" s="717"/>
      <c r="K7" s="717"/>
    </row>
    <row r="8" spans="1:11" x14ac:dyDescent="0.25">
      <c r="A8" s="292" t="s">
        <v>504</v>
      </c>
      <c r="B8" s="293">
        <v>1.8</v>
      </c>
      <c r="C8" s="293">
        <v>1.8</v>
      </c>
      <c r="D8" s="295">
        <f t="shared" ref="D8:D14" si="0">B8*C8</f>
        <v>3.24</v>
      </c>
      <c r="E8" s="717"/>
      <c r="F8" s="292" t="s">
        <v>425</v>
      </c>
      <c r="G8" s="293">
        <v>1.8</v>
      </c>
      <c r="H8" s="293">
        <v>2.06</v>
      </c>
      <c r="I8" s="295">
        <f t="shared" ref="I8:I14" si="1">G8*H8</f>
        <v>3.7080000000000002</v>
      </c>
      <c r="J8" s="717"/>
      <c r="K8" s="717"/>
    </row>
    <row r="9" spans="1:11" x14ac:dyDescent="0.25">
      <c r="A9" s="290" t="s">
        <v>488</v>
      </c>
      <c r="B9" s="291">
        <v>1.8</v>
      </c>
      <c r="C9" s="291">
        <v>1.85</v>
      </c>
      <c r="D9" s="294">
        <f t="shared" si="0"/>
        <v>3.33</v>
      </c>
      <c r="E9" s="717"/>
      <c r="F9" s="290" t="s">
        <v>426</v>
      </c>
      <c r="G9" s="291">
        <v>1.8</v>
      </c>
      <c r="H9" s="291">
        <v>1.23</v>
      </c>
      <c r="I9" s="294">
        <f t="shared" si="1"/>
        <v>2.214</v>
      </c>
      <c r="J9" s="717"/>
      <c r="K9" s="717"/>
    </row>
    <row r="10" spans="1:11" x14ac:dyDescent="0.25">
      <c r="A10" s="292" t="s">
        <v>489</v>
      </c>
      <c r="B10" s="293">
        <v>1.8</v>
      </c>
      <c r="C10" s="293">
        <v>1.23</v>
      </c>
      <c r="D10" s="295">
        <f t="shared" si="0"/>
        <v>2.214</v>
      </c>
      <c r="E10" s="717"/>
      <c r="F10" s="292" t="s">
        <v>427</v>
      </c>
      <c r="G10" s="293">
        <v>1.8</v>
      </c>
      <c r="H10" s="293">
        <f>1.83+1.8</f>
        <v>3.63</v>
      </c>
      <c r="I10" s="295">
        <f t="shared" si="1"/>
        <v>6.5339999999999998</v>
      </c>
      <c r="J10" s="717"/>
      <c r="K10" s="717"/>
    </row>
    <row r="11" spans="1:11" x14ac:dyDescent="0.25">
      <c r="A11" s="290" t="s">
        <v>490</v>
      </c>
      <c r="B11" s="291">
        <v>1.8</v>
      </c>
      <c r="C11" s="291">
        <v>1.41</v>
      </c>
      <c r="D11" s="294">
        <f t="shared" si="0"/>
        <v>2.5379999999999998</v>
      </c>
      <c r="E11" s="717"/>
      <c r="F11" s="290" t="s">
        <v>428</v>
      </c>
      <c r="G11" s="291">
        <v>1.8</v>
      </c>
      <c r="H11" s="291">
        <v>1.41</v>
      </c>
      <c r="I11" s="294">
        <f t="shared" si="1"/>
        <v>2.5379999999999998</v>
      </c>
      <c r="J11" s="717"/>
      <c r="K11" s="717"/>
    </row>
    <row r="12" spans="1:11" x14ac:dyDescent="0.25">
      <c r="A12" s="292" t="s">
        <v>491</v>
      </c>
      <c r="B12" s="293">
        <v>1.8</v>
      </c>
      <c r="C12" s="293">
        <f>2.86+1.812</f>
        <v>4.6719999999999997</v>
      </c>
      <c r="D12" s="295">
        <f t="shared" si="0"/>
        <v>8.4095999999999993</v>
      </c>
      <c r="E12" s="717"/>
      <c r="F12" s="292" t="s">
        <v>429</v>
      </c>
      <c r="G12" s="293">
        <v>1.8</v>
      </c>
      <c r="H12" s="293">
        <v>2.72</v>
      </c>
      <c r="I12" s="295">
        <f t="shared" si="1"/>
        <v>4.8960000000000008</v>
      </c>
      <c r="J12" s="717"/>
      <c r="K12" s="717"/>
    </row>
    <row r="13" spans="1:11" x14ac:dyDescent="0.25">
      <c r="A13" s="290" t="s">
        <v>495</v>
      </c>
      <c r="B13" s="291">
        <v>4</v>
      </c>
      <c r="C13" s="291">
        <f>D13/B13</f>
        <v>5.6749999999999998</v>
      </c>
      <c r="D13" s="294">
        <v>22.7</v>
      </c>
      <c r="E13" s="717"/>
      <c r="F13" s="290" t="s">
        <v>430</v>
      </c>
      <c r="G13" s="291">
        <v>1.8</v>
      </c>
      <c r="H13" s="291">
        <v>1.41</v>
      </c>
      <c r="I13" s="294">
        <f t="shared" si="1"/>
        <v>2.5379999999999998</v>
      </c>
      <c r="J13" s="717"/>
      <c r="K13" s="717"/>
    </row>
    <row r="14" spans="1:11" x14ac:dyDescent="0.25">
      <c r="A14" s="292" t="s">
        <v>496</v>
      </c>
      <c r="B14" s="293">
        <v>1.8</v>
      </c>
      <c r="C14" s="293">
        <v>1</v>
      </c>
      <c r="D14" s="295">
        <f t="shared" si="0"/>
        <v>1.8</v>
      </c>
      <c r="E14" s="717"/>
      <c r="F14" s="292" t="s">
        <v>431</v>
      </c>
      <c r="G14" s="293">
        <v>1.8</v>
      </c>
      <c r="H14" s="293">
        <v>1.4</v>
      </c>
      <c r="I14" s="295">
        <f t="shared" si="1"/>
        <v>2.52</v>
      </c>
      <c r="J14" s="717"/>
      <c r="K14" s="717"/>
    </row>
    <row r="15" spans="1:11" x14ac:dyDescent="0.25">
      <c r="A15" s="290" t="s">
        <v>531</v>
      </c>
      <c r="B15" s="291">
        <v>4</v>
      </c>
      <c r="C15" s="291">
        <f>D15/B15</f>
        <v>6.625</v>
      </c>
      <c r="D15" s="294">
        <v>26.5</v>
      </c>
      <c r="E15" s="717"/>
      <c r="F15" s="190"/>
      <c r="G15" s="190"/>
      <c r="H15" s="285" t="s">
        <v>622</v>
      </c>
      <c r="I15" s="289">
        <f>SUM(I7:I14)</f>
        <v>27.018000000000001</v>
      </c>
      <c r="J15" s="717"/>
      <c r="K15" s="717"/>
    </row>
    <row r="16" spans="1:11" x14ac:dyDescent="0.25">
      <c r="A16" s="190"/>
      <c r="B16" s="190"/>
      <c r="C16" s="285" t="s">
        <v>622</v>
      </c>
      <c r="D16" s="289">
        <f>SUM(D7:D15)</f>
        <v>72.891599999999997</v>
      </c>
      <c r="E16" s="717"/>
      <c r="F16" s="717"/>
      <c r="G16" s="717"/>
      <c r="H16" s="717"/>
      <c r="I16" s="717"/>
      <c r="J16" s="717"/>
      <c r="K16" s="717"/>
    </row>
    <row r="17" spans="1:11" ht="9" customHeight="1" x14ac:dyDescent="0.25">
      <c r="A17" s="741"/>
      <c r="B17" s="741"/>
      <c r="C17" s="741"/>
      <c r="D17" s="741"/>
      <c r="E17" s="717"/>
      <c r="F17" s="717"/>
      <c r="G17" s="717"/>
      <c r="H17" s="717"/>
      <c r="I17" s="717"/>
      <c r="J17" s="717"/>
      <c r="K17" s="717"/>
    </row>
    <row r="18" spans="1:11" ht="36" x14ac:dyDescent="0.25">
      <c r="A18" s="287" t="s">
        <v>828</v>
      </c>
      <c r="B18" s="287" t="s">
        <v>826</v>
      </c>
      <c r="C18" s="287" t="s">
        <v>827</v>
      </c>
      <c r="D18" s="287" t="s">
        <v>829</v>
      </c>
      <c r="E18" s="717"/>
      <c r="F18" s="717"/>
      <c r="G18" s="717"/>
      <c r="H18" s="717"/>
      <c r="I18" s="717"/>
      <c r="J18" s="717"/>
      <c r="K18" s="717"/>
    </row>
    <row r="19" spans="1:11" x14ac:dyDescent="0.25">
      <c r="A19" s="290" t="s">
        <v>361</v>
      </c>
      <c r="B19" s="291">
        <v>1.8</v>
      </c>
      <c r="C19" s="291">
        <v>2.06</v>
      </c>
      <c r="D19" s="294">
        <f>B19*C19</f>
        <v>3.7080000000000002</v>
      </c>
      <c r="E19" s="717"/>
      <c r="F19" s="717"/>
      <c r="G19" s="717"/>
      <c r="H19" s="717"/>
      <c r="I19" s="717"/>
      <c r="J19" s="717"/>
      <c r="K19" s="717"/>
    </row>
    <row r="20" spans="1:11" x14ac:dyDescent="0.25">
      <c r="A20" s="292" t="s">
        <v>362</v>
      </c>
      <c r="B20" s="293">
        <v>1.8</v>
      </c>
      <c r="C20" s="293">
        <f>1.23+1.36</f>
        <v>2.59</v>
      </c>
      <c r="D20" s="295">
        <f t="shared" ref="D20:D26" si="2">B20*C20</f>
        <v>4.6619999999999999</v>
      </c>
      <c r="E20" s="717"/>
      <c r="F20" s="717"/>
      <c r="G20" s="717"/>
      <c r="H20" s="717"/>
      <c r="I20" s="717"/>
      <c r="J20" s="717"/>
      <c r="K20" s="717"/>
    </row>
    <row r="21" spans="1:11" x14ac:dyDescent="0.25">
      <c r="A21" s="290" t="s">
        <v>364</v>
      </c>
      <c r="B21" s="291">
        <v>1.8</v>
      </c>
      <c r="C21" s="291">
        <v>1.43</v>
      </c>
      <c r="D21" s="294">
        <f t="shared" si="2"/>
        <v>2.5739999999999998</v>
      </c>
      <c r="E21" s="717"/>
      <c r="F21" s="717"/>
      <c r="G21" s="717"/>
      <c r="H21" s="717"/>
      <c r="I21" s="717"/>
      <c r="J21" s="717"/>
      <c r="K21" s="717"/>
    </row>
    <row r="22" spans="1:11" x14ac:dyDescent="0.25">
      <c r="A22" s="292" t="s">
        <v>365</v>
      </c>
      <c r="B22" s="293">
        <v>1.8</v>
      </c>
      <c r="C22" s="293">
        <v>1.41</v>
      </c>
      <c r="D22" s="295">
        <f t="shared" si="2"/>
        <v>2.5379999999999998</v>
      </c>
      <c r="E22" s="717"/>
      <c r="F22" s="717"/>
      <c r="G22" s="717"/>
      <c r="H22" s="717"/>
      <c r="I22" s="717"/>
      <c r="J22" s="717"/>
      <c r="K22" s="717"/>
    </row>
    <row r="23" spans="1:11" x14ac:dyDescent="0.25">
      <c r="A23" s="290" t="s">
        <v>366</v>
      </c>
      <c r="B23" s="291">
        <v>1.8</v>
      </c>
      <c r="C23" s="291">
        <v>2.72</v>
      </c>
      <c r="D23" s="294">
        <f t="shared" si="2"/>
        <v>4.8960000000000008</v>
      </c>
      <c r="E23" s="717"/>
      <c r="F23" s="717"/>
      <c r="G23" s="717"/>
      <c r="H23" s="717"/>
      <c r="I23" s="717"/>
      <c r="J23" s="717"/>
      <c r="K23" s="717"/>
    </row>
    <row r="24" spans="1:11" x14ac:dyDescent="0.25">
      <c r="A24" s="292" t="s">
        <v>367</v>
      </c>
      <c r="B24" s="293">
        <v>1.8</v>
      </c>
      <c r="C24" s="293">
        <v>1.41</v>
      </c>
      <c r="D24" s="295">
        <f t="shared" si="2"/>
        <v>2.5379999999999998</v>
      </c>
      <c r="E24" s="717"/>
      <c r="F24" s="717"/>
      <c r="G24" s="717"/>
      <c r="H24" s="717"/>
      <c r="I24" s="717"/>
      <c r="J24" s="717"/>
      <c r="K24" s="717"/>
    </row>
    <row r="25" spans="1:11" x14ac:dyDescent="0.25">
      <c r="A25" s="290" t="s">
        <v>368</v>
      </c>
      <c r="B25" s="291">
        <v>1.8</v>
      </c>
      <c r="C25" s="291">
        <v>1.2</v>
      </c>
      <c r="D25" s="294">
        <f t="shared" si="2"/>
        <v>2.16</v>
      </c>
      <c r="E25" s="717"/>
      <c r="F25" s="717"/>
      <c r="G25" s="717"/>
      <c r="H25" s="717"/>
      <c r="I25" s="717"/>
      <c r="J25" s="717"/>
      <c r="K25" s="717"/>
    </row>
    <row r="26" spans="1:11" x14ac:dyDescent="0.25">
      <c r="A26" s="292" t="s">
        <v>385</v>
      </c>
      <c r="B26" s="293">
        <v>1.8</v>
      </c>
      <c r="C26" s="293">
        <f>1.87+1.8</f>
        <v>3.67</v>
      </c>
      <c r="D26" s="295">
        <f t="shared" si="2"/>
        <v>6.6059999999999999</v>
      </c>
      <c r="E26" s="717"/>
      <c r="F26" s="717"/>
      <c r="G26" s="717"/>
      <c r="H26" s="717"/>
      <c r="I26" s="717"/>
      <c r="J26" s="717"/>
      <c r="K26" s="717"/>
    </row>
    <row r="27" spans="1:11" x14ac:dyDescent="0.25">
      <c r="A27" s="190"/>
      <c r="B27" s="190"/>
      <c r="C27" s="285" t="s">
        <v>622</v>
      </c>
      <c r="D27" s="289">
        <f>SUM(D19:D26)</f>
        <v>29.682000000000002</v>
      </c>
      <c r="E27" s="717"/>
      <c r="F27" s="717"/>
      <c r="G27" s="717"/>
      <c r="H27" s="717"/>
      <c r="I27" s="717"/>
      <c r="J27" s="717"/>
      <c r="K27" s="717"/>
    </row>
    <row r="28" spans="1:11" ht="10.199999999999999" customHeight="1" x14ac:dyDescent="0.25">
      <c r="E28" s="717"/>
      <c r="F28" s="717"/>
      <c r="G28" s="717"/>
      <c r="H28" s="717"/>
      <c r="I28" s="717"/>
      <c r="J28" s="717"/>
      <c r="K28" s="717"/>
    </row>
    <row r="29" spans="1:11" ht="46.8" x14ac:dyDescent="0.25">
      <c r="A29" s="297" t="s">
        <v>828</v>
      </c>
      <c r="B29" s="297" t="s">
        <v>591</v>
      </c>
      <c r="C29" s="297" t="s">
        <v>829</v>
      </c>
      <c r="D29" s="718"/>
      <c r="E29" s="719"/>
      <c r="F29" s="719"/>
      <c r="G29" s="719"/>
      <c r="H29" s="719"/>
      <c r="I29" s="719"/>
      <c r="J29" s="719"/>
      <c r="K29" s="719"/>
    </row>
    <row r="30" spans="1:11" x14ac:dyDescent="0.25">
      <c r="A30" s="290" t="s">
        <v>373</v>
      </c>
      <c r="B30" s="291" t="s">
        <v>603</v>
      </c>
      <c r="C30" s="291">
        <v>15.5</v>
      </c>
      <c r="D30" s="718"/>
      <c r="E30" s="719"/>
      <c r="F30" s="719"/>
      <c r="G30" s="719"/>
      <c r="H30" s="719"/>
      <c r="I30" s="719"/>
      <c r="J30" s="719"/>
      <c r="K30" s="719"/>
    </row>
  </sheetData>
  <mergeCells count="13">
    <mergeCell ref="A5:K5"/>
    <mergeCell ref="B4:F4"/>
    <mergeCell ref="G4:I4"/>
    <mergeCell ref="A1:K1"/>
    <mergeCell ref="B2:F2"/>
    <mergeCell ref="G2:I2"/>
    <mergeCell ref="B3:F3"/>
    <mergeCell ref="G3:I3"/>
    <mergeCell ref="E6:E28"/>
    <mergeCell ref="A17:D17"/>
    <mergeCell ref="D29:K30"/>
    <mergeCell ref="J6:K28"/>
    <mergeCell ref="F16:I28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"/>
    </sheetView>
  </sheetViews>
  <sheetFormatPr defaultRowHeight="18" x14ac:dyDescent="0.25"/>
  <cols>
    <col min="1" max="1" width="8.6640625" style="275" customWidth="1"/>
    <col min="2" max="2" width="45.77734375" style="275" customWidth="1"/>
    <col min="3" max="3" width="7.5546875" style="275" customWidth="1"/>
    <col min="4" max="4" width="8.33203125" style="275" customWidth="1"/>
    <col min="5" max="5" width="11.6640625" style="275" customWidth="1"/>
    <col min="6" max="6" width="8.109375" style="275" bestFit="1" customWidth="1"/>
    <col min="7" max="16384" width="8.88671875" style="275"/>
  </cols>
  <sheetData>
    <row r="1" spans="1:6" x14ac:dyDescent="0.25">
      <c r="A1" s="578" t="s">
        <v>579</v>
      </c>
      <c r="B1" s="578"/>
      <c r="C1" s="578"/>
      <c r="D1" s="578"/>
      <c r="E1" s="578"/>
      <c r="F1" s="578"/>
    </row>
    <row r="2" spans="1:6" ht="36" customHeight="1" x14ac:dyDescent="0.25">
      <c r="A2" s="173" t="s">
        <v>580</v>
      </c>
      <c r="B2" s="177" t="s">
        <v>581</v>
      </c>
      <c r="C2" s="663" t="s">
        <v>582</v>
      </c>
      <c r="D2" s="665"/>
      <c r="E2" s="177" t="s">
        <v>583</v>
      </c>
      <c r="F2" s="175" t="s">
        <v>584</v>
      </c>
    </row>
    <row r="3" spans="1:6" ht="54" x14ac:dyDescent="0.25">
      <c r="A3" s="178">
        <v>1</v>
      </c>
      <c r="B3" s="187" t="s">
        <v>585</v>
      </c>
      <c r="C3" s="742" t="s">
        <v>624</v>
      </c>
      <c r="D3" s="743"/>
      <c r="E3" s="188" t="s">
        <v>571</v>
      </c>
      <c r="F3" s="179">
        <f>F17</f>
        <v>438.23200000000003</v>
      </c>
    </row>
    <row r="4" spans="1:6" x14ac:dyDescent="0.25">
      <c r="A4" s="745"/>
      <c r="B4" s="745"/>
      <c r="C4" s="745"/>
      <c r="D4" s="745"/>
      <c r="E4" s="745"/>
      <c r="F4" s="745"/>
    </row>
    <row r="5" spans="1:6" x14ac:dyDescent="0.35">
      <c r="A5" s="719"/>
      <c r="B5" s="744"/>
      <c r="C5" s="276" t="s">
        <v>580</v>
      </c>
      <c r="D5" s="277" t="s">
        <v>814</v>
      </c>
      <c r="E5" s="278" t="s">
        <v>583</v>
      </c>
      <c r="F5" s="279" t="s">
        <v>584</v>
      </c>
    </row>
    <row r="6" spans="1:6" x14ac:dyDescent="0.35">
      <c r="A6" s="719"/>
      <c r="B6" s="744"/>
      <c r="C6" s="277">
        <v>1</v>
      </c>
      <c r="D6" s="280" t="s">
        <v>496</v>
      </c>
      <c r="E6" s="281" t="s">
        <v>571</v>
      </c>
      <c r="F6" s="282">
        <v>56</v>
      </c>
    </row>
    <row r="7" spans="1:6" x14ac:dyDescent="0.35">
      <c r="A7" s="719"/>
      <c r="B7" s="744"/>
      <c r="C7" s="277">
        <v>2</v>
      </c>
      <c r="D7" s="280" t="s">
        <v>497</v>
      </c>
      <c r="E7" s="281" t="s">
        <v>571</v>
      </c>
      <c r="F7" s="282">
        <v>53.6</v>
      </c>
    </row>
    <row r="8" spans="1:6" x14ac:dyDescent="0.35">
      <c r="A8" s="719"/>
      <c r="B8" s="744"/>
      <c r="C8" s="277">
        <v>3</v>
      </c>
      <c r="D8" s="280" t="s">
        <v>499</v>
      </c>
      <c r="E8" s="281" t="s">
        <v>571</v>
      </c>
      <c r="F8" s="282">
        <v>39</v>
      </c>
    </row>
    <row r="9" spans="1:6" x14ac:dyDescent="0.35">
      <c r="A9" s="719"/>
      <c r="B9" s="744"/>
      <c r="C9" s="277">
        <v>4</v>
      </c>
      <c r="D9" s="280" t="s">
        <v>501</v>
      </c>
      <c r="E9" s="281" t="s">
        <v>571</v>
      </c>
      <c r="F9" s="282">
        <v>42</v>
      </c>
    </row>
    <row r="10" spans="1:6" x14ac:dyDescent="0.35">
      <c r="A10" s="719"/>
      <c r="B10" s="744"/>
      <c r="C10" s="277">
        <v>5</v>
      </c>
      <c r="D10" s="280" t="s">
        <v>516</v>
      </c>
      <c r="E10" s="281" t="s">
        <v>571</v>
      </c>
      <c r="F10" s="282">
        <f>2.24*1.8</f>
        <v>4.0320000000000009</v>
      </c>
    </row>
    <row r="11" spans="1:6" x14ac:dyDescent="0.35">
      <c r="A11" s="719"/>
      <c r="B11" s="744"/>
      <c r="C11" s="277">
        <v>6</v>
      </c>
      <c r="D11" s="280" t="s">
        <v>553</v>
      </c>
      <c r="E11" s="281" t="s">
        <v>571</v>
      </c>
      <c r="F11" s="282">
        <v>37</v>
      </c>
    </row>
    <row r="12" spans="1:6" x14ac:dyDescent="0.35">
      <c r="A12" s="719"/>
      <c r="B12" s="744"/>
      <c r="C12" s="277">
        <v>7</v>
      </c>
      <c r="D12" s="280" t="s">
        <v>433</v>
      </c>
      <c r="E12" s="281" t="s">
        <v>571</v>
      </c>
      <c r="F12" s="282">
        <v>29.5</v>
      </c>
    </row>
    <row r="13" spans="1:6" x14ac:dyDescent="0.35">
      <c r="A13" s="719"/>
      <c r="B13" s="744"/>
      <c r="C13" s="277">
        <v>8</v>
      </c>
      <c r="D13" s="280" t="s">
        <v>446</v>
      </c>
      <c r="E13" s="281" t="s">
        <v>571</v>
      </c>
      <c r="F13" s="282">
        <v>47.3</v>
      </c>
    </row>
    <row r="14" spans="1:6" x14ac:dyDescent="0.35">
      <c r="A14" s="719"/>
      <c r="B14" s="744"/>
      <c r="C14" s="277">
        <v>9</v>
      </c>
      <c r="D14" s="280" t="s">
        <v>474</v>
      </c>
      <c r="E14" s="281" t="s">
        <v>571</v>
      </c>
      <c r="F14" s="282">
        <v>33</v>
      </c>
    </row>
    <row r="15" spans="1:6" x14ac:dyDescent="0.35">
      <c r="A15" s="719"/>
      <c r="B15" s="744"/>
      <c r="C15" s="277">
        <v>10</v>
      </c>
      <c r="D15" s="280" t="s">
        <v>374</v>
      </c>
      <c r="E15" s="281" t="s">
        <v>571</v>
      </c>
      <c r="F15" s="282">
        <v>58</v>
      </c>
    </row>
    <row r="16" spans="1:6" x14ac:dyDescent="0.35">
      <c r="A16" s="719"/>
      <c r="B16" s="744"/>
      <c r="C16" s="277">
        <v>11</v>
      </c>
      <c r="D16" s="280" t="s">
        <v>390</v>
      </c>
      <c r="E16" s="281" t="s">
        <v>571</v>
      </c>
      <c r="F16" s="282">
        <v>38.799999999999997</v>
      </c>
    </row>
    <row r="17" spans="1:6" x14ac:dyDescent="0.35">
      <c r="A17" s="719"/>
      <c r="B17" s="744"/>
      <c r="C17" s="277"/>
      <c r="D17" s="277" t="s">
        <v>622</v>
      </c>
      <c r="E17" s="281" t="s">
        <v>571</v>
      </c>
      <c r="F17" s="282">
        <f>SUM(F6:F16)</f>
        <v>438.23200000000003</v>
      </c>
    </row>
  </sheetData>
  <mergeCells count="5">
    <mergeCell ref="C3:D3"/>
    <mergeCell ref="C2:D2"/>
    <mergeCell ref="A5:B17"/>
    <mergeCell ref="A4:F4"/>
    <mergeCell ref="A1:F1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D3"/>
  <sheetViews>
    <sheetView workbookViewId="0">
      <selection activeCell="B3" sqref="B3"/>
    </sheetView>
  </sheetViews>
  <sheetFormatPr defaultRowHeight="13.2" x14ac:dyDescent="0.25"/>
  <cols>
    <col min="1" max="1" width="8.6640625" customWidth="1"/>
    <col min="2" max="2" width="44" customWidth="1"/>
    <col min="3" max="3" width="11.6640625" customWidth="1"/>
    <col min="4" max="4" width="9.21875" customWidth="1"/>
  </cols>
  <sheetData>
    <row r="1" spans="1:4" ht="18" x14ac:dyDescent="0.35">
      <c r="A1" s="199"/>
      <c r="B1" s="200" t="s">
        <v>579</v>
      </c>
      <c r="C1" s="201"/>
      <c r="D1" s="202"/>
    </row>
    <row r="2" spans="1:4" ht="16.8" customHeight="1" x14ac:dyDescent="0.25">
      <c r="A2" s="199" t="s">
        <v>580</v>
      </c>
      <c r="B2" s="188" t="s">
        <v>581</v>
      </c>
      <c r="C2" s="188" t="s">
        <v>583</v>
      </c>
      <c r="D2" s="201" t="s">
        <v>584</v>
      </c>
    </row>
    <row r="3" spans="1:4" ht="58.8" customHeight="1" x14ac:dyDescent="0.25">
      <c r="A3" s="203">
        <v>1</v>
      </c>
      <c r="B3" s="187" t="s">
        <v>696</v>
      </c>
      <c r="C3" s="188" t="s">
        <v>571</v>
      </c>
      <c r="D3" s="204">
        <f>'2.1п'!D51</f>
        <v>2812.4720000000002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D51"/>
  <sheetViews>
    <sheetView workbookViewId="0">
      <selection sqref="A1:D1"/>
    </sheetView>
  </sheetViews>
  <sheetFormatPr defaultRowHeight="13.2" x14ac:dyDescent="0.25"/>
  <cols>
    <col min="1" max="1" width="7.44140625" customWidth="1"/>
    <col min="2" max="2" width="7.44140625" style="197" customWidth="1"/>
    <col min="3" max="3" width="34.5546875" customWidth="1"/>
    <col min="4" max="4" width="10.44140625" customWidth="1"/>
  </cols>
  <sheetData>
    <row r="1" spans="1:4" ht="18.600000000000001" thickBot="1" x14ac:dyDescent="0.3">
      <c r="A1" s="746" t="s">
        <v>586</v>
      </c>
      <c r="B1" s="747"/>
      <c r="C1" s="747"/>
      <c r="D1" s="748"/>
    </row>
    <row r="2" spans="1:4" ht="18.600000000000001" thickBot="1" x14ac:dyDescent="0.3">
      <c r="A2" s="746" t="s">
        <v>650</v>
      </c>
      <c r="B2" s="747"/>
      <c r="C2" s="747"/>
      <c r="D2" s="748"/>
    </row>
    <row r="3" spans="1:4" ht="39.6" customHeight="1" x14ac:dyDescent="0.25">
      <c r="A3" s="746" t="s">
        <v>700</v>
      </c>
      <c r="B3" s="747"/>
      <c r="C3" s="747"/>
      <c r="D3" s="748"/>
    </row>
    <row r="4" spans="1:4" ht="16.8" customHeight="1" x14ac:dyDescent="0.25">
      <c r="A4" s="213" t="s">
        <v>580</v>
      </c>
      <c r="B4" s="206" t="s">
        <v>652</v>
      </c>
      <c r="C4" s="206" t="s">
        <v>587</v>
      </c>
      <c r="D4" s="214" t="s">
        <v>588</v>
      </c>
    </row>
    <row r="5" spans="1:4" ht="16.8" customHeight="1" x14ac:dyDescent="0.25">
      <c r="A5" s="213">
        <v>1</v>
      </c>
      <c r="B5" s="208" t="s">
        <v>487</v>
      </c>
      <c r="C5" s="209" t="s">
        <v>625</v>
      </c>
      <c r="D5" s="215">
        <v>88.6</v>
      </c>
    </row>
    <row r="6" spans="1:4" ht="16.8" customHeight="1" x14ac:dyDescent="0.25">
      <c r="A6" s="213">
        <v>2</v>
      </c>
      <c r="B6" s="208" t="s">
        <v>488</v>
      </c>
      <c r="C6" s="209" t="s">
        <v>626</v>
      </c>
      <c r="D6" s="215">
        <v>80.7</v>
      </c>
    </row>
    <row r="7" spans="1:4" ht="16.8" customHeight="1" x14ac:dyDescent="0.25">
      <c r="A7" s="213">
        <v>3</v>
      </c>
      <c r="B7" s="208" t="s">
        <v>489</v>
      </c>
      <c r="C7" s="209" t="s">
        <v>626</v>
      </c>
      <c r="D7" s="215">
        <v>60.8</v>
      </c>
    </row>
    <row r="8" spans="1:4" ht="16.8" customHeight="1" x14ac:dyDescent="0.25">
      <c r="A8" s="213">
        <v>4</v>
      </c>
      <c r="B8" s="208" t="s">
        <v>490</v>
      </c>
      <c r="C8" s="209" t="s">
        <v>626</v>
      </c>
      <c r="D8" s="215">
        <v>22.1</v>
      </c>
    </row>
    <row r="9" spans="1:4" ht="26.4" customHeight="1" x14ac:dyDescent="0.25">
      <c r="A9" s="213">
        <v>5</v>
      </c>
      <c r="B9" s="208" t="s">
        <v>491</v>
      </c>
      <c r="C9" s="209" t="s">
        <v>627</v>
      </c>
      <c r="D9" s="215">
        <v>57.8</v>
      </c>
    </row>
    <row r="10" spans="1:4" ht="16.8" customHeight="1" x14ac:dyDescent="0.25">
      <c r="A10" s="213">
        <v>6</v>
      </c>
      <c r="B10" s="208" t="s">
        <v>498</v>
      </c>
      <c r="C10" s="209" t="s">
        <v>628</v>
      </c>
      <c r="D10" s="215">
        <v>59.800000000000004</v>
      </c>
    </row>
    <row r="11" spans="1:4" ht="16.8" customHeight="1" x14ac:dyDescent="0.25">
      <c r="A11" s="213">
        <v>7</v>
      </c>
      <c r="B11" s="208" t="s">
        <v>505</v>
      </c>
      <c r="C11" s="209" t="s">
        <v>629</v>
      </c>
      <c r="D11" s="215">
        <v>40.799999999999997</v>
      </c>
    </row>
    <row r="12" spans="1:4" ht="16.8" customHeight="1" x14ac:dyDescent="0.25">
      <c r="A12" s="213">
        <v>8</v>
      </c>
      <c r="B12" s="208" t="s">
        <v>508</v>
      </c>
      <c r="C12" s="209" t="s">
        <v>630</v>
      </c>
      <c r="D12" s="215">
        <v>112.4</v>
      </c>
    </row>
    <row r="13" spans="1:4" ht="16.8" customHeight="1" x14ac:dyDescent="0.25">
      <c r="A13" s="213">
        <v>9</v>
      </c>
      <c r="B13" s="208" t="s">
        <v>509</v>
      </c>
      <c r="C13" s="209" t="s">
        <v>629</v>
      </c>
      <c r="D13" s="215">
        <v>119.9</v>
      </c>
    </row>
    <row r="14" spans="1:4" ht="16.8" customHeight="1" x14ac:dyDescent="0.25">
      <c r="A14" s="213">
        <v>10</v>
      </c>
      <c r="B14" s="208" t="s">
        <v>510</v>
      </c>
      <c r="C14" s="209" t="s">
        <v>631</v>
      </c>
      <c r="D14" s="215">
        <v>36.799999999999997</v>
      </c>
    </row>
    <row r="15" spans="1:4" ht="16.8" customHeight="1" x14ac:dyDescent="0.25">
      <c r="A15" s="213">
        <v>11</v>
      </c>
      <c r="B15" s="208" t="s">
        <v>513</v>
      </c>
      <c r="C15" s="209" t="s">
        <v>632</v>
      </c>
      <c r="D15" s="215">
        <v>13.7</v>
      </c>
    </row>
    <row r="16" spans="1:4" ht="16.8" customHeight="1" x14ac:dyDescent="0.25">
      <c r="A16" s="213">
        <v>12</v>
      </c>
      <c r="B16" s="208" t="s">
        <v>516</v>
      </c>
      <c r="C16" s="209" t="s">
        <v>633</v>
      </c>
      <c r="D16" s="215">
        <v>71.38</v>
      </c>
    </row>
    <row r="17" spans="1:4" ht="16.8" customHeight="1" x14ac:dyDescent="0.25">
      <c r="A17" s="213">
        <v>13</v>
      </c>
      <c r="B17" s="208" t="s">
        <v>538</v>
      </c>
      <c r="C17" s="209" t="s">
        <v>634</v>
      </c>
      <c r="D17" s="215">
        <v>38.299999999999997</v>
      </c>
    </row>
    <row r="18" spans="1:4" ht="16.8" customHeight="1" x14ac:dyDescent="0.25">
      <c r="A18" s="213">
        <v>14</v>
      </c>
      <c r="B18" s="208" t="s">
        <v>542</v>
      </c>
      <c r="C18" s="209" t="s">
        <v>635</v>
      </c>
      <c r="D18" s="215">
        <v>38.299999999999997</v>
      </c>
    </row>
    <row r="19" spans="1:4" ht="16.8" customHeight="1" x14ac:dyDescent="0.25">
      <c r="A19" s="213">
        <v>15</v>
      </c>
      <c r="B19" s="208" t="s">
        <v>545</v>
      </c>
      <c r="C19" s="209" t="s">
        <v>636</v>
      </c>
      <c r="D19" s="215">
        <v>33.5</v>
      </c>
    </row>
    <row r="20" spans="1:4" ht="16.8" customHeight="1" x14ac:dyDescent="0.25">
      <c r="A20" s="213">
        <v>16</v>
      </c>
      <c r="B20" s="208" t="s">
        <v>546</v>
      </c>
      <c r="C20" s="209" t="s">
        <v>637</v>
      </c>
      <c r="D20" s="215">
        <v>19.2</v>
      </c>
    </row>
    <row r="21" spans="1:4" ht="16.8" customHeight="1" x14ac:dyDescent="0.25">
      <c r="A21" s="213">
        <v>17</v>
      </c>
      <c r="B21" s="208" t="s">
        <v>551</v>
      </c>
      <c r="C21" s="209" t="s">
        <v>638</v>
      </c>
      <c r="D21" s="215">
        <v>36.200000000000003</v>
      </c>
    </row>
    <row r="22" spans="1:4" ht="16.8" customHeight="1" x14ac:dyDescent="0.25">
      <c r="A22" s="213">
        <v>18</v>
      </c>
      <c r="B22" s="208" t="s">
        <v>552</v>
      </c>
      <c r="C22" s="209" t="s">
        <v>637</v>
      </c>
      <c r="D22" s="215">
        <v>19.899999999999999</v>
      </c>
    </row>
    <row r="23" spans="1:4" ht="16.8" customHeight="1" x14ac:dyDescent="0.25">
      <c r="A23" s="213">
        <v>19</v>
      </c>
      <c r="B23" s="208" t="s">
        <v>555</v>
      </c>
      <c r="C23" s="209" t="s">
        <v>629</v>
      </c>
      <c r="D23" s="215">
        <v>62.2</v>
      </c>
    </row>
    <row r="24" spans="1:4" ht="16.8" customHeight="1" x14ac:dyDescent="0.25">
      <c r="A24" s="213">
        <v>20</v>
      </c>
      <c r="B24" s="208" t="s">
        <v>556</v>
      </c>
      <c r="C24" s="209" t="s">
        <v>629</v>
      </c>
      <c r="D24" s="215">
        <v>80.100000000000009</v>
      </c>
    </row>
    <row r="25" spans="1:4" ht="16.8" customHeight="1" x14ac:dyDescent="0.25">
      <c r="A25" s="213">
        <v>21</v>
      </c>
      <c r="B25" s="208" t="s">
        <v>557</v>
      </c>
      <c r="C25" s="209" t="s">
        <v>639</v>
      </c>
      <c r="D25" s="215">
        <v>38.299999999999997</v>
      </c>
    </row>
    <row r="26" spans="1:4" ht="16.8" customHeight="1" x14ac:dyDescent="0.25">
      <c r="A26" s="213">
        <v>22</v>
      </c>
      <c r="B26" s="208" t="s">
        <v>558</v>
      </c>
      <c r="C26" s="209" t="s">
        <v>640</v>
      </c>
      <c r="D26" s="215">
        <v>36.5</v>
      </c>
    </row>
    <row r="27" spans="1:4" ht="16.8" customHeight="1" x14ac:dyDescent="0.25">
      <c r="A27" s="213">
        <v>23</v>
      </c>
      <c r="B27" s="208" t="s">
        <v>432</v>
      </c>
      <c r="C27" s="209" t="s">
        <v>641</v>
      </c>
      <c r="D27" s="215">
        <v>125</v>
      </c>
    </row>
    <row r="28" spans="1:4" ht="16.8" customHeight="1" x14ac:dyDescent="0.25">
      <c r="A28" s="213">
        <v>24</v>
      </c>
      <c r="B28" s="208" t="s">
        <v>442</v>
      </c>
      <c r="C28" s="209" t="s">
        <v>642</v>
      </c>
      <c r="D28" s="215">
        <v>192.1</v>
      </c>
    </row>
    <row r="29" spans="1:4" ht="16.8" customHeight="1" x14ac:dyDescent="0.25">
      <c r="A29" s="213">
        <v>25</v>
      </c>
      <c r="B29" s="208" t="s">
        <v>450</v>
      </c>
      <c r="C29" s="209" t="s">
        <v>629</v>
      </c>
      <c r="D29" s="215">
        <v>30.6</v>
      </c>
    </row>
    <row r="30" spans="1:4" ht="16.8" customHeight="1" x14ac:dyDescent="0.25">
      <c r="A30" s="213">
        <v>26</v>
      </c>
      <c r="B30" s="208" t="s">
        <v>451</v>
      </c>
      <c r="C30" s="209" t="s">
        <v>643</v>
      </c>
      <c r="D30" s="215">
        <v>127.9</v>
      </c>
    </row>
    <row r="31" spans="1:4" ht="16.8" customHeight="1" x14ac:dyDescent="0.25">
      <c r="A31" s="213">
        <v>27</v>
      </c>
      <c r="B31" s="208" t="s">
        <v>452</v>
      </c>
      <c r="C31" s="209" t="s">
        <v>629</v>
      </c>
      <c r="D31" s="215">
        <v>118.99799999999999</v>
      </c>
    </row>
    <row r="32" spans="1:4" ht="16.8" customHeight="1" x14ac:dyDescent="0.25">
      <c r="A32" s="213">
        <v>28</v>
      </c>
      <c r="B32" s="208" t="s">
        <v>457</v>
      </c>
      <c r="C32" s="209" t="s">
        <v>644</v>
      </c>
      <c r="D32" s="215">
        <v>13.5</v>
      </c>
    </row>
    <row r="33" spans="1:4" ht="16.8" customHeight="1" x14ac:dyDescent="0.25">
      <c r="A33" s="213">
        <v>29</v>
      </c>
      <c r="B33" s="208" t="s">
        <v>462</v>
      </c>
      <c r="C33" s="209" t="s">
        <v>636</v>
      </c>
      <c r="D33" s="215">
        <v>33.5</v>
      </c>
    </row>
    <row r="34" spans="1:4" ht="16.8" customHeight="1" x14ac:dyDescent="0.25">
      <c r="A34" s="213">
        <v>30</v>
      </c>
      <c r="B34" s="208" t="s">
        <v>463</v>
      </c>
      <c r="C34" s="209" t="s">
        <v>637</v>
      </c>
      <c r="D34" s="215">
        <v>19.2</v>
      </c>
    </row>
    <row r="35" spans="1:4" ht="16.8" customHeight="1" x14ac:dyDescent="0.25">
      <c r="A35" s="213">
        <v>31</v>
      </c>
      <c r="B35" s="208" t="s">
        <v>473</v>
      </c>
      <c r="C35" s="209" t="s">
        <v>629</v>
      </c>
      <c r="D35" s="215">
        <v>48.5</v>
      </c>
    </row>
    <row r="36" spans="1:4" ht="16.8" customHeight="1" x14ac:dyDescent="0.25">
      <c r="A36" s="213">
        <v>32</v>
      </c>
      <c r="B36" s="208" t="s">
        <v>478</v>
      </c>
      <c r="C36" s="209" t="s">
        <v>629</v>
      </c>
      <c r="D36" s="215">
        <v>86.8</v>
      </c>
    </row>
    <row r="37" spans="1:4" ht="16.8" customHeight="1" x14ac:dyDescent="0.25">
      <c r="A37" s="213">
        <v>33</v>
      </c>
      <c r="B37" s="208" t="s">
        <v>480</v>
      </c>
      <c r="C37" s="209" t="s">
        <v>643</v>
      </c>
      <c r="D37" s="215">
        <v>54.763999999999996</v>
      </c>
    </row>
    <row r="38" spans="1:4" ht="45" customHeight="1" x14ac:dyDescent="0.25">
      <c r="A38" s="213">
        <v>34</v>
      </c>
      <c r="B38" s="208" t="s">
        <v>371</v>
      </c>
      <c r="C38" s="209" t="s">
        <v>651</v>
      </c>
      <c r="D38" s="215">
        <v>176.73000000000002</v>
      </c>
    </row>
    <row r="39" spans="1:4" ht="16.8" customHeight="1" x14ac:dyDescent="0.25">
      <c r="A39" s="213">
        <v>35</v>
      </c>
      <c r="B39" s="208" t="s">
        <v>377</v>
      </c>
      <c r="C39" s="209" t="s">
        <v>643</v>
      </c>
      <c r="D39" s="215">
        <v>66.8</v>
      </c>
    </row>
    <row r="40" spans="1:4" ht="16.8" customHeight="1" x14ac:dyDescent="0.25">
      <c r="A40" s="213">
        <v>36</v>
      </c>
      <c r="B40" s="208" t="s">
        <v>378</v>
      </c>
      <c r="C40" s="209" t="s">
        <v>629</v>
      </c>
      <c r="D40" s="215">
        <v>117</v>
      </c>
    </row>
    <row r="41" spans="1:4" ht="16.8" customHeight="1" x14ac:dyDescent="0.25">
      <c r="A41" s="213">
        <v>37</v>
      </c>
      <c r="B41" s="208" t="s">
        <v>646</v>
      </c>
      <c r="C41" s="209" t="s">
        <v>644</v>
      </c>
      <c r="D41" s="215">
        <v>18.600000000000001</v>
      </c>
    </row>
    <row r="42" spans="1:4" ht="15" customHeight="1" x14ac:dyDescent="0.25">
      <c r="A42" s="213">
        <v>38</v>
      </c>
      <c r="B42" s="208" t="s">
        <v>647</v>
      </c>
      <c r="C42" s="209" t="s">
        <v>636</v>
      </c>
      <c r="D42" s="215">
        <v>33.299999999999997</v>
      </c>
    </row>
    <row r="43" spans="1:4" ht="18" x14ac:dyDescent="0.25">
      <c r="A43" s="213">
        <v>39</v>
      </c>
      <c r="B43" s="208" t="s">
        <v>648</v>
      </c>
      <c r="C43" s="209" t="s">
        <v>637</v>
      </c>
      <c r="D43" s="215">
        <v>19.100000000000001</v>
      </c>
    </row>
    <row r="44" spans="1:4" ht="18" x14ac:dyDescent="0.25">
      <c r="A44" s="213">
        <v>40</v>
      </c>
      <c r="B44" s="208" t="s">
        <v>379</v>
      </c>
      <c r="C44" s="209" t="s">
        <v>635</v>
      </c>
      <c r="D44" s="215">
        <v>32.700000000000003</v>
      </c>
    </row>
    <row r="45" spans="1:4" ht="18" x14ac:dyDescent="0.25">
      <c r="A45" s="213">
        <v>41</v>
      </c>
      <c r="B45" s="208" t="s">
        <v>380</v>
      </c>
      <c r="C45" s="209" t="s">
        <v>636</v>
      </c>
      <c r="D45" s="215">
        <v>33.299999999999997</v>
      </c>
    </row>
    <row r="46" spans="1:4" ht="18" x14ac:dyDescent="0.25">
      <c r="A46" s="213">
        <v>42</v>
      </c>
      <c r="B46" s="208" t="s">
        <v>649</v>
      </c>
      <c r="C46" s="209" t="s">
        <v>637</v>
      </c>
      <c r="D46" s="215">
        <v>19.100000000000001</v>
      </c>
    </row>
    <row r="47" spans="1:4" ht="18" x14ac:dyDescent="0.25">
      <c r="A47" s="213">
        <v>43</v>
      </c>
      <c r="B47" s="208" t="s">
        <v>391</v>
      </c>
      <c r="C47" s="209" t="s">
        <v>629</v>
      </c>
      <c r="D47" s="215">
        <v>52.5</v>
      </c>
    </row>
    <row r="48" spans="1:4" ht="18" x14ac:dyDescent="0.25">
      <c r="A48" s="213">
        <v>44</v>
      </c>
      <c r="B48" s="208" t="s">
        <v>392</v>
      </c>
      <c r="C48" s="209" t="s">
        <v>629</v>
      </c>
      <c r="D48" s="215">
        <v>122.9</v>
      </c>
    </row>
    <row r="49" spans="1:4" ht="18" x14ac:dyDescent="0.25">
      <c r="A49" s="213">
        <v>45</v>
      </c>
      <c r="B49" s="208" t="s">
        <v>394</v>
      </c>
      <c r="C49" s="209" t="s">
        <v>629</v>
      </c>
      <c r="D49" s="215">
        <v>31.5</v>
      </c>
    </row>
    <row r="50" spans="1:4" ht="18" x14ac:dyDescent="0.25">
      <c r="A50" s="213">
        <v>46</v>
      </c>
      <c r="B50" s="208" t="s">
        <v>395</v>
      </c>
      <c r="C50" s="209" t="s">
        <v>643</v>
      </c>
      <c r="D50" s="215">
        <v>70.8</v>
      </c>
    </row>
    <row r="51" spans="1:4" ht="18.600000000000001" thickBot="1" x14ac:dyDescent="0.3">
      <c r="A51" s="216"/>
      <c r="B51" s="217"/>
      <c r="C51" s="218" t="s">
        <v>590</v>
      </c>
      <c r="D51" s="219">
        <f>SUM(D5:D50)</f>
        <v>2812.4720000000002</v>
      </c>
    </row>
  </sheetData>
  <mergeCells count="3">
    <mergeCell ref="A1:D1"/>
    <mergeCell ref="A3:D3"/>
    <mergeCell ref="A2:D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D3"/>
  <sheetViews>
    <sheetView workbookViewId="0">
      <selection activeCell="B3" sqref="B3"/>
    </sheetView>
  </sheetViews>
  <sheetFormatPr defaultRowHeight="13.2" x14ac:dyDescent="0.25"/>
  <cols>
    <col min="1" max="1" width="8.6640625" customWidth="1"/>
    <col min="2" max="2" width="44" customWidth="1"/>
    <col min="3" max="3" width="11.6640625" customWidth="1"/>
    <col min="4" max="4" width="9.21875" customWidth="1"/>
  </cols>
  <sheetData>
    <row r="1" spans="1:4" ht="18" x14ac:dyDescent="0.35">
      <c r="A1" s="199"/>
      <c r="B1" s="200" t="s">
        <v>579</v>
      </c>
      <c r="C1" s="201"/>
      <c r="D1" s="202"/>
    </row>
    <row r="2" spans="1:4" ht="18" x14ac:dyDescent="0.25">
      <c r="A2" s="199" t="s">
        <v>580</v>
      </c>
      <c r="B2" s="188" t="s">
        <v>581</v>
      </c>
      <c r="C2" s="188" t="s">
        <v>583</v>
      </c>
      <c r="D2" s="201" t="s">
        <v>584</v>
      </c>
    </row>
    <row r="3" spans="1:4" ht="72" x14ac:dyDescent="0.25">
      <c r="A3" s="203">
        <v>1</v>
      </c>
      <c r="B3" s="187" t="s">
        <v>695</v>
      </c>
      <c r="C3" s="188" t="s">
        <v>571</v>
      </c>
      <c r="D3" s="204">
        <f>'2.2п'!D13</f>
        <v>63.42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D13"/>
  <sheetViews>
    <sheetView workbookViewId="0">
      <selection sqref="A1:D1"/>
    </sheetView>
  </sheetViews>
  <sheetFormatPr defaultRowHeight="13.2" x14ac:dyDescent="0.25"/>
  <cols>
    <col min="2" max="2" width="16.21875" customWidth="1"/>
    <col min="3" max="3" width="37.88671875" customWidth="1"/>
    <col min="4" max="4" width="12" customWidth="1"/>
  </cols>
  <sheetData>
    <row r="1" spans="1:4" ht="18" x14ac:dyDescent="0.25">
      <c r="A1" s="607" t="s">
        <v>586</v>
      </c>
      <c r="B1" s="607"/>
      <c r="C1" s="607"/>
      <c r="D1" s="607"/>
    </row>
    <row r="2" spans="1:4" ht="18" x14ac:dyDescent="0.25">
      <c r="A2" s="607" t="s">
        <v>650</v>
      </c>
      <c r="B2" s="607"/>
      <c r="C2" s="607"/>
      <c r="D2" s="607"/>
    </row>
    <row r="3" spans="1:4" ht="37.799999999999997" customHeight="1" x14ac:dyDescent="0.25">
      <c r="A3" s="607" t="s">
        <v>701</v>
      </c>
      <c r="B3" s="607"/>
      <c r="C3" s="607"/>
      <c r="D3" s="607"/>
    </row>
    <row r="4" spans="1:4" ht="16.8" customHeight="1" x14ac:dyDescent="0.25">
      <c r="A4" s="205" t="s">
        <v>580</v>
      </c>
      <c r="B4" s="206" t="s">
        <v>652</v>
      </c>
      <c r="C4" s="206" t="s">
        <v>587</v>
      </c>
      <c r="D4" s="207" t="s">
        <v>588</v>
      </c>
    </row>
    <row r="5" spans="1:4" ht="16.8" customHeight="1" x14ac:dyDescent="0.25">
      <c r="A5" s="205">
        <v>2</v>
      </c>
      <c r="B5" s="209" t="s">
        <v>488</v>
      </c>
      <c r="C5" s="209" t="s">
        <v>626</v>
      </c>
      <c r="D5" s="210">
        <v>3.33</v>
      </c>
    </row>
    <row r="6" spans="1:4" ht="16.8" customHeight="1" x14ac:dyDescent="0.25">
      <c r="A6" s="205">
        <v>3</v>
      </c>
      <c r="B6" s="209" t="s">
        <v>489</v>
      </c>
      <c r="C6" s="209" t="s">
        <v>626</v>
      </c>
      <c r="D6" s="210">
        <v>3.29</v>
      </c>
    </row>
    <row r="7" spans="1:4" ht="16.8" customHeight="1" x14ac:dyDescent="0.25">
      <c r="A7" s="205">
        <v>4</v>
      </c>
      <c r="B7" s="209" t="s">
        <v>490</v>
      </c>
      <c r="C7" s="209" t="s">
        <v>626</v>
      </c>
      <c r="D7" s="210">
        <v>4.43</v>
      </c>
    </row>
    <row r="8" spans="1:4" ht="26.4" customHeight="1" x14ac:dyDescent="0.25">
      <c r="A8" s="205">
        <v>5</v>
      </c>
      <c r="B8" s="209" t="s">
        <v>491</v>
      </c>
      <c r="C8" s="209" t="s">
        <v>627</v>
      </c>
      <c r="D8" s="210">
        <v>7.45</v>
      </c>
    </row>
    <row r="9" spans="1:4" ht="16.8" customHeight="1" x14ac:dyDescent="0.25">
      <c r="A9" s="205">
        <v>9</v>
      </c>
      <c r="B9" s="209" t="s">
        <v>509</v>
      </c>
      <c r="C9" s="209" t="s">
        <v>629</v>
      </c>
      <c r="D9" s="210">
        <v>2.2999999999999998</v>
      </c>
    </row>
    <row r="10" spans="1:4" ht="16.8" customHeight="1" x14ac:dyDescent="0.25">
      <c r="A10" s="205">
        <v>14</v>
      </c>
      <c r="B10" s="209" t="s">
        <v>516</v>
      </c>
      <c r="C10" s="209" t="s">
        <v>633</v>
      </c>
      <c r="D10" s="210">
        <v>38.020000000000003</v>
      </c>
    </row>
    <row r="11" spans="1:4" ht="16.8" customHeight="1" x14ac:dyDescent="0.25">
      <c r="A11" s="205">
        <v>29</v>
      </c>
      <c r="B11" s="209" t="s">
        <v>452</v>
      </c>
      <c r="C11" s="209" t="s">
        <v>629</v>
      </c>
      <c r="D11" s="210">
        <v>2.2999999999999998</v>
      </c>
    </row>
    <row r="12" spans="1:4" ht="18" x14ac:dyDescent="0.25">
      <c r="A12" s="205">
        <v>44</v>
      </c>
      <c r="B12" s="209" t="s">
        <v>378</v>
      </c>
      <c r="C12" s="209" t="s">
        <v>629</v>
      </c>
      <c r="D12" s="210">
        <v>2.2999999999999998</v>
      </c>
    </row>
    <row r="13" spans="1:4" ht="18" x14ac:dyDescent="0.25">
      <c r="A13" s="205"/>
      <c r="B13" s="212"/>
      <c r="C13" s="212" t="s">
        <v>590</v>
      </c>
      <c r="D13" s="207">
        <f>SUM(D5:D12)</f>
        <v>63.42</v>
      </c>
    </row>
  </sheetData>
  <mergeCells count="3">
    <mergeCell ref="A1:D1"/>
    <mergeCell ref="A3:D3"/>
    <mergeCell ref="A2:D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D3"/>
  <sheetViews>
    <sheetView workbookViewId="0"/>
  </sheetViews>
  <sheetFormatPr defaultRowHeight="13.2" x14ac:dyDescent="0.25"/>
  <cols>
    <col min="1" max="1" width="8.6640625" customWidth="1"/>
    <col min="2" max="2" width="44" customWidth="1"/>
    <col min="3" max="3" width="11.6640625" customWidth="1"/>
    <col min="4" max="4" width="9.21875" customWidth="1"/>
  </cols>
  <sheetData>
    <row r="1" spans="1:4" ht="18" x14ac:dyDescent="0.35">
      <c r="A1" s="199"/>
      <c r="B1" s="200" t="s">
        <v>579</v>
      </c>
      <c r="C1" s="201"/>
      <c r="D1" s="202"/>
    </row>
    <row r="2" spans="1:4" ht="18" x14ac:dyDescent="0.25">
      <c r="A2" s="199" t="s">
        <v>580</v>
      </c>
      <c r="B2" s="188" t="s">
        <v>581</v>
      </c>
      <c r="C2" s="188" t="s">
        <v>583</v>
      </c>
      <c r="D2" s="201" t="s">
        <v>584</v>
      </c>
    </row>
    <row r="3" spans="1:4" ht="36" x14ac:dyDescent="0.25">
      <c r="A3" s="203">
        <v>1</v>
      </c>
      <c r="B3" s="187" t="s">
        <v>694</v>
      </c>
      <c r="C3" s="188" t="s">
        <v>571</v>
      </c>
      <c r="D3" s="204">
        <f>'2.3п'!D21</f>
        <v>685.62800000000004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D21"/>
  <sheetViews>
    <sheetView workbookViewId="0">
      <selection sqref="A1:D1"/>
    </sheetView>
  </sheetViews>
  <sheetFormatPr defaultRowHeight="13.2" x14ac:dyDescent="0.25"/>
  <cols>
    <col min="2" max="2" width="14.44140625" style="198" customWidth="1"/>
    <col min="3" max="3" width="42" customWidth="1"/>
    <col min="4" max="4" width="12" customWidth="1"/>
  </cols>
  <sheetData>
    <row r="1" spans="1:4" ht="18" x14ac:dyDescent="0.25">
      <c r="A1" s="607" t="s">
        <v>586</v>
      </c>
      <c r="B1" s="607"/>
      <c r="C1" s="607"/>
      <c r="D1" s="607"/>
    </row>
    <row r="2" spans="1:4" ht="18" x14ac:dyDescent="0.25">
      <c r="A2" s="607" t="s">
        <v>650</v>
      </c>
      <c r="B2" s="607"/>
      <c r="C2" s="607"/>
      <c r="D2" s="607"/>
    </row>
    <row r="3" spans="1:4" ht="18" x14ac:dyDescent="0.25">
      <c r="A3" s="607" t="s">
        <v>702</v>
      </c>
      <c r="B3" s="607"/>
      <c r="C3" s="607"/>
      <c r="D3" s="607"/>
    </row>
    <row r="4" spans="1:4" ht="16.8" customHeight="1" x14ac:dyDescent="0.25">
      <c r="A4" s="205" t="s">
        <v>580</v>
      </c>
      <c r="B4" s="206" t="s">
        <v>587</v>
      </c>
      <c r="C4" s="206" t="s">
        <v>587</v>
      </c>
      <c r="D4" s="207" t="s">
        <v>588</v>
      </c>
    </row>
    <row r="5" spans="1:4" ht="16.8" customHeight="1" x14ac:dyDescent="0.25">
      <c r="A5" s="205">
        <v>1</v>
      </c>
      <c r="B5" s="208" t="s">
        <v>487</v>
      </c>
      <c r="C5" s="209" t="s">
        <v>625</v>
      </c>
      <c r="D5" s="210">
        <v>23.28</v>
      </c>
    </row>
    <row r="6" spans="1:4" ht="16.8" customHeight="1" x14ac:dyDescent="0.25">
      <c r="A6" s="205">
        <v>2</v>
      </c>
      <c r="B6" s="208" t="s">
        <v>488</v>
      </c>
      <c r="C6" s="209" t="s">
        <v>626</v>
      </c>
      <c r="D6" s="210">
        <v>14.625</v>
      </c>
    </row>
    <row r="7" spans="1:4" ht="16.8" customHeight="1" x14ac:dyDescent="0.25">
      <c r="A7" s="205">
        <v>3</v>
      </c>
      <c r="B7" s="208" t="s">
        <v>489</v>
      </c>
      <c r="C7" s="209" t="s">
        <v>626</v>
      </c>
      <c r="D7" s="210">
        <v>13.26</v>
      </c>
    </row>
    <row r="8" spans="1:4" ht="16.8" customHeight="1" x14ac:dyDescent="0.25">
      <c r="A8" s="205">
        <v>4</v>
      </c>
      <c r="B8" s="208" t="s">
        <v>490</v>
      </c>
      <c r="C8" s="209" t="s">
        <v>626</v>
      </c>
      <c r="D8" s="210">
        <v>6.24</v>
      </c>
    </row>
    <row r="9" spans="1:4" ht="26.4" customHeight="1" x14ac:dyDescent="0.25">
      <c r="A9" s="205">
        <v>5</v>
      </c>
      <c r="B9" s="208" t="s">
        <v>491</v>
      </c>
      <c r="C9" s="209" t="s">
        <v>627</v>
      </c>
      <c r="D9" s="210">
        <v>14.82</v>
      </c>
    </row>
    <row r="10" spans="1:4" ht="16.8" customHeight="1" x14ac:dyDescent="0.25">
      <c r="A10" s="205">
        <v>6</v>
      </c>
      <c r="B10" s="208" t="s">
        <v>498</v>
      </c>
      <c r="C10" s="209" t="s">
        <v>628</v>
      </c>
      <c r="D10" s="210">
        <v>4.68</v>
      </c>
    </row>
    <row r="11" spans="1:4" ht="16.8" customHeight="1" x14ac:dyDescent="0.25">
      <c r="A11" s="205">
        <v>7</v>
      </c>
      <c r="B11" s="208" t="s">
        <v>516</v>
      </c>
      <c r="C11" s="209" t="s">
        <v>633</v>
      </c>
      <c r="D11" s="210">
        <v>50.98</v>
      </c>
    </row>
    <row r="12" spans="1:4" ht="16.8" customHeight="1" x14ac:dyDescent="0.25">
      <c r="A12" s="205">
        <v>8</v>
      </c>
      <c r="B12" s="208" t="s">
        <v>538</v>
      </c>
      <c r="C12" s="209" t="s">
        <v>634</v>
      </c>
      <c r="D12" s="210">
        <v>26.7</v>
      </c>
    </row>
    <row r="13" spans="1:4" ht="16.8" customHeight="1" x14ac:dyDescent="0.25">
      <c r="A13" s="205">
        <v>9</v>
      </c>
      <c r="B13" s="208" t="s">
        <v>432</v>
      </c>
      <c r="C13" s="209" t="s">
        <v>641</v>
      </c>
      <c r="D13" s="210">
        <v>19.5</v>
      </c>
    </row>
    <row r="14" spans="1:4" ht="16.8" customHeight="1" x14ac:dyDescent="0.25">
      <c r="A14" s="205">
        <v>10</v>
      </c>
      <c r="B14" s="208" t="s">
        <v>442</v>
      </c>
      <c r="C14" s="209" t="s">
        <v>642</v>
      </c>
      <c r="D14" s="210">
        <v>311.5</v>
      </c>
    </row>
    <row r="15" spans="1:4" ht="16.8" customHeight="1" x14ac:dyDescent="0.25">
      <c r="A15" s="205">
        <v>11</v>
      </c>
      <c r="B15" s="208" t="s">
        <v>451</v>
      </c>
      <c r="C15" s="209" t="s">
        <v>643</v>
      </c>
      <c r="D15" s="210">
        <v>13.65</v>
      </c>
    </row>
    <row r="16" spans="1:4" ht="16.8" customHeight="1" x14ac:dyDescent="0.25">
      <c r="A16" s="205">
        <v>12</v>
      </c>
      <c r="B16" s="208" t="s">
        <v>452</v>
      </c>
      <c r="C16" s="209" t="s">
        <v>629</v>
      </c>
      <c r="D16" s="210">
        <v>1.833</v>
      </c>
    </row>
    <row r="17" spans="1:4" ht="18" x14ac:dyDescent="0.25">
      <c r="A17" s="205">
        <v>13</v>
      </c>
      <c r="B17" s="208" t="s">
        <v>480</v>
      </c>
      <c r="C17" s="209" t="s">
        <v>643</v>
      </c>
      <c r="D17" s="210">
        <v>6.24</v>
      </c>
    </row>
    <row r="18" spans="1:4" ht="72" x14ac:dyDescent="0.25">
      <c r="A18" s="205">
        <v>14</v>
      </c>
      <c r="B18" s="208" t="s">
        <v>371</v>
      </c>
      <c r="C18" s="209" t="s">
        <v>645</v>
      </c>
      <c r="D18" s="210">
        <v>164.28</v>
      </c>
    </row>
    <row r="19" spans="1:4" ht="18" x14ac:dyDescent="0.25">
      <c r="A19" s="205">
        <v>15</v>
      </c>
      <c r="B19" s="208" t="s">
        <v>377</v>
      </c>
      <c r="C19" s="209" t="s">
        <v>643</v>
      </c>
      <c r="D19" s="210">
        <v>5.46</v>
      </c>
    </row>
    <row r="20" spans="1:4" ht="18" x14ac:dyDescent="0.25">
      <c r="A20" s="205">
        <v>16</v>
      </c>
      <c r="B20" s="208" t="s">
        <v>395</v>
      </c>
      <c r="C20" s="209" t="s">
        <v>643</v>
      </c>
      <c r="D20" s="210">
        <v>8.58</v>
      </c>
    </row>
    <row r="21" spans="1:4" ht="18" x14ac:dyDescent="0.25">
      <c r="A21" s="205"/>
      <c r="B21" s="211"/>
      <c r="C21" s="212" t="s">
        <v>590</v>
      </c>
      <c r="D21" s="207">
        <f>SUM(D5:D20)</f>
        <v>685.62800000000004</v>
      </c>
    </row>
  </sheetData>
  <mergeCells count="3">
    <mergeCell ref="A1:D1"/>
    <mergeCell ref="A3:D3"/>
    <mergeCell ref="A2:D2"/>
  </mergeCells>
  <pageMargins left="0.7" right="0.7" top="0.75" bottom="0.75" header="0.3" footer="0.3"/>
  <ignoredErrors>
    <ignoredError sqref="B10 B11:B20" twoDigitTextYear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3"/>
  <sheetViews>
    <sheetView workbookViewId="0">
      <selection activeCell="B3" sqref="B3"/>
    </sheetView>
  </sheetViews>
  <sheetFormatPr defaultRowHeight="13.2" x14ac:dyDescent="0.25"/>
  <cols>
    <col min="1" max="1" width="8.6640625" customWidth="1"/>
    <col min="2" max="2" width="44" customWidth="1"/>
    <col min="3" max="3" width="11.6640625" customWidth="1"/>
    <col min="4" max="4" width="9.21875" customWidth="1"/>
  </cols>
  <sheetData>
    <row r="1" spans="1:4" ht="18" x14ac:dyDescent="0.35">
      <c r="A1" s="199"/>
      <c r="B1" s="200" t="s">
        <v>579</v>
      </c>
      <c r="C1" s="201"/>
      <c r="D1" s="202"/>
    </row>
    <row r="2" spans="1:4" ht="18" x14ac:dyDescent="0.25">
      <c r="A2" s="199" t="s">
        <v>580</v>
      </c>
      <c r="B2" s="188" t="s">
        <v>581</v>
      </c>
      <c r="C2" s="188" t="s">
        <v>583</v>
      </c>
      <c r="D2" s="201" t="s">
        <v>584</v>
      </c>
    </row>
    <row r="3" spans="1:4" ht="54" x14ac:dyDescent="0.25">
      <c r="A3" s="203">
        <v>1</v>
      </c>
      <c r="B3" s="187" t="s">
        <v>698</v>
      </c>
      <c r="C3" s="188" t="s">
        <v>571</v>
      </c>
      <c r="D3" s="230">
        <f>'3.1п'!D80</f>
        <v>5811.5199999999995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80"/>
  <sheetViews>
    <sheetView workbookViewId="0">
      <selection sqref="A1:D1"/>
    </sheetView>
  </sheetViews>
  <sheetFormatPr defaultRowHeight="18" x14ac:dyDescent="0.25"/>
  <cols>
    <col min="1" max="1" width="8.88671875" style="220"/>
    <col min="2" max="2" width="14.44140625" style="229" customWidth="1"/>
    <col min="3" max="3" width="42" style="220" customWidth="1"/>
    <col min="4" max="4" width="12" style="220" customWidth="1"/>
    <col min="5" max="16384" width="8.88671875" style="220"/>
  </cols>
  <sheetData>
    <row r="1" spans="1:4" x14ac:dyDescent="0.25">
      <c r="A1" s="607" t="s">
        <v>586</v>
      </c>
      <c r="B1" s="607"/>
      <c r="C1" s="607"/>
      <c r="D1" s="607"/>
    </row>
    <row r="2" spans="1:4" ht="18" customHeight="1" x14ac:dyDescent="0.25">
      <c r="A2" s="749" t="s">
        <v>654</v>
      </c>
      <c r="B2" s="750"/>
      <c r="C2" s="750"/>
      <c r="D2" s="751"/>
    </row>
    <row r="3" spans="1:4" ht="50.4" customHeight="1" x14ac:dyDescent="0.25">
      <c r="A3" s="607" t="s">
        <v>653</v>
      </c>
      <c r="B3" s="607"/>
      <c r="C3" s="607"/>
      <c r="D3" s="607"/>
    </row>
    <row r="4" spans="1:4" x14ac:dyDescent="0.25">
      <c r="A4" s="205" t="s">
        <v>580</v>
      </c>
      <c r="B4" s="206" t="s">
        <v>693</v>
      </c>
      <c r="C4" s="206" t="s">
        <v>587</v>
      </c>
      <c r="D4" s="207" t="s">
        <v>588</v>
      </c>
    </row>
    <row r="5" spans="1:4" ht="36" x14ac:dyDescent="0.25">
      <c r="A5" s="205">
        <v>1</v>
      </c>
      <c r="B5" s="221" t="s">
        <v>484</v>
      </c>
      <c r="C5" s="222" t="s">
        <v>655</v>
      </c>
      <c r="D5" s="223">
        <v>84</v>
      </c>
    </row>
    <row r="6" spans="1:4" x14ac:dyDescent="0.25">
      <c r="A6" s="205">
        <v>2</v>
      </c>
      <c r="B6" s="221" t="s">
        <v>485</v>
      </c>
      <c r="C6" s="222" t="s">
        <v>656</v>
      </c>
      <c r="D6" s="223">
        <v>22.1</v>
      </c>
    </row>
    <row r="7" spans="1:4" x14ac:dyDescent="0.25">
      <c r="A7" s="205">
        <v>3</v>
      </c>
      <c r="B7" s="221" t="s">
        <v>486</v>
      </c>
      <c r="C7" s="222" t="s">
        <v>657</v>
      </c>
      <c r="D7" s="223">
        <v>46.699999999999996</v>
      </c>
    </row>
    <row r="8" spans="1:4" x14ac:dyDescent="0.25">
      <c r="A8" s="205">
        <v>4</v>
      </c>
      <c r="B8" s="221" t="s">
        <v>487</v>
      </c>
      <c r="C8" s="222" t="s">
        <v>625</v>
      </c>
      <c r="D8" s="223">
        <v>133.51999999999998</v>
      </c>
    </row>
    <row r="9" spans="1:4" x14ac:dyDescent="0.25">
      <c r="A9" s="205">
        <v>5</v>
      </c>
      <c r="B9" s="221" t="s">
        <v>488</v>
      </c>
      <c r="C9" s="222" t="s">
        <v>626</v>
      </c>
      <c r="D9" s="223">
        <v>95</v>
      </c>
    </row>
    <row r="10" spans="1:4" x14ac:dyDescent="0.25">
      <c r="A10" s="205">
        <v>6</v>
      </c>
      <c r="B10" s="221" t="s">
        <v>489</v>
      </c>
      <c r="C10" s="222" t="s">
        <v>626</v>
      </c>
      <c r="D10" s="223">
        <v>49</v>
      </c>
    </row>
    <row r="11" spans="1:4" x14ac:dyDescent="0.25">
      <c r="A11" s="205">
        <v>7</v>
      </c>
      <c r="B11" s="221" t="s">
        <v>490</v>
      </c>
      <c r="C11" s="222" t="s">
        <v>626</v>
      </c>
      <c r="D11" s="223">
        <v>95</v>
      </c>
    </row>
    <row r="12" spans="1:4" ht="36" x14ac:dyDescent="0.25">
      <c r="A12" s="205">
        <v>8</v>
      </c>
      <c r="B12" s="221" t="s">
        <v>491</v>
      </c>
      <c r="C12" s="222" t="s">
        <v>627</v>
      </c>
      <c r="D12" s="223">
        <v>140</v>
      </c>
    </row>
    <row r="13" spans="1:4" x14ac:dyDescent="0.25">
      <c r="A13" s="205">
        <v>9</v>
      </c>
      <c r="B13" s="221" t="s">
        <v>492</v>
      </c>
      <c r="C13" s="222" t="s">
        <v>658</v>
      </c>
      <c r="D13" s="223">
        <v>38.76</v>
      </c>
    </row>
    <row r="14" spans="1:4" x14ac:dyDescent="0.25">
      <c r="A14" s="205">
        <v>10</v>
      </c>
      <c r="B14" s="221" t="s">
        <v>494</v>
      </c>
      <c r="C14" s="222" t="s">
        <v>659</v>
      </c>
      <c r="D14" s="223">
        <v>46.26</v>
      </c>
    </row>
    <row r="15" spans="1:4" x14ac:dyDescent="0.25">
      <c r="A15" s="205">
        <v>11</v>
      </c>
      <c r="B15" s="221" t="s">
        <v>660</v>
      </c>
      <c r="C15" s="222" t="s">
        <v>661</v>
      </c>
      <c r="D15" s="223">
        <v>69.989999999999995</v>
      </c>
    </row>
    <row r="16" spans="1:4" x14ac:dyDescent="0.25">
      <c r="A16" s="205">
        <v>12</v>
      </c>
      <c r="B16" s="221" t="s">
        <v>500</v>
      </c>
      <c r="C16" s="222" t="s">
        <v>662</v>
      </c>
      <c r="D16" s="223"/>
    </row>
    <row r="17" spans="1:4" x14ac:dyDescent="0.25">
      <c r="A17" s="205">
        <v>13</v>
      </c>
      <c r="B17" s="221" t="s">
        <v>503</v>
      </c>
      <c r="C17" s="222" t="s">
        <v>663</v>
      </c>
      <c r="D17" s="223">
        <v>47.46</v>
      </c>
    </row>
    <row r="18" spans="1:4" x14ac:dyDescent="0.25">
      <c r="A18" s="205">
        <v>14</v>
      </c>
      <c r="B18" s="221" t="s">
        <v>504</v>
      </c>
      <c r="C18" s="222" t="s">
        <v>663</v>
      </c>
      <c r="D18" s="223">
        <v>56.46</v>
      </c>
    </row>
    <row r="19" spans="1:4" x14ac:dyDescent="0.25">
      <c r="A19" s="205">
        <v>15</v>
      </c>
      <c r="B19" s="221" t="s">
        <v>506</v>
      </c>
      <c r="C19" s="222" t="s">
        <v>664</v>
      </c>
      <c r="D19" s="223">
        <v>67.13</v>
      </c>
    </row>
    <row r="20" spans="1:4" x14ac:dyDescent="0.25">
      <c r="A20" s="205">
        <v>16</v>
      </c>
      <c r="B20" s="221" t="s">
        <v>510</v>
      </c>
      <c r="C20" s="222" t="s">
        <v>631</v>
      </c>
      <c r="D20" s="223">
        <v>110.7</v>
      </c>
    </row>
    <row r="21" spans="1:4" x14ac:dyDescent="0.25">
      <c r="A21" s="205">
        <v>17</v>
      </c>
      <c r="B21" s="221" t="s">
        <v>512</v>
      </c>
      <c r="C21" s="222" t="s">
        <v>665</v>
      </c>
      <c r="D21" s="223">
        <v>78.400000000000006</v>
      </c>
    </row>
    <row r="22" spans="1:4" x14ac:dyDescent="0.25">
      <c r="A22" s="205">
        <v>18</v>
      </c>
      <c r="B22" s="221" t="s">
        <v>513</v>
      </c>
      <c r="C22" s="222" t="s">
        <v>632</v>
      </c>
      <c r="D22" s="223">
        <v>96.3</v>
      </c>
    </row>
    <row r="23" spans="1:4" x14ac:dyDescent="0.25">
      <c r="A23" s="205">
        <v>19</v>
      </c>
      <c r="B23" s="221" t="s">
        <v>539</v>
      </c>
      <c r="C23" s="222" t="s">
        <v>666</v>
      </c>
      <c r="D23" s="223">
        <v>56.22</v>
      </c>
    </row>
    <row r="24" spans="1:4" x14ac:dyDescent="0.25">
      <c r="A24" s="205">
        <v>20</v>
      </c>
      <c r="B24" s="221" t="s">
        <v>542</v>
      </c>
      <c r="C24" s="222" t="s">
        <v>635</v>
      </c>
      <c r="D24" s="223">
        <v>90.1</v>
      </c>
    </row>
    <row r="25" spans="1:4" x14ac:dyDescent="0.25">
      <c r="A25" s="205">
        <v>21</v>
      </c>
      <c r="B25" s="221" t="s">
        <v>545</v>
      </c>
      <c r="C25" s="222" t="s">
        <v>636</v>
      </c>
      <c r="D25" s="223">
        <v>92</v>
      </c>
    </row>
    <row r="26" spans="1:4" x14ac:dyDescent="0.25">
      <c r="A26" s="205">
        <v>22</v>
      </c>
      <c r="B26" s="221" t="s">
        <v>546</v>
      </c>
      <c r="C26" s="222" t="s">
        <v>637</v>
      </c>
      <c r="D26" s="223">
        <v>95.000000000000014</v>
      </c>
    </row>
    <row r="27" spans="1:4" x14ac:dyDescent="0.25">
      <c r="A27" s="205">
        <v>23</v>
      </c>
      <c r="B27" s="221" t="s">
        <v>547</v>
      </c>
      <c r="C27" s="222" t="s">
        <v>635</v>
      </c>
      <c r="D27" s="223">
        <v>67.400000000000006</v>
      </c>
    </row>
    <row r="28" spans="1:4" x14ac:dyDescent="0.25">
      <c r="A28" s="205">
        <v>24</v>
      </c>
      <c r="B28" s="221" t="s">
        <v>551</v>
      </c>
      <c r="C28" s="222" t="s">
        <v>638</v>
      </c>
      <c r="D28" s="223">
        <v>87.5</v>
      </c>
    </row>
    <row r="29" spans="1:4" x14ac:dyDescent="0.25">
      <c r="A29" s="205">
        <v>25</v>
      </c>
      <c r="B29" s="221" t="s">
        <v>552</v>
      </c>
      <c r="C29" s="222" t="s">
        <v>637</v>
      </c>
      <c r="D29" s="223">
        <v>86.5</v>
      </c>
    </row>
    <row r="30" spans="1:4" x14ac:dyDescent="0.25">
      <c r="A30" s="205">
        <v>26</v>
      </c>
      <c r="B30" s="221" t="s">
        <v>425</v>
      </c>
      <c r="C30" s="222" t="s">
        <v>667</v>
      </c>
      <c r="D30" s="223">
        <v>82.820999999999998</v>
      </c>
    </row>
    <row r="31" spans="1:4" ht="54" x14ac:dyDescent="0.25">
      <c r="A31" s="205">
        <v>27</v>
      </c>
      <c r="B31" s="221" t="s">
        <v>426</v>
      </c>
      <c r="C31" s="222" t="s">
        <v>668</v>
      </c>
      <c r="D31" s="223">
        <v>114.947</v>
      </c>
    </row>
    <row r="32" spans="1:4" ht="36" x14ac:dyDescent="0.25">
      <c r="A32" s="205">
        <v>28</v>
      </c>
      <c r="B32" s="221" t="s">
        <v>427</v>
      </c>
      <c r="C32" s="222" t="s">
        <v>669</v>
      </c>
      <c r="D32" s="223">
        <v>75.431000000000012</v>
      </c>
    </row>
    <row r="33" spans="1:4" x14ac:dyDescent="0.25">
      <c r="A33" s="205">
        <v>29</v>
      </c>
      <c r="B33" s="221" t="s">
        <v>428</v>
      </c>
      <c r="C33" s="222" t="s">
        <v>667</v>
      </c>
      <c r="D33" s="223">
        <v>85.176000000000002</v>
      </c>
    </row>
    <row r="34" spans="1:4" ht="72" x14ac:dyDescent="0.25">
      <c r="A34" s="205">
        <v>30</v>
      </c>
      <c r="B34" s="221" t="s">
        <v>429</v>
      </c>
      <c r="C34" s="222" t="s">
        <v>670</v>
      </c>
      <c r="D34" s="223">
        <v>77.762</v>
      </c>
    </row>
    <row r="35" spans="1:4" ht="72" x14ac:dyDescent="0.25">
      <c r="A35" s="205">
        <v>31</v>
      </c>
      <c r="B35" s="221" t="s">
        <v>430</v>
      </c>
      <c r="C35" s="222" t="s">
        <v>670</v>
      </c>
      <c r="D35" s="223">
        <v>83.146000000000015</v>
      </c>
    </row>
    <row r="36" spans="1:4" x14ac:dyDescent="0.25">
      <c r="A36" s="205">
        <v>32</v>
      </c>
      <c r="B36" s="221" t="s">
        <v>431</v>
      </c>
      <c r="C36" s="222" t="s">
        <v>667</v>
      </c>
      <c r="D36" s="223">
        <v>95.820000000000022</v>
      </c>
    </row>
    <row r="37" spans="1:4" x14ac:dyDescent="0.25">
      <c r="A37" s="205">
        <v>33</v>
      </c>
      <c r="B37" s="221" t="s">
        <v>432</v>
      </c>
      <c r="C37" s="222" t="s">
        <v>641</v>
      </c>
      <c r="D37" s="223">
        <v>157</v>
      </c>
    </row>
    <row r="38" spans="1:4" x14ac:dyDescent="0.25">
      <c r="A38" s="205">
        <v>34</v>
      </c>
      <c r="B38" s="221" t="s">
        <v>671</v>
      </c>
      <c r="C38" s="222" t="s">
        <v>672</v>
      </c>
      <c r="D38" s="223">
        <v>28.17</v>
      </c>
    </row>
    <row r="39" spans="1:4" x14ac:dyDescent="0.25">
      <c r="A39" s="205">
        <v>35</v>
      </c>
      <c r="B39" s="221" t="s">
        <v>434</v>
      </c>
      <c r="C39" s="222" t="s">
        <v>673</v>
      </c>
      <c r="D39" s="223">
        <v>15.18</v>
      </c>
    </row>
    <row r="40" spans="1:4" x14ac:dyDescent="0.25">
      <c r="A40" s="205">
        <v>36</v>
      </c>
      <c r="B40" s="221" t="s">
        <v>435</v>
      </c>
      <c r="C40" s="222" t="s">
        <v>674</v>
      </c>
      <c r="D40" s="223">
        <v>70.363</v>
      </c>
    </row>
    <row r="41" spans="1:4" x14ac:dyDescent="0.25">
      <c r="A41" s="205">
        <v>37</v>
      </c>
      <c r="B41" s="221" t="s">
        <v>437</v>
      </c>
      <c r="C41" s="222" t="s">
        <v>659</v>
      </c>
      <c r="D41" s="223">
        <v>24.330000000000002</v>
      </c>
    </row>
    <row r="42" spans="1:4" x14ac:dyDescent="0.25">
      <c r="A42" s="205">
        <v>38</v>
      </c>
      <c r="B42" s="221" t="s">
        <v>438</v>
      </c>
      <c r="C42" s="222" t="s">
        <v>675</v>
      </c>
      <c r="D42" s="223">
        <v>75.92</v>
      </c>
    </row>
    <row r="43" spans="1:4" x14ac:dyDescent="0.25">
      <c r="A43" s="205">
        <v>39</v>
      </c>
      <c r="B43" s="221" t="s">
        <v>439</v>
      </c>
      <c r="C43" s="222" t="s">
        <v>658</v>
      </c>
      <c r="D43" s="223">
        <v>17.257999999999999</v>
      </c>
    </row>
    <row r="44" spans="1:4" ht="36" x14ac:dyDescent="0.25">
      <c r="A44" s="205">
        <v>40</v>
      </c>
      <c r="B44" s="221" t="s">
        <v>443</v>
      </c>
      <c r="C44" s="222" t="s">
        <v>676</v>
      </c>
      <c r="D44" s="223">
        <v>86.123999999999995</v>
      </c>
    </row>
    <row r="45" spans="1:4" ht="36" x14ac:dyDescent="0.25">
      <c r="A45" s="205">
        <v>41</v>
      </c>
      <c r="B45" s="221" t="s">
        <v>444</v>
      </c>
      <c r="C45" s="222" t="s">
        <v>677</v>
      </c>
      <c r="D45" s="223">
        <v>47.648000000000003</v>
      </c>
    </row>
    <row r="46" spans="1:4" x14ac:dyDescent="0.25">
      <c r="A46" s="205">
        <v>42</v>
      </c>
      <c r="B46" s="221" t="s">
        <v>447</v>
      </c>
      <c r="C46" s="222" t="s">
        <v>658</v>
      </c>
      <c r="D46" s="223">
        <v>38.76</v>
      </c>
    </row>
    <row r="47" spans="1:4" x14ac:dyDescent="0.25">
      <c r="A47" s="205">
        <v>43</v>
      </c>
      <c r="B47" s="221" t="s">
        <v>448</v>
      </c>
      <c r="C47" s="222" t="s">
        <v>659</v>
      </c>
      <c r="D47" s="223">
        <v>46.26</v>
      </c>
    </row>
    <row r="48" spans="1:4" x14ac:dyDescent="0.25">
      <c r="A48" s="205">
        <v>44</v>
      </c>
      <c r="B48" s="221" t="s">
        <v>678</v>
      </c>
      <c r="C48" s="222" t="s">
        <v>679</v>
      </c>
      <c r="D48" s="223">
        <v>53.870000000000005</v>
      </c>
    </row>
    <row r="49" spans="1:4" x14ac:dyDescent="0.25">
      <c r="A49" s="205">
        <v>45</v>
      </c>
      <c r="B49" s="221" t="s">
        <v>453</v>
      </c>
      <c r="C49" s="222" t="s">
        <v>680</v>
      </c>
      <c r="D49" s="223">
        <v>78.7</v>
      </c>
    </row>
    <row r="50" spans="1:4" x14ac:dyDescent="0.25">
      <c r="A50" s="205">
        <v>46</v>
      </c>
      <c r="B50" s="221" t="s">
        <v>454</v>
      </c>
      <c r="C50" s="222" t="s">
        <v>681</v>
      </c>
      <c r="D50" s="223">
        <v>84</v>
      </c>
    </row>
    <row r="51" spans="1:4" x14ac:dyDescent="0.25">
      <c r="A51" s="205">
        <v>47</v>
      </c>
      <c r="B51" s="221" t="s">
        <v>456</v>
      </c>
      <c r="C51" s="222" t="s">
        <v>682</v>
      </c>
      <c r="D51" s="223">
        <v>82.1</v>
      </c>
    </row>
    <row r="52" spans="1:4" x14ac:dyDescent="0.25">
      <c r="A52" s="205">
        <v>48</v>
      </c>
      <c r="B52" s="221" t="s">
        <v>457</v>
      </c>
      <c r="C52" s="222" t="s">
        <v>644</v>
      </c>
      <c r="D52" s="223">
        <v>98.6</v>
      </c>
    </row>
    <row r="53" spans="1:4" x14ac:dyDescent="0.25">
      <c r="A53" s="205">
        <v>49</v>
      </c>
      <c r="B53" s="221" t="s">
        <v>459</v>
      </c>
      <c r="C53" s="222" t="s">
        <v>683</v>
      </c>
      <c r="D53" s="223">
        <v>83.899999999999991</v>
      </c>
    </row>
    <row r="54" spans="1:4" x14ac:dyDescent="0.25">
      <c r="A54" s="205">
        <v>50</v>
      </c>
      <c r="B54" s="221" t="s">
        <v>462</v>
      </c>
      <c r="C54" s="222" t="s">
        <v>636</v>
      </c>
      <c r="D54" s="223">
        <v>85.8</v>
      </c>
    </row>
    <row r="55" spans="1:4" x14ac:dyDescent="0.25">
      <c r="A55" s="205">
        <v>51</v>
      </c>
      <c r="B55" s="221" t="s">
        <v>463</v>
      </c>
      <c r="C55" s="222" t="s">
        <v>637</v>
      </c>
      <c r="D55" s="223">
        <v>92.100000000000009</v>
      </c>
    </row>
    <row r="56" spans="1:4" x14ac:dyDescent="0.25">
      <c r="A56" s="205">
        <v>52</v>
      </c>
      <c r="B56" s="221" t="s">
        <v>464</v>
      </c>
      <c r="C56" s="222" t="s">
        <v>635</v>
      </c>
      <c r="D56" s="223">
        <v>81.699999999999989</v>
      </c>
    </row>
    <row r="57" spans="1:4" x14ac:dyDescent="0.25">
      <c r="A57" s="205">
        <v>53</v>
      </c>
      <c r="B57" s="221" t="s">
        <v>466</v>
      </c>
      <c r="C57" s="222" t="s">
        <v>636</v>
      </c>
      <c r="D57" s="223">
        <v>84.5</v>
      </c>
    </row>
    <row r="58" spans="1:4" x14ac:dyDescent="0.25">
      <c r="A58" s="205">
        <v>54</v>
      </c>
      <c r="B58" s="221" t="s">
        <v>467</v>
      </c>
      <c r="C58" s="222" t="s">
        <v>637</v>
      </c>
      <c r="D58" s="223">
        <v>87.4</v>
      </c>
    </row>
    <row r="59" spans="1:4" ht="54" x14ac:dyDescent="0.25">
      <c r="A59" s="205">
        <v>55</v>
      </c>
      <c r="B59" s="221" t="s">
        <v>469</v>
      </c>
      <c r="C59" s="222" t="s">
        <v>684</v>
      </c>
      <c r="D59" s="223">
        <v>79.650000000000006</v>
      </c>
    </row>
    <row r="60" spans="1:4" ht="36" x14ac:dyDescent="0.25">
      <c r="A60" s="205">
        <v>56</v>
      </c>
      <c r="B60" s="221" t="s">
        <v>470</v>
      </c>
      <c r="C60" s="222" t="s">
        <v>685</v>
      </c>
      <c r="D60" s="223">
        <v>41.4</v>
      </c>
    </row>
    <row r="61" spans="1:4" x14ac:dyDescent="0.25">
      <c r="A61" s="205">
        <v>57</v>
      </c>
      <c r="B61" s="221" t="s">
        <v>361</v>
      </c>
      <c r="C61" s="222" t="s">
        <v>667</v>
      </c>
      <c r="D61" s="223">
        <v>103.345</v>
      </c>
    </row>
    <row r="62" spans="1:4" ht="72" x14ac:dyDescent="0.25">
      <c r="A62" s="205">
        <v>58</v>
      </c>
      <c r="B62" s="221" t="s">
        <v>362</v>
      </c>
      <c r="C62" s="222" t="s">
        <v>686</v>
      </c>
      <c r="D62" s="223">
        <v>123.43300000000001</v>
      </c>
    </row>
    <row r="63" spans="1:4" x14ac:dyDescent="0.25">
      <c r="A63" s="205">
        <v>59</v>
      </c>
      <c r="B63" s="221" t="s">
        <v>363</v>
      </c>
      <c r="C63" s="222" t="s">
        <v>687</v>
      </c>
      <c r="D63" s="223">
        <v>73.013000000000005</v>
      </c>
    </row>
    <row r="64" spans="1:4" x14ac:dyDescent="0.25">
      <c r="A64" s="205">
        <v>60</v>
      </c>
      <c r="B64" s="221" t="s">
        <v>364</v>
      </c>
      <c r="C64" s="222" t="s">
        <v>667</v>
      </c>
      <c r="D64" s="223">
        <v>103.72999999999999</v>
      </c>
    </row>
    <row r="65" spans="1:4" x14ac:dyDescent="0.25">
      <c r="A65" s="205">
        <v>61</v>
      </c>
      <c r="B65" s="221" t="s">
        <v>365</v>
      </c>
      <c r="C65" s="222" t="s">
        <v>667</v>
      </c>
      <c r="D65" s="223">
        <v>102.87</v>
      </c>
    </row>
    <row r="66" spans="1:4" x14ac:dyDescent="0.25">
      <c r="A66" s="205">
        <v>62</v>
      </c>
      <c r="B66" s="221" t="s">
        <v>366</v>
      </c>
      <c r="C66" s="222" t="s">
        <v>667</v>
      </c>
      <c r="D66" s="223">
        <v>100.28999999999999</v>
      </c>
    </row>
    <row r="67" spans="1:4" x14ac:dyDescent="0.25">
      <c r="A67" s="205">
        <v>63</v>
      </c>
      <c r="B67" s="221" t="s">
        <v>367</v>
      </c>
      <c r="C67" s="222" t="s">
        <v>667</v>
      </c>
      <c r="D67" s="223">
        <v>94.082999999999998</v>
      </c>
    </row>
    <row r="68" spans="1:4" x14ac:dyDescent="0.25">
      <c r="A68" s="205">
        <v>64</v>
      </c>
      <c r="B68" s="221" t="s">
        <v>368</v>
      </c>
      <c r="C68" s="222" t="s">
        <v>667</v>
      </c>
      <c r="D68" s="223">
        <v>96.5</v>
      </c>
    </row>
    <row r="69" spans="1:4" x14ac:dyDescent="0.25">
      <c r="A69" s="205">
        <v>65</v>
      </c>
      <c r="B69" s="221" t="s">
        <v>688</v>
      </c>
      <c r="C69" s="222" t="s">
        <v>658</v>
      </c>
      <c r="D69" s="223">
        <v>45.559999999999995</v>
      </c>
    </row>
    <row r="70" spans="1:4" x14ac:dyDescent="0.25">
      <c r="A70" s="205">
        <v>66</v>
      </c>
      <c r="B70" s="221" t="s">
        <v>370</v>
      </c>
      <c r="C70" s="222" t="s">
        <v>659</v>
      </c>
      <c r="D70" s="223">
        <v>46.059999999999995</v>
      </c>
    </row>
    <row r="71" spans="1:4" x14ac:dyDescent="0.25">
      <c r="A71" s="205">
        <v>67</v>
      </c>
      <c r="B71" s="221" t="s">
        <v>376</v>
      </c>
      <c r="C71" s="222" t="s">
        <v>680</v>
      </c>
      <c r="D71" s="223">
        <v>78.400000000000006</v>
      </c>
    </row>
    <row r="72" spans="1:4" x14ac:dyDescent="0.25">
      <c r="A72" s="205">
        <v>68</v>
      </c>
      <c r="B72" s="221" t="s">
        <v>689</v>
      </c>
      <c r="C72" s="222" t="s">
        <v>682</v>
      </c>
      <c r="D72" s="223">
        <v>84.5</v>
      </c>
    </row>
    <row r="73" spans="1:4" x14ac:dyDescent="0.25">
      <c r="A73" s="205">
        <v>69</v>
      </c>
      <c r="B73" s="221" t="s">
        <v>646</v>
      </c>
      <c r="C73" s="222" t="s">
        <v>644</v>
      </c>
      <c r="D73" s="223">
        <v>132.80000000000001</v>
      </c>
    </row>
    <row r="74" spans="1:4" x14ac:dyDescent="0.25">
      <c r="A74" s="205">
        <v>70</v>
      </c>
      <c r="B74" s="221" t="s">
        <v>690</v>
      </c>
      <c r="C74" s="222" t="s">
        <v>635</v>
      </c>
      <c r="D74" s="223">
        <v>83.5</v>
      </c>
    </row>
    <row r="75" spans="1:4" x14ac:dyDescent="0.25">
      <c r="A75" s="205">
        <v>71</v>
      </c>
      <c r="B75" s="221" t="s">
        <v>647</v>
      </c>
      <c r="C75" s="222" t="s">
        <v>636</v>
      </c>
      <c r="D75" s="223">
        <v>87.699999999999989</v>
      </c>
    </row>
    <row r="76" spans="1:4" x14ac:dyDescent="0.25">
      <c r="A76" s="205">
        <v>72</v>
      </c>
      <c r="B76" s="221" t="s">
        <v>648</v>
      </c>
      <c r="C76" s="222" t="s">
        <v>637</v>
      </c>
      <c r="D76" s="223">
        <v>92.9</v>
      </c>
    </row>
    <row r="77" spans="1:4" x14ac:dyDescent="0.25">
      <c r="A77" s="205">
        <v>73</v>
      </c>
      <c r="B77" s="221" t="s">
        <v>379</v>
      </c>
      <c r="C77" s="222" t="s">
        <v>635</v>
      </c>
      <c r="D77" s="223">
        <v>80.600000000000009</v>
      </c>
    </row>
    <row r="78" spans="1:4" x14ac:dyDescent="0.25">
      <c r="A78" s="205">
        <v>74</v>
      </c>
      <c r="B78" s="221" t="s">
        <v>380</v>
      </c>
      <c r="C78" s="222" t="s">
        <v>636</v>
      </c>
      <c r="D78" s="223">
        <v>85.199999999999989</v>
      </c>
    </row>
    <row r="79" spans="1:4" x14ac:dyDescent="0.25">
      <c r="A79" s="205">
        <v>75</v>
      </c>
      <c r="B79" s="221" t="s">
        <v>649</v>
      </c>
      <c r="C79" s="222" t="s">
        <v>637</v>
      </c>
      <c r="D79" s="223">
        <v>89.699999999999989</v>
      </c>
    </row>
    <row r="80" spans="1:4" x14ac:dyDescent="0.25">
      <c r="A80" s="205"/>
      <c r="B80" s="206"/>
      <c r="C80" s="212" t="s">
        <v>590</v>
      </c>
      <c r="D80" s="231">
        <f>SUM(D5:D79)</f>
        <v>5811.5199999999995</v>
      </c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0" verticalDpi="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3"/>
  <sheetViews>
    <sheetView workbookViewId="0"/>
  </sheetViews>
  <sheetFormatPr defaultRowHeight="13.2" x14ac:dyDescent="0.25"/>
  <cols>
    <col min="1" max="1" width="8.6640625" customWidth="1"/>
    <col min="2" max="2" width="44" customWidth="1"/>
    <col min="3" max="3" width="11.6640625" customWidth="1"/>
    <col min="4" max="4" width="9.21875" customWidth="1"/>
  </cols>
  <sheetData>
    <row r="1" spans="1:4" ht="18" x14ac:dyDescent="0.35">
      <c r="A1" s="199"/>
      <c r="B1" s="200" t="s">
        <v>579</v>
      </c>
      <c r="C1" s="201"/>
      <c r="D1" s="202"/>
    </row>
    <row r="2" spans="1:4" ht="18" x14ac:dyDescent="0.25">
      <c r="A2" s="199" t="s">
        <v>580</v>
      </c>
      <c r="B2" s="188" t="s">
        <v>581</v>
      </c>
      <c r="C2" s="188" t="s">
        <v>583</v>
      </c>
      <c r="D2" s="201" t="s">
        <v>584</v>
      </c>
    </row>
    <row r="3" spans="1:4" ht="54" x14ac:dyDescent="0.25">
      <c r="A3" s="203">
        <v>1</v>
      </c>
      <c r="B3" s="187" t="s">
        <v>697</v>
      </c>
      <c r="C3" s="188" t="s">
        <v>571</v>
      </c>
      <c r="D3" s="230">
        <f>'3.2п'!D6</f>
        <v>20.14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6"/>
  <sheetViews>
    <sheetView workbookViewId="0">
      <selection sqref="A1:D1"/>
    </sheetView>
  </sheetViews>
  <sheetFormatPr defaultRowHeight="18" x14ac:dyDescent="0.25"/>
  <cols>
    <col min="1" max="1" width="8.88671875" style="220"/>
    <col min="2" max="2" width="14.44140625" style="220" customWidth="1"/>
    <col min="3" max="3" width="42" style="220" customWidth="1"/>
    <col min="4" max="4" width="12" style="220" customWidth="1"/>
    <col min="5" max="16384" width="8.88671875" style="220"/>
  </cols>
  <sheetData>
    <row r="1" spans="1:4" x14ac:dyDescent="0.25">
      <c r="A1" s="607" t="s">
        <v>586</v>
      </c>
      <c r="B1" s="607"/>
      <c r="C1" s="607"/>
      <c r="D1" s="607"/>
    </row>
    <row r="2" spans="1:4" ht="18" customHeight="1" x14ac:dyDescent="0.25">
      <c r="A2" s="749" t="s">
        <v>654</v>
      </c>
      <c r="B2" s="750"/>
      <c r="C2" s="750"/>
      <c r="D2" s="751"/>
    </row>
    <row r="3" spans="1:4" ht="24" customHeight="1" x14ac:dyDescent="0.25">
      <c r="A3" s="607" t="s">
        <v>699</v>
      </c>
      <c r="B3" s="607"/>
      <c r="C3" s="607"/>
      <c r="D3" s="607"/>
    </row>
    <row r="4" spans="1:4" x14ac:dyDescent="0.25">
      <c r="A4" s="205" t="s">
        <v>580</v>
      </c>
      <c r="B4" s="206" t="s">
        <v>587</v>
      </c>
      <c r="C4" s="206" t="s">
        <v>587</v>
      </c>
      <c r="D4" s="207" t="s">
        <v>588</v>
      </c>
    </row>
    <row r="5" spans="1:4" x14ac:dyDescent="0.25">
      <c r="A5" s="205">
        <v>1</v>
      </c>
      <c r="B5" s="221" t="s">
        <v>500</v>
      </c>
      <c r="C5" s="222" t="s">
        <v>662</v>
      </c>
      <c r="D5" s="223">
        <v>20.14</v>
      </c>
    </row>
    <row r="6" spans="1:4" x14ac:dyDescent="0.25">
      <c r="A6" s="205"/>
      <c r="B6" s="211"/>
      <c r="C6" s="212" t="s">
        <v>590</v>
      </c>
      <c r="D6" s="231">
        <f>SUM(D5:D5)</f>
        <v>20.14</v>
      </c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0" verticalDpi="0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44"/>
  <sheetViews>
    <sheetView workbookViewId="0">
      <selection sqref="A1:D1"/>
    </sheetView>
  </sheetViews>
  <sheetFormatPr defaultRowHeight="18" x14ac:dyDescent="0.25"/>
  <cols>
    <col min="1" max="1" width="9" style="220" customWidth="1"/>
    <col min="2" max="2" width="14.44140625" style="220" customWidth="1"/>
    <col min="3" max="3" width="42" style="220" customWidth="1"/>
    <col min="4" max="4" width="13.109375" style="220" customWidth="1"/>
    <col min="5" max="16384" width="8.88671875" style="220"/>
  </cols>
  <sheetData>
    <row r="1" spans="1:4" x14ac:dyDescent="0.25">
      <c r="A1" s="607" t="s">
        <v>586</v>
      </c>
      <c r="B1" s="607"/>
      <c r="C1" s="607"/>
      <c r="D1" s="607"/>
    </row>
    <row r="2" spans="1:4" ht="18" customHeight="1" x14ac:dyDescent="0.25">
      <c r="A2" s="749" t="s">
        <v>692</v>
      </c>
      <c r="B2" s="750"/>
      <c r="C2" s="750"/>
      <c r="D2" s="751"/>
    </row>
    <row r="3" spans="1:4" ht="34.799999999999997" customHeight="1" x14ac:dyDescent="0.25">
      <c r="A3" s="607" t="s">
        <v>653</v>
      </c>
      <c r="B3" s="607"/>
      <c r="C3" s="607"/>
      <c r="D3" s="607"/>
    </row>
    <row r="4" spans="1:4" x14ac:dyDescent="0.25">
      <c r="A4" s="226" t="s">
        <v>580</v>
      </c>
      <c r="B4" s="227" t="s">
        <v>693</v>
      </c>
      <c r="C4" s="227" t="s">
        <v>691</v>
      </c>
      <c r="D4" s="228" t="s">
        <v>588</v>
      </c>
    </row>
    <row r="5" spans="1:4" ht="36" x14ac:dyDescent="0.25">
      <c r="A5" s="224">
        <v>1</v>
      </c>
      <c r="B5" s="221" t="s">
        <v>484</v>
      </c>
      <c r="C5" s="222" t="s">
        <v>655</v>
      </c>
      <c r="D5" s="225">
        <v>11.56</v>
      </c>
    </row>
    <row r="6" spans="1:4" x14ac:dyDescent="0.25">
      <c r="A6" s="224">
        <v>2</v>
      </c>
      <c r="B6" s="221" t="s">
        <v>487</v>
      </c>
      <c r="C6" s="222" t="s">
        <v>625</v>
      </c>
      <c r="D6" s="225">
        <v>23.28</v>
      </c>
    </row>
    <row r="7" spans="1:4" x14ac:dyDescent="0.25">
      <c r="A7" s="224">
        <v>3</v>
      </c>
      <c r="B7" s="221" t="s">
        <v>488</v>
      </c>
      <c r="C7" s="222" t="s">
        <v>626</v>
      </c>
      <c r="D7" s="225">
        <v>14.625</v>
      </c>
    </row>
    <row r="8" spans="1:4" x14ac:dyDescent="0.25">
      <c r="A8" s="224">
        <v>4</v>
      </c>
      <c r="B8" s="221" t="s">
        <v>489</v>
      </c>
      <c r="C8" s="222" t="s">
        <v>626</v>
      </c>
      <c r="D8" s="225">
        <v>13.26</v>
      </c>
    </row>
    <row r="9" spans="1:4" x14ac:dyDescent="0.25">
      <c r="A9" s="224">
        <v>5</v>
      </c>
      <c r="B9" s="221" t="s">
        <v>490</v>
      </c>
      <c r="C9" s="222" t="s">
        <v>626</v>
      </c>
      <c r="D9" s="225">
        <v>6.24</v>
      </c>
    </row>
    <row r="10" spans="1:4" ht="36" x14ac:dyDescent="0.25">
      <c r="A10" s="224">
        <v>6</v>
      </c>
      <c r="B10" s="221" t="s">
        <v>491</v>
      </c>
      <c r="C10" s="222" t="s">
        <v>627</v>
      </c>
      <c r="D10" s="225">
        <v>14.82</v>
      </c>
    </row>
    <row r="11" spans="1:4" x14ac:dyDescent="0.25">
      <c r="A11" s="224">
        <v>7</v>
      </c>
      <c r="B11" s="221" t="s">
        <v>492</v>
      </c>
      <c r="C11" s="222" t="s">
        <v>658</v>
      </c>
      <c r="D11" s="225">
        <v>4.2</v>
      </c>
    </row>
    <row r="12" spans="1:4" x14ac:dyDescent="0.25">
      <c r="A12" s="224">
        <v>8</v>
      </c>
      <c r="B12" s="221" t="s">
        <v>494</v>
      </c>
      <c r="C12" s="222" t="s">
        <v>659</v>
      </c>
      <c r="D12" s="225">
        <v>4.2</v>
      </c>
    </row>
    <row r="13" spans="1:4" x14ac:dyDescent="0.25">
      <c r="A13" s="224">
        <v>9</v>
      </c>
      <c r="B13" s="221" t="s">
        <v>660</v>
      </c>
      <c r="C13" s="222" t="s">
        <v>661</v>
      </c>
      <c r="D13" s="225">
        <v>2.25</v>
      </c>
    </row>
    <row r="14" spans="1:4" x14ac:dyDescent="0.25">
      <c r="A14" s="224">
        <v>10</v>
      </c>
      <c r="B14" s="221" t="s">
        <v>506</v>
      </c>
      <c r="C14" s="222" t="s">
        <v>664</v>
      </c>
      <c r="D14" s="225">
        <v>12.87</v>
      </c>
    </row>
    <row r="15" spans="1:4" x14ac:dyDescent="0.25">
      <c r="A15" s="224">
        <v>11</v>
      </c>
      <c r="B15" s="221" t="s">
        <v>539</v>
      </c>
      <c r="C15" s="222" t="s">
        <v>666</v>
      </c>
      <c r="D15" s="225">
        <v>4.68</v>
      </c>
    </row>
    <row r="16" spans="1:4" x14ac:dyDescent="0.25">
      <c r="A16" s="224">
        <v>12</v>
      </c>
      <c r="B16" s="221" t="s">
        <v>425</v>
      </c>
      <c r="C16" s="222" t="s">
        <v>667</v>
      </c>
      <c r="D16" s="225">
        <v>11.427</v>
      </c>
    </row>
    <row r="17" spans="1:4" ht="54" x14ac:dyDescent="0.25">
      <c r="A17" s="224">
        <v>13</v>
      </c>
      <c r="B17" s="221" t="s">
        <v>426</v>
      </c>
      <c r="C17" s="222" t="s">
        <v>668</v>
      </c>
      <c r="D17" s="225">
        <v>17.003999999999998</v>
      </c>
    </row>
    <row r="18" spans="1:4" ht="36" x14ac:dyDescent="0.25">
      <c r="A18" s="224">
        <v>14</v>
      </c>
      <c r="B18" s="221" t="s">
        <v>427</v>
      </c>
      <c r="C18" s="222" t="s">
        <v>669</v>
      </c>
      <c r="D18" s="225">
        <v>11.31</v>
      </c>
    </row>
    <row r="19" spans="1:4" x14ac:dyDescent="0.25">
      <c r="A19" s="224">
        <v>15</v>
      </c>
      <c r="B19" s="221" t="s">
        <v>428</v>
      </c>
      <c r="C19" s="222" t="s">
        <v>667</v>
      </c>
      <c r="D19" s="225">
        <v>11.427</v>
      </c>
    </row>
    <row r="20" spans="1:4" ht="72" x14ac:dyDescent="0.25">
      <c r="A20" s="224">
        <v>16</v>
      </c>
      <c r="B20" s="221" t="s">
        <v>429</v>
      </c>
      <c r="C20" s="222" t="s">
        <v>670</v>
      </c>
      <c r="D20" s="225">
        <v>13.181999999999999</v>
      </c>
    </row>
    <row r="21" spans="1:4" ht="72" x14ac:dyDescent="0.25">
      <c r="A21" s="224">
        <v>17</v>
      </c>
      <c r="B21" s="221" t="s">
        <v>430</v>
      </c>
      <c r="C21" s="222" t="s">
        <v>670</v>
      </c>
      <c r="D21" s="225">
        <v>10.256999999999998</v>
      </c>
    </row>
    <row r="22" spans="1:4" x14ac:dyDescent="0.25">
      <c r="A22" s="224">
        <v>18</v>
      </c>
      <c r="B22" s="221" t="s">
        <v>431</v>
      </c>
      <c r="C22" s="222" t="s">
        <v>667</v>
      </c>
      <c r="D22" s="225">
        <v>14.04</v>
      </c>
    </row>
    <row r="23" spans="1:4" x14ac:dyDescent="0.25">
      <c r="A23" s="224">
        <v>19</v>
      </c>
      <c r="B23" s="221" t="s">
        <v>432</v>
      </c>
      <c r="C23" s="222" t="s">
        <v>641</v>
      </c>
      <c r="D23" s="225">
        <v>19.5</v>
      </c>
    </row>
    <row r="24" spans="1:4" x14ac:dyDescent="0.25">
      <c r="A24" s="224">
        <v>20</v>
      </c>
      <c r="B24" s="221" t="s">
        <v>671</v>
      </c>
      <c r="C24" s="222" t="s">
        <v>672</v>
      </c>
      <c r="D24" s="225">
        <v>2.48</v>
      </c>
    </row>
    <row r="25" spans="1:4" x14ac:dyDescent="0.25">
      <c r="A25" s="224">
        <v>21</v>
      </c>
      <c r="B25" s="221" t="s">
        <v>434</v>
      </c>
      <c r="C25" s="222" t="s">
        <v>673</v>
      </c>
      <c r="D25" s="225">
        <v>0.56999999999999984</v>
      </c>
    </row>
    <row r="26" spans="1:4" x14ac:dyDescent="0.25">
      <c r="A26" s="224">
        <v>22</v>
      </c>
      <c r="B26" s="221" t="s">
        <v>435</v>
      </c>
      <c r="C26" s="222" t="s">
        <v>674</v>
      </c>
      <c r="D26" s="225">
        <v>7.1369999999999996</v>
      </c>
    </row>
    <row r="27" spans="1:4" x14ac:dyDescent="0.25">
      <c r="A27" s="224">
        <v>23</v>
      </c>
      <c r="B27" s="221" t="s">
        <v>438</v>
      </c>
      <c r="C27" s="222" t="s">
        <v>675</v>
      </c>
      <c r="D27" s="225">
        <v>4.68</v>
      </c>
    </row>
    <row r="28" spans="1:4" x14ac:dyDescent="0.25">
      <c r="A28" s="224">
        <v>24</v>
      </c>
      <c r="B28" s="221" t="s">
        <v>439</v>
      </c>
      <c r="C28" s="222" t="s">
        <v>658</v>
      </c>
      <c r="D28" s="225">
        <v>1.47</v>
      </c>
    </row>
    <row r="29" spans="1:4" ht="36" x14ac:dyDescent="0.25">
      <c r="A29" s="224">
        <v>25</v>
      </c>
      <c r="B29" s="221" t="s">
        <v>444</v>
      </c>
      <c r="C29" s="222" t="s">
        <v>677</v>
      </c>
      <c r="D29" s="225">
        <v>6.55</v>
      </c>
    </row>
    <row r="30" spans="1:4" x14ac:dyDescent="0.25">
      <c r="A30" s="224">
        <v>26</v>
      </c>
      <c r="B30" s="221" t="s">
        <v>447</v>
      </c>
      <c r="C30" s="222" t="s">
        <v>658</v>
      </c>
      <c r="D30" s="225">
        <v>4.2</v>
      </c>
    </row>
    <row r="31" spans="1:4" x14ac:dyDescent="0.25">
      <c r="A31" s="224">
        <v>27</v>
      </c>
      <c r="B31" s="221" t="s">
        <v>448</v>
      </c>
      <c r="C31" s="222" t="s">
        <v>659</v>
      </c>
      <c r="D31" s="225">
        <v>4.2</v>
      </c>
    </row>
    <row r="32" spans="1:4" x14ac:dyDescent="0.25">
      <c r="A32" s="224">
        <v>28</v>
      </c>
      <c r="B32" s="221" t="s">
        <v>678</v>
      </c>
      <c r="C32" s="222" t="s">
        <v>679</v>
      </c>
      <c r="D32" s="225">
        <v>6.63</v>
      </c>
    </row>
    <row r="33" spans="1:4" ht="54" x14ac:dyDescent="0.25">
      <c r="A33" s="224">
        <v>29</v>
      </c>
      <c r="B33" s="221" t="s">
        <v>469</v>
      </c>
      <c r="C33" s="222" t="s">
        <v>684</v>
      </c>
      <c r="D33" s="225">
        <v>32.450000000000003</v>
      </c>
    </row>
    <row r="34" spans="1:4" x14ac:dyDescent="0.25">
      <c r="A34" s="224">
        <v>30</v>
      </c>
      <c r="B34" s="221" t="s">
        <v>361</v>
      </c>
      <c r="C34" s="222" t="s">
        <v>667</v>
      </c>
      <c r="D34" s="225">
        <v>6.044999999999999</v>
      </c>
    </row>
    <row r="35" spans="1:4" ht="72" x14ac:dyDescent="0.25">
      <c r="A35" s="224">
        <v>31</v>
      </c>
      <c r="B35" s="221" t="s">
        <v>362</v>
      </c>
      <c r="C35" s="222" t="s">
        <v>686</v>
      </c>
      <c r="D35" s="225">
        <v>13.766999999999998</v>
      </c>
    </row>
    <row r="36" spans="1:4" x14ac:dyDescent="0.25">
      <c r="A36" s="224">
        <v>32</v>
      </c>
      <c r="B36" s="221" t="s">
        <v>363</v>
      </c>
      <c r="C36" s="222" t="s">
        <v>687</v>
      </c>
      <c r="D36" s="225">
        <v>9.0869999999999997</v>
      </c>
    </row>
    <row r="37" spans="1:4" x14ac:dyDescent="0.25">
      <c r="A37" s="224">
        <v>33</v>
      </c>
      <c r="B37" s="221" t="s">
        <v>364</v>
      </c>
      <c r="C37" s="222" t="s">
        <v>667</v>
      </c>
      <c r="D37" s="225">
        <v>12.479999999999999</v>
      </c>
    </row>
    <row r="38" spans="1:4" x14ac:dyDescent="0.25">
      <c r="A38" s="224">
        <v>34</v>
      </c>
      <c r="B38" s="221" t="s">
        <v>365</v>
      </c>
      <c r="C38" s="222" t="s">
        <v>667</v>
      </c>
      <c r="D38" s="225">
        <v>6.24</v>
      </c>
    </row>
    <row r="39" spans="1:4" x14ac:dyDescent="0.25">
      <c r="A39" s="224">
        <v>35</v>
      </c>
      <c r="B39" s="221" t="s">
        <v>366</v>
      </c>
      <c r="C39" s="222" t="s">
        <v>667</v>
      </c>
      <c r="D39" s="225">
        <v>6.24</v>
      </c>
    </row>
    <row r="40" spans="1:4" x14ac:dyDescent="0.25">
      <c r="A40" s="224">
        <v>36</v>
      </c>
      <c r="B40" s="221" t="s">
        <v>367</v>
      </c>
      <c r="C40" s="222" t="s">
        <v>667</v>
      </c>
      <c r="D40" s="225">
        <v>11.427</v>
      </c>
    </row>
    <row r="41" spans="1:4" x14ac:dyDescent="0.25">
      <c r="A41" s="224">
        <v>37</v>
      </c>
      <c r="B41" s="221" t="s">
        <v>368</v>
      </c>
      <c r="C41" s="222" t="s">
        <v>667</v>
      </c>
      <c r="D41" s="225">
        <v>10.140000000000002</v>
      </c>
    </row>
    <row r="42" spans="1:4" x14ac:dyDescent="0.25">
      <c r="A42" s="224">
        <v>38</v>
      </c>
      <c r="B42" s="221" t="s">
        <v>688</v>
      </c>
      <c r="C42" s="222" t="s">
        <v>658</v>
      </c>
      <c r="D42" s="225">
        <v>4.2</v>
      </c>
    </row>
    <row r="43" spans="1:4" x14ac:dyDescent="0.25">
      <c r="A43" s="224">
        <v>39</v>
      </c>
      <c r="B43" s="221" t="s">
        <v>370</v>
      </c>
      <c r="C43" s="222" t="s">
        <v>659</v>
      </c>
      <c r="D43" s="225">
        <v>4.2</v>
      </c>
    </row>
    <row r="44" spans="1:4" x14ac:dyDescent="0.25">
      <c r="A44" s="205"/>
      <c r="B44" s="211"/>
      <c r="C44" s="212" t="s">
        <v>590</v>
      </c>
      <c r="D44" s="207">
        <f>SUM(D5:D43)</f>
        <v>374.32499999999999</v>
      </c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40"/>
  <sheetViews>
    <sheetView workbookViewId="0">
      <selection sqref="A1:J1"/>
    </sheetView>
  </sheetViews>
  <sheetFormatPr defaultRowHeight="18" x14ac:dyDescent="0.25"/>
  <cols>
    <col min="1" max="1" width="9" style="220" customWidth="1"/>
    <col min="2" max="2" width="14.44140625" style="220" customWidth="1"/>
    <col min="3" max="3" width="14.77734375" style="220" customWidth="1"/>
    <col min="4" max="4" width="4.33203125" style="220" customWidth="1"/>
    <col min="5" max="6" width="8.88671875" style="220"/>
    <col min="7" max="7" width="12.77734375" style="220" customWidth="1"/>
    <col min="8" max="8" width="4" style="220" customWidth="1"/>
    <col min="9" max="9" width="8.88671875" style="220"/>
    <col min="10" max="10" width="12.21875" style="220" bestFit="1" customWidth="1"/>
    <col min="11" max="11" width="11.6640625" style="220" customWidth="1"/>
    <col min="12" max="16384" width="8.88671875" style="220"/>
  </cols>
  <sheetData>
    <row r="1" spans="1:11" ht="18" customHeight="1" x14ac:dyDescent="0.25">
      <c r="A1" s="607" t="s">
        <v>586</v>
      </c>
      <c r="B1" s="607"/>
      <c r="C1" s="607"/>
      <c r="D1" s="607"/>
      <c r="E1" s="607"/>
      <c r="F1" s="607"/>
      <c r="G1" s="607"/>
      <c r="H1" s="607"/>
      <c r="I1" s="607"/>
      <c r="J1" s="607"/>
      <c r="K1" s="254"/>
    </row>
    <row r="2" spans="1:11" ht="18" customHeight="1" x14ac:dyDescent="0.25">
      <c r="A2" s="232" t="s">
        <v>580</v>
      </c>
      <c r="B2" s="607" t="s">
        <v>789</v>
      </c>
      <c r="C2" s="607"/>
      <c r="D2" s="607"/>
      <c r="E2" s="607"/>
      <c r="F2" s="607"/>
      <c r="G2" s="607"/>
      <c r="H2" s="607"/>
      <c r="I2" s="255" t="s">
        <v>583</v>
      </c>
      <c r="J2" s="255" t="s">
        <v>584</v>
      </c>
      <c r="K2" s="252"/>
    </row>
    <row r="3" spans="1:11" ht="36" customHeight="1" x14ac:dyDescent="0.25">
      <c r="A3" s="232">
        <v>1</v>
      </c>
      <c r="B3" s="609" t="s">
        <v>786</v>
      </c>
      <c r="C3" s="609"/>
      <c r="D3" s="609"/>
      <c r="E3" s="609"/>
      <c r="F3" s="609"/>
      <c r="G3" s="609"/>
      <c r="H3" s="609"/>
      <c r="I3" s="253" t="s">
        <v>571</v>
      </c>
      <c r="J3" s="256">
        <f>C35+G40+K31</f>
        <v>9286.130000000001</v>
      </c>
      <c r="K3" s="252"/>
    </row>
    <row r="4" spans="1:11" ht="37.200000000000003" customHeight="1" x14ac:dyDescent="0.25">
      <c r="A4" s="232">
        <v>2</v>
      </c>
      <c r="B4" s="752" t="s">
        <v>787</v>
      </c>
      <c r="C4" s="752"/>
      <c r="D4" s="752"/>
      <c r="E4" s="752"/>
      <c r="F4" s="752"/>
      <c r="G4" s="752"/>
      <c r="H4" s="752"/>
      <c r="I4" s="253" t="s">
        <v>788</v>
      </c>
      <c r="J4" s="253">
        <v>30.25</v>
      </c>
      <c r="K4" s="252"/>
    </row>
    <row r="5" spans="1:11" ht="8.4" customHeight="1" x14ac:dyDescent="0.25">
      <c r="A5" s="610"/>
      <c r="B5" s="610"/>
      <c r="C5" s="610"/>
      <c r="D5" s="610"/>
      <c r="E5" s="610"/>
      <c r="F5" s="610"/>
      <c r="G5" s="610"/>
      <c r="H5" s="610"/>
      <c r="I5" s="610"/>
      <c r="J5" s="610"/>
      <c r="K5" s="610"/>
    </row>
    <row r="6" spans="1:11" x14ac:dyDescent="0.25">
      <c r="A6" s="226" t="s">
        <v>580</v>
      </c>
      <c r="B6" s="227" t="s">
        <v>693</v>
      </c>
      <c r="C6" s="228" t="s">
        <v>588</v>
      </c>
      <c r="D6" s="604"/>
      <c r="E6" s="249" t="s">
        <v>580</v>
      </c>
      <c r="F6" s="250" t="s">
        <v>693</v>
      </c>
      <c r="G6" s="251" t="s">
        <v>588</v>
      </c>
      <c r="H6" s="605"/>
      <c r="I6" s="240" t="s">
        <v>580</v>
      </c>
      <c r="J6" s="241" t="s">
        <v>693</v>
      </c>
      <c r="K6" s="242" t="s">
        <v>588</v>
      </c>
    </row>
    <row r="7" spans="1:11" x14ac:dyDescent="0.25">
      <c r="A7" s="224">
        <v>1</v>
      </c>
      <c r="B7" s="221" t="s">
        <v>484</v>
      </c>
      <c r="C7" s="225">
        <v>64.7</v>
      </c>
      <c r="D7" s="605"/>
      <c r="E7" s="243">
        <v>29</v>
      </c>
      <c r="F7" s="234" t="s">
        <v>729</v>
      </c>
      <c r="G7" s="244">
        <v>48</v>
      </c>
      <c r="H7" s="605"/>
      <c r="I7" s="245">
        <v>62</v>
      </c>
      <c r="J7" s="237" t="s">
        <v>762</v>
      </c>
      <c r="K7" s="238">
        <v>74.5</v>
      </c>
    </row>
    <row r="8" spans="1:11" x14ac:dyDescent="0.25">
      <c r="A8" s="224">
        <v>2</v>
      </c>
      <c r="B8" s="221" t="s">
        <v>510</v>
      </c>
      <c r="C8" s="225">
        <v>106.2</v>
      </c>
      <c r="D8" s="605"/>
      <c r="E8" s="245">
        <v>30</v>
      </c>
      <c r="F8" s="235" t="s">
        <v>730</v>
      </c>
      <c r="G8" s="246">
        <v>110.2</v>
      </c>
      <c r="H8" s="605"/>
      <c r="I8" s="243">
        <v>63</v>
      </c>
      <c r="J8" s="236" t="s">
        <v>763</v>
      </c>
      <c r="K8" s="239">
        <v>74.5</v>
      </c>
    </row>
    <row r="9" spans="1:11" x14ac:dyDescent="0.25">
      <c r="A9" s="224">
        <v>3</v>
      </c>
      <c r="B9" s="221" t="s">
        <v>703</v>
      </c>
      <c r="C9" s="225">
        <v>150</v>
      </c>
      <c r="D9" s="605"/>
      <c r="E9" s="243">
        <v>31</v>
      </c>
      <c r="F9" s="234" t="s">
        <v>731</v>
      </c>
      <c r="G9" s="244">
        <v>76</v>
      </c>
      <c r="H9" s="605"/>
      <c r="I9" s="245">
        <v>64</v>
      </c>
      <c r="J9" s="237" t="s">
        <v>764</v>
      </c>
      <c r="K9" s="238">
        <v>104.2</v>
      </c>
    </row>
    <row r="10" spans="1:11" x14ac:dyDescent="0.25">
      <c r="A10" s="224">
        <v>4</v>
      </c>
      <c r="B10" s="221" t="s">
        <v>704</v>
      </c>
      <c r="C10" s="225">
        <v>439.4</v>
      </c>
      <c r="D10" s="605"/>
      <c r="E10" s="245">
        <v>32</v>
      </c>
      <c r="F10" s="235" t="s">
        <v>732</v>
      </c>
      <c r="G10" s="246">
        <v>108.3</v>
      </c>
      <c r="H10" s="605"/>
      <c r="I10" s="243">
        <v>65</v>
      </c>
      <c r="J10" s="236" t="s">
        <v>765</v>
      </c>
      <c r="K10" s="239">
        <v>121.4</v>
      </c>
    </row>
    <row r="11" spans="1:11" x14ac:dyDescent="0.25">
      <c r="A11" s="224">
        <v>5</v>
      </c>
      <c r="B11" s="221" t="s">
        <v>705</v>
      </c>
      <c r="C11" s="225">
        <v>59.2</v>
      </c>
      <c r="D11" s="605"/>
      <c r="E11" s="243">
        <v>33</v>
      </c>
      <c r="F11" s="234" t="s">
        <v>733</v>
      </c>
      <c r="G11" s="244">
        <v>43.9</v>
      </c>
      <c r="H11" s="605"/>
      <c r="I11" s="245">
        <v>66</v>
      </c>
      <c r="J11" s="237" t="s">
        <v>766</v>
      </c>
      <c r="K11" s="238">
        <v>77.400000000000006</v>
      </c>
    </row>
    <row r="12" spans="1:11" x14ac:dyDescent="0.25">
      <c r="A12" s="224">
        <v>6</v>
      </c>
      <c r="B12" s="221" t="s">
        <v>706</v>
      </c>
      <c r="C12" s="225">
        <v>172.9</v>
      </c>
      <c r="D12" s="605"/>
      <c r="E12" s="245">
        <v>34</v>
      </c>
      <c r="F12" s="235" t="s">
        <v>734</v>
      </c>
      <c r="G12" s="246">
        <v>127.2</v>
      </c>
      <c r="H12" s="605"/>
      <c r="I12" s="243">
        <v>67</v>
      </c>
      <c r="J12" s="236" t="s">
        <v>767</v>
      </c>
      <c r="K12" s="239">
        <v>105.1</v>
      </c>
    </row>
    <row r="13" spans="1:11" x14ac:dyDescent="0.25">
      <c r="A13" s="224">
        <v>7</v>
      </c>
      <c r="B13" s="221" t="s">
        <v>707</v>
      </c>
      <c r="C13" s="225">
        <v>114.2</v>
      </c>
      <c r="D13" s="605"/>
      <c r="E13" s="243">
        <v>35</v>
      </c>
      <c r="F13" s="234" t="s">
        <v>735</v>
      </c>
      <c r="G13" s="244">
        <v>92.5</v>
      </c>
      <c r="H13" s="605"/>
      <c r="I13" s="245">
        <v>68</v>
      </c>
      <c r="J13" s="237" t="s">
        <v>768</v>
      </c>
      <c r="K13" s="238">
        <v>46.7</v>
      </c>
    </row>
    <row r="14" spans="1:11" x14ac:dyDescent="0.25">
      <c r="A14" s="224">
        <v>8</v>
      </c>
      <c r="B14" s="221" t="s">
        <v>708</v>
      </c>
      <c r="C14" s="225">
        <v>105.9</v>
      </c>
      <c r="D14" s="605"/>
      <c r="E14" s="245">
        <v>36</v>
      </c>
      <c r="F14" s="237" t="s">
        <v>736</v>
      </c>
      <c r="G14" s="238">
        <v>287.7</v>
      </c>
      <c r="H14" s="605"/>
      <c r="I14" s="243">
        <v>69</v>
      </c>
      <c r="J14" s="236" t="s">
        <v>769</v>
      </c>
      <c r="K14" s="239">
        <v>153.1</v>
      </c>
    </row>
    <row r="15" spans="1:11" x14ac:dyDescent="0.25">
      <c r="A15" s="224">
        <v>9</v>
      </c>
      <c r="B15" s="221" t="s">
        <v>709</v>
      </c>
      <c r="C15" s="225">
        <v>76.7</v>
      </c>
      <c r="D15" s="605"/>
      <c r="E15" s="243">
        <v>37</v>
      </c>
      <c r="F15" s="236" t="s">
        <v>737</v>
      </c>
      <c r="G15" s="239">
        <v>80.3</v>
      </c>
      <c r="H15" s="605"/>
      <c r="I15" s="245">
        <v>70</v>
      </c>
      <c r="J15" s="237" t="s">
        <v>770</v>
      </c>
      <c r="K15" s="238">
        <v>107.6</v>
      </c>
    </row>
    <row r="16" spans="1:11" x14ac:dyDescent="0.25">
      <c r="A16" s="224">
        <v>10</v>
      </c>
      <c r="B16" s="221" t="s">
        <v>710</v>
      </c>
      <c r="C16" s="225">
        <v>260.7</v>
      </c>
      <c r="D16" s="605"/>
      <c r="E16" s="245">
        <v>38</v>
      </c>
      <c r="F16" s="237" t="s">
        <v>738</v>
      </c>
      <c r="G16" s="238">
        <v>266.39999999999998</v>
      </c>
      <c r="H16" s="605"/>
      <c r="I16" s="245">
        <v>71</v>
      </c>
      <c r="J16" s="237" t="s">
        <v>771</v>
      </c>
      <c r="K16" s="238">
        <v>81.599999999999994</v>
      </c>
    </row>
    <row r="17" spans="1:11" x14ac:dyDescent="0.25">
      <c r="A17" s="224">
        <v>11</v>
      </c>
      <c r="B17" s="221" t="s">
        <v>711</v>
      </c>
      <c r="C17" s="225">
        <v>107.1</v>
      </c>
      <c r="D17" s="605"/>
      <c r="E17" s="243">
        <v>39</v>
      </c>
      <c r="F17" s="236" t="s">
        <v>739</v>
      </c>
      <c r="G17" s="239">
        <v>106.3</v>
      </c>
      <c r="H17" s="605"/>
      <c r="I17" s="243">
        <v>72</v>
      </c>
      <c r="J17" s="236" t="s">
        <v>772</v>
      </c>
      <c r="K17" s="239">
        <v>461.4</v>
      </c>
    </row>
    <row r="18" spans="1:11" x14ac:dyDescent="0.25">
      <c r="A18" s="224">
        <v>12</v>
      </c>
      <c r="B18" s="221" t="s">
        <v>712</v>
      </c>
      <c r="C18" s="225">
        <v>169.5</v>
      </c>
      <c r="D18" s="605"/>
      <c r="E18" s="245">
        <v>40</v>
      </c>
      <c r="F18" s="237" t="s">
        <v>740</v>
      </c>
      <c r="G18" s="238">
        <v>104.5</v>
      </c>
      <c r="H18" s="605"/>
      <c r="I18" s="245">
        <v>73</v>
      </c>
      <c r="J18" s="237" t="s">
        <v>773</v>
      </c>
      <c r="K18" s="238">
        <v>98.6</v>
      </c>
    </row>
    <row r="19" spans="1:11" x14ac:dyDescent="0.25">
      <c r="A19" s="224">
        <v>13</v>
      </c>
      <c r="B19" s="221" t="s">
        <v>713</v>
      </c>
      <c r="C19" s="225">
        <v>62.9</v>
      </c>
      <c r="D19" s="605"/>
      <c r="E19" s="243">
        <v>41</v>
      </c>
      <c r="F19" s="236" t="s">
        <v>741</v>
      </c>
      <c r="G19" s="239">
        <v>102.3</v>
      </c>
      <c r="H19" s="605"/>
      <c r="I19" s="243">
        <v>74</v>
      </c>
      <c r="J19" s="236" t="s">
        <v>774</v>
      </c>
      <c r="K19" s="239">
        <v>80.099999999999994</v>
      </c>
    </row>
    <row r="20" spans="1:11" x14ac:dyDescent="0.25">
      <c r="A20" s="224">
        <v>14</v>
      </c>
      <c r="B20" s="221" t="s">
        <v>714</v>
      </c>
      <c r="C20" s="225">
        <v>55.9</v>
      </c>
      <c r="D20" s="605"/>
      <c r="E20" s="245">
        <v>42</v>
      </c>
      <c r="F20" s="237" t="s">
        <v>742</v>
      </c>
      <c r="G20" s="238">
        <v>105.3</v>
      </c>
      <c r="H20" s="605"/>
      <c r="I20" s="245">
        <v>75</v>
      </c>
      <c r="J20" s="237" t="s">
        <v>775</v>
      </c>
      <c r="K20" s="238">
        <v>82.21</v>
      </c>
    </row>
    <row r="21" spans="1:11" x14ac:dyDescent="0.25">
      <c r="A21" s="224">
        <v>15</v>
      </c>
      <c r="B21" s="221" t="s">
        <v>715</v>
      </c>
      <c r="C21" s="225">
        <v>55.1</v>
      </c>
      <c r="D21" s="605"/>
      <c r="E21" s="243">
        <v>43</v>
      </c>
      <c r="F21" s="236" t="s">
        <v>743</v>
      </c>
      <c r="G21" s="239">
        <v>173.9</v>
      </c>
      <c r="H21" s="605"/>
      <c r="I21" s="243">
        <v>76</v>
      </c>
      <c r="J21" s="236" t="s">
        <v>776</v>
      </c>
      <c r="K21" s="239">
        <v>170.64</v>
      </c>
    </row>
    <row r="22" spans="1:11" x14ac:dyDescent="0.25">
      <c r="A22" s="224">
        <v>16</v>
      </c>
      <c r="B22" s="221" t="s">
        <v>716</v>
      </c>
      <c r="C22" s="225">
        <v>62.9</v>
      </c>
      <c r="D22" s="605"/>
      <c r="E22" s="245">
        <v>44</v>
      </c>
      <c r="F22" s="237" t="s">
        <v>744</v>
      </c>
      <c r="G22" s="238">
        <v>78.7</v>
      </c>
      <c r="H22" s="605"/>
      <c r="I22" s="245">
        <v>77</v>
      </c>
      <c r="J22" s="237" t="s">
        <v>777</v>
      </c>
      <c r="K22" s="238">
        <v>90.2</v>
      </c>
    </row>
    <row r="23" spans="1:11" x14ac:dyDescent="0.25">
      <c r="A23" s="224">
        <v>17</v>
      </c>
      <c r="B23" s="221" t="s">
        <v>717</v>
      </c>
      <c r="C23" s="225">
        <v>78.17</v>
      </c>
      <c r="D23" s="605"/>
      <c r="E23" s="243">
        <v>45</v>
      </c>
      <c r="F23" s="236" t="s">
        <v>745</v>
      </c>
      <c r="G23" s="239">
        <v>73.8</v>
      </c>
      <c r="H23" s="605"/>
      <c r="I23" s="243">
        <v>78</v>
      </c>
      <c r="J23" s="236" t="s">
        <v>778</v>
      </c>
      <c r="K23" s="239">
        <v>88.64</v>
      </c>
    </row>
    <row r="24" spans="1:11" x14ac:dyDescent="0.25">
      <c r="A24" s="224">
        <v>18</v>
      </c>
      <c r="B24" s="221" t="s">
        <v>718</v>
      </c>
      <c r="C24" s="225">
        <v>82.45</v>
      </c>
      <c r="D24" s="605"/>
      <c r="E24" s="245">
        <v>46</v>
      </c>
      <c r="F24" s="237" t="s">
        <v>746</v>
      </c>
      <c r="G24" s="238">
        <v>103.6</v>
      </c>
      <c r="H24" s="605"/>
      <c r="I24" s="245">
        <v>79</v>
      </c>
      <c r="J24" s="237" t="s">
        <v>779</v>
      </c>
      <c r="K24" s="238">
        <v>93.37</v>
      </c>
    </row>
    <row r="25" spans="1:11" x14ac:dyDescent="0.25">
      <c r="A25" s="224">
        <v>19</v>
      </c>
      <c r="B25" s="221" t="s">
        <v>719</v>
      </c>
      <c r="C25" s="225">
        <v>88.64</v>
      </c>
      <c r="D25" s="605"/>
      <c r="E25" s="243">
        <v>47</v>
      </c>
      <c r="F25" s="236" t="s">
        <v>747</v>
      </c>
      <c r="G25" s="239">
        <v>94.6</v>
      </c>
      <c r="H25" s="605"/>
      <c r="I25" s="243">
        <v>80</v>
      </c>
      <c r="J25" s="236" t="s">
        <v>780</v>
      </c>
      <c r="K25" s="239">
        <v>90.9</v>
      </c>
    </row>
    <row r="26" spans="1:11" x14ac:dyDescent="0.25">
      <c r="A26" s="224">
        <v>20</v>
      </c>
      <c r="B26" s="221" t="s">
        <v>720</v>
      </c>
      <c r="C26" s="225">
        <v>93.37</v>
      </c>
      <c r="D26" s="605"/>
      <c r="E26" s="245">
        <v>48</v>
      </c>
      <c r="F26" s="237" t="s">
        <v>748</v>
      </c>
      <c r="G26" s="238">
        <v>15</v>
      </c>
      <c r="H26" s="605"/>
      <c r="I26" s="245">
        <v>81</v>
      </c>
      <c r="J26" s="237" t="s">
        <v>781</v>
      </c>
      <c r="K26" s="238">
        <v>87.94</v>
      </c>
    </row>
    <row r="27" spans="1:11" x14ac:dyDescent="0.25">
      <c r="A27" s="224">
        <v>21</v>
      </c>
      <c r="B27" s="221" t="s">
        <v>721</v>
      </c>
      <c r="C27" s="225">
        <v>80</v>
      </c>
      <c r="D27" s="605"/>
      <c r="E27" s="243">
        <v>49</v>
      </c>
      <c r="F27" s="236" t="s">
        <v>749</v>
      </c>
      <c r="G27" s="239">
        <v>10</v>
      </c>
      <c r="H27" s="605"/>
      <c r="I27" s="243">
        <v>82</v>
      </c>
      <c r="J27" s="236" t="s">
        <v>782</v>
      </c>
      <c r="K27" s="239">
        <v>90.71</v>
      </c>
    </row>
    <row r="28" spans="1:11" x14ac:dyDescent="0.25">
      <c r="A28" s="224">
        <v>22</v>
      </c>
      <c r="B28" s="221" t="s">
        <v>722</v>
      </c>
      <c r="C28" s="225">
        <v>109.81</v>
      </c>
      <c r="D28" s="605"/>
      <c r="E28" s="245">
        <v>50</v>
      </c>
      <c r="F28" s="237" t="s">
        <v>750</v>
      </c>
      <c r="G28" s="238">
        <v>10</v>
      </c>
      <c r="H28" s="605"/>
      <c r="I28" s="245">
        <v>83</v>
      </c>
      <c r="J28" s="237" t="s">
        <v>783</v>
      </c>
      <c r="K28" s="238">
        <v>122.14</v>
      </c>
    </row>
    <row r="29" spans="1:11" x14ac:dyDescent="0.25">
      <c r="A29" s="224">
        <v>23</v>
      </c>
      <c r="B29" s="221" t="s">
        <v>723</v>
      </c>
      <c r="C29" s="225">
        <v>59.82</v>
      </c>
      <c r="D29" s="605"/>
      <c r="E29" s="243">
        <v>51</v>
      </c>
      <c r="F29" s="236" t="s">
        <v>751</v>
      </c>
      <c r="G29" s="239">
        <v>170</v>
      </c>
      <c r="H29" s="605"/>
      <c r="I29" s="243">
        <v>84</v>
      </c>
      <c r="J29" s="236" t="s">
        <v>784</v>
      </c>
      <c r="K29" s="239">
        <v>131.07</v>
      </c>
    </row>
    <row r="30" spans="1:11" x14ac:dyDescent="0.25">
      <c r="A30" s="224">
        <v>24</v>
      </c>
      <c r="B30" s="221" t="s">
        <v>724</v>
      </c>
      <c r="C30" s="225">
        <v>80</v>
      </c>
      <c r="D30" s="605"/>
      <c r="E30" s="245">
        <v>52</v>
      </c>
      <c r="F30" s="237" t="s">
        <v>752</v>
      </c>
      <c r="G30" s="238">
        <v>90.38</v>
      </c>
      <c r="H30" s="605"/>
      <c r="I30" s="245">
        <v>85</v>
      </c>
      <c r="J30" s="247" t="s">
        <v>785</v>
      </c>
      <c r="K30" s="248">
        <v>80.099999999999994</v>
      </c>
    </row>
    <row r="31" spans="1:11" x14ac:dyDescent="0.25">
      <c r="A31" s="224">
        <v>25</v>
      </c>
      <c r="B31" s="221" t="s">
        <v>725</v>
      </c>
      <c r="C31" s="225">
        <v>132.51</v>
      </c>
      <c r="D31" s="605"/>
      <c r="E31" s="243">
        <v>53</v>
      </c>
      <c r="F31" s="236" t="s">
        <v>753</v>
      </c>
      <c r="G31" s="239">
        <v>93.81</v>
      </c>
      <c r="H31" s="605"/>
      <c r="I31" s="205"/>
      <c r="J31" s="212" t="s">
        <v>590</v>
      </c>
      <c r="K31" s="207">
        <f>SUM(K7:K30)</f>
        <v>2714.12</v>
      </c>
    </row>
    <row r="32" spans="1:11" x14ac:dyDescent="0.25">
      <c r="A32" s="224">
        <v>26</v>
      </c>
      <c r="B32" s="221" t="s">
        <v>726</v>
      </c>
      <c r="C32" s="225">
        <v>90.71</v>
      </c>
      <c r="D32" s="605"/>
      <c r="E32" s="245">
        <v>54</v>
      </c>
      <c r="F32" s="237" t="s">
        <v>754</v>
      </c>
      <c r="G32" s="238">
        <v>93.37</v>
      </c>
      <c r="H32" s="605"/>
      <c r="I32" s="604"/>
      <c r="J32" s="604"/>
      <c r="K32" s="604"/>
    </row>
    <row r="33" spans="1:11" x14ac:dyDescent="0.25">
      <c r="A33" s="224">
        <v>27</v>
      </c>
      <c r="B33" s="221" t="s">
        <v>727</v>
      </c>
      <c r="C33" s="225">
        <v>82.94</v>
      </c>
      <c r="D33" s="605"/>
      <c r="E33" s="243">
        <v>55</v>
      </c>
      <c r="F33" s="236" t="s">
        <v>755</v>
      </c>
      <c r="G33" s="239">
        <f>82+107.45</f>
        <v>189.45</v>
      </c>
      <c r="H33" s="605"/>
      <c r="I33" s="605"/>
      <c r="J33" s="605"/>
      <c r="K33" s="605"/>
    </row>
    <row r="34" spans="1:11" x14ac:dyDescent="0.25">
      <c r="A34" s="224">
        <v>28</v>
      </c>
      <c r="B34" s="221" t="s">
        <v>728</v>
      </c>
      <c r="C34" s="225">
        <v>71.62</v>
      </c>
      <c r="D34" s="605"/>
      <c r="E34" s="245">
        <v>56</v>
      </c>
      <c r="F34" s="237" t="s">
        <v>756</v>
      </c>
      <c r="G34" s="238">
        <v>130.38</v>
      </c>
      <c r="H34" s="605"/>
      <c r="I34" s="605"/>
      <c r="J34" s="605"/>
      <c r="K34" s="605"/>
    </row>
    <row r="35" spans="1:11" x14ac:dyDescent="0.25">
      <c r="A35" s="205"/>
      <c r="B35" s="212" t="s">
        <v>590</v>
      </c>
      <c r="C35" s="207">
        <f>SUM(C7:C34)</f>
        <v>3113.3399999999997</v>
      </c>
      <c r="D35" s="605"/>
      <c r="E35" s="243">
        <v>57</v>
      </c>
      <c r="F35" s="236" t="s">
        <v>757</v>
      </c>
      <c r="G35" s="239">
        <v>90.9</v>
      </c>
      <c r="H35" s="605"/>
      <c r="I35" s="605"/>
      <c r="J35" s="605"/>
      <c r="K35" s="605"/>
    </row>
    <row r="36" spans="1:11" x14ac:dyDescent="0.25">
      <c r="A36" s="604"/>
      <c r="B36" s="604"/>
      <c r="C36" s="604"/>
      <c r="D36" s="605"/>
      <c r="E36" s="245">
        <v>58</v>
      </c>
      <c r="F36" s="237" t="s">
        <v>758</v>
      </c>
      <c r="G36" s="238">
        <v>86.81</v>
      </c>
      <c r="H36" s="605"/>
      <c r="I36" s="605"/>
      <c r="J36" s="605"/>
      <c r="K36" s="605"/>
    </row>
    <row r="37" spans="1:11" x14ac:dyDescent="0.25">
      <c r="A37" s="605"/>
      <c r="B37" s="605"/>
      <c r="C37" s="605"/>
      <c r="D37" s="605"/>
      <c r="E37" s="243">
        <v>59</v>
      </c>
      <c r="F37" s="236" t="s">
        <v>759</v>
      </c>
      <c r="G37" s="239">
        <v>91.84</v>
      </c>
      <c r="H37" s="605"/>
      <c r="I37" s="605"/>
      <c r="J37" s="605"/>
      <c r="K37" s="605"/>
    </row>
    <row r="38" spans="1:11" x14ac:dyDescent="0.25">
      <c r="A38" s="605"/>
      <c r="B38" s="605"/>
      <c r="C38" s="605"/>
      <c r="D38" s="605"/>
      <c r="E38" s="245">
        <v>60</v>
      </c>
      <c r="F38" s="237" t="s">
        <v>760</v>
      </c>
      <c r="G38" s="238">
        <v>133.22999999999999</v>
      </c>
      <c r="H38" s="605"/>
      <c r="I38" s="605"/>
      <c r="J38" s="605"/>
      <c r="K38" s="605"/>
    </row>
    <row r="39" spans="1:11" x14ac:dyDescent="0.25">
      <c r="A39" s="605"/>
      <c r="B39" s="605"/>
      <c r="C39" s="605"/>
      <c r="D39" s="605"/>
      <c r="E39" s="243">
        <v>61</v>
      </c>
      <c r="F39" s="236" t="s">
        <v>761</v>
      </c>
      <c r="G39" s="239">
        <v>70</v>
      </c>
      <c r="H39" s="605"/>
      <c r="I39" s="605"/>
      <c r="J39" s="605"/>
      <c r="K39" s="605"/>
    </row>
    <row r="40" spans="1:11" x14ac:dyDescent="0.25">
      <c r="A40" s="605"/>
      <c r="B40" s="605"/>
      <c r="C40" s="605"/>
      <c r="D40" s="605"/>
      <c r="E40" s="205"/>
      <c r="F40" s="212" t="s">
        <v>590</v>
      </c>
      <c r="G40" s="207">
        <f>SUM(G7:G39)</f>
        <v>3458.67</v>
      </c>
      <c r="H40" s="605"/>
      <c r="I40" s="605"/>
      <c r="J40" s="605"/>
      <c r="K40" s="605"/>
    </row>
  </sheetData>
  <mergeCells count="9">
    <mergeCell ref="B2:H2"/>
    <mergeCell ref="A1:J1"/>
    <mergeCell ref="I32:K40"/>
    <mergeCell ref="H6:H40"/>
    <mergeCell ref="D6:D40"/>
    <mergeCell ref="A36:C40"/>
    <mergeCell ref="A5:K5"/>
    <mergeCell ref="B3:H3"/>
    <mergeCell ref="B4:H4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"/>
  <sheetViews>
    <sheetView workbookViewId="0">
      <selection sqref="A1:E1"/>
    </sheetView>
  </sheetViews>
  <sheetFormatPr defaultRowHeight="18" x14ac:dyDescent="0.25"/>
  <cols>
    <col min="1" max="1" width="9" style="220" customWidth="1"/>
    <col min="2" max="2" width="33.77734375" style="220" customWidth="1"/>
    <col min="3" max="3" width="52.6640625" style="220" bestFit="1" customWidth="1"/>
    <col min="4" max="4" width="8.88671875" style="220"/>
    <col min="5" max="5" width="12.218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06" t="s">
        <v>580</v>
      </c>
      <c r="B2" s="406" t="s">
        <v>789</v>
      </c>
      <c r="C2" s="406" t="s">
        <v>582</v>
      </c>
      <c r="D2" s="253" t="s">
        <v>583</v>
      </c>
      <c r="E2" s="253" t="s">
        <v>584</v>
      </c>
    </row>
    <row r="3" spans="1:5" ht="54" customHeight="1" x14ac:dyDescent="0.25">
      <c r="A3" s="406">
        <v>1</v>
      </c>
      <c r="B3" s="407" t="s">
        <v>791</v>
      </c>
      <c r="C3" s="407" t="s">
        <v>962</v>
      </c>
      <c r="D3" s="253" t="s">
        <v>571</v>
      </c>
      <c r="E3" s="256">
        <v>11214.3</v>
      </c>
    </row>
    <row r="4" spans="1:5" ht="54" x14ac:dyDescent="0.25">
      <c r="A4" s="406">
        <v>2</v>
      </c>
      <c r="B4" s="407" t="s">
        <v>791</v>
      </c>
      <c r="C4" s="407" t="s">
        <v>961</v>
      </c>
      <c r="D4" s="253" t="s">
        <v>571</v>
      </c>
      <c r="E4" s="256">
        <v>25.7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"/>
  <sheetViews>
    <sheetView workbookViewId="0">
      <selection sqref="A1:E1"/>
    </sheetView>
  </sheetViews>
  <sheetFormatPr defaultRowHeight="18" x14ac:dyDescent="0.25"/>
  <cols>
    <col min="1" max="1" width="9" style="220" customWidth="1"/>
    <col min="2" max="2" width="33.77734375" style="220" customWidth="1"/>
    <col min="3" max="3" width="52.6640625" style="220" bestFit="1" customWidth="1"/>
    <col min="4" max="4" width="8.88671875" style="220"/>
    <col min="5" max="5" width="12.21875" style="220" bestFit="1" customWidth="1"/>
    <col min="6" max="16384" width="8.88671875" style="220"/>
  </cols>
  <sheetData>
    <row r="1" spans="1:5" ht="18" customHeight="1" x14ac:dyDescent="0.25">
      <c r="A1" s="607" t="s">
        <v>586</v>
      </c>
      <c r="B1" s="607"/>
      <c r="C1" s="607"/>
      <c r="D1" s="607"/>
      <c r="E1" s="607"/>
    </row>
    <row r="2" spans="1:5" s="408" customFormat="1" ht="18" customHeight="1" x14ac:dyDescent="0.25">
      <c r="A2" s="406" t="s">
        <v>580</v>
      </c>
      <c r="B2" s="406" t="s">
        <v>789</v>
      </c>
      <c r="C2" s="406" t="s">
        <v>582</v>
      </c>
      <c r="D2" s="253" t="s">
        <v>583</v>
      </c>
      <c r="E2" s="253" t="s">
        <v>584</v>
      </c>
    </row>
    <row r="3" spans="1:5" ht="54" customHeight="1" x14ac:dyDescent="0.25">
      <c r="A3" s="406">
        <v>1</v>
      </c>
      <c r="B3" s="407" t="s">
        <v>791</v>
      </c>
      <c r="C3" s="407" t="s">
        <v>959</v>
      </c>
      <c r="D3" s="253" t="s">
        <v>571</v>
      </c>
      <c r="E3" s="256">
        <v>4827.2</v>
      </c>
    </row>
    <row r="4" spans="1:5" ht="54" x14ac:dyDescent="0.25">
      <c r="A4" s="406">
        <v>2</v>
      </c>
      <c r="B4" s="407" t="s">
        <v>791</v>
      </c>
      <c r="C4" s="407" t="s">
        <v>960</v>
      </c>
      <c r="D4" s="253" t="s">
        <v>571</v>
      </c>
      <c r="E4" s="256">
        <v>25.7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17"/>
  <sheetViews>
    <sheetView workbookViewId="0">
      <selection sqref="A1:J1"/>
    </sheetView>
  </sheetViews>
  <sheetFormatPr defaultRowHeight="18" x14ac:dyDescent="0.25"/>
  <cols>
    <col min="1" max="1" width="9" style="220" customWidth="1"/>
    <col min="2" max="2" width="10.77734375" style="220" customWidth="1"/>
    <col min="3" max="3" width="14.77734375" style="220" customWidth="1"/>
    <col min="4" max="4" width="4.33203125" style="220" customWidth="1"/>
    <col min="5" max="6" width="8.88671875" style="220"/>
    <col min="7" max="7" width="12.77734375" style="220" customWidth="1"/>
    <col min="8" max="8" width="4" style="220" customWidth="1"/>
    <col min="9" max="9" width="8.88671875" style="220"/>
    <col min="10" max="10" width="12.21875" style="220" bestFit="1" customWidth="1"/>
    <col min="11" max="11" width="11.6640625" style="220" customWidth="1"/>
    <col min="12" max="16384" width="8.88671875" style="220"/>
  </cols>
  <sheetData>
    <row r="1" spans="1:11" ht="18" customHeight="1" x14ac:dyDescent="0.25">
      <c r="A1" s="607" t="s">
        <v>586</v>
      </c>
      <c r="B1" s="607"/>
      <c r="C1" s="607"/>
      <c r="D1" s="607"/>
      <c r="E1" s="607"/>
      <c r="F1" s="607"/>
      <c r="G1" s="607"/>
      <c r="H1" s="607"/>
      <c r="I1" s="607"/>
      <c r="J1" s="607"/>
      <c r="K1" s="608"/>
    </row>
    <row r="2" spans="1:11" ht="18" customHeight="1" x14ac:dyDescent="0.25">
      <c r="A2" s="329" t="s">
        <v>580</v>
      </c>
      <c r="B2" s="607" t="s">
        <v>789</v>
      </c>
      <c r="C2" s="607"/>
      <c r="D2" s="607"/>
      <c r="E2" s="607"/>
      <c r="F2" s="607"/>
      <c r="G2" s="607"/>
      <c r="H2" s="607"/>
      <c r="I2" s="255" t="s">
        <v>583</v>
      </c>
      <c r="J2" s="255" t="s">
        <v>584</v>
      </c>
      <c r="K2" s="608"/>
    </row>
    <row r="3" spans="1:11" ht="36" customHeight="1" x14ac:dyDescent="0.25">
      <c r="A3" s="329">
        <v>1</v>
      </c>
      <c r="B3" s="609" t="s">
        <v>907</v>
      </c>
      <c r="C3" s="609"/>
      <c r="D3" s="609"/>
      <c r="E3" s="609"/>
      <c r="F3" s="609"/>
      <c r="G3" s="609"/>
      <c r="H3" s="609"/>
      <c r="I3" s="253" t="s">
        <v>571</v>
      </c>
      <c r="J3" s="256">
        <f>C8+G17+K15</f>
        <v>81.929999999999993</v>
      </c>
      <c r="K3" s="608"/>
    </row>
    <row r="4" spans="1:11" ht="8.4" customHeight="1" x14ac:dyDescent="0.25">
      <c r="A4" s="610"/>
      <c r="B4" s="610"/>
      <c r="C4" s="610"/>
      <c r="D4" s="610"/>
      <c r="E4" s="610"/>
      <c r="F4" s="610"/>
      <c r="G4" s="610"/>
      <c r="H4" s="610"/>
      <c r="I4" s="610"/>
      <c r="J4" s="610"/>
      <c r="K4" s="610"/>
    </row>
    <row r="5" spans="1:11" x14ac:dyDescent="0.25">
      <c r="A5" s="226" t="s">
        <v>580</v>
      </c>
      <c r="B5" s="227" t="s">
        <v>693</v>
      </c>
      <c r="C5" s="228" t="s">
        <v>588</v>
      </c>
      <c r="D5" s="604"/>
      <c r="E5" s="249" t="s">
        <v>580</v>
      </c>
      <c r="F5" s="250" t="s">
        <v>693</v>
      </c>
      <c r="G5" s="251" t="s">
        <v>588</v>
      </c>
      <c r="H5" s="606"/>
      <c r="I5" s="240" t="s">
        <v>580</v>
      </c>
      <c r="J5" s="241" t="s">
        <v>693</v>
      </c>
      <c r="K5" s="242" t="s">
        <v>588</v>
      </c>
    </row>
    <row r="6" spans="1:11" x14ac:dyDescent="0.25">
      <c r="A6" s="224">
        <v>1</v>
      </c>
      <c r="B6" s="234" t="s">
        <v>487</v>
      </c>
      <c r="C6" s="244">
        <v>7.06</v>
      </c>
      <c r="D6" s="605"/>
      <c r="E6" s="236" t="s">
        <v>824</v>
      </c>
      <c r="F6" s="236" t="s">
        <v>425</v>
      </c>
      <c r="G6" s="239">
        <v>4.22</v>
      </c>
      <c r="H6" s="606"/>
      <c r="I6" s="237" t="s">
        <v>905</v>
      </c>
      <c r="J6" s="237" t="s">
        <v>361</v>
      </c>
      <c r="K6" s="238">
        <v>4.22</v>
      </c>
    </row>
    <row r="7" spans="1:11" x14ac:dyDescent="0.25">
      <c r="A7" s="224">
        <v>2</v>
      </c>
      <c r="B7" s="235" t="s">
        <v>488</v>
      </c>
      <c r="C7" s="246">
        <v>5.0999999999999996</v>
      </c>
      <c r="D7" s="605"/>
      <c r="E7" s="237" t="s">
        <v>897</v>
      </c>
      <c r="F7" s="237" t="s">
        <v>426</v>
      </c>
      <c r="G7" s="238">
        <v>5.78</v>
      </c>
      <c r="H7" s="606"/>
      <c r="I7" s="236" t="s">
        <v>853</v>
      </c>
      <c r="J7" s="236" t="s">
        <v>362</v>
      </c>
      <c r="K7" s="239">
        <v>6.62</v>
      </c>
    </row>
    <row r="8" spans="1:11" x14ac:dyDescent="0.25">
      <c r="A8" s="205"/>
      <c r="B8" s="212" t="s">
        <v>590</v>
      </c>
      <c r="C8" s="333">
        <f>SUM(C6:C7)</f>
        <v>12.16</v>
      </c>
      <c r="D8" s="605"/>
      <c r="E8" s="236" t="s">
        <v>898</v>
      </c>
      <c r="F8" s="236" t="s">
        <v>427</v>
      </c>
      <c r="G8" s="239">
        <v>1.56</v>
      </c>
      <c r="H8" s="606"/>
      <c r="I8" s="237" t="s">
        <v>854</v>
      </c>
      <c r="J8" s="237" t="s">
        <v>363</v>
      </c>
      <c r="K8" s="238">
        <v>1.56</v>
      </c>
    </row>
    <row r="9" spans="1:11" x14ac:dyDescent="0.25">
      <c r="A9" s="604"/>
      <c r="B9" s="604"/>
      <c r="C9" s="604"/>
      <c r="D9" s="605"/>
      <c r="E9" s="237" t="s">
        <v>805</v>
      </c>
      <c r="F9" s="237" t="s">
        <v>428</v>
      </c>
      <c r="G9" s="238">
        <v>4.22</v>
      </c>
      <c r="H9" s="606"/>
      <c r="I9" s="236" t="s">
        <v>855</v>
      </c>
      <c r="J9" s="236" t="s">
        <v>364</v>
      </c>
      <c r="K9" s="239">
        <v>3.96</v>
      </c>
    </row>
    <row r="10" spans="1:11" x14ac:dyDescent="0.25">
      <c r="A10" s="605"/>
      <c r="B10" s="605"/>
      <c r="C10" s="605"/>
      <c r="D10" s="605"/>
      <c r="E10" s="236" t="s">
        <v>899</v>
      </c>
      <c r="F10" s="236" t="s">
        <v>429</v>
      </c>
      <c r="G10" s="239">
        <v>3.24</v>
      </c>
      <c r="H10" s="606"/>
      <c r="I10" s="237" t="s">
        <v>856</v>
      </c>
      <c r="J10" s="237" t="s">
        <v>365</v>
      </c>
      <c r="K10" s="238">
        <v>4.22</v>
      </c>
    </row>
    <row r="11" spans="1:11" x14ac:dyDescent="0.25">
      <c r="A11" s="605"/>
      <c r="B11" s="605"/>
      <c r="C11" s="605"/>
      <c r="D11" s="605"/>
      <c r="E11" s="237" t="s">
        <v>900</v>
      </c>
      <c r="F11" s="237" t="s">
        <v>430</v>
      </c>
      <c r="G11" s="238">
        <v>4.22</v>
      </c>
      <c r="H11" s="606"/>
      <c r="I11" s="236" t="s">
        <v>857</v>
      </c>
      <c r="J11" s="236" t="s">
        <v>366</v>
      </c>
      <c r="K11" s="239">
        <v>4.2</v>
      </c>
    </row>
    <row r="12" spans="1:11" x14ac:dyDescent="0.25">
      <c r="A12" s="605"/>
      <c r="B12" s="605"/>
      <c r="C12" s="605"/>
      <c r="D12" s="605"/>
      <c r="E12" s="236" t="s">
        <v>901</v>
      </c>
      <c r="F12" s="236" t="s">
        <v>431</v>
      </c>
      <c r="G12" s="239">
        <v>3.9</v>
      </c>
      <c r="H12" s="606"/>
      <c r="I12" s="237" t="s">
        <v>858</v>
      </c>
      <c r="J12" s="237" t="s">
        <v>367</v>
      </c>
      <c r="K12" s="238">
        <v>4.22</v>
      </c>
    </row>
    <row r="13" spans="1:11" x14ac:dyDescent="0.25">
      <c r="A13" s="605"/>
      <c r="B13" s="605"/>
      <c r="C13" s="605"/>
      <c r="D13" s="605"/>
      <c r="E13" s="237" t="s">
        <v>804</v>
      </c>
      <c r="F13" s="237" t="s">
        <v>435</v>
      </c>
      <c r="G13" s="238">
        <v>1.5</v>
      </c>
      <c r="H13" s="606"/>
      <c r="I13" s="236" t="s">
        <v>859</v>
      </c>
      <c r="J13" s="236" t="s">
        <v>368</v>
      </c>
      <c r="K13" s="239">
        <v>2.78</v>
      </c>
    </row>
    <row r="14" spans="1:11" x14ac:dyDescent="0.25">
      <c r="A14" s="605"/>
      <c r="B14" s="605"/>
      <c r="C14" s="605"/>
      <c r="D14" s="605"/>
      <c r="E14" s="236" t="s">
        <v>902</v>
      </c>
      <c r="F14" s="236" t="s">
        <v>438</v>
      </c>
      <c r="G14" s="239">
        <v>1.42</v>
      </c>
      <c r="H14" s="606"/>
      <c r="I14" s="237" t="s">
        <v>860</v>
      </c>
      <c r="J14" s="237" t="s">
        <v>371</v>
      </c>
      <c r="K14" s="238">
        <v>5.96</v>
      </c>
    </row>
    <row r="15" spans="1:11" x14ac:dyDescent="0.25">
      <c r="A15" s="605"/>
      <c r="B15" s="605"/>
      <c r="C15" s="605"/>
      <c r="D15" s="605"/>
      <c r="E15" s="237" t="s">
        <v>903</v>
      </c>
      <c r="F15" s="237" t="s">
        <v>439</v>
      </c>
      <c r="G15" s="238">
        <v>0.65</v>
      </c>
      <c r="H15" s="606"/>
      <c r="I15" s="243"/>
      <c r="J15" s="212" t="s">
        <v>590</v>
      </c>
      <c r="K15" s="239">
        <f>SUM(K6:K14)</f>
        <v>37.739999999999995</v>
      </c>
    </row>
    <row r="16" spans="1:11" x14ac:dyDescent="0.25">
      <c r="A16" s="605"/>
      <c r="B16" s="605"/>
      <c r="C16" s="605"/>
      <c r="D16" s="605"/>
      <c r="E16" s="236" t="s">
        <v>904</v>
      </c>
      <c r="F16" s="236" t="s">
        <v>444</v>
      </c>
      <c r="G16" s="239">
        <v>1.32</v>
      </c>
      <c r="H16" s="606"/>
      <c r="I16" s="604"/>
      <c r="J16" s="604"/>
      <c r="K16" s="604"/>
    </row>
    <row r="17" spans="1:11" x14ac:dyDescent="0.25">
      <c r="A17" s="605"/>
      <c r="B17" s="605"/>
      <c r="C17" s="605"/>
      <c r="D17" s="605"/>
      <c r="F17" s="212" t="s">
        <v>590</v>
      </c>
      <c r="G17" s="239">
        <f>SUM(G6:G16)</f>
        <v>32.03</v>
      </c>
      <c r="H17" s="606"/>
      <c r="I17" s="605"/>
      <c r="J17" s="605"/>
      <c r="K17" s="605"/>
    </row>
  </sheetData>
  <mergeCells count="9">
    <mergeCell ref="A9:C17"/>
    <mergeCell ref="H5:H17"/>
    <mergeCell ref="D5:D17"/>
    <mergeCell ref="I16:K17"/>
    <mergeCell ref="A1:J1"/>
    <mergeCell ref="K1:K3"/>
    <mergeCell ref="B2:H2"/>
    <mergeCell ref="B3:H3"/>
    <mergeCell ref="A4:K4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19"/>
  <sheetViews>
    <sheetView workbookViewId="0">
      <selection sqref="A1:J1"/>
    </sheetView>
  </sheetViews>
  <sheetFormatPr defaultRowHeight="18" x14ac:dyDescent="0.25"/>
  <cols>
    <col min="1" max="1" width="9" style="220" customWidth="1"/>
    <col min="2" max="2" width="14.44140625" style="220" customWidth="1"/>
    <col min="3" max="3" width="14.77734375" style="220" customWidth="1"/>
    <col min="4" max="4" width="4.33203125" style="220" customWidth="1"/>
    <col min="5" max="6" width="8.88671875" style="220"/>
    <col min="7" max="7" width="12.77734375" style="220" customWidth="1"/>
    <col min="8" max="8" width="4" style="220" customWidth="1"/>
    <col min="9" max="9" width="8.88671875" style="220"/>
    <col min="10" max="10" width="12.21875" style="220" bestFit="1" customWidth="1"/>
    <col min="11" max="11" width="11.6640625" style="220" customWidth="1"/>
    <col min="12" max="16384" width="8.88671875" style="220"/>
  </cols>
  <sheetData>
    <row r="1" spans="1:11" ht="18" customHeight="1" x14ac:dyDescent="0.25">
      <c r="A1" s="607" t="s">
        <v>586</v>
      </c>
      <c r="B1" s="607"/>
      <c r="C1" s="607"/>
      <c r="D1" s="607"/>
      <c r="E1" s="607"/>
      <c r="F1" s="607"/>
      <c r="G1" s="607"/>
      <c r="H1" s="607"/>
      <c r="I1" s="607"/>
      <c r="J1" s="607"/>
      <c r="K1" s="608"/>
    </row>
    <row r="2" spans="1:11" ht="18" customHeight="1" x14ac:dyDescent="0.25">
      <c r="A2" s="329" t="s">
        <v>580</v>
      </c>
      <c r="B2" s="607" t="s">
        <v>789</v>
      </c>
      <c r="C2" s="607"/>
      <c r="D2" s="607"/>
      <c r="E2" s="607"/>
      <c r="F2" s="607"/>
      <c r="G2" s="607"/>
      <c r="H2" s="607"/>
      <c r="I2" s="255" t="s">
        <v>583</v>
      </c>
      <c r="J2" s="255" t="s">
        <v>584</v>
      </c>
      <c r="K2" s="608"/>
    </row>
    <row r="3" spans="1:11" ht="36" customHeight="1" x14ac:dyDescent="0.25">
      <c r="A3" s="329">
        <v>1</v>
      </c>
      <c r="B3" s="609" t="s">
        <v>906</v>
      </c>
      <c r="C3" s="609"/>
      <c r="D3" s="609"/>
      <c r="E3" s="609"/>
      <c r="F3" s="609"/>
      <c r="G3" s="609"/>
      <c r="H3" s="609"/>
      <c r="I3" s="253" t="s">
        <v>571</v>
      </c>
      <c r="J3" s="256">
        <f>C11+G18+K19</f>
        <v>108.21</v>
      </c>
      <c r="K3" s="608"/>
    </row>
    <row r="4" spans="1:11" ht="8.4" customHeight="1" x14ac:dyDescent="0.25">
      <c r="A4" s="610"/>
      <c r="B4" s="610"/>
      <c r="C4" s="610"/>
      <c r="D4" s="610"/>
      <c r="E4" s="610"/>
      <c r="F4" s="610"/>
      <c r="G4" s="610"/>
      <c r="H4" s="610"/>
      <c r="I4" s="610"/>
      <c r="J4" s="610"/>
      <c r="K4" s="610"/>
    </row>
    <row r="5" spans="1:11" x14ac:dyDescent="0.25">
      <c r="A5" s="226" t="s">
        <v>580</v>
      </c>
      <c r="B5" s="227" t="s">
        <v>693</v>
      </c>
      <c r="C5" s="228" t="s">
        <v>588</v>
      </c>
      <c r="D5" s="604"/>
      <c r="E5" s="249" t="s">
        <v>580</v>
      </c>
      <c r="F5" s="250" t="s">
        <v>693</v>
      </c>
      <c r="G5" s="251" t="s">
        <v>588</v>
      </c>
      <c r="H5" s="605"/>
      <c r="I5" s="240" t="s">
        <v>580</v>
      </c>
      <c r="J5" s="241" t="s">
        <v>693</v>
      </c>
      <c r="K5" s="242" t="s">
        <v>588</v>
      </c>
    </row>
    <row r="6" spans="1:11" x14ac:dyDescent="0.25">
      <c r="A6" s="224">
        <v>1</v>
      </c>
      <c r="B6" s="234" t="s">
        <v>484</v>
      </c>
      <c r="C6" s="244">
        <v>1.06</v>
      </c>
      <c r="D6" s="605"/>
      <c r="E6" s="236" t="s">
        <v>805</v>
      </c>
      <c r="F6" s="236" t="s">
        <v>425</v>
      </c>
      <c r="G6" s="239">
        <v>4.22</v>
      </c>
      <c r="H6" s="605"/>
      <c r="I6" s="237" t="s">
        <v>856</v>
      </c>
      <c r="J6" s="237" t="s">
        <v>361</v>
      </c>
      <c r="K6" s="238">
        <v>4.22</v>
      </c>
    </row>
    <row r="7" spans="1:11" x14ac:dyDescent="0.25">
      <c r="A7" s="224">
        <v>2</v>
      </c>
      <c r="B7" s="235" t="s">
        <v>487</v>
      </c>
      <c r="C7" s="246">
        <v>7.06</v>
      </c>
      <c r="D7" s="605"/>
      <c r="E7" s="237" t="s">
        <v>899</v>
      </c>
      <c r="F7" s="237" t="s">
        <v>426</v>
      </c>
      <c r="G7" s="238">
        <v>5.78</v>
      </c>
      <c r="H7" s="605"/>
      <c r="I7" s="236" t="s">
        <v>856</v>
      </c>
      <c r="J7" s="236" t="s">
        <v>362</v>
      </c>
      <c r="K7" s="239">
        <v>6.62</v>
      </c>
    </row>
    <row r="8" spans="1:11" x14ac:dyDescent="0.25">
      <c r="A8" s="224">
        <v>3</v>
      </c>
      <c r="B8" s="234" t="s">
        <v>488</v>
      </c>
      <c r="C8" s="244">
        <v>5.0999999999999996</v>
      </c>
      <c r="D8" s="605"/>
      <c r="E8" s="236" t="s">
        <v>900</v>
      </c>
      <c r="F8" s="236" t="s">
        <v>427</v>
      </c>
      <c r="G8" s="239">
        <v>1.56</v>
      </c>
      <c r="H8" s="605"/>
      <c r="I8" s="237" t="s">
        <v>856</v>
      </c>
      <c r="J8" s="237" t="s">
        <v>363</v>
      </c>
      <c r="K8" s="238">
        <v>1.56</v>
      </c>
    </row>
    <row r="9" spans="1:11" x14ac:dyDescent="0.25">
      <c r="A9" s="224">
        <v>4</v>
      </c>
      <c r="B9" s="235" t="s">
        <v>660</v>
      </c>
      <c r="C9" s="246">
        <v>1.42</v>
      </c>
      <c r="D9" s="605"/>
      <c r="E9" s="237" t="s">
        <v>901</v>
      </c>
      <c r="F9" s="237" t="s">
        <v>428</v>
      </c>
      <c r="G9" s="238">
        <v>4.22</v>
      </c>
      <c r="H9" s="605"/>
      <c r="I9" s="236" t="s">
        <v>856</v>
      </c>
      <c r="J9" s="236" t="s">
        <v>364</v>
      </c>
      <c r="K9" s="239">
        <v>3.96</v>
      </c>
    </row>
    <row r="10" spans="1:11" x14ac:dyDescent="0.25">
      <c r="A10" s="224">
        <v>5</v>
      </c>
      <c r="B10" s="234" t="s">
        <v>511</v>
      </c>
      <c r="C10" s="244">
        <v>1.18</v>
      </c>
      <c r="D10" s="605"/>
      <c r="E10" s="236" t="s">
        <v>804</v>
      </c>
      <c r="F10" s="236" t="s">
        <v>429</v>
      </c>
      <c r="G10" s="239">
        <v>3.24</v>
      </c>
      <c r="H10" s="605"/>
      <c r="I10" s="237" t="s">
        <v>856</v>
      </c>
      <c r="J10" s="237" t="s">
        <v>365</v>
      </c>
      <c r="K10" s="238">
        <v>4.22</v>
      </c>
    </row>
    <row r="11" spans="1:11" x14ac:dyDescent="0.25">
      <c r="A11" s="205"/>
      <c r="B11" s="212" t="s">
        <v>590</v>
      </c>
      <c r="C11" s="334">
        <f>SUM(C6:C10)</f>
        <v>15.819999999999999</v>
      </c>
      <c r="D11" s="605"/>
      <c r="E11" s="237" t="s">
        <v>902</v>
      </c>
      <c r="F11" s="237" t="s">
        <v>430</v>
      </c>
      <c r="G11" s="238">
        <v>4.22</v>
      </c>
      <c r="H11" s="605"/>
      <c r="I11" s="236" t="s">
        <v>856</v>
      </c>
      <c r="J11" s="236" t="s">
        <v>366</v>
      </c>
      <c r="K11" s="239">
        <v>4.2</v>
      </c>
    </row>
    <row r="12" spans="1:11" x14ac:dyDescent="0.25">
      <c r="A12" s="604"/>
      <c r="B12" s="604"/>
      <c r="C12" s="604"/>
      <c r="D12" s="605"/>
      <c r="E12" s="236" t="s">
        <v>903</v>
      </c>
      <c r="F12" s="236" t="s">
        <v>431</v>
      </c>
      <c r="G12" s="239">
        <v>3.9</v>
      </c>
      <c r="H12" s="605"/>
      <c r="I12" s="237" t="s">
        <v>856</v>
      </c>
      <c r="J12" s="237" t="s">
        <v>367</v>
      </c>
      <c r="K12" s="238">
        <v>4.22</v>
      </c>
    </row>
    <row r="13" spans="1:11" x14ac:dyDescent="0.25">
      <c r="A13" s="605"/>
      <c r="B13" s="605"/>
      <c r="C13" s="605"/>
      <c r="D13" s="605"/>
      <c r="E13" s="237" t="s">
        <v>904</v>
      </c>
      <c r="F13" s="237" t="s">
        <v>435</v>
      </c>
      <c r="G13" s="238">
        <v>1.5</v>
      </c>
      <c r="H13" s="605"/>
      <c r="I13" s="236" t="s">
        <v>856</v>
      </c>
      <c r="J13" s="236" t="s">
        <v>368</v>
      </c>
      <c r="K13" s="239">
        <v>2.78</v>
      </c>
    </row>
    <row r="14" spans="1:11" x14ac:dyDescent="0.25">
      <c r="A14" s="605"/>
      <c r="B14" s="605"/>
      <c r="C14" s="605"/>
      <c r="D14" s="605"/>
      <c r="E14" s="236" t="s">
        <v>905</v>
      </c>
      <c r="F14" s="236" t="s">
        <v>438</v>
      </c>
      <c r="G14" s="239">
        <v>1.42</v>
      </c>
      <c r="H14" s="605"/>
      <c r="I14" s="237" t="s">
        <v>856</v>
      </c>
      <c r="J14" s="237" t="s">
        <v>371</v>
      </c>
      <c r="K14" s="238">
        <v>5.96</v>
      </c>
    </row>
    <row r="15" spans="1:11" x14ac:dyDescent="0.25">
      <c r="A15" s="605"/>
      <c r="B15" s="605"/>
      <c r="C15" s="605"/>
      <c r="D15" s="605"/>
      <c r="E15" s="237" t="s">
        <v>853</v>
      </c>
      <c r="F15" s="237" t="s">
        <v>439</v>
      </c>
      <c r="G15" s="238">
        <v>0.65</v>
      </c>
      <c r="H15" s="605"/>
      <c r="I15" s="236" t="s">
        <v>856</v>
      </c>
      <c r="J15" s="236" t="s">
        <v>377</v>
      </c>
      <c r="K15" s="239">
        <v>2.36</v>
      </c>
    </row>
    <row r="16" spans="1:11" x14ac:dyDescent="0.25">
      <c r="A16" s="605"/>
      <c r="B16" s="605"/>
      <c r="C16" s="605"/>
      <c r="D16" s="605"/>
      <c r="E16" s="236" t="s">
        <v>854</v>
      </c>
      <c r="F16" s="236" t="s">
        <v>444</v>
      </c>
      <c r="G16" s="239">
        <v>1.32</v>
      </c>
      <c r="H16" s="605"/>
      <c r="I16" s="237" t="s">
        <v>856</v>
      </c>
      <c r="J16" s="237" t="s">
        <v>383</v>
      </c>
      <c r="K16" s="238">
        <v>3</v>
      </c>
    </row>
    <row r="17" spans="1:11" x14ac:dyDescent="0.25">
      <c r="A17" s="605"/>
      <c r="B17" s="605"/>
      <c r="C17" s="605"/>
      <c r="D17" s="605"/>
      <c r="E17" s="237" t="s">
        <v>855</v>
      </c>
      <c r="F17" s="237" t="s">
        <v>451</v>
      </c>
      <c r="G17" s="238">
        <v>5.64</v>
      </c>
      <c r="H17" s="605"/>
      <c r="I17" s="236" t="s">
        <v>856</v>
      </c>
      <c r="J17" s="236" t="s">
        <v>385</v>
      </c>
      <c r="K17" s="239">
        <v>5</v>
      </c>
    </row>
    <row r="18" spans="1:11" x14ac:dyDescent="0.25">
      <c r="A18" s="605"/>
      <c r="B18" s="605"/>
      <c r="C18" s="605"/>
      <c r="D18" s="605"/>
      <c r="F18" s="212" t="s">
        <v>590</v>
      </c>
      <c r="G18" s="239">
        <f>SUM(G6:G17)</f>
        <v>37.67</v>
      </c>
      <c r="H18" s="605"/>
      <c r="I18" s="237" t="s">
        <v>856</v>
      </c>
      <c r="J18" s="237" t="s">
        <v>395</v>
      </c>
      <c r="K18" s="238">
        <v>6.62</v>
      </c>
    </row>
    <row r="19" spans="1:11" x14ac:dyDescent="0.25">
      <c r="A19" s="605"/>
      <c r="B19" s="605"/>
      <c r="C19" s="605"/>
      <c r="D19" s="605"/>
      <c r="E19" s="605"/>
      <c r="F19" s="605"/>
      <c r="G19" s="605"/>
      <c r="H19" s="605"/>
      <c r="I19" s="243"/>
      <c r="J19" s="212" t="s">
        <v>590</v>
      </c>
      <c r="K19" s="239">
        <f>SUM(K6:K18)</f>
        <v>54.719999999999992</v>
      </c>
    </row>
  </sheetData>
  <mergeCells count="9">
    <mergeCell ref="K1:K3"/>
    <mergeCell ref="B2:H2"/>
    <mergeCell ref="B3:H3"/>
    <mergeCell ref="A4:K4"/>
    <mergeCell ref="H5:H19"/>
    <mergeCell ref="D5:D19"/>
    <mergeCell ref="E19:G19"/>
    <mergeCell ref="A12:C19"/>
    <mergeCell ref="A1:J1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32"/>
  <sheetViews>
    <sheetView workbookViewId="0">
      <selection activeCell="M3" sqref="M3"/>
    </sheetView>
  </sheetViews>
  <sheetFormatPr defaultRowHeight="18" x14ac:dyDescent="0.25"/>
  <cols>
    <col min="1" max="1" width="9" style="220" customWidth="1"/>
    <col min="2" max="2" width="10.77734375" style="220" customWidth="1"/>
    <col min="3" max="3" width="14.77734375" style="220" customWidth="1"/>
    <col min="4" max="4" width="4.33203125" style="220" customWidth="1"/>
    <col min="5" max="6" width="8.88671875" style="220"/>
    <col min="7" max="7" width="12.77734375" style="220" customWidth="1"/>
    <col min="8" max="8" width="4" style="220" customWidth="1"/>
    <col min="9" max="9" width="8.88671875" style="220"/>
    <col min="10" max="10" width="12.21875" style="220" bestFit="1" customWidth="1"/>
    <col min="11" max="11" width="11.6640625" style="220" customWidth="1"/>
    <col min="12" max="16384" width="8.88671875" style="220"/>
  </cols>
  <sheetData>
    <row r="1" spans="1:11" ht="18" customHeight="1" x14ac:dyDescent="0.25">
      <c r="A1" s="607" t="s">
        <v>586</v>
      </c>
      <c r="B1" s="607"/>
      <c r="C1" s="607"/>
      <c r="D1" s="607"/>
      <c r="E1" s="607"/>
      <c r="F1" s="607"/>
      <c r="G1" s="607"/>
      <c r="H1" s="607"/>
      <c r="I1" s="607"/>
      <c r="J1" s="607"/>
      <c r="K1" s="608"/>
    </row>
    <row r="2" spans="1:11" ht="18" customHeight="1" x14ac:dyDescent="0.25">
      <c r="A2" s="329" t="s">
        <v>580</v>
      </c>
      <c r="B2" s="607" t="s">
        <v>789</v>
      </c>
      <c r="C2" s="607"/>
      <c r="D2" s="607"/>
      <c r="E2" s="607"/>
      <c r="F2" s="607"/>
      <c r="G2" s="607"/>
      <c r="H2" s="607"/>
      <c r="I2" s="255" t="s">
        <v>583</v>
      </c>
      <c r="J2" s="255" t="s">
        <v>584</v>
      </c>
      <c r="K2" s="608"/>
    </row>
    <row r="3" spans="1:11" ht="36" customHeight="1" x14ac:dyDescent="0.25">
      <c r="A3" s="329">
        <v>1</v>
      </c>
      <c r="B3" s="609" t="s">
        <v>908</v>
      </c>
      <c r="C3" s="609"/>
      <c r="D3" s="609"/>
      <c r="E3" s="609"/>
      <c r="F3" s="609"/>
      <c r="G3" s="609"/>
      <c r="H3" s="609"/>
      <c r="I3" s="253" t="s">
        <v>571</v>
      </c>
      <c r="J3" s="256">
        <f>C20+G32+K24</f>
        <v>2049.8800000000006</v>
      </c>
      <c r="K3" s="608"/>
    </row>
    <row r="4" spans="1:11" ht="8.4" customHeight="1" x14ac:dyDescent="0.25">
      <c r="A4" s="610"/>
      <c r="B4" s="610"/>
      <c r="C4" s="610"/>
      <c r="D4" s="610"/>
      <c r="E4" s="610"/>
      <c r="F4" s="610"/>
      <c r="G4" s="610"/>
      <c r="H4" s="610"/>
      <c r="I4" s="610"/>
      <c r="J4" s="610"/>
      <c r="K4" s="610"/>
    </row>
    <row r="5" spans="1:11" x14ac:dyDescent="0.25">
      <c r="A5" s="226" t="s">
        <v>580</v>
      </c>
      <c r="B5" s="227" t="s">
        <v>693</v>
      </c>
      <c r="C5" s="228" t="s">
        <v>588</v>
      </c>
      <c r="D5" s="604"/>
      <c r="E5" s="249" t="s">
        <v>580</v>
      </c>
      <c r="F5" s="250" t="s">
        <v>693</v>
      </c>
      <c r="G5" s="251" t="s">
        <v>588</v>
      </c>
      <c r="H5" s="606"/>
      <c r="I5" s="240" t="s">
        <v>580</v>
      </c>
      <c r="J5" s="241" t="s">
        <v>693</v>
      </c>
      <c r="K5" s="242" t="s">
        <v>588</v>
      </c>
    </row>
    <row r="6" spans="1:11" x14ac:dyDescent="0.25">
      <c r="A6" s="224">
        <v>1</v>
      </c>
      <c r="B6" s="234" t="s">
        <v>424</v>
      </c>
      <c r="C6" s="244">
        <v>2.7</v>
      </c>
      <c r="D6" s="605"/>
      <c r="E6" s="236" t="s">
        <v>853</v>
      </c>
      <c r="F6" s="236" t="s">
        <v>425</v>
      </c>
      <c r="G6" s="239">
        <v>70.289999999999992</v>
      </c>
      <c r="H6" s="606"/>
      <c r="I6" s="237" t="s">
        <v>879</v>
      </c>
      <c r="J6" s="237" t="s">
        <v>361</v>
      </c>
      <c r="K6" s="238">
        <v>73.419999999999987</v>
      </c>
    </row>
    <row r="7" spans="1:11" x14ac:dyDescent="0.25">
      <c r="A7" s="224">
        <v>2</v>
      </c>
      <c r="B7" s="235" t="s">
        <v>484</v>
      </c>
      <c r="C7" s="246">
        <v>1.98</v>
      </c>
      <c r="D7" s="605"/>
      <c r="E7" s="237" t="s">
        <v>854</v>
      </c>
      <c r="F7" s="237" t="s">
        <v>426</v>
      </c>
      <c r="G7" s="238">
        <v>100.47</v>
      </c>
      <c r="H7" s="606"/>
      <c r="I7" s="236" t="s">
        <v>882</v>
      </c>
      <c r="J7" s="236" t="s">
        <v>362</v>
      </c>
      <c r="K7" s="239">
        <v>91.710000000000008</v>
      </c>
    </row>
    <row r="8" spans="1:11" x14ac:dyDescent="0.25">
      <c r="A8" s="224">
        <v>3</v>
      </c>
      <c r="B8" s="234" t="s">
        <v>487</v>
      </c>
      <c r="C8" s="244">
        <v>153.72</v>
      </c>
      <c r="D8" s="605"/>
      <c r="E8" s="236" t="s">
        <v>855</v>
      </c>
      <c r="F8" s="236" t="s">
        <v>427</v>
      </c>
      <c r="G8" s="239">
        <v>73.830000000000013</v>
      </c>
      <c r="H8" s="606"/>
      <c r="I8" s="237" t="s">
        <v>883</v>
      </c>
      <c r="J8" s="237" t="s">
        <v>363</v>
      </c>
      <c r="K8" s="238">
        <v>48.550000000000004</v>
      </c>
    </row>
    <row r="9" spans="1:11" x14ac:dyDescent="0.25">
      <c r="A9" s="224">
        <v>4</v>
      </c>
      <c r="B9" s="235" t="s">
        <v>488</v>
      </c>
      <c r="C9" s="246">
        <v>4.59</v>
      </c>
      <c r="D9" s="605"/>
      <c r="E9" s="237" t="s">
        <v>856</v>
      </c>
      <c r="F9" s="237" t="s">
        <v>428</v>
      </c>
      <c r="G9" s="238">
        <v>72.25</v>
      </c>
      <c r="H9" s="606"/>
      <c r="I9" s="236" t="s">
        <v>884</v>
      </c>
      <c r="J9" s="236" t="s">
        <v>364</v>
      </c>
      <c r="K9" s="239">
        <v>66.53</v>
      </c>
    </row>
    <row r="10" spans="1:11" x14ac:dyDescent="0.25">
      <c r="A10" s="224">
        <v>5</v>
      </c>
      <c r="B10" s="234" t="s">
        <v>490</v>
      </c>
      <c r="C10" s="244">
        <v>5.0999999999999996</v>
      </c>
      <c r="D10" s="605"/>
      <c r="E10" s="236" t="s">
        <v>857</v>
      </c>
      <c r="F10" s="236" t="s">
        <v>429</v>
      </c>
      <c r="G10" s="239">
        <v>63.230000000000011</v>
      </c>
      <c r="H10" s="606"/>
      <c r="I10" s="237" t="s">
        <v>885</v>
      </c>
      <c r="J10" s="237" t="s">
        <v>365</v>
      </c>
      <c r="K10" s="238">
        <v>72.97999999999999</v>
      </c>
    </row>
    <row r="11" spans="1:11" x14ac:dyDescent="0.25">
      <c r="A11" s="224">
        <v>6</v>
      </c>
      <c r="B11" s="235" t="s">
        <v>491</v>
      </c>
      <c r="C11" s="246">
        <v>9.9600000000000009</v>
      </c>
      <c r="D11" s="605"/>
      <c r="E11" s="237" t="s">
        <v>858</v>
      </c>
      <c r="F11" s="237" t="s">
        <v>430</v>
      </c>
      <c r="G11" s="238">
        <v>68.62</v>
      </c>
      <c r="H11" s="606"/>
      <c r="I11" s="236" t="s">
        <v>886</v>
      </c>
      <c r="J11" s="236" t="s">
        <v>366</v>
      </c>
      <c r="K11" s="239">
        <v>62.12</v>
      </c>
    </row>
    <row r="12" spans="1:11" x14ac:dyDescent="0.25">
      <c r="A12" s="224">
        <v>7</v>
      </c>
      <c r="B12" s="234" t="s">
        <v>660</v>
      </c>
      <c r="C12" s="244">
        <v>2.1</v>
      </c>
      <c r="D12" s="605"/>
      <c r="E12" s="236" t="s">
        <v>859</v>
      </c>
      <c r="F12" s="236" t="s">
        <v>431</v>
      </c>
      <c r="G12" s="239">
        <v>86.399999999999991</v>
      </c>
      <c r="H12" s="606"/>
      <c r="I12" s="237" t="s">
        <v>887</v>
      </c>
      <c r="J12" s="237" t="s">
        <v>367</v>
      </c>
      <c r="K12" s="238">
        <v>58.88</v>
      </c>
    </row>
    <row r="13" spans="1:11" x14ac:dyDescent="0.25">
      <c r="A13" s="224">
        <v>8</v>
      </c>
      <c r="B13" s="237" t="s">
        <v>538</v>
      </c>
      <c r="C13" s="238">
        <v>5.64</v>
      </c>
      <c r="D13" s="605"/>
      <c r="E13" s="237" t="s">
        <v>860</v>
      </c>
      <c r="F13" s="237" t="s">
        <v>432</v>
      </c>
      <c r="G13" s="238">
        <v>123.55000000000001</v>
      </c>
      <c r="H13" s="606"/>
      <c r="I13" s="236" t="s">
        <v>888</v>
      </c>
      <c r="J13" s="236" t="s">
        <v>371</v>
      </c>
      <c r="K13" s="239">
        <v>203.81000000000003</v>
      </c>
    </row>
    <row r="14" spans="1:11" x14ac:dyDescent="0.25">
      <c r="A14" s="224">
        <v>9</v>
      </c>
      <c r="B14" s="236" t="s">
        <v>539</v>
      </c>
      <c r="C14" s="239">
        <v>7.370000000000001</v>
      </c>
      <c r="D14" s="605"/>
      <c r="E14" s="236" t="s">
        <v>861</v>
      </c>
      <c r="F14" s="236" t="s">
        <v>671</v>
      </c>
      <c r="G14" s="239">
        <v>30.650000000000002</v>
      </c>
      <c r="H14" s="606"/>
      <c r="I14" s="237" t="s">
        <v>889</v>
      </c>
      <c r="J14" s="237" t="s">
        <v>377</v>
      </c>
      <c r="K14" s="238">
        <v>3.71</v>
      </c>
    </row>
    <row r="15" spans="1:11" x14ac:dyDescent="0.25">
      <c r="A15" s="224">
        <v>10</v>
      </c>
      <c r="B15" s="237" t="s">
        <v>542</v>
      </c>
      <c r="C15" s="238">
        <v>1.45</v>
      </c>
      <c r="D15" s="605"/>
      <c r="E15" s="237" t="s">
        <v>862</v>
      </c>
      <c r="F15" s="237" t="s">
        <v>435</v>
      </c>
      <c r="G15" s="238">
        <v>77.5</v>
      </c>
      <c r="H15" s="606"/>
      <c r="I15" s="236" t="s">
        <v>890</v>
      </c>
      <c r="J15" s="236" t="s">
        <v>690</v>
      </c>
      <c r="K15" s="239">
        <v>1.45</v>
      </c>
    </row>
    <row r="16" spans="1:11" x14ac:dyDescent="0.25">
      <c r="A16" s="224">
        <v>11</v>
      </c>
      <c r="B16" s="236" t="s">
        <v>545</v>
      </c>
      <c r="C16" s="239">
        <v>5.75</v>
      </c>
      <c r="D16" s="605"/>
      <c r="E16" s="236" t="s">
        <v>863</v>
      </c>
      <c r="F16" s="236" t="s">
        <v>438</v>
      </c>
      <c r="G16" s="239">
        <v>80.599999999999994</v>
      </c>
      <c r="H16" s="606"/>
      <c r="I16" s="237" t="s">
        <v>891</v>
      </c>
      <c r="J16" s="237" t="s">
        <v>647</v>
      </c>
      <c r="K16" s="238">
        <v>5.75</v>
      </c>
    </row>
    <row r="17" spans="1:11" x14ac:dyDescent="0.25">
      <c r="A17" s="224">
        <v>12</v>
      </c>
      <c r="B17" s="237" t="s">
        <v>546</v>
      </c>
      <c r="C17" s="238">
        <v>3.27</v>
      </c>
      <c r="D17" s="605"/>
      <c r="E17" s="237" t="s">
        <v>864</v>
      </c>
      <c r="F17" s="237" t="s">
        <v>439</v>
      </c>
      <c r="G17" s="238">
        <v>18.73</v>
      </c>
      <c r="H17" s="606"/>
      <c r="I17" s="236" t="s">
        <v>892</v>
      </c>
      <c r="J17" s="236" t="s">
        <v>648</v>
      </c>
      <c r="K17" s="239">
        <v>3.27</v>
      </c>
    </row>
    <row r="18" spans="1:11" x14ac:dyDescent="0.25">
      <c r="A18" s="224">
        <v>13</v>
      </c>
      <c r="B18" s="236" t="s">
        <v>551</v>
      </c>
      <c r="C18" s="239">
        <v>5.75</v>
      </c>
      <c r="D18" s="605"/>
      <c r="E18" s="236" t="s">
        <v>865</v>
      </c>
      <c r="F18" s="236" t="s">
        <v>443</v>
      </c>
      <c r="G18" s="239">
        <v>54.7</v>
      </c>
      <c r="H18" s="606"/>
      <c r="I18" s="237" t="s">
        <v>880</v>
      </c>
      <c r="J18" s="237" t="s">
        <v>379</v>
      </c>
      <c r="K18" s="238">
        <v>1.45</v>
      </c>
    </row>
    <row r="19" spans="1:11" x14ac:dyDescent="0.25">
      <c r="A19" s="224">
        <v>14</v>
      </c>
      <c r="B19" s="237" t="s">
        <v>552</v>
      </c>
      <c r="C19" s="238">
        <v>4.8899999999999997</v>
      </c>
      <c r="D19" s="605"/>
      <c r="E19" s="237" t="s">
        <v>866</v>
      </c>
      <c r="F19" s="237" t="s">
        <v>444</v>
      </c>
      <c r="G19" s="238">
        <v>54.199999999999996</v>
      </c>
      <c r="H19" s="606"/>
      <c r="I19" s="236" t="s">
        <v>881</v>
      </c>
      <c r="J19" s="236" t="s">
        <v>380</v>
      </c>
      <c r="K19" s="239">
        <v>5.75</v>
      </c>
    </row>
    <row r="20" spans="1:11" x14ac:dyDescent="0.25">
      <c r="A20" s="205"/>
      <c r="B20" s="212" t="s">
        <v>590</v>
      </c>
      <c r="C20" s="333">
        <f>SUM(C6:C19)</f>
        <v>214.26999999999998</v>
      </c>
      <c r="D20" s="605"/>
      <c r="E20" s="236" t="s">
        <v>867</v>
      </c>
      <c r="F20" s="236" t="s">
        <v>451</v>
      </c>
      <c r="G20" s="239">
        <v>7.56</v>
      </c>
      <c r="H20" s="606"/>
      <c r="I20" s="237" t="s">
        <v>893</v>
      </c>
      <c r="J20" s="237" t="s">
        <v>649</v>
      </c>
      <c r="K20" s="238">
        <v>4.8899999999999997</v>
      </c>
    </row>
    <row r="21" spans="1:11" x14ac:dyDescent="0.25">
      <c r="A21" s="604"/>
      <c r="B21" s="604"/>
      <c r="C21" s="604"/>
      <c r="D21" s="605"/>
      <c r="E21" s="237" t="s">
        <v>868</v>
      </c>
      <c r="F21" s="237" t="s">
        <v>678</v>
      </c>
      <c r="G21" s="238">
        <v>60.5</v>
      </c>
      <c r="H21" s="606"/>
      <c r="I21" s="236" t="s">
        <v>894</v>
      </c>
      <c r="J21" s="236" t="s">
        <v>383</v>
      </c>
      <c r="K21" s="239">
        <v>5.28</v>
      </c>
    </row>
    <row r="22" spans="1:11" x14ac:dyDescent="0.25">
      <c r="A22" s="605"/>
      <c r="B22" s="605"/>
      <c r="C22" s="605"/>
      <c r="D22" s="605"/>
      <c r="E22" s="236" t="s">
        <v>869</v>
      </c>
      <c r="F22" s="236" t="s">
        <v>459</v>
      </c>
      <c r="G22" s="239">
        <v>1.45</v>
      </c>
      <c r="H22" s="606"/>
      <c r="I22" s="237" t="s">
        <v>895</v>
      </c>
      <c r="J22" s="237" t="s">
        <v>385</v>
      </c>
      <c r="K22" s="238">
        <v>5.4</v>
      </c>
    </row>
    <row r="23" spans="1:11" x14ac:dyDescent="0.25">
      <c r="A23" s="605"/>
      <c r="B23" s="605"/>
      <c r="C23" s="605"/>
      <c r="D23" s="605"/>
      <c r="E23" s="237" t="s">
        <v>870</v>
      </c>
      <c r="F23" s="237" t="s">
        <v>462</v>
      </c>
      <c r="G23" s="238">
        <v>5.75</v>
      </c>
      <c r="H23" s="606"/>
      <c r="I23" s="236" t="s">
        <v>896</v>
      </c>
      <c r="J23" s="236" t="s">
        <v>395</v>
      </c>
      <c r="K23" s="239">
        <v>7.26</v>
      </c>
    </row>
    <row r="24" spans="1:11" x14ac:dyDescent="0.25">
      <c r="A24" s="605"/>
      <c r="B24" s="605"/>
      <c r="C24" s="605"/>
      <c r="D24" s="605"/>
      <c r="E24" s="236" t="s">
        <v>871</v>
      </c>
      <c r="F24" s="236" t="s">
        <v>463</v>
      </c>
      <c r="G24" s="239">
        <v>3.27</v>
      </c>
      <c r="H24" s="606"/>
      <c r="I24" s="243"/>
      <c r="J24" s="212" t="s">
        <v>590</v>
      </c>
      <c r="K24" s="239">
        <f>SUM(K6:K23)</f>
        <v>722.21000000000015</v>
      </c>
    </row>
    <row r="25" spans="1:11" x14ac:dyDescent="0.25">
      <c r="A25" s="605"/>
      <c r="B25" s="605"/>
      <c r="C25" s="605"/>
      <c r="D25" s="605"/>
      <c r="E25" s="237" t="s">
        <v>872</v>
      </c>
      <c r="F25" s="237" t="s">
        <v>464</v>
      </c>
      <c r="G25" s="238">
        <v>1.45</v>
      </c>
      <c r="H25" s="606"/>
      <c r="I25" s="604"/>
      <c r="J25" s="604"/>
      <c r="K25" s="604"/>
    </row>
    <row r="26" spans="1:11" x14ac:dyDescent="0.25">
      <c r="A26" s="605"/>
      <c r="B26" s="605"/>
      <c r="C26" s="605"/>
      <c r="D26" s="605"/>
      <c r="E26" s="236" t="s">
        <v>873</v>
      </c>
      <c r="F26" s="236" t="s">
        <v>466</v>
      </c>
      <c r="G26" s="239">
        <v>5.75</v>
      </c>
      <c r="H26" s="606"/>
      <c r="I26" s="605"/>
      <c r="J26" s="605"/>
      <c r="K26" s="605"/>
    </row>
    <row r="27" spans="1:11" x14ac:dyDescent="0.25">
      <c r="A27" s="605"/>
      <c r="B27" s="605"/>
      <c r="C27" s="605"/>
      <c r="D27" s="605"/>
      <c r="E27" s="237" t="s">
        <v>874</v>
      </c>
      <c r="F27" s="237" t="s">
        <v>467</v>
      </c>
      <c r="G27" s="238">
        <v>4.8899999999999997</v>
      </c>
      <c r="H27" s="606"/>
      <c r="I27" s="605"/>
      <c r="J27" s="605"/>
      <c r="K27" s="605"/>
    </row>
    <row r="28" spans="1:11" x14ac:dyDescent="0.25">
      <c r="A28" s="605"/>
      <c r="B28" s="605"/>
      <c r="C28" s="605"/>
      <c r="D28" s="605"/>
      <c r="E28" s="236" t="s">
        <v>875</v>
      </c>
      <c r="F28" s="236" t="s">
        <v>469</v>
      </c>
      <c r="G28" s="239">
        <v>5.28</v>
      </c>
      <c r="H28" s="606"/>
      <c r="I28" s="605"/>
      <c r="J28" s="605"/>
      <c r="K28" s="605"/>
    </row>
    <row r="29" spans="1:11" x14ac:dyDescent="0.25">
      <c r="A29" s="605"/>
      <c r="B29" s="605"/>
      <c r="C29" s="605"/>
      <c r="D29" s="605"/>
      <c r="E29" s="237" t="s">
        <v>876</v>
      </c>
      <c r="F29" s="237" t="s">
        <v>470</v>
      </c>
      <c r="G29" s="238">
        <v>35.4</v>
      </c>
      <c r="H29" s="606"/>
      <c r="I29" s="605"/>
      <c r="J29" s="605"/>
      <c r="K29" s="605"/>
    </row>
    <row r="30" spans="1:11" x14ac:dyDescent="0.25">
      <c r="A30" s="605"/>
      <c r="B30" s="605"/>
      <c r="C30" s="605"/>
      <c r="D30" s="605"/>
      <c r="E30" s="236" t="s">
        <v>877</v>
      </c>
      <c r="F30" s="236" t="s">
        <v>471</v>
      </c>
      <c r="G30" s="239">
        <v>5.28</v>
      </c>
      <c r="H30" s="606"/>
      <c r="I30" s="605"/>
      <c r="J30" s="605"/>
      <c r="K30" s="605"/>
    </row>
    <row r="31" spans="1:11" x14ac:dyDescent="0.25">
      <c r="A31" s="605"/>
      <c r="B31" s="605"/>
      <c r="C31" s="605"/>
      <c r="D31" s="605"/>
      <c r="E31" s="237" t="s">
        <v>878</v>
      </c>
      <c r="F31" s="237" t="s">
        <v>480</v>
      </c>
      <c r="G31" s="238">
        <v>1.8</v>
      </c>
      <c r="H31" s="606"/>
      <c r="I31" s="605"/>
      <c r="J31" s="605"/>
      <c r="K31" s="605"/>
    </row>
    <row r="32" spans="1:11" x14ac:dyDescent="0.25">
      <c r="A32" s="605"/>
      <c r="B32" s="605"/>
      <c r="C32" s="605"/>
      <c r="D32" s="605"/>
      <c r="F32" s="212" t="s">
        <v>590</v>
      </c>
      <c r="G32" s="239">
        <f>SUM(G6:G31)</f>
        <v>1113.4000000000003</v>
      </c>
      <c r="H32" s="606"/>
      <c r="I32" s="605"/>
      <c r="J32" s="605"/>
      <c r="K32" s="605"/>
    </row>
  </sheetData>
  <mergeCells count="9">
    <mergeCell ref="H5:H32"/>
    <mergeCell ref="D5:D32"/>
    <mergeCell ref="I25:K32"/>
    <mergeCell ref="A21:C32"/>
    <mergeCell ref="A1:J1"/>
    <mergeCell ref="K1:K3"/>
    <mergeCell ref="B2:H2"/>
    <mergeCell ref="B3:H3"/>
    <mergeCell ref="A4:K4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45"/>
  <sheetViews>
    <sheetView workbookViewId="0">
      <selection sqref="A1:J1"/>
    </sheetView>
  </sheetViews>
  <sheetFormatPr defaultRowHeight="18" x14ac:dyDescent="0.25"/>
  <cols>
    <col min="1" max="1" width="9" style="220" customWidth="1"/>
    <col min="2" max="2" width="14.44140625" style="220" customWidth="1"/>
    <col min="3" max="3" width="14.77734375" style="220" customWidth="1"/>
    <col min="4" max="4" width="4.33203125" style="220" customWidth="1"/>
    <col min="5" max="6" width="8.88671875" style="220"/>
    <col min="7" max="7" width="12.77734375" style="220" customWidth="1"/>
    <col min="8" max="8" width="4" style="220" customWidth="1"/>
    <col min="9" max="9" width="8.88671875" style="220"/>
    <col min="10" max="10" width="12.21875" style="220" bestFit="1" customWidth="1"/>
    <col min="11" max="11" width="11.6640625" style="220" customWidth="1"/>
    <col min="12" max="16384" width="8.88671875" style="220"/>
  </cols>
  <sheetData>
    <row r="1" spans="1:11" ht="18" customHeight="1" x14ac:dyDescent="0.25">
      <c r="A1" s="607" t="s">
        <v>586</v>
      </c>
      <c r="B1" s="607"/>
      <c r="C1" s="607"/>
      <c r="D1" s="607"/>
      <c r="E1" s="607"/>
      <c r="F1" s="607"/>
      <c r="G1" s="607"/>
      <c r="H1" s="607"/>
      <c r="I1" s="607"/>
      <c r="J1" s="607"/>
      <c r="K1" s="608"/>
    </row>
    <row r="2" spans="1:11" ht="18" customHeight="1" x14ac:dyDescent="0.25">
      <c r="A2" s="329" t="s">
        <v>580</v>
      </c>
      <c r="B2" s="607" t="s">
        <v>789</v>
      </c>
      <c r="C2" s="607"/>
      <c r="D2" s="607"/>
      <c r="E2" s="607"/>
      <c r="F2" s="607"/>
      <c r="G2" s="607"/>
      <c r="H2" s="607"/>
      <c r="I2" s="255" t="s">
        <v>583</v>
      </c>
      <c r="J2" s="255" t="s">
        <v>584</v>
      </c>
      <c r="K2" s="608"/>
    </row>
    <row r="3" spans="1:11" ht="36" customHeight="1" x14ac:dyDescent="0.25">
      <c r="A3" s="329">
        <v>1</v>
      </c>
      <c r="B3" s="609" t="s">
        <v>852</v>
      </c>
      <c r="C3" s="609"/>
      <c r="D3" s="609"/>
      <c r="E3" s="609"/>
      <c r="F3" s="609"/>
      <c r="G3" s="609"/>
      <c r="H3" s="609"/>
      <c r="I3" s="253" t="s">
        <v>571</v>
      </c>
      <c r="J3" s="256">
        <f>C39+G45+K42</f>
        <v>7630.58</v>
      </c>
      <c r="K3" s="608"/>
    </row>
    <row r="4" spans="1:11" ht="37.200000000000003" customHeight="1" x14ac:dyDescent="0.25">
      <c r="A4" s="329">
        <v>2</v>
      </c>
      <c r="B4" s="752" t="s">
        <v>790</v>
      </c>
      <c r="C4" s="752"/>
      <c r="D4" s="752"/>
      <c r="E4" s="752"/>
      <c r="F4" s="752"/>
      <c r="G4" s="752"/>
      <c r="H4" s="752"/>
      <c r="I4" s="253" t="s">
        <v>788</v>
      </c>
      <c r="J4" s="256">
        <v>18.93</v>
      </c>
      <c r="K4" s="608"/>
    </row>
    <row r="5" spans="1:11" ht="8.4" customHeight="1" x14ac:dyDescent="0.25">
      <c r="A5" s="610"/>
      <c r="B5" s="610"/>
      <c r="C5" s="610"/>
      <c r="D5" s="610"/>
      <c r="E5" s="610"/>
      <c r="F5" s="610"/>
      <c r="G5" s="610"/>
      <c r="H5" s="610"/>
      <c r="I5" s="610"/>
      <c r="J5" s="610"/>
      <c r="K5" s="610"/>
    </row>
    <row r="6" spans="1:11" x14ac:dyDescent="0.25">
      <c r="A6" s="226" t="s">
        <v>580</v>
      </c>
      <c r="B6" s="227" t="s">
        <v>693</v>
      </c>
      <c r="C6" s="228" t="s">
        <v>588</v>
      </c>
      <c r="D6" s="604"/>
      <c r="E6" s="249" t="s">
        <v>580</v>
      </c>
      <c r="F6" s="250" t="s">
        <v>693</v>
      </c>
      <c r="G6" s="251" t="s">
        <v>588</v>
      </c>
      <c r="H6" s="606"/>
      <c r="I6" s="240" t="s">
        <v>580</v>
      </c>
      <c r="J6" s="241" t="s">
        <v>693</v>
      </c>
      <c r="K6" s="242" t="s">
        <v>588</v>
      </c>
    </row>
    <row r="7" spans="1:11" x14ac:dyDescent="0.25">
      <c r="A7" s="224">
        <v>1</v>
      </c>
      <c r="B7" s="234" t="s">
        <v>424</v>
      </c>
      <c r="C7" s="244">
        <v>2.7</v>
      </c>
      <c r="D7" s="605"/>
      <c r="E7" s="236">
        <v>33</v>
      </c>
      <c r="F7" s="236" t="s">
        <v>425</v>
      </c>
      <c r="G7" s="239">
        <v>78.44</v>
      </c>
      <c r="H7" s="606"/>
      <c r="I7" s="237">
        <v>71</v>
      </c>
      <c r="J7" s="237" t="s">
        <v>361</v>
      </c>
      <c r="K7" s="238">
        <v>79.469999999999985</v>
      </c>
    </row>
    <row r="8" spans="1:11" x14ac:dyDescent="0.25">
      <c r="A8" s="224">
        <v>2</v>
      </c>
      <c r="B8" s="235" t="s">
        <v>484</v>
      </c>
      <c r="C8" s="246">
        <v>88.33</v>
      </c>
      <c r="D8" s="605"/>
      <c r="E8" s="237">
        <v>34</v>
      </c>
      <c r="F8" s="237" t="s">
        <v>426</v>
      </c>
      <c r="G8" s="238">
        <v>114.9</v>
      </c>
      <c r="H8" s="606"/>
      <c r="I8" s="236">
        <v>72</v>
      </c>
      <c r="J8" s="236" t="s">
        <v>362</v>
      </c>
      <c r="K8" s="239">
        <v>104.97000000000001</v>
      </c>
    </row>
    <row r="9" spans="1:11" x14ac:dyDescent="0.25">
      <c r="A9" s="224">
        <v>3</v>
      </c>
      <c r="B9" s="234" t="s">
        <v>486</v>
      </c>
      <c r="C9" s="244">
        <v>46.7</v>
      </c>
      <c r="D9" s="605"/>
      <c r="E9" s="236">
        <v>35</v>
      </c>
      <c r="F9" s="236" t="s">
        <v>427</v>
      </c>
      <c r="G9" s="239">
        <v>83.580000000000013</v>
      </c>
      <c r="H9" s="606"/>
      <c r="I9" s="237">
        <v>73</v>
      </c>
      <c r="J9" s="237" t="s">
        <v>363</v>
      </c>
      <c r="K9" s="238">
        <v>53.2</v>
      </c>
    </row>
    <row r="10" spans="1:11" x14ac:dyDescent="0.25">
      <c r="A10" s="224">
        <v>4</v>
      </c>
      <c r="B10" s="235" t="s">
        <v>487</v>
      </c>
      <c r="C10" s="246">
        <v>153.72</v>
      </c>
      <c r="D10" s="605"/>
      <c r="E10" s="237">
        <v>36</v>
      </c>
      <c r="F10" s="237" t="s">
        <v>428</v>
      </c>
      <c r="G10" s="238">
        <v>82.39</v>
      </c>
      <c r="H10" s="606"/>
      <c r="I10" s="236">
        <v>74</v>
      </c>
      <c r="J10" s="236" t="s">
        <v>364</v>
      </c>
      <c r="K10" s="239">
        <v>79.010000000000005</v>
      </c>
    </row>
    <row r="11" spans="1:11" x14ac:dyDescent="0.25">
      <c r="A11" s="224">
        <v>5</v>
      </c>
      <c r="B11" s="234" t="s">
        <v>488</v>
      </c>
      <c r="C11" s="244">
        <v>4</v>
      </c>
      <c r="D11" s="605"/>
      <c r="E11" s="236">
        <v>37</v>
      </c>
      <c r="F11" s="236" t="s">
        <v>429</v>
      </c>
      <c r="G11" s="239">
        <v>75.13000000000001</v>
      </c>
      <c r="H11" s="606"/>
      <c r="I11" s="237">
        <v>75</v>
      </c>
      <c r="J11" s="237" t="s">
        <v>365</v>
      </c>
      <c r="K11" s="238">
        <v>79.219999999999985</v>
      </c>
    </row>
    <row r="12" spans="1:11" x14ac:dyDescent="0.25">
      <c r="A12" s="224">
        <v>6</v>
      </c>
      <c r="B12" s="235" t="s">
        <v>490</v>
      </c>
      <c r="C12" s="246">
        <v>5</v>
      </c>
      <c r="D12" s="605"/>
      <c r="E12" s="237">
        <v>38</v>
      </c>
      <c r="F12" s="237" t="s">
        <v>430</v>
      </c>
      <c r="G12" s="238">
        <v>77.59</v>
      </c>
      <c r="H12" s="606"/>
      <c r="I12" s="236">
        <v>76</v>
      </c>
      <c r="J12" s="236" t="s">
        <v>366</v>
      </c>
      <c r="K12" s="239">
        <v>68.36</v>
      </c>
    </row>
    <row r="13" spans="1:11" x14ac:dyDescent="0.25">
      <c r="A13" s="224">
        <v>7</v>
      </c>
      <c r="B13" s="234" t="s">
        <v>660</v>
      </c>
      <c r="C13" s="244">
        <v>72.239999999999995</v>
      </c>
      <c r="D13" s="605"/>
      <c r="E13" s="236">
        <v>39</v>
      </c>
      <c r="F13" s="236" t="s">
        <v>431</v>
      </c>
      <c r="G13" s="239">
        <v>100.44</v>
      </c>
      <c r="H13" s="606"/>
      <c r="I13" s="237">
        <v>77</v>
      </c>
      <c r="J13" s="237" t="s">
        <v>367</v>
      </c>
      <c r="K13" s="238">
        <v>67.850000000000009</v>
      </c>
    </row>
    <row r="14" spans="1:11" x14ac:dyDescent="0.25">
      <c r="A14" s="224">
        <v>8</v>
      </c>
      <c r="B14" s="237" t="s">
        <v>498</v>
      </c>
      <c r="C14" s="238">
        <v>33.089999999999996</v>
      </c>
      <c r="D14" s="605"/>
      <c r="E14" s="237">
        <v>40</v>
      </c>
      <c r="F14" s="237" t="s">
        <v>432</v>
      </c>
      <c r="G14" s="238">
        <v>176.5</v>
      </c>
      <c r="H14" s="606"/>
      <c r="I14" s="236">
        <v>78</v>
      </c>
      <c r="J14" s="236" t="s">
        <v>368</v>
      </c>
      <c r="K14" s="239">
        <v>97.22</v>
      </c>
    </row>
    <row r="15" spans="1:11" x14ac:dyDescent="0.25">
      <c r="A15" s="224">
        <v>9</v>
      </c>
      <c r="B15" s="236" t="s">
        <v>503</v>
      </c>
      <c r="C15" s="239">
        <v>47.46</v>
      </c>
      <c r="D15" s="605"/>
      <c r="E15" s="236">
        <v>41</v>
      </c>
      <c r="F15" s="236" t="s">
        <v>671</v>
      </c>
      <c r="G15" s="239">
        <v>30.650000000000002</v>
      </c>
      <c r="H15" s="606"/>
      <c r="I15" s="237">
        <v>79</v>
      </c>
      <c r="J15" s="237" t="s">
        <v>371</v>
      </c>
      <c r="K15" s="238">
        <v>203.81000000000003</v>
      </c>
    </row>
    <row r="16" spans="1:11" x14ac:dyDescent="0.25">
      <c r="A16" s="224">
        <v>10</v>
      </c>
      <c r="B16" s="237" t="s">
        <v>504</v>
      </c>
      <c r="C16" s="238">
        <v>56.46</v>
      </c>
      <c r="D16" s="605"/>
      <c r="E16" s="237">
        <v>42</v>
      </c>
      <c r="F16" s="237" t="s">
        <v>435</v>
      </c>
      <c r="G16" s="238">
        <v>77.5</v>
      </c>
      <c r="H16" s="606"/>
      <c r="I16" s="236">
        <v>80</v>
      </c>
      <c r="J16" s="236" t="s">
        <v>372</v>
      </c>
      <c r="K16" s="239">
        <v>55.58</v>
      </c>
    </row>
    <row r="17" spans="1:11" x14ac:dyDescent="0.25">
      <c r="A17" s="224">
        <v>11</v>
      </c>
      <c r="B17" s="236" t="s">
        <v>510</v>
      </c>
      <c r="C17" s="239">
        <v>73.900000000000006</v>
      </c>
      <c r="D17" s="605"/>
      <c r="E17" s="236">
        <v>43</v>
      </c>
      <c r="F17" s="236" t="s">
        <v>438</v>
      </c>
      <c r="G17" s="239">
        <v>80.599999999999994</v>
      </c>
      <c r="H17" s="606"/>
      <c r="I17" s="237">
        <v>81</v>
      </c>
      <c r="J17" s="237" t="s">
        <v>375</v>
      </c>
      <c r="K17" s="238">
        <v>48.900000000000006</v>
      </c>
    </row>
    <row r="18" spans="1:11" x14ac:dyDescent="0.25">
      <c r="A18" s="224">
        <v>12</v>
      </c>
      <c r="B18" s="237" t="s">
        <v>511</v>
      </c>
      <c r="C18" s="238">
        <v>82.3</v>
      </c>
      <c r="D18" s="605"/>
      <c r="E18" s="237">
        <v>44</v>
      </c>
      <c r="F18" s="237" t="s">
        <v>439</v>
      </c>
      <c r="G18" s="238">
        <v>18.73</v>
      </c>
      <c r="H18" s="606"/>
      <c r="I18" s="236">
        <v>82</v>
      </c>
      <c r="J18" s="236" t="s">
        <v>376</v>
      </c>
      <c r="K18" s="239">
        <v>78.400000000000006</v>
      </c>
    </row>
    <row r="19" spans="1:11" x14ac:dyDescent="0.25">
      <c r="A19" s="224">
        <v>13</v>
      </c>
      <c r="B19" s="236" t="s">
        <v>512</v>
      </c>
      <c r="C19" s="239">
        <v>78.400000000000006</v>
      </c>
      <c r="D19" s="605"/>
      <c r="E19" s="236">
        <v>45</v>
      </c>
      <c r="F19" s="236" t="s">
        <v>443</v>
      </c>
      <c r="G19" s="239">
        <v>54.7</v>
      </c>
      <c r="H19" s="606"/>
      <c r="I19" s="237">
        <v>83</v>
      </c>
      <c r="J19" s="237" t="s">
        <v>377</v>
      </c>
      <c r="K19" s="238">
        <v>109.79999999999998</v>
      </c>
    </row>
    <row r="20" spans="1:11" x14ac:dyDescent="0.25">
      <c r="A20" s="224">
        <v>14</v>
      </c>
      <c r="B20" s="237" t="s">
        <v>513</v>
      </c>
      <c r="C20" s="238">
        <v>96.3</v>
      </c>
      <c r="D20" s="605"/>
      <c r="E20" s="237">
        <v>46</v>
      </c>
      <c r="F20" s="237" t="s">
        <v>444</v>
      </c>
      <c r="G20" s="238">
        <v>54.199999999999996</v>
      </c>
      <c r="H20" s="606"/>
      <c r="I20" s="236">
        <v>84</v>
      </c>
      <c r="J20" s="236" t="s">
        <v>378</v>
      </c>
      <c r="K20" s="239">
        <v>146.11999999999998</v>
      </c>
    </row>
    <row r="21" spans="1:11" x14ac:dyDescent="0.25">
      <c r="A21" s="224">
        <v>15</v>
      </c>
      <c r="B21" s="236" t="s">
        <v>537</v>
      </c>
      <c r="C21" s="239">
        <v>30.04</v>
      </c>
      <c r="D21" s="605"/>
      <c r="E21" s="236">
        <v>47</v>
      </c>
      <c r="F21" s="236" t="s">
        <v>450</v>
      </c>
      <c r="G21" s="239">
        <v>34.369999999999997</v>
      </c>
      <c r="H21" s="606"/>
      <c r="I21" s="237">
        <v>85</v>
      </c>
      <c r="J21" s="237" t="s">
        <v>689</v>
      </c>
      <c r="K21" s="238">
        <v>84.5</v>
      </c>
    </row>
    <row r="22" spans="1:11" x14ac:dyDescent="0.25">
      <c r="A22" s="224">
        <v>16</v>
      </c>
      <c r="B22" s="237" t="s">
        <v>538</v>
      </c>
      <c r="C22" s="238">
        <v>81.740000000000009</v>
      </c>
      <c r="D22" s="605"/>
      <c r="E22" s="237">
        <v>48</v>
      </c>
      <c r="F22" s="237" t="s">
        <v>451</v>
      </c>
      <c r="G22" s="238">
        <v>152.58000000000001</v>
      </c>
      <c r="H22" s="606"/>
      <c r="I22" s="236">
        <v>86</v>
      </c>
      <c r="J22" s="236" t="s">
        <v>646</v>
      </c>
      <c r="K22" s="239">
        <v>132.80000000000001</v>
      </c>
    </row>
    <row r="23" spans="1:11" x14ac:dyDescent="0.25">
      <c r="A23" s="224">
        <v>17</v>
      </c>
      <c r="B23" s="236" t="s">
        <v>539</v>
      </c>
      <c r="C23" s="239">
        <v>24.84</v>
      </c>
      <c r="D23" s="605"/>
      <c r="E23" s="236">
        <v>49</v>
      </c>
      <c r="F23" s="236" t="s">
        <v>678</v>
      </c>
      <c r="G23" s="239">
        <v>60.5</v>
      </c>
      <c r="H23" s="606"/>
      <c r="I23" s="237">
        <v>87</v>
      </c>
      <c r="J23" s="237" t="s">
        <v>851</v>
      </c>
      <c r="K23" s="238">
        <v>30.94</v>
      </c>
    </row>
    <row r="24" spans="1:11" x14ac:dyDescent="0.25">
      <c r="A24" s="224">
        <v>18</v>
      </c>
      <c r="B24" s="237" t="s">
        <v>541</v>
      </c>
      <c r="C24" s="238">
        <v>19.600000000000001</v>
      </c>
      <c r="D24" s="605"/>
      <c r="E24" s="237">
        <v>50</v>
      </c>
      <c r="F24" s="237" t="s">
        <v>452</v>
      </c>
      <c r="G24" s="238">
        <v>80.920000000000016</v>
      </c>
      <c r="H24" s="606"/>
      <c r="I24" s="236">
        <v>88</v>
      </c>
      <c r="J24" s="236" t="s">
        <v>690</v>
      </c>
      <c r="K24" s="239">
        <v>77.260000000000005</v>
      </c>
    </row>
    <row r="25" spans="1:11" x14ac:dyDescent="0.25">
      <c r="A25" s="224">
        <v>19</v>
      </c>
      <c r="B25" s="236" t="s">
        <v>542</v>
      </c>
      <c r="C25" s="239">
        <v>85.74</v>
      </c>
      <c r="D25" s="605"/>
      <c r="E25" s="236">
        <v>51</v>
      </c>
      <c r="F25" s="236" t="s">
        <v>453</v>
      </c>
      <c r="G25" s="239">
        <v>78.7</v>
      </c>
      <c r="H25" s="606"/>
      <c r="I25" s="237">
        <v>89</v>
      </c>
      <c r="J25" s="237" t="s">
        <v>647</v>
      </c>
      <c r="K25" s="238">
        <v>84.5</v>
      </c>
    </row>
    <row r="26" spans="1:11" x14ac:dyDescent="0.25">
      <c r="A26" s="224">
        <v>20</v>
      </c>
      <c r="B26" s="237" t="s">
        <v>543</v>
      </c>
      <c r="C26" s="238">
        <v>11.38</v>
      </c>
      <c r="D26" s="605"/>
      <c r="E26" s="237">
        <v>52</v>
      </c>
      <c r="F26" s="237" t="s">
        <v>455</v>
      </c>
      <c r="G26" s="238">
        <v>41</v>
      </c>
      <c r="H26" s="606"/>
      <c r="I26" s="236">
        <v>90</v>
      </c>
      <c r="J26" s="236" t="s">
        <v>648</v>
      </c>
      <c r="K26" s="239">
        <v>70.5</v>
      </c>
    </row>
    <row r="27" spans="1:11" x14ac:dyDescent="0.25">
      <c r="A27" s="224">
        <v>21</v>
      </c>
      <c r="B27" s="236" t="s">
        <v>545</v>
      </c>
      <c r="C27" s="239">
        <v>68.62</v>
      </c>
      <c r="D27" s="605"/>
      <c r="E27" s="236">
        <v>53</v>
      </c>
      <c r="F27" s="236" t="s">
        <v>456</v>
      </c>
      <c r="G27" s="239">
        <v>82.1</v>
      </c>
      <c r="H27" s="606"/>
      <c r="I27" s="237">
        <v>91</v>
      </c>
      <c r="J27" s="237" t="s">
        <v>379</v>
      </c>
      <c r="K27" s="238">
        <v>74.36</v>
      </c>
    </row>
    <row r="28" spans="1:11" x14ac:dyDescent="0.25">
      <c r="A28" s="224">
        <v>22</v>
      </c>
      <c r="B28" s="237" t="s">
        <v>546</v>
      </c>
      <c r="C28" s="238">
        <v>73.78</v>
      </c>
      <c r="D28" s="605"/>
      <c r="E28" s="237">
        <v>54</v>
      </c>
      <c r="F28" s="237" t="s">
        <v>457</v>
      </c>
      <c r="G28" s="238">
        <v>98.6</v>
      </c>
      <c r="H28" s="606"/>
      <c r="I28" s="236">
        <v>92</v>
      </c>
      <c r="J28" s="236" t="s">
        <v>380</v>
      </c>
      <c r="K28" s="239">
        <v>82</v>
      </c>
    </row>
    <row r="29" spans="1:11" x14ac:dyDescent="0.25">
      <c r="A29" s="224">
        <v>23</v>
      </c>
      <c r="B29" s="236" t="s">
        <v>547</v>
      </c>
      <c r="C29" s="239">
        <v>58.500000000000007</v>
      </c>
      <c r="D29" s="605"/>
      <c r="E29" s="236">
        <v>55</v>
      </c>
      <c r="F29" s="236" t="s">
        <v>458</v>
      </c>
      <c r="G29" s="239">
        <v>31.179999999999996</v>
      </c>
      <c r="H29" s="606"/>
      <c r="I29" s="237">
        <v>93</v>
      </c>
      <c r="J29" s="237" t="s">
        <v>649</v>
      </c>
      <c r="K29" s="238">
        <v>67.300000000000011</v>
      </c>
    </row>
    <row r="30" spans="1:11" x14ac:dyDescent="0.25">
      <c r="A30" s="224">
        <v>24</v>
      </c>
      <c r="B30" s="237" t="s">
        <v>548</v>
      </c>
      <c r="C30" s="238">
        <v>9.9799999999999986</v>
      </c>
      <c r="D30" s="605"/>
      <c r="E30" s="237">
        <v>56</v>
      </c>
      <c r="F30" s="237" t="s">
        <v>459</v>
      </c>
      <c r="G30" s="238">
        <v>77.580000000000013</v>
      </c>
      <c r="H30" s="606"/>
      <c r="I30" s="236">
        <v>94</v>
      </c>
      <c r="J30" s="236" t="s">
        <v>383</v>
      </c>
      <c r="K30" s="239">
        <v>110.50999999999999</v>
      </c>
    </row>
    <row r="31" spans="1:11" x14ac:dyDescent="0.25">
      <c r="A31" s="224">
        <v>25</v>
      </c>
      <c r="B31" s="236" t="s">
        <v>549</v>
      </c>
      <c r="C31" s="239">
        <v>11.649999999999999</v>
      </c>
      <c r="D31" s="605"/>
      <c r="E31" s="236">
        <v>57</v>
      </c>
      <c r="F31" s="236" t="s">
        <v>462</v>
      </c>
      <c r="G31" s="239">
        <v>85.8</v>
      </c>
      <c r="H31" s="606"/>
      <c r="I31" s="237">
        <v>95</v>
      </c>
      <c r="J31" s="237" t="s">
        <v>384</v>
      </c>
      <c r="K31" s="238">
        <v>41.2</v>
      </c>
    </row>
    <row r="32" spans="1:11" x14ac:dyDescent="0.25">
      <c r="A32" s="224">
        <v>26</v>
      </c>
      <c r="B32" s="237" t="s">
        <v>551</v>
      </c>
      <c r="C32" s="238">
        <v>64.12</v>
      </c>
      <c r="D32" s="605"/>
      <c r="E32" s="237">
        <v>58</v>
      </c>
      <c r="F32" s="237" t="s">
        <v>463</v>
      </c>
      <c r="G32" s="238">
        <v>83.96</v>
      </c>
      <c r="H32" s="606"/>
      <c r="I32" s="236">
        <v>96</v>
      </c>
      <c r="J32" s="236" t="s">
        <v>385</v>
      </c>
      <c r="K32" s="239">
        <v>83.02000000000001</v>
      </c>
    </row>
    <row r="33" spans="1:11" x14ac:dyDescent="0.25">
      <c r="A33" s="224">
        <v>27</v>
      </c>
      <c r="B33" s="236" t="s">
        <v>552</v>
      </c>
      <c r="C33" s="239">
        <v>69.2</v>
      </c>
      <c r="D33" s="605"/>
      <c r="E33" s="236">
        <v>59</v>
      </c>
      <c r="F33" s="236" t="s">
        <v>464</v>
      </c>
      <c r="G33" s="239">
        <v>75.38</v>
      </c>
      <c r="H33" s="606"/>
      <c r="I33" s="237">
        <v>97</v>
      </c>
      <c r="J33" s="237" t="s">
        <v>386</v>
      </c>
      <c r="K33" s="238">
        <v>35.69</v>
      </c>
    </row>
    <row r="34" spans="1:11" x14ac:dyDescent="0.25">
      <c r="A34" s="224">
        <v>28</v>
      </c>
      <c r="B34" s="237" t="s">
        <v>554</v>
      </c>
      <c r="C34" s="238">
        <v>36.450000000000003</v>
      </c>
      <c r="D34" s="605"/>
      <c r="E34" s="237">
        <v>60</v>
      </c>
      <c r="F34" s="237" t="s">
        <v>466</v>
      </c>
      <c r="G34" s="238">
        <v>84.5</v>
      </c>
      <c r="H34" s="606"/>
      <c r="I34" s="236">
        <v>98</v>
      </c>
      <c r="J34" s="236" t="s">
        <v>387</v>
      </c>
      <c r="K34" s="239">
        <v>38.4</v>
      </c>
    </row>
    <row r="35" spans="1:11" x14ac:dyDescent="0.25">
      <c r="A35" s="224">
        <v>29</v>
      </c>
      <c r="B35" s="236" t="s">
        <v>555</v>
      </c>
      <c r="C35" s="239">
        <v>92.15</v>
      </c>
      <c r="D35" s="605"/>
      <c r="E35" s="236">
        <v>61</v>
      </c>
      <c r="F35" s="236" t="s">
        <v>467</v>
      </c>
      <c r="G35" s="239">
        <v>87.4</v>
      </c>
      <c r="H35" s="606"/>
      <c r="I35" s="237">
        <v>99</v>
      </c>
      <c r="J35" s="237" t="s">
        <v>388</v>
      </c>
      <c r="K35" s="238">
        <v>103.5</v>
      </c>
    </row>
    <row r="36" spans="1:11" x14ac:dyDescent="0.25">
      <c r="A36" s="224">
        <v>30</v>
      </c>
      <c r="B36" s="237" t="s">
        <v>556</v>
      </c>
      <c r="C36" s="238">
        <v>94.82</v>
      </c>
      <c r="D36" s="605"/>
      <c r="E36" s="237">
        <v>62</v>
      </c>
      <c r="F36" s="237" t="s">
        <v>469</v>
      </c>
      <c r="G36" s="238">
        <v>103.34</v>
      </c>
      <c r="H36" s="606"/>
      <c r="I36" s="236">
        <v>100</v>
      </c>
      <c r="J36" s="236" t="s">
        <v>389</v>
      </c>
      <c r="K36" s="239">
        <v>37</v>
      </c>
    </row>
    <row r="37" spans="1:11" x14ac:dyDescent="0.25">
      <c r="A37" s="224">
        <v>31</v>
      </c>
      <c r="B37" s="236" t="s">
        <v>557</v>
      </c>
      <c r="C37" s="239">
        <v>105.7</v>
      </c>
      <c r="D37" s="605"/>
      <c r="E37" s="236">
        <v>63</v>
      </c>
      <c r="F37" s="236" t="s">
        <v>471</v>
      </c>
      <c r="G37" s="239">
        <v>100.7</v>
      </c>
      <c r="H37" s="606"/>
      <c r="I37" s="237">
        <v>101</v>
      </c>
      <c r="J37" s="237" t="s">
        <v>391</v>
      </c>
      <c r="K37" s="238">
        <v>86.32</v>
      </c>
    </row>
    <row r="38" spans="1:11" x14ac:dyDescent="0.25">
      <c r="A38" s="224">
        <v>32</v>
      </c>
      <c r="B38" s="237" t="s">
        <v>558</v>
      </c>
      <c r="C38" s="238">
        <v>78</v>
      </c>
      <c r="D38" s="605"/>
      <c r="E38" s="237">
        <v>64</v>
      </c>
      <c r="F38" s="237" t="s">
        <v>473</v>
      </c>
      <c r="G38" s="238">
        <v>33.099999999999994</v>
      </c>
      <c r="H38" s="606"/>
      <c r="I38" s="236">
        <v>102</v>
      </c>
      <c r="J38" s="236" t="s">
        <v>392</v>
      </c>
      <c r="K38" s="239">
        <v>101.72</v>
      </c>
    </row>
    <row r="39" spans="1:11" x14ac:dyDescent="0.25">
      <c r="A39" s="205"/>
      <c r="B39" s="212" t="s">
        <v>590</v>
      </c>
      <c r="C39" s="333">
        <f>SUM(C7:C38)</f>
        <v>1856.9100000000003</v>
      </c>
      <c r="D39" s="605"/>
      <c r="E39" s="236">
        <v>65</v>
      </c>
      <c r="F39" s="236" t="s">
        <v>475</v>
      </c>
      <c r="G39" s="239">
        <v>38.9</v>
      </c>
      <c r="H39" s="606"/>
      <c r="I39" s="237">
        <v>103</v>
      </c>
      <c r="J39" s="237" t="s">
        <v>393</v>
      </c>
      <c r="K39" s="238">
        <v>83.5</v>
      </c>
    </row>
    <row r="40" spans="1:11" x14ac:dyDescent="0.25">
      <c r="A40" s="604"/>
      <c r="B40" s="604"/>
      <c r="C40" s="604"/>
      <c r="D40" s="605"/>
      <c r="E40" s="237">
        <v>66</v>
      </c>
      <c r="F40" s="237" t="s">
        <v>476</v>
      </c>
      <c r="G40" s="238">
        <v>102.8</v>
      </c>
      <c r="H40" s="606"/>
      <c r="I40" s="236">
        <v>104</v>
      </c>
      <c r="J40" s="236" t="s">
        <v>394</v>
      </c>
      <c r="K40" s="239">
        <v>36.67</v>
      </c>
    </row>
    <row r="41" spans="1:11" x14ac:dyDescent="0.25">
      <c r="A41" s="605"/>
      <c r="B41" s="605"/>
      <c r="C41" s="605"/>
      <c r="D41" s="605"/>
      <c r="E41" s="236">
        <v>67</v>
      </c>
      <c r="F41" s="236" t="s">
        <v>477</v>
      </c>
      <c r="G41" s="239">
        <v>39</v>
      </c>
      <c r="H41" s="606"/>
      <c r="I41" s="237">
        <v>105</v>
      </c>
      <c r="J41" s="237" t="s">
        <v>395</v>
      </c>
      <c r="K41" s="238">
        <v>61.79</v>
      </c>
    </row>
    <row r="42" spans="1:11" x14ac:dyDescent="0.25">
      <c r="A42" s="605"/>
      <c r="B42" s="605"/>
      <c r="C42" s="605"/>
      <c r="D42" s="605"/>
      <c r="E42" s="237">
        <v>68</v>
      </c>
      <c r="F42" s="237" t="s">
        <v>478</v>
      </c>
      <c r="G42" s="238">
        <v>116.25</v>
      </c>
      <c r="H42" s="606"/>
      <c r="I42" s="243"/>
      <c r="J42" s="212" t="s">
        <v>590</v>
      </c>
      <c r="K42" s="239">
        <f>SUM(K7:K41)</f>
        <v>2795.39</v>
      </c>
    </row>
    <row r="43" spans="1:11" x14ac:dyDescent="0.25">
      <c r="A43" s="605"/>
      <c r="B43" s="605"/>
      <c r="C43" s="605"/>
      <c r="D43" s="605"/>
      <c r="E43" s="236">
        <v>69</v>
      </c>
      <c r="F43" s="236" t="s">
        <v>479</v>
      </c>
      <c r="G43" s="239">
        <v>83.5</v>
      </c>
      <c r="H43" s="606"/>
      <c r="I43" s="604"/>
      <c r="J43" s="604"/>
      <c r="K43" s="604"/>
    </row>
    <row r="44" spans="1:11" x14ac:dyDescent="0.25">
      <c r="A44" s="605"/>
      <c r="B44" s="605"/>
      <c r="C44" s="605"/>
      <c r="D44" s="605"/>
      <c r="E44" s="237">
        <v>70</v>
      </c>
      <c r="F44" s="237" t="s">
        <v>480</v>
      </c>
      <c r="G44" s="238">
        <v>100.77</v>
      </c>
      <c r="H44" s="606"/>
      <c r="I44" s="605"/>
      <c r="J44" s="605"/>
      <c r="K44" s="605"/>
    </row>
    <row r="45" spans="1:11" x14ac:dyDescent="0.25">
      <c r="A45" s="605"/>
      <c r="B45" s="605"/>
      <c r="C45" s="605"/>
      <c r="D45" s="605"/>
      <c r="F45" s="212" t="s">
        <v>590</v>
      </c>
      <c r="G45" s="239">
        <f>SUM(G7:G44)</f>
        <v>2978.28</v>
      </c>
      <c r="H45" s="606"/>
      <c r="I45" s="605"/>
      <c r="J45" s="605"/>
      <c r="K45" s="605"/>
    </row>
  </sheetData>
  <mergeCells count="10">
    <mergeCell ref="I43:K45"/>
    <mergeCell ref="A40:C45"/>
    <mergeCell ref="D6:D45"/>
    <mergeCell ref="H6:H45"/>
    <mergeCell ref="A1:J1"/>
    <mergeCell ref="K1:K4"/>
    <mergeCell ref="B2:H2"/>
    <mergeCell ref="B3:H3"/>
    <mergeCell ref="B4:H4"/>
    <mergeCell ref="A5:K5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9"/>
  <sheetViews>
    <sheetView workbookViewId="0">
      <selection sqref="A1:E1"/>
    </sheetView>
  </sheetViews>
  <sheetFormatPr defaultRowHeight="18" x14ac:dyDescent="0.25"/>
  <cols>
    <col min="1" max="1" width="9" style="220" customWidth="1"/>
    <col min="2" max="2" width="33.77734375" style="220" customWidth="1"/>
    <col min="3" max="3" width="35.109375" style="220" customWidth="1"/>
    <col min="4" max="4" width="8.88671875" style="220"/>
    <col min="5" max="5" width="12.21875" style="220" bestFit="1" customWidth="1"/>
    <col min="6" max="6" width="11.6640625" style="220" customWidth="1"/>
    <col min="7" max="16384" width="8.88671875" style="220"/>
  </cols>
  <sheetData>
    <row r="1" spans="1:6" ht="18" customHeight="1" x14ac:dyDescent="0.25">
      <c r="A1" s="607" t="s">
        <v>586</v>
      </c>
      <c r="B1" s="607"/>
      <c r="C1" s="607"/>
      <c r="D1" s="607"/>
      <c r="E1" s="607"/>
      <c r="F1" s="608"/>
    </row>
    <row r="2" spans="1:6" s="408" customFormat="1" ht="18" customHeight="1" x14ac:dyDescent="0.25">
      <c r="A2" s="405" t="s">
        <v>580</v>
      </c>
      <c r="B2" s="405" t="s">
        <v>789</v>
      </c>
      <c r="C2" s="405" t="s">
        <v>582</v>
      </c>
      <c r="D2" s="253" t="s">
        <v>583</v>
      </c>
      <c r="E2" s="253" t="s">
        <v>584</v>
      </c>
      <c r="F2" s="608"/>
    </row>
    <row r="3" spans="1:6" ht="75" customHeight="1" x14ac:dyDescent="0.25">
      <c r="A3" s="405">
        <v>1</v>
      </c>
      <c r="B3" s="407" t="s">
        <v>954</v>
      </c>
      <c r="C3" s="407" t="s">
        <v>955</v>
      </c>
      <c r="D3" s="253" t="s">
        <v>571</v>
      </c>
      <c r="E3" s="256">
        <v>594.29999999999995</v>
      </c>
      <c r="F3" s="608"/>
    </row>
    <row r="4" spans="1:6" ht="36" x14ac:dyDescent="0.25">
      <c r="A4" s="405">
        <v>2</v>
      </c>
      <c r="B4" s="407" t="s">
        <v>954</v>
      </c>
      <c r="C4" s="407" t="s">
        <v>957</v>
      </c>
      <c r="D4" s="253" t="s">
        <v>571</v>
      </c>
      <c r="E4" s="256">
        <v>8.0500000000000007</v>
      </c>
    </row>
    <row r="6" spans="1:6" ht="18" customHeight="1" x14ac:dyDescent="0.25">
      <c r="A6" s="607" t="s">
        <v>586</v>
      </c>
      <c r="B6" s="607"/>
      <c r="C6" s="607"/>
      <c r="D6" s="607"/>
      <c r="E6" s="607"/>
      <c r="F6" s="608"/>
    </row>
    <row r="7" spans="1:6" s="408" customFormat="1" ht="18" customHeight="1" x14ac:dyDescent="0.25">
      <c r="A7" s="405" t="s">
        <v>580</v>
      </c>
      <c r="B7" s="405" t="s">
        <v>789</v>
      </c>
      <c r="C7" s="405" t="s">
        <v>582</v>
      </c>
      <c r="D7" s="253" t="s">
        <v>583</v>
      </c>
      <c r="E7" s="253" t="s">
        <v>584</v>
      </c>
      <c r="F7" s="608"/>
    </row>
    <row r="8" spans="1:6" ht="70.2" customHeight="1" x14ac:dyDescent="0.25">
      <c r="A8" s="405">
        <v>1</v>
      </c>
      <c r="B8" s="407" t="s">
        <v>954</v>
      </c>
      <c r="C8" s="407" t="s">
        <v>956</v>
      </c>
      <c r="D8" s="253" t="s">
        <v>571</v>
      </c>
      <c r="E8" s="256">
        <v>594.29999999999995</v>
      </c>
      <c r="F8" s="608"/>
    </row>
    <row r="9" spans="1:6" ht="36" x14ac:dyDescent="0.25">
      <c r="A9" s="405">
        <v>2</v>
      </c>
      <c r="B9" s="407" t="s">
        <v>954</v>
      </c>
      <c r="C9" s="407" t="s">
        <v>958</v>
      </c>
      <c r="D9" s="253" t="s">
        <v>571</v>
      </c>
      <c r="E9" s="256">
        <v>8.0500000000000007</v>
      </c>
    </row>
  </sheetData>
  <mergeCells count="4">
    <mergeCell ref="A6:E6"/>
    <mergeCell ref="F6:F8"/>
    <mergeCell ref="A1:E1"/>
    <mergeCell ref="F1:F3"/>
  </mergeCells>
  <pageMargins left="0.7" right="0.7" top="0.75" bottom="0.75" header="0.3" footer="0.3"/>
  <pageSetup paperSize="9" orientation="portrait" horizontalDpi="0" verticalDpi="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40"/>
  <sheetViews>
    <sheetView workbookViewId="0">
      <selection sqref="A1:J1"/>
    </sheetView>
  </sheetViews>
  <sheetFormatPr defaultRowHeight="18" x14ac:dyDescent="0.25"/>
  <cols>
    <col min="1" max="1" width="9" style="220" customWidth="1"/>
    <col min="2" max="2" width="14.44140625" style="220" customWidth="1"/>
    <col min="3" max="3" width="14.77734375" style="220" customWidth="1"/>
    <col min="4" max="4" width="4.33203125" style="220" customWidth="1"/>
    <col min="5" max="6" width="8.88671875" style="220"/>
    <col min="7" max="7" width="12.77734375" style="220" customWidth="1"/>
    <col min="8" max="8" width="4" style="220" customWidth="1"/>
    <col min="9" max="9" width="8.88671875" style="220"/>
    <col min="10" max="10" width="12.21875" style="220" bestFit="1" customWidth="1"/>
    <col min="11" max="11" width="11.6640625" style="220" customWidth="1"/>
    <col min="12" max="16384" width="8.88671875" style="220"/>
  </cols>
  <sheetData>
    <row r="1" spans="1:11" ht="18" customHeight="1" x14ac:dyDescent="0.25">
      <c r="A1" s="607" t="s">
        <v>586</v>
      </c>
      <c r="B1" s="607"/>
      <c r="C1" s="607"/>
      <c r="D1" s="607"/>
      <c r="E1" s="607"/>
      <c r="F1" s="607"/>
      <c r="G1" s="607"/>
      <c r="H1" s="607"/>
      <c r="I1" s="607"/>
      <c r="J1" s="607"/>
      <c r="K1" s="608"/>
    </row>
    <row r="2" spans="1:11" ht="18" customHeight="1" x14ac:dyDescent="0.25">
      <c r="A2" s="233" t="s">
        <v>580</v>
      </c>
      <c r="B2" s="607" t="s">
        <v>789</v>
      </c>
      <c r="C2" s="607"/>
      <c r="D2" s="607"/>
      <c r="E2" s="607"/>
      <c r="F2" s="607"/>
      <c r="G2" s="607"/>
      <c r="H2" s="607"/>
      <c r="I2" s="255" t="s">
        <v>583</v>
      </c>
      <c r="J2" s="255" t="s">
        <v>584</v>
      </c>
      <c r="K2" s="608"/>
    </row>
    <row r="3" spans="1:11" ht="36" customHeight="1" x14ac:dyDescent="0.25">
      <c r="A3" s="233">
        <v>1</v>
      </c>
      <c r="B3" s="609" t="s">
        <v>791</v>
      </c>
      <c r="C3" s="609"/>
      <c r="D3" s="609"/>
      <c r="E3" s="609"/>
      <c r="F3" s="609"/>
      <c r="G3" s="609"/>
      <c r="H3" s="609"/>
      <c r="I3" s="253" t="s">
        <v>571</v>
      </c>
      <c r="J3" s="256">
        <f>C35+G40+K31</f>
        <v>9286.130000000001</v>
      </c>
      <c r="K3" s="608"/>
    </row>
    <row r="4" spans="1:11" ht="37.200000000000003" customHeight="1" x14ac:dyDescent="0.25">
      <c r="A4" s="233">
        <v>2</v>
      </c>
      <c r="B4" s="752" t="s">
        <v>790</v>
      </c>
      <c r="C4" s="752"/>
      <c r="D4" s="752"/>
      <c r="E4" s="752"/>
      <c r="F4" s="752"/>
      <c r="G4" s="752"/>
      <c r="H4" s="752"/>
      <c r="I4" s="253" t="s">
        <v>788</v>
      </c>
      <c r="J4" s="256">
        <v>18.93</v>
      </c>
      <c r="K4" s="608"/>
    </row>
    <row r="5" spans="1:11" ht="8.4" customHeight="1" x14ac:dyDescent="0.25">
      <c r="A5" s="610"/>
      <c r="B5" s="610"/>
      <c r="C5" s="610"/>
      <c r="D5" s="610"/>
      <c r="E5" s="610"/>
      <c r="F5" s="610"/>
      <c r="G5" s="610"/>
      <c r="H5" s="610"/>
      <c r="I5" s="610"/>
      <c r="J5" s="610"/>
      <c r="K5" s="610"/>
    </row>
    <row r="6" spans="1:11" x14ac:dyDescent="0.25">
      <c r="A6" s="226" t="s">
        <v>580</v>
      </c>
      <c r="B6" s="227" t="s">
        <v>693</v>
      </c>
      <c r="C6" s="228" t="s">
        <v>588</v>
      </c>
      <c r="D6" s="604"/>
      <c r="E6" s="249" t="s">
        <v>580</v>
      </c>
      <c r="F6" s="250" t="s">
        <v>693</v>
      </c>
      <c r="G6" s="251" t="s">
        <v>588</v>
      </c>
      <c r="H6" s="605"/>
      <c r="I6" s="240" t="s">
        <v>580</v>
      </c>
      <c r="J6" s="241" t="s">
        <v>693</v>
      </c>
      <c r="K6" s="242" t="s">
        <v>588</v>
      </c>
    </row>
    <row r="7" spans="1:11" x14ac:dyDescent="0.25">
      <c r="A7" s="224">
        <v>1</v>
      </c>
      <c r="B7" s="221" t="s">
        <v>484</v>
      </c>
      <c r="C7" s="225">
        <v>64.7</v>
      </c>
      <c r="D7" s="605"/>
      <c r="E7" s="243">
        <v>29</v>
      </c>
      <c r="F7" s="234" t="s">
        <v>729</v>
      </c>
      <c r="G7" s="244">
        <v>48</v>
      </c>
      <c r="H7" s="605"/>
      <c r="I7" s="245">
        <v>62</v>
      </c>
      <c r="J7" s="237" t="s">
        <v>762</v>
      </c>
      <c r="K7" s="238">
        <v>74.5</v>
      </c>
    </row>
    <row r="8" spans="1:11" x14ac:dyDescent="0.25">
      <c r="A8" s="224">
        <v>2</v>
      </c>
      <c r="B8" s="221" t="s">
        <v>510</v>
      </c>
      <c r="C8" s="225">
        <v>106.2</v>
      </c>
      <c r="D8" s="605"/>
      <c r="E8" s="245">
        <v>30</v>
      </c>
      <c r="F8" s="235" t="s">
        <v>730</v>
      </c>
      <c r="G8" s="246">
        <v>110.2</v>
      </c>
      <c r="H8" s="605"/>
      <c r="I8" s="243">
        <v>63</v>
      </c>
      <c r="J8" s="236" t="s">
        <v>763</v>
      </c>
      <c r="K8" s="239">
        <v>74.5</v>
      </c>
    </row>
    <row r="9" spans="1:11" x14ac:dyDescent="0.25">
      <c r="A9" s="224">
        <v>3</v>
      </c>
      <c r="B9" s="221" t="s">
        <v>703</v>
      </c>
      <c r="C9" s="225">
        <v>150</v>
      </c>
      <c r="D9" s="605"/>
      <c r="E9" s="243">
        <v>31</v>
      </c>
      <c r="F9" s="234" t="s">
        <v>731</v>
      </c>
      <c r="G9" s="244">
        <v>76</v>
      </c>
      <c r="H9" s="605"/>
      <c r="I9" s="245">
        <v>64</v>
      </c>
      <c r="J9" s="237" t="s">
        <v>764</v>
      </c>
      <c r="K9" s="238">
        <v>104.2</v>
      </c>
    </row>
    <row r="10" spans="1:11" x14ac:dyDescent="0.25">
      <c r="A10" s="224">
        <v>4</v>
      </c>
      <c r="B10" s="221" t="s">
        <v>704</v>
      </c>
      <c r="C10" s="225">
        <v>439.4</v>
      </c>
      <c r="D10" s="605"/>
      <c r="E10" s="245">
        <v>32</v>
      </c>
      <c r="F10" s="235" t="s">
        <v>732</v>
      </c>
      <c r="G10" s="246">
        <v>108.3</v>
      </c>
      <c r="H10" s="605"/>
      <c r="I10" s="243">
        <v>65</v>
      </c>
      <c r="J10" s="236" t="s">
        <v>765</v>
      </c>
      <c r="K10" s="239">
        <v>121.4</v>
      </c>
    </row>
    <row r="11" spans="1:11" x14ac:dyDescent="0.25">
      <c r="A11" s="224">
        <v>5</v>
      </c>
      <c r="B11" s="221" t="s">
        <v>705</v>
      </c>
      <c r="C11" s="225">
        <v>59.2</v>
      </c>
      <c r="D11" s="605"/>
      <c r="E11" s="243">
        <v>33</v>
      </c>
      <c r="F11" s="234" t="s">
        <v>733</v>
      </c>
      <c r="G11" s="244">
        <v>43.9</v>
      </c>
      <c r="H11" s="605"/>
      <c r="I11" s="245">
        <v>66</v>
      </c>
      <c r="J11" s="237" t="s">
        <v>766</v>
      </c>
      <c r="K11" s="238">
        <v>77.400000000000006</v>
      </c>
    </row>
    <row r="12" spans="1:11" x14ac:dyDescent="0.25">
      <c r="A12" s="224">
        <v>6</v>
      </c>
      <c r="B12" s="221" t="s">
        <v>706</v>
      </c>
      <c r="C12" s="225">
        <v>172.9</v>
      </c>
      <c r="D12" s="605"/>
      <c r="E12" s="245">
        <v>34</v>
      </c>
      <c r="F12" s="235" t="s">
        <v>734</v>
      </c>
      <c r="G12" s="246">
        <v>127.2</v>
      </c>
      <c r="H12" s="605"/>
      <c r="I12" s="243">
        <v>67</v>
      </c>
      <c r="J12" s="236" t="s">
        <v>767</v>
      </c>
      <c r="K12" s="239">
        <v>105.1</v>
      </c>
    </row>
    <row r="13" spans="1:11" x14ac:dyDescent="0.25">
      <c r="A13" s="224">
        <v>7</v>
      </c>
      <c r="B13" s="221" t="s">
        <v>707</v>
      </c>
      <c r="C13" s="225">
        <v>114.2</v>
      </c>
      <c r="D13" s="605"/>
      <c r="E13" s="243">
        <v>35</v>
      </c>
      <c r="F13" s="234" t="s">
        <v>735</v>
      </c>
      <c r="G13" s="244">
        <v>92.5</v>
      </c>
      <c r="H13" s="605"/>
      <c r="I13" s="245">
        <v>68</v>
      </c>
      <c r="J13" s="237" t="s">
        <v>768</v>
      </c>
      <c r="K13" s="238">
        <v>46.7</v>
      </c>
    </row>
    <row r="14" spans="1:11" x14ac:dyDescent="0.25">
      <c r="A14" s="224">
        <v>8</v>
      </c>
      <c r="B14" s="221" t="s">
        <v>708</v>
      </c>
      <c r="C14" s="225">
        <v>105.9</v>
      </c>
      <c r="D14" s="605"/>
      <c r="E14" s="245">
        <v>36</v>
      </c>
      <c r="F14" s="237" t="s">
        <v>736</v>
      </c>
      <c r="G14" s="238">
        <v>287.7</v>
      </c>
      <c r="H14" s="605"/>
      <c r="I14" s="243">
        <v>69</v>
      </c>
      <c r="J14" s="236" t="s">
        <v>769</v>
      </c>
      <c r="K14" s="239">
        <v>153.1</v>
      </c>
    </row>
    <row r="15" spans="1:11" x14ac:dyDescent="0.25">
      <c r="A15" s="224">
        <v>9</v>
      </c>
      <c r="B15" s="221" t="s">
        <v>709</v>
      </c>
      <c r="C15" s="225">
        <v>76.7</v>
      </c>
      <c r="D15" s="605"/>
      <c r="E15" s="243">
        <v>37</v>
      </c>
      <c r="F15" s="236" t="s">
        <v>737</v>
      </c>
      <c r="G15" s="239">
        <v>80.3</v>
      </c>
      <c r="H15" s="605"/>
      <c r="I15" s="245">
        <v>70</v>
      </c>
      <c r="J15" s="237" t="s">
        <v>770</v>
      </c>
      <c r="K15" s="238">
        <v>107.6</v>
      </c>
    </row>
    <row r="16" spans="1:11" x14ac:dyDescent="0.25">
      <c r="A16" s="224">
        <v>10</v>
      </c>
      <c r="B16" s="221" t="s">
        <v>710</v>
      </c>
      <c r="C16" s="225">
        <v>260.7</v>
      </c>
      <c r="D16" s="605"/>
      <c r="E16" s="245">
        <v>38</v>
      </c>
      <c r="F16" s="237" t="s">
        <v>738</v>
      </c>
      <c r="G16" s="238">
        <v>266.39999999999998</v>
      </c>
      <c r="H16" s="605"/>
      <c r="I16" s="245">
        <v>71</v>
      </c>
      <c r="J16" s="237" t="s">
        <v>771</v>
      </c>
      <c r="K16" s="238">
        <v>81.599999999999994</v>
      </c>
    </row>
    <row r="17" spans="1:11" x14ac:dyDescent="0.25">
      <c r="A17" s="224">
        <v>11</v>
      </c>
      <c r="B17" s="221" t="s">
        <v>711</v>
      </c>
      <c r="C17" s="225">
        <v>107.1</v>
      </c>
      <c r="D17" s="605"/>
      <c r="E17" s="243">
        <v>39</v>
      </c>
      <c r="F17" s="236" t="s">
        <v>739</v>
      </c>
      <c r="G17" s="239">
        <v>106.3</v>
      </c>
      <c r="H17" s="605"/>
      <c r="I17" s="243">
        <v>72</v>
      </c>
      <c r="J17" s="236" t="s">
        <v>772</v>
      </c>
      <c r="K17" s="239">
        <v>461.4</v>
      </c>
    </row>
    <row r="18" spans="1:11" x14ac:dyDescent="0.25">
      <c r="A18" s="224">
        <v>12</v>
      </c>
      <c r="B18" s="221" t="s">
        <v>712</v>
      </c>
      <c r="C18" s="225">
        <v>169.5</v>
      </c>
      <c r="D18" s="605"/>
      <c r="E18" s="245">
        <v>40</v>
      </c>
      <c r="F18" s="237" t="s">
        <v>740</v>
      </c>
      <c r="G18" s="238">
        <v>104.5</v>
      </c>
      <c r="H18" s="605"/>
      <c r="I18" s="245">
        <v>73</v>
      </c>
      <c r="J18" s="237" t="s">
        <v>773</v>
      </c>
      <c r="K18" s="238">
        <v>98.6</v>
      </c>
    </row>
    <row r="19" spans="1:11" x14ac:dyDescent="0.25">
      <c r="A19" s="224">
        <v>13</v>
      </c>
      <c r="B19" s="221" t="s">
        <v>713</v>
      </c>
      <c r="C19" s="225">
        <v>62.9</v>
      </c>
      <c r="D19" s="605"/>
      <c r="E19" s="243">
        <v>41</v>
      </c>
      <c r="F19" s="236" t="s">
        <v>741</v>
      </c>
      <c r="G19" s="239">
        <v>102.3</v>
      </c>
      <c r="H19" s="605"/>
      <c r="I19" s="243">
        <v>74</v>
      </c>
      <c r="J19" s="236" t="s">
        <v>774</v>
      </c>
      <c r="K19" s="239">
        <v>80.099999999999994</v>
      </c>
    </row>
    <row r="20" spans="1:11" x14ac:dyDescent="0.25">
      <c r="A20" s="224">
        <v>14</v>
      </c>
      <c r="B20" s="221" t="s">
        <v>714</v>
      </c>
      <c r="C20" s="225">
        <v>55.9</v>
      </c>
      <c r="D20" s="605"/>
      <c r="E20" s="245">
        <v>42</v>
      </c>
      <c r="F20" s="237" t="s">
        <v>742</v>
      </c>
      <c r="G20" s="238">
        <v>105.3</v>
      </c>
      <c r="H20" s="605"/>
      <c r="I20" s="245">
        <v>75</v>
      </c>
      <c r="J20" s="237" t="s">
        <v>775</v>
      </c>
      <c r="K20" s="238">
        <v>82.21</v>
      </c>
    </row>
    <row r="21" spans="1:11" x14ac:dyDescent="0.25">
      <c r="A21" s="224">
        <v>15</v>
      </c>
      <c r="B21" s="221" t="s">
        <v>715</v>
      </c>
      <c r="C21" s="225">
        <v>55.1</v>
      </c>
      <c r="D21" s="605"/>
      <c r="E21" s="243">
        <v>43</v>
      </c>
      <c r="F21" s="236" t="s">
        <v>743</v>
      </c>
      <c r="G21" s="239">
        <v>173.9</v>
      </c>
      <c r="H21" s="605"/>
      <c r="I21" s="243">
        <v>76</v>
      </c>
      <c r="J21" s="236" t="s">
        <v>776</v>
      </c>
      <c r="K21" s="239">
        <v>170.64</v>
      </c>
    </row>
    <row r="22" spans="1:11" x14ac:dyDescent="0.25">
      <c r="A22" s="224">
        <v>16</v>
      </c>
      <c r="B22" s="221" t="s">
        <v>716</v>
      </c>
      <c r="C22" s="225">
        <v>62.9</v>
      </c>
      <c r="D22" s="605"/>
      <c r="E22" s="245">
        <v>44</v>
      </c>
      <c r="F22" s="237" t="s">
        <v>744</v>
      </c>
      <c r="G22" s="238">
        <v>78.7</v>
      </c>
      <c r="H22" s="605"/>
      <c r="I22" s="245">
        <v>77</v>
      </c>
      <c r="J22" s="237" t="s">
        <v>777</v>
      </c>
      <c r="K22" s="238">
        <v>90.2</v>
      </c>
    </row>
    <row r="23" spans="1:11" x14ac:dyDescent="0.25">
      <c r="A23" s="224">
        <v>17</v>
      </c>
      <c r="B23" s="221" t="s">
        <v>717</v>
      </c>
      <c r="C23" s="225">
        <v>78.17</v>
      </c>
      <c r="D23" s="605"/>
      <c r="E23" s="243">
        <v>45</v>
      </c>
      <c r="F23" s="236" t="s">
        <v>745</v>
      </c>
      <c r="G23" s="239">
        <v>73.8</v>
      </c>
      <c r="H23" s="605"/>
      <c r="I23" s="243">
        <v>78</v>
      </c>
      <c r="J23" s="236" t="s">
        <v>778</v>
      </c>
      <c r="K23" s="239">
        <v>88.64</v>
      </c>
    </row>
    <row r="24" spans="1:11" x14ac:dyDescent="0.25">
      <c r="A24" s="224">
        <v>18</v>
      </c>
      <c r="B24" s="221" t="s">
        <v>718</v>
      </c>
      <c r="C24" s="225">
        <v>82.45</v>
      </c>
      <c r="D24" s="605"/>
      <c r="E24" s="245">
        <v>46</v>
      </c>
      <c r="F24" s="237" t="s">
        <v>746</v>
      </c>
      <c r="G24" s="238">
        <v>103.6</v>
      </c>
      <c r="H24" s="605"/>
      <c r="I24" s="245">
        <v>79</v>
      </c>
      <c r="J24" s="237" t="s">
        <v>779</v>
      </c>
      <c r="K24" s="238">
        <v>93.37</v>
      </c>
    </row>
    <row r="25" spans="1:11" x14ac:dyDescent="0.25">
      <c r="A25" s="224">
        <v>19</v>
      </c>
      <c r="B25" s="221" t="s">
        <v>719</v>
      </c>
      <c r="C25" s="225">
        <v>88.64</v>
      </c>
      <c r="D25" s="605"/>
      <c r="E25" s="243">
        <v>47</v>
      </c>
      <c r="F25" s="236" t="s">
        <v>747</v>
      </c>
      <c r="G25" s="239">
        <v>94.6</v>
      </c>
      <c r="H25" s="605"/>
      <c r="I25" s="243">
        <v>80</v>
      </c>
      <c r="J25" s="236" t="s">
        <v>780</v>
      </c>
      <c r="K25" s="239">
        <v>90.9</v>
      </c>
    </row>
    <row r="26" spans="1:11" x14ac:dyDescent="0.25">
      <c r="A26" s="224">
        <v>20</v>
      </c>
      <c r="B26" s="221" t="s">
        <v>720</v>
      </c>
      <c r="C26" s="225">
        <v>93.37</v>
      </c>
      <c r="D26" s="605"/>
      <c r="E26" s="245">
        <v>48</v>
      </c>
      <c r="F26" s="237" t="s">
        <v>748</v>
      </c>
      <c r="G26" s="238">
        <v>15</v>
      </c>
      <c r="H26" s="605"/>
      <c r="I26" s="245">
        <v>81</v>
      </c>
      <c r="J26" s="237" t="s">
        <v>781</v>
      </c>
      <c r="K26" s="238">
        <v>87.94</v>
      </c>
    </row>
    <row r="27" spans="1:11" x14ac:dyDescent="0.25">
      <c r="A27" s="224">
        <v>21</v>
      </c>
      <c r="B27" s="221" t="s">
        <v>721</v>
      </c>
      <c r="C27" s="225">
        <v>80</v>
      </c>
      <c r="D27" s="605"/>
      <c r="E27" s="243">
        <v>49</v>
      </c>
      <c r="F27" s="236" t="s">
        <v>749</v>
      </c>
      <c r="G27" s="239">
        <v>10</v>
      </c>
      <c r="H27" s="605"/>
      <c r="I27" s="243">
        <v>82</v>
      </c>
      <c r="J27" s="236" t="s">
        <v>782</v>
      </c>
      <c r="K27" s="239">
        <v>90.71</v>
      </c>
    </row>
    <row r="28" spans="1:11" x14ac:dyDescent="0.25">
      <c r="A28" s="224">
        <v>22</v>
      </c>
      <c r="B28" s="221" t="s">
        <v>722</v>
      </c>
      <c r="C28" s="225">
        <v>109.81</v>
      </c>
      <c r="D28" s="605"/>
      <c r="E28" s="245">
        <v>50</v>
      </c>
      <c r="F28" s="237" t="s">
        <v>750</v>
      </c>
      <c r="G28" s="238">
        <v>10</v>
      </c>
      <c r="H28" s="605"/>
      <c r="I28" s="245">
        <v>83</v>
      </c>
      <c r="J28" s="237" t="s">
        <v>783</v>
      </c>
      <c r="K28" s="238">
        <v>122.14</v>
      </c>
    </row>
    <row r="29" spans="1:11" x14ac:dyDescent="0.25">
      <c r="A29" s="224">
        <v>23</v>
      </c>
      <c r="B29" s="221" t="s">
        <v>723</v>
      </c>
      <c r="C29" s="225">
        <v>59.82</v>
      </c>
      <c r="D29" s="605"/>
      <c r="E29" s="243">
        <v>51</v>
      </c>
      <c r="F29" s="236" t="s">
        <v>751</v>
      </c>
      <c r="G29" s="239">
        <v>170</v>
      </c>
      <c r="H29" s="605"/>
      <c r="I29" s="243">
        <v>84</v>
      </c>
      <c r="J29" s="236" t="s">
        <v>784</v>
      </c>
      <c r="K29" s="239">
        <v>131.07</v>
      </c>
    </row>
    <row r="30" spans="1:11" x14ac:dyDescent="0.25">
      <c r="A30" s="224">
        <v>24</v>
      </c>
      <c r="B30" s="221" t="s">
        <v>724</v>
      </c>
      <c r="C30" s="225">
        <v>80</v>
      </c>
      <c r="D30" s="605"/>
      <c r="E30" s="245">
        <v>52</v>
      </c>
      <c r="F30" s="237" t="s">
        <v>752</v>
      </c>
      <c r="G30" s="238">
        <v>90.38</v>
      </c>
      <c r="H30" s="605"/>
      <c r="I30" s="245">
        <v>85</v>
      </c>
      <c r="J30" s="247" t="s">
        <v>785</v>
      </c>
      <c r="K30" s="248">
        <v>80.099999999999994</v>
      </c>
    </row>
    <row r="31" spans="1:11" x14ac:dyDescent="0.25">
      <c r="A31" s="224">
        <v>25</v>
      </c>
      <c r="B31" s="221" t="s">
        <v>725</v>
      </c>
      <c r="C31" s="225">
        <v>132.51</v>
      </c>
      <c r="D31" s="605"/>
      <c r="E31" s="243">
        <v>53</v>
      </c>
      <c r="F31" s="236" t="s">
        <v>753</v>
      </c>
      <c r="G31" s="239">
        <v>93.81</v>
      </c>
      <c r="H31" s="605"/>
      <c r="I31" s="205"/>
      <c r="J31" s="212" t="s">
        <v>590</v>
      </c>
      <c r="K31" s="207">
        <f>SUM(K7:K30)</f>
        <v>2714.12</v>
      </c>
    </row>
    <row r="32" spans="1:11" x14ac:dyDescent="0.25">
      <c r="A32" s="224">
        <v>26</v>
      </c>
      <c r="B32" s="221" t="s">
        <v>726</v>
      </c>
      <c r="C32" s="225">
        <v>90.71</v>
      </c>
      <c r="D32" s="605"/>
      <c r="E32" s="245">
        <v>54</v>
      </c>
      <c r="F32" s="237" t="s">
        <v>754</v>
      </c>
      <c r="G32" s="238">
        <v>93.37</v>
      </c>
      <c r="H32" s="605"/>
      <c r="I32" s="604"/>
      <c r="J32" s="604"/>
      <c r="K32" s="604"/>
    </row>
    <row r="33" spans="1:11" x14ac:dyDescent="0.25">
      <c r="A33" s="224">
        <v>27</v>
      </c>
      <c r="B33" s="221" t="s">
        <v>727</v>
      </c>
      <c r="C33" s="225">
        <v>82.94</v>
      </c>
      <c r="D33" s="605"/>
      <c r="E33" s="243">
        <v>55</v>
      </c>
      <c r="F33" s="236" t="s">
        <v>755</v>
      </c>
      <c r="G33" s="239">
        <f>82+107.45</f>
        <v>189.45</v>
      </c>
      <c r="H33" s="605"/>
      <c r="I33" s="605"/>
      <c r="J33" s="605"/>
      <c r="K33" s="605"/>
    </row>
    <row r="34" spans="1:11" x14ac:dyDescent="0.25">
      <c r="A34" s="224">
        <v>28</v>
      </c>
      <c r="B34" s="221" t="s">
        <v>728</v>
      </c>
      <c r="C34" s="225">
        <v>71.62</v>
      </c>
      <c r="D34" s="605"/>
      <c r="E34" s="245">
        <v>56</v>
      </c>
      <c r="F34" s="237" t="s">
        <v>756</v>
      </c>
      <c r="G34" s="238">
        <v>130.38</v>
      </c>
      <c r="H34" s="605"/>
      <c r="I34" s="605"/>
      <c r="J34" s="605"/>
      <c r="K34" s="605"/>
    </row>
    <row r="35" spans="1:11" x14ac:dyDescent="0.25">
      <c r="A35" s="205"/>
      <c r="B35" s="212" t="s">
        <v>590</v>
      </c>
      <c r="C35" s="207">
        <f>SUM(C7:C34)</f>
        <v>3113.3399999999997</v>
      </c>
      <c r="D35" s="605"/>
      <c r="E35" s="243">
        <v>57</v>
      </c>
      <c r="F35" s="236" t="s">
        <v>757</v>
      </c>
      <c r="G35" s="239">
        <v>90.9</v>
      </c>
      <c r="H35" s="605"/>
      <c r="I35" s="605"/>
      <c r="J35" s="605"/>
      <c r="K35" s="605"/>
    </row>
    <row r="36" spans="1:11" x14ac:dyDescent="0.25">
      <c r="A36" s="604"/>
      <c r="B36" s="604"/>
      <c r="C36" s="604"/>
      <c r="D36" s="605"/>
      <c r="E36" s="245">
        <v>58</v>
      </c>
      <c r="F36" s="237" t="s">
        <v>758</v>
      </c>
      <c r="G36" s="238">
        <v>86.81</v>
      </c>
      <c r="H36" s="605"/>
      <c r="I36" s="605"/>
      <c r="J36" s="605"/>
      <c r="K36" s="605"/>
    </row>
    <row r="37" spans="1:11" x14ac:dyDescent="0.25">
      <c r="A37" s="605"/>
      <c r="B37" s="605"/>
      <c r="C37" s="605"/>
      <c r="D37" s="605"/>
      <c r="E37" s="243">
        <v>59</v>
      </c>
      <c r="F37" s="236" t="s">
        <v>759</v>
      </c>
      <c r="G37" s="239">
        <v>91.84</v>
      </c>
      <c r="H37" s="605"/>
      <c r="I37" s="605"/>
      <c r="J37" s="605"/>
      <c r="K37" s="605"/>
    </row>
    <row r="38" spans="1:11" x14ac:dyDescent="0.25">
      <c r="A38" s="605"/>
      <c r="B38" s="605"/>
      <c r="C38" s="605"/>
      <c r="D38" s="605"/>
      <c r="E38" s="245">
        <v>60</v>
      </c>
      <c r="F38" s="237" t="s">
        <v>760</v>
      </c>
      <c r="G38" s="238">
        <v>133.22999999999999</v>
      </c>
      <c r="H38" s="605"/>
      <c r="I38" s="605"/>
      <c r="J38" s="605"/>
      <c r="K38" s="605"/>
    </row>
    <row r="39" spans="1:11" x14ac:dyDescent="0.25">
      <c r="A39" s="605"/>
      <c r="B39" s="605"/>
      <c r="C39" s="605"/>
      <c r="D39" s="605"/>
      <c r="E39" s="243">
        <v>61</v>
      </c>
      <c r="F39" s="236" t="s">
        <v>761</v>
      </c>
      <c r="G39" s="239">
        <v>70</v>
      </c>
      <c r="H39" s="605"/>
      <c r="I39" s="605"/>
      <c r="J39" s="605"/>
      <c r="K39" s="605"/>
    </row>
    <row r="40" spans="1:11" x14ac:dyDescent="0.25">
      <c r="A40" s="605"/>
      <c r="B40" s="605"/>
      <c r="C40" s="605"/>
      <c r="D40" s="605"/>
      <c r="E40" s="205"/>
      <c r="F40" s="212" t="s">
        <v>590</v>
      </c>
      <c r="G40" s="207">
        <f>SUM(G7:G39)</f>
        <v>3458.67</v>
      </c>
      <c r="H40" s="605"/>
      <c r="I40" s="605"/>
      <c r="J40" s="605"/>
      <c r="K40" s="605"/>
    </row>
  </sheetData>
  <mergeCells count="10">
    <mergeCell ref="D6:D40"/>
    <mergeCell ref="H6:H40"/>
    <mergeCell ref="I32:K40"/>
    <mergeCell ref="A36:C40"/>
    <mergeCell ref="K1:K4"/>
    <mergeCell ref="A1:J1"/>
    <mergeCell ref="B2:H2"/>
    <mergeCell ref="B3:H3"/>
    <mergeCell ref="B4:H4"/>
    <mergeCell ref="A5:K5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C6:G16"/>
  <sheetViews>
    <sheetView workbookViewId="0"/>
  </sheetViews>
  <sheetFormatPr defaultRowHeight="13.2" x14ac:dyDescent="0.25"/>
  <sheetData>
    <row r="6" spans="3:7" x14ac:dyDescent="0.25">
      <c r="D6" t="s">
        <v>798</v>
      </c>
      <c r="E6" t="s">
        <v>799</v>
      </c>
      <c r="F6" t="s">
        <v>800</v>
      </c>
    </row>
    <row r="7" spans="3:7" x14ac:dyDescent="0.25">
      <c r="C7" t="s">
        <v>792</v>
      </c>
      <c r="D7">
        <v>75.3</v>
      </c>
      <c r="E7">
        <v>12</v>
      </c>
      <c r="F7">
        <v>4.3</v>
      </c>
    </row>
    <row r="9" spans="3:7" x14ac:dyDescent="0.25">
      <c r="C9" t="s">
        <v>793</v>
      </c>
      <c r="D9">
        <v>198.6</v>
      </c>
      <c r="E9">
        <v>27.1</v>
      </c>
      <c r="F9">
        <v>0</v>
      </c>
      <c r="G9">
        <f>SUM(D9:F9)</f>
        <v>225.7</v>
      </c>
    </row>
    <row r="10" spans="3:7" x14ac:dyDescent="0.25">
      <c r="C10" t="s">
        <v>794</v>
      </c>
      <c r="D10">
        <v>4.3</v>
      </c>
      <c r="E10">
        <v>0</v>
      </c>
      <c r="F10">
        <v>0</v>
      </c>
      <c r="G10">
        <f t="shared" ref="G10:G16" si="0">SUM(D10:F10)</f>
        <v>4.3</v>
      </c>
    </row>
    <row r="11" spans="3:7" x14ac:dyDescent="0.25">
      <c r="C11" t="s">
        <v>795</v>
      </c>
      <c r="D11">
        <v>203.6</v>
      </c>
      <c r="E11">
        <v>177.4</v>
      </c>
      <c r="F11">
        <v>20.5</v>
      </c>
      <c r="G11">
        <f t="shared" si="0"/>
        <v>401.5</v>
      </c>
    </row>
    <row r="12" spans="3:7" x14ac:dyDescent="0.25">
      <c r="C12" s="257" t="s">
        <v>796</v>
      </c>
      <c r="D12" s="257">
        <v>6.1</v>
      </c>
      <c r="E12" s="257">
        <v>0</v>
      </c>
      <c r="F12" s="257">
        <v>0</v>
      </c>
      <c r="G12" s="257">
        <f t="shared" si="0"/>
        <v>6.1</v>
      </c>
    </row>
    <row r="13" spans="3:7" x14ac:dyDescent="0.25">
      <c r="C13" s="257" t="s">
        <v>797</v>
      </c>
      <c r="D13" s="257">
        <v>12.8</v>
      </c>
      <c r="E13" s="257">
        <v>11.3</v>
      </c>
      <c r="F13" s="257">
        <v>0</v>
      </c>
      <c r="G13" s="257">
        <f t="shared" si="0"/>
        <v>24.1</v>
      </c>
    </row>
    <row r="14" spans="3:7" x14ac:dyDescent="0.25">
      <c r="C14" s="257" t="s">
        <v>801</v>
      </c>
      <c r="D14" s="257">
        <v>0</v>
      </c>
      <c r="E14" s="257">
        <v>0.4</v>
      </c>
      <c r="F14" s="257">
        <v>0</v>
      </c>
      <c r="G14" s="257">
        <f t="shared" si="0"/>
        <v>0.4</v>
      </c>
    </row>
    <row r="15" spans="3:7" x14ac:dyDescent="0.25">
      <c r="C15" t="s">
        <v>802</v>
      </c>
      <c r="D15">
        <v>0</v>
      </c>
      <c r="E15">
        <v>36.700000000000003</v>
      </c>
      <c r="F15">
        <v>0</v>
      </c>
      <c r="G15">
        <f t="shared" si="0"/>
        <v>36.700000000000003</v>
      </c>
    </row>
    <row r="16" spans="3:7" x14ac:dyDescent="0.25">
      <c r="C16" t="s">
        <v>803</v>
      </c>
      <c r="D16">
        <v>0</v>
      </c>
      <c r="E16">
        <v>34.6</v>
      </c>
      <c r="F16">
        <v>0</v>
      </c>
      <c r="G16">
        <f t="shared" si="0"/>
        <v>34.6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D8" sqref="D8"/>
    </sheetView>
  </sheetViews>
  <sheetFormatPr defaultRowHeight="18" x14ac:dyDescent="0.25"/>
  <cols>
    <col min="1" max="1" width="6.44140625" style="220" customWidth="1"/>
    <col min="2" max="3" width="8.88671875" style="220"/>
    <col min="4" max="4" width="9.44140625" style="220" bestFit="1" customWidth="1"/>
    <col min="5" max="5" width="16.44140625" style="220" customWidth="1"/>
    <col min="6" max="6" width="12.88671875" style="220" customWidth="1"/>
    <col min="7" max="16384" width="8.88671875" style="220"/>
  </cols>
  <sheetData>
    <row r="1" spans="1:8" ht="18" customHeight="1" x14ac:dyDescent="0.25">
      <c r="A1" s="607" t="s">
        <v>586</v>
      </c>
      <c r="B1" s="607"/>
      <c r="C1" s="607"/>
      <c r="D1" s="607"/>
      <c r="E1" s="607"/>
      <c r="F1" s="607"/>
      <c r="G1" s="607"/>
      <c r="H1" s="607"/>
    </row>
    <row r="2" spans="1:8" ht="18" customHeight="1" x14ac:dyDescent="0.25">
      <c r="A2" s="258" t="s">
        <v>580</v>
      </c>
      <c r="B2" s="607" t="s">
        <v>789</v>
      </c>
      <c r="C2" s="607"/>
      <c r="D2" s="607"/>
      <c r="E2" s="607"/>
      <c r="F2" s="258" t="s">
        <v>582</v>
      </c>
      <c r="G2" s="255" t="s">
        <v>583</v>
      </c>
      <c r="H2" s="255" t="s">
        <v>584</v>
      </c>
    </row>
    <row r="3" spans="1:8" ht="50.4" customHeight="1" x14ac:dyDescent="0.25">
      <c r="A3" s="258">
        <v>1</v>
      </c>
      <c r="B3" s="609" t="s">
        <v>569</v>
      </c>
      <c r="C3" s="609"/>
      <c r="D3" s="609"/>
      <c r="E3" s="609"/>
      <c r="F3" s="259" t="s">
        <v>818</v>
      </c>
      <c r="G3" s="253" t="s">
        <v>571</v>
      </c>
      <c r="H3" s="256">
        <f>D22</f>
        <v>1153.1373000000001</v>
      </c>
    </row>
    <row r="4" spans="1:8" ht="19.2" customHeight="1" x14ac:dyDescent="0.25">
      <c r="A4" s="604"/>
      <c r="B4" s="604"/>
      <c r="C4" s="604"/>
      <c r="D4" s="604"/>
      <c r="E4" s="604"/>
      <c r="F4" s="604"/>
      <c r="G4" s="604"/>
      <c r="H4" s="604"/>
    </row>
    <row r="5" spans="1:8" x14ac:dyDescent="0.25">
      <c r="A5" s="253" t="s">
        <v>580</v>
      </c>
      <c r="B5" s="253" t="s">
        <v>814</v>
      </c>
      <c r="C5" s="253" t="s">
        <v>815</v>
      </c>
      <c r="D5" s="253" t="s">
        <v>816</v>
      </c>
      <c r="E5" s="753"/>
      <c r="F5" s="605"/>
      <c r="G5" s="605"/>
      <c r="H5" s="605"/>
    </row>
    <row r="6" spans="1:8" x14ac:dyDescent="0.25">
      <c r="A6" s="253">
        <v>1</v>
      </c>
      <c r="B6" s="272" t="s">
        <v>517</v>
      </c>
      <c r="C6" s="253" t="s">
        <v>571</v>
      </c>
      <c r="D6" s="256">
        <v>110.625</v>
      </c>
      <c r="E6" s="753"/>
      <c r="F6" s="605"/>
      <c r="G6" s="605"/>
      <c r="H6" s="605"/>
    </row>
    <row r="7" spans="1:8" x14ac:dyDescent="0.25">
      <c r="A7" s="253">
        <v>2</v>
      </c>
      <c r="B7" s="272" t="s">
        <v>518</v>
      </c>
      <c r="C7" s="253" t="s">
        <v>571</v>
      </c>
      <c r="D7" s="256">
        <v>50.179500000000004</v>
      </c>
      <c r="E7" s="753"/>
      <c r="F7" s="605"/>
      <c r="G7" s="605"/>
      <c r="H7" s="605"/>
    </row>
    <row r="8" spans="1:8" x14ac:dyDescent="0.25">
      <c r="A8" s="253">
        <v>3</v>
      </c>
      <c r="B8" s="272" t="s">
        <v>519</v>
      </c>
      <c r="C8" s="253" t="s">
        <v>571</v>
      </c>
      <c r="D8" s="256">
        <v>169.3005</v>
      </c>
      <c r="E8" s="753"/>
      <c r="F8" s="605"/>
      <c r="G8" s="605"/>
      <c r="H8" s="605"/>
    </row>
    <row r="9" spans="1:8" x14ac:dyDescent="0.25">
      <c r="A9" s="253">
        <v>4</v>
      </c>
      <c r="B9" s="272" t="s">
        <v>520</v>
      </c>
      <c r="C9" s="253" t="s">
        <v>571</v>
      </c>
      <c r="D9" s="256">
        <v>60.356999999999999</v>
      </c>
      <c r="E9" s="753"/>
      <c r="F9" s="605"/>
      <c r="G9" s="605"/>
      <c r="H9" s="605"/>
    </row>
    <row r="10" spans="1:8" x14ac:dyDescent="0.25">
      <c r="A10" s="253">
        <v>5</v>
      </c>
      <c r="B10" s="272" t="s">
        <v>521</v>
      </c>
      <c r="C10" s="253" t="s">
        <v>571</v>
      </c>
      <c r="D10" s="256">
        <v>50.268000000000001</v>
      </c>
      <c r="E10" s="753"/>
      <c r="F10" s="605"/>
      <c r="G10" s="605"/>
      <c r="H10" s="605"/>
    </row>
    <row r="11" spans="1:8" x14ac:dyDescent="0.25">
      <c r="A11" s="253">
        <v>6</v>
      </c>
      <c r="B11" s="272" t="s">
        <v>522</v>
      </c>
      <c r="C11" s="253" t="s">
        <v>571</v>
      </c>
      <c r="D11" s="256">
        <v>86.375999999999991</v>
      </c>
      <c r="E11" s="753"/>
      <c r="F11" s="605"/>
      <c r="G11" s="605"/>
      <c r="H11" s="605"/>
    </row>
    <row r="12" spans="1:8" x14ac:dyDescent="0.25">
      <c r="A12" s="253">
        <v>7</v>
      </c>
      <c r="B12" s="272" t="s">
        <v>523</v>
      </c>
      <c r="C12" s="253" t="s">
        <v>571</v>
      </c>
      <c r="D12" s="256">
        <v>48.497999999999998</v>
      </c>
      <c r="E12" s="753"/>
      <c r="F12" s="605"/>
      <c r="G12" s="605"/>
      <c r="H12" s="605"/>
    </row>
    <row r="13" spans="1:8" x14ac:dyDescent="0.25">
      <c r="A13" s="253">
        <v>8</v>
      </c>
      <c r="B13" s="272" t="s">
        <v>525</v>
      </c>
      <c r="C13" s="253" t="s">
        <v>571</v>
      </c>
      <c r="D13" s="256">
        <v>48.409500000000001</v>
      </c>
      <c r="E13" s="753"/>
      <c r="F13" s="605"/>
      <c r="G13" s="605"/>
      <c r="H13" s="605"/>
    </row>
    <row r="14" spans="1:8" x14ac:dyDescent="0.25">
      <c r="A14" s="253">
        <v>9</v>
      </c>
      <c r="B14" s="272" t="s">
        <v>526</v>
      </c>
      <c r="C14" s="253" t="s">
        <v>571</v>
      </c>
      <c r="D14" s="256">
        <v>36.816000000000003</v>
      </c>
      <c r="E14" s="753"/>
      <c r="F14" s="605"/>
      <c r="G14" s="605"/>
      <c r="H14" s="605"/>
    </row>
    <row r="15" spans="1:8" x14ac:dyDescent="0.25">
      <c r="A15" s="253">
        <v>10</v>
      </c>
      <c r="B15" s="272" t="s">
        <v>528</v>
      </c>
      <c r="C15" s="253" t="s">
        <v>571</v>
      </c>
      <c r="D15" s="256">
        <v>44.25</v>
      </c>
      <c r="E15" s="753"/>
      <c r="F15" s="605"/>
      <c r="G15" s="605"/>
      <c r="H15" s="605"/>
    </row>
    <row r="16" spans="1:8" x14ac:dyDescent="0.25">
      <c r="A16" s="253">
        <v>11</v>
      </c>
      <c r="B16" s="272" t="s">
        <v>532</v>
      </c>
      <c r="C16" s="253" t="s">
        <v>571</v>
      </c>
      <c r="D16" s="256">
        <v>20.514299999999999</v>
      </c>
      <c r="E16" s="753"/>
      <c r="F16" s="605"/>
      <c r="G16" s="605"/>
      <c r="H16" s="605"/>
    </row>
    <row r="17" spans="1:8" x14ac:dyDescent="0.25">
      <c r="A17" s="253">
        <v>12</v>
      </c>
      <c r="B17" s="272" t="s">
        <v>533</v>
      </c>
      <c r="C17" s="253" t="s">
        <v>571</v>
      </c>
      <c r="D17" s="256">
        <v>39.5595</v>
      </c>
      <c r="E17" s="753"/>
      <c r="F17" s="605"/>
      <c r="G17" s="605"/>
      <c r="H17" s="605"/>
    </row>
    <row r="18" spans="1:8" x14ac:dyDescent="0.25">
      <c r="A18" s="253">
        <v>13</v>
      </c>
      <c r="B18" s="272" t="s">
        <v>534</v>
      </c>
      <c r="C18" s="253" t="s">
        <v>571</v>
      </c>
      <c r="D18" s="256">
        <v>39.471000000000004</v>
      </c>
      <c r="E18" s="753"/>
      <c r="F18" s="605"/>
      <c r="G18" s="605"/>
      <c r="H18" s="605"/>
    </row>
    <row r="19" spans="1:8" x14ac:dyDescent="0.25">
      <c r="A19" s="253">
        <v>14</v>
      </c>
      <c r="B19" s="272" t="s">
        <v>535</v>
      </c>
      <c r="C19" s="253" t="s">
        <v>571</v>
      </c>
      <c r="D19" s="256">
        <v>59.472000000000001</v>
      </c>
      <c r="E19" s="753"/>
      <c r="F19" s="605"/>
      <c r="G19" s="605"/>
      <c r="H19" s="605"/>
    </row>
    <row r="20" spans="1:8" x14ac:dyDescent="0.25">
      <c r="A20" s="253">
        <v>15</v>
      </c>
      <c r="B20" s="272" t="s">
        <v>536</v>
      </c>
      <c r="C20" s="253" t="s">
        <v>571</v>
      </c>
      <c r="D20" s="256">
        <v>175.49550000000002</v>
      </c>
      <c r="E20" s="753"/>
      <c r="F20" s="605"/>
      <c r="G20" s="605"/>
      <c r="H20" s="605"/>
    </row>
    <row r="21" spans="1:8" x14ac:dyDescent="0.25">
      <c r="A21" s="253">
        <v>16</v>
      </c>
      <c r="B21" s="272" t="s">
        <v>560</v>
      </c>
      <c r="C21" s="253" t="s">
        <v>571</v>
      </c>
      <c r="D21" s="256">
        <v>113.5455</v>
      </c>
      <c r="E21" s="753"/>
      <c r="F21" s="605"/>
      <c r="G21" s="605"/>
      <c r="H21" s="605"/>
    </row>
    <row r="22" spans="1:8" x14ac:dyDescent="0.25">
      <c r="A22" s="253"/>
      <c r="B22" s="253" t="s">
        <v>817</v>
      </c>
      <c r="C22" s="253" t="s">
        <v>571</v>
      </c>
      <c r="D22" s="256">
        <f>SUM(D6:D21)</f>
        <v>1153.1373000000001</v>
      </c>
      <c r="E22" s="753"/>
      <c r="F22" s="605"/>
      <c r="G22" s="605"/>
      <c r="H22" s="605"/>
    </row>
  </sheetData>
  <mergeCells count="5">
    <mergeCell ref="A1:H1"/>
    <mergeCell ref="B2:E2"/>
    <mergeCell ref="B3:E3"/>
    <mergeCell ref="E5:H22"/>
    <mergeCell ref="A4:H4"/>
  </mergeCells>
  <pageMargins left="0.7" right="0.7" top="0.75" bottom="0.75" header="0.3" footer="0.3"/>
  <ignoredErrors>
    <ignoredError sqref="B6:B21" twoDigitTextYear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sqref="A1:H1"/>
    </sheetView>
  </sheetViews>
  <sheetFormatPr defaultRowHeight="18" x14ac:dyDescent="0.25"/>
  <cols>
    <col min="1" max="1" width="6.44140625" style="220" customWidth="1"/>
    <col min="2" max="3" width="8.88671875" style="220"/>
    <col min="4" max="4" width="9.44140625" style="220" bestFit="1" customWidth="1"/>
    <col min="5" max="5" width="16.44140625" style="220" customWidth="1"/>
    <col min="6" max="6" width="12.88671875" style="220" customWidth="1"/>
    <col min="7" max="16384" width="8.88671875" style="220"/>
  </cols>
  <sheetData>
    <row r="1" spans="1:8" ht="18" customHeight="1" x14ac:dyDescent="0.25">
      <c r="A1" s="607" t="s">
        <v>586</v>
      </c>
      <c r="B1" s="607"/>
      <c r="C1" s="607"/>
      <c r="D1" s="607"/>
      <c r="E1" s="607"/>
      <c r="F1" s="607"/>
      <c r="G1" s="607"/>
      <c r="H1" s="607"/>
    </row>
    <row r="2" spans="1:8" ht="18" customHeight="1" x14ac:dyDescent="0.25">
      <c r="A2" s="273" t="s">
        <v>580</v>
      </c>
      <c r="B2" s="607" t="s">
        <v>789</v>
      </c>
      <c r="C2" s="607"/>
      <c r="D2" s="607"/>
      <c r="E2" s="607"/>
      <c r="F2" s="273" t="s">
        <v>582</v>
      </c>
      <c r="G2" s="255" t="s">
        <v>583</v>
      </c>
      <c r="H2" s="255" t="s">
        <v>584</v>
      </c>
    </row>
    <row r="3" spans="1:8" ht="50.4" customHeight="1" x14ac:dyDescent="0.25">
      <c r="A3" s="273">
        <v>1</v>
      </c>
      <c r="B3" s="609" t="s">
        <v>808</v>
      </c>
      <c r="C3" s="609"/>
      <c r="D3" s="609"/>
      <c r="E3" s="609"/>
      <c r="F3" s="274" t="s">
        <v>819</v>
      </c>
      <c r="G3" s="253" t="s">
        <v>571</v>
      </c>
      <c r="H3" s="256">
        <f>D9</f>
        <v>1254.2</v>
      </c>
    </row>
    <row r="4" spans="1:8" ht="19.2" customHeight="1" x14ac:dyDescent="0.25">
      <c r="A4" s="604"/>
      <c r="B4" s="604"/>
      <c r="C4" s="604"/>
      <c r="D4" s="604"/>
      <c r="E4" s="604"/>
      <c r="F4" s="604"/>
      <c r="G4" s="604"/>
      <c r="H4" s="604"/>
    </row>
    <row r="5" spans="1:8" x14ac:dyDescent="0.25">
      <c r="A5" s="253" t="s">
        <v>580</v>
      </c>
      <c r="B5" s="253" t="s">
        <v>821</v>
      </c>
      <c r="C5" s="253" t="s">
        <v>820</v>
      </c>
      <c r="D5" s="253" t="s">
        <v>816</v>
      </c>
      <c r="E5" s="753"/>
      <c r="F5" s="605"/>
      <c r="G5" s="605"/>
      <c r="H5" s="605"/>
    </row>
    <row r="6" spans="1:8" x14ac:dyDescent="0.25">
      <c r="A6" s="253">
        <v>1</v>
      </c>
      <c r="B6" s="272" t="s">
        <v>822</v>
      </c>
      <c r="C6" s="253" t="s">
        <v>571</v>
      </c>
      <c r="D6" s="256">
        <v>659.2</v>
      </c>
      <c r="E6" s="753"/>
      <c r="F6" s="605"/>
      <c r="G6" s="605"/>
      <c r="H6" s="605"/>
    </row>
    <row r="7" spans="1:8" x14ac:dyDescent="0.25">
      <c r="A7" s="253">
        <v>2</v>
      </c>
      <c r="B7" s="272" t="s">
        <v>823</v>
      </c>
      <c r="C7" s="253" t="s">
        <v>571</v>
      </c>
      <c r="D7" s="256">
        <v>203.4</v>
      </c>
      <c r="E7" s="753"/>
      <c r="F7" s="605"/>
      <c r="G7" s="605"/>
      <c r="H7" s="605"/>
    </row>
    <row r="8" spans="1:8" x14ac:dyDescent="0.25">
      <c r="A8" s="253">
        <v>3</v>
      </c>
      <c r="B8" s="272" t="s">
        <v>824</v>
      </c>
      <c r="C8" s="253" t="s">
        <v>571</v>
      </c>
      <c r="D8" s="256">
        <v>391.6</v>
      </c>
      <c r="E8" s="753"/>
      <c r="F8" s="605"/>
      <c r="G8" s="605"/>
      <c r="H8" s="605"/>
    </row>
    <row r="9" spans="1:8" x14ac:dyDescent="0.25">
      <c r="A9" s="253"/>
      <c r="B9" s="253" t="s">
        <v>817</v>
      </c>
      <c r="C9" s="253" t="s">
        <v>571</v>
      </c>
      <c r="D9" s="256">
        <f>SUM(D6:D8)</f>
        <v>1254.2</v>
      </c>
      <c r="E9" s="753"/>
      <c r="F9" s="605"/>
      <c r="G9" s="605"/>
      <c r="H9" s="605"/>
    </row>
  </sheetData>
  <mergeCells count="5">
    <mergeCell ref="A1:H1"/>
    <mergeCell ref="B2:E2"/>
    <mergeCell ref="B3:E3"/>
    <mergeCell ref="A4:H4"/>
    <mergeCell ref="E5:H9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sqref="A1:H1"/>
    </sheetView>
  </sheetViews>
  <sheetFormatPr defaultRowHeight="18" x14ac:dyDescent="0.25"/>
  <cols>
    <col min="1" max="1" width="6.44140625" style="220" customWidth="1"/>
    <col min="2" max="3" width="8.88671875" style="220"/>
    <col min="4" max="4" width="9.44140625" style="220" bestFit="1" customWidth="1"/>
    <col min="5" max="5" width="16.44140625" style="220" customWidth="1"/>
    <col min="6" max="6" width="12.88671875" style="220" customWidth="1"/>
    <col min="7" max="16384" width="8.88671875" style="220"/>
  </cols>
  <sheetData>
    <row r="1" spans="1:8" ht="18" customHeight="1" x14ac:dyDescent="0.25">
      <c r="A1" s="607" t="s">
        <v>586</v>
      </c>
      <c r="B1" s="607"/>
      <c r="C1" s="607"/>
      <c r="D1" s="607"/>
      <c r="E1" s="607"/>
      <c r="F1" s="607"/>
      <c r="G1" s="607"/>
      <c r="H1" s="607"/>
    </row>
    <row r="2" spans="1:8" ht="18" customHeight="1" x14ac:dyDescent="0.25">
      <c r="A2" s="273" t="s">
        <v>580</v>
      </c>
      <c r="B2" s="607" t="s">
        <v>789</v>
      </c>
      <c r="C2" s="607"/>
      <c r="D2" s="607"/>
      <c r="E2" s="607"/>
      <c r="F2" s="273" t="s">
        <v>582</v>
      </c>
      <c r="G2" s="255" t="s">
        <v>583</v>
      </c>
      <c r="H2" s="255" t="s">
        <v>584</v>
      </c>
    </row>
    <row r="3" spans="1:8" ht="50.4" customHeight="1" x14ac:dyDescent="0.25">
      <c r="A3" s="273">
        <v>1</v>
      </c>
      <c r="B3" s="609" t="s">
        <v>808</v>
      </c>
      <c r="C3" s="609"/>
      <c r="D3" s="609"/>
      <c r="E3" s="609"/>
      <c r="F3" s="274" t="s">
        <v>825</v>
      </c>
      <c r="G3" s="253" t="s">
        <v>571</v>
      </c>
      <c r="H3" s="256">
        <f>D9</f>
        <v>0</v>
      </c>
    </row>
    <row r="4" spans="1:8" ht="19.2" customHeight="1" x14ac:dyDescent="0.25">
      <c r="A4" s="283"/>
      <c r="B4" s="283"/>
      <c r="C4" s="283"/>
      <c r="D4" s="283"/>
      <c r="E4" s="283"/>
      <c r="F4" s="283"/>
      <c r="G4" s="283"/>
      <c r="H4" s="283"/>
    </row>
    <row r="5" spans="1:8" x14ac:dyDescent="0.25">
      <c r="A5" s="253" t="s">
        <v>580</v>
      </c>
      <c r="B5" s="253" t="s">
        <v>821</v>
      </c>
      <c r="C5" s="253" t="s">
        <v>820</v>
      </c>
      <c r="D5" s="253" t="s">
        <v>816</v>
      </c>
      <c r="E5" s="284"/>
      <c r="F5" s="252"/>
      <c r="G5" s="252"/>
      <c r="H5" s="252">
        <v>276</v>
      </c>
    </row>
    <row r="6" spans="1:8" x14ac:dyDescent="0.25">
      <c r="A6" s="253">
        <v>1</v>
      </c>
      <c r="B6" s="272"/>
      <c r="C6" s="253" t="s">
        <v>571</v>
      </c>
      <c r="D6" s="256"/>
      <c r="E6" s="284"/>
      <c r="F6" s="252">
        <v>202.4</v>
      </c>
      <c r="G6" s="252">
        <v>35.5</v>
      </c>
      <c r="H6" s="252">
        <v>38.700000000000003</v>
      </c>
    </row>
    <row r="7" spans="1:8" x14ac:dyDescent="0.25">
      <c r="A7" s="253">
        <v>2</v>
      </c>
      <c r="B7" s="272"/>
      <c r="C7" s="253" t="s">
        <v>571</v>
      </c>
      <c r="D7" s="256"/>
      <c r="E7" s="284"/>
      <c r="F7" s="252"/>
      <c r="G7" s="252"/>
      <c r="H7" s="252"/>
    </row>
    <row r="8" spans="1:8" x14ac:dyDescent="0.25">
      <c r="A8" s="253">
        <v>3</v>
      </c>
      <c r="B8" s="272"/>
      <c r="C8" s="253" t="s">
        <v>571</v>
      </c>
      <c r="D8" s="256"/>
      <c r="E8" s="284"/>
      <c r="F8" s="252"/>
      <c r="G8" s="252"/>
      <c r="H8" s="252"/>
    </row>
    <row r="9" spans="1:8" x14ac:dyDescent="0.25">
      <c r="A9" s="253"/>
      <c r="B9" s="253" t="s">
        <v>817</v>
      </c>
      <c r="C9" s="253" t="s">
        <v>571</v>
      </c>
      <c r="D9" s="256">
        <f>SUM(D6:D8)</f>
        <v>0</v>
      </c>
      <c r="E9" s="284"/>
      <c r="F9" s="252"/>
      <c r="G9" s="252"/>
      <c r="H9" s="252"/>
    </row>
  </sheetData>
  <mergeCells count="3">
    <mergeCell ref="A1:H1"/>
    <mergeCell ref="B2:E2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119</vt:i4>
      </vt:variant>
    </vt:vector>
  </HeadingPairs>
  <TitlesOfParts>
    <vt:vector size="11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10.9СС</vt:lpstr>
      <vt:lpstr>10.8Ршт</vt:lpstr>
      <vt:lpstr>10.7Люк</vt:lpstr>
      <vt:lpstr>10.6Люк</vt:lpstr>
      <vt:lpstr>10.5Люк</vt:lpstr>
      <vt:lpstr>10.4Люк</vt:lpstr>
      <vt:lpstr>10.3Прх</vt:lpstr>
      <vt:lpstr>10.2Крс</vt:lpstr>
      <vt:lpstr>10.1Шт</vt:lpstr>
      <vt:lpstr>9.10Грб</vt:lpstr>
      <vt:lpstr>9.9Дм</vt:lpstr>
      <vt:lpstr>9.8ШтрШп</vt:lpstr>
      <vt:lpstr>9.7ШтрШТ</vt:lpstr>
      <vt:lpstr>9.6Штр</vt:lpstr>
      <vt:lpstr>9.4Подъ</vt:lpstr>
      <vt:lpstr>9.3Крск</vt:lpstr>
      <vt:lpstr>9.2Шп</vt:lpstr>
      <vt:lpstr>9.1Шт</vt:lpstr>
      <vt:lpstr>8.4_НЗ</vt:lpstr>
      <vt:lpstr>8.3</vt:lpstr>
      <vt:lpstr>8.2</vt:lpstr>
      <vt:lpstr>8.1</vt:lpstr>
      <vt:lpstr>7.3Крс</vt:lpstr>
      <vt:lpstr>7.2звукИз</vt:lpstr>
      <vt:lpstr>7.1WD8</vt:lpstr>
      <vt:lpstr>Общ (3)</vt:lpstr>
      <vt:lpstr>Общ (2)</vt:lpstr>
      <vt:lpstr>Общ</vt:lpstr>
      <vt:lpstr>FK15</vt:lpstr>
      <vt:lpstr>FK13</vt:lpstr>
      <vt:lpstr>FK</vt:lpstr>
      <vt:lpstr>FK3</vt:lpstr>
      <vt:lpstr>FK2</vt:lpstr>
      <vt:lpstr>10ДопКрс</vt:lpstr>
      <vt:lpstr>923</vt:lpstr>
      <vt:lpstr>912</vt:lpstr>
      <vt:lpstr>874</vt:lpstr>
      <vt:lpstr>839</vt:lpstr>
      <vt:lpstr>733</vt:lpstr>
      <vt:lpstr>696</vt:lpstr>
      <vt:lpstr>666</vt:lpstr>
      <vt:lpstr>549</vt:lpstr>
      <vt:lpstr>545</vt:lpstr>
      <vt:lpstr>542</vt:lpstr>
      <vt:lpstr>538</vt:lpstr>
      <vt:lpstr>522</vt:lpstr>
      <vt:lpstr>518</vt:lpstr>
      <vt:lpstr>501</vt:lpstr>
      <vt:lpstr>488</vt:lpstr>
      <vt:lpstr>WD</vt:lpstr>
      <vt:lpstr>6.5ПГП4в</vt:lpstr>
      <vt:lpstr>6.4блк4в</vt:lpstr>
      <vt:lpstr>6.3крп4в</vt:lpstr>
      <vt:lpstr>6.2леса</vt:lpstr>
      <vt:lpstr>3.8Деф</vt:lpstr>
      <vt:lpstr>4.2РВР</vt:lpstr>
      <vt:lpstr>4.1</vt:lpstr>
      <vt:lpstr>3.3ШтРем</vt:lpstr>
      <vt:lpstr>Лист1</vt:lpstr>
      <vt:lpstr>-1эт</vt:lpstr>
      <vt:lpstr>1эт</vt:lpstr>
      <vt:lpstr>2эт</vt:lpstr>
      <vt:lpstr>3эт</vt:lpstr>
      <vt:lpstr>-1этСтен</vt:lpstr>
      <vt:lpstr>1этСтен</vt:lpstr>
      <vt:lpstr>2этСтен</vt:lpstr>
      <vt:lpstr>3этСтен</vt:lpstr>
      <vt:lpstr>Из КП</vt:lpstr>
      <vt:lpstr>1.1-Ст</vt:lpstr>
      <vt:lpstr>1.1п</vt:lpstr>
      <vt:lpstr>1.2-Ст</vt:lpstr>
      <vt:lpstr>1.2п</vt:lpstr>
      <vt:lpstr>1.3-Ст</vt:lpstr>
      <vt:lpstr>1.3п</vt:lpstr>
      <vt:lpstr>1.3.1FK12</vt:lpstr>
      <vt:lpstr>4.1-WD6 5</vt:lpstr>
      <vt:lpstr>1.4.1FK16 и 4 Ост</vt:lpstr>
      <vt:lpstr>1.4-Ст</vt:lpstr>
      <vt:lpstr>2.1-Ст</vt:lpstr>
      <vt:lpstr>2.1п</vt:lpstr>
      <vt:lpstr>2.2-Ст</vt:lpstr>
      <vt:lpstr>2.2п</vt:lpstr>
      <vt:lpstr>2.3-Ст</vt:lpstr>
      <vt:lpstr>2.3п</vt:lpstr>
      <vt:lpstr>3.1-Ст</vt:lpstr>
      <vt:lpstr>3.1п</vt:lpstr>
      <vt:lpstr>3.2-Ст</vt:lpstr>
      <vt:lpstr>3.2п</vt:lpstr>
      <vt:lpstr>3.3п</vt:lpstr>
      <vt:lpstr>1Дм</vt:lpstr>
      <vt:lpstr>5.5Фн4в</vt:lpstr>
      <vt:lpstr>5.4Бз4в</vt:lpstr>
      <vt:lpstr>3.7-Шп.фин.отк</vt:lpstr>
      <vt:lpstr>3.6-Шп.Баз.отк</vt:lpstr>
      <vt:lpstr>3.5-Шп.фин</vt:lpstr>
      <vt:lpstr>3.4-Шп.Баз</vt:lpstr>
      <vt:lpstr>5.2Баз4в</vt:lpstr>
      <vt:lpstr>5.1-Шп.Баз прошл</vt:lpstr>
      <vt:lpstr>Перегр</vt:lpstr>
      <vt:lpstr>1.5-FK9</vt:lpstr>
      <vt:lpstr>1.6-FK13</vt:lpstr>
      <vt:lpstr>1.7-FK2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2025-11-27T09:06:46Z</dcterms:created>
  <dcterms:modified xsi:type="dcterms:W3CDTF">2026-09-28T09:54:56Z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2025-11-27T00:00:00Z</vt:filetime>
  </property>
  <property fmtid="{D5CDD505-2E9C-101B-9397-08002B2CF9AE}" pid="3" name="LastSaved">
    <vt:filetime>2025-11-27T00:00:00Z</vt:filetime>
  </property>
</Properties>
</file>