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nux\Documents\schools\kronshtatsky\стены\НЗ\заделка проходки\"/>
    </mc:Choice>
  </mc:AlternateContent>
  <bookViews>
    <workbookView minimized="1" xWindow="0" yWindow="0" windowWidth="15000" windowHeight="9444"/>
  </bookViews>
  <sheets>
    <sheet name="Лист1 (2)" sheetId="2" r:id="rId1"/>
    <sheet name="Лист1" sheetId="1" r:id="rId2"/>
  </sheets>
  <definedNames>
    <definedName name="_xlnm._FilterDatabase" localSheetId="1" hidden="1">Лист1!$A$3:$E$956</definedName>
    <definedName name="_xlnm._FilterDatabase" localSheetId="0" hidden="1">'Лист1 (2)'!$A$3:$E$956</definedName>
    <definedName name="_xlnm.Print_Area" localSheetId="1">Лист1!$A$1:$E$962</definedName>
    <definedName name="_xlnm.Print_Area" localSheetId="0">'Лист1 (2)'!$A$1:$E$962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3" i="2" l="1"/>
  <c r="D953" i="2"/>
  <c r="C953" i="2"/>
  <c r="E946" i="2"/>
  <c r="E951" i="2" s="1"/>
  <c r="D946" i="2"/>
  <c r="D951" i="2" s="1"/>
  <c r="C946" i="2"/>
  <c r="E945" i="2"/>
  <c r="E950" i="2" s="1"/>
  <c r="D945" i="2"/>
  <c r="D950" i="2" s="1"/>
  <c r="C945" i="2"/>
  <c r="C950" i="2" s="1"/>
  <c r="D943" i="2"/>
  <c r="C938" i="2"/>
  <c r="C939" i="2" s="1"/>
  <c r="C888" i="2"/>
  <c r="C889" i="2" s="1"/>
  <c r="C878" i="2"/>
  <c r="C879" i="2" s="1"/>
  <c r="C802" i="2"/>
  <c r="C803" i="2" s="1"/>
  <c r="C792" i="2"/>
  <c r="C942" i="2" s="1"/>
  <c r="E787" i="2"/>
  <c r="E782" i="2"/>
  <c r="C773" i="2"/>
  <c r="C774" i="2" s="1"/>
  <c r="E767" i="2"/>
  <c r="E762" i="2"/>
  <c r="C753" i="2"/>
  <c r="C754" i="2" s="1"/>
  <c r="D749" i="2"/>
  <c r="C748" i="2"/>
  <c r="C749" i="2" s="1"/>
  <c r="C743" i="2"/>
  <c r="C744" i="2" s="1"/>
  <c r="C738" i="2"/>
  <c r="C739" i="2" s="1"/>
  <c r="C733" i="2"/>
  <c r="C734" i="2" s="1"/>
  <c r="D727" i="2"/>
  <c r="D942" i="2" s="1"/>
  <c r="D724" i="2"/>
  <c r="C723" i="2"/>
  <c r="C724" i="2" s="1"/>
  <c r="C718" i="2"/>
  <c r="E715" i="2"/>
  <c r="D715" i="2"/>
  <c r="C715" i="2"/>
  <c r="E714" i="2"/>
  <c r="D714" i="2"/>
  <c r="C714" i="2"/>
  <c r="D708" i="2"/>
  <c r="C708" i="2"/>
  <c r="C707" i="2"/>
  <c r="D706" i="2"/>
  <c r="C691" i="2"/>
  <c r="C668" i="2"/>
  <c r="C662" i="2"/>
  <c r="C663" i="2" s="1"/>
  <c r="C652" i="2"/>
  <c r="C653" i="2" s="1"/>
  <c r="D566" i="2"/>
  <c r="D568" i="2" s="1"/>
  <c r="C566" i="2"/>
  <c r="C561" i="2"/>
  <c r="C557" i="2"/>
  <c r="C558" i="2" s="1"/>
  <c r="E541" i="2"/>
  <c r="E537" i="2"/>
  <c r="E536" i="2"/>
  <c r="E538" i="2" s="1"/>
  <c r="E532" i="2"/>
  <c r="E531" i="2"/>
  <c r="E533" i="2" s="1"/>
  <c r="E527" i="2"/>
  <c r="E528" i="2" s="1"/>
  <c r="C522" i="2"/>
  <c r="C523" i="2" s="1"/>
  <c r="D521" i="2"/>
  <c r="D523" i="2" s="1"/>
  <c r="C512" i="2"/>
  <c r="C513" i="2" s="1"/>
  <c r="E507" i="2"/>
  <c r="E508" i="2" s="1"/>
  <c r="D502" i="2"/>
  <c r="D503" i="2" s="1"/>
  <c r="D497" i="2"/>
  <c r="D712" i="2" s="1"/>
  <c r="C491" i="2"/>
  <c r="C478" i="2"/>
  <c r="C477" i="2"/>
  <c r="E472" i="2"/>
  <c r="E473" i="2" s="1"/>
  <c r="E467" i="2"/>
  <c r="E468" i="2" s="1"/>
  <c r="C457" i="2"/>
  <c r="C458" i="2" s="1"/>
  <c r="C452" i="2"/>
  <c r="C453" i="2" s="1"/>
  <c r="D448" i="2"/>
  <c r="C447" i="2"/>
  <c r="C448" i="2" s="1"/>
  <c r="D443" i="2"/>
  <c r="C442" i="2"/>
  <c r="C443" i="2" s="1"/>
  <c r="D438" i="2"/>
  <c r="C437" i="2"/>
  <c r="C438" i="2" s="1"/>
  <c r="D433" i="2"/>
  <c r="D431" i="2"/>
  <c r="D428" i="2"/>
  <c r="C427" i="2"/>
  <c r="C428" i="2" s="1"/>
  <c r="D423" i="2"/>
  <c r="C422" i="2"/>
  <c r="C423" i="2" s="1"/>
  <c r="E419" i="2"/>
  <c r="D419" i="2"/>
  <c r="C419" i="2"/>
  <c r="C951" i="2" s="1"/>
  <c r="E418" i="2"/>
  <c r="D418" i="2"/>
  <c r="C418" i="2"/>
  <c r="D417" i="2"/>
  <c r="D416" i="2"/>
  <c r="D415" i="2"/>
  <c r="E411" i="2"/>
  <c r="C405" i="2"/>
  <c r="C415" i="2" s="1"/>
  <c r="C306" i="2"/>
  <c r="C307" i="2" s="1"/>
  <c r="C301" i="2"/>
  <c r="C302" i="2" s="1"/>
  <c r="C295" i="2"/>
  <c r="E291" i="2"/>
  <c r="E292" i="2" s="1"/>
  <c r="E286" i="2"/>
  <c r="E287" i="2" s="1"/>
  <c r="E281" i="2"/>
  <c r="E282" i="2" s="1"/>
  <c r="C272" i="2"/>
  <c r="E246" i="2"/>
  <c r="E247" i="2" s="1"/>
  <c r="C231" i="2"/>
  <c r="C232" i="2" s="1"/>
  <c r="E221" i="2"/>
  <c r="E222" i="2" s="1"/>
  <c r="E217" i="2"/>
  <c r="E216" i="2"/>
  <c r="E211" i="2"/>
  <c r="E212" i="2" s="1"/>
  <c r="E206" i="2"/>
  <c r="E207" i="2" s="1"/>
  <c r="E201" i="2"/>
  <c r="E202" i="2" s="1"/>
  <c r="E197" i="2"/>
  <c r="E191" i="2"/>
  <c r="E192" i="2" s="1"/>
  <c r="C191" i="2"/>
  <c r="C192" i="2" s="1"/>
  <c r="C145" i="2"/>
  <c r="C146" i="2" s="1"/>
  <c r="C147" i="2" s="1"/>
  <c r="C140" i="2"/>
  <c r="C100" i="2"/>
  <c r="C101" i="2" s="1"/>
  <c r="C96" i="2"/>
  <c r="C97" i="2" s="1"/>
  <c r="E90" i="2"/>
  <c r="E85" i="2"/>
  <c r="E75" i="2"/>
  <c r="E77" i="2" s="1"/>
  <c r="E67" i="2"/>
  <c r="E65" i="2"/>
  <c r="C61" i="2"/>
  <c r="C62" i="2" s="1"/>
  <c r="C56" i="2"/>
  <c r="C57" i="2" s="1"/>
  <c r="C51" i="2"/>
  <c r="C52" i="2" s="1"/>
  <c r="C46" i="2"/>
  <c r="C47" i="2" s="1"/>
  <c r="C26" i="2"/>
  <c r="C27" i="2" s="1"/>
  <c r="E22" i="2"/>
  <c r="C22" i="2"/>
  <c r="E20" i="2"/>
  <c r="C20" i="2"/>
  <c r="C12" i="2"/>
  <c r="C7" i="2"/>
  <c r="D948" i="2" l="1"/>
  <c r="C693" i="2"/>
  <c r="E543" i="2"/>
  <c r="E713" i="2" s="1"/>
  <c r="E769" i="2"/>
  <c r="C947" i="2"/>
  <c r="C142" i="2"/>
  <c r="C568" i="2"/>
  <c r="E86" i="2"/>
  <c r="E87" i="2" s="1"/>
  <c r="C492" i="2"/>
  <c r="C493" i="2" s="1"/>
  <c r="C567" i="2"/>
  <c r="C406" i="2"/>
  <c r="E711" i="2"/>
  <c r="E91" i="2"/>
  <c r="E92" i="2" s="1"/>
  <c r="E542" i="2"/>
  <c r="E712" i="2" s="1"/>
  <c r="C711" i="2"/>
  <c r="C719" i="2"/>
  <c r="C793" i="2"/>
  <c r="C794" i="2" s="1"/>
  <c r="D711" i="2"/>
  <c r="D947" i="2" s="1"/>
  <c r="C804" i="2"/>
  <c r="E412" i="2"/>
  <c r="D729" i="2"/>
  <c r="D944" i="2" s="1"/>
  <c r="E768" i="2"/>
  <c r="E415" i="2"/>
  <c r="C692" i="2"/>
  <c r="E783" i="2"/>
  <c r="E784" i="2" s="1"/>
  <c r="C141" i="2"/>
  <c r="C296" i="2"/>
  <c r="C297" i="2" s="1"/>
  <c r="D498" i="2"/>
  <c r="D713" i="2" s="1"/>
  <c r="C102" i="2"/>
  <c r="C562" i="2"/>
  <c r="C563" i="2" s="1"/>
  <c r="E788" i="2"/>
  <c r="E789" i="2" s="1"/>
  <c r="E942" i="2"/>
  <c r="E947" i="2" s="1"/>
  <c r="E763" i="2"/>
  <c r="E943" i="2" s="1"/>
  <c r="C407" i="2"/>
  <c r="E953" i="1"/>
  <c r="D953" i="1"/>
  <c r="C953" i="1"/>
  <c r="C417" i="2" l="1"/>
  <c r="C944" i="2"/>
  <c r="E764" i="2"/>
  <c r="E944" i="2" s="1"/>
  <c r="E416" i="2"/>
  <c r="E948" i="2" s="1"/>
  <c r="C713" i="2"/>
  <c r="C416" i="2"/>
  <c r="C943" i="2"/>
  <c r="C712" i="2"/>
  <c r="D949" i="2"/>
  <c r="D952" i="2" s="1"/>
  <c r="E417" i="2"/>
  <c r="C662" i="1"/>
  <c r="C652" i="1"/>
  <c r="C948" i="2" l="1"/>
  <c r="E949" i="2"/>
  <c r="E952" i="2" s="1"/>
  <c r="C949" i="2"/>
  <c r="D943" i="1"/>
  <c r="C945" i="1"/>
  <c r="D945" i="1"/>
  <c r="E945" i="1"/>
  <c r="C946" i="1"/>
  <c r="D946" i="1"/>
  <c r="E946" i="1"/>
  <c r="C714" i="1"/>
  <c r="D714" i="1"/>
  <c r="E714" i="1"/>
  <c r="C715" i="1"/>
  <c r="D715" i="1"/>
  <c r="E715" i="1"/>
  <c r="D415" i="1"/>
  <c r="D416" i="1"/>
  <c r="D417" i="1"/>
  <c r="C418" i="1"/>
  <c r="D418" i="1"/>
  <c r="E418" i="1"/>
  <c r="C419" i="1"/>
  <c r="D419" i="1"/>
  <c r="E419" i="1"/>
  <c r="E90" i="1"/>
  <c r="E85" i="1"/>
  <c r="C145" i="1"/>
  <c r="C140" i="1"/>
  <c r="C141" i="1" s="1"/>
  <c r="C51" i="1"/>
  <c r="C52" i="1" s="1"/>
  <c r="C46" i="1"/>
  <c r="E75" i="1"/>
  <c r="E77" i="1" s="1"/>
  <c r="E65" i="1"/>
  <c r="C26" i="1"/>
  <c r="C952" i="2" l="1"/>
  <c r="E91" i="1"/>
  <c r="E92" i="1" s="1"/>
  <c r="E86" i="1"/>
  <c r="E87" i="1" s="1"/>
  <c r="C951" i="1"/>
  <c r="E951" i="1"/>
  <c r="D950" i="1"/>
  <c r="D951" i="1"/>
  <c r="C950" i="1"/>
  <c r="E950" i="1"/>
  <c r="E67" i="1"/>
  <c r="C142" i="1"/>
  <c r="C61" i="1"/>
  <c r="C62" i="1" s="1"/>
  <c r="C56" i="1"/>
  <c r="C57" i="1" s="1"/>
  <c r="C191" i="1" l="1"/>
  <c r="C100" i="1"/>
  <c r="C101" i="1" s="1"/>
  <c r="C561" i="1"/>
  <c r="C773" i="1" l="1"/>
  <c r="C512" i="1"/>
  <c r="E537" i="1"/>
  <c r="E767" i="1"/>
  <c r="E762" i="1"/>
  <c r="E541" i="1"/>
  <c r="E536" i="1"/>
  <c r="E532" i="1"/>
  <c r="E531" i="1"/>
  <c r="E527" i="1"/>
  <c r="D502" i="1"/>
  <c r="D497" i="1"/>
  <c r="D498" i="1" s="1"/>
  <c r="E787" i="1"/>
  <c r="E782" i="1"/>
  <c r="D727" i="1"/>
  <c r="D729" i="1" s="1"/>
  <c r="D448" i="1"/>
  <c r="D438" i="1"/>
  <c r="D431" i="1"/>
  <c r="D423" i="1"/>
  <c r="D521" i="1"/>
  <c r="D566" i="1"/>
  <c r="C566" i="1"/>
  <c r="C802" i="1"/>
  <c r="C803" i="1" s="1"/>
  <c r="D706" i="1"/>
  <c r="C491" i="1"/>
  <c r="C295" i="1"/>
  <c r="E201" i="1"/>
  <c r="E202" i="1" s="1"/>
  <c r="E197" i="1"/>
  <c r="E281" i="1" l="1"/>
  <c r="E282" i="1" s="1"/>
  <c r="E246" i="1"/>
  <c r="E247" i="1" s="1"/>
  <c r="E538" i="1"/>
  <c r="E768" i="1"/>
  <c r="E769" i="1" s="1"/>
  <c r="D711" i="1"/>
  <c r="E763" i="1"/>
  <c r="E764" i="1" s="1"/>
  <c r="E942" i="1"/>
  <c r="D942" i="1"/>
  <c r="D712" i="1"/>
  <c r="D948" i="1" s="1"/>
  <c r="E711" i="1"/>
  <c r="D503" i="1"/>
  <c r="D708" i="1"/>
  <c r="C938" i="1"/>
  <c r="C567" i="1"/>
  <c r="C568" i="1" s="1"/>
  <c r="D568" i="1"/>
  <c r="E211" i="1"/>
  <c r="E212" i="1" s="1"/>
  <c r="E788" i="1"/>
  <c r="E789" i="1" s="1"/>
  <c r="E542" i="1"/>
  <c r="E543" i="1" s="1"/>
  <c r="E206" i="1"/>
  <c r="E207" i="1" s="1"/>
  <c r="C557" i="1"/>
  <c r="C707" i="1"/>
  <c r="E533" i="1"/>
  <c r="E216" i="1"/>
  <c r="E217" i="1" s="1"/>
  <c r="C422" i="1"/>
  <c r="D523" i="1"/>
  <c r="E286" i="1"/>
  <c r="E287" i="1" s="1"/>
  <c r="E291" i="1"/>
  <c r="E292" i="1" s="1"/>
  <c r="E411" i="1"/>
  <c r="D749" i="1"/>
  <c r="D724" i="1"/>
  <c r="D443" i="1"/>
  <c r="D433" i="1"/>
  <c r="D428" i="1"/>
  <c r="C457" i="1"/>
  <c r="C522" i="1"/>
  <c r="C296" i="1"/>
  <c r="C297" i="1" s="1"/>
  <c r="E221" i="1"/>
  <c r="E222" i="1" s="1"/>
  <c r="C753" i="1"/>
  <c r="C748" i="1"/>
  <c r="C743" i="1"/>
  <c r="C738" i="1"/>
  <c r="C733" i="1"/>
  <c r="C723" i="1"/>
  <c r="C718" i="1"/>
  <c r="C477" i="1"/>
  <c r="C478" i="1" s="1"/>
  <c r="C452" i="1"/>
  <c r="C447" i="1"/>
  <c r="C442" i="1"/>
  <c r="C437" i="1"/>
  <c r="C427" i="1"/>
  <c r="D947" i="1" l="1"/>
  <c r="D944" i="1"/>
  <c r="D713" i="1"/>
  <c r="C744" i="1"/>
  <c r="C739" i="1"/>
  <c r="C754" i="1"/>
  <c r="C749" i="1"/>
  <c r="C734" i="1"/>
  <c r="C724" i="1"/>
  <c r="C719" i="1"/>
  <c r="C453" i="1"/>
  <c r="C448" i="1"/>
  <c r="C443" i="1"/>
  <c r="C438" i="1"/>
  <c r="C428" i="1"/>
  <c r="D949" i="1" l="1"/>
  <c r="D952" i="1" s="1"/>
  <c r="C792" i="1" l="1"/>
  <c r="C691" i="1"/>
  <c r="C711" i="1" s="1"/>
  <c r="C405" i="1"/>
  <c r="C793" i="1" l="1"/>
  <c r="C942" i="1"/>
  <c r="C692" i="1"/>
  <c r="C406" i="1"/>
  <c r="C407" i="1" l="1"/>
  <c r="C794" i="1"/>
  <c r="C693" i="1"/>
  <c r="C878" i="1" l="1"/>
  <c r="C306" i="1"/>
  <c r="E783" i="1" l="1"/>
  <c r="C939" i="1"/>
  <c r="C888" i="1"/>
  <c r="C879" i="1"/>
  <c r="C804" i="1"/>
  <c r="C774" i="1"/>
  <c r="C889" i="1" l="1"/>
  <c r="C944" i="1" s="1"/>
  <c r="C943" i="1"/>
  <c r="E784" i="1"/>
  <c r="E944" i="1" s="1"/>
  <c r="E943" i="1"/>
  <c r="C708" i="1"/>
  <c r="C668" i="1" l="1"/>
  <c r="C663" i="1"/>
  <c r="C562" i="1"/>
  <c r="C563" i="1" s="1"/>
  <c r="C558" i="1"/>
  <c r="E528" i="1"/>
  <c r="C523" i="1"/>
  <c r="C513" i="1"/>
  <c r="E507" i="1"/>
  <c r="C492" i="1"/>
  <c r="C493" i="1" s="1"/>
  <c r="E467" i="1"/>
  <c r="E468" i="1" s="1"/>
  <c r="E472" i="1"/>
  <c r="E473" i="1" s="1"/>
  <c r="C458" i="1"/>
  <c r="C423" i="1"/>
  <c r="C712" i="1" l="1"/>
  <c r="E712" i="1"/>
  <c r="E508" i="1"/>
  <c r="E713" i="1" s="1"/>
  <c r="C653" i="1"/>
  <c r="C713" i="1" s="1"/>
  <c r="E412" i="1"/>
  <c r="C307" i="1" l="1"/>
  <c r="C301" i="1" l="1"/>
  <c r="C272" i="1"/>
  <c r="C302" i="1" l="1"/>
  <c r="C231" i="1" l="1"/>
  <c r="C232" i="1" l="1"/>
  <c r="E191" i="1" l="1"/>
  <c r="C192" i="1"/>
  <c r="C146" i="1"/>
  <c r="C102" i="1"/>
  <c r="C96" i="1"/>
  <c r="C97" i="1" s="1"/>
  <c r="C47" i="1"/>
  <c r="C27" i="1"/>
  <c r="C20" i="1"/>
  <c r="E20" i="1"/>
  <c r="C12" i="1"/>
  <c r="E415" i="1" l="1"/>
  <c r="E947" i="1" s="1"/>
  <c r="C415" i="1"/>
  <c r="C947" i="1" s="1"/>
  <c r="E192" i="1"/>
  <c r="E416" i="1"/>
  <c r="E948" i="1" s="1"/>
  <c r="C147" i="1"/>
  <c r="E22" i="1"/>
  <c r="C22" i="1"/>
  <c r="C7" i="1"/>
  <c r="C417" i="1" l="1"/>
  <c r="C949" i="1" s="1"/>
  <c r="E417" i="1"/>
  <c r="E949" i="1" s="1"/>
  <c r="E952" i="1" s="1"/>
  <c r="C416" i="1"/>
  <c r="C948" i="1" s="1"/>
  <c r="C952" i="1" l="1"/>
</calcChain>
</file>

<file path=xl/sharedStrings.xml><?xml version="1.0" encoding="utf-8"?>
<sst xmlns="http://schemas.openxmlformats.org/spreadsheetml/2006/main" count="821" uniqueCount="308">
  <si>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</si>
  <si>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</si>
  <si>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</si>
  <si>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</si>
  <si>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</si>
  <si>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</si>
  <si>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</si>
  <si>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</si>
  <si>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</si>
  <si>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</si>
  <si>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</si>
  <si>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</si>
  <si>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</si>
  <si>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</si>
  <si>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</si>
  <si>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</si>
  <si>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</si>
  <si>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</si>
  <si>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</si>
  <si>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</si>
  <si>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</si>
  <si>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</si>
  <si>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</si>
  <si>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</si>
  <si>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</si>
  <si>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</si>
  <si>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</si>
  <si>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</si>
  <si>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</si>
  <si>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</si>
  <si>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</si>
  <si>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</si>
  <si>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</si>
  <si>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</si>
  <si>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</si>
  <si>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</si>
  <si>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</si>
  <si>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</si>
  <si>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</si>
  <si>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</si>
  <si>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</si>
  <si>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</si>
  <si>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</si>
  <si>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</si>
  <si>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</si>
  <si>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</si>
  <si>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</si>
  <si>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</si>
  <si>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</si>
  <si>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</si>
  <si>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</si>
  <si>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</si>
  <si>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</si>
  <si>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</si>
  <si>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</si>
  <si>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</si>
  <si>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</si>
  <si>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</si>
  <si>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</si>
  <si>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</si>
  <si>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</si>
  <si>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</si>
  <si>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</si>
  <si>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</si>
  <si>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</si>
  <si>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</si>
  <si>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</si>
  <si>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</si>
  <si>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</si>
  <si>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</si>
  <si>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</si>
  <si>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</si>
  <si>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</si>
  <si>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</si>
  <si>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</si>
  <si>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</si>
  <si>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</si>
  <si>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</si>
  <si>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</si>
  <si>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</si>
  <si>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</si>
  <si>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</si>
  <si>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 этаж</t>
  </si>
  <si>
    <t>2 этаж</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</si>
  <si>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</si>
  <si>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</si>
  <si>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</si>
  <si>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</si>
  <si>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</si>
  <si>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</si>
  <si>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</si>
  <si>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</si>
  <si>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</si>
  <si>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</si>
  <si>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</si>
  <si>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</si>
  <si>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</si>
  <si>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</si>
  <si>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</si>
  <si>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</si>
  <si>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</si>
  <si>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</si>
  <si>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</si>
  <si>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</si>
  <si>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</si>
  <si>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</si>
  <si>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</si>
  <si>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</si>
  <si>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</si>
  <si>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</si>
  <si>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</si>
  <si>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</si>
  <si>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</si>
  <si>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</si>
  <si>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</si>
  <si>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</si>
  <si>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</si>
  <si>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</si>
  <si>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</si>
  <si>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</si>
  <si>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</si>
  <si>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</si>
  <si>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</si>
  <si>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</si>
  <si>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</si>
  <si>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</si>
  <si>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</si>
  <si>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</si>
  <si>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</si>
  <si>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</si>
  <si>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</si>
  <si>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</si>
  <si>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</si>
  <si>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</si>
  <si>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</si>
  <si>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</si>
  <si>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</si>
  <si>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</si>
  <si>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</si>
  <si>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</si>
  <si>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</si>
  <si>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</si>
  <si>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3 этаж</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</si>
  <si>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</si>
  <si>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</si>
  <si>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</si>
  <si>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</si>
  <si>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</si>
  <si>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</si>
  <si>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</si>
  <si>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</si>
  <si>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</si>
  <si>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</si>
  <si>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</si>
  <si>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</si>
  <si>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</si>
  <si>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</si>
  <si>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</si>
  <si>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</si>
  <si>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</si>
  <si>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</si>
  <si>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</si>
  <si>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</si>
  <si>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</si>
  <si>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</si>
  <si>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</si>
  <si>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</si>
  <si>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</si>
  <si>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</si>
  <si>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</si>
  <si>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</si>
  <si>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</si>
  <si>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</si>
  <si>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</si>
  <si>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</si>
  <si>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</si>
  <si>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</si>
  <si>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</si>
  <si>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</si>
  <si>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</si>
  <si>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</si>
  <si>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</si>
  <si>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</si>
  <si>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</si>
  <si>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</si>
  <si>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</si>
  <si>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</si>
  <si>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</si>
  <si>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Итого по 3-му этажу</t>
  </si>
  <si>
    <t>Итого по 2-му этажу</t>
  </si>
  <si>
    <t>номер помещения</t>
  </si>
  <si>
    <t>Итого по 1-му этажу</t>
  </si>
  <si>
    <t>ВСЕГО по 1-3 этажам</t>
  </si>
  <si>
    <t>Заместитель директора по строительству ООО "ГлобалСтройТех"</t>
  </si>
  <si>
    <t>должность</t>
  </si>
  <si>
    <t>Строительный контроль (заказчик)</t>
  </si>
  <si>
    <t>Тамбур</t>
  </si>
  <si>
    <t>Зона ожидания родителей со стойкой для зарядки мобильных устройств</t>
  </si>
  <si>
    <t>Санузел для посетителей</t>
  </si>
  <si>
    <t>возможностью проведения общественных мероприятий на 200 мест (с эстрадой в уровне пола)</t>
  </si>
  <si>
    <t>Комната охраны с диспетчерским пультом</t>
  </si>
  <si>
    <t>Санузел для МГН</t>
  </si>
  <si>
    <t>Гардероб для учителей</t>
  </si>
  <si>
    <t>Гардероб для начальной школы</t>
  </si>
  <si>
    <t>Учебный кабинет 1 класс</t>
  </si>
  <si>
    <t>Игровая с возможностью организации спальных мест</t>
  </si>
  <si>
    <t>Санузел для девочек</t>
  </si>
  <si>
    <t>Санузел для мальчиков</t>
  </si>
  <si>
    <t>С/у (медблок)</t>
  </si>
  <si>
    <t>Процедурный кабинет</t>
  </si>
  <si>
    <t>Прививочный кабинет</t>
  </si>
  <si>
    <t>Кабинет Врача</t>
  </si>
  <si>
    <t>Холл</t>
  </si>
  <si>
    <t>Комната для приготовления дизенфицирующих растворов</t>
  </si>
  <si>
    <t>санузел персонала</t>
  </si>
  <si>
    <t>Помещение уборочного инвентаря</t>
  </si>
  <si>
    <t>Кладовая инвентаря</t>
  </si>
  <si>
    <t>Артистическая</t>
  </si>
  <si>
    <t>Коридор</t>
  </si>
  <si>
    <t>Серверная</t>
  </si>
  <si>
    <t>Электрощитовая</t>
  </si>
  <si>
    <t>Рекреация коридорного типа</t>
  </si>
  <si>
    <t>ЛК №1 (тип Н2)</t>
  </si>
  <si>
    <t>ЛК №2 (тип Н2)</t>
  </si>
  <si>
    <t>ЛК №3 (тип Н2)</t>
  </si>
  <si>
    <t>ЛК №4 (тип Н2)</t>
  </si>
  <si>
    <t>Лифтовой холл</t>
  </si>
  <si>
    <t>Умывальная</t>
  </si>
  <si>
    <t>Обеденный зал на 150 мест</t>
  </si>
  <si>
    <t>Моечная столовой посуды</t>
  </si>
  <si>
    <t>Холодный цех</t>
  </si>
  <si>
    <t>Горячий цех</t>
  </si>
  <si>
    <t>Моечная кухонной посуды</t>
  </si>
  <si>
    <t>Кладовая сухих продуктов</t>
  </si>
  <si>
    <t>Помещение с холодильным оборудованием</t>
  </si>
  <si>
    <t>Кладовая овощей</t>
  </si>
  <si>
    <t>Помещение персонала</t>
  </si>
  <si>
    <t>Помещение временноо хранения отходов</t>
  </si>
  <si>
    <t>Раздаточная</t>
  </si>
  <si>
    <t>Санузел персонала</t>
  </si>
  <si>
    <t>Моечная оборотной тары</t>
  </si>
  <si>
    <t>Загрузочная</t>
  </si>
  <si>
    <t>Гардероб персонала с душем</t>
  </si>
  <si>
    <t>Цех первичной обработки</t>
  </si>
  <si>
    <t>Цех вторичной обработки</t>
  </si>
  <si>
    <t>Мясо-рыбный цех</t>
  </si>
  <si>
    <t>Вестибюль с зоной для посетителей</t>
  </si>
  <si>
    <t>Пост охраны</t>
  </si>
  <si>
    <t>Туалет для МГН (для посетителей)</t>
  </si>
  <si>
    <t>Раздевальная комната</t>
  </si>
  <si>
    <t>Буфет</t>
  </si>
  <si>
    <t>Туалет (в т.ч. Для МГН)</t>
  </si>
  <si>
    <t>Групповая</t>
  </si>
  <si>
    <t>Спальная</t>
  </si>
  <si>
    <t xml:space="preserve">Групповая </t>
  </si>
  <si>
    <t>Комната персонала с гардеробом, душем и туалетом</t>
  </si>
  <si>
    <t>ЛК №5 (тип Н2)</t>
  </si>
  <si>
    <t>ЛК №6 (тип Л2)</t>
  </si>
  <si>
    <t>Учебный кабинет 2-4 класс</t>
  </si>
  <si>
    <t>Лабораторно-исследовательский комплекс для изучения естесствознания</t>
  </si>
  <si>
    <t>Кабинет с рабочим местом для учителей</t>
  </si>
  <si>
    <t>Универсальное помещение с возможностью проведения занятий во внеурочное время в том числе для групп продленного дня</t>
  </si>
  <si>
    <t xml:space="preserve">Коридор </t>
  </si>
  <si>
    <t>Раздевальная для девочек (МГН)</t>
  </si>
  <si>
    <t>Раздевальная для мальчиков (МГН)</t>
  </si>
  <si>
    <t>Раздевальная для мальчиков</t>
  </si>
  <si>
    <t>Душевая для мальчиков</t>
  </si>
  <si>
    <t>Раздевальная для девочек</t>
  </si>
  <si>
    <t>Душевая для девочек</t>
  </si>
  <si>
    <t>Инвентарная (снарядная)</t>
  </si>
  <si>
    <t>Спортивный зал 15х24 м</t>
  </si>
  <si>
    <t>Комната инструктора (с душем и туалетом)</t>
  </si>
  <si>
    <t>Кабинет для индивидуальных занятий, в т.ч. С учителем-логопедом</t>
  </si>
  <si>
    <t>Рекреация</t>
  </si>
  <si>
    <t>Технический центр</t>
  </si>
  <si>
    <t>ЛК №1 (Тип Н2)</t>
  </si>
  <si>
    <t>ЛК №2 (Тип Н2)</t>
  </si>
  <si>
    <t>Лифтовой холл (зона безопасности)</t>
  </si>
  <si>
    <t>ЛК №3 (Тип Н2)</t>
  </si>
  <si>
    <t>ЛК №4 (Тип Н2)</t>
  </si>
  <si>
    <t>Раздевальная</t>
  </si>
  <si>
    <t>Туалет (в т.ч. МГН)</t>
  </si>
  <si>
    <t>Многофункциональный физкультурный зал для проведения активных игр и занятий с детьми</t>
  </si>
  <si>
    <t>Помещение хранения для физкультурного зала</t>
  </si>
  <si>
    <t>Музыкальный зал</t>
  </si>
  <si>
    <t>Помещение хранения для музыкального зала</t>
  </si>
  <si>
    <t>Хозяйственная кладовая</t>
  </si>
  <si>
    <t>ЛК №5 (Тип Н2)</t>
  </si>
  <si>
    <t>ЛК №6 (Тип Л1)</t>
  </si>
  <si>
    <t>Кабинет иностранного языка с возможностью деления трансформируемой перегородкой на два помещения</t>
  </si>
  <si>
    <t>Административный кабинет</t>
  </si>
  <si>
    <t>Многофункциональный информационный библиотечный центр с зонами для индивидуальных и групповых занятий, медиатеки, хранения (закрытый фонд) и выдачи книг</t>
  </si>
  <si>
    <t>Книгохранилище</t>
  </si>
  <si>
    <t>Помещение (open spcse) для администрации, с рабочими местами для музыкального руководителя, воспитателя</t>
  </si>
  <si>
    <t>Вспомогательное помещение</t>
  </si>
  <si>
    <t>Кабинет для развивающих занятий с возможностью зонирования раздвижной трансформируемой перегородкой</t>
  </si>
  <si>
    <t>Помещение приемки и сортировки грязного белья</t>
  </si>
  <si>
    <t>Комната чистого белья</t>
  </si>
  <si>
    <t>Руководитель проекта ООО "МФ-СТРОЙ"</t>
  </si>
  <si>
    <t>НАИМЕНОВАНИЕ ПОМЕЩЕНИЙ</t>
  </si>
  <si>
    <t>ПОКРАСКА м2</t>
  </si>
  <si>
    <t>ШЛИФОВКА СТЕН м2</t>
  </si>
  <si>
    <t>ИТОГО по этажам</t>
  </si>
  <si>
    <t>ИТОГО по этажам м2</t>
  </si>
  <si>
    <t>ИТОГО ПО ЭТАЖАМ м2</t>
  </si>
  <si>
    <t>Места прохода комуникаций в штуках</t>
  </si>
  <si>
    <t>ИТОГО ПО ЭТАЖАМ В ШТУКАХ</t>
  </si>
  <si>
    <t>Дефектовка по  заделке мест прохода комуникаций  до 150мм</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</si>
</sst>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theme="1"/>
      <name val="Calibri"/>
      <family val="2"/>
      <scheme val="minor"/>
    </font>
    <font>
      <sz val="8"/>
      <name val="Calibri"/>
      <family val="2"/>
      <scheme val="minor"/>
    </font>
    <font>
      <b/>
      <sz val="11"/>
      <name val="Calibri"/>
      <family val="2"/>
      <charset val="204"/>
      <scheme val="minor"/>
    </font>
    <font>
      <sz val="11"/>
      <name val="Calibri"/>
      <family val="2"/>
      <scheme val="minor"/>
    </font>
    <font>
      <b/>
      <sz val="12"/>
      <name val="Calibri"/>
      <family val="2"/>
      <charset val="204"/>
      <scheme val="minor"/>
    </font>
    <font>
      <sz val="12"/>
      <name val="Calibri"/>
      <family val="2"/>
      <charset val="204"/>
      <scheme val="minor"/>
    </font>
    <font>
      <sz val="11"/>
      <name val="Calibri"/>
      <family val="2"/>
      <charset val="204"/>
      <scheme val="minor"/>
    </font>
    <font>
      <b/>
      <sz val="11"/>
      <name val="Calibri"/>
      <family val="2"/>
      <scheme val="minor"/>
    </font>
    <font>
      <sz val="11"/>
      <color theme="0" tint="-0.34998626667073579"/>
      <name val="Calibri"/>
      <family val="2"/>
      <scheme val="minor"/>
    </font>
    <font>
      <sz val="12"/>
      <name val="Calibri"/>
      <family val="2"/>
      <scheme val="minor"/>
    </font>
    <font>
      <sz val="11"/>
      <color theme="0"/>
      <name val="Calibri"/>
      <family val="2"/>
      <scheme val="minor"/>
    </font>
    <font>
      <sz val="20"/>
      <name val="Calibri"/>
      <family val="2"/>
      <scheme val="minor"/>
    </font>
    <font>
      <b/>
      <sz val="20"/>
      <color theme="1"/>
      <name val="Calibri"/>
      <family val="2"/>
      <charset val="204"/>
      <scheme val="minor"/>
    </font>
    <font>
      <sz val="11"/>
      <color theme="1"/>
      <name val="Arial"/>
      <family val="2"/>
      <charset val="204"/>
    </font>
    <font>
      <i/>
      <sz val="11"/>
      <color theme="1"/>
      <name val="Arial"/>
      <family val="2"/>
      <charset val="204"/>
    </font>
    <font>
      <b/>
      <sz val="14"/>
      <name val="Calibri"/>
      <family val="2"/>
      <charset val="204"/>
      <scheme val="minor"/>
    </font>
    <font>
      <sz val="14"/>
      <name val="Calibri"/>
      <family val="2"/>
      <scheme val="minor"/>
    </font>
    <font>
      <sz val="14"/>
      <color theme="1"/>
      <name val="Arial"/>
      <family val="2"/>
      <charset val="204"/>
    </font>
    <font>
      <b/>
      <sz val="14"/>
      <color theme="1"/>
      <name val="Arial"/>
      <family val="2"/>
      <charset val="204"/>
    </font>
    <font>
      <b/>
      <sz val="14"/>
      <color theme="1"/>
      <name val="Calibri"/>
      <family val="2"/>
      <charset val="204"/>
      <scheme val="minor"/>
    </font>
    <font>
      <i/>
      <sz val="20"/>
      <color theme="1"/>
      <name val="Calibri"/>
      <family val="2"/>
      <charset val="204"/>
      <scheme val="minor"/>
    </font>
    <font>
      <sz val="20"/>
      <color theme="1"/>
      <name val="Calibri"/>
      <family val="2"/>
      <scheme val="minor"/>
    </font>
    <font>
      <sz val="20"/>
      <color theme="1"/>
      <name val="Arial"/>
      <family val="2"/>
      <charset val="204"/>
    </font>
    <font>
      <sz val="16"/>
      <color theme="1"/>
      <name val="Arial"/>
      <family val="2"/>
      <charset val="204"/>
    </font>
    <font>
      <i/>
      <sz val="16"/>
      <color theme="1"/>
      <name val="Arial"/>
      <family val="2"/>
      <charset val="204"/>
    </font>
    <font>
      <b/>
      <sz val="20"/>
      <name val="Calibri"/>
      <family val="2"/>
      <scheme val="minor"/>
    </font>
    <font>
      <b/>
      <sz val="12"/>
      <name val="Calibri"/>
      <family val="2"/>
      <scheme val="minor"/>
    </font>
    <font>
      <b/>
      <sz val="12"/>
      <color theme="1"/>
      <name val="Arial"/>
      <family val="2"/>
      <charset val="204"/>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bgColor indexed="64"/>
      </patternFill>
    </fill>
    <fill>
      <patternFill patternType="solid">
        <fgColor them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43434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rgb="FFFFFFFF"/>
      </left>
      <right/>
      <top style="thin">
        <color rgb="FFFFFFFF"/>
      </top>
      <bottom style="thin">
        <color rgb="FF434343"/>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FFFFFF"/>
      </left>
      <right/>
      <top style="thin">
        <color rgb="FF434343"/>
      </top>
      <bottom style="thin">
        <color indexed="64"/>
      </bottom>
      <diagonal/>
    </border>
    <border>
      <left/>
      <right/>
      <top style="thin">
        <color rgb="FF434343"/>
      </top>
      <bottom style="thin">
        <color indexed="64"/>
      </bottom>
      <diagonal/>
    </border>
    <border>
      <left style="thin">
        <color rgb="FFFFFFFF"/>
      </left>
      <right/>
      <top style="thin">
        <color rgb="FF434343"/>
      </top>
      <bottom style="thin">
        <color rgb="FFFFFFFF"/>
      </bottom>
      <diagonal/>
    </border>
    <border>
      <left/>
      <right/>
      <top style="thin">
        <color rgb="FF434343"/>
      </top>
      <bottom style="thin">
        <color rgb="FFFFFFF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rgb="FFFFFFFF"/>
      </left>
      <right/>
      <top/>
      <bottom/>
      <diagonal/>
    </border>
    <border>
      <left style="thin">
        <color indexed="64"/>
      </left>
      <right style="medium">
        <color indexed="64"/>
      </right>
      <top style="medium">
        <color indexed="64"/>
      </top>
      <bottom/>
      <diagonal/>
    </border>
    <border>
      <left style="thin">
        <color rgb="FFFFFFFF"/>
      </left>
      <right/>
      <top/>
      <bottom style="thin">
        <color rgb="FF434343"/>
      </bottom>
      <diagonal/>
    </border>
    <border>
      <left/>
      <right/>
      <top/>
      <bottom style="thin">
        <color rgb="FF434343"/>
      </bottom>
      <diagonal/>
    </border>
    <border>
      <left/>
      <right style="thin">
        <color indexed="64"/>
      </right>
      <top style="thin">
        <color indexed="64"/>
      </top>
      <bottom style="thin">
        <color indexed="64"/>
      </bottom>
      <diagonal/>
    </border>
  </borders>
  <cellStyleXfs count="1">
    <xf numFmtId="0" fontId="0" fillId="0" borderId="0"/>
  </cellStyleXfs>
  <cellXfs count="167">
    <xf numFmtId="0" fontId="0" fillId="0" borderId="0" xfId="0"/>
    <xf numFmtId="4" fontId="0" fillId="0" borderId="0" xfId="0" applyNumberFormat="1" applyAlignment="1">
      <alignment wrapText="1"/>
    </xf>
    <xf numFmtId="0" fontId="2" fillId="0" borderId="0" xfId="0" applyFont="1"/>
    <xf numFmtId="0" fontId="2" fillId="2" borderId="0" xfId="0" applyFont="1" applyFill="1"/>
    <xf numFmtId="4" fontId="2" fillId="4" borderId="1" xfId="0" applyNumberFormat="1" applyFont="1" applyFill="1" applyBorder="1" applyAlignment="1">
      <alignment horizontal="center" vertical="center"/>
    </xf>
    <xf numFmtId="4" fontId="3" fillId="0" borderId="0" xfId="0" applyNumberFormat="1" applyFont="1" applyAlignment="1">
      <alignment horizontal="center" vertical="center"/>
    </xf>
    <xf numFmtId="4" fontId="3" fillId="4" borderId="7" xfId="0" applyNumberFormat="1" applyFont="1" applyFill="1" applyBorder="1" applyAlignment="1">
      <alignment horizontal="center" vertical="center"/>
    </xf>
    <xf numFmtId="4" fontId="3" fillId="4" borderId="9" xfId="0" applyNumberFormat="1" applyFont="1" applyFill="1" applyBorder="1" applyAlignment="1">
      <alignment horizontal="center" vertical="center"/>
    </xf>
    <xf numFmtId="4" fontId="2" fillId="4" borderId="8" xfId="0" applyNumberFormat="1" applyFont="1" applyFill="1" applyBorder="1" applyAlignment="1">
      <alignment horizontal="center" vertical="center"/>
    </xf>
    <xf numFmtId="4" fontId="2" fillId="4" borderId="14" xfId="0" applyNumberFormat="1" applyFont="1" applyFill="1" applyBorder="1" applyAlignment="1">
      <alignment horizontal="center" vertical="center"/>
    </xf>
    <xf numFmtId="4" fontId="6" fillId="2" borderId="1" xfId="0" applyNumberFormat="1" applyFont="1" applyFill="1" applyBorder="1" applyAlignment="1">
      <alignment horizontal="center" vertical="center"/>
    </xf>
    <xf numFmtId="4" fontId="6" fillId="2" borderId="11" xfId="0" applyNumberFormat="1" applyFont="1" applyFill="1" applyBorder="1" applyAlignment="1">
      <alignment horizontal="center" vertical="center"/>
    </xf>
    <xf numFmtId="4" fontId="6" fillId="2" borderId="14" xfId="0" applyNumberFormat="1" applyFont="1" applyFill="1" applyBorder="1" applyAlignment="1">
      <alignment horizontal="center" vertical="center"/>
    </xf>
    <xf numFmtId="4" fontId="3" fillId="4" borderId="15" xfId="0" applyNumberFormat="1" applyFont="1" applyFill="1" applyBorder="1" applyAlignment="1">
      <alignment horizontal="center" vertical="center"/>
    </xf>
    <xf numFmtId="4" fontId="0" fillId="3" borderId="0" xfId="0" applyNumberFormat="1" applyFill="1" applyAlignment="1">
      <alignment horizontal="center" vertical="center"/>
    </xf>
    <xf numFmtId="4" fontId="8" fillId="3" borderId="0" xfId="0" applyNumberFormat="1" applyFont="1" applyFill="1" applyAlignment="1">
      <alignment horizontal="center" vertical="center"/>
    </xf>
    <xf numFmtId="4" fontId="0" fillId="3" borderId="0" xfId="0" applyNumberFormat="1" applyFill="1" applyAlignment="1">
      <alignment horizontal="left" vertical="center"/>
    </xf>
    <xf numFmtId="4" fontId="9" fillId="3" borderId="11" xfId="0" applyNumberFormat="1" applyFont="1" applyFill="1" applyBorder="1" applyAlignment="1">
      <alignment horizontal="center" vertical="center"/>
    </xf>
    <xf numFmtId="4" fontId="9" fillId="3" borderId="1" xfId="0" applyNumberFormat="1" applyFont="1" applyFill="1" applyBorder="1" applyAlignment="1">
      <alignment horizontal="center" vertical="center"/>
    </xf>
    <xf numFmtId="4" fontId="9" fillId="3" borderId="14" xfId="0" applyNumberFormat="1" applyFont="1" applyFill="1" applyBorder="1" applyAlignment="1">
      <alignment horizontal="center" vertical="center"/>
    </xf>
    <xf numFmtId="4" fontId="9" fillId="3" borderId="7" xfId="0" applyNumberFormat="1" applyFont="1" applyFill="1" applyBorder="1" applyAlignment="1">
      <alignment horizontal="center" vertical="center"/>
    </xf>
    <xf numFmtId="49" fontId="2" fillId="2" borderId="17" xfId="0" applyNumberFormat="1" applyFont="1" applyFill="1" applyBorder="1" applyAlignment="1">
      <alignment horizontal="center" vertical="center" wrapText="1"/>
    </xf>
    <xf numFmtId="49" fontId="2" fillId="2" borderId="18" xfId="0" applyNumberFormat="1"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49" fontId="2" fillId="4" borderId="18" xfId="0" applyNumberFormat="1" applyFont="1" applyFill="1" applyBorder="1" applyAlignment="1">
      <alignment horizontal="center" vertical="center" wrapText="1"/>
    </xf>
    <xf numFmtId="49" fontId="2" fillId="4" borderId="19" xfId="0" applyNumberFormat="1" applyFont="1" applyFill="1" applyBorder="1" applyAlignment="1">
      <alignment horizontal="center" vertical="center" wrapText="1"/>
    </xf>
    <xf numFmtId="4" fontId="7" fillId="5" borderId="1" xfId="0" applyNumberFormat="1" applyFont="1" applyFill="1" applyBorder="1" applyAlignment="1">
      <alignment horizontal="center" vertical="center"/>
    </xf>
    <xf numFmtId="49" fontId="7" fillId="4" borderId="18" xfId="0" applyNumberFormat="1" applyFont="1" applyFill="1" applyBorder="1" applyAlignment="1">
      <alignment horizontal="center" vertical="center" wrapText="1"/>
    </xf>
    <xf numFmtId="0" fontId="7" fillId="0" borderId="0" xfId="0" applyFont="1"/>
    <xf numFmtId="0" fontId="0" fillId="3" borderId="0" xfId="0" applyFill="1"/>
    <xf numFmtId="4" fontId="9" fillId="3" borderId="8" xfId="0" applyNumberFormat="1" applyFont="1" applyFill="1" applyBorder="1" applyAlignment="1">
      <alignment horizontal="center" vertical="center"/>
    </xf>
    <xf numFmtId="4" fontId="10" fillId="3" borderId="0" xfId="0" applyNumberFormat="1" applyFont="1" applyFill="1" applyAlignment="1">
      <alignment horizontal="center" vertical="center"/>
    </xf>
    <xf numFmtId="49" fontId="10" fillId="3" borderId="0" xfId="0" applyNumberFormat="1" applyFont="1" applyFill="1" applyAlignment="1">
      <alignment horizontal="center" vertical="center" wrapText="1"/>
    </xf>
    <xf numFmtId="0" fontId="10" fillId="3" borderId="0" xfId="0" applyFont="1" applyFill="1"/>
    <xf numFmtId="4" fontId="7" fillId="0" borderId="7" xfId="0" applyNumberFormat="1" applyFont="1" applyBorder="1" applyAlignment="1">
      <alignment horizontal="center" textRotation="90" wrapText="1"/>
    </xf>
    <xf numFmtId="4" fontId="11" fillId="3" borderId="11" xfId="0" applyNumberFormat="1" applyFont="1" applyFill="1" applyBorder="1" applyAlignment="1">
      <alignment horizontal="center" vertical="center"/>
    </xf>
    <xf numFmtId="49" fontId="0" fillId="0" borderId="1" xfId="0" applyNumberFormat="1" applyBorder="1" applyAlignment="1">
      <alignment horizontal="center"/>
    </xf>
    <xf numFmtId="49" fontId="12" fillId="0" borderId="1" xfId="0" applyNumberFormat="1" applyFont="1" applyBorder="1" applyAlignment="1">
      <alignment horizontal="center" vertical="center" wrapText="1"/>
    </xf>
    <xf numFmtId="0" fontId="13" fillId="3" borderId="5" xfId="0" applyFont="1" applyFill="1" applyBorder="1"/>
    <xf numFmtId="0" fontId="13" fillId="3" borderId="6" xfId="0" applyFont="1" applyFill="1" applyBorder="1" applyAlignment="1">
      <alignment horizontal="left" vertical="center"/>
    </xf>
    <xf numFmtId="4" fontId="16" fillId="3" borderId="7" xfId="0" applyNumberFormat="1" applyFont="1" applyFill="1" applyBorder="1" applyAlignment="1">
      <alignment horizontal="center" vertical="center" wrapText="1"/>
    </xf>
    <xf numFmtId="4" fontId="15" fillId="3" borderId="9" xfId="0" applyNumberFormat="1" applyFont="1" applyFill="1" applyBorder="1" applyAlignment="1">
      <alignment horizontal="center" vertical="center" wrapText="1"/>
    </xf>
    <xf numFmtId="4" fontId="16" fillId="3" borderId="11" xfId="0" applyNumberFormat="1" applyFont="1" applyFill="1" applyBorder="1" applyAlignment="1">
      <alignment horizontal="center" vertical="center"/>
    </xf>
    <xf numFmtId="0" fontId="17" fillId="3" borderId="1" xfId="0" applyFont="1" applyFill="1" applyBorder="1"/>
    <xf numFmtId="0" fontId="18" fillId="8" borderId="1" xfId="0" applyFont="1" applyFill="1" applyBorder="1" applyAlignment="1">
      <alignment vertical="center"/>
    </xf>
    <xf numFmtId="4" fontId="19" fillId="8" borderId="1" xfId="0" applyNumberFormat="1" applyFont="1" applyFill="1" applyBorder="1" applyAlignment="1">
      <alignment horizontal="center" vertical="center"/>
    </xf>
    <xf numFmtId="49" fontId="16" fillId="3" borderId="0" xfId="0" applyNumberFormat="1" applyFont="1" applyFill="1" applyAlignment="1">
      <alignment horizontal="center" vertical="center" wrapText="1"/>
    </xf>
    <xf numFmtId="4" fontId="0" fillId="3" borderId="0" xfId="0" applyNumberFormat="1" applyFont="1" applyFill="1" applyAlignment="1">
      <alignment horizontal="center" vertical="center"/>
    </xf>
    <xf numFmtId="4" fontId="9" fillId="3" borderId="32" xfId="0" applyNumberFormat="1" applyFont="1" applyFill="1" applyBorder="1" applyAlignment="1">
      <alignment horizontal="center" vertical="center"/>
    </xf>
    <xf numFmtId="0" fontId="13" fillId="3" borderId="33" xfId="0" applyFont="1" applyFill="1" applyBorder="1" applyAlignment="1">
      <alignment horizontal="left" vertical="center"/>
    </xf>
    <xf numFmtId="0" fontId="13" fillId="3" borderId="0" xfId="0" applyFont="1" applyFill="1" applyBorder="1" applyAlignment="1">
      <alignment horizontal="left" vertical="center"/>
    </xf>
    <xf numFmtId="0" fontId="22" fillId="3" borderId="5" xfId="0" applyFont="1" applyFill="1" applyBorder="1"/>
    <xf numFmtId="49" fontId="11" fillId="3" borderId="0" xfId="0" applyNumberFormat="1" applyFont="1" applyFill="1" applyAlignment="1">
      <alignment horizontal="center" vertical="center" wrapText="1"/>
    </xf>
    <xf numFmtId="0" fontId="23" fillId="3" borderId="16" xfId="0" applyFont="1" applyFill="1" applyBorder="1" applyAlignment="1">
      <alignment horizontal="left" vertical="center"/>
    </xf>
    <xf numFmtId="4" fontId="21" fillId="3" borderId="0" xfId="0" applyNumberFormat="1" applyFont="1" applyFill="1" applyAlignment="1">
      <alignment horizontal="center" vertical="center"/>
    </xf>
    <xf numFmtId="4" fontId="21" fillId="3" borderId="0" xfId="0" applyNumberFormat="1" applyFont="1" applyFill="1" applyAlignment="1">
      <alignment horizontal="left" vertical="center"/>
    </xf>
    <xf numFmtId="4" fontId="11" fillId="0" borderId="0" xfId="0" applyNumberFormat="1" applyFont="1" applyAlignment="1">
      <alignment horizontal="center" vertical="center"/>
    </xf>
    <xf numFmtId="4" fontId="26" fillId="0" borderId="7" xfId="0" applyNumberFormat="1" applyFont="1" applyBorder="1" applyAlignment="1">
      <alignment horizontal="center" textRotation="90" wrapText="1"/>
    </xf>
    <xf numFmtId="4" fontId="11" fillId="3" borderId="1" xfId="0" applyNumberFormat="1" applyFont="1" applyFill="1" applyBorder="1" applyAlignment="1">
      <alignment horizontal="center" vertical="center"/>
    </xf>
    <xf numFmtId="4" fontId="21" fillId="3" borderId="34" xfId="0" applyNumberFormat="1" applyFont="1" applyFill="1" applyBorder="1" applyAlignment="1">
      <alignment horizontal="center" vertical="center"/>
    </xf>
    <xf numFmtId="0" fontId="23" fillId="3" borderId="35" xfId="0" applyFont="1" applyFill="1" applyBorder="1" applyAlignment="1">
      <alignment horizontal="left" vertical="center"/>
    </xf>
    <xf numFmtId="0" fontId="13" fillId="3" borderId="36" xfId="0" applyFont="1" applyFill="1" applyBorder="1" applyAlignment="1">
      <alignment horizontal="left" vertical="center"/>
    </xf>
    <xf numFmtId="0" fontId="11" fillId="3" borderId="1" xfId="0" applyNumberFormat="1" applyFont="1" applyFill="1" applyBorder="1" applyAlignment="1">
      <alignment horizontal="center" vertical="center"/>
    </xf>
    <xf numFmtId="0" fontId="21" fillId="3" borderId="1" xfId="0" applyNumberFormat="1" applyFont="1" applyFill="1" applyBorder="1" applyAlignment="1">
      <alignment horizontal="center" vertical="center"/>
    </xf>
    <xf numFmtId="0" fontId="11" fillId="3" borderId="1"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wrapText="1"/>
    </xf>
    <xf numFmtId="49" fontId="4" fillId="0" borderId="3" xfId="0" applyNumberFormat="1" applyFont="1" applyBorder="1" applyAlignment="1">
      <alignment horizontal="center" vertical="center" wrapText="1"/>
    </xf>
    <xf numFmtId="0" fontId="27" fillId="3" borderId="1" xfId="0" applyFont="1" applyFill="1" applyBorder="1" applyAlignment="1">
      <alignment horizontal="center"/>
    </xf>
    <xf numFmtId="0" fontId="24" fillId="3" borderId="26" xfId="0" applyFont="1" applyFill="1" applyBorder="1" applyAlignment="1">
      <alignment horizontal="center" vertical="top"/>
    </xf>
    <xf numFmtId="0" fontId="14" fillId="3" borderId="27" xfId="0" applyFont="1" applyFill="1" applyBorder="1" applyAlignment="1">
      <alignment horizontal="center" vertical="top"/>
    </xf>
    <xf numFmtId="49" fontId="16" fillId="3" borderId="10" xfId="0" applyNumberFormat="1" applyFont="1" applyFill="1" applyBorder="1" applyAlignment="1">
      <alignment horizontal="center" vertical="center" wrapText="1"/>
    </xf>
    <xf numFmtId="49" fontId="3" fillId="7" borderId="12" xfId="0" applyNumberFormat="1" applyFont="1" applyFill="1" applyBorder="1" applyAlignment="1">
      <alignment horizontal="center" vertical="center" wrapText="1"/>
    </xf>
    <xf numFmtId="49" fontId="3" fillId="7" borderId="13" xfId="0" applyNumberFormat="1" applyFont="1" applyFill="1" applyBorder="1" applyAlignment="1">
      <alignment horizontal="center" vertical="center" wrapText="1"/>
    </xf>
    <xf numFmtId="49" fontId="11" fillId="3" borderId="10" xfId="0" applyNumberFormat="1" applyFont="1" applyFill="1" applyBorder="1" applyAlignment="1">
      <alignment horizontal="center" vertical="center" wrapText="1"/>
    </xf>
    <xf numFmtId="49" fontId="3" fillId="7" borderId="10"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2" fillId="2" borderId="13" xfId="0" applyNumberFormat="1" applyFont="1" applyFill="1" applyBorder="1" applyAlignment="1">
      <alignment horizontal="center" vertical="center" wrapText="1"/>
    </xf>
    <xf numFmtId="0" fontId="24" fillId="3" borderId="24" xfId="0" applyFont="1" applyFill="1" applyBorder="1" applyAlignment="1">
      <alignment horizontal="center" vertical="top"/>
    </xf>
    <xf numFmtId="0" fontId="24" fillId="3" borderId="25" xfId="0" applyFont="1" applyFill="1" applyBorder="1" applyAlignment="1">
      <alignment horizontal="center" vertical="top"/>
    </xf>
    <xf numFmtId="0" fontId="20" fillId="3" borderId="10" xfId="0" applyFont="1" applyFill="1" applyBorder="1" applyAlignment="1">
      <alignment horizontal="center" vertical="center"/>
    </xf>
    <xf numFmtId="0" fontId="20" fillId="3" borderId="20" xfId="0" applyFont="1" applyFill="1" applyBorder="1" applyAlignment="1">
      <alignment horizontal="center" vertical="center"/>
    </xf>
    <xf numFmtId="49" fontId="3" fillId="7" borderId="21" xfId="0" applyNumberFormat="1" applyFont="1" applyFill="1" applyBorder="1" applyAlignment="1">
      <alignment horizontal="center" vertical="center" wrapText="1"/>
    </xf>
    <xf numFmtId="49" fontId="3" fillId="7" borderId="22" xfId="0" applyNumberFormat="1" applyFont="1" applyFill="1" applyBorder="1" applyAlignment="1">
      <alignment horizontal="center" vertical="center" wrapText="1"/>
    </xf>
    <xf numFmtId="49" fontId="3" fillId="7" borderId="23" xfId="0" applyNumberFormat="1" applyFont="1" applyFill="1" applyBorder="1" applyAlignment="1">
      <alignment horizontal="center" vertical="center" wrapText="1"/>
    </xf>
    <xf numFmtId="49" fontId="2" fillId="4" borderId="12" xfId="0" applyNumberFormat="1" applyFont="1" applyFill="1" applyBorder="1" applyAlignment="1">
      <alignment horizontal="center" vertical="center" wrapText="1"/>
    </xf>
    <xf numFmtId="49" fontId="2" fillId="4" borderId="13" xfId="0" applyNumberFormat="1" applyFont="1" applyFill="1" applyBorder="1" applyAlignment="1">
      <alignment horizontal="center" vertical="center" wrapText="1"/>
    </xf>
    <xf numFmtId="49" fontId="11" fillId="3" borderId="12" xfId="0" applyNumberFormat="1"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5" xfId="0" applyNumberFormat="1" applyFont="1" applyFill="1" applyBorder="1" applyAlignment="1">
      <alignment horizontal="center" vertical="center" wrapText="1"/>
    </xf>
    <xf numFmtId="49" fontId="3" fillId="3" borderId="20" xfId="0" applyNumberFormat="1" applyFont="1" applyFill="1" applyBorder="1" applyAlignment="1">
      <alignment horizontal="center" vertical="center" wrapText="1"/>
    </xf>
    <xf numFmtId="49" fontId="3" fillId="3" borderId="9" xfId="0" applyNumberFormat="1" applyFont="1" applyFill="1" applyBorder="1" applyAlignment="1">
      <alignment horizontal="center" vertical="center" wrapText="1"/>
    </xf>
    <xf numFmtId="49" fontId="3" fillId="3" borderId="15" xfId="0" applyNumberFormat="1"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49" fontId="25" fillId="0" borderId="3"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 fontId="4" fillId="3" borderId="7" xfId="0" applyNumberFormat="1" applyFont="1" applyFill="1" applyBorder="1" applyAlignment="1">
      <alignment horizontal="center" vertical="center" wrapText="1"/>
    </xf>
    <xf numFmtId="4" fontId="4" fillId="3" borderId="9" xfId="0" applyNumberFormat="1" applyFont="1" applyFill="1" applyBorder="1" applyAlignment="1">
      <alignment horizontal="center" vertical="center" wrapText="1"/>
    </xf>
    <xf numFmtId="49" fontId="26"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3" fillId="2" borderId="31" xfId="0" applyNumberFormat="1" applyFont="1" applyFill="1" applyBorder="1" applyAlignment="1">
      <alignment horizontal="center" vertical="center" wrapText="1"/>
    </xf>
    <xf numFmtId="49" fontId="3" fillId="4" borderId="7" xfId="0" applyNumberFormat="1" applyFont="1" applyFill="1" applyBorder="1" applyAlignment="1">
      <alignment horizontal="center"/>
    </xf>
    <xf numFmtId="49" fontId="3" fillId="4" borderId="30" xfId="0" applyNumberFormat="1" applyFont="1" applyFill="1" applyBorder="1" applyAlignment="1">
      <alignment horizontal="center"/>
    </xf>
    <xf numFmtId="49" fontId="3" fillId="4" borderId="29" xfId="0" applyNumberFormat="1" applyFont="1" applyFill="1" applyBorder="1" applyAlignment="1">
      <alignment horizontal="center"/>
    </xf>
    <xf numFmtId="49" fontId="3" fillId="4" borderId="28" xfId="0" applyNumberFormat="1" applyFont="1" applyFill="1" applyBorder="1" applyAlignment="1">
      <alignment horizontal="center"/>
    </xf>
    <xf numFmtId="49" fontId="3" fillId="6" borderId="12" xfId="0" applyNumberFormat="1" applyFont="1" applyFill="1" applyBorder="1" applyAlignment="1">
      <alignment horizontal="center" vertical="center" wrapText="1"/>
    </xf>
    <xf numFmtId="49" fontId="3" fillId="3" borderId="13" xfId="0" applyNumberFormat="1" applyFont="1" applyFill="1" applyBorder="1" applyAlignment="1">
      <alignment horizontal="center" vertical="center" wrapText="1"/>
    </xf>
    <xf numFmtId="49" fontId="16" fillId="3" borderId="20"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2" borderId="14" xfId="0" applyNumberFormat="1" applyFont="1" applyFill="1" applyBorder="1" applyAlignment="1">
      <alignment horizontal="center" vertical="center" wrapText="1"/>
    </xf>
    <xf numFmtId="0" fontId="11" fillId="3" borderId="1" xfId="0" applyNumberFormat="1" applyFont="1" applyFill="1" applyBorder="1" applyAlignment="1">
      <alignment horizontal="center" vertical="center"/>
    </xf>
    <xf numFmtId="4" fontId="9" fillId="3" borderId="9" xfId="0" applyNumberFormat="1" applyFont="1" applyFill="1" applyBorder="1" applyAlignment="1">
      <alignment horizontal="center" vertical="center"/>
    </xf>
    <xf numFmtId="4" fontId="11" fillId="3" borderId="9" xfId="0" applyNumberFormat="1" applyFont="1" applyFill="1" applyBorder="1" applyAlignment="1">
      <alignment horizontal="center" vertical="center"/>
    </xf>
    <xf numFmtId="4" fontId="11" fillId="3" borderId="20" xfId="0" applyNumberFormat="1" applyFont="1" applyFill="1" applyBorder="1" applyAlignment="1">
      <alignment horizontal="center" vertical="center"/>
    </xf>
    <xf numFmtId="4" fontId="11" fillId="3" borderId="15" xfId="0" applyNumberFormat="1" applyFont="1" applyFill="1" applyBorder="1" applyAlignment="1">
      <alignment horizontal="center" vertical="center"/>
    </xf>
    <xf numFmtId="49" fontId="4" fillId="3" borderId="3" xfId="0" applyNumberFormat="1" applyFont="1" applyFill="1" applyBorder="1" applyAlignment="1">
      <alignment vertical="center" wrapText="1"/>
    </xf>
    <xf numFmtId="49" fontId="25" fillId="0" borderId="3" xfId="0" applyNumberFormat="1" applyFont="1" applyBorder="1" applyAlignment="1">
      <alignment vertical="center" wrapText="1"/>
    </xf>
    <xf numFmtId="4" fontId="4" fillId="3" borderId="7" xfId="0" applyNumberFormat="1" applyFont="1" applyFill="1" applyBorder="1" applyAlignment="1">
      <alignment vertical="center" wrapText="1"/>
    </xf>
    <xf numFmtId="49" fontId="26" fillId="0" borderId="2" xfId="0" applyNumberFormat="1" applyFont="1" applyBorder="1" applyAlignment="1">
      <alignment vertical="center" wrapText="1"/>
    </xf>
    <xf numFmtId="49" fontId="5" fillId="0" borderId="4" xfId="0" applyNumberFormat="1" applyFont="1" applyBorder="1" applyAlignment="1">
      <alignment vertical="center" wrapText="1"/>
    </xf>
    <xf numFmtId="4" fontId="4" fillId="3" borderId="9" xfId="0" applyNumberFormat="1" applyFont="1" applyFill="1" applyBorder="1" applyAlignment="1">
      <alignment vertical="center" wrapText="1"/>
    </xf>
    <xf numFmtId="49" fontId="3" fillId="4" borderId="7" xfId="0" applyNumberFormat="1" applyFont="1" applyFill="1" applyBorder="1" applyAlignment="1"/>
    <xf numFmtId="49" fontId="3" fillId="7" borderId="10" xfId="0" applyNumberFormat="1" applyFont="1" applyFill="1" applyBorder="1" applyAlignment="1">
      <alignment vertical="center" wrapText="1"/>
    </xf>
    <xf numFmtId="49" fontId="3" fillId="2" borderId="20" xfId="0" applyNumberFormat="1" applyFont="1" applyFill="1" applyBorder="1" applyAlignment="1">
      <alignment vertical="center" wrapText="1"/>
    </xf>
    <xf numFmtId="49" fontId="3" fillId="7" borderId="12" xfId="0" applyNumberFormat="1" applyFont="1" applyFill="1" applyBorder="1" applyAlignment="1">
      <alignment vertical="center" wrapText="1"/>
    </xf>
    <xf numFmtId="49" fontId="3" fillId="2" borderId="9" xfId="0" applyNumberFormat="1" applyFont="1" applyFill="1" applyBorder="1" applyAlignment="1">
      <alignment vertical="center" wrapText="1"/>
    </xf>
    <xf numFmtId="49" fontId="3" fillId="7" borderId="13" xfId="0" applyNumberFormat="1" applyFont="1" applyFill="1" applyBorder="1" applyAlignment="1">
      <alignment vertical="center" wrapText="1"/>
    </xf>
    <xf numFmtId="49" fontId="3" fillId="2" borderId="15" xfId="0" applyNumberFormat="1" applyFont="1" applyFill="1" applyBorder="1" applyAlignment="1">
      <alignment vertical="center" wrapText="1"/>
    </xf>
    <xf numFmtId="49" fontId="11" fillId="3" borderId="10" xfId="0" applyNumberFormat="1" applyFont="1" applyFill="1" applyBorder="1" applyAlignment="1">
      <alignment vertical="center" wrapText="1"/>
    </xf>
    <xf numFmtId="49" fontId="3" fillId="3" borderId="20" xfId="0" applyNumberFormat="1" applyFont="1" applyFill="1" applyBorder="1" applyAlignment="1">
      <alignment vertical="center" wrapText="1"/>
    </xf>
    <xf numFmtId="49" fontId="3" fillId="3" borderId="9" xfId="0" applyNumberFormat="1" applyFont="1" applyFill="1" applyBorder="1" applyAlignment="1">
      <alignment vertical="center" wrapText="1"/>
    </xf>
    <xf numFmtId="49" fontId="3" fillId="3" borderId="15" xfId="0" applyNumberFormat="1" applyFont="1" applyFill="1" applyBorder="1" applyAlignment="1">
      <alignment vertical="center" wrapText="1"/>
    </xf>
    <xf numFmtId="0" fontId="11" fillId="3" borderId="7" xfId="0" applyNumberFormat="1" applyFont="1" applyFill="1" applyBorder="1" applyAlignment="1">
      <alignment vertical="center"/>
    </xf>
    <xf numFmtId="49" fontId="3" fillId="6" borderId="12" xfId="0" applyNumberFormat="1" applyFont="1" applyFill="1" applyBorder="1" applyAlignment="1">
      <alignment vertical="center" wrapText="1"/>
    </xf>
    <xf numFmtId="4" fontId="9" fillId="3" borderId="9" xfId="0" applyNumberFormat="1" applyFont="1" applyFill="1" applyBorder="1" applyAlignment="1">
      <alignment vertical="center"/>
    </xf>
    <xf numFmtId="49" fontId="3" fillId="3" borderId="13" xfId="0" applyNumberFormat="1" applyFont="1" applyFill="1" applyBorder="1" applyAlignment="1">
      <alignment vertical="center" wrapText="1"/>
    </xf>
    <xf numFmtId="49" fontId="3" fillId="2" borderId="31" xfId="0" applyNumberFormat="1" applyFont="1" applyFill="1" applyBorder="1" applyAlignment="1">
      <alignment vertical="center" wrapText="1"/>
    </xf>
    <xf numFmtId="4" fontId="11" fillId="3" borderId="8" xfId="0" applyNumberFormat="1" applyFont="1" applyFill="1" applyBorder="1" applyAlignment="1">
      <alignment vertical="center"/>
    </xf>
    <xf numFmtId="49" fontId="16" fillId="3" borderId="20" xfId="0" applyNumberFormat="1" applyFont="1" applyFill="1" applyBorder="1" applyAlignment="1">
      <alignment vertical="center" wrapText="1"/>
    </xf>
    <xf numFmtId="49" fontId="16" fillId="3" borderId="10" xfId="0" applyNumberFormat="1" applyFont="1" applyFill="1" applyBorder="1" applyAlignment="1">
      <alignment vertical="center" wrapText="1"/>
    </xf>
    <xf numFmtId="4" fontId="11" fillId="3" borderId="20" xfId="0" applyNumberFormat="1" applyFont="1" applyFill="1" applyBorder="1" applyAlignment="1">
      <alignment vertical="center"/>
    </xf>
    <xf numFmtId="4" fontId="11" fillId="3" borderId="9" xfId="0" applyNumberFormat="1" applyFont="1" applyFill="1" applyBorder="1" applyAlignment="1">
      <alignment vertical="center"/>
    </xf>
    <xf numFmtId="4" fontId="11" fillId="3" borderId="15" xfId="0" applyNumberFormat="1" applyFont="1" applyFill="1" applyBorder="1" applyAlignment="1">
      <alignment vertical="center"/>
    </xf>
    <xf numFmtId="49" fontId="2" fillId="2" borderId="10" xfId="0" applyNumberFormat="1" applyFont="1" applyFill="1" applyBorder="1" applyAlignment="1">
      <alignment vertical="center" wrapText="1"/>
    </xf>
    <xf numFmtId="49" fontId="2" fillId="2" borderId="12" xfId="0" applyNumberFormat="1" applyFont="1" applyFill="1" applyBorder="1" applyAlignment="1">
      <alignment vertical="center" wrapText="1"/>
    </xf>
    <xf numFmtId="49" fontId="2" fillId="2" borderId="13" xfId="0" applyNumberFormat="1" applyFont="1" applyFill="1" applyBorder="1" applyAlignment="1">
      <alignment vertical="center" wrapText="1"/>
    </xf>
    <xf numFmtId="49" fontId="3" fillId="4" borderId="30" xfId="0" applyNumberFormat="1" applyFont="1" applyFill="1" applyBorder="1" applyAlignment="1"/>
    <xf numFmtId="49" fontId="3" fillId="4" borderId="29" xfId="0" applyNumberFormat="1" applyFont="1" applyFill="1" applyBorder="1" applyAlignment="1"/>
    <xf numFmtId="49" fontId="3" fillId="4" borderId="28" xfId="0" applyNumberFormat="1" applyFont="1" applyFill="1" applyBorder="1" applyAlignment="1"/>
    <xf numFmtId="49" fontId="3" fillId="7" borderId="21" xfId="0" applyNumberFormat="1" applyFont="1" applyFill="1" applyBorder="1" applyAlignment="1">
      <alignment vertical="center" wrapText="1"/>
    </xf>
    <xf numFmtId="49" fontId="3" fillId="2" borderId="11" xfId="0" applyNumberFormat="1" applyFont="1" applyFill="1" applyBorder="1" applyAlignment="1">
      <alignment vertical="center" wrapText="1"/>
    </xf>
    <xf numFmtId="49" fontId="3" fillId="7" borderId="22" xfId="0" applyNumberFormat="1" applyFont="1" applyFill="1" applyBorder="1" applyAlignment="1">
      <alignment vertical="center" wrapText="1"/>
    </xf>
    <xf numFmtId="49" fontId="3" fillId="2" borderId="1" xfId="0" applyNumberFormat="1" applyFont="1" applyFill="1" applyBorder="1" applyAlignment="1">
      <alignment vertical="center" wrapText="1"/>
    </xf>
    <xf numFmtId="49" fontId="3" fillId="7" borderId="23" xfId="0" applyNumberFormat="1" applyFont="1" applyFill="1" applyBorder="1" applyAlignment="1">
      <alignment vertical="center" wrapText="1"/>
    </xf>
    <xf numFmtId="49" fontId="3" fillId="2" borderId="14" xfId="0" applyNumberFormat="1" applyFont="1" applyFill="1" applyBorder="1" applyAlignment="1">
      <alignment vertical="center" wrapText="1"/>
    </xf>
    <xf numFmtId="49" fontId="2" fillId="4" borderId="12" xfId="0" applyNumberFormat="1" applyFont="1" applyFill="1" applyBorder="1" applyAlignment="1">
      <alignment vertical="center" wrapText="1"/>
    </xf>
    <xf numFmtId="49" fontId="2" fillId="4" borderId="13" xfId="0" applyNumberFormat="1" applyFont="1" applyFill="1" applyBorder="1" applyAlignment="1">
      <alignment vertical="center" wrapText="1"/>
    </xf>
    <xf numFmtId="0" fontId="20" fillId="3" borderId="10" xfId="0" applyFont="1" applyFill="1" applyBorder="1" applyAlignment="1">
      <alignment vertical="center"/>
    </xf>
    <xf numFmtId="0" fontId="20" fillId="3" borderId="20" xfId="0" applyFont="1" applyFill="1" applyBorder="1" applyAlignment="1">
      <alignment vertical="center"/>
    </xf>
    <xf numFmtId="0" fontId="27" fillId="3" borderId="2" xfId="0" applyFont="1" applyFill="1" applyBorder="1" applyAlignment="1"/>
    <xf numFmtId="0" fontId="27" fillId="3" borderId="37" xfId="0" applyFont="1" applyFill="1" applyBorder="1" applyAlignment="1"/>
    <xf numFmtId="0" fontId="24" fillId="3" borderId="26" xfId="0" applyFont="1" applyFill="1" applyBorder="1" applyAlignment="1">
      <alignment vertical="top"/>
    </xf>
    <xf numFmtId="0" fontId="14" fillId="3" borderId="27" xfId="0" applyFont="1" applyFill="1" applyBorder="1" applyAlignment="1">
      <alignment vertical="top"/>
    </xf>
    <xf numFmtId="0" fontId="24" fillId="3" borderId="24" xfId="0" applyFont="1" applyFill="1" applyBorder="1" applyAlignment="1">
      <alignment vertical="top"/>
    </xf>
    <xf numFmtId="0" fontId="24" fillId="3" borderId="25" xfId="0" applyFont="1" applyFill="1" applyBorder="1" applyAlignment="1">
      <alignment vertical="top"/>
    </xf>
  </cellXfs>
  <cellStyles count="1">
    <cellStyle name="Обычный" xfId="0" builtinId="0"/>
  </cellStyles>
  <dxfs count="0"/>
  <tableStyles count="0" defaultTableStyle="TableStyleMedium2" defaultPivotStyle="PivotStyleLight16"/>
  <colors>
    <mruColors>
      <color rgb="FFFF00FF"/>
      <color rgb="FFFFCCFF"/>
      <color rgb="FFB3FB99"/>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H962"/>
  <sheetViews>
    <sheetView tabSelected="1" view="pageBreakPreview" zoomScale="70" zoomScaleNormal="100" zoomScaleSheetLayoutView="70" workbookViewId="0">
      <pane xSplit="2" ySplit="4" topLeftCell="C752" activePane="bottomRight" state="frozen"/>
      <selection pane="topRight" activeCell="C1" sqref="C1"/>
      <selection pane="bottomLeft" activeCell="A5" sqref="A5"/>
      <selection pane="bottomRight" activeCell="A15" sqref="A15 C15 A30 C30 A35 C35 A40 C40 A45 C45 A50 C50 A55 C55 A60 C60 A65 C65 A70 C70 A75 C75 A80 C80 A85 C85 A90 C90 A95 C95 A105 C105 A110 C110 A125 C125 A130 C130 A180 C180 A185 C185 A190 C190 A195 C195 A200 C200 A205 C205 A210 C210 A225 C225 A230 C230 A245 C245 A250 C250 A255 C255 A260 C260 A265 C265 A270 C270 A275 C275 A280 C280 A285 C285 A421 C421 A426 C426 A431 C431 A436 C436 A441 C441 A446 C446 A451 C451 A456 C456 A461 C461 A466 C466 A471 C471 A476 C476 A481 C481 A486 C486 A496 C496 A501 C501 A516 C516 A521 C521 A526 C526 A531 C531 A536 C536 A541 C541 A546 C546 A551 C551 A556 C556 A581 C581 A706 C706 A717 C717 A722 C722 A727 C727 A732 C732 A737 C737 A742 C742 A747 C747 A752 C752 A757 C757 A762 C762 A767 C767 A772 C772 A807 C807 A932 C932 A937 C937"/>
    </sheetView>
  </sheetViews>
  <sheetFormatPr defaultRowHeight="25.8" x14ac:dyDescent="0.3"/>
  <cols>
    <col min="1" max="1" width="14.33203125" style="52" customWidth="1"/>
    <col min="2" max="2" width="34.6640625" style="46" hidden="1" customWidth="1"/>
    <col min="3" max="3" width="34.44140625" style="56" customWidth="1"/>
    <col min="4" max="5" width="30.88671875" style="5" hidden="1" customWidth="1"/>
  </cols>
  <sheetData>
    <row r="1" spans="1:8" ht="28.5" customHeight="1" x14ac:dyDescent="0.3">
      <c r="A1" s="117" t="s">
        <v>307</v>
      </c>
      <c r="B1" s="65"/>
      <c r="C1" s="118"/>
      <c r="D1" s="66"/>
      <c r="E1" s="66"/>
    </row>
    <row r="2" spans="1:8" ht="28.5" customHeight="1" x14ac:dyDescent="0.3">
      <c r="A2" s="119" t="s">
        <v>190</v>
      </c>
      <c r="B2" s="40"/>
      <c r="C2" s="120"/>
      <c r="D2" s="121"/>
      <c r="E2" s="121"/>
    </row>
    <row r="3" spans="1:8" s="1" customFormat="1" ht="30.6" customHeight="1" thickBot="1" x14ac:dyDescent="0.35">
      <c r="A3" s="122"/>
      <c r="B3" s="41" t="s">
        <v>299</v>
      </c>
      <c r="C3" s="57" t="s">
        <v>305</v>
      </c>
      <c r="D3" s="34" t="s">
        <v>300</v>
      </c>
      <c r="E3" s="34" t="s">
        <v>301</v>
      </c>
    </row>
    <row r="4" spans="1:8" ht="15" hidden="1" customHeight="1" thickBot="1" x14ac:dyDescent="0.35">
      <c r="A4" s="123" t="s">
        <v>82</v>
      </c>
      <c r="B4" s="123"/>
      <c r="C4" s="6"/>
      <c r="D4" s="6"/>
      <c r="E4" s="6"/>
    </row>
    <row r="5" spans="1:8" s="29" customFormat="1" ht="16.2" hidden="1" customHeight="1" thickBot="1" x14ac:dyDescent="0.35">
      <c r="A5" s="124" t="s">
        <v>0</v>
      </c>
      <c r="B5" s="125" t="s">
        <v>196</v>
      </c>
      <c r="C5" s="17">
        <v>5.6</v>
      </c>
      <c r="D5" s="17"/>
      <c r="E5" s="17"/>
    </row>
    <row r="6" spans="1:8" s="29" customFormat="1" ht="16.2" hidden="1" customHeight="1" thickBot="1" x14ac:dyDescent="0.35">
      <c r="A6" s="126"/>
      <c r="B6" s="127"/>
      <c r="C6" s="18">
        <v>0</v>
      </c>
      <c r="D6" s="18"/>
      <c r="E6" s="18"/>
    </row>
    <row r="7" spans="1:8" s="29" customFormat="1" ht="16.2" hidden="1" customHeight="1" thickBot="1" x14ac:dyDescent="0.35">
      <c r="A7" s="126"/>
      <c r="B7" s="127"/>
      <c r="C7" s="18">
        <f>C5-C6</f>
        <v>5.6</v>
      </c>
      <c r="D7" s="18"/>
      <c r="E7" s="18"/>
    </row>
    <row r="8" spans="1:8" s="29" customFormat="1" ht="16.2" hidden="1" customHeight="1" thickBot="1" x14ac:dyDescent="0.35">
      <c r="A8" s="126"/>
      <c r="B8" s="127"/>
      <c r="C8" s="18"/>
      <c r="D8" s="18"/>
      <c r="E8" s="18"/>
    </row>
    <row r="9" spans="1:8" s="29" customFormat="1" ht="16.2" hidden="1" customHeight="1" thickBot="1" x14ac:dyDescent="0.35">
      <c r="A9" s="128"/>
      <c r="B9" s="129"/>
      <c r="C9" s="19"/>
      <c r="D9" s="19"/>
      <c r="E9" s="19"/>
    </row>
    <row r="10" spans="1:8" s="29" customFormat="1" ht="16.2" hidden="1" customHeight="1" thickBot="1" x14ac:dyDescent="0.35">
      <c r="A10" s="124" t="s">
        <v>1</v>
      </c>
      <c r="B10" s="125" t="s">
        <v>197</v>
      </c>
      <c r="C10" s="17">
        <v>9.5</v>
      </c>
      <c r="D10" s="17"/>
      <c r="E10" s="17"/>
    </row>
    <row r="11" spans="1:8" s="29" customFormat="1" ht="16.2" hidden="1" customHeight="1" thickBot="1" x14ac:dyDescent="0.35">
      <c r="A11" s="126"/>
      <c r="B11" s="127"/>
      <c r="C11" s="18">
        <v>0</v>
      </c>
      <c r="D11" s="18"/>
      <c r="E11" s="18"/>
    </row>
    <row r="12" spans="1:8" s="29" customFormat="1" ht="16.2" hidden="1" customHeight="1" thickBot="1" x14ac:dyDescent="0.35">
      <c r="A12" s="126"/>
      <c r="B12" s="127"/>
      <c r="C12" s="18">
        <f>C10-C11</f>
        <v>9.5</v>
      </c>
      <c r="D12" s="18"/>
      <c r="E12" s="18"/>
    </row>
    <row r="13" spans="1:8" s="29" customFormat="1" ht="16.2" hidden="1" customHeight="1" thickBot="1" x14ac:dyDescent="0.35">
      <c r="A13" s="126"/>
      <c r="B13" s="127"/>
      <c r="C13" s="18"/>
      <c r="D13" s="18"/>
      <c r="E13" s="18"/>
    </row>
    <row r="14" spans="1:8" s="29" customFormat="1" ht="16.2" hidden="1" customHeight="1" thickBot="1" x14ac:dyDescent="0.35">
      <c r="A14" s="128"/>
      <c r="B14" s="129"/>
      <c r="C14" s="20"/>
      <c r="D14" s="19"/>
      <c r="E14" s="19"/>
    </row>
    <row r="15" spans="1:8" s="29" customFormat="1" ht="60" customHeight="1" thickBot="1" x14ac:dyDescent="0.35">
      <c r="A15" s="130" t="s">
        <v>2</v>
      </c>
      <c r="B15" s="131" t="s">
        <v>198</v>
      </c>
      <c r="C15" s="64">
        <v>1</v>
      </c>
      <c r="D15" s="17"/>
      <c r="E15" s="17"/>
      <c r="G15" s="130" t="s">
        <v>2</v>
      </c>
      <c r="H15" s="64">
        <v>1</v>
      </c>
    </row>
    <row r="16" spans="1:8" s="29" customFormat="1" ht="16.2" hidden="1" customHeight="1" thickBot="1" x14ac:dyDescent="0.35">
      <c r="A16" s="126"/>
      <c r="B16" s="127"/>
      <c r="C16" s="30"/>
      <c r="D16" s="18"/>
      <c r="E16" s="18"/>
      <c r="G16" s="130" t="s">
        <v>5</v>
      </c>
      <c r="H16" s="64">
        <v>4</v>
      </c>
    </row>
    <row r="17" spans="1:8" s="29" customFormat="1" ht="16.2" hidden="1" customHeight="1" thickBot="1" x14ac:dyDescent="0.35">
      <c r="A17" s="126"/>
      <c r="B17" s="127"/>
      <c r="C17" s="18"/>
      <c r="D17" s="18"/>
      <c r="E17" s="18"/>
      <c r="G17" s="130" t="s">
        <v>6</v>
      </c>
      <c r="H17" s="64">
        <v>7</v>
      </c>
    </row>
    <row r="18" spans="1:8" s="29" customFormat="1" ht="16.2" hidden="1" customHeight="1" thickBot="1" x14ac:dyDescent="0.35">
      <c r="A18" s="126"/>
      <c r="B18" s="127"/>
      <c r="C18" s="18"/>
      <c r="D18" s="18"/>
      <c r="E18" s="18"/>
      <c r="G18" s="130" t="s">
        <v>7</v>
      </c>
      <c r="H18" s="134">
        <v>20</v>
      </c>
    </row>
    <row r="19" spans="1:8" s="29" customFormat="1" ht="16.2" hidden="1" customHeight="1" thickBot="1" x14ac:dyDescent="0.35">
      <c r="A19" s="128"/>
      <c r="B19" s="129"/>
      <c r="C19" s="19"/>
      <c r="D19" s="19"/>
      <c r="E19" s="19"/>
      <c r="G19" s="130" t="s">
        <v>8</v>
      </c>
      <c r="H19" s="64">
        <v>11</v>
      </c>
    </row>
    <row r="20" spans="1:8" s="29" customFormat="1" ht="16.2" hidden="1" customHeight="1" thickBot="1" x14ac:dyDescent="0.35">
      <c r="A20" s="124" t="s">
        <v>3</v>
      </c>
      <c r="B20" s="125" t="s">
        <v>199</v>
      </c>
      <c r="C20" s="17">
        <f>74.62</f>
        <v>74.62</v>
      </c>
      <c r="D20" s="17"/>
      <c r="E20" s="17">
        <f>14.26</f>
        <v>14.26</v>
      </c>
      <c r="G20" s="29" t="s">
        <v>9</v>
      </c>
      <c r="H20" s="29">
        <v>12</v>
      </c>
    </row>
    <row r="21" spans="1:8" s="29" customFormat="1" ht="16.2" hidden="1" customHeight="1" thickBot="1" x14ac:dyDescent="0.35">
      <c r="A21" s="126"/>
      <c r="B21" s="127"/>
      <c r="C21" s="18">
        <v>0</v>
      </c>
      <c r="D21" s="18"/>
      <c r="E21" s="18">
        <v>0</v>
      </c>
      <c r="G21" s="29" t="s">
        <v>10</v>
      </c>
      <c r="H21" s="29">
        <v>6</v>
      </c>
    </row>
    <row r="22" spans="1:8" s="29" customFormat="1" ht="16.2" hidden="1" customHeight="1" thickBot="1" x14ac:dyDescent="0.35">
      <c r="A22" s="126"/>
      <c r="B22" s="127"/>
      <c r="C22" s="18">
        <f t="shared" ref="C22:E22" si="0">C20-C21</f>
        <v>74.62</v>
      </c>
      <c r="D22" s="18"/>
      <c r="E22" s="18">
        <f t="shared" si="0"/>
        <v>14.26</v>
      </c>
      <c r="G22" s="29" t="s">
        <v>11</v>
      </c>
      <c r="H22" s="29">
        <v>20</v>
      </c>
    </row>
    <row r="23" spans="1:8" s="29" customFormat="1" ht="16.2" hidden="1" customHeight="1" thickBot="1" x14ac:dyDescent="0.35">
      <c r="A23" s="126"/>
      <c r="B23" s="127"/>
      <c r="C23" s="18"/>
      <c r="D23" s="18"/>
      <c r="E23" s="18"/>
      <c r="G23" s="29" t="s">
        <v>12</v>
      </c>
      <c r="H23" s="29">
        <v>8</v>
      </c>
    </row>
    <row r="24" spans="1:8" s="29" customFormat="1" ht="16.2" hidden="1" customHeight="1" thickBot="1" x14ac:dyDescent="0.35">
      <c r="A24" s="128"/>
      <c r="B24" s="129"/>
      <c r="C24" s="19"/>
      <c r="D24" s="19"/>
      <c r="E24" s="19"/>
      <c r="G24" s="29" t="s">
        <v>13</v>
      </c>
      <c r="H24" s="29">
        <v>5</v>
      </c>
    </row>
    <row r="25" spans="1:8" s="29" customFormat="1" ht="16.2" hidden="1" customHeight="1" thickBot="1" x14ac:dyDescent="0.35">
      <c r="A25" s="124" t="s">
        <v>4</v>
      </c>
      <c r="B25" s="131" t="s">
        <v>200</v>
      </c>
      <c r="C25" s="17">
        <v>11.56</v>
      </c>
      <c r="D25" s="17"/>
      <c r="E25" s="17"/>
      <c r="G25" s="29" t="s">
        <v>14</v>
      </c>
      <c r="H25" s="29">
        <v>9</v>
      </c>
    </row>
    <row r="26" spans="1:8" s="29" customFormat="1" ht="16.2" hidden="1" customHeight="1" thickBot="1" x14ac:dyDescent="0.35">
      <c r="A26" s="126"/>
      <c r="B26" s="132"/>
      <c r="C26" s="18">
        <f>C25-0.4*3.9</f>
        <v>10</v>
      </c>
      <c r="D26" s="18"/>
      <c r="E26" s="18"/>
      <c r="G26" s="29" t="s">
        <v>15</v>
      </c>
      <c r="H26" s="29">
        <v>8</v>
      </c>
    </row>
    <row r="27" spans="1:8" s="29" customFormat="1" ht="16.2" hidden="1" customHeight="1" thickBot="1" x14ac:dyDescent="0.35">
      <c r="A27" s="126"/>
      <c r="B27" s="132"/>
      <c r="C27" s="18">
        <f>C25-C26</f>
        <v>1.5600000000000005</v>
      </c>
      <c r="D27" s="18"/>
      <c r="E27" s="18"/>
      <c r="G27" s="29" t="s">
        <v>16</v>
      </c>
      <c r="H27" s="29">
        <v>11</v>
      </c>
    </row>
    <row r="28" spans="1:8" s="29" customFormat="1" ht="16.2" hidden="1" customHeight="1" thickBot="1" x14ac:dyDescent="0.35">
      <c r="A28" s="126"/>
      <c r="B28" s="132"/>
      <c r="C28" s="18"/>
      <c r="D28" s="18"/>
      <c r="E28" s="18"/>
      <c r="G28" s="29" t="s">
        <v>17</v>
      </c>
      <c r="H28" s="29">
        <v>14</v>
      </c>
    </row>
    <row r="29" spans="1:8" s="29" customFormat="1" ht="16.2" hidden="1" customHeight="1" thickBot="1" x14ac:dyDescent="0.35">
      <c r="A29" s="128"/>
      <c r="B29" s="133"/>
      <c r="C29" s="20"/>
      <c r="D29" s="19"/>
      <c r="E29" s="19"/>
      <c r="G29" s="29" t="s">
        <v>18</v>
      </c>
      <c r="H29" s="29">
        <v>8</v>
      </c>
    </row>
    <row r="30" spans="1:8" s="29" customFormat="1" ht="60" customHeight="1" thickBot="1" x14ac:dyDescent="0.35">
      <c r="A30" s="130" t="s">
        <v>5</v>
      </c>
      <c r="B30" s="131" t="s">
        <v>201</v>
      </c>
      <c r="C30" s="64">
        <v>4</v>
      </c>
      <c r="D30" s="17"/>
      <c r="E30" s="17"/>
      <c r="G30" s="29" t="s">
        <v>20</v>
      </c>
      <c r="H30" s="29">
        <v>4</v>
      </c>
    </row>
    <row r="31" spans="1:8" s="29" customFormat="1" ht="16.2" hidden="1" customHeight="1" thickBot="1" x14ac:dyDescent="0.35">
      <c r="A31" s="126"/>
      <c r="B31" s="127"/>
      <c r="C31" s="30"/>
      <c r="D31" s="18"/>
      <c r="E31" s="18"/>
      <c r="G31" s="29" t="s">
        <v>21</v>
      </c>
      <c r="H31" s="29">
        <v>7</v>
      </c>
    </row>
    <row r="32" spans="1:8" s="29" customFormat="1" ht="16.2" hidden="1" customHeight="1" thickBot="1" x14ac:dyDescent="0.35">
      <c r="A32" s="126"/>
      <c r="B32" s="127"/>
      <c r="C32" s="18"/>
      <c r="D32" s="18"/>
      <c r="E32" s="18"/>
      <c r="G32" s="29" t="s">
        <v>24</v>
      </c>
      <c r="H32" s="29">
        <v>11</v>
      </c>
    </row>
    <row r="33" spans="1:8" s="29" customFormat="1" ht="16.2" hidden="1" customHeight="1" thickBot="1" x14ac:dyDescent="0.35">
      <c r="A33" s="126"/>
      <c r="B33" s="127"/>
      <c r="C33" s="18"/>
      <c r="D33" s="18"/>
      <c r="E33" s="18"/>
      <c r="G33" s="29" t="s">
        <v>25</v>
      </c>
      <c r="H33" s="29">
        <v>10</v>
      </c>
    </row>
    <row r="34" spans="1:8" s="29" customFormat="1" ht="16.2" hidden="1" customHeight="1" thickBot="1" x14ac:dyDescent="0.35">
      <c r="A34" s="128"/>
      <c r="B34" s="129"/>
      <c r="C34" s="20"/>
      <c r="D34" s="19"/>
      <c r="E34" s="19"/>
      <c r="G34" s="29" t="s">
        <v>35</v>
      </c>
      <c r="H34" s="29">
        <v>12</v>
      </c>
    </row>
    <row r="35" spans="1:8" s="29" customFormat="1" ht="60" customHeight="1" thickBot="1" x14ac:dyDescent="0.35">
      <c r="A35" s="130" t="s">
        <v>6</v>
      </c>
      <c r="B35" s="131" t="s">
        <v>202</v>
      </c>
      <c r="C35" s="64">
        <v>7</v>
      </c>
      <c r="D35" s="17"/>
      <c r="E35" s="17"/>
      <c r="G35" s="29" t="s">
        <v>36</v>
      </c>
      <c r="H35" s="29">
        <v>4</v>
      </c>
    </row>
    <row r="36" spans="1:8" s="29" customFormat="1" ht="16.2" hidden="1" customHeight="1" thickBot="1" x14ac:dyDescent="0.35">
      <c r="A36" s="126"/>
      <c r="B36" s="127"/>
      <c r="C36" s="30"/>
      <c r="D36" s="18"/>
      <c r="E36" s="18"/>
      <c r="G36" s="29" t="s">
        <v>37</v>
      </c>
      <c r="H36" s="29">
        <v>9</v>
      </c>
    </row>
    <row r="37" spans="1:8" s="29" customFormat="1" ht="16.2" hidden="1" customHeight="1" thickBot="1" x14ac:dyDescent="0.35">
      <c r="A37" s="126"/>
      <c r="B37" s="127"/>
      <c r="C37" s="18"/>
      <c r="D37" s="18"/>
      <c r="E37" s="18"/>
      <c r="G37" s="29" t="s">
        <v>38</v>
      </c>
      <c r="H37" s="29">
        <v>8</v>
      </c>
    </row>
    <row r="38" spans="1:8" s="29" customFormat="1" ht="16.2" hidden="1" customHeight="1" thickBot="1" x14ac:dyDescent="0.35">
      <c r="A38" s="126"/>
      <c r="B38" s="127"/>
      <c r="C38" s="18"/>
      <c r="D38" s="18"/>
      <c r="E38" s="18"/>
      <c r="G38" s="29" t="s">
        <v>39</v>
      </c>
      <c r="H38" s="29">
        <v>20</v>
      </c>
    </row>
    <row r="39" spans="1:8" s="29" customFormat="1" ht="16.2" hidden="1" customHeight="1" thickBot="1" x14ac:dyDescent="0.35">
      <c r="A39" s="128"/>
      <c r="B39" s="129"/>
      <c r="C39" s="20"/>
      <c r="D39" s="19"/>
      <c r="E39" s="19"/>
      <c r="G39" s="29" t="s">
        <v>40</v>
      </c>
      <c r="H39" s="29">
        <v>21</v>
      </c>
    </row>
    <row r="40" spans="1:8" s="29" customFormat="1" ht="60" customHeight="1" thickBot="1" x14ac:dyDescent="0.35">
      <c r="A40" s="130" t="s">
        <v>7</v>
      </c>
      <c r="B40" s="131" t="s">
        <v>203</v>
      </c>
      <c r="C40" s="134">
        <v>20</v>
      </c>
      <c r="D40" s="17"/>
      <c r="E40" s="17"/>
      <c r="G40" s="29" t="s">
        <v>41</v>
      </c>
      <c r="H40" s="29">
        <v>12</v>
      </c>
    </row>
    <row r="41" spans="1:8" s="29" customFormat="1" ht="15.6" hidden="1" customHeight="1" x14ac:dyDescent="0.35">
      <c r="A41" s="135"/>
      <c r="B41" s="127"/>
      <c r="C41" s="136"/>
      <c r="D41" s="18"/>
      <c r="E41" s="18"/>
      <c r="G41" s="29" t="s">
        <v>44</v>
      </c>
      <c r="H41" s="29">
        <v>8</v>
      </c>
    </row>
    <row r="42" spans="1:8" s="29" customFormat="1" ht="15.6" hidden="1" customHeight="1" x14ac:dyDescent="0.35">
      <c r="A42" s="135"/>
      <c r="B42" s="127"/>
      <c r="C42" s="136"/>
      <c r="D42" s="18"/>
      <c r="E42" s="18"/>
      <c r="G42" s="29" t="s">
        <v>45</v>
      </c>
      <c r="H42" s="29">
        <v>4</v>
      </c>
    </row>
    <row r="43" spans="1:8" s="29" customFormat="1" ht="15.6" hidden="1" customHeight="1" x14ac:dyDescent="0.35">
      <c r="A43" s="135"/>
      <c r="B43" s="127"/>
      <c r="C43" s="136"/>
      <c r="D43" s="18"/>
      <c r="E43" s="18"/>
      <c r="G43" s="29" t="s">
        <v>48</v>
      </c>
      <c r="H43" s="29">
        <v>6</v>
      </c>
    </row>
    <row r="44" spans="1:8" s="29" customFormat="1" ht="37.200000000000003" hidden="1" customHeight="1" thickBot="1" x14ac:dyDescent="0.35">
      <c r="A44" s="137"/>
      <c r="B44" s="138"/>
      <c r="C44" s="139"/>
      <c r="D44" s="48"/>
      <c r="E44" s="19"/>
      <c r="G44" s="29" t="s">
        <v>49</v>
      </c>
      <c r="H44" s="29">
        <v>10</v>
      </c>
    </row>
    <row r="45" spans="1:8" s="29" customFormat="1" ht="60" customHeight="1" thickBot="1" x14ac:dyDescent="0.35">
      <c r="A45" s="130" t="s">
        <v>8</v>
      </c>
      <c r="B45" s="131" t="s">
        <v>204</v>
      </c>
      <c r="C45" s="64">
        <v>11</v>
      </c>
      <c r="D45" s="35">
        <v>10</v>
      </c>
      <c r="E45" s="35">
        <v>16.100000000000001</v>
      </c>
      <c r="G45" s="29" t="s">
        <v>50</v>
      </c>
      <c r="H45" s="29">
        <v>9</v>
      </c>
    </row>
    <row r="46" spans="1:8" s="29" customFormat="1" ht="16.2" hidden="1" customHeight="1" thickBot="1" x14ac:dyDescent="0.35">
      <c r="A46" s="126"/>
      <c r="B46" s="127"/>
      <c r="C46" s="30">
        <f>C45</f>
        <v>11</v>
      </c>
      <c r="D46" s="18"/>
      <c r="E46" s="18"/>
      <c r="G46" s="29" t="s">
        <v>51</v>
      </c>
      <c r="H46" s="29">
        <v>6</v>
      </c>
    </row>
    <row r="47" spans="1:8" s="29" customFormat="1" ht="16.2" hidden="1" customHeight="1" thickBot="1" x14ac:dyDescent="0.35">
      <c r="A47" s="126"/>
      <c r="B47" s="127"/>
      <c r="C47" s="18">
        <f>C45-C46</f>
        <v>0</v>
      </c>
      <c r="D47" s="18"/>
      <c r="E47" s="18"/>
      <c r="G47" s="29" t="s">
        <v>52</v>
      </c>
      <c r="H47" s="29">
        <v>11</v>
      </c>
    </row>
    <row r="48" spans="1:8" s="29" customFormat="1" ht="16.2" hidden="1" customHeight="1" thickBot="1" x14ac:dyDescent="0.35">
      <c r="A48" s="126"/>
      <c r="B48" s="127"/>
      <c r="C48" s="18"/>
      <c r="D48" s="18"/>
      <c r="E48" s="18"/>
      <c r="G48" s="29" t="s">
        <v>53</v>
      </c>
      <c r="H48" s="29">
        <v>8</v>
      </c>
    </row>
    <row r="49" spans="1:8" s="29" customFormat="1" ht="16.2" hidden="1" customHeight="1" thickBot="1" x14ac:dyDescent="0.35">
      <c r="A49" s="128"/>
      <c r="B49" s="129"/>
      <c r="C49" s="20"/>
      <c r="D49" s="19"/>
      <c r="E49" s="19"/>
      <c r="G49" s="29" t="s">
        <v>54</v>
      </c>
      <c r="H49" s="29">
        <v>5</v>
      </c>
    </row>
    <row r="50" spans="1:8" s="29" customFormat="1" ht="60" customHeight="1" thickBot="1" x14ac:dyDescent="0.35">
      <c r="A50" s="130" t="s">
        <v>9</v>
      </c>
      <c r="B50" s="131" t="s">
        <v>204</v>
      </c>
      <c r="C50" s="64">
        <v>12</v>
      </c>
      <c r="D50" s="35">
        <v>4</v>
      </c>
      <c r="E50" s="35">
        <v>22.09</v>
      </c>
      <c r="G50" s="29" t="s">
        <v>55</v>
      </c>
      <c r="H50" s="29">
        <v>12</v>
      </c>
    </row>
    <row r="51" spans="1:8" s="29" customFormat="1" ht="16.2" hidden="1" customHeight="1" thickBot="1" x14ac:dyDescent="0.35">
      <c r="A51" s="126"/>
      <c r="B51" s="127"/>
      <c r="C51" s="30">
        <f>C50</f>
        <v>12</v>
      </c>
      <c r="D51" s="18"/>
      <c r="E51" s="18"/>
      <c r="G51" s="29" t="s">
        <v>56</v>
      </c>
      <c r="H51" s="29">
        <v>10</v>
      </c>
    </row>
    <row r="52" spans="1:8" s="29" customFormat="1" ht="16.2" hidden="1" customHeight="1" thickBot="1" x14ac:dyDescent="0.35">
      <c r="A52" s="126"/>
      <c r="B52" s="127"/>
      <c r="C52" s="18">
        <f>C50-C51</f>
        <v>0</v>
      </c>
      <c r="D52" s="18"/>
      <c r="E52" s="18"/>
    </row>
    <row r="53" spans="1:8" s="29" customFormat="1" ht="16.2" hidden="1" customHeight="1" thickBot="1" x14ac:dyDescent="0.35">
      <c r="A53" s="126"/>
      <c r="B53" s="127"/>
      <c r="C53" s="18"/>
      <c r="D53" s="18"/>
      <c r="E53" s="18"/>
    </row>
    <row r="54" spans="1:8" s="29" customFormat="1" ht="16.2" hidden="1" customHeight="1" thickBot="1" x14ac:dyDescent="0.35">
      <c r="A54" s="128"/>
      <c r="B54" s="129"/>
      <c r="C54" s="20"/>
      <c r="D54" s="19"/>
      <c r="E54" s="19"/>
    </row>
    <row r="55" spans="1:8" s="29" customFormat="1" ht="60" customHeight="1" thickBot="1" x14ac:dyDescent="0.35">
      <c r="A55" s="130" t="s">
        <v>10</v>
      </c>
      <c r="B55" s="131" t="s">
        <v>204</v>
      </c>
      <c r="C55" s="64">
        <v>6</v>
      </c>
      <c r="D55" s="35">
        <v>2.04</v>
      </c>
      <c r="E55" s="35">
        <v>11.356</v>
      </c>
    </row>
    <row r="56" spans="1:8" s="29" customFormat="1" ht="16.2" hidden="1" customHeight="1" thickBot="1" x14ac:dyDescent="0.35">
      <c r="A56" s="126"/>
      <c r="B56" s="127"/>
      <c r="C56" s="30">
        <f>C55</f>
        <v>6</v>
      </c>
      <c r="D56" s="18"/>
      <c r="E56" s="18"/>
    </row>
    <row r="57" spans="1:8" s="29" customFormat="1" ht="16.2" hidden="1" customHeight="1" thickBot="1" x14ac:dyDescent="0.35">
      <c r="A57" s="126"/>
      <c r="B57" s="127"/>
      <c r="C57" s="18">
        <f>C55-C56</f>
        <v>0</v>
      </c>
      <c r="D57" s="18"/>
      <c r="E57" s="18"/>
    </row>
    <row r="58" spans="1:8" s="29" customFormat="1" ht="16.2" hidden="1" customHeight="1" thickBot="1" x14ac:dyDescent="0.35">
      <c r="A58" s="126"/>
      <c r="B58" s="127"/>
      <c r="C58" s="18"/>
      <c r="D58" s="18"/>
      <c r="E58" s="18"/>
    </row>
    <row r="59" spans="1:8" s="29" customFormat="1" ht="16.2" hidden="1" customHeight="1" thickBot="1" x14ac:dyDescent="0.35">
      <c r="A59" s="128"/>
      <c r="B59" s="129"/>
      <c r="C59" s="20"/>
      <c r="D59" s="19"/>
      <c r="E59" s="19"/>
    </row>
    <row r="60" spans="1:8" s="29" customFormat="1" ht="60" customHeight="1" thickBot="1" x14ac:dyDescent="0.35">
      <c r="A60" s="130" t="s">
        <v>11</v>
      </c>
      <c r="B60" s="131" t="s">
        <v>205</v>
      </c>
      <c r="C60" s="64">
        <v>20</v>
      </c>
      <c r="D60" s="35">
        <v>17.41</v>
      </c>
      <c r="E60" s="35">
        <v>22.18</v>
      </c>
    </row>
    <row r="61" spans="1:8" s="29" customFormat="1" ht="16.2" hidden="1" customHeight="1" thickBot="1" x14ac:dyDescent="0.35">
      <c r="A61" s="126"/>
      <c r="B61" s="127"/>
      <c r="C61" s="30">
        <f>C60</f>
        <v>20</v>
      </c>
      <c r="D61" s="18"/>
      <c r="E61" s="18"/>
    </row>
    <row r="62" spans="1:8" s="29" customFormat="1" ht="16.2" hidden="1" customHeight="1" thickBot="1" x14ac:dyDescent="0.35">
      <c r="A62" s="126"/>
      <c r="B62" s="127"/>
      <c r="C62" s="18">
        <f>C60-C61</f>
        <v>0</v>
      </c>
      <c r="D62" s="18"/>
      <c r="E62" s="18"/>
    </row>
    <row r="63" spans="1:8" s="29" customFormat="1" ht="16.2" hidden="1" customHeight="1" thickBot="1" x14ac:dyDescent="0.35">
      <c r="A63" s="126"/>
      <c r="B63" s="127"/>
      <c r="C63" s="18"/>
      <c r="D63" s="18"/>
      <c r="E63" s="18"/>
    </row>
    <row r="64" spans="1:8" s="29" customFormat="1" ht="16.2" hidden="1" customHeight="1" thickBot="1" x14ac:dyDescent="0.35">
      <c r="A64" s="128"/>
      <c r="B64" s="129"/>
      <c r="C64" s="20"/>
      <c r="D64" s="19"/>
      <c r="E64" s="19"/>
    </row>
    <row r="65" spans="1:5" s="29" customFormat="1" ht="60" customHeight="1" thickBot="1" x14ac:dyDescent="0.35">
      <c r="A65" s="130" t="s">
        <v>12</v>
      </c>
      <c r="B65" s="131" t="s">
        <v>206</v>
      </c>
      <c r="C65" s="64">
        <v>8</v>
      </c>
      <c r="D65" s="17"/>
      <c r="E65" s="17">
        <f>(0.3+0.3+0.3+0.3+0.2+0.3)*3.9</f>
        <v>6.63</v>
      </c>
    </row>
    <row r="66" spans="1:5" s="29" customFormat="1" ht="16.2" hidden="1" customHeight="1" thickBot="1" x14ac:dyDescent="0.35">
      <c r="A66" s="126"/>
      <c r="B66" s="127"/>
      <c r="C66" s="30"/>
      <c r="D66" s="18"/>
      <c r="E66" s="18">
        <v>0</v>
      </c>
    </row>
    <row r="67" spans="1:5" s="29" customFormat="1" ht="16.2" hidden="1" customHeight="1" thickBot="1" x14ac:dyDescent="0.35">
      <c r="A67" s="126"/>
      <c r="B67" s="127"/>
      <c r="C67" s="18"/>
      <c r="D67" s="18"/>
      <c r="E67" s="18">
        <f>E65</f>
        <v>6.63</v>
      </c>
    </row>
    <row r="68" spans="1:5" s="29" customFormat="1" ht="16.2" hidden="1" customHeight="1" thickBot="1" x14ac:dyDescent="0.35">
      <c r="A68" s="126"/>
      <c r="B68" s="127"/>
      <c r="C68" s="18"/>
      <c r="D68" s="18"/>
      <c r="E68" s="18"/>
    </row>
    <row r="69" spans="1:5" s="29" customFormat="1" ht="16.2" hidden="1" customHeight="1" thickBot="1" x14ac:dyDescent="0.35">
      <c r="A69" s="128"/>
      <c r="B69" s="129"/>
      <c r="C69" s="20"/>
      <c r="D69" s="19"/>
      <c r="E69" s="19"/>
    </row>
    <row r="70" spans="1:5" s="29" customFormat="1" ht="60" customHeight="1" thickBot="1" x14ac:dyDescent="0.35">
      <c r="A70" s="130" t="s">
        <v>13</v>
      </c>
      <c r="B70" s="131" t="s">
        <v>201</v>
      </c>
      <c r="C70" s="64">
        <v>5</v>
      </c>
      <c r="D70" s="17"/>
      <c r="E70" s="17"/>
    </row>
    <row r="71" spans="1:5" s="29" customFormat="1" ht="16.2" hidden="1" customHeight="1" thickBot="1" x14ac:dyDescent="0.35">
      <c r="A71" s="126"/>
      <c r="B71" s="127"/>
      <c r="C71" s="30"/>
      <c r="D71" s="18"/>
      <c r="E71" s="18"/>
    </row>
    <row r="72" spans="1:5" s="29" customFormat="1" ht="16.2" hidden="1" customHeight="1" thickBot="1" x14ac:dyDescent="0.35">
      <c r="A72" s="126"/>
      <c r="B72" s="127"/>
      <c r="C72" s="18"/>
      <c r="D72" s="18"/>
      <c r="E72" s="18"/>
    </row>
    <row r="73" spans="1:5" s="29" customFormat="1" ht="16.2" hidden="1" customHeight="1" thickBot="1" x14ac:dyDescent="0.35">
      <c r="A73" s="126"/>
      <c r="B73" s="127"/>
      <c r="C73" s="18"/>
      <c r="D73" s="18"/>
      <c r="E73" s="18"/>
    </row>
    <row r="74" spans="1:5" s="29" customFormat="1" ht="16.2" hidden="1" customHeight="1" thickBot="1" x14ac:dyDescent="0.35">
      <c r="A74" s="128"/>
      <c r="B74" s="129"/>
      <c r="C74" s="20"/>
      <c r="D74" s="19"/>
      <c r="E74" s="19"/>
    </row>
    <row r="75" spans="1:5" s="29" customFormat="1" ht="60" customHeight="1" thickBot="1" x14ac:dyDescent="0.35">
      <c r="A75" s="130" t="s">
        <v>14</v>
      </c>
      <c r="B75" s="131" t="s">
        <v>207</v>
      </c>
      <c r="C75" s="64">
        <v>9</v>
      </c>
      <c r="D75" s="17"/>
      <c r="E75" s="17">
        <f>(0.3+0.3+0.3+0.3+0.2+0.3)*3.9</f>
        <v>6.63</v>
      </c>
    </row>
    <row r="76" spans="1:5" s="29" customFormat="1" ht="16.2" hidden="1" customHeight="1" thickBot="1" x14ac:dyDescent="0.35">
      <c r="A76" s="126"/>
      <c r="B76" s="127"/>
      <c r="C76" s="30"/>
      <c r="D76" s="18"/>
      <c r="E76" s="18">
        <v>0</v>
      </c>
    </row>
    <row r="77" spans="1:5" s="29" customFormat="1" ht="16.2" hidden="1" customHeight="1" thickBot="1" x14ac:dyDescent="0.35">
      <c r="A77" s="126"/>
      <c r="B77" s="127"/>
      <c r="C77" s="18"/>
      <c r="D77" s="18"/>
      <c r="E77" s="18">
        <f>E75</f>
        <v>6.63</v>
      </c>
    </row>
    <row r="78" spans="1:5" s="29" customFormat="1" ht="16.2" hidden="1" customHeight="1" thickBot="1" x14ac:dyDescent="0.35">
      <c r="A78" s="126"/>
      <c r="B78" s="127"/>
      <c r="C78" s="18"/>
      <c r="D78" s="18"/>
      <c r="E78" s="18"/>
    </row>
    <row r="79" spans="1:5" s="29" customFormat="1" ht="16.2" hidden="1" customHeight="1" thickBot="1" x14ac:dyDescent="0.35">
      <c r="A79" s="128"/>
      <c r="B79" s="129"/>
      <c r="C79" s="20"/>
      <c r="D79" s="19"/>
      <c r="E79" s="19"/>
    </row>
    <row r="80" spans="1:5" s="29" customFormat="1" ht="60" customHeight="1" thickBot="1" x14ac:dyDescent="0.35">
      <c r="A80" s="130" t="s">
        <v>15</v>
      </c>
      <c r="B80" s="131" t="s">
        <v>208</v>
      </c>
      <c r="C80" s="64">
        <v>8</v>
      </c>
      <c r="D80" s="17"/>
      <c r="E80" s="17"/>
    </row>
    <row r="81" spans="1:5" s="29" customFormat="1" ht="16.2" hidden="1" customHeight="1" thickBot="1" x14ac:dyDescent="0.35">
      <c r="A81" s="126"/>
      <c r="B81" s="127"/>
      <c r="C81" s="30"/>
      <c r="D81" s="18"/>
      <c r="E81" s="18"/>
    </row>
    <row r="82" spans="1:5" s="29" customFormat="1" ht="16.2" hidden="1" customHeight="1" thickBot="1" x14ac:dyDescent="0.35">
      <c r="A82" s="126"/>
      <c r="B82" s="127"/>
      <c r="C82" s="18"/>
      <c r="D82" s="18"/>
      <c r="E82" s="18"/>
    </row>
    <row r="83" spans="1:5" s="29" customFormat="1" ht="16.2" hidden="1" customHeight="1" thickBot="1" x14ac:dyDescent="0.35">
      <c r="A83" s="126"/>
      <c r="B83" s="127"/>
      <c r="C83" s="18"/>
      <c r="D83" s="18"/>
      <c r="E83" s="18"/>
    </row>
    <row r="84" spans="1:5" s="29" customFormat="1" ht="16.2" hidden="1" customHeight="1" thickBot="1" x14ac:dyDescent="0.35">
      <c r="A84" s="128"/>
      <c r="B84" s="129"/>
      <c r="C84" s="20"/>
      <c r="D84" s="19"/>
      <c r="E84" s="19"/>
    </row>
    <row r="85" spans="1:5" s="29" customFormat="1" ht="60" customHeight="1" thickBot="1" x14ac:dyDescent="0.35">
      <c r="A85" s="130" t="s">
        <v>16</v>
      </c>
      <c r="B85" s="131" t="s">
        <v>209</v>
      </c>
      <c r="C85" s="64">
        <v>11</v>
      </c>
      <c r="D85" s="17"/>
      <c r="E85" s="17">
        <f>0.4*3.9</f>
        <v>1.56</v>
      </c>
    </row>
    <row r="86" spans="1:5" s="29" customFormat="1" ht="16.2" hidden="1" customHeight="1" thickBot="1" x14ac:dyDescent="0.35">
      <c r="A86" s="126"/>
      <c r="B86" s="132"/>
      <c r="C86" s="30"/>
      <c r="D86" s="18"/>
      <c r="E86" s="18">
        <f>E85</f>
        <v>1.56</v>
      </c>
    </row>
    <row r="87" spans="1:5" s="29" customFormat="1" ht="16.2" hidden="1" customHeight="1" thickBot="1" x14ac:dyDescent="0.35">
      <c r="A87" s="126"/>
      <c r="B87" s="132"/>
      <c r="C87" s="18"/>
      <c r="D87" s="18"/>
      <c r="E87" s="18">
        <f>E85-E86</f>
        <v>0</v>
      </c>
    </row>
    <row r="88" spans="1:5" s="29" customFormat="1" ht="16.2" hidden="1" customHeight="1" thickBot="1" x14ac:dyDescent="0.35">
      <c r="A88" s="126"/>
      <c r="B88" s="132"/>
      <c r="C88" s="18"/>
      <c r="D88" s="18"/>
      <c r="E88" s="18"/>
    </row>
    <row r="89" spans="1:5" s="29" customFormat="1" ht="16.2" hidden="1" customHeight="1" thickBot="1" x14ac:dyDescent="0.35">
      <c r="A89" s="128"/>
      <c r="B89" s="133"/>
      <c r="C89" s="20"/>
      <c r="D89" s="19"/>
      <c r="E89" s="19"/>
    </row>
    <row r="90" spans="1:5" s="29" customFormat="1" ht="60" customHeight="1" thickBot="1" x14ac:dyDescent="0.35">
      <c r="A90" s="130" t="s">
        <v>17</v>
      </c>
      <c r="B90" s="131" t="s">
        <v>210</v>
      </c>
      <c r="C90" s="64">
        <v>14</v>
      </c>
      <c r="D90" s="17"/>
      <c r="E90" s="17">
        <f>0.8*3.9</f>
        <v>3.12</v>
      </c>
    </row>
    <row r="91" spans="1:5" s="29" customFormat="1" ht="16.2" hidden="1" customHeight="1" thickBot="1" x14ac:dyDescent="0.35">
      <c r="A91" s="126"/>
      <c r="B91" s="132"/>
      <c r="C91" s="30"/>
      <c r="D91" s="18"/>
      <c r="E91" s="18">
        <f>E90</f>
        <v>3.12</v>
      </c>
    </row>
    <row r="92" spans="1:5" s="29" customFormat="1" ht="16.2" hidden="1" customHeight="1" thickBot="1" x14ac:dyDescent="0.35">
      <c r="A92" s="126"/>
      <c r="B92" s="132"/>
      <c r="C92" s="18"/>
      <c r="D92" s="18"/>
      <c r="E92" s="18">
        <f>E90-E91</f>
        <v>0</v>
      </c>
    </row>
    <row r="93" spans="1:5" s="29" customFormat="1" ht="16.2" hidden="1" customHeight="1" thickBot="1" x14ac:dyDescent="0.35">
      <c r="A93" s="126"/>
      <c r="B93" s="132"/>
      <c r="C93" s="18"/>
      <c r="D93" s="18"/>
      <c r="E93" s="18"/>
    </row>
    <row r="94" spans="1:5" s="29" customFormat="1" ht="16.2" hidden="1" customHeight="1" thickBot="1" x14ac:dyDescent="0.35">
      <c r="A94" s="128"/>
      <c r="B94" s="133"/>
      <c r="C94" s="20"/>
      <c r="D94" s="19"/>
      <c r="E94" s="19"/>
    </row>
    <row r="95" spans="1:5" s="29" customFormat="1" ht="60" customHeight="1" thickBot="1" x14ac:dyDescent="0.35">
      <c r="A95" s="130" t="s">
        <v>18</v>
      </c>
      <c r="B95" s="131" t="s">
        <v>211</v>
      </c>
      <c r="C95" s="64">
        <v>8</v>
      </c>
      <c r="D95" s="17"/>
      <c r="E95" s="17"/>
    </row>
    <row r="96" spans="1:5" s="29" customFormat="1" ht="16.2" hidden="1" customHeight="1" thickBot="1" x14ac:dyDescent="0.35">
      <c r="A96" s="126"/>
      <c r="B96" s="132"/>
      <c r="C96" s="30">
        <f>C95</f>
        <v>8</v>
      </c>
      <c r="D96" s="18"/>
      <c r="E96" s="18"/>
    </row>
    <row r="97" spans="1:5" s="29" customFormat="1" ht="16.2" hidden="1" customHeight="1" thickBot="1" x14ac:dyDescent="0.35">
      <c r="A97" s="126"/>
      <c r="B97" s="132"/>
      <c r="C97" s="18">
        <f>C95-C96</f>
        <v>0</v>
      </c>
      <c r="D97" s="18"/>
      <c r="E97" s="18"/>
    </row>
    <row r="98" spans="1:5" s="29" customFormat="1" ht="16.2" hidden="1" customHeight="1" thickBot="1" x14ac:dyDescent="0.35">
      <c r="A98" s="126"/>
      <c r="B98" s="132"/>
      <c r="C98" s="18"/>
      <c r="D98" s="18"/>
      <c r="E98" s="18"/>
    </row>
    <row r="99" spans="1:5" s="29" customFormat="1" ht="16.2" hidden="1" customHeight="1" thickBot="1" x14ac:dyDescent="0.35">
      <c r="A99" s="128"/>
      <c r="B99" s="133"/>
      <c r="C99" s="19"/>
      <c r="D99" s="19"/>
      <c r="E99" s="19"/>
    </row>
    <row r="100" spans="1:5" s="29" customFormat="1" ht="16.2" hidden="1" customHeight="1" thickBot="1" x14ac:dyDescent="0.35">
      <c r="A100" s="124" t="s">
        <v>19</v>
      </c>
      <c r="B100" s="125" t="s">
        <v>212</v>
      </c>
      <c r="C100" s="17">
        <f>(0.4+0.6+0.2)*3.9</f>
        <v>4.68</v>
      </c>
      <c r="D100" s="17"/>
      <c r="E100" s="17"/>
    </row>
    <row r="101" spans="1:5" s="29" customFormat="1" ht="16.2" hidden="1" customHeight="1" thickBot="1" x14ac:dyDescent="0.35">
      <c r="A101" s="126"/>
      <c r="B101" s="127"/>
      <c r="C101" s="18">
        <f>C100</f>
        <v>4.68</v>
      </c>
      <c r="D101" s="18"/>
      <c r="E101" s="18"/>
    </row>
    <row r="102" spans="1:5" s="29" customFormat="1" ht="16.2" hidden="1" customHeight="1" thickBot="1" x14ac:dyDescent="0.35">
      <c r="A102" s="126"/>
      <c r="B102" s="127"/>
      <c r="C102" s="18">
        <f>C100-C101</f>
        <v>0</v>
      </c>
      <c r="D102" s="18"/>
      <c r="E102" s="18"/>
    </row>
    <row r="103" spans="1:5" s="29" customFormat="1" ht="16.2" hidden="1" customHeight="1" thickBot="1" x14ac:dyDescent="0.35">
      <c r="A103" s="126"/>
      <c r="B103" s="127"/>
      <c r="C103" s="18"/>
      <c r="D103" s="18"/>
      <c r="E103" s="18"/>
    </row>
    <row r="104" spans="1:5" s="29" customFormat="1" ht="16.2" hidden="1" customHeight="1" thickBot="1" x14ac:dyDescent="0.35">
      <c r="A104" s="128"/>
      <c r="B104" s="129"/>
      <c r="C104" s="20"/>
      <c r="D104" s="19"/>
      <c r="E104" s="19"/>
    </row>
    <row r="105" spans="1:5" s="29" customFormat="1" ht="60" customHeight="1" thickBot="1" x14ac:dyDescent="0.35">
      <c r="A105" s="130" t="s">
        <v>20</v>
      </c>
      <c r="B105" s="131" t="s">
        <v>213</v>
      </c>
      <c r="C105" s="64">
        <v>4</v>
      </c>
      <c r="D105" s="17"/>
      <c r="E105" s="17"/>
    </row>
    <row r="106" spans="1:5" s="29" customFormat="1" ht="16.2" hidden="1" customHeight="1" thickBot="1" x14ac:dyDescent="0.35">
      <c r="A106" s="126"/>
      <c r="B106" s="127"/>
      <c r="C106" s="30"/>
      <c r="D106" s="18"/>
      <c r="E106" s="18"/>
    </row>
    <row r="107" spans="1:5" s="29" customFormat="1" ht="16.2" hidden="1" customHeight="1" thickBot="1" x14ac:dyDescent="0.35">
      <c r="A107" s="126"/>
      <c r="B107" s="127"/>
      <c r="C107" s="18"/>
      <c r="D107" s="18"/>
      <c r="E107" s="18"/>
    </row>
    <row r="108" spans="1:5" s="29" customFormat="1" ht="16.2" hidden="1" customHeight="1" thickBot="1" x14ac:dyDescent="0.35">
      <c r="A108" s="126"/>
      <c r="B108" s="127"/>
      <c r="C108" s="18"/>
      <c r="D108" s="18"/>
      <c r="E108" s="18"/>
    </row>
    <row r="109" spans="1:5" s="29" customFormat="1" ht="16.2" hidden="1" customHeight="1" thickBot="1" x14ac:dyDescent="0.35">
      <c r="A109" s="128"/>
      <c r="B109" s="129"/>
      <c r="C109" s="20"/>
      <c r="D109" s="19"/>
      <c r="E109" s="19"/>
    </row>
    <row r="110" spans="1:5" s="29" customFormat="1" ht="60" customHeight="1" thickBot="1" x14ac:dyDescent="0.35">
      <c r="A110" s="130" t="s">
        <v>21</v>
      </c>
      <c r="B110" s="131" t="s">
        <v>214</v>
      </c>
      <c r="C110" s="64">
        <v>7</v>
      </c>
      <c r="D110" s="17"/>
      <c r="E110" s="17"/>
    </row>
    <row r="111" spans="1:5" s="29" customFormat="1" ht="16.2" hidden="1" customHeight="1" thickBot="1" x14ac:dyDescent="0.35">
      <c r="A111" s="126"/>
      <c r="B111" s="132"/>
      <c r="C111" s="30"/>
      <c r="D111" s="18"/>
      <c r="E111" s="18"/>
    </row>
    <row r="112" spans="1:5" s="29" customFormat="1" ht="16.2" hidden="1" customHeight="1" thickBot="1" x14ac:dyDescent="0.35">
      <c r="A112" s="126"/>
      <c r="B112" s="132"/>
      <c r="C112" s="18"/>
      <c r="D112" s="18"/>
      <c r="E112" s="18"/>
    </row>
    <row r="113" spans="1:5" s="29" customFormat="1" ht="16.2" hidden="1" customHeight="1" thickBot="1" x14ac:dyDescent="0.35">
      <c r="A113" s="126"/>
      <c r="B113" s="132"/>
      <c r="C113" s="18"/>
      <c r="D113" s="18"/>
      <c r="E113" s="18"/>
    </row>
    <row r="114" spans="1:5" s="29" customFormat="1" ht="16.2" hidden="1" customHeight="1" thickBot="1" x14ac:dyDescent="0.35">
      <c r="A114" s="128"/>
      <c r="B114" s="133"/>
      <c r="C114" s="19"/>
      <c r="D114" s="19"/>
      <c r="E114" s="19"/>
    </row>
    <row r="115" spans="1:5" s="29" customFormat="1" ht="16.2" hidden="1" customHeight="1" thickBot="1" x14ac:dyDescent="0.35">
      <c r="A115" s="124" t="s">
        <v>22</v>
      </c>
      <c r="B115" s="125" t="s">
        <v>215</v>
      </c>
      <c r="C115" s="17"/>
      <c r="D115" s="17"/>
      <c r="E115" s="17"/>
    </row>
    <row r="116" spans="1:5" s="29" customFormat="1" ht="16.2" hidden="1" customHeight="1" thickBot="1" x14ac:dyDescent="0.35">
      <c r="A116" s="126"/>
      <c r="B116" s="127"/>
      <c r="C116" s="18"/>
      <c r="D116" s="18"/>
      <c r="E116" s="18"/>
    </row>
    <row r="117" spans="1:5" s="29" customFormat="1" ht="16.2" hidden="1" customHeight="1" thickBot="1" x14ac:dyDescent="0.35">
      <c r="A117" s="126"/>
      <c r="B117" s="127"/>
      <c r="C117" s="18"/>
      <c r="D117" s="18"/>
      <c r="E117" s="18"/>
    </row>
    <row r="118" spans="1:5" s="29" customFormat="1" ht="16.2" hidden="1" customHeight="1" thickBot="1" x14ac:dyDescent="0.35">
      <c r="A118" s="126"/>
      <c r="B118" s="127"/>
      <c r="C118" s="18"/>
      <c r="D118" s="18"/>
      <c r="E118" s="18"/>
    </row>
    <row r="119" spans="1:5" s="29" customFormat="1" ht="16.2" hidden="1" customHeight="1" thickBot="1" x14ac:dyDescent="0.35">
      <c r="A119" s="128"/>
      <c r="B119" s="129"/>
      <c r="C119" s="19"/>
      <c r="D119" s="19"/>
      <c r="E119" s="19"/>
    </row>
    <row r="120" spans="1:5" s="29" customFormat="1" ht="16.2" hidden="1" customHeight="1" thickBot="1" x14ac:dyDescent="0.35">
      <c r="A120" s="124" t="s">
        <v>23</v>
      </c>
      <c r="B120" s="125" t="s">
        <v>216</v>
      </c>
      <c r="C120" s="17"/>
      <c r="D120" s="17"/>
      <c r="E120" s="17"/>
    </row>
    <row r="121" spans="1:5" s="29" customFormat="1" ht="16.2" hidden="1" customHeight="1" thickBot="1" x14ac:dyDescent="0.35">
      <c r="A121" s="126"/>
      <c r="B121" s="127"/>
      <c r="C121" s="18"/>
      <c r="D121" s="18"/>
      <c r="E121" s="18"/>
    </row>
    <row r="122" spans="1:5" s="29" customFormat="1" ht="16.2" hidden="1" customHeight="1" thickBot="1" x14ac:dyDescent="0.35">
      <c r="A122" s="126"/>
      <c r="B122" s="127"/>
      <c r="C122" s="18"/>
      <c r="D122" s="18"/>
      <c r="E122" s="18"/>
    </row>
    <row r="123" spans="1:5" s="29" customFormat="1" ht="16.2" hidden="1" customHeight="1" thickBot="1" x14ac:dyDescent="0.35">
      <c r="A123" s="126"/>
      <c r="B123" s="127"/>
      <c r="C123" s="18"/>
      <c r="D123" s="18"/>
      <c r="E123" s="18"/>
    </row>
    <row r="124" spans="1:5" s="29" customFormat="1" ht="16.2" hidden="1" customHeight="1" thickBot="1" x14ac:dyDescent="0.35">
      <c r="A124" s="128"/>
      <c r="B124" s="129"/>
      <c r="C124" s="20"/>
      <c r="D124" s="19"/>
      <c r="E124" s="19"/>
    </row>
    <row r="125" spans="1:5" s="29" customFormat="1" ht="60" customHeight="1" thickBot="1" x14ac:dyDescent="0.35">
      <c r="A125" s="130" t="s">
        <v>24</v>
      </c>
      <c r="B125" s="131" t="s">
        <v>217</v>
      </c>
      <c r="C125" s="64">
        <v>11</v>
      </c>
      <c r="D125" s="17"/>
      <c r="E125" s="17"/>
    </row>
    <row r="126" spans="1:5" s="29" customFormat="1" ht="16.2" hidden="1" customHeight="1" thickBot="1" x14ac:dyDescent="0.35">
      <c r="A126" s="126"/>
      <c r="B126" s="132"/>
      <c r="C126" s="30"/>
      <c r="D126" s="18"/>
      <c r="E126" s="18"/>
    </row>
    <row r="127" spans="1:5" s="29" customFormat="1" ht="16.2" hidden="1" customHeight="1" thickBot="1" x14ac:dyDescent="0.35">
      <c r="A127" s="126"/>
      <c r="B127" s="132"/>
      <c r="C127" s="18"/>
      <c r="D127" s="18"/>
      <c r="E127" s="18"/>
    </row>
    <row r="128" spans="1:5" s="29" customFormat="1" ht="16.2" hidden="1" customHeight="1" thickBot="1" x14ac:dyDescent="0.35">
      <c r="A128" s="126"/>
      <c r="B128" s="132"/>
      <c r="C128" s="18"/>
      <c r="D128" s="18"/>
      <c r="E128" s="18"/>
    </row>
    <row r="129" spans="1:5" s="29" customFormat="1" ht="16.2" hidden="1" customHeight="1" thickBot="1" x14ac:dyDescent="0.35">
      <c r="A129" s="128"/>
      <c r="B129" s="133"/>
      <c r="C129" s="20"/>
      <c r="D129" s="19"/>
      <c r="E129" s="19"/>
    </row>
    <row r="130" spans="1:5" s="29" customFormat="1" ht="60" customHeight="1" thickBot="1" x14ac:dyDescent="0.35">
      <c r="A130" s="130" t="s">
        <v>25</v>
      </c>
      <c r="B130" s="131" t="s">
        <v>217</v>
      </c>
      <c r="C130" s="64">
        <v>10</v>
      </c>
      <c r="D130" s="17"/>
      <c r="E130" s="17"/>
    </row>
    <row r="131" spans="1:5" s="29" customFormat="1" ht="16.2" hidden="1" customHeight="1" thickBot="1" x14ac:dyDescent="0.35">
      <c r="A131" s="126"/>
      <c r="B131" s="127"/>
      <c r="C131" s="30"/>
      <c r="D131" s="18"/>
      <c r="E131" s="18"/>
    </row>
    <row r="132" spans="1:5" s="29" customFormat="1" ht="16.2" hidden="1" customHeight="1" thickBot="1" x14ac:dyDescent="0.35">
      <c r="A132" s="126"/>
      <c r="B132" s="127"/>
      <c r="C132" s="18"/>
      <c r="D132" s="18"/>
      <c r="E132" s="18"/>
    </row>
    <row r="133" spans="1:5" s="29" customFormat="1" ht="16.2" hidden="1" customHeight="1" thickBot="1" x14ac:dyDescent="0.35">
      <c r="A133" s="126"/>
      <c r="B133" s="127"/>
      <c r="C133" s="18"/>
      <c r="D133" s="18"/>
      <c r="E133" s="18"/>
    </row>
    <row r="134" spans="1:5" s="29" customFormat="1" ht="16.2" hidden="1" customHeight="1" thickBot="1" x14ac:dyDescent="0.35">
      <c r="A134" s="128"/>
      <c r="B134" s="129"/>
      <c r="C134" s="19"/>
      <c r="D134" s="19"/>
      <c r="E134" s="19"/>
    </row>
    <row r="135" spans="1:5" s="29" customFormat="1" ht="16.2" hidden="1" customHeight="1" thickBot="1" x14ac:dyDescent="0.35">
      <c r="A135" s="124" t="s">
        <v>26</v>
      </c>
      <c r="B135" s="131" t="s">
        <v>218</v>
      </c>
      <c r="C135" s="17"/>
      <c r="D135" s="17"/>
      <c r="E135" s="17"/>
    </row>
    <row r="136" spans="1:5" s="29" customFormat="1" ht="16.2" hidden="1" customHeight="1" thickBot="1" x14ac:dyDescent="0.35">
      <c r="A136" s="126"/>
      <c r="B136" s="132"/>
      <c r="C136" s="18"/>
      <c r="D136" s="18"/>
      <c r="E136" s="18"/>
    </row>
    <row r="137" spans="1:5" s="29" customFormat="1" ht="16.2" hidden="1" customHeight="1" thickBot="1" x14ac:dyDescent="0.35">
      <c r="A137" s="126"/>
      <c r="B137" s="132"/>
      <c r="C137" s="18"/>
      <c r="D137" s="18"/>
      <c r="E137" s="18"/>
    </row>
    <row r="138" spans="1:5" s="29" customFormat="1" ht="16.2" hidden="1" customHeight="1" thickBot="1" x14ac:dyDescent="0.35">
      <c r="A138" s="126"/>
      <c r="B138" s="132"/>
      <c r="C138" s="18"/>
      <c r="D138" s="18"/>
      <c r="E138" s="18"/>
    </row>
    <row r="139" spans="1:5" s="29" customFormat="1" ht="16.2" hidden="1" customHeight="1" thickBot="1" x14ac:dyDescent="0.35">
      <c r="A139" s="128"/>
      <c r="B139" s="133"/>
      <c r="C139" s="19"/>
      <c r="D139" s="19"/>
      <c r="E139" s="19"/>
    </row>
    <row r="140" spans="1:5" s="29" customFormat="1" ht="16.2" hidden="1" customHeight="1" thickBot="1" x14ac:dyDescent="0.35">
      <c r="A140" s="124" t="s">
        <v>27</v>
      </c>
      <c r="B140" s="131" t="s">
        <v>219</v>
      </c>
      <c r="C140" s="17">
        <f>(0.5*6+0.3)*3.9</f>
        <v>12.87</v>
      </c>
      <c r="D140" s="17"/>
      <c r="E140" s="17"/>
    </row>
    <row r="141" spans="1:5" s="29" customFormat="1" ht="16.2" hidden="1" customHeight="1" thickBot="1" x14ac:dyDescent="0.35">
      <c r="A141" s="126"/>
      <c r="B141" s="132"/>
      <c r="C141" s="18">
        <f>C140</f>
        <v>12.87</v>
      </c>
      <c r="D141" s="18"/>
      <c r="E141" s="18"/>
    </row>
    <row r="142" spans="1:5" s="29" customFormat="1" ht="16.2" hidden="1" customHeight="1" thickBot="1" x14ac:dyDescent="0.35">
      <c r="A142" s="126"/>
      <c r="B142" s="132"/>
      <c r="C142" s="18">
        <f>C140-C141</f>
        <v>0</v>
      </c>
      <c r="D142" s="18"/>
      <c r="E142" s="18"/>
    </row>
    <row r="143" spans="1:5" s="29" customFormat="1" ht="16.2" hidden="1" customHeight="1" thickBot="1" x14ac:dyDescent="0.35">
      <c r="A143" s="126"/>
      <c r="B143" s="132"/>
      <c r="C143" s="18"/>
      <c r="D143" s="18"/>
      <c r="E143" s="18"/>
    </row>
    <row r="144" spans="1:5" s="29" customFormat="1" ht="16.2" hidden="1" customHeight="1" thickBot="1" x14ac:dyDescent="0.35">
      <c r="A144" s="128"/>
      <c r="B144" s="133"/>
      <c r="C144" s="19"/>
      <c r="D144" s="19"/>
      <c r="E144" s="19"/>
    </row>
    <row r="145" spans="1:5" s="29" customFormat="1" ht="16.2" hidden="1" customHeight="1" thickBot="1" x14ac:dyDescent="0.35">
      <c r="A145" s="124" t="s">
        <v>28</v>
      </c>
      <c r="B145" s="131" t="s">
        <v>220</v>
      </c>
      <c r="C145" s="17">
        <f>(0.4*3+0.5*5)*3.9</f>
        <v>14.43</v>
      </c>
      <c r="D145" s="17"/>
      <c r="E145" s="17"/>
    </row>
    <row r="146" spans="1:5" s="29" customFormat="1" ht="16.2" hidden="1" customHeight="1" thickBot="1" x14ac:dyDescent="0.35">
      <c r="A146" s="126"/>
      <c r="B146" s="132"/>
      <c r="C146" s="18">
        <f>C145</f>
        <v>14.43</v>
      </c>
      <c r="D146" s="18"/>
      <c r="E146" s="18"/>
    </row>
    <row r="147" spans="1:5" s="29" customFormat="1" ht="16.2" hidden="1" customHeight="1" thickBot="1" x14ac:dyDescent="0.35">
      <c r="A147" s="126"/>
      <c r="B147" s="132"/>
      <c r="C147" s="18">
        <f>C145-C146</f>
        <v>0</v>
      </c>
      <c r="D147" s="18"/>
      <c r="E147" s="18"/>
    </row>
    <row r="148" spans="1:5" s="29" customFormat="1" ht="16.2" hidden="1" customHeight="1" thickBot="1" x14ac:dyDescent="0.35">
      <c r="A148" s="126"/>
      <c r="B148" s="132"/>
      <c r="C148" s="18"/>
      <c r="D148" s="18"/>
      <c r="E148" s="18"/>
    </row>
    <row r="149" spans="1:5" s="29" customFormat="1" ht="16.2" hidden="1" customHeight="1" thickBot="1" x14ac:dyDescent="0.35">
      <c r="A149" s="128"/>
      <c r="B149" s="133"/>
      <c r="C149" s="19"/>
      <c r="D149" s="19"/>
      <c r="E149" s="19"/>
    </row>
    <row r="150" spans="1:5" s="29" customFormat="1" ht="16.2" hidden="1" customHeight="1" thickBot="1" x14ac:dyDescent="0.35">
      <c r="A150" s="124" t="s">
        <v>29</v>
      </c>
      <c r="B150" s="125" t="s">
        <v>221</v>
      </c>
      <c r="C150" s="17"/>
      <c r="D150" s="17"/>
      <c r="E150" s="17"/>
    </row>
    <row r="151" spans="1:5" s="29" customFormat="1" ht="16.2" hidden="1" customHeight="1" thickBot="1" x14ac:dyDescent="0.35">
      <c r="A151" s="126"/>
      <c r="B151" s="127"/>
      <c r="C151" s="18"/>
      <c r="D151" s="18"/>
      <c r="E151" s="18"/>
    </row>
    <row r="152" spans="1:5" s="29" customFormat="1" ht="16.2" hidden="1" customHeight="1" thickBot="1" x14ac:dyDescent="0.35">
      <c r="A152" s="126"/>
      <c r="B152" s="127"/>
      <c r="C152" s="18"/>
      <c r="D152" s="18"/>
      <c r="E152" s="18"/>
    </row>
    <row r="153" spans="1:5" s="29" customFormat="1" ht="16.2" hidden="1" customHeight="1" thickBot="1" x14ac:dyDescent="0.35">
      <c r="A153" s="126"/>
      <c r="B153" s="127"/>
      <c r="C153" s="18"/>
      <c r="D153" s="18"/>
      <c r="E153" s="18"/>
    </row>
    <row r="154" spans="1:5" s="29" customFormat="1" ht="16.2" hidden="1" customHeight="1" thickBot="1" x14ac:dyDescent="0.35">
      <c r="A154" s="128"/>
      <c r="B154" s="129"/>
      <c r="C154" s="19"/>
      <c r="D154" s="19"/>
      <c r="E154" s="19"/>
    </row>
    <row r="155" spans="1:5" s="29" customFormat="1" ht="16.2" hidden="1" customHeight="1" thickBot="1" x14ac:dyDescent="0.35">
      <c r="A155" s="124" t="s">
        <v>30</v>
      </c>
      <c r="B155" s="125" t="s">
        <v>218</v>
      </c>
      <c r="C155" s="17"/>
      <c r="D155" s="17"/>
      <c r="E155" s="17"/>
    </row>
    <row r="156" spans="1:5" s="29" customFormat="1" ht="16.2" hidden="1" customHeight="1" thickBot="1" x14ac:dyDescent="0.35">
      <c r="A156" s="126"/>
      <c r="B156" s="127"/>
      <c r="C156" s="18"/>
      <c r="D156" s="18"/>
      <c r="E156" s="18"/>
    </row>
    <row r="157" spans="1:5" s="29" customFormat="1" ht="16.2" hidden="1" customHeight="1" thickBot="1" x14ac:dyDescent="0.35">
      <c r="A157" s="126"/>
      <c r="B157" s="127"/>
      <c r="C157" s="18"/>
      <c r="D157" s="18"/>
      <c r="E157" s="18"/>
    </row>
    <row r="158" spans="1:5" s="29" customFormat="1" ht="16.2" hidden="1" customHeight="1" thickBot="1" x14ac:dyDescent="0.35">
      <c r="A158" s="126"/>
      <c r="B158" s="127"/>
      <c r="C158" s="18"/>
      <c r="D158" s="18"/>
      <c r="E158" s="18"/>
    </row>
    <row r="159" spans="1:5" s="29" customFormat="1" ht="16.2" hidden="1" customHeight="1" thickBot="1" x14ac:dyDescent="0.35">
      <c r="A159" s="128"/>
      <c r="B159" s="129"/>
      <c r="C159" s="19"/>
      <c r="D159" s="19"/>
      <c r="E159" s="19"/>
    </row>
    <row r="160" spans="1:5" s="29" customFormat="1" ht="16.2" hidden="1" customHeight="1" thickBot="1" x14ac:dyDescent="0.35">
      <c r="A160" s="124" t="s">
        <v>31</v>
      </c>
      <c r="B160" s="125" t="s">
        <v>222</v>
      </c>
      <c r="C160" s="17"/>
      <c r="D160" s="17"/>
      <c r="E160" s="17"/>
    </row>
    <row r="161" spans="1:5" s="29" customFormat="1" ht="16.2" hidden="1" customHeight="1" thickBot="1" x14ac:dyDescent="0.35">
      <c r="A161" s="126"/>
      <c r="B161" s="127"/>
      <c r="C161" s="18"/>
      <c r="D161" s="18"/>
      <c r="E161" s="18"/>
    </row>
    <row r="162" spans="1:5" s="29" customFormat="1" ht="16.2" hidden="1" customHeight="1" thickBot="1" x14ac:dyDescent="0.35">
      <c r="A162" s="126"/>
      <c r="B162" s="127"/>
      <c r="C162" s="18"/>
      <c r="D162" s="18"/>
      <c r="E162" s="18"/>
    </row>
    <row r="163" spans="1:5" s="29" customFormat="1" ht="16.2" hidden="1" customHeight="1" thickBot="1" x14ac:dyDescent="0.35">
      <c r="A163" s="126"/>
      <c r="B163" s="127"/>
      <c r="C163" s="18"/>
      <c r="D163" s="18"/>
      <c r="E163" s="18"/>
    </row>
    <row r="164" spans="1:5" s="29" customFormat="1" ht="16.2" hidden="1" customHeight="1" thickBot="1" x14ac:dyDescent="0.35">
      <c r="A164" s="128"/>
      <c r="B164" s="129"/>
      <c r="C164" s="19"/>
      <c r="D164" s="19"/>
      <c r="E164" s="19"/>
    </row>
    <row r="165" spans="1:5" s="29" customFormat="1" ht="16.2" hidden="1" customHeight="1" thickBot="1" x14ac:dyDescent="0.35">
      <c r="A165" s="124" t="s">
        <v>32</v>
      </c>
      <c r="B165" s="125" t="s">
        <v>223</v>
      </c>
      <c r="C165" s="17"/>
      <c r="D165" s="17"/>
      <c r="E165" s="17"/>
    </row>
    <row r="166" spans="1:5" s="29" customFormat="1" ht="16.2" hidden="1" customHeight="1" thickBot="1" x14ac:dyDescent="0.35">
      <c r="A166" s="126"/>
      <c r="B166" s="127"/>
      <c r="C166" s="18"/>
      <c r="D166" s="18"/>
      <c r="E166" s="18"/>
    </row>
    <row r="167" spans="1:5" s="29" customFormat="1" ht="16.2" hidden="1" customHeight="1" thickBot="1" x14ac:dyDescent="0.35">
      <c r="A167" s="126"/>
      <c r="B167" s="127"/>
      <c r="C167" s="18"/>
      <c r="D167" s="18"/>
      <c r="E167" s="18"/>
    </row>
    <row r="168" spans="1:5" s="29" customFormat="1" ht="16.2" hidden="1" customHeight="1" thickBot="1" x14ac:dyDescent="0.35">
      <c r="A168" s="126"/>
      <c r="B168" s="127"/>
      <c r="C168" s="18"/>
      <c r="D168" s="18"/>
      <c r="E168" s="18"/>
    </row>
    <row r="169" spans="1:5" s="29" customFormat="1" ht="16.2" hidden="1" customHeight="1" thickBot="1" x14ac:dyDescent="0.35">
      <c r="A169" s="128"/>
      <c r="B169" s="129"/>
      <c r="C169" s="19"/>
      <c r="D169" s="19"/>
      <c r="E169" s="19"/>
    </row>
    <row r="170" spans="1:5" s="29" customFormat="1" ht="16.2" hidden="1" customHeight="1" thickBot="1" x14ac:dyDescent="0.35">
      <c r="A170" s="124" t="s">
        <v>33</v>
      </c>
      <c r="B170" s="125" t="s">
        <v>224</v>
      </c>
      <c r="C170" s="17"/>
      <c r="D170" s="17"/>
      <c r="E170" s="17"/>
    </row>
    <row r="171" spans="1:5" s="29" customFormat="1" ht="16.2" hidden="1" customHeight="1" thickBot="1" x14ac:dyDescent="0.35">
      <c r="A171" s="126"/>
      <c r="B171" s="127"/>
      <c r="C171" s="18"/>
      <c r="D171" s="18"/>
      <c r="E171" s="18"/>
    </row>
    <row r="172" spans="1:5" s="29" customFormat="1" ht="16.2" hidden="1" customHeight="1" thickBot="1" x14ac:dyDescent="0.35">
      <c r="A172" s="126"/>
      <c r="B172" s="127"/>
      <c r="C172" s="18"/>
      <c r="D172" s="18"/>
      <c r="E172" s="18"/>
    </row>
    <row r="173" spans="1:5" s="29" customFormat="1" ht="16.2" hidden="1" customHeight="1" thickBot="1" x14ac:dyDescent="0.35">
      <c r="A173" s="126"/>
      <c r="B173" s="127"/>
      <c r="C173" s="18"/>
      <c r="D173" s="18"/>
      <c r="E173" s="18"/>
    </row>
    <row r="174" spans="1:5" s="29" customFormat="1" ht="16.2" hidden="1" customHeight="1" thickBot="1" x14ac:dyDescent="0.35">
      <c r="A174" s="128"/>
      <c r="B174" s="129"/>
      <c r="C174" s="19"/>
      <c r="D174" s="19"/>
      <c r="E174" s="19"/>
    </row>
    <row r="175" spans="1:5" s="29" customFormat="1" ht="16.2" hidden="1" customHeight="1" thickBot="1" x14ac:dyDescent="0.35">
      <c r="A175" s="124" t="s">
        <v>34</v>
      </c>
      <c r="B175" s="131" t="s">
        <v>225</v>
      </c>
      <c r="C175" s="17"/>
      <c r="D175" s="17"/>
      <c r="E175" s="17"/>
    </row>
    <row r="176" spans="1:5" s="29" customFormat="1" ht="16.2" hidden="1" customHeight="1" thickBot="1" x14ac:dyDescent="0.35">
      <c r="A176" s="126"/>
      <c r="B176" s="132"/>
      <c r="C176" s="18"/>
      <c r="D176" s="18"/>
      <c r="E176" s="18"/>
    </row>
    <row r="177" spans="1:5" s="29" customFormat="1" ht="16.2" hidden="1" customHeight="1" thickBot="1" x14ac:dyDescent="0.35">
      <c r="A177" s="126"/>
      <c r="B177" s="132"/>
      <c r="C177" s="18"/>
      <c r="D177" s="18"/>
      <c r="E177" s="18"/>
    </row>
    <row r="178" spans="1:5" s="29" customFormat="1" ht="16.2" hidden="1" customHeight="1" thickBot="1" x14ac:dyDescent="0.35">
      <c r="A178" s="126"/>
      <c r="B178" s="132"/>
      <c r="C178" s="18"/>
      <c r="D178" s="18"/>
      <c r="E178" s="18"/>
    </row>
    <row r="179" spans="1:5" s="29" customFormat="1" ht="16.2" hidden="1" customHeight="1" thickBot="1" x14ac:dyDescent="0.35">
      <c r="A179" s="128"/>
      <c r="B179" s="133"/>
      <c r="C179" s="20"/>
      <c r="D179" s="19"/>
      <c r="E179" s="19"/>
    </row>
    <row r="180" spans="1:5" s="29" customFormat="1" ht="60" customHeight="1" thickBot="1" x14ac:dyDescent="0.35">
      <c r="A180" s="130" t="s">
        <v>35</v>
      </c>
      <c r="B180" s="131" t="s">
        <v>226</v>
      </c>
      <c r="C180" s="64">
        <v>12</v>
      </c>
      <c r="D180" s="17"/>
      <c r="E180" s="17"/>
    </row>
    <row r="181" spans="1:5" s="29" customFormat="1" ht="16.2" hidden="1" customHeight="1" thickBot="1" x14ac:dyDescent="0.35">
      <c r="A181" s="126"/>
      <c r="B181" s="127"/>
      <c r="C181" s="30"/>
      <c r="D181" s="18"/>
      <c r="E181" s="18"/>
    </row>
    <row r="182" spans="1:5" s="29" customFormat="1" ht="16.2" hidden="1" customHeight="1" thickBot="1" x14ac:dyDescent="0.35">
      <c r="A182" s="126"/>
      <c r="B182" s="127"/>
      <c r="C182" s="18"/>
      <c r="D182" s="18"/>
      <c r="E182" s="18"/>
    </row>
    <row r="183" spans="1:5" s="29" customFormat="1" ht="16.2" hidden="1" customHeight="1" thickBot="1" x14ac:dyDescent="0.35">
      <c r="A183" s="126"/>
      <c r="B183" s="127"/>
      <c r="C183" s="18"/>
      <c r="D183" s="18"/>
      <c r="E183" s="18"/>
    </row>
    <row r="184" spans="1:5" s="29" customFormat="1" ht="16.2" hidden="1" customHeight="1" thickBot="1" x14ac:dyDescent="0.35">
      <c r="A184" s="128"/>
      <c r="B184" s="129"/>
      <c r="C184" s="20"/>
      <c r="D184" s="19"/>
      <c r="E184" s="19"/>
    </row>
    <row r="185" spans="1:5" s="29" customFormat="1" ht="60" customHeight="1" thickBot="1" x14ac:dyDescent="0.35">
      <c r="A185" s="130" t="s">
        <v>36</v>
      </c>
      <c r="B185" s="131" t="s">
        <v>227</v>
      </c>
      <c r="C185" s="64">
        <v>4</v>
      </c>
      <c r="D185" s="17"/>
      <c r="E185" s="17"/>
    </row>
    <row r="186" spans="1:5" s="29" customFormat="1" ht="16.2" hidden="1" customHeight="1" thickBot="1" x14ac:dyDescent="0.35">
      <c r="A186" s="126"/>
      <c r="B186" s="127"/>
      <c r="C186" s="30"/>
      <c r="D186" s="18"/>
      <c r="E186" s="18"/>
    </row>
    <row r="187" spans="1:5" s="29" customFormat="1" ht="16.2" hidden="1" customHeight="1" thickBot="1" x14ac:dyDescent="0.35">
      <c r="A187" s="126"/>
      <c r="B187" s="127"/>
      <c r="C187" s="18"/>
      <c r="D187" s="18"/>
      <c r="E187" s="18"/>
    </row>
    <row r="188" spans="1:5" s="29" customFormat="1" ht="16.2" hidden="1" customHeight="1" thickBot="1" x14ac:dyDescent="0.35">
      <c r="A188" s="126"/>
      <c r="B188" s="127"/>
      <c r="C188" s="18"/>
      <c r="D188" s="18"/>
      <c r="E188" s="18"/>
    </row>
    <row r="189" spans="1:5" s="29" customFormat="1" ht="16.2" hidden="1" customHeight="1" thickBot="1" x14ac:dyDescent="0.35">
      <c r="A189" s="128"/>
      <c r="B189" s="129"/>
      <c r="C189" s="20"/>
      <c r="D189" s="19"/>
      <c r="E189" s="19"/>
    </row>
    <row r="190" spans="1:5" s="29" customFormat="1" ht="60" customHeight="1" thickBot="1" x14ac:dyDescent="0.35">
      <c r="A190" s="130" t="s">
        <v>37</v>
      </c>
      <c r="B190" s="140" t="s">
        <v>228</v>
      </c>
      <c r="C190" s="64">
        <v>9</v>
      </c>
      <c r="D190" s="17"/>
      <c r="E190" s="17"/>
    </row>
    <row r="191" spans="1:5" s="29" customFormat="1" ht="16.2" hidden="1" customHeight="1" thickBot="1" x14ac:dyDescent="0.35">
      <c r="A191" s="126"/>
      <c r="B191" s="127"/>
      <c r="C191" s="30">
        <f>C190*0.25</f>
        <v>2.25</v>
      </c>
      <c r="D191" s="18"/>
      <c r="E191" s="18">
        <f t="shared" ref="E191" si="1">E190*0.8</f>
        <v>0</v>
      </c>
    </row>
    <row r="192" spans="1:5" s="29" customFormat="1" ht="16.2" hidden="1" customHeight="1" thickBot="1" x14ac:dyDescent="0.35">
      <c r="A192" s="126"/>
      <c r="B192" s="127"/>
      <c r="C192" s="18">
        <f t="shared" ref="C192:E192" si="2">C190-C191</f>
        <v>6.75</v>
      </c>
      <c r="D192" s="18"/>
      <c r="E192" s="18">
        <f t="shared" si="2"/>
        <v>0</v>
      </c>
    </row>
    <row r="193" spans="1:5" s="29" customFormat="1" ht="16.2" hidden="1" customHeight="1" thickBot="1" x14ac:dyDescent="0.35">
      <c r="A193" s="126"/>
      <c r="B193" s="127"/>
      <c r="C193" s="18"/>
      <c r="D193" s="18"/>
      <c r="E193" s="18"/>
    </row>
    <row r="194" spans="1:5" s="29" customFormat="1" ht="16.2" hidden="1" customHeight="1" thickBot="1" x14ac:dyDescent="0.35">
      <c r="A194" s="128"/>
      <c r="B194" s="129"/>
      <c r="C194" s="20"/>
      <c r="D194" s="19"/>
      <c r="E194" s="19"/>
    </row>
    <row r="195" spans="1:5" s="29" customFormat="1" ht="60" customHeight="1" thickBot="1" x14ac:dyDescent="0.35">
      <c r="A195" s="130" t="s">
        <v>38</v>
      </c>
      <c r="B195" s="140" t="s">
        <v>229</v>
      </c>
      <c r="C195" s="64">
        <v>8</v>
      </c>
      <c r="D195" s="17"/>
      <c r="E195" s="17"/>
    </row>
    <row r="196" spans="1:5" s="29" customFormat="1" ht="16.2" hidden="1" customHeight="1" thickBot="1" x14ac:dyDescent="0.35">
      <c r="A196" s="126"/>
      <c r="B196" s="127"/>
      <c r="C196" s="30"/>
      <c r="D196" s="18"/>
      <c r="E196" s="18">
        <v>0</v>
      </c>
    </row>
    <row r="197" spans="1:5" s="29" customFormat="1" ht="16.2" hidden="1" customHeight="1" thickBot="1" x14ac:dyDescent="0.35">
      <c r="A197" s="126"/>
      <c r="B197" s="127"/>
      <c r="C197" s="18"/>
      <c r="D197" s="18"/>
      <c r="E197" s="18">
        <f>E195-E196</f>
        <v>0</v>
      </c>
    </row>
    <row r="198" spans="1:5" s="29" customFormat="1" ht="16.2" hidden="1" customHeight="1" thickBot="1" x14ac:dyDescent="0.35">
      <c r="A198" s="126"/>
      <c r="B198" s="127"/>
      <c r="C198" s="18"/>
      <c r="D198" s="18"/>
      <c r="E198" s="18"/>
    </row>
    <row r="199" spans="1:5" s="29" customFormat="1" ht="16.2" hidden="1" customHeight="1" thickBot="1" x14ac:dyDescent="0.35">
      <c r="A199" s="128"/>
      <c r="B199" s="129"/>
      <c r="C199" s="20"/>
      <c r="D199" s="19"/>
      <c r="E199" s="19"/>
    </row>
    <row r="200" spans="1:5" s="29" customFormat="1" ht="60" customHeight="1" thickBot="1" x14ac:dyDescent="0.35">
      <c r="A200" s="130" t="s">
        <v>39</v>
      </c>
      <c r="B200" s="140" t="s">
        <v>230</v>
      </c>
      <c r="C200" s="64">
        <v>20</v>
      </c>
      <c r="D200" s="17"/>
      <c r="E200" s="17"/>
    </row>
    <row r="201" spans="1:5" s="29" customFormat="1" ht="16.2" hidden="1" customHeight="1" thickBot="1" x14ac:dyDescent="0.35">
      <c r="A201" s="126"/>
      <c r="B201" s="127"/>
      <c r="C201" s="30"/>
      <c r="D201" s="18"/>
      <c r="E201" s="18">
        <f>E200</f>
        <v>0</v>
      </c>
    </row>
    <row r="202" spans="1:5" s="29" customFormat="1" ht="16.2" hidden="1" customHeight="1" thickBot="1" x14ac:dyDescent="0.35">
      <c r="A202" s="126"/>
      <c r="B202" s="127"/>
      <c r="C202" s="18"/>
      <c r="D202" s="18"/>
      <c r="E202" s="18">
        <f>E200-E201</f>
        <v>0</v>
      </c>
    </row>
    <row r="203" spans="1:5" s="29" customFormat="1" ht="16.2" hidden="1" customHeight="1" thickBot="1" x14ac:dyDescent="0.35">
      <c r="A203" s="126"/>
      <c r="B203" s="127"/>
      <c r="C203" s="18"/>
      <c r="D203" s="18"/>
      <c r="E203" s="18"/>
    </row>
    <row r="204" spans="1:5" s="29" customFormat="1" ht="16.2" hidden="1" customHeight="1" thickBot="1" x14ac:dyDescent="0.35">
      <c r="A204" s="128"/>
      <c r="B204" s="129"/>
      <c r="C204" s="20"/>
      <c r="D204" s="19"/>
      <c r="E204" s="19"/>
    </row>
    <row r="205" spans="1:5" s="29" customFormat="1" ht="60" customHeight="1" thickBot="1" x14ac:dyDescent="0.35">
      <c r="A205" s="130" t="s">
        <v>40</v>
      </c>
      <c r="B205" s="140" t="s">
        <v>231</v>
      </c>
      <c r="C205" s="64">
        <v>21</v>
      </c>
      <c r="D205" s="17"/>
      <c r="E205" s="17"/>
    </row>
    <row r="206" spans="1:5" s="29" customFormat="1" ht="16.2" hidden="1" customHeight="1" thickBot="1" x14ac:dyDescent="0.35">
      <c r="A206" s="126"/>
      <c r="B206" s="127"/>
      <c r="C206" s="30"/>
      <c r="D206" s="18"/>
      <c r="E206" s="18">
        <f>E205</f>
        <v>0</v>
      </c>
    </row>
    <row r="207" spans="1:5" s="29" customFormat="1" ht="16.2" hidden="1" customHeight="1" thickBot="1" x14ac:dyDescent="0.35">
      <c r="A207" s="126"/>
      <c r="B207" s="127"/>
      <c r="C207" s="18"/>
      <c r="D207" s="18"/>
      <c r="E207" s="18">
        <f>E205-E206</f>
        <v>0</v>
      </c>
    </row>
    <row r="208" spans="1:5" s="29" customFormat="1" ht="16.2" hidden="1" customHeight="1" thickBot="1" x14ac:dyDescent="0.35">
      <c r="A208" s="126"/>
      <c r="B208" s="127"/>
      <c r="C208" s="18"/>
      <c r="D208" s="18"/>
      <c r="E208" s="18"/>
    </row>
    <row r="209" spans="1:5" s="29" customFormat="1" ht="16.2" hidden="1" customHeight="1" thickBot="1" x14ac:dyDescent="0.35">
      <c r="A209" s="128"/>
      <c r="B209" s="129"/>
      <c r="C209" s="20"/>
      <c r="D209" s="19"/>
      <c r="E209" s="19"/>
    </row>
    <row r="210" spans="1:5" s="29" customFormat="1" ht="60" customHeight="1" thickBot="1" x14ac:dyDescent="0.35">
      <c r="A210" s="130" t="s">
        <v>41</v>
      </c>
      <c r="B210" s="140" t="s">
        <v>232</v>
      </c>
      <c r="C210" s="64">
        <v>12</v>
      </c>
      <c r="D210" s="17"/>
      <c r="E210" s="17"/>
    </row>
    <row r="211" spans="1:5" s="29" customFormat="1" ht="16.2" hidden="1" customHeight="1" thickBot="1" x14ac:dyDescent="0.35">
      <c r="A211" s="126"/>
      <c r="B211" s="127"/>
      <c r="C211" s="30"/>
      <c r="D211" s="18"/>
      <c r="E211" s="18">
        <f>E210</f>
        <v>0</v>
      </c>
    </row>
    <row r="212" spans="1:5" s="29" customFormat="1" ht="16.2" hidden="1" customHeight="1" thickBot="1" x14ac:dyDescent="0.35">
      <c r="A212" s="126"/>
      <c r="B212" s="127"/>
      <c r="C212" s="18"/>
      <c r="D212" s="18"/>
      <c r="E212" s="18">
        <f>E210-E211</f>
        <v>0</v>
      </c>
    </row>
    <row r="213" spans="1:5" s="29" customFormat="1" ht="16.2" hidden="1" customHeight="1" thickBot="1" x14ac:dyDescent="0.35">
      <c r="A213" s="126"/>
      <c r="B213" s="127"/>
      <c r="C213" s="18"/>
      <c r="D213" s="18"/>
      <c r="E213" s="18"/>
    </row>
    <row r="214" spans="1:5" s="29" customFormat="1" ht="16.2" hidden="1" customHeight="1" thickBot="1" x14ac:dyDescent="0.35">
      <c r="A214" s="128"/>
      <c r="B214" s="129"/>
      <c r="C214" s="19"/>
      <c r="D214" s="19"/>
      <c r="E214" s="19"/>
    </row>
    <row r="215" spans="1:5" s="29" customFormat="1" ht="60" hidden="1" customHeight="1" thickBot="1" x14ac:dyDescent="0.35">
      <c r="A215" s="141" t="s">
        <v>42</v>
      </c>
      <c r="B215" s="140" t="s">
        <v>233</v>
      </c>
      <c r="C215" s="42">
        <v>11.7</v>
      </c>
      <c r="D215" s="17"/>
      <c r="E215" s="17"/>
    </row>
    <row r="216" spans="1:5" s="29" customFormat="1" ht="16.2" hidden="1" customHeight="1" thickBot="1" x14ac:dyDescent="0.35">
      <c r="A216" s="126"/>
      <c r="B216" s="127"/>
      <c r="C216" s="18"/>
      <c r="D216" s="18"/>
      <c r="E216" s="18">
        <f>E215</f>
        <v>0</v>
      </c>
    </row>
    <row r="217" spans="1:5" s="29" customFormat="1" ht="16.2" hidden="1" customHeight="1" thickBot="1" x14ac:dyDescent="0.35">
      <c r="A217" s="126"/>
      <c r="B217" s="127"/>
      <c r="C217" s="18"/>
      <c r="D217" s="18"/>
      <c r="E217" s="18">
        <f>E215-E216</f>
        <v>0</v>
      </c>
    </row>
    <row r="218" spans="1:5" s="29" customFormat="1" ht="16.2" hidden="1" customHeight="1" thickBot="1" x14ac:dyDescent="0.35">
      <c r="A218" s="126"/>
      <c r="B218" s="127"/>
      <c r="C218" s="18"/>
      <c r="D218" s="18"/>
      <c r="E218" s="18"/>
    </row>
    <row r="219" spans="1:5" s="29" customFormat="1" ht="16.2" hidden="1" customHeight="1" thickBot="1" x14ac:dyDescent="0.35">
      <c r="A219" s="128"/>
      <c r="B219" s="129"/>
      <c r="C219" s="19"/>
      <c r="D219" s="19"/>
      <c r="E219" s="19"/>
    </row>
    <row r="220" spans="1:5" s="29" customFormat="1" ht="60" hidden="1" customHeight="1" thickBot="1" x14ac:dyDescent="0.35">
      <c r="A220" s="141" t="s">
        <v>43</v>
      </c>
      <c r="B220" s="140" t="s">
        <v>234</v>
      </c>
      <c r="C220" s="42">
        <v>29</v>
      </c>
      <c r="D220" s="17"/>
      <c r="E220" s="17"/>
    </row>
    <row r="221" spans="1:5" s="29" customFormat="1" ht="16.2" hidden="1" customHeight="1" thickBot="1" x14ac:dyDescent="0.35">
      <c r="A221" s="126"/>
      <c r="B221" s="127"/>
      <c r="C221" s="18"/>
      <c r="D221" s="18"/>
      <c r="E221" s="18">
        <f>E220</f>
        <v>0</v>
      </c>
    </row>
    <row r="222" spans="1:5" s="29" customFormat="1" ht="16.2" hidden="1" customHeight="1" thickBot="1" x14ac:dyDescent="0.35">
      <c r="A222" s="126"/>
      <c r="B222" s="127"/>
      <c r="C222" s="18"/>
      <c r="D222" s="18"/>
      <c r="E222" s="18">
        <f>E220-E221</f>
        <v>0</v>
      </c>
    </row>
    <row r="223" spans="1:5" s="29" customFormat="1" ht="16.2" hidden="1" customHeight="1" thickBot="1" x14ac:dyDescent="0.35">
      <c r="A223" s="126"/>
      <c r="B223" s="127"/>
      <c r="C223" s="18"/>
      <c r="D223" s="18"/>
      <c r="E223" s="18"/>
    </row>
    <row r="224" spans="1:5" s="29" customFormat="1" ht="16.2" hidden="1" customHeight="1" thickBot="1" x14ac:dyDescent="0.35">
      <c r="A224" s="128"/>
      <c r="B224" s="129"/>
      <c r="C224" s="20"/>
      <c r="D224" s="19"/>
      <c r="E224" s="19"/>
    </row>
    <row r="225" spans="1:5" s="29" customFormat="1" ht="60" customHeight="1" thickBot="1" x14ac:dyDescent="0.35">
      <c r="A225" s="130" t="s">
        <v>44</v>
      </c>
      <c r="B225" s="140" t="s">
        <v>235</v>
      </c>
      <c r="C225" s="64">
        <v>8</v>
      </c>
      <c r="D225" s="17"/>
      <c r="E225" s="17"/>
    </row>
    <row r="226" spans="1:5" s="29" customFormat="1" ht="16.2" hidden="1" customHeight="1" thickBot="1" x14ac:dyDescent="0.35">
      <c r="A226" s="126"/>
      <c r="B226" s="127"/>
      <c r="C226" s="30"/>
      <c r="D226" s="18"/>
      <c r="E226" s="18"/>
    </row>
    <row r="227" spans="1:5" s="29" customFormat="1" ht="16.2" hidden="1" customHeight="1" thickBot="1" x14ac:dyDescent="0.35">
      <c r="A227" s="126"/>
      <c r="B227" s="127"/>
      <c r="C227" s="18"/>
      <c r="D227" s="18"/>
      <c r="E227" s="18"/>
    </row>
    <row r="228" spans="1:5" s="29" customFormat="1" ht="16.2" hidden="1" customHeight="1" thickBot="1" x14ac:dyDescent="0.35">
      <c r="A228" s="126"/>
      <c r="B228" s="127"/>
      <c r="C228" s="18"/>
      <c r="D228" s="18"/>
      <c r="E228" s="18"/>
    </row>
    <row r="229" spans="1:5" s="29" customFormat="1" ht="16.2" hidden="1" customHeight="1" thickBot="1" x14ac:dyDescent="0.35">
      <c r="A229" s="128"/>
      <c r="B229" s="129"/>
      <c r="C229" s="20"/>
      <c r="D229" s="19"/>
      <c r="E229" s="19"/>
    </row>
    <row r="230" spans="1:5" s="29" customFormat="1" ht="60" customHeight="1" thickBot="1" x14ac:dyDescent="0.35">
      <c r="A230" s="130" t="s">
        <v>45</v>
      </c>
      <c r="B230" s="140" t="s">
        <v>236</v>
      </c>
      <c r="C230" s="64">
        <v>4</v>
      </c>
      <c r="D230" s="17"/>
      <c r="E230" s="17"/>
    </row>
    <row r="231" spans="1:5" s="29" customFormat="1" ht="16.2" hidden="1" customHeight="1" thickBot="1" x14ac:dyDescent="0.35">
      <c r="A231" s="126"/>
      <c r="B231" s="127"/>
      <c r="C231" s="30">
        <f>C230</f>
        <v>4</v>
      </c>
      <c r="D231" s="18"/>
      <c r="E231" s="18"/>
    </row>
    <row r="232" spans="1:5" s="29" customFormat="1" ht="16.2" hidden="1" customHeight="1" thickBot="1" x14ac:dyDescent="0.35">
      <c r="A232" s="126"/>
      <c r="B232" s="127"/>
      <c r="C232" s="18">
        <f>C230-C231</f>
        <v>0</v>
      </c>
      <c r="D232" s="18"/>
      <c r="E232" s="18"/>
    </row>
    <row r="233" spans="1:5" s="29" customFormat="1" ht="16.2" hidden="1" customHeight="1" thickBot="1" x14ac:dyDescent="0.35">
      <c r="A233" s="126"/>
      <c r="B233" s="127"/>
      <c r="C233" s="18"/>
      <c r="D233" s="18"/>
      <c r="E233" s="18"/>
    </row>
    <row r="234" spans="1:5" s="29" customFormat="1" ht="16.2" hidden="1" customHeight="1" thickBot="1" x14ac:dyDescent="0.35">
      <c r="A234" s="128"/>
      <c r="B234" s="129"/>
      <c r="C234" s="19"/>
      <c r="D234" s="19"/>
      <c r="E234" s="19"/>
    </row>
    <row r="235" spans="1:5" s="29" customFormat="1" ht="60" hidden="1" customHeight="1" thickBot="1" x14ac:dyDescent="0.35">
      <c r="A235" s="141" t="s">
        <v>46</v>
      </c>
      <c r="B235" s="140" t="s">
        <v>237</v>
      </c>
      <c r="C235" s="42">
        <v>9.3000000000000007</v>
      </c>
      <c r="D235" s="17"/>
      <c r="E235" s="17"/>
    </row>
    <row r="236" spans="1:5" s="29" customFormat="1" ht="16.2" hidden="1" customHeight="1" thickBot="1" x14ac:dyDescent="0.35">
      <c r="A236" s="126"/>
      <c r="B236" s="127"/>
      <c r="C236" s="18"/>
      <c r="D236" s="18"/>
      <c r="E236" s="18"/>
    </row>
    <row r="237" spans="1:5" s="29" customFormat="1" ht="16.2" hidden="1" customHeight="1" thickBot="1" x14ac:dyDescent="0.35">
      <c r="A237" s="126"/>
      <c r="B237" s="127"/>
      <c r="C237" s="18"/>
      <c r="D237" s="18"/>
      <c r="E237" s="18"/>
    </row>
    <row r="238" spans="1:5" s="29" customFormat="1" ht="16.2" hidden="1" customHeight="1" thickBot="1" x14ac:dyDescent="0.35">
      <c r="A238" s="126"/>
      <c r="B238" s="127"/>
      <c r="C238" s="18"/>
      <c r="D238" s="18"/>
      <c r="E238" s="18"/>
    </row>
    <row r="239" spans="1:5" s="29" customFormat="1" ht="16.2" hidden="1" customHeight="1" thickBot="1" x14ac:dyDescent="0.35">
      <c r="A239" s="128"/>
      <c r="B239" s="129"/>
      <c r="C239" s="19"/>
      <c r="D239" s="19"/>
      <c r="E239" s="19"/>
    </row>
    <row r="240" spans="1:5" s="29" customFormat="1" ht="60" hidden="1" customHeight="1" thickBot="1" x14ac:dyDescent="0.35">
      <c r="A240" s="141" t="s">
        <v>47</v>
      </c>
      <c r="B240" s="140" t="s">
        <v>238</v>
      </c>
      <c r="C240" s="42">
        <v>7.4</v>
      </c>
      <c r="D240" s="17"/>
      <c r="E240" s="17"/>
    </row>
    <row r="241" spans="1:5" s="29" customFormat="1" ht="16.2" hidden="1" customHeight="1" thickBot="1" x14ac:dyDescent="0.35">
      <c r="A241" s="126"/>
      <c r="B241" s="127"/>
      <c r="C241" s="18"/>
      <c r="D241" s="18"/>
      <c r="E241" s="18"/>
    </row>
    <row r="242" spans="1:5" s="29" customFormat="1" ht="16.2" hidden="1" customHeight="1" thickBot="1" x14ac:dyDescent="0.35">
      <c r="A242" s="126"/>
      <c r="B242" s="127"/>
      <c r="C242" s="18"/>
      <c r="D242" s="18"/>
      <c r="E242" s="18"/>
    </row>
    <row r="243" spans="1:5" s="29" customFormat="1" ht="16.2" hidden="1" customHeight="1" thickBot="1" x14ac:dyDescent="0.35">
      <c r="A243" s="126"/>
      <c r="B243" s="127"/>
      <c r="C243" s="18"/>
      <c r="D243" s="18"/>
      <c r="E243" s="18"/>
    </row>
    <row r="244" spans="1:5" s="29" customFormat="1" ht="16.2" hidden="1" customHeight="1" thickBot="1" x14ac:dyDescent="0.35">
      <c r="A244" s="128"/>
      <c r="B244" s="129"/>
      <c r="C244" s="20"/>
      <c r="D244" s="19"/>
      <c r="E244" s="19"/>
    </row>
    <row r="245" spans="1:5" s="29" customFormat="1" ht="60" customHeight="1" thickBot="1" x14ac:dyDescent="0.35">
      <c r="A245" s="130" t="s">
        <v>48</v>
      </c>
      <c r="B245" s="140" t="s">
        <v>239</v>
      </c>
      <c r="C245" s="64">
        <v>6</v>
      </c>
      <c r="D245" s="17"/>
      <c r="E245" s="17"/>
    </row>
    <row r="246" spans="1:5" s="29" customFormat="1" ht="16.2" hidden="1" customHeight="1" thickBot="1" x14ac:dyDescent="0.35">
      <c r="A246" s="126"/>
      <c r="B246" s="127"/>
      <c r="C246" s="30"/>
      <c r="D246" s="18"/>
      <c r="E246" s="18">
        <f>E245</f>
        <v>0</v>
      </c>
    </row>
    <row r="247" spans="1:5" s="29" customFormat="1" ht="16.2" hidden="1" customHeight="1" thickBot="1" x14ac:dyDescent="0.35">
      <c r="A247" s="126"/>
      <c r="B247" s="127"/>
      <c r="C247" s="18"/>
      <c r="D247" s="18"/>
      <c r="E247" s="18">
        <f>E245-E246</f>
        <v>0</v>
      </c>
    </row>
    <row r="248" spans="1:5" s="29" customFormat="1" ht="16.2" hidden="1" customHeight="1" thickBot="1" x14ac:dyDescent="0.35">
      <c r="A248" s="126"/>
      <c r="B248" s="127"/>
      <c r="C248" s="18"/>
      <c r="D248" s="18"/>
      <c r="E248" s="18"/>
    </row>
    <row r="249" spans="1:5" s="29" customFormat="1" ht="16.2" hidden="1" customHeight="1" thickBot="1" x14ac:dyDescent="0.35">
      <c r="A249" s="128"/>
      <c r="B249" s="129"/>
      <c r="C249" s="20"/>
      <c r="D249" s="19"/>
      <c r="E249" s="19"/>
    </row>
    <row r="250" spans="1:5" s="29" customFormat="1" ht="60" customHeight="1" thickBot="1" x14ac:dyDescent="0.35">
      <c r="A250" s="130" t="s">
        <v>49</v>
      </c>
      <c r="B250" s="140" t="s">
        <v>240</v>
      </c>
      <c r="C250" s="64">
        <v>10</v>
      </c>
      <c r="D250" s="17"/>
      <c r="E250" s="17"/>
    </row>
    <row r="251" spans="1:5" s="29" customFormat="1" ht="16.2" hidden="1" customHeight="1" thickBot="1" x14ac:dyDescent="0.35">
      <c r="A251" s="126"/>
      <c r="B251" s="127"/>
      <c r="C251" s="30"/>
      <c r="D251" s="18"/>
      <c r="E251" s="18"/>
    </row>
    <row r="252" spans="1:5" s="29" customFormat="1" ht="16.2" hidden="1" customHeight="1" thickBot="1" x14ac:dyDescent="0.35">
      <c r="A252" s="126"/>
      <c r="B252" s="127"/>
      <c r="C252" s="18"/>
      <c r="D252" s="18"/>
      <c r="E252" s="18"/>
    </row>
    <row r="253" spans="1:5" s="29" customFormat="1" ht="16.2" hidden="1" customHeight="1" thickBot="1" x14ac:dyDescent="0.35">
      <c r="A253" s="126"/>
      <c r="B253" s="127"/>
      <c r="C253" s="18"/>
      <c r="D253" s="18"/>
      <c r="E253" s="18"/>
    </row>
    <row r="254" spans="1:5" s="29" customFormat="1" ht="16.2" hidden="1" customHeight="1" thickBot="1" x14ac:dyDescent="0.35">
      <c r="A254" s="128"/>
      <c r="B254" s="129"/>
      <c r="C254" s="20"/>
      <c r="D254" s="19"/>
      <c r="E254" s="19"/>
    </row>
    <row r="255" spans="1:5" s="29" customFormat="1" ht="60" customHeight="1" thickBot="1" x14ac:dyDescent="0.35">
      <c r="A255" s="130" t="s">
        <v>50</v>
      </c>
      <c r="B255" s="140" t="s">
        <v>241</v>
      </c>
      <c r="C255" s="64">
        <v>9</v>
      </c>
      <c r="D255" s="17"/>
      <c r="E255" s="17"/>
    </row>
    <row r="256" spans="1:5" s="29" customFormat="1" ht="16.2" hidden="1" customHeight="1" thickBot="1" x14ac:dyDescent="0.35">
      <c r="A256" s="126"/>
      <c r="B256" s="127"/>
      <c r="C256" s="30"/>
      <c r="D256" s="18"/>
      <c r="E256" s="18"/>
    </row>
    <row r="257" spans="1:5" s="29" customFormat="1" ht="16.2" hidden="1" customHeight="1" thickBot="1" x14ac:dyDescent="0.35">
      <c r="A257" s="126"/>
      <c r="B257" s="127"/>
      <c r="C257" s="18"/>
      <c r="D257" s="18"/>
      <c r="E257" s="18"/>
    </row>
    <row r="258" spans="1:5" s="29" customFormat="1" ht="16.2" hidden="1" customHeight="1" thickBot="1" x14ac:dyDescent="0.35">
      <c r="A258" s="126"/>
      <c r="B258" s="127"/>
      <c r="C258" s="18"/>
      <c r="D258" s="18"/>
      <c r="E258" s="18"/>
    </row>
    <row r="259" spans="1:5" s="29" customFormat="1" ht="16.2" hidden="1" customHeight="1" thickBot="1" x14ac:dyDescent="0.35">
      <c r="A259" s="128"/>
      <c r="B259" s="129"/>
      <c r="C259" s="20"/>
      <c r="D259" s="19"/>
      <c r="E259" s="19"/>
    </row>
    <row r="260" spans="1:5" s="29" customFormat="1" ht="60" customHeight="1" thickBot="1" x14ac:dyDescent="0.35">
      <c r="A260" s="130" t="s">
        <v>51</v>
      </c>
      <c r="B260" s="140" t="s">
        <v>196</v>
      </c>
      <c r="C260" s="64">
        <v>6</v>
      </c>
      <c r="D260" s="17"/>
      <c r="E260" s="17"/>
    </row>
    <row r="261" spans="1:5" s="29" customFormat="1" ht="16.2" hidden="1" customHeight="1" thickBot="1" x14ac:dyDescent="0.35">
      <c r="A261" s="126"/>
      <c r="B261" s="127"/>
      <c r="C261" s="30"/>
      <c r="D261" s="18"/>
      <c r="E261" s="18"/>
    </row>
    <row r="262" spans="1:5" s="29" customFormat="1" ht="16.2" hidden="1" customHeight="1" thickBot="1" x14ac:dyDescent="0.35">
      <c r="A262" s="126"/>
      <c r="B262" s="127"/>
      <c r="C262" s="18"/>
      <c r="D262" s="18"/>
      <c r="E262" s="18"/>
    </row>
    <row r="263" spans="1:5" s="29" customFormat="1" ht="16.2" hidden="1" customHeight="1" thickBot="1" x14ac:dyDescent="0.35">
      <c r="A263" s="126"/>
      <c r="B263" s="127"/>
      <c r="C263" s="18"/>
      <c r="D263" s="18"/>
      <c r="E263" s="18"/>
    </row>
    <row r="264" spans="1:5" s="29" customFormat="1" ht="16.2" hidden="1" customHeight="1" thickBot="1" x14ac:dyDescent="0.35">
      <c r="A264" s="128"/>
      <c r="B264" s="129"/>
      <c r="C264" s="20"/>
      <c r="D264" s="19"/>
      <c r="E264" s="19"/>
    </row>
    <row r="265" spans="1:5" s="29" customFormat="1" ht="60" customHeight="1" thickBot="1" x14ac:dyDescent="0.35">
      <c r="A265" s="130" t="s">
        <v>52</v>
      </c>
      <c r="B265" s="140" t="s">
        <v>215</v>
      </c>
      <c r="C265" s="64">
        <v>11</v>
      </c>
      <c r="D265" s="17"/>
      <c r="E265" s="17"/>
    </row>
    <row r="266" spans="1:5" s="29" customFormat="1" ht="16.2" hidden="1" customHeight="1" thickBot="1" x14ac:dyDescent="0.35">
      <c r="A266" s="126"/>
      <c r="B266" s="127"/>
      <c r="C266" s="30"/>
      <c r="D266" s="18"/>
      <c r="E266" s="18"/>
    </row>
    <row r="267" spans="1:5" s="29" customFormat="1" ht="16.2" hidden="1" customHeight="1" thickBot="1" x14ac:dyDescent="0.35">
      <c r="A267" s="126"/>
      <c r="B267" s="127"/>
      <c r="C267" s="18"/>
      <c r="D267" s="18"/>
      <c r="E267" s="18"/>
    </row>
    <row r="268" spans="1:5" s="29" customFormat="1" ht="16.2" hidden="1" customHeight="1" thickBot="1" x14ac:dyDescent="0.35">
      <c r="A268" s="126"/>
      <c r="B268" s="127"/>
      <c r="C268" s="18"/>
      <c r="D268" s="18"/>
      <c r="E268" s="18"/>
    </row>
    <row r="269" spans="1:5" s="29" customFormat="1" ht="16.2" hidden="1" customHeight="1" thickBot="1" x14ac:dyDescent="0.35">
      <c r="A269" s="128"/>
      <c r="B269" s="129"/>
      <c r="C269" s="20"/>
      <c r="D269" s="19"/>
      <c r="E269" s="19"/>
    </row>
    <row r="270" spans="1:5" s="29" customFormat="1" ht="60" customHeight="1" thickBot="1" x14ac:dyDescent="0.35">
      <c r="A270" s="130" t="s">
        <v>53</v>
      </c>
      <c r="B270" s="140" t="s">
        <v>242</v>
      </c>
      <c r="C270" s="64">
        <v>8</v>
      </c>
      <c r="D270" s="17"/>
      <c r="E270" s="17"/>
    </row>
    <row r="271" spans="1:5" s="29" customFormat="1" ht="16.2" hidden="1" customHeight="1" thickBot="1" x14ac:dyDescent="0.35">
      <c r="A271" s="126"/>
      <c r="B271" s="127"/>
      <c r="C271" s="30">
        <v>0</v>
      </c>
      <c r="D271" s="18"/>
      <c r="E271" s="18"/>
    </row>
    <row r="272" spans="1:5" s="29" customFormat="1" ht="16.2" hidden="1" customHeight="1" thickBot="1" x14ac:dyDescent="0.35">
      <c r="A272" s="126"/>
      <c r="B272" s="127"/>
      <c r="C272" s="18">
        <f>C270-C271</f>
        <v>8</v>
      </c>
      <c r="D272" s="18"/>
      <c r="E272" s="18"/>
    </row>
    <row r="273" spans="1:5" s="29" customFormat="1" ht="16.2" hidden="1" customHeight="1" thickBot="1" x14ac:dyDescent="0.35">
      <c r="A273" s="126"/>
      <c r="B273" s="127"/>
      <c r="C273" s="18"/>
      <c r="D273" s="18"/>
      <c r="E273" s="18"/>
    </row>
    <row r="274" spans="1:5" s="29" customFormat="1" ht="16.2" hidden="1" customHeight="1" thickBot="1" x14ac:dyDescent="0.35">
      <c r="A274" s="128"/>
      <c r="B274" s="129"/>
      <c r="C274" s="20"/>
      <c r="D274" s="19"/>
      <c r="E274" s="19"/>
    </row>
    <row r="275" spans="1:5" s="29" customFormat="1" ht="60" customHeight="1" thickBot="1" x14ac:dyDescent="0.35">
      <c r="A275" s="130" t="s">
        <v>54</v>
      </c>
      <c r="B275" s="140" t="s">
        <v>243</v>
      </c>
      <c r="C275" s="64">
        <v>5</v>
      </c>
      <c r="D275" s="17"/>
      <c r="E275" s="17"/>
    </row>
    <row r="276" spans="1:5" s="29" customFormat="1" ht="16.2" hidden="1" customHeight="1" thickBot="1" x14ac:dyDescent="0.35">
      <c r="A276" s="126"/>
      <c r="B276" s="127"/>
      <c r="C276" s="30"/>
      <c r="D276" s="18"/>
      <c r="E276" s="18"/>
    </row>
    <row r="277" spans="1:5" s="29" customFormat="1" ht="16.2" hidden="1" customHeight="1" thickBot="1" x14ac:dyDescent="0.35">
      <c r="A277" s="126"/>
      <c r="B277" s="127"/>
      <c r="C277" s="18"/>
      <c r="D277" s="18"/>
      <c r="E277" s="18"/>
    </row>
    <row r="278" spans="1:5" s="29" customFormat="1" ht="16.2" hidden="1" customHeight="1" thickBot="1" x14ac:dyDescent="0.35">
      <c r="A278" s="126"/>
      <c r="B278" s="127"/>
      <c r="C278" s="18"/>
      <c r="D278" s="18"/>
      <c r="E278" s="18"/>
    </row>
    <row r="279" spans="1:5" s="29" customFormat="1" ht="16.2" hidden="1" customHeight="1" thickBot="1" x14ac:dyDescent="0.35">
      <c r="A279" s="128"/>
      <c r="B279" s="129"/>
      <c r="C279" s="20"/>
      <c r="D279" s="19"/>
      <c r="E279" s="19"/>
    </row>
    <row r="280" spans="1:5" s="29" customFormat="1" ht="60" customHeight="1" thickBot="1" x14ac:dyDescent="0.35">
      <c r="A280" s="130" t="s">
        <v>55</v>
      </c>
      <c r="B280" s="140" t="s">
        <v>244</v>
      </c>
      <c r="C280" s="64">
        <v>12</v>
      </c>
      <c r="D280" s="17"/>
      <c r="E280" s="17"/>
    </row>
    <row r="281" spans="1:5" s="29" customFormat="1" ht="16.2" hidden="1" customHeight="1" thickBot="1" x14ac:dyDescent="0.35">
      <c r="A281" s="126"/>
      <c r="B281" s="132"/>
      <c r="C281" s="30"/>
      <c r="D281" s="18"/>
      <c r="E281" s="18">
        <f>E280</f>
        <v>0</v>
      </c>
    </row>
    <row r="282" spans="1:5" s="29" customFormat="1" ht="16.2" hidden="1" customHeight="1" thickBot="1" x14ac:dyDescent="0.35">
      <c r="A282" s="126"/>
      <c r="B282" s="132"/>
      <c r="C282" s="18"/>
      <c r="D282" s="18"/>
      <c r="E282" s="18">
        <f>E280-E281</f>
        <v>0</v>
      </c>
    </row>
    <row r="283" spans="1:5" s="29" customFormat="1" ht="16.2" hidden="1" customHeight="1" thickBot="1" x14ac:dyDescent="0.35">
      <c r="A283" s="126"/>
      <c r="B283" s="132"/>
      <c r="C283" s="18"/>
      <c r="D283" s="18"/>
      <c r="E283" s="18"/>
    </row>
    <row r="284" spans="1:5" s="29" customFormat="1" ht="16.2" hidden="1" customHeight="1" thickBot="1" x14ac:dyDescent="0.35">
      <c r="A284" s="128"/>
      <c r="B284" s="133"/>
      <c r="C284" s="20"/>
      <c r="D284" s="19"/>
      <c r="E284" s="19"/>
    </row>
    <row r="285" spans="1:5" s="29" customFormat="1" ht="60" customHeight="1" thickBot="1" x14ac:dyDescent="0.35">
      <c r="A285" s="130" t="s">
        <v>56</v>
      </c>
      <c r="B285" s="140" t="s">
        <v>245</v>
      </c>
      <c r="C285" s="64">
        <v>10</v>
      </c>
      <c r="D285" s="17"/>
      <c r="E285" s="17"/>
    </row>
    <row r="286" spans="1:5" s="29" customFormat="1" ht="16.2" hidden="1" customHeight="1" thickBot="1" x14ac:dyDescent="0.35">
      <c r="A286" s="126"/>
      <c r="B286" s="127"/>
      <c r="C286" s="30"/>
      <c r="D286" s="18"/>
      <c r="E286" s="18">
        <f>E285</f>
        <v>0</v>
      </c>
    </row>
    <row r="287" spans="1:5" s="29" customFormat="1" ht="16.2" hidden="1" customHeight="1" thickBot="1" x14ac:dyDescent="0.35">
      <c r="A287" s="126"/>
      <c r="B287" s="127"/>
      <c r="C287" s="18"/>
      <c r="D287" s="18"/>
      <c r="E287" s="18">
        <f>E285-E286</f>
        <v>0</v>
      </c>
    </row>
    <row r="288" spans="1:5" s="29" customFormat="1" ht="16.2" hidden="1" customHeight="1" thickBot="1" x14ac:dyDescent="0.35">
      <c r="A288" s="126"/>
      <c r="B288" s="127"/>
      <c r="C288" s="18"/>
      <c r="D288" s="18"/>
      <c r="E288" s="18"/>
    </row>
    <row r="289" spans="1:5" s="29" customFormat="1" ht="16.2" hidden="1" customHeight="1" thickBot="1" x14ac:dyDescent="0.35">
      <c r="A289" s="128"/>
      <c r="B289" s="129"/>
      <c r="C289" s="19"/>
      <c r="D289" s="19"/>
      <c r="E289" s="19"/>
    </row>
    <row r="290" spans="1:5" s="29" customFormat="1" ht="60" hidden="1" customHeight="1" thickBot="1" x14ac:dyDescent="0.35">
      <c r="A290" s="141" t="s">
        <v>57</v>
      </c>
      <c r="B290" s="140" t="s">
        <v>218</v>
      </c>
      <c r="C290" s="42">
        <v>57.3</v>
      </c>
      <c r="D290" s="17"/>
      <c r="E290" s="17"/>
    </row>
    <row r="291" spans="1:5" s="29" customFormat="1" ht="16.2" hidden="1" customHeight="1" thickBot="1" x14ac:dyDescent="0.35">
      <c r="A291" s="126"/>
      <c r="B291" s="127"/>
      <c r="C291" s="18"/>
      <c r="D291" s="18"/>
      <c r="E291" s="18">
        <f>E290</f>
        <v>0</v>
      </c>
    </row>
    <row r="292" spans="1:5" s="29" customFormat="1" ht="16.2" hidden="1" customHeight="1" thickBot="1" x14ac:dyDescent="0.35">
      <c r="A292" s="126"/>
      <c r="B292" s="127"/>
      <c r="C292" s="18"/>
      <c r="D292" s="18"/>
      <c r="E292" s="18">
        <f>E290-E291</f>
        <v>0</v>
      </c>
    </row>
    <row r="293" spans="1:5" s="29" customFormat="1" ht="16.2" hidden="1" customHeight="1" thickBot="1" x14ac:dyDescent="0.35">
      <c r="A293" s="126"/>
      <c r="B293" s="127"/>
      <c r="C293" s="18"/>
      <c r="D293" s="18"/>
      <c r="E293" s="18"/>
    </row>
    <row r="294" spans="1:5" s="29" customFormat="1" ht="16.2" hidden="1" customHeight="1" thickBot="1" x14ac:dyDescent="0.35">
      <c r="A294" s="128"/>
      <c r="B294" s="129"/>
      <c r="C294" s="19"/>
      <c r="D294" s="19"/>
      <c r="E294" s="19"/>
    </row>
    <row r="295" spans="1:5" s="29" customFormat="1" ht="16.2" hidden="1" customHeight="1" thickBot="1" x14ac:dyDescent="0.35">
      <c r="A295" s="124" t="s">
        <v>58</v>
      </c>
      <c r="B295" s="125" t="s">
        <v>196</v>
      </c>
      <c r="C295" s="17">
        <f>(0.5+0.3)*2*3.9</f>
        <v>6.24</v>
      </c>
      <c r="D295" s="17"/>
      <c r="E295" s="17"/>
    </row>
    <row r="296" spans="1:5" s="29" customFormat="1" ht="16.2" hidden="1" customHeight="1" thickBot="1" x14ac:dyDescent="0.35">
      <c r="A296" s="126"/>
      <c r="B296" s="127"/>
      <c r="C296" s="18">
        <f>C295</f>
        <v>6.24</v>
      </c>
      <c r="D296" s="18"/>
      <c r="E296" s="18"/>
    </row>
    <row r="297" spans="1:5" s="29" customFormat="1" ht="16.2" hidden="1" customHeight="1" thickBot="1" x14ac:dyDescent="0.35">
      <c r="A297" s="126"/>
      <c r="B297" s="127"/>
      <c r="C297" s="18">
        <f>C295-C296</f>
        <v>0</v>
      </c>
      <c r="D297" s="18"/>
      <c r="E297" s="18"/>
    </row>
    <row r="298" spans="1:5" s="29" customFormat="1" ht="16.2" hidden="1" customHeight="1" thickBot="1" x14ac:dyDescent="0.35">
      <c r="A298" s="126"/>
      <c r="B298" s="127"/>
      <c r="C298" s="18"/>
      <c r="D298" s="18"/>
      <c r="E298" s="18"/>
    </row>
    <row r="299" spans="1:5" s="29" customFormat="1" ht="16.2" hidden="1" customHeight="1" thickBot="1" x14ac:dyDescent="0.35">
      <c r="A299" s="126"/>
      <c r="B299" s="127"/>
      <c r="C299" s="20"/>
      <c r="D299" s="20"/>
      <c r="E299" s="20"/>
    </row>
    <row r="300" spans="1:5" s="29" customFormat="1" ht="16.2" hidden="1" customHeight="1" thickBot="1" x14ac:dyDescent="0.35">
      <c r="A300" s="124" t="s">
        <v>59</v>
      </c>
      <c r="B300" s="125" t="s">
        <v>246</v>
      </c>
      <c r="C300" s="17">
        <v>26.7</v>
      </c>
      <c r="D300" s="17"/>
      <c r="E300" s="17"/>
    </row>
    <row r="301" spans="1:5" s="29" customFormat="1" ht="16.2" hidden="1" customHeight="1" thickBot="1" x14ac:dyDescent="0.35">
      <c r="A301" s="126"/>
      <c r="B301" s="127"/>
      <c r="C301" s="18">
        <f>C300</f>
        <v>26.7</v>
      </c>
      <c r="D301" s="18"/>
      <c r="E301" s="18"/>
    </row>
    <row r="302" spans="1:5" s="29" customFormat="1" ht="16.2" hidden="1" customHeight="1" thickBot="1" x14ac:dyDescent="0.35">
      <c r="A302" s="126"/>
      <c r="B302" s="127"/>
      <c r="C302" s="18">
        <f>C300-C301</f>
        <v>0</v>
      </c>
      <c r="D302" s="18"/>
      <c r="E302" s="18"/>
    </row>
    <row r="303" spans="1:5" s="29" customFormat="1" ht="16.2" hidden="1" customHeight="1" thickBot="1" x14ac:dyDescent="0.35">
      <c r="A303" s="126"/>
      <c r="B303" s="127"/>
      <c r="C303" s="18"/>
      <c r="D303" s="18"/>
      <c r="E303" s="18"/>
    </row>
    <row r="304" spans="1:5" s="29" customFormat="1" ht="16.2" hidden="1" customHeight="1" thickBot="1" x14ac:dyDescent="0.35">
      <c r="A304" s="128"/>
      <c r="B304" s="129"/>
      <c r="C304" s="19"/>
      <c r="D304" s="19"/>
      <c r="E304" s="19"/>
    </row>
    <row r="305" spans="1:5" s="29" customFormat="1" ht="16.2" hidden="1" customHeight="1" thickBot="1" x14ac:dyDescent="0.35">
      <c r="A305" s="126" t="s">
        <v>60</v>
      </c>
      <c r="B305" s="127" t="s">
        <v>247</v>
      </c>
      <c r="C305" s="30">
        <v>4.68</v>
      </c>
      <c r="D305" s="30"/>
      <c r="E305" s="30"/>
    </row>
    <row r="306" spans="1:5" s="29" customFormat="1" ht="16.2" hidden="1" customHeight="1" thickBot="1" x14ac:dyDescent="0.35">
      <c r="A306" s="126"/>
      <c r="B306" s="127"/>
      <c r="C306" s="18">
        <f>C305</f>
        <v>4.68</v>
      </c>
      <c r="D306" s="18"/>
      <c r="E306" s="18"/>
    </row>
    <row r="307" spans="1:5" s="29" customFormat="1" ht="16.2" hidden="1" customHeight="1" thickBot="1" x14ac:dyDescent="0.35">
      <c r="A307" s="126"/>
      <c r="B307" s="127"/>
      <c r="C307" s="18">
        <f>C305-C306</f>
        <v>0</v>
      </c>
      <c r="D307" s="18"/>
      <c r="E307" s="18"/>
    </row>
    <row r="308" spans="1:5" s="29" customFormat="1" ht="16.2" hidden="1" customHeight="1" thickBot="1" x14ac:dyDescent="0.35">
      <c r="A308" s="126"/>
      <c r="B308" s="127"/>
      <c r="C308" s="18"/>
      <c r="D308" s="18"/>
      <c r="E308" s="18"/>
    </row>
    <row r="309" spans="1:5" s="29" customFormat="1" ht="16.2" hidden="1" customHeight="1" thickBot="1" x14ac:dyDescent="0.35">
      <c r="A309" s="128"/>
      <c r="B309" s="129"/>
      <c r="C309" s="19"/>
      <c r="D309" s="19"/>
      <c r="E309" s="19"/>
    </row>
    <row r="310" spans="1:5" s="29" customFormat="1" ht="16.2" hidden="1" customHeight="1" thickBot="1" x14ac:dyDescent="0.35">
      <c r="A310" s="124" t="s">
        <v>61</v>
      </c>
      <c r="B310" s="131" t="s">
        <v>248</v>
      </c>
      <c r="C310" s="17"/>
      <c r="D310" s="17"/>
      <c r="E310" s="17"/>
    </row>
    <row r="311" spans="1:5" s="29" customFormat="1" ht="16.2" hidden="1" customHeight="1" thickBot="1" x14ac:dyDescent="0.35">
      <c r="A311" s="126"/>
      <c r="B311" s="132"/>
      <c r="C311" s="18"/>
      <c r="D311" s="18"/>
      <c r="E311" s="18"/>
    </row>
    <row r="312" spans="1:5" s="29" customFormat="1" ht="16.2" hidden="1" customHeight="1" thickBot="1" x14ac:dyDescent="0.35">
      <c r="A312" s="126"/>
      <c r="B312" s="132"/>
      <c r="C312" s="18"/>
      <c r="D312" s="18"/>
      <c r="E312" s="18"/>
    </row>
    <row r="313" spans="1:5" s="29" customFormat="1" ht="16.2" hidden="1" customHeight="1" thickBot="1" x14ac:dyDescent="0.35">
      <c r="A313" s="126"/>
      <c r="B313" s="132"/>
      <c r="C313" s="18"/>
      <c r="D313" s="18"/>
      <c r="E313" s="18"/>
    </row>
    <row r="314" spans="1:5" s="29" customFormat="1" ht="16.2" hidden="1" customHeight="1" thickBot="1" x14ac:dyDescent="0.35">
      <c r="A314" s="128"/>
      <c r="B314" s="133"/>
      <c r="C314" s="19"/>
      <c r="D314" s="19"/>
      <c r="E314" s="19"/>
    </row>
    <row r="315" spans="1:5" s="29" customFormat="1" ht="16.2" hidden="1" customHeight="1" thickBot="1" x14ac:dyDescent="0.35">
      <c r="A315" s="124" t="s">
        <v>62</v>
      </c>
      <c r="B315" s="131" t="s">
        <v>196</v>
      </c>
      <c r="C315" s="17"/>
      <c r="D315" s="17"/>
      <c r="E315" s="17"/>
    </row>
    <row r="316" spans="1:5" s="29" customFormat="1" ht="16.2" hidden="1" customHeight="1" thickBot="1" x14ac:dyDescent="0.35">
      <c r="A316" s="126"/>
      <c r="B316" s="132"/>
      <c r="C316" s="18"/>
      <c r="D316" s="18"/>
      <c r="E316" s="18"/>
    </row>
    <row r="317" spans="1:5" s="29" customFormat="1" ht="16.2" hidden="1" customHeight="1" thickBot="1" x14ac:dyDescent="0.35">
      <c r="A317" s="126"/>
      <c r="B317" s="132"/>
      <c r="C317" s="18"/>
      <c r="D317" s="18"/>
      <c r="E317" s="18"/>
    </row>
    <row r="318" spans="1:5" s="29" customFormat="1" ht="16.2" hidden="1" customHeight="1" thickBot="1" x14ac:dyDescent="0.35">
      <c r="A318" s="126"/>
      <c r="B318" s="132"/>
      <c r="C318" s="18"/>
      <c r="D318" s="18"/>
      <c r="E318" s="18"/>
    </row>
    <row r="319" spans="1:5" s="29" customFormat="1" ht="16.2" hidden="1" customHeight="1" thickBot="1" x14ac:dyDescent="0.35">
      <c r="A319" s="128"/>
      <c r="B319" s="133"/>
      <c r="C319" s="19"/>
      <c r="D319" s="19"/>
      <c r="E319" s="19"/>
    </row>
    <row r="320" spans="1:5" s="29" customFormat="1" ht="16.2" hidden="1" customHeight="1" thickBot="1" x14ac:dyDescent="0.35">
      <c r="A320" s="124" t="s">
        <v>63</v>
      </c>
      <c r="B320" s="125" t="s">
        <v>249</v>
      </c>
      <c r="C320" s="17"/>
      <c r="D320" s="17"/>
      <c r="E320" s="17"/>
    </row>
    <row r="321" spans="1:5" s="29" customFormat="1" ht="16.2" hidden="1" customHeight="1" thickBot="1" x14ac:dyDescent="0.35">
      <c r="A321" s="126"/>
      <c r="B321" s="127"/>
      <c r="C321" s="18"/>
      <c r="D321" s="18"/>
      <c r="E321" s="18"/>
    </row>
    <row r="322" spans="1:5" s="29" customFormat="1" ht="16.2" hidden="1" customHeight="1" thickBot="1" x14ac:dyDescent="0.35">
      <c r="A322" s="126"/>
      <c r="B322" s="127"/>
      <c r="C322" s="18"/>
      <c r="D322" s="18"/>
      <c r="E322" s="18"/>
    </row>
    <row r="323" spans="1:5" s="29" customFormat="1" ht="16.2" hidden="1" customHeight="1" thickBot="1" x14ac:dyDescent="0.35">
      <c r="A323" s="126"/>
      <c r="B323" s="127"/>
      <c r="C323" s="18"/>
      <c r="D323" s="18"/>
      <c r="E323" s="18"/>
    </row>
    <row r="324" spans="1:5" s="29" customFormat="1" ht="16.2" hidden="1" customHeight="1" thickBot="1" x14ac:dyDescent="0.35">
      <c r="A324" s="128"/>
      <c r="B324" s="129"/>
      <c r="C324" s="19"/>
      <c r="D324" s="19"/>
      <c r="E324" s="19"/>
    </row>
    <row r="325" spans="1:5" s="29" customFormat="1" ht="16.2" hidden="1" customHeight="1" thickBot="1" x14ac:dyDescent="0.35">
      <c r="A325" s="124" t="s">
        <v>64</v>
      </c>
      <c r="B325" s="125" t="s">
        <v>250</v>
      </c>
      <c r="C325" s="17"/>
      <c r="D325" s="17"/>
      <c r="E325" s="17"/>
    </row>
    <row r="326" spans="1:5" s="29" customFormat="1" ht="16.2" hidden="1" customHeight="1" thickBot="1" x14ac:dyDescent="0.35">
      <c r="A326" s="126"/>
      <c r="B326" s="127"/>
      <c r="C326" s="18"/>
      <c r="D326" s="18"/>
      <c r="E326" s="18"/>
    </row>
    <row r="327" spans="1:5" s="29" customFormat="1" ht="16.2" hidden="1" customHeight="1" thickBot="1" x14ac:dyDescent="0.35">
      <c r="A327" s="126"/>
      <c r="B327" s="127"/>
      <c r="C327" s="18"/>
      <c r="D327" s="18"/>
      <c r="E327" s="18"/>
    </row>
    <row r="328" spans="1:5" s="29" customFormat="1" ht="16.2" hidden="1" customHeight="1" thickBot="1" x14ac:dyDescent="0.35">
      <c r="A328" s="126"/>
      <c r="B328" s="127"/>
      <c r="C328" s="18"/>
      <c r="D328" s="18"/>
      <c r="E328" s="18"/>
    </row>
    <row r="329" spans="1:5" s="29" customFormat="1" ht="16.2" hidden="1" customHeight="1" thickBot="1" x14ac:dyDescent="0.35">
      <c r="A329" s="128"/>
      <c r="B329" s="129"/>
      <c r="C329" s="19"/>
      <c r="D329" s="19"/>
      <c r="E329" s="19"/>
    </row>
    <row r="330" spans="1:5" s="29" customFormat="1" ht="16.2" hidden="1" customHeight="1" thickBot="1" x14ac:dyDescent="0.35">
      <c r="A330" s="124" t="s">
        <v>65</v>
      </c>
      <c r="B330" s="125" t="s">
        <v>251</v>
      </c>
      <c r="C330" s="17"/>
      <c r="D330" s="17"/>
      <c r="E330" s="17"/>
    </row>
    <row r="331" spans="1:5" s="29" customFormat="1" ht="16.2" hidden="1" customHeight="1" thickBot="1" x14ac:dyDescent="0.35">
      <c r="A331" s="126"/>
      <c r="B331" s="127"/>
      <c r="C331" s="18"/>
      <c r="D331" s="18"/>
      <c r="E331" s="18"/>
    </row>
    <row r="332" spans="1:5" s="29" customFormat="1" ht="16.2" hidden="1" customHeight="1" thickBot="1" x14ac:dyDescent="0.35">
      <c r="A332" s="126"/>
      <c r="B332" s="127"/>
      <c r="C332" s="18"/>
      <c r="D332" s="18"/>
      <c r="E332" s="18"/>
    </row>
    <row r="333" spans="1:5" s="29" customFormat="1" ht="16.2" hidden="1" customHeight="1" thickBot="1" x14ac:dyDescent="0.35">
      <c r="A333" s="126"/>
      <c r="B333" s="127"/>
      <c r="C333" s="18"/>
      <c r="D333" s="18"/>
      <c r="E333" s="18"/>
    </row>
    <row r="334" spans="1:5" s="29" customFormat="1" ht="16.2" hidden="1" customHeight="1" thickBot="1" x14ac:dyDescent="0.35">
      <c r="A334" s="128"/>
      <c r="B334" s="129"/>
      <c r="C334" s="19"/>
      <c r="D334" s="19"/>
      <c r="E334" s="19"/>
    </row>
    <row r="335" spans="1:5" s="29" customFormat="1" ht="16.2" hidden="1" customHeight="1" thickBot="1" x14ac:dyDescent="0.35">
      <c r="A335" s="124" t="s">
        <v>66</v>
      </c>
      <c r="B335" s="125" t="s">
        <v>252</v>
      </c>
      <c r="C335" s="17"/>
      <c r="D335" s="17"/>
      <c r="E335" s="17"/>
    </row>
    <row r="336" spans="1:5" s="29" customFormat="1" ht="16.2" hidden="1" customHeight="1" thickBot="1" x14ac:dyDescent="0.35">
      <c r="A336" s="126"/>
      <c r="B336" s="127"/>
      <c r="C336" s="18"/>
      <c r="D336" s="18"/>
      <c r="E336" s="18"/>
    </row>
    <row r="337" spans="1:5" s="29" customFormat="1" ht="16.2" hidden="1" customHeight="1" thickBot="1" x14ac:dyDescent="0.35">
      <c r="A337" s="126"/>
      <c r="B337" s="127"/>
      <c r="C337" s="18"/>
      <c r="D337" s="18"/>
      <c r="E337" s="18"/>
    </row>
    <row r="338" spans="1:5" s="29" customFormat="1" ht="16.2" hidden="1" customHeight="1" thickBot="1" x14ac:dyDescent="0.35">
      <c r="A338" s="126"/>
      <c r="B338" s="127"/>
      <c r="C338" s="18"/>
      <c r="D338" s="18"/>
      <c r="E338" s="18"/>
    </row>
    <row r="339" spans="1:5" s="29" customFormat="1" ht="16.2" hidden="1" customHeight="1" thickBot="1" x14ac:dyDescent="0.35">
      <c r="A339" s="128"/>
      <c r="B339" s="129"/>
      <c r="C339" s="19"/>
      <c r="D339" s="19"/>
      <c r="E339" s="19"/>
    </row>
    <row r="340" spans="1:5" s="29" customFormat="1" ht="16.2" hidden="1" customHeight="1" thickBot="1" x14ac:dyDescent="0.35">
      <c r="A340" s="124" t="s">
        <v>67</v>
      </c>
      <c r="B340" s="125" t="s">
        <v>253</v>
      </c>
      <c r="C340" s="17"/>
      <c r="D340" s="17"/>
      <c r="E340" s="17"/>
    </row>
    <row r="341" spans="1:5" s="29" customFormat="1" ht="16.2" hidden="1" customHeight="1" thickBot="1" x14ac:dyDescent="0.35">
      <c r="A341" s="126"/>
      <c r="B341" s="127"/>
      <c r="C341" s="18"/>
      <c r="D341" s="18"/>
      <c r="E341" s="18"/>
    </row>
    <row r="342" spans="1:5" s="29" customFormat="1" ht="16.2" hidden="1" customHeight="1" thickBot="1" x14ac:dyDescent="0.35">
      <c r="A342" s="126"/>
      <c r="B342" s="127"/>
      <c r="C342" s="18"/>
      <c r="D342" s="18"/>
      <c r="E342" s="18"/>
    </row>
    <row r="343" spans="1:5" s="29" customFormat="1" ht="16.2" hidden="1" customHeight="1" thickBot="1" x14ac:dyDescent="0.35">
      <c r="A343" s="126"/>
      <c r="B343" s="127"/>
      <c r="C343" s="18"/>
      <c r="D343" s="18"/>
      <c r="E343" s="18"/>
    </row>
    <row r="344" spans="1:5" s="29" customFormat="1" ht="16.2" hidden="1" customHeight="1" thickBot="1" x14ac:dyDescent="0.35">
      <c r="A344" s="128"/>
      <c r="B344" s="129"/>
      <c r="C344" s="19"/>
      <c r="D344" s="19"/>
      <c r="E344" s="19"/>
    </row>
    <row r="345" spans="1:5" s="29" customFormat="1" ht="16.2" hidden="1" customHeight="1" thickBot="1" x14ac:dyDescent="0.35">
      <c r="A345" s="124" t="s">
        <v>68</v>
      </c>
      <c r="B345" s="125" t="s">
        <v>249</v>
      </c>
      <c r="C345" s="17"/>
      <c r="D345" s="17"/>
      <c r="E345" s="17"/>
    </row>
    <row r="346" spans="1:5" s="29" customFormat="1" ht="16.2" hidden="1" customHeight="1" thickBot="1" x14ac:dyDescent="0.35">
      <c r="A346" s="126"/>
      <c r="B346" s="127"/>
      <c r="C346" s="18"/>
      <c r="D346" s="18"/>
      <c r="E346" s="18"/>
    </row>
    <row r="347" spans="1:5" s="29" customFormat="1" ht="16.2" hidden="1" customHeight="1" thickBot="1" x14ac:dyDescent="0.35">
      <c r="A347" s="126"/>
      <c r="B347" s="127"/>
      <c r="C347" s="18"/>
      <c r="D347" s="18"/>
      <c r="E347" s="18"/>
    </row>
    <row r="348" spans="1:5" s="29" customFormat="1" ht="16.2" hidden="1" customHeight="1" thickBot="1" x14ac:dyDescent="0.35">
      <c r="A348" s="126"/>
      <c r="B348" s="127"/>
      <c r="C348" s="18"/>
      <c r="D348" s="18"/>
      <c r="E348" s="18"/>
    </row>
    <row r="349" spans="1:5" s="29" customFormat="1" ht="16.2" hidden="1" customHeight="1" thickBot="1" x14ac:dyDescent="0.35">
      <c r="A349" s="128"/>
      <c r="B349" s="129"/>
      <c r="C349" s="19"/>
      <c r="D349" s="19"/>
      <c r="E349" s="19"/>
    </row>
    <row r="350" spans="1:5" s="29" customFormat="1" ht="16.2" hidden="1" customHeight="1" thickBot="1" x14ac:dyDescent="0.35">
      <c r="A350" s="124" t="s">
        <v>69</v>
      </c>
      <c r="B350" s="125" t="s">
        <v>196</v>
      </c>
      <c r="C350" s="17"/>
      <c r="D350" s="17"/>
      <c r="E350" s="17"/>
    </row>
    <row r="351" spans="1:5" s="29" customFormat="1" ht="16.2" hidden="1" customHeight="1" thickBot="1" x14ac:dyDescent="0.35">
      <c r="A351" s="126"/>
      <c r="B351" s="127"/>
      <c r="C351" s="18"/>
      <c r="D351" s="18"/>
      <c r="E351" s="18"/>
    </row>
    <row r="352" spans="1:5" s="29" customFormat="1" ht="16.2" hidden="1" customHeight="1" thickBot="1" x14ac:dyDescent="0.35">
      <c r="A352" s="126"/>
      <c r="B352" s="127"/>
      <c r="C352" s="18"/>
      <c r="D352" s="18"/>
      <c r="E352" s="18"/>
    </row>
    <row r="353" spans="1:5" s="29" customFormat="1" ht="16.2" hidden="1" customHeight="1" thickBot="1" x14ac:dyDescent="0.35">
      <c r="A353" s="126"/>
      <c r="B353" s="127"/>
      <c r="C353" s="18"/>
      <c r="D353" s="18"/>
      <c r="E353" s="18"/>
    </row>
    <row r="354" spans="1:5" s="29" customFormat="1" ht="16.2" hidden="1" customHeight="1" thickBot="1" x14ac:dyDescent="0.35">
      <c r="A354" s="128"/>
      <c r="B354" s="129"/>
      <c r="C354" s="19"/>
      <c r="D354" s="19"/>
      <c r="E354" s="19"/>
    </row>
    <row r="355" spans="1:5" s="29" customFormat="1" ht="16.2" hidden="1" customHeight="1" thickBot="1" x14ac:dyDescent="0.35">
      <c r="A355" s="124" t="s">
        <v>70</v>
      </c>
      <c r="B355" s="125" t="s">
        <v>250</v>
      </c>
      <c r="C355" s="17"/>
      <c r="D355" s="17"/>
      <c r="E355" s="17"/>
    </row>
    <row r="356" spans="1:5" s="29" customFormat="1" ht="16.2" hidden="1" customHeight="1" thickBot="1" x14ac:dyDescent="0.35">
      <c r="A356" s="126"/>
      <c r="B356" s="127"/>
      <c r="C356" s="18"/>
      <c r="D356" s="18"/>
      <c r="E356" s="18"/>
    </row>
    <row r="357" spans="1:5" s="29" customFormat="1" ht="16.2" hidden="1" customHeight="1" thickBot="1" x14ac:dyDescent="0.35">
      <c r="A357" s="126"/>
      <c r="B357" s="127"/>
      <c r="C357" s="18"/>
      <c r="D357" s="18"/>
      <c r="E357" s="18"/>
    </row>
    <row r="358" spans="1:5" s="29" customFormat="1" ht="16.2" hidden="1" customHeight="1" thickBot="1" x14ac:dyDescent="0.35">
      <c r="A358" s="126"/>
      <c r="B358" s="127"/>
      <c r="C358" s="18"/>
      <c r="D358" s="18"/>
      <c r="E358" s="18"/>
    </row>
    <row r="359" spans="1:5" s="29" customFormat="1" ht="16.2" hidden="1" customHeight="1" thickBot="1" x14ac:dyDescent="0.35">
      <c r="A359" s="128"/>
      <c r="B359" s="129"/>
      <c r="C359" s="19"/>
      <c r="D359" s="19"/>
      <c r="E359" s="19"/>
    </row>
    <row r="360" spans="1:5" s="29" customFormat="1" ht="16.2" hidden="1" customHeight="1" thickBot="1" x14ac:dyDescent="0.35">
      <c r="A360" s="124" t="s">
        <v>71</v>
      </c>
      <c r="B360" s="125" t="s">
        <v>251</v>
      </c>
      <c r="C360" s="17"/>
      <c r="D360" s="17"/>
      <c r="E360" s="17"/>
    </row>
    <row r="361" spans="1:5" s="29" customFormat="1" ht="16.2" hidden="1" customHeight="1" thickBot="1" x14ac:dyDescent="0.35">
      <c r="A361" s="126"/>
      <c r="B361" s="127"/>
      <c r="C361" s="18"/>
      <c r="D361" s="18"/>
      <c r="E361" s="18"/>
    </row>
    <row r="362" spans="1:5" s="29" customFormat="1" ht="16.2" hidden="1" customHeight="1" thickBot="1" x14ac:dyDescent="0.35">
      <c r="A362" s="126"/>
      <c r="B362" s="127"/>
      <c r="C362" s="18"/>
      <c r="D362" s="18"/>
      <c r="E362" s="18"/>
    </row>
    <row r="363" spans="1:5" s="29" customFormat="1" ht="16.2" hidden="1" customHeight="1" thickBot="1" x14ac:dyDescent="0.35">
      <c r="A363" s="126"/>
      <c r="B363" s="127"/>
      <c r="C363" s="18"/>
      <c r="D363" s="18"/>
      <c r="E363" s="18"/>
    </row>
    <row r="364" spans="1:5" s="29" customFormat="1" ht="16.2" hidden="1" customHeight="1" thickBot="1" x14ac:dyDescent="0.35">
      <c r="A364" s="128"/>
      <c r="B364" s="129"/>
      <c r="C364" s="19"/>
      <c r="D364" s="19"/>
      <c r="E364" s="19"/>
    </row>
    <row r="365" spans="1:5" s="29" customFormat="1" ht="16.2" hidden="1" customHeight="1" thickBot="1" x14ac:dyDescent="0.35">
      <c r="A365" s="124" t="s">
        <v>72</v>
      </c>
      <c r="B365" s="125" t="s">
        <v>254</v>
      </c>
      <c r="C365" s="17"/>
      <c r="D365" s="17"/>
      <c r="E365" s="17"/>
    </row>
    <row r="366" spans="1:5" s="29" customFormat="1" ht="16.2" hidden="1" customHeight="1" thickBot="1" x14ac:dyDescent="0.35">
      <c r="A366" s="126"/>
      <c r="B366" s="127"/>
      <c r="C366" s="18"/>
      <c r="D366" s="18"/>
      <c r="E366" s="18"/>
    </row>
    <row r="367" spans="1:5" s="29" customFormat="1" ht="16.2" hidden="1" customHeight="1" thickBot="1" x14ac:dyDescent="0.35">
      <c r="A367" s="126"/>
      <c r="B367" s="127"/>
      <c r="C367" s="18"/>
      <c r="D367" s="18"/>
      <c r="E367" s="18"/>
    </row>
    <row r="368" spans="1:5" s="29" customFormat="1" ht="16.2" hidden="1" customHeight="1" thickBot="1" x14ac:dyDescent="0.35">
      <c r="A368" s="126"/>
      <c r="B368" s="127"/>
      <c r="C368" s="18"/>
      <c r="D368" s="18"/>
      <c r="E368" s="18"/>
    </row>
    <row r="369" spans="1:5" s="29" customFormat="1" ht="16.2" hidden="1" customHeight="1" thickBot="1" x14ac:dyDescent="0.35">
      <c r="A369" s="128"/>
      <c r="B369" s="129"/>
      <c r="C369" s="19"/>
      <c r="D369" s="19"/>
      <c r="E369" s="19"/>
    </row>
    <row r="370" spans="1:5" s="29" customFormat="1" ht="16.2" hidden="1" customHeight="1" thickBot="1" x14ac:dyDescent="0.35">
      <c r="A370" s="124" t="s">
        <v>73</v>
      </c>
      <c r="B370" s="125" t="s">
        <v>253</v>
      </c>
      <c r="C370" s="17"/>
      <c r="D370" s="17"/>
      <c r="E370" s="17"/>
    </row>
    <row r="371" spans="1:5" s="29" customFormat="1" ht="16.2" hidden="1" customHeight="1" thickBot="1" x14ac:dyDescent="0.35">
      <c r="A371" s="126"/>
      <c r="B371" s="127"/>
      <c r="C371" s="18"/>
      <c r="D371" s="18"/>
      <c r="E371" s="18"/>
    </row>
    <row r="372" spans="1:5" s="29" customFormat="1" ht="16.2" hidden="1" customHeight="1" thickBot="1" x14ac:dyDescent="0.35">
      <c r="A372" s="126"/>
      <c r="B372" s="127"/>
      <c r="C372" s="18"/>
      <c r="D372" s="18"/>
      <c r="E372" s="18"/>
    </row>
    <row r="373" spans="1:5" s="29" customFormat="1" ht="16.2" hidden="1" customHeight="1" thickBot="1" x14ac:dyDescent="0.35">
      <c r="A373" s="126"/>
      <c r="B373" s="127"/>
      <c r="C373" s="18"/>
      <c r="D373" s="18"/>
      <c r="E373" s="18"/>
    </row>
    <row r="374" spans="1:5" s="29" customFormat="1" ht="16.2" hidden="1" customHeight="1" thickBot="1" x14ac:dyDescent="0.35">
      <c r="A374" s="128"/>
      <c r="B374" s="129"/>
      <c r="C374" s="19"/>
      <c r="D374" s="19"/>
      <c r="E374" s="19"/>
    </row>
    <row r="375" spans="1:5" s="29" customFormat="1" ht="16.2" hidden="1" customHeight="1" thickBot="1" x14ac:dyDescent="0.35">
      <c r="A375" s="124" t="s">
        <v>74</v>
      </c>
      <c r="B375" s="125" t="s">
        <v>215</v>
      </c>
      <c r="C375" s="17"/>
      <c r="D375" s="17"/>
      <c r="E375" s="17"/>
    </row>
    <row r="376" spans="1:5" s="29" customFormat="1" ht="16.2" hidden="1" customHeight="1" thickBot="1" x14ac:dyDescent="0.35">
      <c r="A376" s="126"/>
      <c r="B376" s="127"/>
      <c r="C376" s="18"/>
      <c r="D376" s="18"/>
      <c r="E376" s="18"/>
    </row>
    <row r="377" spans="1:5" s="29" customFormat="1" ht="16.2" hidden="1" customHeight="1" thickBot="1" x14ac:dyDescent="0.35">
      <c r="A377" s="126"/>
      <c r="B377" s="127"/>
      <c r="C377" s="18"/>
      <c r="D377" s="18"/>
      <c r="E377" s="18"/>
    </row>
    <row r="378" spans="1:5" s="29" customFormat="1" ht="16.2" hidden="1" customHeight="1" thickBot="1" x14ac:dyDescent="0.35">
      <c r="A378" s="126"/>
      <c r="B378" s="127"/>
      <c r="C378" s="18"/>
      <c r="D378" s="18"/>
      <c r="E378" s="18"/>
    </row>
    <row r="379" spans="1:5" s="29" customFormat="1" ht="16.2" hidden="1" customHeight="1" thickBot="1" x14ac:dyDescent="0.35">
      <c r="A379" s="128"/>
      <c r="B379" s="129"/>
      <c r="C379" s="19"/>
      <c r="D379" s="19"/>
      <c r="E379" s="19"/>
    </row>
    <row r="380" spans="1:5" s="29" customFormat="1" ht="16.2" hidden="1" customHeight="1" thickBot="1" x14ac:dyDescent="0.35">
      <c r="A380" s="124" t="s">
        <v>75</v>
      </c>
      <c r="B380" s="125" t="s">
        <v>255</v>
      </c>
      <c r="C380" s="17"/>
      <c r="D380" s="17"/>
      <c r="E380" s="17"/>
    </row>
    <row r="381" spans="1:5" s="29" customFormat="1" ht="16.2" hidden="1" customHeight="1" thickBot="1" x14ac:dyDescent="0.35">
      <c r="A381" s="126"/>
      <c r="B381" s="127"/>
      <c r="C381" s="18"/>
      <c r="D381" s="18"/>
      <c r="E381" s="18"/>
    </row>
    <row r="382" spans="1:5" s="29" customFormat="1" ht="16.2" hidden="1" customHeight="1" thickBot="1" x14ac:dyDescent="0.35">
      <c r="A382" s="126"/>
      <c r="B382" s="127"/>
      <c r="C382" s="18"/>
      <c r="D382" s="18"/>
      <c r="E382" s="18"/>
    </row>
    <row r="383" spans="1:5" s="29" customFormat="1" ht="16.2" hidden="1" customHeight="1" thickBot="1" x14ac:dyDescent="0.35">
      <c r="A383" s="126"/>
      <c r="B383" s="127"/>
      <c r="C383" s="18"/>
      <c r="D383" s="18"/>
      <c r="E383" s="18"/>
    </row>
    <row r="384" spans="1:5" s="29" customFormat="1" ht="16.2" hidden="1" customHeight="1" thickBot="1" x14ac:dyDescent="0.35">
      <c r="A384" s="128"/>
      <c r="B384" s="129"/>
      <c r="C384" s="19"/>
      <c r="D384" s="19"/>
      <c r="E384" s="19"/>
    </row>
    <row r="385" spans="1:5" s="29" customFormat="1" ht="25.8" hidden="1" customHeight="1" x14ac:dyDescent="0.35">
      <c r="A385" s="130" t="s">
        <v>76</v>
      </c>
      <c r="B385" s="131" t="s">
        <v>218</v>
      </c>
      <c r="C385" s="142">
        <v>41.8</v>
      </c>
      <c r="D385" s="17"/>
      <c r="E385" s="17"/>
    </row>
    <row r="386" spans="1:5" s="29" customFormat="1" ht="15.6" hidden="1" customHeight="1" x14ac:dyDescent="0.35">
      <c r="A386" s="126"/>
      <c r="B386" s="127"/>
      <c r="C386" s="143"/>
      <c r="D386" s="18"/>
      <c r="E386" s="18"/>
    </row>
    <row r="387" spans="1:5" s="29" customFormat="1" ht="15.6" hidden="1" customHeight="1" x14ac:dyDescent="0.35">
      <c r="A387" s="126"/>
      <c r="B387" s="127"/>
      <c r="C387" s="143"/>
      <c r="D387" s="18"/>
      <c r="E387" s="18"/>
    </row>
    <row r="388" spans="1:5" s="29" customFormat="1" ht="15.6" hidden="1" customHeight="1" x14ac:dyDescent="0.35">
      <c r="A388" s="126"/>
      <c r="B388" s="127"/>
      <c r="C388" s="143"/>
      <c r="D388" s="18"/>
      <c r="E388" s="18"/>
    </row>
    <row r="389" spans="1:5" s="29" customFormat="1" ht="31.8" hidden="1" customHeight="1" thickBot="1" x14ac:dyDescent="0.35">
      <c r="A389" s="128"/>
      <c r="B389" s="129"/>
      <c r="C389" s="144"/>
      <c r="D389" s="19"/>
      <c r="E389" s="19"/>
    </row>
    <row r="390" spans="1:5" s="29" customFormat="1" ht="54.6" hidden="1" customHeight="1" thickBot="1" x14ac:dyDescent="0.35">
      <c r="A390" s="130" t="s">
        <v>77</v>
      </c>
      <c r="B390" s="131" t="s">
        <v>218</v>
      </c>
      <c r="C390" s="35">
        <v>60.8</v>
      </c>
      <c r="D390" s="17"/>
      <c r="E390" s="17"/>
    </row>
    <row r="391" spans="1:5" s="29" customFormat="1" ht="16.2" hidden="1" customHeight="1" thickBot="1" x14ac:dyDescent="0.35">
      <c r="A391" s="126"/>
      <c r="B391" s="127"/>
      <c r="C391" s="18"/>
      <c r="D391" s="18"/>
      <c r="E391" s="18"/>
    </row>
    <row r="392" spans="1:5" s="29" customFormat="1" ht="16.2" hidden="1" customHeight="1" thickBot="1" x14ac:dyDescent="0.35">
      <c r="A392" s="126"/>
      <c r="B392" s="127"/>
      <c r="C392" s="18"/>
      <c r="D392" s="18"/>
      <c r="E392" s="18"/>
    </row>
    <row r="393" spans="1:5" s="29" customFormat="1" ht="16.2" hidden="1" customHeight="1" thickBot="1" x14ac:dyDescent="0.35">
      <c r="A393" s="126"/>
      <c r="B393" s="127"/>
      <c r="C393" s="18"/>
      <c r="D393" s="18"/>
      <c r="E393" s="18"/>
    </row>
    <row r="394" spans="1:5" s="29" customFormat="1" ht="16.2" hidden="1" customHeight="1" thickBot="1" x14ac:dyDescent="0.35">
      <c r="A394" s="128"/>
      <c r="B394" s="129"/>
      <c r="C394" s="19"/>
      <c r="D394" s="19"/>
      <c r="E394" s="19"/>
    </row>
    <row r="395" spans="1:5" s="29" customFormat="1" ht="16.2" hidden="1" customHeight="1" thickBot="1" x14ac:dyDescent="0.35">
      <c r="A395" s="124" t="s">
        <v>78</v>
      </c>
      <c r="B395" s="125" t="s">
        <v>256</v>
      </c>
      <c r="C395" s="17"/>
      <c r="D395" s="17"/>
      <c r="E395" s="17"/>
    </row>
    <row r="396" spans="1:5" s="29" customFormat="1" ht="16.2" hidden="1" customHeight="1" thickBot="1" x14ac:dyDescent="0.35">
      <c r="A396" s="126"/>
      <c r="B396" s="127"/>
      <c r="C396" s="18"/>
      <c r="D396" s="18"/>
      <c r="E396" s="18"/>
    </row>
    <row r="397" spans="1:5" s="29" customFormat="1" ht="16.2" hidden="1" customHeight="1" thickBot="1" x14ac:dyDescent="0.35">
      <c r="A397" s="126"/>
      <c r="B397" s="127"/>
      <c r="C397" s="18"/>
      <c r="D397" s="18"/>
      <c r="E397" s="18"/>
    </row>
    <row r="398" spans="1:5" s="29" customFormat="1" ht="16.2" hidden="1" customHeight="1" thickBot="1" x14ac:dyDescent="0.35">
      <c r="A398" s="126"/>
      <c r="B398" s="127"/>
      <c r="C398" s="18"/>
      <c r="D398" s="18"/>
      <c r="E398" s="18"/>
    </row>
    <row r="399" spans="1:5" s="29" customFormat="1" ht="16.2" hidden="1" customHeight="1" thickBot="1" x14ac:dyDescent="0.35">
      <c r="A399" s="128"/>
      <c r="B399" s="129"/>
      <c r="C399" s="19"/>
      <c r="D399" s="19"/>
      <c r="E399" s="19"/>
    </row>
    <row r="400" spans="1:5" s="29" customFormat="1" ht="16.2" hidden="1" customHeight="1" thickBot="1" x14ac:dyDescent="0.35">
      <c r="A400" s="124" t="s">
        <v>79</v>
      </c>
      <c r="B400" s="125" t="s">
        <v>257</v>
      </c>
      <c r="C400" s="17"/>
      <c r="D400" s="17"/>
      <c r="E400" s="17"/>
    </row>
    <row r="401" spans="1:5" s="29" customFormat="1" ht="16.2" hidden="1" customHeight="1" thickBot="1" x14ac:dyDescent="0.35">
      <c r="A401" s="126"/>
      <c r="B401" s="127"/>
      <c r="C401" s="18"/>
      <c r="D401" s="18"/>
      <c r="E401" s="18"/>
    </row>
    <row r="402" spans="1:5" s="29" customFormat="1" ht="16.2" hidden="1" customHeight="1" thickBot="1" x14ac:dyDescent="0.35">
      <c r="A402" s="126"/>
      <c r="B402" s="127"/>
      <c r="C402" s="18"/>
      <c r="D402" s="18"/>
      <c r="E402" s="18"/>
    </row>
    <row r="403" spans="1:5" s="29" customFormat="1" ht="16.2" hidden="1" customHeight="1" thickBot="1" x14ac:dyDescent="0.35">
      <c r="A403" s="126"/>
      <c r="B403" s="127"/>
      <c r="C403" s="18"/>
      <c r="D403" s="18"/>
      <c r="E403" s="18"/>
    </row>
    <row r="404" spans="1:5" s="29" customFormat="1" ht="16.2" hidden="1" customHeight="1" thickBot="1" x14ac:dyDescent="0.35">
      <c r="A404" s="128"/>
      <c r="B404" s="129"/>
      <c r="C404" s="19"/>
      <c r="D404" s="19"/>
      <c r="E404" s="19"/>
    </row>
    <row r="405" spans="1:5" s="29" customFormat="1" ht="16.2" hidden="1" customHeight="1" thickBot="1" x14ac:dyDescent="0.35">
      <c r="A405" s="124" t="s">
        <v>80</v>
      </c>
      <c r="B405" s="125" t="s">
        <v>226</v>
      </c>
      <c r="C405" s="17">
        <f>0.4*3.9</f>
        <v>1.56</v>
      </c>
      <c r="D405" s="17"/>
      <c r="E405" s="17"/>
    </row>
    <row r="406" spans="1:5" s="29" customFormat="1" ht="16.2" hidden="1" customHeight="1" thickBot="1" x14ac:dyDescent="0.35">
      <c r="A406" s="126"/>
      <c r="B406" s="127"/>
      <c r="C406" s="18">
        <f>C405</f>
        <v>1.56</v>
      </c>
      <c r="D406" s="18"/>
      <c r="E406" s="18"/>
    </row>
    <row r="407" spans="1:5" s="29" customFormat="1" ht="16.2" hidden="1" customHeight="1" thickBot="1" x14ac:dyDescent="0.35">
      <c r="A407" s="126"/>
      <c r="B407" s="127"/>
      <c r="C407" s="18">
        <f>C405-C406</f>
        <v>0</v>
      </c>
      <c r="D407" s="18"/>
      <c r="E407" s="18"/>
    </row>
    <row r="408" spans="1:5" s="29" customFormat="1" ht="16.2" hidden="1" customHeight="1" thickBot="1" x14ac:dyDescent="0.35">
      <c r="A408" s="126"/>
      <c r="B408" s="127"/>
      <c r="C408" s="18"/>
      <c r="D408" s="18"/>
      <c r="E408" s="18"/>
    </row>
    <row r="409" spans="1:5" s="29" customFormat="1" ht="16.2" hidden="1" customHeight="1" thickBot="1" x14ac:dyDescent="0.35">
      <c r="A409" s="128"/>
      <c r="B409" s="129"/>
      <c r="C409" s="19"/>
      <c r="D409" s="19"/>
      <c r="E409" s="19"/>
    </row>
    <row r="410" spans="1:5" s="29" customFormat="1" ht="60" hidden="1" customHeight="1" thickBot="1" x14ac:dyDescent="0.35">
      <c r="A410" s="141" t="s">
        <v>81</v>
      </c>
      <c r="B410" s="140" t="s">
        <v>218</v>
      </c>
      <c r="C410" s="42">
        <v>24.3</v>
      </c>
      <c r="D410" s="17"/>
      <c r="E410" s="17"/>
    </row>
    <row r="411" spans="1:5" s="29" customFormat="1" ht="16.2" hidden="1" customHeight="1" thickBot="1" x14ac:dyDescent="0.35">
      <c r="A411" s="126"/>
      <c r="B411" s="127"/>
      <c r="C411" s="18"/>
      <c r="D411" s="18"/>
      <c r="E411" s="18">
        <f>E410</f>
        <v>0</v>
      </c>
    </row>
    <row r="412" spans="1:5" s="29" customFormat="1" ht="16.2" hidden="1" customHeight="1" thickBot="1" x14ac:dyDescent="0.35">
      <c r="A412" s="126"/>
      <c r="B412" s="127"/>
      <c r="C412" s="18"/>
      <c r="D412" s="18"/>
      <c r="E412" s="18">
        <f>E410-E411</f>
        <v>0</v>
      </c>
    </row>
    <row r="413" spans="1:5" s="29" customFormat="1" ht="16.2" hidden="1" customHeight="1" thickBot="1" x14ac:dyDescent="0.35">
      <c r="A413" s="126"/>
      <c r="B413" s="127"/>
      <c r="C413" s="18"/>
      <c r="D413" s="18"/>
      <c r="E413" s="18"/>
    </row>
    <row r="414" spans="1:5" s="29" customFormat="1" ht="16.2" hidden="1" customHeight="1" thickBot="1" x14ac:dyDescent="0.35">
      <c r="A414" s="126"/>
      <c r="B414" s="129"/>
      <c r="C414" s="20"/>
      <c r="D414" s="20"/>
      <c r="E414" s="20"/>
    </row>
    <row r="415" spans="1:5" s="2" customFormat="1" ht="15" hidden="1" customHeight="1" thickBot="1" x14ac:dyDescent="0.35">
      <c r="A415" s="145" t="s">
        <v>191</v>
      </c>
      <c r="B415" s="21"/>
      <c r="C415" s="11">
        <f>C410+C405+C400+C395+C390+C385+C380+C375+C370+C365+C360+C355+C350+C345+C340+C335+C330+C325+C320+C315+C310+C305+C300+C295+C290+C285+C280+C275+C270+C265+C260+C255+C250+C245+C240+C235+C230+C225+C220+C215+C210+C205+C200+C195+C190+C185+C180+C175+C170+C165+C160+C155+C150+C145+C140+C135+C130+C125+C120+C115+C110+C105+C100+C95+C90+C85+C80+C75+C70+C65+C60+C55+C50+C45+C44+C35+C30+C25+C20+C15+C10+C5</f>
        <v>745.03999999999985</v>
      </c>
      <c r="D415" s="11">
        <f t="shared" ref="D415:E419" si="3">D410+D405+D400+D395+D390+D385+D380+D375+D370+D365+D360+D355+D350+D345+D340+D335+D330+D325+D320+D315+D310+D305+D300+D295+D290+D285+D280+D275+D270+D265+D260+D255+D250+D245+D240+D235+D230+D225+D220+D215+D210+D205+D200+D195+D190+D185+D180+D175+D170+D165+D160+D155+D150+D145+D140+D135+D130+D125+D120+D115+D110+D105+D100+D95+D90+D85+D80+D75+D70+D65+D60+D55+D50+D45+D40+D35+D30+D25+D20+D15+D10+D5</f>
        <v>33.450000000000003</v>
      </c>
      <c r="E415" s="11">
        <f t="shared" si="3"/>
        <v>103.926</v>
      </c>
    </row>
    <row r="416" spans="1:5" s="2" customFormat="1" ht="15" hidden="1" customHeight="1" thickBot="1" x14ac:dyDescent="0.35">
      <c r="A416" s="146"/>
      <c r="B416" s="22"/>
      <c r="C416" s="10">
        <f>C411+C406+C401+C396+C391+C386+C381+C376+C371+C366+C361+C356+C351+C346+C341+C336+C331+C326+C321+C316+C311+C306+C301+C296+C291+C286+C281+C276+C271+C266+C261+C256+C251+C246+C241+C236+C231+C226+C221+C216+C211+C206+C201+C196+C191+C186+C181+C176+C171+C166+C161+C156+C151+C146+C141+C136+C131+C126+C121+C116+C111+C106+C101+C96+C91+C86+C81+C76+C71+C66+C61+C56+C51+C46+C40+C36+C31+C26+C21+C16+C11+C6</f>
        <v>164.41</v>
      </c>
      <c r="D416" s="10">
        <f t="shared" si="3"/>
        <v>0</v>
      </c>
      <c r="E416" s="10">
        <f t="shared" si="3"/>
        <v>4.68</v>
      </c>
    </row>
    <row r="417" spans="1:5" s="2" customFormat="1" ht="15" hidden="1" customHeight="1" thickBot="1" x14ac:dyDescent="0.35">
      <c r="A417" s="146"/>
      <c r="B417" s="22"/>
      <c r="C417" s="10">
        <f>C412+C407+C402+C397+C392+C387+C382+C377+C372+C367+C362+C357+C352+C347+C342+C337+C332+C327+C322+C317+C312+C307+C302+C297+C292+C287+C282+C277+C272+C267+C262+C257+C252+C247+C242+C237+C232+C227+C222+C217+C212+C207+C202+C197+C192+C187+C182+C177+C172+C167+C162+C157+C152+C147+C142+C137+C132+C127+C122+C117+C112+C107+C102+C97+C92+C87+C82+C77+C72+C67+C62+C57+C52+C47+C42+C37+C32+C27+C22+C17+C12+C7</f>
        <v>106.03</v>
      </c>
      <c r="D417" s="10">
        <f t="shared" si="3"/>
        <v>0</v>
      </c>
      <c r="E417" s="10">
        <f t="shared" si="3"/>
        <v>27.52</v>
      </c>
    </row>
    <row r="418" spans="1:5" s="2" customFormat="1" ht="15" hidden="1" customHeight="1" thickBot="1" x14ac:dyDescent="0.35">
      <c r="A418" s="146"/>
      <c r="B418" s="22"/>
      <c r="C418" s="10">
        <f>C413+C408+C403+C398+C393+C388+C383+C378+C373+C368+C363+C358+C353+C348+C343+C338+C333+C328+C323+C318+C313+C308+C303+C298+C293+C288+C283+C278+C273+C268+C263+C258+C253+C248+C243+C238+C233+C228+C223+C218+C213+C208+C203+C198+C193+C188+C183+C178+C173+C168+C163+C158+C153+C148+C143+C138+C133+C128+C123+C118+C113+C108+C103+C98+C93+C88+C83+C78+C73+C68+C63+C58+C53+C48+C43+C38+C33+C28+C23+C18+C13+C8</f>
        <v>0</v>
      </c>
      <c r="D418" s="10">
        <f t="shared" si="3"/>
        <v>0</v>
      </c>
      <c r="E418" s="10">
        <f t="shared" si="3"/>
        <v>0</v>
      </c>
    </row>
    <row r="419" spans="1:5" s="2" customFormat="1" ht="15" hidden="1" customHeight="1" thickBot="1" x14ac:dyDescent="0.35">
      <c r="A419" s="147"/>
      <c r="B419" s="23"/>
      <c r="C419" s="12" t="e">
        <f>C414+C409+C404+C399+C394+C389+C384+C379+C374+C369+C364+C359+C354+C349+C344+C339+C334+C329+C324+C319+C314+C309+C304+C299+C294+C289+C284+C279+C274+C269+C264+C259+C254+C249+C244+C239+C234+C229+C224+C219+C214+C209+C204+C199+C194+C189+C184+C179+C174+C169+C164+C159+C154+C149+C144+C139+C134+C129+C124+C119+C114+C109+C104+C99+C94+C89+C84+C79+C74+C69+C64+C59+C54+C49+#REF!+C39+C34+C29+C24+C19+C14+C9</f>
        <v>#REF!</v>
      </c>
      <c r="D419" s="12">
        <f t="shared" si="3"/>
        <v>0</v>
      </c>
      <c r="E419" s="12">
        <f t="shared" si="3"/>
        <v>0</v>
      </c>
    </row>
    <row r="420" spans="1:5" ht="15" hidden="1" customHeight="1" thickBot="1" x14ac:dyDescent="0.35">
      <c r="A420" s="148" t="s">
        <v>83</v>
      </c>
      <c r="B420" s="149"/>
      <c r="C420" s="7"/>
      <c r="D420" s="7"/>
      <c r="E420" s="7"/>
    </row>
    <row r="421" spans="1:5" s="29" customFormat="1" ht="60" customHeight="1" thickBot="1" x14ac:dyDescent="0.35">
      <c r="A421" s="130" t="s">
        <v>84</v>
      </c>
      <c r="B421" s="131" t="s">
        <v>258</v>
      </c>
      <c r="C421" s="64">
        <v>10</v>
      </c>
      <c r="D421" s="35">
        <v>9.18</v>
      </c>
      <c r="E421" s="35">
        <v>21.18</v>
      </c>
    </row>
    <row r="422" spans="1:5" s="29" customFormat="1" ht="16.2" hidden="1" customHeight="1" thickBot="1" x14ac:dyDescent="0.35">
      <c r="A422" s="126"/>
      <c r="B422" s="132"/>
      <c r="C422" s="30">
        <f>C421</f>
        <v>10</v>
      </c>
      <c r="D422" s="18">
        <v>0</v>
      </c>
      <c r="E422" s="18"/>
    </row>
    <row r="423" spans="1:5" s="29" customFormat="1" ht="16.2" hidden="1" customHeight="1" thickBot="1" x14ac:dyDescent="0.35">
      <c r="A423" s="126"/>
      <c r="B423" s="132"/>
      <c r="C423" s="18">
        <f>C421-C422</f>
        <v>0</v>
      </c>
      <c r="D423" s="18">
        <f>D421-D422</f>
        <v>9.18</v>
      </c>
      <c r="E423" s="18"/>
    </row>
    <row r="424" spans="1:5" s="29" customFormat="1" ht="16.2" hidden="1" customHeight="1" thickBot="1" x14ac:dyDescent="0.35">
      <c r="A424" s="126"/>
      <c r="B424" s="132"/>
      <c r="C424" s="18"/>
      <c r="D424" s="18"/>
      <c r="E424" s="18"/>
    </row>
    <row r="425" spans="1:5" s="29" customFormat="1" ht="16.2" hidden="1" customHeight="1" thickBot="1" x14ac:dyDescent="0.35">
      <c r="A425" s="128"/>
      <c r="B425" s="133"/>
      <c r="C425" s="20"/>
      <c r="D425" s="19"/>
      <c r="E425" s="19"/>
    </row>
    <row r="426" spans="1:5" s="29" customFormat="1" ht="60" customHeight="1" thickBot="1" x14ac:dyDescent="0.35">
      <c r="A426" s="130" t="s">
        <v>85</v>
      </c>
      <c r="B426" s="131" t="s">
        <v>259</v>
      </c>
      <c r="C426" s="64">
        <v>16</v>
      </c>
      <c r="D426" s="35">
        <v>21.74</v>
      </c>
      <c r="E426" s="35">
        <v>39.82</v>
      </c>
    </row>
    <row r="427" spans="1:5" s="29" customFormat="1" ht="16.2" hidden="1" customHeight="1" thickBot="1" x14ac:dyDescent="0.35">
      <c r="A427" s="126"/>
      <c r="B427" s="132"/>
      <c r="C427" s="30">
        <f>C426</f>
        <v>16</v>
      </c>
      <c r="D427" s="18">
        <v>0</v>
      </c>
      <c r="E427" s="18"/>
    </row>
    <row r="428" spans="1:5" s="29" customFormat="1" ht="16.2" hidden="1" customHeight="1" thickBot="1" x14ac:dyDescent="0.35">
      <c r="A428" s="126"/>
      <c r="B428" s="132"/>
      <c r="C428" s="18">
        <f>C426-C427</f>
        <v>0</v>
      </c>
      <c r="D428" s="18">
        <f>D426-D427</f>
        <v>21.74</v>
      </c>
      <c r="E428" s="18"/>
    </row>
    <row r="429" spans="1:5" s="29" customFormat="1" ht="16.2" hidden="1" customHeight="1" thickBot="1" x14ac:dyDescent="0.35">
      <c r="A429" s="126"/>
      <c r="B429" s="132"/>
      <c r="C429" s="18"/>
      <c r="D429" s="18"/>
      <c r="E429" s="18"/>
    </row>
    <row r="430" spans="1:5" s="29" customFormat="1" ht="16.2" hidden="1" customHeight="1" thickBot="1" x14ac:dyDescent="0.35">
      <c r="A430" s="128"/>
      <c r="B430" s="133"/>
      <c r="C430" s="20"/>
      <c r="D430" s="19"/>
      <c r="E430" s="19"/>
    </row>
    <row r="431" spans="1:5" s="29" customFormat="1" ht="60" customHeight="1" thickBot="1" x14ac:dyDescent="0.35">
      <c r="A431" s="130" t="s">
        <v>86</v>
      </c>
      <c r="B431" s="131" t="s">
        <v>260</v>
      </c>
      <c r="C431" s="134">
        <v>20</v>
      </c>
      <c r="D431" s="17">
        <f>0.4*3.9</f>
        <v>1.56</v>
      </c>
      <c r="E431" s="17"/>
    </row>
    <row r="432" spans="1:5" s="29" customFormat="1" ht="15.6" hidden="1" customHeight="1" x14ac:dyDescent="0.35">
      <c r="A432" s="126"/>
      <c r="B432" s="132"/>
      <c r="C432" s="136"/>
      <c r="D432" s="18">
        <v>0</v>
      </c>
      <c r="E432" s="18"/>
    </row>
    <row r="433" spans="1:5" s="29" customFormat="1" ht="15.6" hidden="1" customHeight="1" x14ac:dyDescent="0.35">
      <c r="A433" s="126"/>
      <c r="B433" s="132"/>
      <c r="C433" s="136"/>
      <c r="D433" s="18">
        <f>D431-D432</f>
        <v>1.56</v>
      </c>
      <c r="E433" s="18"/>
    </row>
    <row r="434" spans="1:5" s="29" customFormat="1" ht="15.6" hidden="1" customHeight="1" x14ac:dyDescent="0.35">
      <c r="A434" s="126"/>
      <c r="B434" s="132"/>
      <c r="C434" s="136"/>
      <c r="D434" s="18"/>
      <c r="E434" s="18"/>
    </row>
    <row r="435" spans="1:5" s="29" customFormat="1" ht="54.6" hidden="1" customHeight="1" thickBot="1" x14ac:dyDescent="0.35">
      <c r="A435" s="128"/>
      <c r="B435" s="133"/>
      <c r="C435" s="139"/>
      <c r="D435" s="19"/>
      <c r="E435" s="19"/>
    </row>
    <row r="436" spans="1:5" s="29" customFormat="1" ht="60" customHeight="1" thickBot="1" x14ac:dyDescent="0.35">
      <c r="A436" s="130" t="s">
        <v>87</v>
      </c>
      <c r="B436" s="131" t="s">
        <v>258</v>
      </c>
      <c r="C436" s="64">
        <v>9</v>
      </c>
      <c r="D436" s="35">
        <v>8.02</v>
      </c>
      <c r="E436" s="35">
        <v>24.84</v>
      </c>
    </row>
    <row r="437" spans="1:5" s="29" customFormat="1" ht="16.2" hidden="1" customHeight="1" thickBot="1" x14ac:dyDescent="0.35">
      <c r="A437" s="126"/>
      <c r="B437" s="132"/>
      <c r="C437" s="30">
        <f>C436</f>
        <v>9</v>
      </c>
      <c r="D437" s="18">
        <v>0</v>
      </c>
      <c r="E437" s="18"/>
    </row>
    <row r="438" spans="1:5" s="29" customFormat="1" ht="16.2" hidden="1" customHeight="1" thickBot="1" x14ac:dyDescent="0.35">
      <c r="A438" s="126"/>
      <c r="B438" s="132"/>
      <c r="C438" s="18">
        <f>C436-C437</f>
        <v>0</v>
      </c>
      <c r="D438" s="18">
        <f>D436-D437</f>
        <v>8.02</v>
      </c>
      <c r="E438" s="18"/>
    </row>
    <row r="439" spans="1:5" s="29" customFormat="1" ht="16.2" hidden="1" customHeight="1" thickBot="1" x14ac:dyDescent="0.35">
      <c r="A439" s="126"/>
      <c r="B439" s="132"/>
      <c r="C439" s="18"/>
      <c r="D439" s="18"/>
      <c r="E439" s="18"/>
    </row>
    <row r="440" spans="1:5" s="29" customFormat="1" ht="16.2" hidden="1" customHeight="1" thickBot="1" x14ac:dyDescent="0.35">
      <c r="A440" s="128"/>
      <c r="B440" s="133"/>
      <c r="C440" s="20"/>
      <c r="D440" s="19"/>
      <c r="E440" s="19"/>
    </row>
    <row r="441" spans="1:5" s="29" customFormat="1" ht="60" customHeight="1" thickBot="1" x14ac:dyDescent="0.35">
      <c r="A441" s="130" t="s">
        <v>88</v>
      </c>
      <c r="B441" s="131" t="s">
        <v>261</v>
      </c>
      <c r="C441" s="64">
        <v>10</v>
      </c>
      <c r="D441" s="35">
        <v>17.16</v>
      </c>
      <c r="E441" s="35">
        <v>23.21</v>
      </c>
    </row>
    <row r="442" spans="1:5" s="29" customFormat="1" ht="16.2" hidden="1" customHeight="1" thickBot="1" x14ac:dyDescent="0.35">
      <c r="A442" s="126"/>
      <c r="B442" s="132"/>
      <c r="C442" s="30">
        <f>C441</f>
        <v>10</v>
      </c>
      <c r="D442" s="18">
        <v>0</v>
      </c>
      <c r="E442" s="18"/>
    </row>
    <row r="443" spans="1:5" s="29" customFormat="1" ht="16.2" hidden="1" customHeight="1" thickBot="1" x14ac:dyDescent="0.35">
      <c r="A443" s="126"/>
      <c r="B443" s="132"/>
      <c r="C443" s="18">
        <f>C441-C442</f>
        <v>0</v>
      </c>
      <c r="D443" s="18">
        <f>D441-D442</f>
        <v>17.16</v>
      </c>
      <c r="E443" s="18"/>
    </row>
    <row r="444" spans="1:5" s="29" customFormat="1" ht="46.2" hidden="1" customHeight="1" thickBot="1" x14ac:dyDescent="0.35">
      <c r="A444" s="126"/>
      <c r="B444" s="132"/>
      <c r="C444" s="18"/>
      <c r="D444" s="18"/>
      <c r="E444" s="18"/>
    </row>
    <row r="445" spans="1:5" s="29" customFormat="1" ht="16.2" hidden="1" customHeight="1" thickBot="1" x14ac:dyDescent="0.35">
      <c r="A445" s="128"/>
      <c r="B445" s="133"/>
      <c r="C445" s="20"/>
      <c r="D445" s="19"/>
      <c r="E445" s="19"/>
    </row>
    <row r="446" spans="1:5" s="29" customFormat="1" ht="60" customHeight="1" thickBot="1" x14ac:dyDescent="0.35">
      <c r="A446" s="130" t="s">
        <v>89</v>
      </c>
      <c r="B446" s="131" t="s">
        <v>261</v>
      </c>
      <c r="C446" s="64">
        <v>7</v>
      </c>
      <c r="D446" s="35">
        <v>23.94</v>
      </c>
      <c r="E446" s="35">
        <v>23.94</v>
      </c>
    </row>
    <row r="447" spans="1:5" s="29" customFormat="1" ht="16.2" hidden="1" customHeight="1" thickBot="1" x14ac:dyDescent="0.35">
      <c r="A447" s="126"/>
      <c r="B447" s="132"/>
      <c r="C447" s="30">
        <f>C446</f>
        <v>7</v>
      </c>
      <c r="D447" s="18">
        <v>0</v>
      </c>
      <c r="E447" s="18"/>
    </row>
    <row r="448" spans="1:5" s="29" customFormat="1" ht="16.2" hidden="1" customHeight="1" thickBot="1" x14ac:dyDescent="0.35">
      <c r="A448" s="126"/>
      <c r="B448" s="132"/>
      <c r="C448" s="18">
        <f>C446-C447</f>
        <v>0</v>
      </c>
      <c r="D448" s="18">
        <f>D446-D447</f>
        <v>23.94</v>
      </c>
      <c r="E448" s="18"/>
    </row>
    <row r="449" spans="1:5" s="29" customFormat="1" ht="16.2" hidden="1" customHeight="1" thickBot="1" x14ac:dyDescent="0.35">
      <c r="A449" s="126"/>
      <c r="B449" s="132"/>
      <c r="C449" s="18"/>
      <c r="D449" s="18"/>
      <c r="E449" s="18"/>
    </row>
    <row r="450" spans="1:5" s="29" customFormat="1" ht="16.2" hidden="1" customHeight="1" thickBot="1" x14ac:dyDescent="0.35">
      <c r="A450" s="128"/>
      <c r="B450" s="133"/>
      <c r="C450" s="20"/>
      <c r="D450" s="19"/>
      <c r="E450" s="19"/>
    </row>
    <row r="451" spans="1:5" s="29" customFormat="1" ht="60" customHeight="1" thickBot="1" x14ac:dyDescent="0.35">
      <c r="A451" s="130" t="s">
        <v>90</v>
      </c>
      <c r="B451" s="131" t="s">
        <v>258</v>
      </c>
      <c r="C451" s="64">
        <v>7</v>
      </c>
      <c r="D451" s="35">
        <v>26.34</v>
      </c>
      <c r="E451" s="35">
        <v>26.34</v>
      </c>
    </row>
    <row r="452" spans="1:5" s="29" customFormat="1" ht="16.2" hidden="1" customHeight="1" thickBot="1" x14ac:dyDescent="0.35">
      <c r="A452" s="126"/>
      <c r="B452" s="132"/>
      <c r="C452" s="30">
        <f>C451</f>
        <v>7</v>
      </c>
      <c r="D452" s="18"/>
      <c r="E452" s="18"/>
    </row>
    <row r="453" spans="1:5" s="29" customFormat="1" ht="16.2" hidden="1" customHeight="1" thickBot="1" x14ac:dyDescent="0.35">
      <c r="A453" s="126"/>
      <c r="B453" s="132"/>
      <c r="C453" s="18">
        <f>C451-C452</f>
        <v>0</v>
      </c>
      <c r="D453" s="18"/>
      <c r="E453" s="18"/>
    </row>
    <row r="454" spans="1:5" s="29" customFormat="1" ht="16.2" hidden="1" customHeight="1" thickBot="1" x14ac:dyDescent="0.35">
      <c r="A454" s="126"/>
      <c r="B454" s="132"/>
      <c r="C454" s="18"/>
      <c r="D454" s="18"/>
      <c r="E454" s="18"/>
    </row>
    <row r="455" spans="1:5" s="29" customFormat="1" ht="16.2" hidden="1" customHeight="1" thickBot="1" x14ac:dyDescent="0.35">
      <c r="A455" s="128"/>
      <c r="B455" s="133"/>
      <c r="C455" s="20"/>
      <c r="D455" s="19"/>
      <c r="E455" s="19"/>
    </row>
    <row r="456" spans="1:5" s="29" customFormat="1" ht="60" customHeight="1" thickBot="1" x14ac:dyDescent="0.35">
      <c r="A456" s="130" t="s">
        <v>91</v>
      </c>
      <c r="B456" s="131" t="s">
        <v>262</v>
      </c>
      <c r="C456" s="64">
        <v>29</v>
      </c>
      <c r="D456" s="17"/>
      <c r="E456" s="17"/>
    </row>
    <row r="457" spans="1:5" s="29" customFormat="1" ht="16.2" hidden="1" customHeight="1" thickBot="1" x14ac:dyDescent="0.35">
      <c r="A457" s="126"/>
      <c r="B457" s="132"/>
      <c r="C457" s="30">
        <f>C456</f>
        <v>29</v>
      </c>
      <c r="D457" s="18"/>
      <c r="E457" s="18"/>
    </row>
    <row r="458" spans="1:5" s="29" customFormat="1" ht="16.2" hidden="1" customHeight="1" thickBot="1" x14ac:dyDescent="0.35">
      <c r="A458" s="126"/>
      <c r="B458" s="132"/>
      <c r="C458" s="18">
        <f>C456-C457</f>
        <v>0</v>
      </c>
      <c r="D458" s="18"/>
      <c r="E458" s="18"/>
    </row>
    <row r="459" spans="1:5" s="29" customFormat="1" ht="16.2" hidden="1" customHeight="1" thickBot="1" x14ac:dyDescent="0.35">
      <c r="A459" s="126"/>
      <c r="B459" s="132"/>
      <c r="C459" s="18"/>
      <c r="D459" s="18"/>
      <c r="E459" s="18"/>
    </row>
    <row r="460" spans="1:5" s="29" customFormat="1" ht="16.2" hidden="1" customHeight="1" thickBot="1" x14ac:dyDescent="0.35">
      <c r="A460" s="128"/>
      <c r="B460" s="133"/>
      <c r="C460" s="20"/>
      <c r="D460" s="19"/>
      <c r="E460" s="19"/>
    </row>
    <row r="461" spans="1:5" s="29" customFormat="1" ht="60" customHeight="1" thickBot="1" x14ac:dyDescent="0.35">
      <c r="A461" s="130" t="s">
        <v>92</v>
      </c>
      <c r="B461" s="131" t="s">
        <v>215</v>
      </c>
      <c r="C461" s="64">
        <v>18</v>
      </c>
      <c r="D461" s="17"/>
      <c r="E461" s="17"/>
    </row>
    <row r="462" spans="1:5" s="29" customFormat="1" ht="16.2" hidden="1" customHeight="1" thickBot="1" x14ac:dyDescent="0.35">
      <c r="A462" s="126"/>
      <c r="B462" s="132"/>
      <c r="C462" s="30"/>
      <c r="D462" s="18"/>
      <c r="E462" s="18"/>
    </row>
    <row r="463" spans="1:5" s="29" customFormat="1" ht="16.2" hidden="1" customHeight="1" thickBot="1" x14ac:dyDescent="0.35">
      <c r="A463" s="126"/>
      <c r="B463" s="132"/>
      <c r="C463" s="18"/>
      <c r="D463" s="18"/>
      <c r="E463" s="18"/>
    </row>
    <row r="464" spans="1:5" s="29" customFormat="1" ht="16.2" hidden="1" customHeight="1" thickBot="1" x14ac:dyDescent="0.35">
      <c r="A464" s="126"/>
      <c r="B464" s="132"/>
      <c r="C464" s="18"/>
      <c r="D464" s="18"/>
      <c r="E464" s="18"/>
    </row>
    <row r="465" spans="1:5" s="29" customFormat="1" ht="16.2" hidden="1" customHeight="1" thickBot="1" x14ac:dyDescent="0.35">
      <c r="A465" s="128"/>
      <c r="B465" s="133"/>
      <c r="C465" s="20"/>
      <c r="D465" s="19"/>
      <c r="E465" s="19"/>
    </row>
    <row r="466" spans="1:5" s="29" customFormat="1" ht="60" customHeight="1" thickBot="1" x14ac:dyDescent="0.35">
      <c r="A466" s="130" t="s">
        <v>93</v>
      </c>
      <c r="B466" s="131" t="s">
        <v>263</v>
      </c>
      <c r="C466" s="64">
        <v>11</v>
      </c>
      <c r="D466" s="17"/>
      <c r="E466" s="17">
        <v>5</v>
      </c>
    </row>
    <row r="467" spans="1:5" s="29" customFormat="1" ht="16.2" hidden="1" customHeight="1" thickBot="1" x14ac:dyDescent="0.35">
      <c r="A467" s="126"/>
      <c r="B467" s="132"/>
      <c r="C467" s="30"/>
      <c r="D467" s="18"/>
      <c r="E467" s="18">
        <f>E466</f>
        <v>5</v>
      </c>
    </row>
    <row r="468" spans="1:5" s="29" customFormat="1" ht="16.2" hidden="1" customHeight="1" thickBot="1" x14ac:dyDescent="0.35">
      <c r="A468" s="126"/>
      <c r="B468" s="132"/>
      <c r="C468" s="18"/>
      <c r="D468" s="18"/>
      <c r="E468" s="18">
        <f>E466-E467</f>
        <v>0</v>
      </c>
    </row>
    <row r="469" spans="1:5" s="29" customFormat="1" ht="16.2" hidden="1" customHeight="1" thickBot="1" x14ac:dyDescent="0.35">
      <c r="A469" s="126"/>
      <c r="B469" s="132"/>
      <c r="C469" s="18"/>
      <c r="D469" s="18"/>
      <c r="E469" s="18"/>
    </row>
    <row r="470" spans="1:5" s="29" customFormat="1" ht="16.2" hidden="1" customHeight="1" thickBot="1" x14ac:dyDescent="0.35">
      <c r="A470" s="128"/>
      <c r="B470" s="133"/>
      <c r="C470" s="20"/>
      <c r="D470" s="19"/>
      <c r="E470" s="19"/>
    </row>
    <row r="471" spans="1:5" s="29" customFormat="1" ht="60" customHeight="1" thickBot="1" x14ac:dyDescent="0.35">
      <c r="A471" s="130" t="s">
        <v>94</v>
      </c>
      <c r="B471" s="131" t="s">
        <v>264</v>
      </c>
      <c r="C471" s="64">
        <v>5</v>
      </c>
      <c r="D471" s="17"/>
      <c r="E471" s="17">
        <v>2.0299999999999998</v>
      </c>
    </row>
    <row r="472" spans="1:5" s="29" customFormat="1" ht="16.2" hidden="1" customHeight="1" thickBot="1" x14ac:dyDescent="0.35">
      <c r="A472" s="126"/>
      <c r="B472" s="132"/>
      <c r="C472" s="30"/>
      <c r="D472" s="18"/>
      <c r="E472" s="18">
        <f>E471</f>
        <v>2.0299999999999998</v>
      </c>
    </row>
    <row r="473" spans="1:5" s="29" customFormat="1" ht="16.2" hidden="1" customHeight="1" thickBot="1" x14ac:dyDescent="0.35">
      <c r="A473" s="126"/>
      <c r="B473" s="132"/>
      <c r="C473" s="18"/>
      <c r="D473" s="18"/>
      <c r="E473" s="18">
        <f>E471-E472</f>
        <v>0</v>
      </c>
    </row>
    <row r="474" spans="1:5" s="29" customFormat="1" ht="16.2" hidden="1" customHeight="1" thickBot="1" x14ac:dyDescent="0.35">
      <c r="A474" s="126"/>
      <c r="B474" s="132"/>
      <c r="C474" s="18"/>
      <c r="D474" s="18"/>
      <c r="E474" s="18"/>
    </row>
    <row r="475" spans="1:5" s="29" customFormat="1" ht="16.2" hidden="1" customHeight="1" thickBot="1" x14ac:dyDescent="0.35">
      <c r="A475" s="128"/>
      <c r="B475" s="133"/>
      <c r="C475" s="20"/>
      <c r="D475" s="19"/>
      <c r="E475" s="19"/>
    </row>
    <row r="476" spans="1:5" s="29" customFormat="1" ht="60" customHeight="1" thickBot="1" x14ac:dyDescent="0.35">
      <c r="A476" s="130" t="s">
        <v>95</v>
      </c>
      <c r="B476" s="131" t="s">
        <v>265</v>
      </c>
      <c r="C476" s="64">
        <v>4</v>
      </c>
      <c r="D476" s="17"/>
      <c r="E476" s="17"/>
    </row>
    <row r="477" spans="1:5" s="29" customFormat="1" ht="16.2" hidden="1" customHeight="1" thickBot="1" x14ac:dyDescent="0.35">
      <c r="A477" s="126"/>
      <c r="B477" s="132"/>
      <c r="C477" s="30">
        <f>C476</f>
        <v>4</v>
      </c>
      <c r="D477" s="18"/>
      <c r="E477" s="18"/>
    </row>
    <row r="478" spans="1:5" s="29" customFormat="1" ht="16.2" hidden="1" customHeight="1" thickBot="1" x14ac:dyDescent="0.35">
      <c r="A478" s="126"/>
      <c r="B478" s="132"/>
      <c r="C478" s="18">
        <f>C476-C477</f>
        <v>0</v>
      </c>
      <c r="D478" s="18"/>
      <c r="E478" s="18"/>
    </row>
    <row r="479" spans="1:5" s="29" customFormat="1" ht="16.2" hidden="1" customHeight="1" thickBot="1" x14ac:dyDescent="0.35">
      <c r="A479" s="126"/>
      <c r="B479" s="132"/>
      <c r="C479" s="18"/>
      <c r="D479" s="18"/>
      <c r="E479" s="18"/>
    </row>
    <row r="480" spans="1:5" s="29" customFormat="1" ht="16.2" hidden="1" customHeight="1" thickBot="1" x14ac:dyDescent="0.35">
      <c r="A480" s="128"/>
      <c r="B480" s="133"/>
      <c r="C480" s="20"/>
      <c r="D480" s="19"/>
      <c r="E480" s="19"/>
    </row>
    <row r="481" spans="1:5" s="29" customFormat="1" ht="60" customHeight="1" thickBot="1" x14ac:dyDescent="0.35">
      <c r="A481" s="130" t="s">
        <v>96</v>
      </c>
      <c r="B481" s="140" t="s">
        <v>266</v>
      </c>
      <c r="C481" s="64">
        <v>18</v>
      </c>
      <c r="D481" s="17"/>
      <c r="E481" s="17"/>
    </row>
    <row r="482" spans="1:5" s="29" customFormat="1" ht="16.2" hidden="1" customHeight="1" thickBot="1" x14ac:dyDescent="0.35">
      <c r="A482" s="126"/>
      <c r="B482" s="132"/>
      <c r="C482" s="30"/>
      <c r="D482" s="18"/>
      <c r="E482" s="18"/>
    </row>
    <row r="483" spans="1:5" s="29" customFormat="1" ht="16.2" hidden="1" customHeight="1" thickBot="1" x14ac:dyDescent="0.35">
      <c r="A483" s="126"/>
      <c r="B483" s="132"/>
      <c r="C483" s="18"/>
      <c r="D483" s="18"/>
      <c r="E483" s="18"/>
    </row>
    <row r="484" spans="1:5" s="29" customFormat="1" ht="16.2" hidden="1" customHeight="1" thickBot="1" x14ac:dyDescent="0.35">
      <c r="A484" s="126"/>
      <c r="B484" s="132"/>
      <c r="C484" s="18"/>
      <c r="D484" s="18"/>
      <c r="E484" s="18"/>
    </row>
    <row r="485" spans="1:5" s="29" customFormat="1" ht="16.2" hidden="1" customHeight="1" thickBot="1" x14ac:dyDescent="0.35">
      <c r="A485" s="128"/>
      <c r="B485" s="133"/>
      <c r="C485" s="20"/>
      <c r="D485" s="19"/>
      <c r="E485" s="19"/>
    </row>
    <row r="486" spans="1:5" s="29" customFormat="1" ht="60" customHeight="1" thickBot="1" x14ac:dyDescent="0.35">
      <c r="A486" s="130" t="s">
        <v>97</v>
      </c>
      <c r="B486" s="131" t="s">
        <v>207</v>
      </c>
      <c r="C486" s="64">
        <v>5</v>
      </c>
      <c r="D486" s="17"/>
      <c r="E486" s="17"/>
    </row>
    <row r="487" spans="1:5" s="29" customFormat="1" ht="16.2" hidden="1" customHeight="1" thickBot="1" x14ac:dyDescent="0.35">
      <c r="A487" s="126"/>
      <c r="B487" s="132"/>
      <c r="C487" s="30"/>
      <c r="D487" s="18"/>
      <c r="E487" s="18"/>
    </row>
    <row r="488" spans="1:5" s="29" customFormat="1" ht="16.2" hidden="1" customHeight="1" thickBot="1" x14ac:dyDescent="0.35">
      <c r="A488" s="126"/>
      <c r="B488" s="132"/>
      <c r="C488" s="18"/>
      <c r="D488" s="18"/>
      <c r="E488" s="18"/>
    </row>
    <row r="489" spans="1:5" s="29" customFormat="1" ht="16.2" hidden="1" customHeight="1" thickBot="1" x14ac:dyDescent="0.35">
      <c r="A489" s="126"/>
      <c r="B489" s="132"/>
      <c r="C489" s="18"/>
      <c r="D489" s="18"/>
      <c r="E489" s="18"/>
    </row>
    <row r="490" spans="1:5" s="29" customFormat="1" ht="16.2" hidden="1" customHeight="1" thickBot="1" x14ac:dyDescent="0.35">
      <c r="A490" s="128"/>
      <c r="B490" s="133"/>
      <c r="C490" s="19"/>
      <c r="D490" s="19"/>
      <c r="E490" s="19"/>
    </row>
    <row r="491" spans="1:5" s="29" customFormat="1" ht="16.2" hidden="1" customHeight="1" thickBot="1" x14ac:dyDescent="0.35">
      <c r="A491" s="124" t="s">
        <v>98</v>
      </c>
      <c r="B491" s="131" t="s">
        <v>267</v>
      </c>
      <c r="C491" s="17">
        <f>(0.3+0.4+0.5)*3.9</f>
        <v>4.68</v>
      </c>
      <c r="D491" s="17"/>
      <c r="E491" s="17"/>
    </row>
    <row r="492" spans="1:5" s="29" customFormat="1" ht="16.2" hidden="1" customHeight="1" thickBot="1" x14ac:dyDescent="0.35">
      <c r="A492" s="126"/>
      <c r="B492" s="132"/>
      <c r="C492" s="18">
        <f>C491</f>
        <v>4.68</v>
      </c>
      <c r="D492" s="18"/>
      <c r="E492" s="18"/>
    </row>
    <row r="493" spans="1:5" s="29" customFormat="1" ht="16.2" hidden="1" customHeight="1" thickBot="1" x14ac:dyDescent="0.35">
      <c r="A493" s="126"/>
      <c r="B493" s="132"/>
      <c r="C493" s="18">
        <f>C491-C492</f>
        <v>0</v>
      </c>
      <c r="D493" s="18"/>
      <c r="E493" s="18"/>
    </row>
    <row r="494" spans="1:5" s="29" customFormat="1" ht="16.2" hidden="1" customHeight="1" thickBot="1" x14ac:dyDescent="0.35">
      <c r="A494" s="126"/>
      <c r="B494" s="132"/>
      <c r="C494" s="18"/>
      <c r="D494" s="18"/>
      <c r="E494" s="18"/>
    </row>
    <row r="495" spans="1:5" s="29" customFormat="1" ht="16.2" hidden="1" customHeight="1" thickBot="1" x14ac:dyDescent="0.35">
      <c r="A495" s="128"/>
      <c r="B495" s="133"/>
      <c r="C495" s="20"/>
      <c r="D495" s="19"/>
      <c r="E495" s="19"/>
    </row>
    <row r="496" spans="1:5" s="29" customFormat="1" ht="60" customHeight="1" thickBot="1" x14ac:dyDescent="0.35">
      <c r="A496" s="130" t="s">
        <v>99</v>
      </c>
      <c r="B496" s="131" t="s">
        <v>206</v>
      </c>
      <c r="C496" s="64">
        <v>3</v>
      </c>
      <c r="D496" s="17">
        <v>2.73</v>
      </c>
      <c r="E496" s="17"/>
    </row>
    <row r="497" spans="1:5" s="29" customFormat="1" ht="16.2" hidden="1" customHeight="1" thickBot="1" x14ac:dyDescent="0.35">
      <c r="A497" s="126"/>
      <c r="B497" s="132"/>
      <c r="C497" s="30"/>
      <c r="D497" s="18">
        <f>D496</f>
        <v>2.73</v>
      </c>
      <c r="E497" s="18"/>
    </row>
    <row r="498" spans="1:5" s="29" customFormat="1" ht="16.2" hidden="1" customHeight="1" thickBot="1" x14ac:dyDescent="0.35">
      <c r="A498" s="126"/>
      <c r="B498" s="132"/>
      <c r="C498" s="18"/>
      <c r="D498" s="18">
        <f>D496-D497</f>
        <v>0</v>
      </c>
      <c r="E498" s="18"/>
    </row>
    <row r="499" spans="1:5" s="29" customFormat="1" ht="16.2" hidden="1" customHeight="1" thickBot="1" x14ac:dyDescent="0.35">
      <c r="A499" s="126"/>
      <c r="B499" s="132"/>
      <c r="C499" s="18"/>
      <c r="D499" s="18"/>
      <c r="E499" s="18"/>
    </row>
    <row r="500" spans="1:5" s="29" customFormat="1" ht="16.2" hidden="1" customHeight="1" thickBot="1" x14ac:dyDescent="0.35">
      <c r="A500" s="128"/>
      <c r="B500" s="133"/>
      <c r="C500" s="20"/>
      <c r="D500" s="19"/>
      <c r="E500" s="19"/>
    </row>
    <row r="501" spans="1:5" s="29" customFormat="1" ht="60" customHeight="1" thickBot="1" x14ac:dyDescent="0.35">
      <c r="A501" s="130" t="s">
        <v>100</v>
      </c>
      <c r="B501" s="140" t="s">
        <v>268</v>
      </c>
      <c r="C501" s="64">
        <v>23</v>
      </c>
      <c r="D501" s="17">
        <v>2.79</v>
      </c>
      <c r="E501" s="17"/>
    </row>
    <row r="502" spans="1:5" s="29" customFormat="1" ht="16.2" hidden="1" customHeight="1" thickBot="1" x14ac:dyDescent="0.35">
      <c r="A502" s="126"/>
      <c r="B502" s="132"/>
      <c r="C502" s="30"/>
      <c r="D502" s="18">
        <f>D501</f>
        <v>2.79</v>
      </c>
      <c r="E502" s="18"/>
    </row>
    <row r="503" spans="1:5" s="29" customFormat="1" ht="16.2" hidden="1" customHeight="1" thickBot="1" x14ac:dyDescent="0.35">
      <c r="A503" s="126"/>
      <c r="B503" s="132"/>
      <c r="C503" s="18"/>
      <c r="D503" s="18">
        <f>D501-D502</f>
        <v>0</v>
      </c>
      <c r="E503" s="18"/>
    </row>
    <row r="504" spans="1:5" s="29" customFormat="1" ht="16.2" hidden="1" customHeight="1" thickBot="1" x14ac:dyDescent="0.35">
      <c r="A504" s="126"/>
      <c r="B504" s="132"/>
      <c r="C504" s="18"/>
      <c r="D504" s="18"/>
      <c r="E504" s="18"/>
    </row>
    <row r="505" spans="1:5" s="29" customFormat="1" ht="16.2" hidden="1" customHeight="1" thickBot="1" x14ac:dyDescent="0.35">
      <c r="A505" s="128"/>
      <c r="B505" s="133"/>
      <c r="C505" s="20"/>
      <c r="D505" s="19"/>
      <c r="E505" s="19"/>
    </row>
    <row r="506" spans="1:5" s="29" customFormat="1" ht="60" hidden="1" customHeight="1" thickBot="1" x14ac:dyDescent="0.35">
      <c r="A506" s="130" t="s">
        <v>101</v>
      </c>
      <c r="B506" s="131" t="s">
        <v>269</v>
      </c>
      <c r="C506" s="58"/>
      <c r="D506" s="17"/>
      <c r="E506" s="17">
        <v>13.9</v>
      </c>
    </row>
    <row r="507" spans="1:5" s="29" customFormat="1" ht="16.2" hidden="1" customHeight="1" thickBot="1" x14ac:dyDescent="0.35">
      <c r="A507" s="126"/>
      <c r="B507" s="132"/>
      <c r="C507" s="30"/>
      <c r="D507" s="18"/>
      <c r="E507" s="18">
        <f>E506</f>
        <v>13.9</v>
      </c>
    </row>
    <row r="508" spans="1:5" s="29" customFormat="1" ht="16.2" hidden="1" customHeight="1" thickBot="1" x14ac:dyDescent="0.35">
      <c r="A508" s="126"/>
      <c r="B508" s="132"/>
      <c r="C508" s="18"/>
      <c r="D508" s="18"/>
      <c r="E508" s="18">
        <f>E506-E507</f>
        <v>0</v>
      </c>
    </row>
    <row r="509" spans="1:5" s="29" customFormat="1" ht="16.2" hidden="1" customHeight="1" thickBot="1" x14ac:dyDescent="0.35">
      <c r="A509" s="126"/>
      <c r="B509" s="132"/>
      <c r="C509" s="18"/>
      <c r="D509" s="18"/>
      <c r="E509" s="18"/>
    </row>
    <row r="510" spans="1:5" s="29" customFormat="1" ht="16.2" hidden="1" customHeight="1" thickBot="1" x14ac:dyDescent="0.35">
      <c r="A510" s="128"/>
      <c r="B510" s="133"/>
      <c r="C510" s="19"/>
      <c r="D510" s="19"/>
      <c r="E510" s="19"/>
    </row>
    <row r="511" spans="1:5" s="29" customFormat="1" ht="16.2" hidden="1" customHeight="1" thickBot="1" x14ac:dyDescent="0.35">
      <c r="A511" s="124" t="s">
        <v>102</v>
      </c>
      <c r="B511" s="131" t="s">
        <v>270</v>
      </c>
      <c r="C511" s="17">
        <v>311.5</v>
      </c>
      <c r="D511" s="17"/>
      <c r="E511" s="17"/>
    </row>
    <row r="512" spans="1:5" s="29" customFormat="1" ht="16.2" hidden="1" customHeight="1" thickBot="1" x14ac:dyDescent="0.35">
      <c r="A512" s="126"/>
      <c r="B512" s="132"/>
      <c r="C512" s="18">
        <f>C511*0.5</f>
        <v>155.75</v>
      </c>
      <c r="D512" s="18"/>
      <c r="E512" s="18"/>
    </row>
    <row r="513" spans="1:5" s="29" customFormat="1" ht="16.2" hidden="1" customHeight="1" thickBot="1" x14ac:dyDescent="0.35">
      <c r="A513" s="126"/>
      <c r="B513" s="132"/>
      <c r="C513" s="18">
        <f>C511-C512</f>
        <v>155.75</v>
      </c>
      <c r="D513" s="18"/>
      <c r="E513" s="18"/>
    </row>
    <row r="514" spans="1:5" s="29" customFormat="1" ht="16.2" hidden="1" customHeight="1" thickBot="1" x14ac:dyDescent="0.35">
      <c r="A514" s="126"/>
      <c r="B514" s="132"/>
      <c r="C514" s="18"/>
      <c r="D514" s="18"/>
      <c r="E514" s="18"/>
    </row>
    <row r="515" spans="1:5" s="29" customFormat="1" ht="16.2" hidden="1" customHeight="1" thickBot="1" x14ac:dyDescent="0.35">
      <c r="A515" s="128"/>
      <c r="B515" s="133"/>
      <c r="C515" s="20"/>
      <c r="D515" s="19"/>
      <c r="E515" s="19"/>
    </row>
    <row r="516" spans="1:5" s="29" customFormat="1" ht="60" customHeight="1" thickBot="1" x14ac:dyDescent="0.35">
      <c r="A516" s="130" t="s">
        <v>103</v>
      </c>
      <c r="B516" s="131" t="s">
        <v>271</v>
      </c>
      <c r="C516" s="64">
        <v>12</v>
      </c>
      <c r="D516" s="17"/>
      <c r="E516" s="17"/>
    </row>
    <row r="517" spans="1:5" s="29" customFormat="1" ht="16.2" hidden="1" customHeight="1" thickBot="1" x14ac:dyDescent="0.35">
      <c r="A517" s="126"/>
      <c r="B517" s="132"/>
      <c r="C517" s="30"/>
      <c r="D517" s="18"/>
      <c r="E517" s="18"/>
    </row>
    <row r="518" spans="1:5" s="29" customFormat="1" ht="16.2" hidden="1" customHeight="1" thickBot="1" x14ac:dyDescent="0.35">
      <c r="A518" s="126"/>
      <c r="B518" s="132"/>
      <c r="C518" s="18"/>
      <c r="D518" s="18"/>
      <c r="E518" s="18"/>
    </row>
    <row r="519" spans="1:5" s="29" customFormat="1" ht="16.2" hidden="1" customHeight="1" thickBot="1" x14ac:dyDescent="0.35">
      <c r="A519" s="126"/>
      <c r="B519" s="132"/>
      <c r="C519" s="18"/>
      <c r="D519" s="18"/>
      <c r="E519" s="18"/>
    </row>
    <row r="520" spans="1:5" s="29" customFormat="1" ht="16.2" hidden="1" customHeight="1" thickBot="1" x14ac:dyDescent="0.35">
      <c r="A520" s="128"/>
      <c r="B520" s="133"/>
      <c r="C520" s="20"/>
      <c r="D520" s="19"/>
      <c r="E520" s="19"/>
    </row>
    <row r="521" spans="1:5" s="29" customFormat="1" ht="60" customHeight="1" thickBot="1" x14ac:dyDescent="0.35">
      <c r="A521" s="130" t="s">
        <v>104</v>
      </c>
      <c r="B521" s="131" t="s">
        <v>272</v>
      </c>
      <c r="C521" s="64">
        <v>10</v>
      </c>
      <c r="D521" s="17">
        <f>(0.28+0.4)*3.9</f>
        <v>2.6520000000000001</v>
      </c>
      <c r="E521" s="17"/>
    </row>
    <row r="522" spans="1:5" s="29" customFormat="1" ht="16.2" hidden="1" customHeight="1" thickBot="1" x14ac:dyDescent="0.35">
      <c r="A522" s="126"/>
      <c r="B522" s="132"/>
      <c r="C522" s="30">
        <f>C521</f>
        <v>10</v>
      </c>
      <c r="D522" s="18">
        <v>0</v>
      </c>
      <c r="E522" s="18"/>
    </row>
    <row r="523" spans="1:5" s="29" customFormat="1" ht="16.2" hidden="1" customHeight="1" thickBot="1" x14ac:dyDescent="0.35">
      <c r="A523" s="126"/>
      <c r="B523" s="132"/>
      <c r="C523" s="18">
        <f>C521-C522</f>
        <v>0</v>
      </c>
      <c r="D523" s="18">
        <f>D521-D522</f>
        <v>2.6520000000000001</v>
      </c>
      <c r="E523" s="18"/>
    </row>
    <row r="524" spans="1:5" s="29" customFormat="1" ht="16.2" hidden="1" customHeight="1" thickBot="1" x14ac:dyDescent="0.35">
      <c r="A524" s="126"/>
      <c r="B524" s="132"/>
      <c r="C524" s="18"/>
      <c r="D524" s="18"/>
      <c r="E524" s="18"/>
    </row>
    <row r="525" spans="1:5" s="29" customFormat="1" ht="16.2" hidden="1" customHeight="1" thickBot="1" x14ac:dyDescent="0.35">
      <c r="A525" s="128"/>
      <c r="B525" s="133"/>
      <c r="C525" s="20"/>
      <c r="D525" s="19"/>
      <c r="E525" s="19"/>
    </row>
    <row r="526" spans="1:5" s="29" customFormat="1" ht="60" customHeight="1" thickBot="1" x14ac:dyDescent="0.35">
      <c r="A526" s="130" t="s">
        <v>105</v>
      </c>
      <c r="B526" s="131" t="s">
        <v>239</v>
      </c>
      <c r="C526" s="64">
        <v>4</v>
      </c>
      <c r="D526" s="17"/>
      <c r="E526" s="17">
        <v>2.34</v>
      </c>
    </row>
    <row r="527" spans="1:5" s="29" customFormat="1" ht="16.2" hidden="1" customHeight="1" thickBot="1" x14ac:dyDescent="0.35">
      <c r="A527" s="126"/>
      <c r="B527" s="132"/>
      <c r="C527" s="30"/>
      <c r="D527" s="18"/>
      <c r="E527" s="18">
        <f>E526</f>
        <v>2.34</v>
      </c>
    </row>
    <row r="528" spans="1:5" s="29" customFormat="1" ht="16.2" hidden="1" customHeight="1" thickBot="1" x14ac:dyDescent="0.35">
      <c r="A528" s="126"/>
      <c r="B528" s="132"/>
      <c r="C528" s="18"/>
      <c r="D528" s="18"/>
      <c r="E528" s="18">
        <f>E526-E527</f>
        <v>0</v>
      </c>
    </row>
    <row r="529" spans="1:5" s="29" customFormat="1" ht="16.2" hidden="1" customHeight="1" thickBot="1" x14ac:dyDescent="0.35">
      <c r="A529" s="126"/>
      <c r="B529" s="132"/>
      <c r="C529" s="18"/>
      <c r="D529" s="18"/>
      <c r="E529" s="18"/>
    </row>
    <row r="530" spans="1:5" s="29" customFormat="1" ht="16.2" hidden="1" customHeight="1" thickBot="1" x14ac:dyDescent="0.35">
      <c r="A530" s="128"/>
      <c r="B530" s="133"/>
      <c r="C530" s="20"/>
      <c r="D530" s="19"/>
      <c r="E530" s="19"/>
    </row>
    <row r="531" spans="1:5" s="29" customFormat="1" ht="60" customHeight="1" thickBot="1" x14ac:dyDescent="0.35">
      <c r="A531" s="130" t="s">
        <v>106</v>
      </c>
      <c r="B531" s="131" t="s">
        <v>215</v>
      </c>
      <c r="C531" s="64">
        <v>7</v>
      </c>
      <c r="D531" s="17"/>
      <c r="E531" s="17">
        <f>0.8*3.9</f>
        <v>3.12</v>
      </c>
    </row>
    <row r="532" spans="1:5" s="29" customFormat="1" ht="16.2" hidden="1" customHeight="1" thickBot="1" x14ac:dyDescent="0.35">
      <c r="A532" s="126"/>
      <c r="B532" s="132"/>
      <c r="C532" s="30"/>
      <c r="D532" s="18"/>
      <c r="E532" s="18">
        <f>0.5*3.9</f>
        <v>1.95</v>
      </c>
    </row>
    <row r="533" spans="1:5" s="29" customFormat="1" ht="16.2" hidden="1" customHeight="1" thickBot="1" x14ac:dyDescent="0.35">
      <c r="A533" s="126"/>
      <c r="B533" s="132"/>
      <c r="C533" s="18"/>
      <c r="D533" s="18"/>
      <c r="E533" s="18">
        <f>E531-E532</f>
        <v>1.1700000000000002</v>
      </c>
    </row>
    <row r="534" spans="1:5" s="29" customFormat="1" ht="16.2" hidden="1" customHeight="1" thickBot="1" x14ac:dyDescent="0.35">
      <c r="A534" s="126"/>
      <c r="B534" s="132"/>
      <c r="C534" s="18"/>
      <c r="D534" s="18"/>
      <c r="E534" s="18"/>
    </row>
    <row r="535" spans="1:5" s="29" customFormat="1" ht="16.2" hidden="1" customHeight="1" thickBot="1" x14ac:dyDescent="0.35">
      <c r="A535" s="128"/>
      <c r="B535" s="133"/>
      <c r="C535" s="20"/>
      <c r="D535" s="19"/>
      <c r="E535" s="19"/>
    </row>
    <row r="536" spans="1:5" s="29" customFormat="1" ht="60" customHeight="1" thickBot="1" x14ac:dyDescent="0.35">
      <c r="A536" s="130" t="s">
        <v>107</v>
      </c>
      <c r="B536" s="131" t="s">
        <v>206</v>
      </c>
      <c r="C536" s="64">
        <v>6</v>
      </c>
      <c r="D536" s="17"/>
      <c r="E536" s="17">
        <f>(0.3+0.3+0.3+0.3+0.2+0.3)*3.9</f>
        <v>6.63</v>
      </c>
    </row>
    <row r="537" spans="1:5" s="29" customFormat="1" ht="16.2" hidden="1" customHeight="1" thickBot="1" x14ac:dyDescent="0.35">
      <c r="A537" s="126"/>
      <c r="B537" s="132"/>
      <c r="C537" s="30"/>
      <c r="D537" s="18"/>
      <c r="E537" s="18">
        <f>0.6*3.9</f>
        <v>2.34</v>
      </c>
    </row>
    <row r="538" spans="1:5" s="29" customFormat="1" ht="16.2" hidden="1" customHeight="1" thickBot="1" x14ac:dyDescent="0.35">
      <c r="A538" s="126"/>
      <c r="B538" s="132"/>
      <c r="C538" s="18"/>
      <c r="D538" s="18"/>
      <c r="E538" s="18">
        <f>E536-E537</f>
        <v>4.29</v>
      </c>
    </row>
    <row r="539" spans="1:5" s="29" customFormat="1" ht="16.2" hidden="1" customHeight="1" thickBot="1" x14ac:dyDescent="0.35">
      <c r="A539" s="126"/>
      <c r="B539" s="132"/>
      <c r="C539" s="18"/>
      <c r="D539" s="18"/>
      <c r="E539" s="18"/>
    </row>
    <row r="540" spans="1:5" s="29" customFormat="1" ht="16.2" hidden="1" customHeight="1" thickBot="1" x14ac:dyDescent="0.35">
      <c r="A540" s="128"/>
      <c r="B540" s="133"/>
      <c r="C540" s="20"/>
      <c r="D540" s="19"/>
      <c r="E540" s="19"/>
    </row>
    <row r="541" spans="1:5" s="29" customFormat="1" ht="60" customHeight="1" thickBot="1" x14ac:dyDescent="0.35">
      <c r="A541" s="130" t="s">
        <v>108</v>
      </c>
      <c r="B541" s="131" t="s">
        <v>207</v>
      </c>
      <c r="C541" s="64">
        <v>2</v>
      </c>
      <c r="D541" s="17"/>
      <c r="E541" s="17">
        <f>(0.3+0.3+0.3+0.3+0.2+0.3)*3.9</f>
        <v>6.63</v>
      </c>
    </row>
    <row r="542" spans="1:5" s="29" customFormat="1" ht="16.2" hidden="1" customHeight="1" thickBot="1" x14ac:dyDescent="0.35">
      <c r="A542" s="126"/>
      <c r="B542" s="132"/>
      <c r="C542" s="30"/>
      <c r="D542" s="18"/>
      <c r="E542" s="18">
        <f>E541</f>
        <v>6.63</v>
      </c>
    </row>
    <row r="543" spans="1:5" s="29" customFormat="1" ht="16.2" hidden="1" customHeight="1" thickBot="1" x14ac:dyDescent="0.35">
      <c r="A543" s="126"/>
      <c r="B543" s="132"/>
      <c r="C543" s="18"/>
      <c r="D543" s="18"/>
      <c r="E543" s="18">
        <f>E541-E542</f>
        <v>0</v>
      </c>
    </row>
    <row r="544" spans="1:5" s="29" customFormat="1" ht="16.2" hidden="1" customHeight="1" thickBot="1" x14ac:dyDescent="0.35">
      <c r="A544" s="126"/>
      <c r="B544" s="132"/>
      <c r="C544" s="18"/>
      <c r="D544" s="18"/>
      <c r="E544" s="18"/>
    </row>
    <row r="545" spans="1:5" s="29" customFormat="1" ht="16.2" hidden="1" customHeight="1" thickBot="1" x14ac:dyDescent="0.35">
      <c r="A545" s="128"/>
      <c r="B545" s="133"/>
      <c r="C545" s="20"/>
      <c r="D545" s="19"/>
      <c r="E545" s="19"/>
    </row>
    <row r="546" spans="1:5" s="29" customFormat="1" ht="60" customHeight="1" thickBot="1" x14ac:dyDescent="0.35">
      <c r="A546" s="130" t="s">
        <v>109</v>
      </c>
      <c r="B546" s="131" t="s">
        <v>201</v>
      </c>
      <c r="C546" s="64">
        <v>4</v>
      </c>
      <c r="D546" s="17"/>
      <c r="E546" s="17"/>
    </row>
    <row r="547" spans="1:5" s="29" customFormat="1" ht="16.2" hidden="1" customHeight="1" thickBot="1" x14ac:dyDescent="0.35">
      <c r="A547" s="126"/>
      <c r="B547" s="132"/>
      <c r="C547" s="30"/>
      <c r="D547" s="18"/>
      <c r="E547" s="18"/>
    </row>
    <row r="548" spans="1:5" s="29" customFormat="1" ht="16.2" hidden="1" customHeight="1" thickBot="1" x14ac:dyDescent="0.35">
      <c r="A548" s="126"/>
      <c r="B548" s="132"/>
      <c r="C548" s="18"/>
      <c r="D548" s="18"/>
      <c r="E548" s="18"/>
    </row>
    <row r="549" spans="1:5" s="29" customFormat="1" ht="16.2" hidden="1" customHeight="1" thickBot="1" x14ac:dyDescent="0.35">
      <c r="A549" s="126"/>
      <c r="B549" s="132"/>
      <c r="C549" s="18"/>
      <c r="D549" s="18"/>
      <c r="E549" s="18"/>
    </row>
    <row r="550" spans="1:5" s="29" customFormat="1" ht="16.2" hidden="1" customHeight="1" thickBot="1" x14ac:dyDescent="0.35">
      <c r="A550" s="128"/>
      <c r="B550" s="133"/>
      <c r="C550" s="20"/>
      <c r="D550" s="19"/>
      <c r="E550" s="19"/>
    </row>
    <row r="551" spans="1:5" s="29" customFormat="1" ht="60" customHeight="1" thickBot="1" x14ac:dyDescent="0.35">
      <c r="A551" s="130" t="s">
        <v>110</v>
      </c>
      <c r="B551" s="131" t="s">
        <v>218</v>
      </c>
      <c r="C551" s="64">
        <v>9</v>
      </c>
      <c r="D551" s="17"/>
      <c r="E551" s="17"/>
    </row>
    <row r="552" spans="1:5" s="29" customFormat="1" ht="16.2" hidden="1" customHeight="1" thickBot="1" x14ac:dyDescent="0.35">
      <c r="A552" s="126"/>
      <c r="B552" s="132"/>
      <c r="C552" s="30"/>
      <c r="D552" s="18"/>
      <c r="E552" s="18"/>
    </row>
    <row r="553" spans="1:5" s="29" customFormat="1" ht="16.2" hidden="1" customHeight="1" thickBot="1" x14ac:dyDescent="0.35">
      <c r="A553" s="126"/>
      <c r="B553" s="132"/>
      <c r="C553" s="18"/>
      <c r="D553" s="18"/>
      <c r="E553" s="18"/>
    </row>
    <row r="554" spans="1:5" s="29" customFormat="1" ht="16.2" hidden="1" customHeight="1" thickBot="1" x14ac:dyDescent="0.35">
      <c r="A554" s="126"/>
      <c r="B554" s="132"/>
      <c r="C554" s="18"/>
      <c r="D554" s="18"/>
      <c r="E554" s="18"/>
    </row>
    <row r="555" spans="1:5" s="29" customFormat="1" ht="16.2" hidden="1" customHeight="1" thickBot="1" x14ac:dyDescent="0.35">
      <c r="A555" s="128"/>
      <c r="B555" s="133"/>
      <c r="C555" s="20"/>
      <c r="D555" s="19"/>
      <c r="E555" s="19"/>
    </row>
    <row r="556" spans="1:5" s="29" customFormat="1" ht="60" customHeight="1" thickBot="1" x14ac:dyDescent="0.35">
      <c r="A556" s="130" t="s">
        <v>111</v>
      </c>
      <c r="B556" s="131" t="s">
        <v>273</v>
      </c>
      <c r="C556" s="64">
        <v>25</v>
      </c>
      <c r="D556" s="17"/>
      <c r="E556" s="17"/>
    </row>
    <row r="557" spans="1:5" s="29" customFormat="1" ht="16.2" hidden="1" customHeight="1" thickBot="1" x14ac:dyDescent="0.35">
      <c r="A557" s="126"/>
      <c r="B557" s="132"/>
      <c r="C557" s="30">
        <f>C556</f>
        <v>25</v>
      </c>
      <c r="D557" s="18"/>
      <c r="E557" s="18"/>
    </row>
    <row r="558" spans="1:5" s="29" customFormat="1" ht="16.2" hidden="1" customHeight="1" thickBot="1" x14ac:dyDescent="0.35">
      <c r="A558" s="126"/>
      <c r="B558" s="132"/>
      <c r="C558" s="18">
        <f>C556-C557</f>
        <v>0</v>
      </c>
      <c r="D558" s="18"/>
      <c r="E558" s="18"/>
    </row>
    <row r="559" spans="1:5" s="29" customFormat="1" ht="16.2" hidden="1" customHeight="1" thickBot="1" x14ac:dyDescent="0.35">
      <c r="A559" s="126"/>
      <c r="B559" s="132"/>
      <c r="C559" s="18"/>
      <c r="D559" s="18"/>
      <c r="E559" s="18"/>
    </row>
    <row r="560" spans="1:5" s="29" customFormat="1" ht="16.2" hidden="1" customHeight="1" thickBot="1" x14ac:dyDescent="0.35">
      <c r="A560" s="128"/>
      <c r="B560" s="133"/>
      <c r="C560" s="19"/>
      <c r="D560" s="19"/>
      <c r="E560" s="19"/>
    </row>
    <row r="561" spans="1:5" s="29" customFormat="1" ht="16.2" hidden="1" customHeight="1" thickBot="1" x14ac:dyDescent="0.35">
      <c r="A561" s="124" t="s">
        <v>112</v>
      </c>
      <c r="B561" s="131" t="s">
        <v>274</v>
      </c>
      <c r="C561" s="17">
        <f>(0.3*4+0.5)*3.9</f>
        <v>6.63</v>
      </c>
      <c r="D561" s="17"/>
      <c r="E561" s="17"/>
    </row>
    <row r="562" spans="1:5" s="29" customFormat="1" ht="16.2" hidden="1" customHeight="1" thickBot="1" x14ac:dyDescent="0.35">
      <c r="A562" s="126"/>
      <c r="B562" s="132"/>
      <c r="C562" s="18">
        <f>C561</f>
        <v>6.63</v>
      </c>
      <c r="D562" s="18"/>
      <c r="E562" s="18"/>
    </row>
    <row r="563" spans="1:5" s="29" customFormat="1" ht="16.2" hidden="1" customHeight="1" thickBot="1" x14ac:dyDescent="0.35">
      <c r="A563" s="126"/>
      <c r="B563" s="132"/>
      <c r="C563" s="18">
        <f>C561-C562</f>
        <v>0</v>
      </c>
      <c r="D563" s="18"/>
      <c r="E563" s="18"/>
    </row>
    <row r="564" spans="1:5" s="29" customFormat="1" ht="16.2" hidden="1" customHeight="1" thickBot="1" x14ac:dyDescent="0.35">
      <c r="A564" s="126"/>
      <c r="B564" s="132"/>
      <c r="C564" s="18"/>
      <c r="D564" s="18"/>
      <c r="E564" s="18"/>
    </row>
    <row r="565" spans="1:5" s="29" customFormat="1" ht="16.2" hidden="1" customHeight="1" thickBot="1" x14ac:dyDescent="0.35">
      <c r="A565" s="128"/>
      <c r="B565" s="133"/>
      <c r="C565" s="19"/>
      <c r="D565" s="18"/>
      <c r="E565" s="19"/>
    </row>
    <row r="566" spans="1:5" s="29" customFormat="1" ht="16.2" hidden="1" customHeight="1" thickBot="1" x14ac:dyDescent="0.35">
      <c r="A566" s="124" t="s">
        <v>113</v>
      </c>
      <c r="B566" s="131" t="s">
        <v>218</v>
      </c>
      <c r="C566" s="17">
        <f>0.47*3.9</f>
        <v>1.833</v>
      </c>
      <c r="D566" s="17">
        <f>(0.08+0.65+0.38+0.47+0.6)*3.9</f>
        <v>8.5019999999999989</v>
      </c>
      <c r="E566" s="17"/>
    </row>
    <row r="567" spans="1:5" s="29" customFormat="1" ht="16.2" hidden="1" customHeight="1" thickBot="1" x14ac:dyDescent="0.35">
      <c r="A567" s="126"/>
      <c r="B567" s="132"/>
      <c r="C567" s="18">
        <f>C566</f>
        <v>1.833</v>
      </c>
      <c r="D567" s="18">
        <v>0</v>
      </c>
      <c r="E567" s="18"/>
    </row>
    <row r="568" spans="1:5" s="29" customFormat="1" ht="16.2" hidden="1" customHeight="1" thickBot="1" x14ac:dyDescent="0.35">
      <c r="A568" s="126"/>
      <c r="B568" s="132"/>
      <c r="C568" s="18">
        <f t="shared" ref="C568:D568" si="4">C566-C567</f>
        <v>0</v>
      </c>
      <c r="D568" s="18">
        <f t="shared" si="4"/>
        <v>8.5019999999999989</v>
      </c>
      <c r="E568" s="18"/>
    </row>
    <row r="569" spans="1:5" s="29" customFormat="1" ht="16.2" hidden="1" customHeight="1" thickBot="1" x14ac:dyDescent="0.35">
      <c r="A569" s="126"/>
      <c r="B569" s="132"/>
      <c r="C569" s="18"/>
      <c r="D569" s="18"/>
      <c r="E569" s="18"/>
    </row>
    <row r="570" spans="1:5" s="29" customFormat="1" ht="16.2" hidden="1" customHeight="1" thickBot="1" x14ac:dyDescent="0.35">
      <c r="A570" s="128"/>
      <c r="B570" s="133"/>
      <c r="C570" s="19"/>
      <c r="D570" s="19"/>
      <c r="E570" s="19"/>
    </row>
    <row r="571" spans="1:5" s="29" customFormat="1" ht="16.2" hidden="1" customHeight="1" thickBot="1" x14ac:dyDescent="0.35">
      <c r="A571" s="124" t="s">
        <v>114</v>
      </c>
      <c r="B571" s="131" t="s">
        <v>275</v>
      </c>
      <c r="C571" s="17"/>
      <c r="D571" s="17"/>
      <c r="E571" s="17"/>
    </row>
    <row r="572" spans="1:5" s="29" customFormat="1" ht="16.2" hidden="1" customHeight="1" thickBot="1" x14ac:dyDescent="0.35">
      <c r="A572" s="126"/>
      <c r="B572" s="132"/>
      <c r="C572" s="18"/>
      <c r="D572" s="18"/>
      <c r="E572" s="18"/>
    </row>
    <row r="573" spans="1:5" s="29" customFormat="1" ht="16.2" hidden="1" customHeight="1" thickBot="1" x14ac:dyDescent="0.35">
      <c r="A573" s="126"/>
      <c r="B573" s="132"/>
      <c r="C573" s="18"/>
      <c r="D573" s="18"/>
      <c r="E573" s="18"/>
    </row>
    <row r="574" spans="1:5" s="29" customFormat="1" ht="16.2" hidden="1" customHeight="1" thickBot="1" x14ac:dyDescent="0.35">
      <c r="A574" s="126"/>
      <c r="B574" s="132"/>
      <c r="C574" s="18"/>
      <c r="D574" s="18"/>
      <c r="E574" s="18"/>
    </row>
    <row r="575" spans="1:5" s="29" customFormat="1" ht="16.2" hidden="1" customHeight="1" thickBot="1" x14ac:dyDescent="0.35">
      <c r="A575" s="128"/>
      <c r="B575" s="133"/>
      <c r="C575" s="19"/>
      <c r="D575" s="19"/>
      <c r="E575" s="19"/>
    </row>
    <row r="576" spans="1:5" s="29" customFormat="1" ht="16.2" hidden="1" customHeight="1" thickBot="1" x14ac:dyDescent="0.35">
      <c r="A576" s="124" t="s">
        <v>115</v>
      </c>
      <c r="B576" s="131" t="s">
        <v>276</v>
      </c>
      <c r="C576" s="17"/>
      <c r="D576" s="17"/>
      <c r="E576" s="17"/>
    </row>
    <row r="577" spans="1:5" s="29" customFormat="1" ht="16.2" hidden="1" customHeight="1" thickBot="1" x14ac:dyDescent="0.35">
      <c r="A577" s="126"/>
      <c r="B577" s="132"/>
      <c r="C577" s="18"/>
      <c r="D577" s="18"/>
      <c r="E577" s="18"/>
    </row>
    <row r="578" spans="1:5" s="29" customFormat="1" ht="16.2" hidden="1" customHeight="1" thickBot="1" x14ac:dyDescent="0.35">
      <c r="A578" s="126"/>
      <c r="B578" s="132"/>
      <c r="C578" s="18"/>
      <c r="D578" s="18"/>
      <c r="E578" s="18"/>
    </row>
    <row r="579" spans="1:5" s="29" customFormat="1" ht="16.2" hidden="1" customHeight="1" thickBot="1" x14ac:dyDescent="0.35">
      <c r="A579" s="126"/>
      <c r="B579" s="132"/>
      <c r="C579" s="18"/>
      <c r="D579" s="18"/>
      <c r="E579" s="18"/>
    </row>
    <row r="580" spans="1:5" s="29" customFormat="1" ht="16.2" hidden="1" customHeight="1" thickBot="1" x14ac:dyDescent="0.35">
      <c r="A580" s="128"/>
      <c r="B580" s="133"/>
      <c r="C580" s="20"/>
      <c r="D580" s="19"/>
      <c r="E580" s="19"/>
    </row>
    <row r="581" spans="1:5" s="29" customFormat="1" ht="60" customHeight="1" thickBot="1" x14ac:dyDescent="0.35">
      <c r="A581" s="130" t="s">
        <v>116</v>
      </c>
      <c r="B581" s="131" t="s">
        <v>277</v>
      </c>
      <c r="C581" s="64">
        <v>11</v>
      </c>
      <c r="D581" s="17"/>
      <c r="E581" s="17"/>
    </row>
    <row r="582" spans="1:5" s="29" customFormat="1" ht="16.2" hidden="1" customHeight="1" thickBot="1" x14ac:dyDescent="0.35">
      <c r="A582" s="126"/>
      <c r="B582" s="132"/>
      <c r="C582" s="30"/>
      <c r="D582" s="18"/>
      <c r="E582" s="18"/>
    </row>
    <row r="583" spans="1:5" s="29" customFormat="1" ht="16.2" hidden="1" customHeight="1" thickBot="1" x14ac:dyDescent="0.35">
      <c r="A583" s="126"/>
      <c r="B583" s="132"/>
      <c r="C583" s="18"/>
      <c r="D583" s="18"/>
      <c r="E583" s="18"/>
    </row>
    <row r="584" spans="1:5" s="29" customFormat="1" ht="16.2" hidden="1" customHeight="1" thickBot="1" x14ac:dyDescent="0.35">
      <c r="A584" s="126"/>
      <c r="B584" s="132"/>
      <c r="C584" s="18"/>
      <c r="D584" s="18"/>
      <c r="E584" s="18"/>
    </row>
    <row r="585" spans="1:5" s="29" customFormat="1" ht="16.2" hidden="1" customHeight="1" thickBot="1" x14ac:dyDescent="0.35">
      <c r="A585" s="128"/>
      <c r="B585" s="133"/>
      <c r="C585" s="19"/>
      <c r="D585" s="19"/>
      <c r="E585" s="19"/>
    </row>
    <row r="586" spans="1:5" s="29" customFormat="1" ht="16.2" hidden="1" customHeight="1" thickBot="1" x14ac:dyDescent="0.35">
      <c r="A586" s="124" t="s">
        <v>117</v>
      </c>
      <c r="B586" s="131" t="s">
        <v>278</v>
      </c>
      <c r="C586" s="17"/>
      <c r="D586" s="17"/>
      <c r="E586" s="17"/>
    </row>
    <row r="587" spans="1:5" s="29" customFormat="1" ht="16.2" hidden="1" customHeight="1" thickBot="1" x14ac:dyDescent="0.35">
      <c r="A587" s="126"/>
      <c r="B587" s="132"/>
      <c r="C587" s="18"/>
      <c r="D587" s="18"/>
      <c r="E587" s="18"/>
    </row>
    <row r="588" spans="1:5" s="29" customFormat="1" ht="16.2" hidden="1" customHeight="1" thickBot="1" x14ac:dyDescent="0.35">
      <c r="A588" s="126"/>
      <c r="B588" s="132"/>
      <c r="C588" s="18"/>
      <c r="D588" s="18"/>
      <c r="E588" s="18"/>
    </row>
    <row r="589" spans="1:5" s="29" customFormat="1" ht="16.2" hidden="1" customHeight="1" thickBot="1" x14ac:dyDescent="0.35">
      <c r="A589" s="126"/>
      <c r="B589" s="132"/>
      <c r="C589" s="18"/>
      <c r="D589" s="18"/>
      <c r="E589" s="18"/>
    </row>
    <row r="590" spans="1:5" s="29" customFormat="1" ht="16.2" hidden="1" customHeight="1" thickBot="1" x14ac:dyDescent="0.35">
      <c r="A590" s="128"/>
      <c r="B590" s="133"/>
      <c r="C590" s="19"/>
      <c r="D590" s="19"/>
      <c r="E590" s="19"/>
    </row>
    <row r="591" spans="1:5" s="29" customFormat="1" ht="16.2" hidden="1" customHeight="1" thickBot="1" x14ac:dyDescent="0.35">
      <c r="A591" s="124" t="s">
        <v>118</v>
      </c>
      <c r="B591" s="131" t="s">
        <v>279</v>
      </c>
      <c r="C591" s="17"/>
      <c r="D591" s="17"/>
      <c r="E591" s="17"/>
    </row>
    <row r="592" spans="1:5" s="29" customFormat="1" ht="16.2" hidden="1" customHeight="1" thickBot="1" x14ac:dyDescent="0.35">
      <c r="A592" s="126"/>
      <c r="B592" s="132"/>
      <c r="C592" s="18"/>
      <c r="D592" s="18"/>
      <c r="E592" s="18"/>
    </row>
    <row r="593" spans="1:5" s="29" customFormat="1" ht="16.2" hidden="1" customHeight="1" thickBot="1" x14ac:dyDescent="0.35">
      <c r="A593" s="126"/>
      <c r="B593" s="132"/>
      <c r="C593" s="18"/>
      <c r="D593" s="18"/>
      <c r="E593" s="18"/>
    </row>
    <row r="594" spans="1:5" s="29" customFormat="1" ht="16.2" hidden="1" customHeight="1" thickBot="1" x14ac:dyDescent="0.35">
      <c r="A594" s="126"/>
      <c r="B594" s="132"/>
      <c r="C594" s="18"/>
      <c r="D594" s="18"/>
      <c r="E594" s="18"/>
    </row>
    <row r="595" spans="1:5" s="29" customFormat="1" ht="16.2" hidden="1" customHeight="1" thickBot="1" x14ac:dyDescent="0.35">
      <c r="A595" s="128"/>
      <c r="B595" s="133"/>
      <c r="C595" s="19"/>
      <c r="D595" s="19"/>
      <c r="E595" s="19"/>
    </row>
    <row r="596" spans="1:5" s="29" customFormat="1" ht="16.2" hidden="1" customHeight="1" thickBot="1" x14ac:dyDescent="0.35">
      <c r="A596" s="124" t="s">
        <v>119</v>
      </c>
      <c r="B596" s="125" t="s">
        <v>238</v>
      </c>
      <c r="C596" s="17"/>
      <c r="D596" s="17"/>
      <c r="E596" s="17"/>
    </row>
    <row r="597" spans="1:5" s="29" customFormat="1" ht="16.2" hidden="1" customHeight="1" thickBot="1" x14ac:dyDescent="0.35">
      <c r="A597" s="126"/>
      <c r="B597" s="127"/>
      <c r="C597" s="18"/>
      <c r="D597" s="18"/>
      <c r="E597" s="18"/>
    </row>
    <row r="598" spans="1:5" s="29" customFormat="1" ht="16.2" hidden="1" customHeight="1" thickBot="1" x14ac:dyDescent="0.35">
      <c r="A598" s="126"/>
      <c r="B598" s="127"/>
      <c r="C598" s="18"/>
      <c r="D598" s="18"/>
      <c r="E598" s="18"/>
    </row>
    <row r="599" spans="1:5" s="29" customFormat="1" ht="16.2" hidden="1" customHeight="1" thickBot="1" x14ac:dyDescent="0.35">
      <c r="A599" s="126"/>
      <c r="B599" s="127"/>
      <c r="C599" s="18"/>
      <c r="D599" s="18"/>
      <c r="E599" s="18"/>
    </row>
    <row r="600" spans="1:5" s="29" customFormat="1" ht="16.2" hidden="1" customHeight="1" thickBot="1" x14ac:dyDescent="0.35">
      <c r="A600" s="128"/>
      <c r="B600" s="129"/>
      <c r="C600" s="19"/>
      <c r="D600" s="19"/>
      <c r="E600" s="19"/>
    </row>
    <row r="601" spans="1:5" s="29" customFormat="1" ht="16.2" hidden="1" customHeight="1" thickBot="1" x14ac:dyDescent="0.35">
      <c r="A601" s="124" t="s">
        <v>120</v>
      </c>
      <c r="B601" s="131" t="s">
        <v>280</v>
      </c>
      <c r="C601" s="17"/>
      <c r="D601" s="17"/>
      <c r="E601" s="17"/>
    </row>
    <row r="602" spans="1:5" s="29" customFormat="1" ht="16.2" hidden="1" customHeight="1" thickBot="1" x14ac:dyDescent="0.35">
      <c r="A602" s="126"/>
      <c r="B602" s="132"/>
      <c r="C602" s="18"/>
      <c r="D602" s="18"/>
      <c r="E602" s="18"/>
    </row>
    <row r="603" spans="1:5" s="29" customFormat="1" ht="16.2" hidden="1" customHeight="1" thickBot="1" x14ac:dyDescent="0.35">
      <c r="A603" s="126"/>
      <c r="B603" s="132"/>
      <c r="C603" s="18"/>
      <c r="D603" s="18"/>
      <c r="E603" s="18"/>
    </row>
    <row r="604" spans="1:5" s="29" customFormat="1" ht="16.2" hidden="1" customHeight="1" thickBot="1" x14ac:dyDescent="0.35">
      <c r="A604" s="126"/>
      <c r="B604" s="132"/>
      <c r="C604" s="18"/>
      <c r="D604" s="18"/>
      <c r="E604" s="18"/>
    </row>
    <row r="605" spans="1:5" s="29" customFormat="1" ht="16.2" hidden="1" customHeight="1" thickBot="1" x14ac:dyDescent="0.35">
      <c r="A605" s="128"/>
      <c r="B605" s="133"/>
      <c r="C605" s="19"/>
      <c r="D605" s="19"/>
      <c r="E605" s="19"/>
    </row>
    <row r="606" spans="1:5" s="29" customFormat="1" ht="16.2" hidden="1" customHeight="1" thickBot="1" x14ac:dyDescent="0.35">
      <c r="A606" s="124" t="s">
        <v>121</v>
      </c>
      <c r="B606" s="131" t="s">
        <v>250</v>
      </c>
      <c r="C606" s="17"/>
      <c r="D606" s="17"/>
      <c r="E606" s="17"/>
    </row>
    <row r="607" spans="1:5" s="29" customFormat="1" ht="16.2" hidden="1" customHeight="1" thickBot="1" x14ac:dyDescent="0.35">
      <c r="A607" s="126"/>
      <c r="B607" s="132"/>
      <c r="C607" s="18"/>
      <c r="D607" s="18"/>
      <c r="E607" s="18"/>
    </row>
    <row r="608" spans="1:5" s="29" customFormat="1" ht="16.2" hidden="1" customHeight="1" thickBot="1" x14ac:dyDescent="0.35">
      <c r="A608" s="126"/>
      <c r="B608" s="132"/>
      <c r="C608" s="18"/>
      <c r="D608" s="18"/>
      <c r="E608" s="18"/>
    </row>
    <row r="609" spans="1:5" s="29" customFormat="1" ht="16.2" hidden="1" customHeight="1" thickBot="1" x14ac:dyDescent="0.35">
      <c r="A609" s="126"/>
      <c r="B609" s="132"/>
      <c r="C609" s="18"/>
      <c r="D609" s="18"/>
      <c r="E609" s="18"/>
    </row>
    <row r="610" spans="1:5" s="29" customFormat="1" ht="16.2" hidden="1" customHeight="1" thickBot="1" x14ac:dyDescent="0.35">
      <c r="A610" s="128"/>
      <c r="B610" s="133"/>
      <c r="C610" s="19"/>
      <c r="D610" s="19"/>
      <c r="E610" s="19"/>
    </row>
    <row r="611" spans="1:5" s="29" customFormat="1" ht="16.2" hidden="1" customHeight="1" thickBot="1" x14ac:dyDescent="0.35">
      <c r="A611" s="124" t="s">
        <v>122</v>
      </c>
      <c r="B611" s="125" t="s">
        <v>281</v>
      </c>
      <c r="C611" s="17"/>
      <c r="D611" s="17"/>
      <c r="E611" s="17"/>
    </row>
    <row r="612" spans="1:5" s="29" customFormat="1" ht="16.2" hidden="1" customHeight="1" thickBot="1" x14ac:dyDescent="0.35">
      <c r="A612" s="126"/>
      <c r="B612" s="127"/>
      <c r="C612" s="18"/>
      <c r="D612" s="18"/>
      <c r="E612" s="18"/>
    </row>
    <row r="613" spans="1:5" s="29" customFormat="1" ht="16.2" hidden="1" customHeight="1" thickBot="1" x14ac:dyDescent="0.35">
      <c r="A613" s="126"/>
      <c r="B613" s="127"/>
      <c r="C613" s="18"/>
      <c r="D613" s="18"/>
      <c r="E613" s="18"/>
    </row>
    <row r="614" spans="1:5" s="29" customFormat="1" ht="16.2" hidden="1" customHeight="1" thickBot="1" x14ac:dyDescent="0.35">
      <c r="A614" s="126"/>
      <c r="B614" s="127"/>
      <c r="C614" s="18"/>
      <c r="D614" s="18"/>
      <c r="E614" s="18"/>
    </row>
    <row r="615" spans="1:5" s="29" customFormat="1" ht="16.2" hidden="1" customHeight="1" thickBot="1" x14ac:dyDescent="0.35">
      <c r="A615" s="128"/>
      <c r="B615" s="129"/>
      <c r="C615" s="19"/>
      <c r="D615" s="19"/>
      <c r="E615" s="19"/>
    </row>
    <row r="616" spans="1:5" s="29" customFormat="1" ht="16.2" hidden="1" customHeight="1" thickBot="1" x14ac:dyDescent="0.35">
      <c r="A616" s="124" t="s">
        <v>123</v>
      </c>
      <c r="B616" s="125" t="s">
        <v>252</v>
      </c>
      <c r="C616" s="17"/>
      <c r="D616" s="17"/>
      <c r="E616" s="17"/>
    </row>
    <row r="617" spans="1:5" s="29" customFormat="1" ht="16.2" hidden="1" customHeight="1" thickBot="1" x14ac:dyDescent="0.35">
      <c r="A617" s="126"/>
      <c r="B617" s="127"/>
      <c r="C617" s="18"/>
      <c r="D617" s="18"/>
      <c r="E617" s="18"/>
    </row>
    <row r="618" spans="1:5" s="29" customFormat="1" ht="16.2" hidden="1" customHeight="1" thickBot="1" x14ac:dyDescent="0.35">
      <c r="A618" s="126"/>
      <c r="B618" s="127"/>
      <c r="C618" s="18"/>
      <c r="D618" s="18"/>
      <c r="E618" s="18"/>
    </row>
    <row r="619" spans="1:5" s="29" customFormat="1" ht="16.2" hidden="1" customHeight="1" thickBot="1" x14ac:dyDescent="0.35">
      <c r="A619" s="126"/>
      <c r="B619" s="127"/>
      <c r="C619" s="18"/>
      <c r="D619" s="18"/>
      <c r="E619" s="18"/>
    </row>
    <row r="620" spans="1:5" s="29" customFormat="1" ht="16.2" hidden="1" customHeight="1" thickBot="1" x14ac:dyDescent="0.35">
      <c r="A620" s="128"/>
      <c r="B620" s="129"/>
      <c r="C620" s="19"/>
      <c r="D620" s="19"/>
      <c r="E620" s="19"/>
    </row>
    <row r="621" spans="1:5" s="29" customFormat="1" ht="16.2" hidden="1" customHeight="1" thickBot="1" x14ac:dyDescent="0.35">
      <c r="A621" s="124" t="s">
        <v>124</v>
      </c>
      <c r="B621" s="125" t="s">
        <v>253</v>
      </c>
      <c r="C621" s="17"/>
      <c r="D621" s="17"/>
      <c r="E621" s="17"/>
    </row>
    <row r="622" spans="1:5" s="29" customFormat="1" ht="16.2" hidden="1" customHeight="1" thickBot="1" x14ac:dyDescent="0.35">
      <c r="A622" s="126"/>
      <c r="B622" s="127"/>
      <c r="C622" s="18"/>
      <c r="D622" s="18"/>
      <c r="E622" s="18"/>
    </row>
    <row r="623" spans="1:5" s="29" customFormat="1" ht="16.2" hidden="1" customHeight="1" thickBot="1" x14ac:dyDescent="0.35">
      <c r="A623" s="126"/>
      <c r="B623" s="127"/>
      <c r="C623" s="18"/>
      <c r="D623" s="18"/>
      <c r="E623" s="18"/>
    </row>
    <row r="624" spans="1:5" s="29" customFormat="1" ht="16.2" hidden="1" customHeight="1" thickBot="1" x14ac:dyDescent="0.35">
      <c r="A624" s="126"/>
      <c r="B624" s="127"/>
      <c r="C624" s="18"/>
      <c r="D624" s="18"/>
      <c r="E624" s="18"/>
    </row>
    <row r="625" spans="1:5" s="29" customFormat="1" ht="16.2" hidden="1" customHeight="1" thickBot="1" x14ac:dyDescent="0.35">
      <c r="A625" s="128"/>
      <c r="B625" s="129"/>
      <c r="C625" s="19"/>
      <c r="D625" s="19"/>
      <c r="E625" s="19"/>
    </row>
    <row r="626" spans="1:5" s="29" customFormat="1" ht="16.2" hidden="1" customHeight="1" thickBot="1" x14ac:dyDescent="0.35">
      <c r="A626" s="124" t="s">
        <v>125</v>
      </c>
      <c r="B626" s="125" t="s">
        <v>249</v>
      </c>
      <c r="C626" s="17"/>
      <c r="D626" s="17"/>
      <c r="E626" s="17"/>
    </row>
    <row r="627" spans="1:5" s="29" customFormat="1" ht="16.2" hidden="1" customHeight="1" thickBot="1" x14ac:dyDescent="0.35">
      <c r="A627" s="126"/>
      <c r="B627" s="127"/>
      <c r="C627" s="18"/>
      <c r="D627" s="18"/>
      <c r="E627" s="18"/>
    </row>
    <row r="628" spans="1:5" s="29" customFormat="1" ht="16.2" hidden="1" customHeight="1" thickBot="1" x14ac:dyDescent="0.35">
      <c r="A628" s="126"/>
      <c r="B628" s="127"/>
      <c r="C628" s="18"/>
      <c r="D628" s="18"/>
      <c r="E628" s="18"/>
    </row>
    <row r="629" spans="1:5" s="29" customFormat="1" ht="16.2" hidden="1" customHeight="1" thickBot="1" x14ac:dyDescent="0.35">
      <c r="A629" s="126"/>
      <c r="B629" s="127"/>
      <c r="C629" s="18"/>
      <c r="D629" s="18"/>
      <c r="E629" s="18"/>
    </row>
    <row r="630" spans="1:5" s="29" customFormat="1" ht="16.2" hidden="1" customHeight="1" thickBot="1" x14ac:dyDescent="0.35">
      <c r="A630" s="128"/>
      <c r="B630" s="129"/>
      <c r="C630" s="19"/>
      <c r="D630" s="19"/>
      <c r="E630" s="19"/>
    </row>
    <row r="631" spans="1:5" s="29" customFormat="1" ht="16.2" hidden="1" customHeight="1" thickBot="1" x14ac:dyDescent="0.35">
      <c r="A631" s="124" t="s">
        <v>126</v>
      </c>
      <c r="B631" s="125" t="s">
        <v>250</v>
      </c>
      <c r="C631" s="17"/>
      <c r="D631" s="17"/>
      <c r="E631" s="17"/>
    </row>
    <row r="632" spans="1:5" s="29" customFormat="1" ht="16.2" hidden="1" customHeight="1" thickBot="1" x14ac:dyDescent="0.35">
      <c r="A632" s="126"/>
      <c r="B632" s="127"/>
      <c r="C632" s="18"/>
      <c r="D632" s="18"/>
      <c r="E632" s="18"/>
    </row>
    <row r="633" spans="1:5" s="29" customFormat="1" ht="16.2" hidden="1" customHeight="1" thickBot="1" x14ac:dyDescent="0.35">
      <c r="A633" s="126"/>
      <c r="B633" s="127"/>
      <c r="C633" s="18"/>
      <c r="D633" s="18"/>
      <c r="E633" s="18"/>
    </row>
    <row r="634" spans="1:5" s="29" customFormat="1" ht="16.2" hidden="1" customHeight="1" thickBot="1" x14ac:dyDescent="0.35">
      <c r="A634" s="126"/>
      <c r="B634" s="127"/>
      <c r="C634" s="18"/>
      <c r="D634" s="18"/>
      <c r="E634" s="18"/>
    </row>
    <row r="635" spans="1:5" s="29" customFormat="1" ht="16.2" hidden="1" customHeight="1" thickBot="1" x14ac:dyDescent="0.35">
      <c r="A635" s="128"/>
      <c r="B635" s="129"/>
      <c r="C635" s="19"/>
      <c r="D635" s="19"/>
      <c r="E635" s="19"/>
    </row>
    <row r="636" spans="1:5" s="29" customFormat="1" ht="16.2" hidden="1" customHeight="1" thickBot="1" x14ac:dyDescent="0.35">
      <c r="A636" s="124" t="s">
        <v>127</v>
      </c>
      <c r="B636" s="125" t="s">
        <v>252</v>
      </c>
      <c r="C636" s="17"/>
      <c r="D636" s="17"/>
      <c r="E636" s="17"/>
    </row>
    <row r="637" spans="1:5" s="29" customFormat="1" ht="16.2" hidden="1" customHeight="1" thickBot="1" x14ac:dyDescent="0.35">
      <c r="A637" s="126"/>
      <c r="B637" s="127"/>
      <c r="C637" s="18"/>
      <c r="D637" s="18"/>
      <c r="E637" s="18"/>
    </row>
    <row r="638" spans="1:5" s="29" customFormat="1" ht="16.2" hidden="1" customHeight="1" thickBot="1" x14ac:dyDescent="0.35">
      <c r="A638" s="126"/>
      <c r="B638" s="127"/>
      <c r="C638" s="18"/>
      <c r="D638" s="18"/>
      <c r="E638" s="18"/>
    </row>
    <row r="639" spans="1:5" s="29" customFormat="1" ht="16.2" hidden="1" customHeight="1" thickBot="1" x14ac:dyDescent="0.35">
      <c r="A639" s="126"/>
      <c r="B639" s="127"/>
      <c r="C639" s="18"/>
      <c r="D639" s="18"/>
      <c r="E639" s="18"/>
    </row>
    <row r="640" spans="1:5" s="29" customFormat="1" ht="16.2" hidden="1" customHeight="1" thickBot="1" x14ac:dyDescent="0.35">
      <c r="A640" s="128"/>
      <c r="B640" s="129"/>
      <c r="C640" s="19"/>
      <c r="D640" s="19"/>
      <c r="E640" s="19"/>
    </row>
    <row r="641" spans="1:5" s="29" customFormat="1" ht="16.2" hidden="1" customHeight="1" thickBot="1" x14ac:dyDescent="0.35">
      <c r="A641" s="124" t="s">
        <v>128</v>
      </c>
      <c r="B641" s="125" t="s">
        <v>253</v>
      </c>
      <c r="C641" s="17"/>
      <c r="D641" s="17"/>
      <c r="E641" s="17"/>
    </row>
    <row r="642" spans="1:5" s="29" customFormat="1" ht="16.2" hidden="1" customHeight="1" thickBot="1" x14ac:dyDescent="0.35">
      <c r="A642" s="126"/>
      <c r="B642" s="127"/>
      <c r="C642" s="18"/>
      <c r="D642" s="18"/>
      <c r="E642" s="18"/>
    </row>
    <row r="643" spans="1:5" s="29" customFormat="1" ht="16.2" hidden="1" customHeight="1" thickBot="1" x14ac:dyDescent="0.35">
      <c r="A643" s="126"/>
      <c r="B643" s="127"/>
      <c r="C643" s="18"/>
      <c r="D643" s="18"/>
      <c r="E643" s="18"/>
    </row>
    <row r="644" spans="1:5" s="29" customFormat="1" ht="16.2" hidden="1" customHeight="1" thickBot="1" x14ac:dyDescent="0.35">
      <c r="A644" s="126"/>
      <c r="B644" s="127"/>
      <c r="C644" s="18"/>
      <c r="D644" s="18"/>
      <c r="E644" s="18"/>
    </row>
    <row r="645" spans="1:5" s="29" customFormat="1" ht="16.2" hidden="1" customHeight="1" thickBot="1" x14ac:dyDescent="0.35">
      <c r="A645" s="128"/>
      <c r="B645" s="129"/>
      <c r="C645" s="19"/>
      <c r="D645" s="19"/>
      <c r="E645" s="19"/>
    </row>
    <row r="646" spans="1:5" s="29" customFormat="1" ht="16.2" hidden="1" customHeight="1" thickBot="1" x14ac:dyDescent="0.35">
      <c r="A646" s="124" t="s">
        <v>129</v>
      </c>
      <c r="B646" s="125" t="s">
        <v>281</v>
      </c>
      <c r="C646" s="17"/>
      <c r="D646" s="17"/>
      <c r="E646" s="17"/>
    </row>
    <row r="647" spans="1:5" s="29" customFormat="1" ht="16.2" hidden="1" customHeight="1" thickBot="1" x14ac:dyDescent="0.35">
      <c r="A647" s="126"/>
      <c r="B647" s="127"/>
      <c r="C647" s="18"/>
      <c r="D647" s="18"/>
      <c r="E647" s="18"/>
    </row>
    <row r="648" spans="1:5" s="29" customFormat="1" ht="16.2" hidden="1" customHeight="1" thickBot="1" x14ac:dyDescent="0.35">
      <c r="A648" s="126"/>
      <c r="B648" s="127"/>
      <c r="C648" s="18"/>
      <c r="D648" s="18"/>
      <c r="E648" s="18"/>
    </row>
    <row r="649" spans="1:5" s="29" customFormat="1" ht="16.2" hidden="1" customHeight="1" thickBot="1" x14ac:dyDescent="0.35">
      <c r="A649" s="126"/>
      <c r="B649" s="127"/>
      <c r="C649" s="18"/>
      <c r="D649" s="18"/>
      <c r="E649" s="18"/>
    </row>
    <row r="650" spans="1:5" s="29" customFormat="1" ht="16.2" hidden="1" customHeight="1" thickBot="1" x14ac:dyDescent="0.35">
      <c r="A650" s="128"/>
      <c r="B650" s="129"/>
      <c r="C650" s="19"/>
      <c r="D650" s="19"/>
      <c r="E650" s="19"/>
    </row>
    <row r="651" spans="1:5" s="29" customFormat="1" ht="16.2" hidden="1" customHeight="1" thickBot="1" x14ac:dyDescent="0.35">
      <c r="A651" s="124" t="s">
        <v>130</v>
      </c>
      <c r="B651" s="125" t="s">
        <v>282</v>
      </c>
      <c r="C651" s="17">
        <v>32.450000000000003</v>
      </c>
      <c r="D651" s="17"/>
      <c r="E651" s="17"/>
    </row>
    <row r="652" spans="1:5" s="29" customFormat="1" ht="16.2" hidden="1" customHeight="1" thickBot="1" x14ac:dyDescent="0.35">
      <c r="A652" s="126"/>
      <c r="B652" s="127"/>
      <c r="C652" s="18">
        <f>C651-7.5</f>
        <v>24.950000000000003</v>
      </c>
      <c r="D652" s="18"/>
      <c r="E652" s="18"/>
    </row>
    <row r="653" spans="1:5" s="29" customFormat="1" ht="16.2" hidden="1" customHeight="1" thickBot="1" x14ac:dyDescent="0.35">
      <c r="A653" s="126"/>
      <c r="B653" s="127"/>
      <c r="C653" s="18">
        <f>C651-C652</f>
        <v>7.5</v>
      </c>
      <c r="D653" s="18"/>
      <c r="E653" s="18"/>
    </row>
    <row r="654" spans="1:5" s="29" customFormat="1" ht="16.2" hidden="1" customHeight="1" thickBot="1" x14ac:dyDescent="0.35">
      <c r="A654" s="126"/>
      <c r="B654" s="127"/>
      <c r="C654" s="18"/>
      <c r="D654" s="18"/>
      <c r="E654" s="18"/>
    </row>
    <row r="655" spans="1:5" s="29" customFormat="1" ht="16.2" hidden="1" customHeight="1" thickBot="1" x14ac:dyDescent="0.35">
      <c r="A655" s="128"/>
      <c r="B655" s="129"/>
      <c r="C655" s="19"/>
      <c r="D655" s="19"/>
      <c r="E655" s="19"/>
    </row>
    <row r="656" spans="1:5" s="29" customFormat="1" ht="16.2" hidden="1" customHeight="1" thickBot="1" x14ac:dyDescent="0.35">
      <c r="A656" s="124" t="s">
        <v>131</v>
      </c>
      <c r="B656" s="125" t="s">
        <v>283</v>
      </c>
      <c r="C656" s="17"/>
      <c r="D656" s="17"/>
      <c r="E656" s="17"/>
    </row>
    <row r="657" spans="1:5" s="29" customFormat="1" ht="16.2" hidden="1" customHeight="1" thickBot="1" x14ac:dyDescent="0.35">
      <c r="A657" s="126"/>
      <c r="B657" s="127"/>
      <c r="C657" s="18"/>
      <c r="D657" s="18"/>
      <c r="E657" s="18"/>
    </row>
    <row r="658" spans="1:5" s="29" customFormat="1" ht="16.2" hidden="1" customHeight="1" thickBot="1" x14ac:dyDescent="0.35">
      <c r="A658" s="126"/>
      <c r="B658" s="127"/>
      <c r="C658" s="18"/>
      <c r="D658" s="18"/>
      <c r="E658" s="18"/>
    </row>
    <row r="659" spans="1:5" s="29" customFormat="1" ht="16.2" hidden="1" customHeight="1" thickBot="1" x14ac:dyDescent="0.35">
      <c r="A659" s="126"/>
      <c r="B659" s="127"/>
      <c r="C659" s="18"/>
      <c r="D659" s="18"/>
      <c r="E659" s="18"/>
    </row>
    <row r="660" spans="1:5" s="29" customFormat="1" ht="16.2" hidden="1" customHeight="1" thickBot="1" x14ac:dyDescent="0.35">
      <c r="A660" s="128"/>
      <c r="B660" s="129"/>
      <c r="C660" s="19"/>
      <c r="D660" s="19"/>
      <c r="E660" s="19"/>
    </row>
    <row r="661" spans="1:5" s="29" customFormat="1" ht="16.2" hidden="1" customHeight="1" thickBot="1" x14ac:dyDescent="0.35">
      <c r="A661" s="124" t="s">
        <v>132</v>
      </c>
      <c r="B661" s="125" t="s">
        <v>284</v>
      </c>
      <c r="C661" s="17">
        <v>21.53</v>
      </c>
      <c r="D661" s="17"/>
      <c r="E661" s="17"/>
    </row>
    <row r="662" spans="1:5" s="29" customFormat="1" ht="16.2" hidden="1" customHeight="1" thickBot="1" x14ac:dyDescent="0.35">
      <c r="A662" s="126"/>
      <c r="B662" s="127"/>
      <c r="C662" s="18">
        <f>C661</f>
        <v>21.53</v>
      </c>
      <c r="D662" s="18"/>
      <c r="E662" s="18"/>
    </row>
    <row r="663" spans="1:5" s="29" customFormat="1" ht="16.2" hidden="1" customHeight="1" thickBot="1" x14ac:dyDescent="0.35">
      <c r="A663" s="126"/>
      <c r="B663" s="127"/>
      <c r="C663" s="18">
        <f>C661-C662</f>
        <v>0</v>
      </c>
      <c r="D663" s="18"/>
      <c r="E663" s="18"/>
    </row>
    <row r="664" spans="1:5" s="29" customFormat="1" ht="16.2" hidden="1" customHeight="1" thickBot="1" x14ac:dyDescent="0.35">
      <c r="A664" s="126"/>
      <c r="B664" s="127"/>
      <c r="C664" s="18">
        <v>4.7</v>
      </c>
      <c r="D664" s="18"/>
      <c r="E664" s="18"/>
    </row>
    <row r="665" spans="1:5" s="29" customFormat="1" ht="16.2" hidden="1" customHeight="1" thickBot="1" x14ac:dyDescent="0.35">
      <c r="A665" s="128"/>
      <c r="B665" s="129"/>
      <c r="C665" s="19"/>
      <c r="D665" s="19"/>
      <c r="E665" s="19"/>
    </row>
    <row r="666" spans="1:5" s="29" customFormat="1" ht="16.2" hidden="1" customHeight="1" thickBot="1" x14ac:dyDescent="0.35">
      <c r="A666" s="124" t="s">
        <v>133</v>
      </c>
      <c r="B666" s="125" t="s">
        <v>285</v>
      </c>
      <c r="C666" s="17">
        <v>1.55</v>
      </c>
      <c r="D666" s="17"/>
      <c r="E666" s="17"/>
    </row>
    <row r="667" spans="1:5" s="29" customFormat="1" ht="16.2" hidden="1" customHeight="1" thickBot="1" x14ac:dyDescent="0.35">
      <c r="A667" s="126"/>
      <c r="B667" s="127"/>
      <c r="C667" s="18">
        <v>0</v>
      </c>
      <c r="D667" s="18"/>
      <c r="E667" s="18"/>
    </row>
    <row r="668" spans="1:5" s="29" customFormat="1" ht="16.2" hidden="1" customHeight="1" thickBot="1" x14ac:dyDescent="0.35">
      <c r="A668" s="126"/>
      <c r="B668" s="127"/>
      <c r="C668" s="18">
        <f>C666-C667</f>
        <v>1.55</v>
      </c>
      <c r="D668" s="18"/>
      <c r="E668" s="18"/>
    </row>
    <row r="669" spans="1:5" s="29" customFormat="1" ht="16.2" hidden="1" customHeight="1" thickBot="1" x14ac:dyDescent="0.35">
      <c r="A669" s="126"/>
      <c r="B669" s="127"/>
      <c r="C669" s="18"/>
      <c r="D669" s="18"/>
      <c r="E669" s="18"/>
    </row>
    <row r="670" spans="1:5" s="29" customFormat="1" ht="16.2" hidden="1" customHeight="1" thickBot="1" x14ac:dyDescent="0.35">
      <c r="A670" s="128"/>
      <c r="B670" s="129"/>
      <c r="C670" s="19"/>
      <c r="D670" s="19"/>
      <c r="E670" s="19"/>
    </row>
    <row r="671" spans="1:5" s="29" customFormat="1" ht="16.2" hidden="1" customHeight="1" thickBot="1" x14ac:dyDescent="0.35">
      <c r="A671" s="124" t="s">
        <v>134</v>
      </c>
      <c r="B671" s="125" t="s">
        <v>218</v>
      </c>
      <c r="C671" s="17"/>
      <c r="D671" s="17"/>
      <c r="E671" s="17"/>
    </row>
    <row r="672" spans="1:5" s="29" customFormat="1" ht="16.2" hidden="1" customHeight="1" thickBot="1" x14ac:dyDescent="0.35">
      <c r="A672" s="126"/>
      <c r="B672" s="127"/>
      <c r="C672" s="18"/>
      <c r="D672" s="18"/>
      <c r="E672" s="18"/>
    </row>
    <row r="673" spans="1:5" s="29" customFormat="1" ht="16.2" hidden="1" customHeight="1" thickBot="1" x14ac:dyDescent="0.35">
      <c r="A673" s="126"/>
      <c r="B673" s="127"/>
      <c r="C673" s="18"/>
      <c r="D673" s="18"/>
      <c r="E673" s="18"/>
    </row>
    <row r="674" spans="1:5" s="29" customFormat="1" ht="16.2" hidden="1" customHeight="1" thickBot="1" x14ac:dyDescent="0.35">
      <c r="A674" s="126"/>
      <c r="B674" s="127"/>
      <c r="C674" s="18"/>
      <c r="D674" s="18"/>
      <c r="E674" s="18"/>
    </row>
    <row r="675" spans="1:5" s="29" customFormat="1" ht="16.2" hidden="1" customHeight="1" thickBot="1" x14ac:dyDescent="0.35">
      <c r="A675" s="128"/>
      <c r="B675" s="129"/>
      <c r="C675" s="19"/>
      <c r="D675" s="19"/>
      <c r="E675" s="19"/>
    </row>
    <row r="676" spans="1:5" s="29" customFormat="1" ht="16.2" hidden="1" customHeight="1" thickBot="1" x14ac:dyDescent="0.35">
      <c r="A676" s="124" t="s">
        <v>135</v>
      </c>
      <c r="B676" s="125" t="s">
        <v>215</v>
      </c>
      <c r="C676" s="17"/>
      <c r="D676" s="17"/>
      <c r="E676" s="17"/>
    </row>
    <row r="677" spans="1:5" s="29" customFormat="1" ht="16.2" hidden="1" customHeight="1" thickBot="1" x14ac:dyDescent="0.35">
      <c r="A677" s="126"/>
      <c r="B677" s="127"/>
      <c r="C677" s="18"/>
      <c r="D677" s="18"/>
      <c r="E677" s="18"/>
    </row>
    <row r="678" spans="1:5" s="29" customFormat="1" ht="16.2" hidden="1" customHeight="1" thickBot="1" x14ac:dyDescent="0.35">
      <c r="A678" s="126"/>
      <c r="B678" s="127"/>
      <c r="C678" s="18"/>
      <c r="D678" s="18"/>
      <c r="E678" s="18"/>
    </row>
    <row r="679" spans="1:5" s="29" customFormat="1" ht="16.2" hidden="1" customHeight="1" thickBot="1" x14ac:dyDescent="0.35">
      <c r="A679" s="126"/>
      <c r="B679" s="127"/>
      <c r="C679" s="18"/>
      <c r="D679" s="18"/>
      <c r="E679" s="18"/>
    </row>
    <row r="680" spans="1:5" s="29" customFormat="1" ht="16.2" hidden="1" customHeight="1" thickBot="1" x14ac:dyDescent="0.35">
      <c r="A680" s="128"/>
      <c r="B680" s="129"/>
      <c r="C680" s="19"/>
      <c r="D680" s="19"/>
      <c r="E680" s="19"/>
    </row>
    <row r="681" spans="1:5" s="29" customFormat="1" ht="16.2" hidden="1" customHeight="1" thickBot="1" x14ac:dyDescent="0.35">
      <c r="A681" s="124" t="s">
        <v>136</v>
      </c>
      <c r="B681" s="125" t="s">
        <v>286</v>
      </c>
      <c r="C681" s="17"/>
      <c r="D681" s="17"/>
      <c r="E681" s="17"/>
    </row>
    <row r="682" spans="1:5" s="29" customFormat="1" ht="16.2" hidden="1" customHeight="1" thickBot="1" x14ac:dyDescent="0.35">
      <c r="A682" s="126"/>
      <c r="B682" s="127"/>
      <c r="C682" s="18"/>
      <c r="D682" s="18"/>
      <c r="E682" s="18"/>
    </row>
    <row r="683" spans="1:5" s="29" customFormat="1" ht="16.2" hidden="1" customHeight="1" thickBot="1" x14ac:dyDescent="0.35">
      <c r="A683" s="126"/>
      <c r="B683" s="127"/>
      <c r="C683" s="18"/>
      <c r="D683" s="18"/>
      <c r="E683" s="18"/>
    </row>
    <row r="684" spans="1:5" s="29" customFormat="1" ht="16.2" hidden="1" customHeight="1" thickBot="1" x14ac:dyDescent="0.35">
      <c r="A684" s="126"/>
      <c r="B684" s="127"/>
      <c r="C684" s="18"/>
      <c r="D684" s="18"/>
      <c r="E684" s="18"/>
    </row>
    <row r="685" spans="1:5" s="29" customFormat="1" ht="16.2" hidden="1" customHeight="1" thickBot="1" x14ac:dyDescent="0.35">
      <c r="A685" s="128"/>
      <c r="B685" s="129"/>
      <c r="C685" s="19"/>
      <c r="D685" s="19"/>
      <c r="E685" s="19"/>
    </row>
    <row r="686" spans="1:5" s="29" customFormat="1" ht="16.2" hidden="1" customHeight="1" thickBot="1" x14ac:dyDescent="0.35">
      <c r="A686" s="124" t="s">
        <v>137</v>
      </c>
      <c r="B686" s="125" t="s">
        <v>287</v>
      </c>
      <c r="C686" s="17"/>
      <c r="D686" s="17"/>
      <c r="E686" s="17"/>
    </row>
    <row r="687" spans="1:5" s="29" customFormat="1" ht="16.2" hidden="1" customHeight="1" thickBot="1" x14ac:dyDescent="0.35">
      <c r="A687" s="126"/>
      <c r="B687" s="127"/>
      <c r="C687" s="18"/>
      <c r="D687" s="18"/>
      <c r="E687" s="18"/>
    </row>
    <row r="688" spans="1:5" s="29" customFormat="1" ht="16.2" hidden="1" customHeight="1" thickBot="1" x14ac:dyDescent="0.35">
      <c r="A688" s="126"/>
      <c r="B688" s="127"/>
      <c r="C688" s="18"/>
      <c r="D688" s="18"/>
      <c r="E688" s="18"/>
    </row>
    <row r="689" spans="1:5" s="29" customFormat="1" ht="16.2" hidden="1" customHeight="1" thickBot="1" x14ac:dyDescent="0.35">
      <c r="A689" s="126"/>
      <c r="B689" s="127"/>
      <c r="C689" s="18"/>
      <c r="D689" s="18"/>
      <c r="E689" s="18"/>
    </row>
    <row r="690" spans="1:5" s="29" customFormat="1" ht="16.2" hidden="1" customHeight="1" thickBot="1" x14ac:dyDescent="0.35">
      <c r="A690" s="128"/>
      <c r="B690" s="129"/>
      <c r="C690" s="19"/>
      <c r="D690" s="19"/>
      <c r="E690" s="19"/>
    </row>
    <row r="691" spans="1:5" s="29" customFormat="1" ht="16.2" hidden="1" customHeight="1" thickBot="1" x14ac:dyDescent="0.35">
      <c r="A691" s="124" t="s">
        <v>138</v>
      </c>
      <c r="B691" s="125" t="s">
        <v>277</v>
      </c>
      <c r="C691" s="17">
        <f>0.4*3.9</f>
        <v>1.56</v>
      </c>
      <c r="D691" s="17"/>
      <c r="E691" s="17"/>
    </row>
    <row r="692" spans="1:5" s="29" customFormat="1" ht="16.2" hidden="1" customHeight="1" thickBot="1" x14ac:dyDescent="0.35">
      <c r="A692" s="126"/>
      <c r="B692" s="127"/>
      <c r="C692" s="18">
        <f>C691</f>
        <v>1.56</v>
      </c>
      <c r="D692" s="18"/>
      <c r="E692" s="18"/>
    </row>
    <row r="693" spans="1:5" s="29" customFormat="1" ht="16.2" hidden="1" customHeight="1" thickBot="1" x14ac:dyDescent="0.35">
      <c r="A693" s="126"/>
      <c r="B693" s="127"/>
      <c r="C693" s="18">
        <f>C691-C692</f>
        <v>0</v>
      </c>
      <c r="D693" s="18"/>
      <c r="E693" s="18"/>
    </row>
    <row r="694" spans="1:5" s="29" customFormat="1" ht="16.2" hidden="1" customHeight="1" thickBot="1" x14ac:dyDescent="0.35">
      <c r="A694" s="126"/>
      <c r="B694" s="127"/>
      <c r="C694" s="18"/>
      <c r="D694" s="18"/>
      <c r="E694" s="18"/>
    </row>
    <row r="695" spans="1:5" s="29" customFormat="1" ht="16.2" hidden="1" customHeight="1" thickBot="1" x14ac:dyDescent="0.35">
      <c r="A695" s="128"/>
      <c r="B695" s="129"/>
      <c r="C695" s="19"/>
      <c r="D695" s="19"/>
      <c r="E695" s="19"/>
    </row>
    <row r="696" spans="1:5" s="29" customFormat="1" ht="16.2" hidden="1" customHeight="1" thickBot="1" x14ac:dyDescent="0.35">
      <c r="A696" s="124" t="s">
        <v>139</v>
      </c>
      <c r="B696" s="125" t="s">
        <v>218</v>
      </c>
      <c r="C696" s="17"/>
      <c r="D696" s="17"/>
      <c r="E696" s="17"/>
    </row>
    <row r="697" spans="1:5" s="29" customFormat="1" ht="16.2" hidden="1" customHeight="1" thickBot="1" x14ac:dyDescent="0.35">
      <c r="A697" s="126"/>
      <c r="B697" s="127"/>
      <c r="C697" s="18"/>
      <c r="D697" s="18"/>
      <c r="E697" s="18"/>
    </row>
    <row r="698" spans="1:5" s="29" customFormat="1" ht="16.2" hidden="1" customHeight="1" thickBot="1" x14ac:dyDescent="0.35">
      <c r="A698" s="126"/>
      <c r="B698" s="127"/>
      <c r="C698" s="18"/>
      <c r="D698" s="18"/>
      <c r="E698" s="18"/>
    </row>
    <row r="699" spans="1:5" s="29" customFormat="1" ht="16.2" hidden="1" customHeight="1" thickBot="1" x14ac:dyDescent="0.35">
      <c r="A699" s="126"/>
      <c r="B699" s="127"/>
      <c r="C699" s="18"/>
      <c r="D699" s="18"/>
      <c r="E699" s="18"/>
    </row>
    <row r="700" spans="1:5" s="29" customFormat="1" ht="16.2" hidden="1" customHeight="1" thickBot="1" x14ac:dyDescent="0.35">
      <c r="A700" s="128"/>
      <c r="B700" s="129"/>
      <c r="C700" s="19"/>
      <c r="D700" s="19"/>
      <c r="E700" s="19"/>
    </row>
    <row r="701" spans="1:5" s="29" customFormat="1" ht="16.2" hidden="1" customHeight="1" thickBot="1" x14ac:dyDescent="0.35">
      <c r="A701" s="124" t="s">
        <v>140</v>
      </c>
      <c r="B701" s="125" t="s">
        <v>288</v>
      </c>
      <c r="C701" s="17"/>
      <c r="D701" s="17"/>
      <c r="E701" s="17"/>
    </row>
    <row r="702" spans="1:5" s="29" customFormat="1" ht="16.2" hidden="1" customHeight="1" thickBot="1" x14ac:dyDescent="0.35">
      <c r="A702" s="126"/>
      <c r="B702" s="127"/>
      <c r="C702" s="18"/>
      <c r="D702" s="18"/>
      <c r="E702" s="18"/>
    </row>
    <row r="703" spans="1:5" s="29" customFormat="1" ht="16.2" hidden="1" customHeight="1" thickBot="1" x14ac:dyDescent="0.35">
      <c r="A703" s="126"/>
      <c r="B703" s="127"/>
      <c r="C703" s="18"/>
      <c r="D703" s="18"/>
      <c r="E703" s="18"/>
    </row>
    <row r="704" spans="1:5" s="29" customFormat="1" ht="16.2" hidden="1" customHeight="1" thickBot="1" x14ac:dyDescent="0.35">
      <c r="A704" s="126"/>
      <c r="B704" s="127"/>
      <c r="C704" s="18"/>
      <c r="D704" s="18"/>
      <c r="E704" s="18"/>
    </row>
    <row r="705" spans="1:5" s="29" customFormat="1" ht="16.2" hidden="1" customHeight="1" thickBot="1" x14ac:dyDescent="0.35">
      <c r="A705" s="128"/>
      <c r="B705" s="129"/>
      <c r="C705" s="20"/>
      <c r="D705" s="19"/>
      <c r="E705" s="19"/>
    </row>
    <row r="706" spans="1:5" s="29" customFormat="1" ht="60" customHeight="1" thickBot="1" x14ac:dyDescent="0.35">
      <c r="A706" s="130" t="s">
        <v>141</v>
      </c>
      <c r="B706" s="131" t="s">
        <v>273</v>
      </c>
      <c r="C706" s="64">
        <v>2</v>
      </c>
      <c r="D706" s="17">
        <f>(1.08+0.08+0.08+0.52+0.4+0.08+1.2+0.5+0.3)*3.9</f>
        <v>16.536000000000001</v>
      </c>
      <c r="E706" s="17"/>
    </row>
    <row r="707" spans="1:5" s="29" customFormat="1" ht="16.2" hidden="1" customHeight="1" thickBot="1" x14ac:dyDescent="0.35">
      <c r="A707" s="126"/>
      <c r="B707" s="132"/>
      <c r="C707" s="30">
        <f>C706</f>
        <v>2</v>
      </c>
      <c r="D707" s="18">
        <v>0</v>
      </c>
      <c r="E707" s="18"/>
    </row>
    <row r="708" spans="1:5" s="29" customFormat="1" ht="16.2" hidden="1" customHeight="1" thickBot="1" x14ac:dyDescent="0.35">
      <c r="A708" s="126"/>
      <c r="B708" s="132"/>
      <c r="C708" s="18">
        <f>C706-C707</f>
        <v>0</v>
      </c>
      <c r="D708" s="18">
        <f>D706-D707</f>
        <v>16.536000000000001</v>
      </c>
      <c r="E708" s="18"/>
    </row>
    <row r="709" spans="1:5" s="29" customFormat="1" ht="16.2" hidden="1" customHeight="1" thickBot="1" x14ac:dyDescent="0.35">
      <c r="A709" s="126"/>
      <c r="B709" s="132"/>
      <c r="C709" s="18"/>
      <c r="D709" s="18"/>
      <c r="E709" s="18"/>
    </row>
    <row r="710" spans="1:5" s="29" customFormat="1" ht="16.2" hidden="1" customHeight="1" thickBot="1" x14ac:dyDescent="0.35">
      <c r="A710" s="128"/>
      <c r="B710" s="133"/>
      <c r="C710" s="19"/>
      <c r="D710" s="19"/>
      <c r="E710" s="19"/>
    </row>
    <row r="711" spans="1:5" s="2" customFormat="1" ht="15" hidden="1" customHeight="1" thickBot="1" x14ac:dyDescent="0.35">
      <c r="A711" s="145" t="s">
        <v>189</v>
      </c>
      <c r="B711" s="21"/>
      <c r="C711" s="11" t="e">
        <f>C706+C701+C696+C691+C686+C681+C676+C671+C666+C661+C656+C651+C646+C641+C636+C631+C626+C621+C616+C611+C606+C601+C596+C591+C586+C581+C576+C571+C566+C561+C556+C551+C546+C541+C536+C531+C526+C521+C516+C511+C506+C501+C496+C491+C486+C481+C476+C471+C466+C461+C456+C451+C446+C441+C436+#REF!+C426+C421</f>
        <v>#REF!</v>
      </c>
      <c r="D711" s="11">
        <f t="shared" ref="D711:E712" si="5">D706+D701+D696+D691+D686+D681+D676+D671+D666+D661+D656+D651+D646+D641+D636+D631+D626+D621+D616+D611+D606+D601+D596+D591+D586+D581+D576+D571+D566+D561+D556+D551+D546+D541+D536+D531+D526+D521+D516+D511+D506+D501+D496+D491+D486+D481+D476+D471+D466+D461+D456+D451+D446+D441+D436+D431+D426+D421</f>
        <v>141.15</v>
      </c>
      <c r="E711" s="11">
        <f t="shared" si="5"/>
        <v>198.98</v>
      </c>
    </row>
    <row r="712" spans="1:5" s="2" customFormat="1" ht="15" hidden="1" customHeight="1" thickBot="1" x14ac:dyDescent="0.35">
      <c r="A712" s="146"/>
      <c r="B712" s="22"/>
      <c r="C712" s="10">
        <f>C707+C702+C697+C692+C687+C682+C677+C672+C667+C662+C657+C652+C647+C642+C637+C632+C627+C622+C617+C612+C607+C602+C597+C592+C587+C582+C577+C572+C567+C562+C557+C552+C547+C542+C537+C532+C527+C522+C517+C512+C507+C502+C497+C492+C487+C482+C477+C472+C467+C462+C457+C452+C447+C442+C437+C431+C427+C422</f>
        <v>365.93299999999999</v>
      </c>
      <c r="D712" s="10">
        <f t="shared" si="5"/>
        <v>5.52</v>
      </c>
      <c r="E712" s="10">
        <f t="shared" si="5"/>
        <v>34.19</v>
      </c>
    </row>
    <row r="713" spans="1:5" s="2" customFormat="1" ht="15" hidden="1" customHeight="1" thickBot="1" x14ac:dyDescent="0.35">
      <c r="A713" s="146"/>
      <c r="B713" s="22"/>
      <c r="C713" s="10">
        <f t="shared" ref="C713:E715" si="6">C708+C703+C698+C693+C688+C683+C678+C673+C668+C663+C658+C653+C648+C643+C638+C633+C628+C623+C618+C613+C608+C603+C598+C593+C588+C583+C578+C573+C568+C563+C558+C553+C548+C543+C538+C533+C528+C523+C518+C513+C508+C503+C498+C493+C488+C483+C478+C473+C468+C463+C458+C453+C448+C443+C438+C433+C428+C423</f>
        <v>164.8</v>
      </c>
      <c r="D713" s="10">
        <f t="shared" si="6"/>
        <v>109.28999999999999</v>
      </c>
      <c r="E713" s="10">
        <f t="shared" si="6"/>
        <v>5.46</v>
      </c>
    </row>
    <row r="714" spans="1:5" s="2" customFormat="1" ht="15" hidden="1" customHeight="1" thickBot="1" x14ac:dyDescent="0.35">
      <c r="A714" s="146"/>
      <c r="B714" s="22"/>
      <c r="C714" s="10">
        <f t="shared" si="6"/>
        <v>4.7</v>
      </c>
      <c r="D714" s="10">
        <f t="shared" si="6"/>
        <v>0</v>
      </c>
      <c r="E714" s="10">
        <f t="shared" si="6"/>
        <v>0</v>
      </c>
    </row>
    <row r="715" spans="1:5" s="2" customFormat="1" ht="15" hidden="1" customHeight="1" thickBot="1" x14ac:dyDescent="0.35">
      <c r="A715" s="147"/>
      <c r="B715" s="23"/>
      <c r="C715" s="12">
        <f t="shared" si="6"/>
        <v>0</v>
      </c>
      <c r="D715" s="12">
        <f t="shared" si="6"/>
        <v>0</v>
      </c>
      <c r="E715" s="12">
        <f t="shared" si="6"/>
        <v>0</v>
      </c>
    </row>
    <row r="716" spans="1:5" ht="15" hidden="1" customHeight="1" thickBot="1" x14ac:dyDescent="0.35">
      <c r="A716" s="150" t="s">
        <v>142</v>
      </c>
      <c r="B716" s="149"/>
      <c r="C716" s="7"/>
      <c r="D716" s="13"/>
      <c r="E716" s="13"/>
    </row>
    <row r="717" spans="1:5" s="29" customFormat="1" ht="60" customHeight="1" thickBot="1" x14ac:dyDescent="0.35">
      <c r="A717" s="130" t="s">
        <v>143</v>
      </c>
      <c r="B717" s="131" t="s">
        <v>258</v>
      </c>
      <c r="C717" s="64">
        <v>8</v>
      </c>
      <c r="D717" s="35"/>
      <c r="E717" s="35">
        <v>7.42</v>
      </c>
    </row>
    <row r="718" spans="1:5" s="29" customFormat="1" ht="16.2" hidden="1" customHeight="1" thickBot="1" x14ac:dyDescent="0.35">
      <c r="A718" s="126"/>
      <c r="B718" s="132"/>
      <c r="C718" s="30">
        <f>C717</f>
        <v>8</v>
      </c>
      <c r="D718" s="18"/>
      <c r="E718" s="18"/>
    </row>
    <row r="719" spans="1:5" s="29" customFormat="1" ht="16.2" hidden="1" customHeight="1" thickBot="1" x14ac:dyDescent="0.35">
      <c r="A719" s="126"/>
      <c r="B719" s="132"/>
      <c r="C719" s="18">
        <f>C717-C718</f>
        <v>0</v>
      </c>
      <c r="D719" s="18"/>
      <c r="E719" s="18"/>
    </row>
    <row r="720" spans="1:5" s="29" customFormat="1" ht="16.2" hidden="1" customHeight="1" thickBot="1" x14ac:dyDescent="0.35">
      <c r="A720" s="126"/>
      <c r="B720" s="132"/>
      <c r="C720" s="18"/>
      <c r="D720" s="18"/>
      <c r="E720" s="18"/>
    </row>
    <row r="721" spans="1:5" s="29" customFormat="1" ht="16.2" hidden="1" customHeight="1" thickBot="1" x14ac:dyDescent="0.35">
      <c r="A721" s="128"/>
      <c r="B721" s="133"/>
      <c r="C721" s="20"/>
      <c r="D721" s="19"/>
      <c r="E721" s="19"/>
    </row>
    <row r="722" spans="1:5" s="29" customFormat="1" ht="60" customHeight="1" thickBot="1" x14ac:dyDescent="0.35">
      <c r="A722" s="130" t="s">
        <v>144</v>
      </c>
      <c r="B722" s="131" t="s">
        <v>289</v>
      </c>
      <c r="C722" s="64">
        <v>8</v>
      </c>
      <c r="D722" s="35">
        <v>10</v>
      </c>
      <c r="E722" s="35">
        <v>32.06</v>
      </c>
    </row>
    <row r="723" spans="1:5" s="29" customFormat="1" ht="16.2" hidden="1" customHeight="1" thickBot="1" x14ac:dyDescent="0.35">
      <c r="A723" s="126"/>
      <c r="B723" s="132"/>
      <c r="C723" s="30">
        <f>C722</f>
        <v>8</v>
      </c>
      <c r="D723" s="18">
        <v>0</v>
      </c>
      <c r="E723" s="18"/>
    </row>
    <row r="724" spans="1:5" s="29" customFormat="1" ht="16.2" hidden="1" customHeight="1" thickBot="1" x14ac:dyDescent="0.35">
      <c r="A724" s="126"/>
      <c r="B724" s="132"/>
      <c r="C724" s="18">
        <f>C722-C723</f>
        <v>0</v>
      </c>
      <c r="D724" s="18">
        <f>D722-D723</f>
        <v>10</v>
      </c>
      <c r="E724" s="18"/>
    </row>
    <row r="725" spans="1:5" s="29" customFormat="1" ht="16.2" hidden="1" customHeight="1" thickBot="1" x14ac:dyDescent="0.35">
      <c r="A725" s="126"/>
      <c r="B725" s="132"/>
      <c r="C725" s="18"/>
      <c r="D725" s="18"/>
      <c r="E725" s="18"/>
    </row>
    <row r="726" spans="1:5" s="29" customFormat="1" ht="16.2" hidden="1" customHeight="1" thickBot="1" x14ac:dyDescent="0.35">
      <c r="A726" s="128"/>
      <c r="B726" s="133"/>
      <c r="C726" s="20"/>
      <c r="D726" s="19"/>
      <c r="E726" s="19"/>
    </row>
    <row r="727" spans="1:5" s="29" customFormat="1" ht="60" customHeight="1" thickBot="1" x14ac:dyDescent="0.35">
      <c r="A727" s="130" t="s">
        <v>145</v>
      </c>
      <c r="B727" s="131" t="s">
        <v>290</v>
      </c>
      <c r="C727" s="134">
        <v>12</v>
      </c>
      <c r="D727" s="17">
        <f>(0.48+0.3)*3.9</f>
        <v>3.0419999999999998</v>
      </c>
      <c r="E727" s="17"/>
    </row>
    <row r="728" spans="1:5" s="29" customFormat="1" ht="15.6" hidden="1" customHeight="1" x14ac:dyDescent="0.35">
      <c r="A728" s="126"/>
      <c r="B728" s="132"/>
      <c r="C728" s="136"/>
      <c r="D728" s="18">
        <v>0</v>
      </c>
      <c r="E728" s="18"/>
    </row>
    <row r="729" spans="1:5" s="29" customFormat="1" ht="15.6" hidden="1" customHeight="1" x14ac:dyDescent="0.35">
      <c r="A729" s="126"/>
      <c r="B729" s="132"/>
      <c r="C729" s="136"/>
      <c r="D729" s="18">
        <f>D727-D728</f>
        <v>3.0419999999999998</v>
      </c>
      <c r="E729" s="18"/>
    </row>
    <row r="730" spans="1:5" s="29" customFormat="1" ht="15.6" hidden="1" customHeight="1" x14ac:dyDescent="0.35">
      <c r="A730" s="126"/>
      <c r="B730" s="132"/>
      <c r="C730" s="136"/>
      <c r="D730" s="18"/>
      <c r="E730" s="18"/>
    </row>
    <row r="731" spans="1:5" s="29" customFormat="1" ht="37.799999999999997" hidden="1" customHeight="1" thickBot="1" x14ac:dyDescent="0.35">
      <c r="A731" s="128"/>
      <c r="B731" s="133"/>
      <c r="C731" s="139"/>
      <c r="D731" s="19"/>
      <c r="E731" s="19"/>
    </row>
    <row r="732" spans="1:5" s="29" customFormat="1" ht="60" customHeight="1" thickBot="1" x14ac:dyDescent="0.35">
      <c r="A732" s="130" t="s">
        <v>146</v>
      </c>
      <c r="B732" s="131" t="s">
        <v>258</v>
      </c>
      <c r="C732" s="64">
        <v>8</v>
      </c>
      <c r="D732" s="35">
        <v>12</v>
      </c>
      <c r="E732" s="35">
        <v>22.84</v>
      </c>
    </row>
    <row r="733" spans="1:5" s="29" customFormat="1" ht="16.2" hidden="1" customHeight="1" thickBot="1" x14ac:dyDescent="0.35">
      <c r="A733" s="126"/>
      <c r="B733" s="132"/>
      <c r="C733" s="30">
        <f>C732</f>
        <v>8</v>
      </c>
      <c r="D733" s="18"/>
      <c r="E733" s="18"/>
    </row>
    <row r="734" spans="1:5" s="29" customFormat="1" ht="16.2" hidden="1" customHeight="1" thickBot="1" x14ac:dyDescent="0.35">
      <c r="A734" s="126"/>
      <c r="B734" s="132"/>
      <c r="C734" s="18">
        <f>C732-C733</f>
        <v>0</v>
      </c>
      <c r="D734" s="18"/>
      <c r="E734" s="18"/>
    </row>
    <row r="735" spans="1:5" s="29" customFormat="1" ht="16.2" hidden="1" customHeight="1" thickBot="1" x14ac:dyDescent="0.35">
      <c r="A735" s="126"/>
      <c r="B735" s="132"/>
      <c r="C735" s="18"/>
      <c r="D735" s="18"/>
      <c r="E735" s="18"/>
    </row>
    <row r="736" spans="1:5" s="29" customFormat="1" ht="16.2" hidden="1" customHeight="1" thickBot="1" x14ac:dyDescent="0.35">
      <c r="A736" s="128"/>
      <c r="B736" s="133"/>
      <c r="C736" s="20"/>
      <c r="D736" s="19"/>
      <c r="E736" s="19"/>
    </row>
    <row r="737" spans="1:5" s="29" customFormat="1" ht="60" customHeight="1" thickBot="1" x14ac:dyDescent="0.35">
      <c r="A737" s="130" t="s">
        <v>147</v>
      </c>
      <c r="B737" s="131" t="s">
        <v>258</v>
      </c>
      <c r="C737" s="64">
        <v>7</v>
      </c>
      <c r="D737" s="35">
        <v>14</v>
      </c>
      <c r="E737" s="35">
        <v>24.84</v>
      </c>
    </row>
    <row r="738" spans="1:5" s="29" customFormat="1" ht="16.2" hidden="1" customHeight="1" thickBot="1" x14ac:dyDescent="0.35">
      <c r="A738" s="126"/>
      <c r="B738" s="132"/>
      <c r="C738" s="30">
        <f>C737</f>
        <v>7</v>
      </c>
      <c r="D738" s="18"/>
      <c r="E738" s="18"/>
    </row>
    <row r="739" spans="1:5" s="29" customFormat="1" ht="16.2" hidden="1" customHeight="1" thickBot="1" x14ac:dyDescent="0.35">
      <c r="A739" s="126"/>
      <c r="B739" s="132"/>
      <c r="C739" s="18">
        <f>C737-C738</f>
        <v>0</v>
      </c>
      <c r="D739" s="18"/>
      <c r="E739" s="18"/>
    </row>
    <row r="740" spans="1:5" s="29" customFormat="1" ht="16.2" hidden="1" customHeight="1" thickBot="1" x14ac:dyDescent="0.35">
      <c r="A740" s="126"/>
      <c r="B740" s="132"/>
      <c r="C740" s="18"/>
      <c r="D740" s="18"/>
      <c r="E740" s="18"/>
    </row>
    <row r="741" spans="1:5" s="29" customFormat="1" ht="16.2" hidden="1" customHeight="1" thickBot="1" x14ac:dyDescent="0.35">
      <c r="A741" s="128"/>
      <c r="B741" s="133"/>
      <c r="C741" s="20"/>
      <c r="D741" s="19"/>
      <c r="E741" s="19"/>
    </row>
    <row r="742" spans="1:5" s="29" customFormat="1" ht="60" customHeight="1" thickBot="1" x14ac:dyDescent="0.35">
      <c r="A742" s="130" t="s">
        <v>148</v>
      </c>
      <c r="B742" s="131" t="s">
        <v>258</v>
      </c>
      <c r="C742" s="64">
        <v>12</v>
      </c>
      <c r="D742" s="35">
        <v>14.26</v>
      </c>
      <c r="E742" s="35">
        <v>25.86</v>
      </c>
    </row>
    <row r="743" spans="1:5" s="29" customFormat="1" ht="16.2" hidden="1" customHeight="1" thickBot="1" x14ac:dyDescent="0.35">
      <c r="A743" s="126"/>
      <c r="B743" s="132"/>
      <c r="C743" s="30">
        <f>C742</f>
        <v>12</v>
      </c>
      <c r="D743" s="18"/>
      <c r="E743" s="18"/>
    </row>
    <row r="744" spans="1:5" s="29" customFormat="1" ht="16.2" hidden="1" customHeight="1" thickBot="1" x14ac:dyDescent="0.35">
      <c r="A744" s="126"/>
      <c r="B744" s="132"/>
      <c r="C744" s="18">
        <f>C742-C743</f>
        <v>0</v>
      </c>
      <c r="D744" s="18"/>
      <c r="E744" s="18"/>
    </row>
    <row r="745" spans="1:5" s="29" customFormat="1" ht="16.2" hidden="1" customHeight="1" thickBot="1" x14ac:dyDescent="0.35">
      <c r="A745" s="126"/>
      <c r="B745" s="132"/>
      <c r="C745" s="18"/>
      <c r="D745" s="18"/>
      <c r="E745" s="18"/>
    </row>
    <row r="746" spans="1:5" s="29" customFormat="1" ht="16.2" hidden="1" customHeight="1" thickBot="1" x14ac:dyDescent="0.35">
      <c r="A746" s="128"/>
      <c r="B746" s="133"/>
      <c r="C746" s="20"/>
      <c r="D746" s="19"/>
      <c r="E746" s="19"/>
    </row>
    <row r="747" spans="1:5" s="29" customFormat="1" ht="60" customHeight="1" thickBot="1" x14ac:dyDescent="0.35">
      <c r="A747" s="130" t="s">
        <v>149</v>
      </c>
      <c r="B747" s="131" t="s">
        <v>258</v>
      </c>
      <c r="C747" s="64">
        <v>7</v>
      </c>
      <c r="D747" s="35">
        <v>14.94</v>
      </c>
      <c r="E747" s="35">
        <v>26.16</v>
      </c>
    </row>
    <row r="748" spans="1:5" s="29" customFormat="1" ht="16.2" hidden="1" customHeight="1" thickBot="1" x14ac:dyDescent="0.35">
      <c r="A748" s="126"/>
      <c r="B748" s="132"/>
      <c r="C748" s="30">
        <f>C747</f>
        <v>7</v>
      </c>
      <c r="D748" s="18">
        <v>0</v>
      </c>
      <c r="E748" s="18"/>
    </row>
    <row r="749" spans="1:5" s="29" customFormat="1" ht="16.2" hidden="1" customHeight="1" thickBot="1" x14ac:dyDescent="0.35">
      <c r="A749" s="126"/>
      <c r="B749" s="132"/>
      <c r="C749" s="18">
        <f>C747-C748</f>
        <v>0</v>
      </c>
      <c r="D749" s="18">
        <f>D747-D748</f>
        <v>14.94</v>
      </c>
      <c r="E749" s="18"/>
    </row>
    <row r="750" spans="1:5" s="29" customFormat="1" ht="16.2" hidden="1" customHeight="1" thickBot="1" x14ac:dyDescent="0.35">
      <c r="A750" s="126"/>
      <c r="B750" s="132"/>
      <c r="C750" s="18"/>
      <c r="D750" s="18"/>
      <c r="E750" s="18"/>
    </row>
    <row r="751" spans="1:5" s="29" customFormat="1" ht="16.2" hidden="1" customHeight="1" thickBot="1" x14ac:dyDescent="0.35">
      <c r="A751" s="128"/>
      <c r="B751" s="133"/>
      <c r="C751" s="20"/>
      <c r="D751" s="19"/>
      <c r="E751" s="19"/>
    </row>
    <row r="752" spans="1:5" s="29" customFormat="1" ht="60" customHeight="1" thickBot="1" x14ac:dyDescent="0.35">
      <c r="A752" s="130" t="s">
        <v>150</v>
      </c>
      <c r="B752" s="131" t="s">
        <v>258</v>
      </c>
      <c r="C752" s="64">
        <v>6</v>
      </c>
      <c r="D752" s="35">
        <v>9.82</v>
      </c>
      <c r="E752" s="35">
        <v>26</v>
      </c>
    </row>
    <row r="753" spans="1:5" s="29" customFormat="1" ht="16.2" hidden="1" customHeight="1" thickBot="1" x14ac:dyDescent="0.35">
      <c r="A753" s="126"/>
      <c r="B753" s="132"/>
      <c r="C753" s="30">
        <f>C752</f>
        <v>6</v>
      </c>
      <c r="D753" s="18"/>
      <c r="E753" s="18"/>
    </row>
    <row r="754" spans="1:5" s="29" customFormat="1" ht="16.2" hidden="1" customHeight="1" thickBot="1" x14ac:dyDescent="0.35">
      <c r="A754" s="126"/>
      <c r="B754" s="132"/>
      <c r="C754" s="18">
        <f>C752-C753</f>
        <v>0</v>
      </c>
      <c r="D754" s="18"/>
      <c r="E754" s="18"/>
    </row>
    <row r="755" spans="1:5" s="29" customFormat="1" ht="16.2" hidden="1" customHeight="1" thickBot="1" x14ac:dyDescent="0.35">
      <c r="A755" s="126"/>
      <c r="B755" s="132"/>
      <c r="C755" s="18"/>
      <c r="D755" s="18"/>
      <c r="E755" s="18"/>
    </row>
    <row r="756" spans="1:5" s="29" customFormat="1" ht="16.2" hidden="1" customHeight="1" thickBot="1" x14ac:dyDescent="0.35">
      <c r="A756" s="128"/>
      <c r="B756" s="133"/>
      <c r="C756" s="20"/>
      <c r="D756" s="19"/>
      <c r="E756" s="19"/>
    </row>
    <row r="757" spans="1:5" s="29" customFormat="1" ht="60" customHeight="1" thickBot="1" x14ac:dyDescent="0.35">
      <c r="A757" s="130" t="s">
        <v>151</v>
      </c>
      <c r="B757" s="131" t="s">
        <v>201</v>
      </c>
      <c r="C757" s="64">
        <v>4</v>
      </c>
      <c r="D757" s="17"/>
      <c r="E757" s="17"/>
    </row>
    <row r="758" spans="1:5" s="29" customFormat="1" ht="16.2" hidden="1" customHeight="1" thickBot="1" x14ac:dyDescent="0.35">
      <c r="A758" s="126"/>
      <c r="B758" s="132"/>
      <c r="C758" s="30"/>
      <c r="D758" s="18"/>
      <c r="E758" s="18"/>
    </row>
    <row r="759" spans="1:5" s="29" customFormat="1" ht="16.2" hidden="1" customHeight="1" thickBot="1" x14ac:dyDescent="0.35">
      <c r="A759" s="126"/>
      <c r="B759" s="132"/>
      <c r="C759" s="18"/>
      <c r="D759" s="18"/>
      <c r="E759" s="18"/>
    </row>
    <row r="760" spans="1:5" s="29" customFormat="1" ht="16.2" hidden="1" customHeight="1" thickBot="1" x14ac:dyDescent="0.35">
      <c r="A760" s="126"/>
      <c r="B760" s="132"/>
      <c r="C760" s="18"/>
      <c r="D760" s="18"/>
      <c r="E760" s="18"/>
    </row>
    <row r="761" spans="1:5" s="29" customFormat="1" ht="16.2" hidden="1" customHeight="1" thickBot="1" x14ac:dyDescent="0.35">
      <c r="A761" s="128"/>
      <c r="B761" s="133"/>
      <c r="C761" s="20"/>
      <c r="D761" s="19"/>
      <c r="E761" s="19"/>
    </row>
    <row r="762" spans="1:5" s="29" customFormat="1" ht="60" customHeight="1" thickBot="1" x14ac:dyDescent="0.35">
      <c r="A762" s="130" t="s">
        <v>152</v>
      </c>
      <c r="B762" s="131" t="s">
        <v>206</v>
      </c>
      <c r="C762" s="64">
        <v>8</v>
      </c>
      <c r="D762" s="17"/>
      <c r="E762" s="17">
        <f>(0.3+0.3+0.3+0.3+0.2+0.3)*3.9</f>
        <v>6.63</v>
      </c>
    </row>
    <row r="763" spans="1:5" s="29" customFormat="1" ht="16.2" hidden="1" customHeight="1" thickBot="1" x14ac:dyDescent="0.35">
      <c r="A763" s="126"/>
      <c r="B763" s="132"/>
      <c r="C763" s="30"/>
      <c r="D763" s="18"/>
      <c r="E763" s="18">
        <f>E762</f>
        <v>6.63</v>
      </c>
    </row>
    <row r="764" spans="1:5" s="29" customFormat="1" ht="16.2" hidden="1" customHeight="1" thickBot="1" x14ac:dyDescent="0.35">
      <c r="A764" s="126"/>
      <c r="B764" s="132"/>
      <c r="C764" s="18"/>
      <c r="D764" s="18"/>
      <c r="E764" s="18">
        <f>E762-E763</f>
        <v>0</v>
      </c>
    </row>
    <row r="765" spans="1:5" s="29" customFormat="1" ht="16.2" hidden="1" customHeight="1" thickBot="1" x14ac:dyDescent="0.35">
      <c r="A765" s="126"/>
      <c r="B765" s="132"/>
      <c r="C765" s="18"/>
      <c r="D765" s="18"/>
      <c r="E765" s="18"/>
    </row>
    <row r="766" spans="1:5" s="29" customFormat="1" ht="16.2" hidden="1" customHeight="1" thickBot="1" x14ac:dyDescent="0.35">
      <c r="A766" s="128"/>
      <c r="B766" s="133"/>
      <c r="C766" s="20"/>
      <c r="D766" s="19"/>
      <c r="E766" s="19"/>
    </row>
    <row r="767" spans="1:5" s="29" customFormat="1" ht="60" customHeight="1" thickBot="1" x14ac:dyDescent="0.35">
      <c r="A767" s="130" t="s">
        <v>153</v>
      </c>
      <c r="B767" s="131" t="s">
        <v>207</v>
      </c>
      <c r="C767" s="64">
        <v>10</v>
      </c>
      <c r="D767" s="17"/>
      <c r="E767" s="17">
        <f>(0.3+0.3+0.3+0.3+0.2+0.3)*3.9</f>
        <v>6.63</v>
      </c>
    </row>
    <row r="768" spans="1:5" s="29" customFormat="1" ht="16.2" hidden="1" customHeight="1" thickBot="1" x14ac:dyDescent="0.35">
      <c r="A768" s="126"/>
      <c r="B768" s="132"/>
      <c r="C768" s="30"/>
      <c r="D768" s="18"/>
      <c r="E768" s="18">
        <f>E767</f>
        <v>6.63</v>
      </c>
    </row>
    <row r="769" spans="1:5" s="29" customFormat="1" ht="16.2" hidden="1" customHeight="1" thickBot="1" x14ac:dyDescent="0.35">
      <c r="A769" s="126"/>
      <c r="B769" s="132"/>
      <c r="C769" s="18"/>
      <c r="D769" s="18"/>
      <c r="E769" s="18">
        <f>E767-E768</f>
        <v>0</v>
      </c>
    </row>
    <row r="770" spans="1:5" s="29" customFormat="1" ht="16.2" hidden="1" customHeight="1" thickBot="1" x14ac:dyDescent="0.35">
      <c r="A770" s="126"/>
      <c r="B770" s="132"/>
      <c r="C770" s="18"/>
      <c r="D770" s="18"/>
      <c r="E770" s="18"/>
    </row>
    <row r="771" spans="1:5" s="29" customFormat="1" ht="16.2" hidden="1" customHeight="1" thickBot="1" x14ac:dyDescent="0.35">
      <c r="A771" s="128"/>
      <c r="B771" s="133"/>
      <c r="C771" s="20"/>
      <c r="D771" s="19"/>
      <c r="E771" s="19"/>
    </row>
    <row r="772" spans="1:5" s="29" customFormat="1" ht="60" customHeight="1" thickBot="1" x14ac:dyDescent="0.35">
      <c r="A772" s="130" t="s">
        <v>154</v>
      </c>
      <c r="B772" s="131" t="s">
        <v>291</v>
      </c>
      <c r="C772" s="64">
        <v>17</v>
      </c>
      <c r="D772" s="17"/>
      <c r="E772" s="17"/>
    </row>
    <row r="773" spans="1:5" s="29" customFormat="1" ht="16.2" hidden="1" customHeight="1" thickBot="1" x14ac:dyDescent="0.35">
      <c r="A773" s="126"/>
      <c r="B773" s="132"/>
      <c r="C773" s="30">
        <f>C772</f>
        <v>17</v>
      </c>
      <c r="D773" s="18"/>
      <c r="E773" s="18"/>
    </row>
    <row r="774" spans="1:5" s="29" customFormat="1" ht="16.2" hidden="1" customHeight="1" thickBot="1" x14ac:dyDescent="0.35">
      <c r="A774" s="126"/>
      <c r="B774" s="132"/>
      <c r="C774" s="18">
        <f t="shared" ref="C774" si="7">C772-C773</f>
        <v>0</v>
      </c>
      <c r="D774" s="18"/>
      <c r="E774" s="18"/>
    </row>
    <row r="775" spans="1:5" s="29" customFormat="1" ht="30" hidden="1" customHeight="1" x14ac:dyDescent="0.35">
      <c r="A775" s="126"/>
      <c r="B775" s="132"/>
      <c r="C775" s="18">
        <v>164.28</v>
      </c>
      <c r="D775" s="18"/>
      <c r="E775" s="18"/>
    </row>
    <row r="776" spans="1:5" s="29" customFormat="1" ht="70.8" hidden="1" customHeight="1" x14ac:dyDescent="0.35">
      <c r="A776" s="128"/>
      <c r="B776" s="133"/>
      <c r="C776" s="19"/>
      <c r="D776" s="19"/>
      <c r="E776" s="19"/>
    </row>
    <row r="777" spans="1:5" s="29" customFormat="1" ht="16.2" hidden="1" customHeight="1" thickBot="1" x14ac:dyDescent="0.35">
      <c r="A777" s="124" t="s">
        <v>155</v>
      </c>
      <c r="B777" s="131" t="s">
        <v>292</v>
      </c>
      <c r="C777" s="17"/>
      <c r="D777" s="17"/>
      <c r="E777" s="17"/>
    </row>
    <row r="778" spans="1:5" s="29" customFormat="1" ht="16.2" hidden="1" customHeight="1" thickBot="1" x14ac:dyDescent="0.35">
      <c r="A778" s="126"/>
      <c r="B778" s="132"/>
      <c r="C778" s="18"/>
      <c r="D778" s="18"/>
      <c r="E778" s="18"/>
    </row>
    <row r="779" spans="1:5" s="29" customFormat="1" ht="16.2" hidden="1" customHeight="1" thickBot="1" x14ac:dyDescent="0.35">
      <c r="A779" s="126"/>
      <c r="B779" s="132"/>
      <c r="C779" s="18"/>
      <c r="D779" s="18"/>
      <c r="E779" s="18"/>
    </row>
    <row r="780" spans="1:5" s="29" customFormat="1" ht="16.2" hidden="1" customHeight="1" thickBot="1" x14ac:dyDescent="0.35">
      <c r="A780" s="126"/>
      <c r="B780" s="132"/>
      <c r="C780" s="18"/>
      <c r="D780" s="18"/>
      <c r="E780" s="18"/>
    </row>
    <row r="781" spans="1:5" s="29" customFormat="1" ht="16.2" hidden="1" customHeight="1" thickBot="1" x14ac:dyDescent="0.35">
      <c r="A781" s="128"/>
      <c r="B781" s="133"/>
      <c r="C781" s="19"/>
      <c r="D781" s="19"/>
      <c r="E781" s="19"/>
    </row>
    <row r="782" spans="1:5" s="29" customFormat="1" ht="16.2" hidden="1" customHeight="1" thickBot="1" x14ac:dyDescent="0.35">
      <c r="A782" s="124" t="s">
        <v>156</v>
      </c>
      <c r="B782" s="131" t="s">
        <v>239</v>
      </c>
      <c r="C782" s="17"/>
      <c r="D782" s="17"/>
      <c r="E782" s="17">
        <f>0.3*2*3.9</f>
        <v>2.34</v>
      </c>
    </row>
    <row r="783" spans="1:5" s="29" customFormat="1" ht="16.2" hidden="1" customHeight="1" thickBot="1" x14ac:dyDescent="0.35">
      <c r="A783" s="126"/>
      <c r="B783" s="132"/>
      <c r="C783" s="18"/>
      <c r="D783" s="18"/>
      <c r="E783" s="18">
        <f>E782</f>
        <v>2.34</v>
      </c>
    </row>
    <row r="784" spans="1:5" s="29" customFormat="1" ht="16.2" hidden="1" customHeight="1" thickBot="1" x14ac:dyDescent="0.35">
      <c r="A784" s="126"/>
      <c r="B784" s="132"/>
      <c r="C784" s="18"/>
      <c r="D784" s="18"/>
      <c r="E784" s="18">
        <f>E782-E783</f>
        <v>0</v>
      </c>
    </row>
    <row r="785" spans="1:5" s="29" customFormat="1" ht="16.2" hidden="1" customHeight="1" thickBot="1" x14ac:dyDescent="0.35">
      <c r="A785" s="126"/>
      <c r="B785" s="132"/>
      <c r="C785" s="18"/>
      <c r="D785" s="18"/>
      <c r="E785" s="18"/>
    </row>
    <row r="786" spans="1:5" s="29" customFormat="1" ht="16.2" hidden="1" customHeight="1" thickBot="1" x14ac:dyDescent="0.35">
      <c r="A786" s="128"/>
      <c r="B786" s="133"/>
      <c r="C786" s="19"/>
      <c r="D786" s="19"/>
      <c r="E786" s="19"/>
    </row>
    <row r="787" spans="1:5" s="29" customFormat="1" ht="16.2" hidden="1" customHeight="1" thickBot="1" x14ac:dyDescent="0.35">
      <c r="A787" s="124" t="s">
        <v>157</v>
      </c>
      <c r="B787" s="131" t="s">
        <v>215</v>
      </c>
      <c r="C787" s="17"/>
      <c r="D787" s="17"/>
      <c r="E787" s="17">
        <f>(0.3+0.4)*3.9</f>
        <v>2.73</v>
      </c>
    </row>
    <row r="788" spans="1:5" s="29" customFormat="1" ht="16.2" hidden="1" customHeight="1" thickBot="1" x14ac:dyDescent="0.35">
      <c r="A788" s="126"/>
      <c r="B788" s="132"/>
      <c r="C788" s="18"/>
      <c r="D788" s="18"/>
      <c r="E788" s="18">
        <f>E787</f>
        <v>2.73</v>
      </c>
    </row>
    <row r="789" spans="1:5" s="29" customFormat="1" ht="16.2" hidden="1" customHeight="1" thickBot="1" x14ac:dyDescent="0.35">
      <c r="A789" s="126"/>
      <c r="B789" s="132"/>
      <c r="C789" s="18"/>
      <c r="D789" s="18"/>
      <c r="E789" s="18">
        <f>E787-E788</f>
        <v>0</v>
      </c>
    </row>
    <row r="790" spans="1:5" s="29" customFormat="1" ht="16.2" hidden="1" customHeight="1" thickBot="1" x14ac:dyDescent="0.35">
      <c r="A790" s="126"/>
      <c r="B790" s="132"/>
      <c r="C790" s="18"/>
      <c r="D790" s="18"/>
      <c r="E790" s="18"/>
    </row>
    <row r="791" spans="1:5" s="29" customFormat="1" ht="16.2" hidden="1" customHeight="1" thickBot="1" x14ac:dyDescent="0.35">
      <c r="A791" s="128"/>
      <c r="B791" s="133"/>
      <c r="C791" s="19"/>
      <c r="D791" s="19"/>
      <c r="E791" s="19"/>
    </row>
    <row r="792" spans="1:5" s="29" customFormat="1" ht="16.2" hidden="1" customHeight="1" thickBot="1" x14ac:dyDescent="0.35">
      <c r="A792" s="124" t="s">
        <v>158</v>
      </c>
      <c r="B792" s="131" t="s">
        <v>277</v>
      </c>
      <c r="C792" s="17">
        <f>0.4*3.9</f>
        <v>1.56</v>
      </c>
      <c r="D792" s="17"/>
      <c r="E792" s="17"/>
    </row>
    <row r="793" spans="1:5" s="29" customFormat="1" ht="16.2" hidden="1" customHeight="1" thickBot="1" x14ac:dyDescent="0.35">
      <c r="A793" s="126"/>
      <c r="B793" s="132"/>
      <c r="C793" s="18">
        <f>C792</f>
        <v>1.56</v>
      </c>
      <c r="D793" s="18"/>
      <c r="E793" s="18"/>
    </row>
    <row r="794" spans="1:5" s="29" customFormat="1" ht="16.2" hidden="1" customHeight="1" thickBot="1" x14ac:dyDescent="0.35">
      <c r="A794" s="126"/>
      <c r="B794" s="132"/>
      <c r="C794" s="18">
        <f>C792-C793</f>
        <v>0</v>
      </c>
      <c r="D794" s="18"/>
      <c r="E794" s="18"/>
    </row>
    <row r="795" spans="1:5" s="29" customFormat="1" ht="16.2" hidden="1" customHeight="1" thickBot="1" x14ac:dyDescent="0.35">
      <c r="A795" s="126"/>
      <c r="B795" s="132"/>
      <c r="C795" s="18"/>
      <c r="D795" s="18"/>
      <c r="E795" s="18"/>
    </row>
    <row r="796" spans="1:5" s="29" customFormat="1" ht="16.2" hidden="1" customHeight="1" thickBot="1" x14ac:dyDescent="0.35">
      <c r="A796" s="128"/>
      <c r="B796" s="133"/>
      <c r="C796" s="19"/>
      <c r="D796" s="19"/>
      <c r="E796" s="19"/>
    </row>
    <row r="797" spans="1:5" s="29" customFormat="1" ht="16.2" hidden="1" customHeight="1" thickBot="1" x14ac:dyDescent="0.35">
      <c r="A797" s="124" t="s">
        <v>159</v>
      </c>
      <c r="B797" s="131" t="s">
        <v>275</v>
      </c>
      <c r="C797" s="17"/>
      <c r="D797" s="17"/>
      <c r="E797" s="17"/>
    </row>
    <row r="798" spans="1:5" s="29" customFormat="1" ht="16.2" hidden="1" customHeight="1" thickBot="1" x14ac:dyDescent="0.35">
      <c r="A798" s="126"/>
      <c r="B798" s="132"/>
      <c r="C798" s="18"/>
      <c r="D798" s="18"/>
      <c r="E798" s="18"/>
    </row>
    <row r="799" spans="1:5" s="29" customFormat="1" ht="16.2" hidden="1" customHeight="1" thickBot="1" x14ac:dyDescent="0.35">
      <c r="A799" s="126"/>
      <c r="B799" s="132"/>
      <c r="C799" s="18"/>
      <c r="D799" s="18"/>
      <c r="E799" s="18"/>
    </row>
    <row r="800" spans="1:5" s="29" customFormat="1" ht="16.2" hidden="1" customHeight="1" thickBot="1" x14ac:dyDescent="0.35">
      <c r="A800" s="126"/>
      <c r="B800" s="132"/>
      <c r="C800" s="18"/>
      <c r="D800" s="18"/>
      <c r="E800" s="18"/>
    </row>
    <row r="801" spans="1:5" s="29" customFormat="1" ht="16.2" hidden="1" customHeight="1" thickBot="1" x14ac:dyDescent="0.35">
      <c r="A801" s="128"/>
      <c r="B801" s="133"/>
      <c r="C801" s="19"/>
      <c r="D801" s="19"/>
      <c r="E801" s="19"/>
    </row>
    <row r="802" spans="1:5" s="29" customFormat="1" ht="16.2" hidden="1" customHeight="1" thickBot="1" x14ac:dyDescent="0.35">
      <c r="A802" s="124" t="s">
        <v>160</v>
      </c>
      <c r="B802" s="131" t="s">
        <v>273</v>
      </c>
      <c r="C802" s="17">
        <f>(0.4*2+0.6)*3.9</f>
        <v>5.46</v>
      </c>
      <c r="D802" s="17"/>
      <c r="E802" s="17"/>
    </row>
    <row r="803" spans="1:5" s="29" customFormat="1" ht="16.2" hidden="1" customHeight="1" thickBot="1" x14ac:dyDescent="0.35">
      <c r="A803" s="126"/>
      <c r="B803" s="132"/>
      <c r="C803" s="18">
        <f>C802</f>
        <v>5.46</v>
      </c>
      <c r="D803" s="18"/>
      <c r="E803" s="18"/>
    </row>
    <row r="804" spans="1:5" s="29" customFormat="1" ht="16.2" hidden="1" customHeight="1" thickBot="1" x14ac:dyDescent="0.35">
      <c r="A804" s="126"/>
      <c r="B804" s="132"/>
      <c r="C804" s="18">
        <f t="shared" ref="C804" si="8">C802-C803</f>
        <v>0</v>
      </c>
      <c r="D804" s="18"/>
      <c r="E804" s="18"/>
    </row>
    <row r="805" spans="1:5" s="29" customFormat="1" ht="16.2" hidden="1" customHeight="1" thickBot="1" x14ac:dyDescent="0.35">
      <c r="A805" s="126"/>
      <c r="B805" s="132"/>
      <c r="C805" s="18"/>
      <c r="D805" s="18"/>
      <c r="E805" s="18"/>
    </row>
    <row r="806" spans="1:5" s="29" customFormat="1" ht="16.2" hidden="1" customHeight="1" thickBot="1" x14ac:dyDescent="0.35">
      <c r="A806" s="128"/>
      <c r="B806" s="133"/>
      <c r="C806" s="20"/>
      <c r="D806" s="19"/>
      <c r="E806" s="19"/>
    </row>
    <row r="807" spans="1:5" s="29" customFormat="1" ht="60" customHeight="1" thickBot="1" x14ac:dyDescent="0.35">
      <c r="A807" s="130" t="s">
        <v>161</v>
      </c>
      <c r="B807" s="131" t="s">
        <v>218</v>
      </c>
      <c r="C807" s="64">
        <v>21</v>
      </c>
      <c r="D807" s="17"/>
      <c r="E807" s="17"/>
    </row>
    <row r="808" spans="1:5" s="29" customFormat="1" ht="16.2" hidden="1" customHeight="1" thickBot="1" x14ac:dyDescent="0.35">
      <c r="A808" s="126"/>
      <c r="B808" s="132"/>
      <c r="C808" s="30"/>
      <c r="D808" s="18"/>
      <c r="E808" s="18"/>
    </row>
    <row r="809" spans="1:5" s="29" customFormat="1" ht="16.2" hidden="1" customHeight="1" thickBot="1" x14ac:dyDescent="0.35">
      <c r="A809" s="126"/>
      <c r="B809" s="132"/>
      <c r="C809" s="18"/>
      <c r="D809" s="18"/>
      <c r="E809" s="18"/>
    </row>
    <row r="810" spans="1:5" s="29" customFormat="1" ht="16.2" hidden="1" customHeight="1" thickBot="1" x14ac:dyDescent="0.35">
      <c r="A810" s="126"/>
      <c r="B810" s="132"/>
      <c r="C810" s="18"/>
      <c r="D810" s="18"/>
      <c r="E810" s="18"/>
    </row>
    <row r="811" spans="1:5" s="29" customFormat="1" ht="16.2" hidden="1" customHeight="1" thickBot="1" x14ac:dyDescent="0.35">
      <c r="A811" s="128"/>
      <c r="B811" s="133"/>
      <c r="C811" s="19"/>
      <c r="D811" s="19"/>
      <c r="E811" s="19"/>
    </row>
    <row r="812" spans="1:5" s="29" customFormat="1" ht="15.6" hidden="1" customHeight="1" x14ac:dyDescent="0.35">
      <c r="A812" s="124" t="s">
        <v>162</v>
      </c>
      <c r="B812" s="131" t="s">
        <v>278</v>
      </c>
      <c r="C812" s="17"/>
      <c r="D812" s="17"/>
      <c r="E812" s="17"/>
    </row>
    <row r="813" spans="1:5" s="29" customFormat="1" ht="15.6" hidden="1" customHeight="1" x14ac:dyDescent="0.35">
      <c r="A813" s="126"/>
      <c r="B813" s="132"/>
      <c r="C813" s="18"/>
      <c r="D813" s="18"/>
      <c r="E813" s="18"/>
    </row>
    <row r="814" spans="1:5" s="29" customFormat="1" ht="15.6" hidden="1" customHeight="1" x14ac:dyDescent="0.35">
      <c r="A814" s="126"/>
      <c r="B814" s="132"/>
      <c r="C814" s="18"/>
      <c r="D814" s="18"/>
      <c r="E814" s="18"/>
    </row>
    <row r="815" spans="1:5" s="29" customFormat="1" ht="15.6" hidden="1" customHeight="1" x14ac:dyDescent="0.35">
      <c r="A815" s="126"/>
      <c r="B815" s="132"/>
      <c r="C815" s="18"/>
      <c r="D815" s="18"/>
      <c r="E815" s="18"/>
    </row>
    <row r="816" spans="1:5" s="29" customFormat="1" ht="16.2" hidden="1" customHeight="1" thickBot="1" x14ac:dyDescent="0.35">
      <c r="A816" s="128"/>
      <c r="B816" s="133"/>
      <c r="C816" s="19"/>
      <c r="D816" s="19"/>
      <c r="E816" s="19"/>
    </row>
    <row r="817" spans="1:5" s="29" customFormat="1" ht="15.6" hidden="1" customHeight="1" x14ac:dyDescent="0.35">
      <c r="A817" s="124" t="s">
        <v>163</v>
      </c>
      <c r="B817" s="131" t="s">
        <v>279</v>
      </c>
      <c r="C817" s="17"/>
      <c r="D817" s="17"/>
      <c r="E817" s="17"/>
    </row>
    <row r="818" spans="1:5" s="29" customFormat="1" ht="15.6" hidden="1" customHeight="1" x14ac:dyDescent="0.35">
      <c r="A818" s="126"/>
      <c r="B818" s="132"/>
      <c r="C818" s="18"/>
      <c r="D818" s="18"/>
      <c r="E818" s="18"/>
    </row>
    <row r="819" spans="1:5" s="29" customFormat="1" ht="15.6" hidden="1" customHeight="1" x14ac:dyDescent="0.35">
      <c r="A819" s="126"/>
      <c r="B819" s="132"/>
      <c r="C819" s="18"/>
      <c r="D819" s="18"/>
      <c r="E819" s="18"/>
    </row>
    <row r="820" spans="1:5" s="29" customFormat="1" ht="15.6" hidden="1" customHeight="1" x14ac:dyDescent="0.35">
      <c r="A820" s="126"/>
      <c r="B820" s="132"/>
      <c r="C820" s="18"/>
      <c r="D820" s="18"/>
      <c r="E820" s="18"/>
    </row>
    <row r="821" spans="1:5" s="29" customFormat="1" ht="16.2" hidden="1" customHeight="1" thickBot="1" x14ac:dyDescent="0.35">
      <c r="A821" s="128"/>
      <c r="B821" s="133"/>
      <c r="C821" s="19"/>
      <c r="D821" s="19"/>
      <c r="E821" s="19"/>
    </row>
    <row r="822" spans="1:5" s="29" customFormat="1" ht="15.6" hidden="1" customHeight="1" x14ac:dyDescent="0.35">
      <c r="A822" s="124" t="s">
        <v>164</v>
      </c>
      <c r="B822" s="125" t="s">
        <v>238</v>
      </c>
      <c r="C822" s="17"/>
      <c r="D822" s="17"/>
      <c r="E822" s="17"/>
    </row>
    <row r="823" spans="1:5" s="29" customFormat="1" ht="15.6" hidden="1" customHeight="1" x14ac:dyDescent="0.35">
      <c r="A823" s="126"/>
      <c r="B823" s="127"/>
      <c r="C823" s="18"/>
      <c r="D823" s="18"/>
      <c r="E823" s="18"/>
    </row>
    <row r="824" spans="1:5" s="29" customFormat="1" ht="15.6" hidden="1" customHeight="1" x14ac:dyDescent="0.35">
      <c r="A824" s="126"/>
      <c r="B824" s="127"/>
      <c r="C824" s="18"/>
      <c r="D824" s="18"/>
      <c r="E824" s="18"/>
    </row>
    <row r="825" spans="1:5" s="29" customFormat="1" ht="15.6" hidden="1" customHeight="1" x14ac:dyDescent="0.35">
      <c r="A825" s="126"/>
      <c r="B825" s="127"/>
      <c r="C825" s="18"/>
      <c r="D825" s="18"/>
      <c r="E825" s="18"/>
    </row>
    <row r="826" spans="1:5" s="29" customFormat="1" ht="16.2" hidden="1" customHeight="1" thickBot="1" x14ac:dyDescent="0.35">
      <c r="A826" s="128"/>
      <c r="B826" s="129"/>
      <c r="C826" s="19"/>
      <c r="D826" s="19"/>
      <c r="E826" s="19"/>
    </row>
    <row r="827" spans="1:5" s="29" customFormat="1" ht="15.6" hidden="1" customHeight="1" x14ac:dyDescent="0.35">
      <c r="A827" s="124" t="s">
        <v>165</v>
      </c>
      <c r="B827" s="131" t="s">
        <v>249</v>
      </c>
      <c r="C827" s="17"/>
      <c r="D827" s="17"/>
      <c r="E827" s="17"/>
    </row>
    <row r="828" spans="1:5" s="29" customFormat="1" ht="15.6" hidden="1" customHeight="1" x14ac:dyDescent="0.35">
      <c r="A828" s="126"/>
      <c r="B828" s="132"/>
      <c r="C828" s="18"/>
      <c r="D828" s="18"/>
      <c r="E828" s="18"/>
    </row>
    <row r="829" spans="1:5" s="29" customFormat="1" ht="15.6" hidden="1" customHeight="1" x14ac:dyDescent="0.35">
      <c r="A829" s="126"/>
      <c r="B829" s="132"/>
      <c r="C829" s="18"/>
      <c r="D829" s="18"/>
      <c r="E829" s="18"/>
    </row>
    <row r="830" spans="1:5" s="29" customFormat="1" ht="15.6" hidden="1" customHeight="1" x14ac:dyDescent="0.35">
      <c r="A830" s="126"/>
      <c r="B830" s="132"/>
      <c r="C830" s="18"/>
      <c r="D830" s="18"/>
      <c r="E830" s="18"/>
    </row>
    <row r="831" spans="1:5" s="29" customFormat="1" ht="16.2" hidden="1" customHeight="1" thickBot="1" x14ac:dyDescent="0.35">
      <c r="A831" s="128"/>
      <c r="B831" s="133"/>
      <c r="C831" s="19"/>
      <c r="D831" s="19"/>
      <c r="E831" s="19"/>
    </row>
    <row r="832" spans="1:5" s="29" customFormat="1" ht="15.6" hidden="1" customHeight="1" x14ac:dyDescent="0.35">
      <c r="A832" s="124" t="s">
        <v>166</v>
      </c>
      <c r="B832" s="131" t="s">
        <v>250</v>
      </c>
      <c r="C832" s="17"/>
      <c r="D832" s="17"/>
      <c r="E832" s="17"/>
    </row>
    <row r="833" spans="1:5" s="29" customFormat="1" ht="15.6" hidden="1" customHeight="1" x14ac:dyDescent="0.35">
      <c r="A833" s="126"/>
      <c r="B833" s="132"/>
      <c r="C833" s="18"/>
      <c r="D833" s="18"/>
      <c r="E833" s="18"/>
    </row>
    <row r="834" spans="1:5" s="29" customFormat="1" ht="15.6" hidden="1" customHeight="1" x14ac:dyDescent="0.35">
      <c r="A834" s="126"/>
      <c r="B834" s="132"/>
      <c r="C834" s="18"/>
      <c r="D834" s="18"/>
      <c r="E834" s="18"/>
    </row>
    <row r="835" spans="1:5" s="29" customFormat="1" ht="15.6" hidden="1" customHeight="1" x14ac:dyDescent="0.35">
      <c r="A835" s="126"/>
      <c r="B835" s="132"/>
      <c r="C835" s="18"/>
      <c r="D835" s="18"/>
      <c r="E835" s="18"/>
    </row>
    <row r="836" spans="1:5" s="29" customFormat="1" ht="16.2" hidden="1" customHeight="1" thickBot="1" x14ac:dyDescent="0.35">
      <c r="A836" s="128"/>
      <c r="B836" s="133"/>
      <c r="C836" s="19"/>
      <c r="D836" s="19"/>
      <c r="E836" s="19"/>
    </row>
    <row r="837" spans="1:5" s="29" customFormat="1" ht="15.6" hidden="1" customHeight="1" x14ac:dyDescent="0.35">
      <c r="A837" s="124" t="s">
        <v>167</v>
      </c>
      <c r="B837" s="125" t="s">
        <v>252</v>
      </c>
      <c r="C837" s="17"/>
      <c r="D837" s="17"/>
      <c r="E837" s="17"/>
    </row>
    <row r="838" spans="1:5" s="29" customFormat="1" ht="15.6" hidden="1" customHeight="1" x14ac:dyDescent="0.35">
      <c r="A838" s="126"/>
      <c r="B838" s="127"/>
      <c r="C838" s="18"/>
      <c r="D838" s="18"/>
      <c r="E838" s="18"/>
    </row>
    <row r="839" spans="1:5" s="29" customFormat="1" ht="15.6" hidden="1" customHeight="1" x14ac:dyDescent="0.35">
      <c r="A839" s="126"/>
      <c r="B839" s="127"/>
      <c r="C839" s="18"/>
      <c r="D839" s="18"/>
      <c r="E839" s="18"/>
    </row>
    <row r="840" spans="1:5" s="29" customFormat="1" ht="15.6" hidden="1" customHeight="1" x14ac:dyDescent="0.35">
      <c r="A840" s="126"/>
      <c r="B840" s="127"/>
      <c r="C840" s="18">
        <v>3.9</v>
      </c>
      <c r="D840" s="18"/>
      <c r="E840" s="18"/>
    </row>
    <row r="841" spans="1:5" s="29" customFormat="1" ht="16.2" hidden="1" customHeight="1" thickBot="1" x14ac:dyDescent="0.35">
      <c r="A841" s="128"/>
      <c r="B841" s="129"/>
      <c r="C841" s="19"/>
      <c r="D841" s="19"/>
      <c r="E841" s="19"/>
    </row>
    <row r="842" spans="1:5" s="29" customFormat="1" ht="15.6" hidden="1" customHeight="1" x14ac:dyDescent="0.35">
      <c r="A842" s="124" t="s">
        <v>168</v>
      </c>
      <c r="B842" s="125" t="s">
        <v>253</v>
      </c>
      <c r="C842" s="17"/>
      <c r="D842" s="17"/>
      <c r="E842" s="17"/>
    </row>
    <row r="843" spans="1:5" s="29" customFormat="1" ht="15.6" hidden="1" customHeight="1" x14ac:dyDescent="0.35">
      <c r="A843" s="126"/>
      <c r="B843" s="127"/>
      <c r="C843" s="18"/>
      <c r="D843" s="18"/>
      <c r="E843" s="18"/>
    </row>
    <row r="844" spans="1:5" s="29" customFormat="1" ht="15.6" hidden="1" customHeight="1" x14ac:dyDescent="0.35">
      <c r="A844" s="126"/>
      <c r="B844" s="127"/>
      <c r="C844" s="18"/>
      <c r="D844" s="18"/>
      <c r="E844" s="18"/>
    </row>
    <row r="845" spans="1:5" s="29" customFormat="1" ht="15.6" hidden="1" customHeight="1" x14ac:dyDescent="0.35">
      <c r="A845" s="126"/>
      <c r="B845" s="127"/>
      <c r="C845" s="18">
        <v>3.9</v>
      </c>
      <c r="D845" s="18"/>
      <c r="E845" s="18"/>
    </row>
    <row r="846" spans="1:5" s="29" customFormat="1" ht="16.2" hidden="1" customHeight="1" thickBot="1" x14ac:dyDescent="0.35">
      <c r="A846" s="128"/>
      <c r="B846" s="129"/>
      <c r="C846" s="19"/>
      <c r="D846" s="19"/>
      <c r="E846" s="19"/>
    </row>
    <row r="847" spans="1:5" s="29" customFormat="1" ht="15.6" hidden="1" customHeight="1" x14ac:dyDescent="0.35">
      <c r="A847" s="124" t="s">
        <v>169</v>
      </c>
      <c r="B847" s="125" t="s">
        <v>281</v>
      </c>
      <c r="C847" s="17"/>
      <c r="D847" s="17"/>
      <c r="E847" s="17"/>
    </row>
    <row r="848" spans="1:5" s="29" customFormat="1" ht="15.6" hidden="1" customHeight="1" x14ac:dyDescent="0.35">
      <c r="A848" s="126"/>
      <c r="B848" s="127"/>
      <c r="C848" s="18"/>
      <c r="D848" s="18"/>
      <c r="E848" s="18"/>
    </row>
    <row r="849" spans="1:5" s="29" customFormat="1" ht="15.6" hidden="1" customHeight="1" x14ac:dyDescent="0.35">
      <c r="A849" s="126"/>
      <c r="B849" s="127"/>
      <c r="C849" s="18"/>
      <c r="D849" s="18"/>
      <c r="E849" s="18"/>
    </row>
    <row r="850" spans="1:5" s="29" customFormat="1" ht="15.6" hidden="1" customHeight="1" x14ac:dyDescent="0.35">
      <c r="A850" s="126"/>
      <c r="B850" s="127"/>
      <c r="C850" s="18"/>
      <c r="D850" s="18"/>
      <c r="E850" s="18"/>
    </row>
    <row r="851" spans="1:5" s="29" customFormat="1" ht="16.2" hidden="1" customHeight="1" thickBot="1" x14ac:dyDescent="0.35">
      <c r="A851" s="128"/>
      <c r="B851" s="129"/>
      <c r="C851" s="19"/>
      <c r="D851" s="19"/>
      <c r="E851" s="19"/>
    </row>
    <row r="852" spans="1:5" s="29" customFormat="1" ht="15.6" hidden="1" customHeight="1" x14ac:dyDescent="0.35">
      <c r="A852" s="124" t="s">
        <v>170</v>
      </c>
      <c r="B852" s="125" t="s">
        <v>249</v>
      </c>
      <c r="C852" s="17"/>
      <c r="D852" s="17"/>
      <c r="E852" s="17"/>
    </row>
    <row r="853" spans="1:5" s="29" customFormat="1" ht="15.6" hidden="1" customHeight="1" x14ac:dyDescent="0.35">
      <c r="A853" s="126"/>
      <c r="B853" s="127"/>
      <c r="C853" s="18"/>
      <c r="D853" s="18"/>
      <c r="E853" s="18"/>
    </row>
    <row r="854" spans="1:5" s="29" customFormat="1" ht="15.6" hidden="1" customHeight="1" x14ac:dyDescent="0.35">
      <c r="A854" s="126"/>
      <c r="B854" s="127"/>
      <c r="C854" s="18"/>
      <c r="D854" s="18"/>
      <c r="E854" s="18"/>
    </row>
    <row r="855" spans="1:5" s="29" customFormat="1" ht="15.6" hidden="1" customHeight="1" x14ac:dyDescent="0.35">
      <c r="A855" s="126"/>
      <c r="B855" s="127"/>
      <c r="C855" s="18"/>
      <c r="D855" s="18"/>
      <c r="E855" s="18"/>
    </row>
    <row r="856" spans="1:5" s="29" customFormat="1" ht="16.2" hidden="1" customHeight="1" thickBot="1" x14ac:dyDescent="0.35">
      <c r="A856" s="128"/>
      <c r="B856" s="129"/>
      <c r="C856" s="19"/>
      <c r="D856" s="19"/>
      <c r="E856" s="19"/>
    </row>
    <row r="857" spans="1:5" s="29" customFormat="1" ht="15.6" hidden="1" customHeight="1" x14ac:dyDescent="0.35">
      <c r="A857" s="124" t="s">
        <v>171</v>
      </c>
      <c r="B857" s="125" t="s">
        <v>252</v>
      </c>
      <c r="C857" s="17"/>
      <c r="D857" s="17"/>
      <c r="E857" s="17"/>
    </row>
    <row r="858" spans="1:5" s="29" customFormat="1" ht="15.6" hidden="1" customHeight="1" x14ac:dyDescent="0.35">
      <c r="A858" s="126"/>
      <c r="B858" s="127"/>
      <c r="C858" s="18"/>
      <c r="D858" s="18"/>
      <c r="E858" s="18"/>
    </row>
    <row r="859" spans="1:5" s="29" customFormat="1" ht="15.6" hidden="1" customHeight="1" x14ac:dyDescent="0.35">
      <c r="A859" s="126"/>
      <c r="B859" s="127"/>
      <c r="C859" s="18"/>
      <c r="D859" s="18"/>
      <c r="E859" s="18"/>
    </row>
    <row r="860" spans="1:5" s="29" customFormat="1" ht="15.6" hidden="1" customHeight="1" x14ac:dyDescent="0.35">
      <c r="A860" s="126"/>
      <c r="B860" s="127"/>
      <c r="C860" s="18">
        <v>3.9</v>
      </c>
      <c r="D860" s="18"/>
      <c r="E860" s="18"/>
    </row>
    <row r="861" spans="1:5" s="29" customFormat="1" ht="16.2" hidden="1" customHeight="1" thickBot="1" x14ac:dyDescent="0.35">
      <c r="A861" s="128"/>
      <c r="B861" s="129"/>
      <c r="C861" s="19"/>
      <c r="D861" s="19"/>
      <c r="E861" s="19"/>
    </row>
    <row r="862" spans="1:5" s="29" customFormat="1" ht="15.6" hidden="1" customHeight="1" x14ac:dyDescent="0.35">
      <c r="A862" s="124" t="s">
        <v>172</v>
      </c>
      <c r="B862" s="125" t="s">
        <v>253</v>
      </c>
      <c r="C862" s="17"/>
      <c r="D862" s="17"/>
      <c r="E862" s="17"/>
    </row>
    <row r="863" spans="1:5" s="29" customFormat="1" ht="15.6" hidden="1" customHeight="1" x14ac:dyDescent="0.35">
      <c r="A863" s="126"/>
      <c r="B863" s="127"/>
      <c r="C863" s="18"/>
      <c r="D863" s="18"/>
      <c r="E863" s="18"/>
    </row>
    <row r="864" spans="1:5" s="29" customFormat="1" ht="15.6" hidden="1" customHeight="1" x14ac:dyDescent="0.35">
      <c r="A864" s="126"/>
      <c r="B864" s="127"/>
      <c r="C864" s="18"/>
      <c r="D864" s="18"/>
      <c r="E864" s="18"/>
    </row>
    <row r="865" spans="1:5" s="29" customFormat="1" ht="15.6" hidden="1" customHeight="1" x14ac:dyDescent="0.35">
      <c r="A865" s="126"/>
      <c r="B865" s="127"/>
      <c r="C865" s="18">
        <v>3.9</v>
      </c>
      <c r="D865" s="18"/>
      <c r="E865" s="18"/>
    </row>
    <row r="866" spans="1:5" s="29" customFormat="1" ht="16.2" hidden="1" customHeight="1" thickBot="1" x14ac:dyDescent="0.35">
      <c r="A866" s="128"/>
      <c r="B866" s="129"/>
      <c r="C866" s="19"/>
      <c r="D866" s="19"/>
      <c r="E866" s="19"/>
    </row>
    <row r="867" spans="1:5" s="29" customFormat="1" ht="15.6" hidden="1" customHeight="1" x14ac:dyDescent="0.35">
      <c r="A867" s="124" t="s">
        <v>173</v>
      </c>
      <c r="B867" s="125" t="s">
        <v>250</v>
      </c>
      <c r="C867" s="17"/>
      <c r="D867" s="17"/>
      <c r="E867" s="17"/>
    </row>
    <row r="868" spans="1:5" s="29" customFormat="1" ht="15.6" hidden="1" customHeight="1" x14ac:dyDescent="0.35">
      <c r="A868" s="126"/>
      <c r="B868" s="127"/>
      <c r="C868" s="18"/>
      <c r="D868" s="18"/>
      <c r="E868" s="18"/>
    </row>
    <row r="869" spans="1:5" s="29" customFormat="1" ht="15.6" hidden="1" customHeight="1" x14ac:dyDescent="0.35">
      <c r="A869" s="126"/>
      <c r="B869" s="127"/>
      <c r="C869" s="18"/>
      <c r="D869" s="18"/>
      <c r="E869" s="18"/>
    </row>
    <row r="870" spans="1:5" s="29" customFormat="1" ht="15.6" hidden="1" customHeight="1" x14ac:dyDescent="0.35">
      <c r="A870" s="126"/>
      <c r="B870" s="127"/>
      <c r="C870" s="18"/>
      <c r="D870" s="18"/>
      <c r="E870" s="18"/>
    </row>
    <row r="871" spans="1:5" s="29" customFormat="1" ht="16.2" hidden="1" customHeight="1" thickBot="1" x14ac:dyDescent="0.35">
      <c r="A871" s="128"/>
      <c r="B871" s="129"/>
      <c r="C871" s="19"/>
      <c r="D871" s="19"/>
      <c r="E871" s="19"/>
    </row>
    <row r="872" spans="1:5" s="29" customFormat="1" ht="15.6" hidden="1" customHeight="1" x14ac:dyDescent="0.35">
      <c r="A872" s="124" t="s">
        <v>174</v>
      </c>
      <c r="B872" s="131" t="s">
        <v>281</v>
      </c>
      <c r="C872" s="17"/>
      <c r="D872" s="17"/>
      <c r="E872" s="17"/>
    </row>
    <row r="873" spans="1:5" s="29" customFormat="1" ht="15.6" hidden="1" customHeight="1" x14ac:dyDescent="0.35">
      <c r="A873" s="126"/>
      <c r="B873" s="132"/>
      <c r="C873" s="18"/>
      <c r="D873" s="18"/>
      <c r="E873" s="18"/>
    </row>
    <row r="874" spans="1:5" s="29" customFormat="1" ht="15.6" hidden="1" customHeight="1" x14ac:dyDescent="0.35">
      <c r="A874" s="126"/>
      <c r="B874" s="132"/>
      <c r="C874" s="18"/>
      <c r="D874" s="18"/>
      <c r="E874" s="18"/>
    </row>
    <row r="875" spans="1:5" s="29" customFormat="1" ht="15.6" hidden="1" customHeight="1" x14ac:dyDescent="0.35">
      <c r="A875" s="126"/>
      <c r="B875" s="132"/>
      <c r="C875" s="18"/>
      <c r="D875" s="18"/>
      <c r="E875" s="18"/>
    </row>
    <row r="876" spans="1:5" s="29" customFormat="1" ht="15.6" hidden="1" customHeight="1" x14ac:dyDescent="0.35">
      <c r="A876" s="126"/>
      <c r="B876" s="132"/>
      <c r="C876" s="20"/>
      <c r="D876" s="20"/>
      <c r="E876" s="20"/>
    </row>
    <row r="877" spans="1:5" s="29" customFormat="1" ht="15.6" hidden="1" customHeight="1" x14ac:dyDescent="0.35">
      <c r="A877" s="151" t="s">
        <v>175</v>
      </c>
      <c r="B877" s="152" t="s">
        <v>293</v>
      </c>
      <c r="C877" s="17">
        <v>24.57</v>
      </c>
      <c r="D877" s="17"/>
      <c r="E877" s="17"/>
    </row>
    <row r="878" spans="1:5" s="29" customFormat="1" ht="15.6" hidden="1" customHeight="1" x14ac:dyDescent="0.35">
      <c r="A878" s="153"/>
      <c r="B878" s="154"/>
      <c r="C878" s="18">
        <f>C877</f>
        <v>24.57</v>
      </c>
      <c r="D878" s="18"/>
      <c r="E878" s="18"/>
    </row>
    <row r="879" spans="1:5" s="29" customFormat="1" ht="15.6" hidden="1" customHeight="1" x14ac:dyDescent="0.35">
      <c r="A879" s="153"/>
      <c r="B879" s="154"/>
      <c r="C879" s="18">
        <f>C877-C878</f>
        <v>0</v>
      </c>
      <c r="D879" s="18"/>
      <c r="E879" s="18"/>
    </row>
    <row r="880" spans="1:5" s="29" customFormat="1" ht="15.6" hidden="1" customHeight="1" x14ac:dyDescent="0.35">
      <c r="A880" s="153"/>
      <c r="B880" s="154"/>
      <c r="C880" s="18">
        <v>24.57</v>
      </c>
      <c r="D880" s="18"/>
      <c r="E880" s="18"/>
    </row>
    <row r="881" spans="1:5" s="29" customFormat="1" ht="16.2" hidden="1" customHeight="1" thickBot="1" x14ac:dyDescent="0.35">
      <c r="A881" s="155"/>
      <c r="B881" s="156"/>
      <c r="C881" s="19"/>
      <c r="D881" s="19"/>
      <c r="E881" s="19"/>
    </row>
    <row r="882" spans="1:5" s="29" customFormat="1" ht="15.6" hidden="1" customHeight="1" x14ac:dyDescent="0.35">
      <c r="A882" s="126" t="s">
        <v>176</v>
      </c>
      <c r="B882" s="132" t="s">
        <v>294</v>
      </c>
      <c r="C882" s="30"/>
      <c r="D882" s="30"/>
      <c r="E882" s="30"/>
    </row>
    <row r="883" spans="1:5" s="29" customFormat="1" ht="15.6" hidden="1" customHeight="1" x14ac:dyDescent="0.35">
      <c r="A883" s="126"/>
      <c r="B883" s="132"/>
      <c r="C883" s="18"/>
      <c r="D883" s="18"/>
      <c r="E883" s="18"/>
    </row>
    <row r="884" spans="1:5" s="29" customFormat="1" ht="15.6" hidden="1" customHeight="1" x14ac:dyDescent="0.35">
      <c r="A884" s="126"/>
      <c r="B884" s="132"/>
      <c r="C884" s="18"/>
      <c r="D884" s="18"/>
      <c r="E884" s="18"/>
    </row>
    <row r="885" spans="1:5" s="29" customFormat="1" ht="15.6" hidden="1" customHeight="1" x14ac:dyDescent="0.35">
      <c r="A885" s="126"/>
      <c r="B885" s="132"/>
      <c r="C885" s="18"/>
      <c r="D885" s="18"/>
      <c r="E885" s="18"/>
    </row>
    <row r="886" spans="1:5" s="29" customFormat="1" ht="15.6" hidden="1" customHeight="1" x14ac:dyDescent="0.35">
      <c r="A886" s="126"/>
      <c r="B886" s="132"/>
      <c r="C886" s="20"/>
      <c r="D886" s="20"/>
      <c r="E886" s="20"/>
    </row>
    <row r="887" spans="1:5" s="29" customFormat="1" ht="15.6" hidden="1" customHeight="1" x14ac:dyDescent="0.35">
      <c r="A887" s="151" t="s">
        <v>177</v>
      </c>
      <c r="B887" s="152" t="s">
        <v>295</v>
      </c>
      <c r="C887" s="17">
        <v>15.71</v>
      </c>
      <c r="D887" s="17"/>
      <c r="E887" s="17"/>
    </row>
    <row r="888" spans="1:5" s="29" customFormat="1" ht="15.6" hidden="1" customHeight="1" x14ac:dyDescent="0.35">
      <c r="A888" s="153"/>
      <c r="B888" s="154"/>
      <c r="C888" s="18">
        <f>C887</f>
        <v>15.71</v>
      </c>
      <c r="D888" s="18"/>
      <c r="E888" s="18"/>
    </row>
    <row r="889" spans="1:5" s="29" customFormat="1" ht="15.6" hidden="1" customHeight="1" x14ac:dyDescent="0.35">
      <c r="A889" s="153"/>
      <c r="B889" s="154"/>
      <c r="C889" s="18">
        <f>C887-C888</f>
        <v>0</v>
      </c>
      <c r="D889" s="18"/>
      <c r="E889" s="18"/>
    </row>
    <row r="890" spans="1:5" s="29" customFormat="1" ht="15.6" hidden="1" customHeight="1" x14ac:dyDescent="0.35">
      <c r="A890" s="153"/>
      <c r="B890" s="154"/>
      <c r="C890" s="18"/>
      <c r="D890" s="18"/>
      <c r="E890" s="18"/>
    </row>
    <row r="891" spans="1:5" s="29" customFormat="1" ht="34.799999999999997" hidden="1" customHeight="1" x14ac:dyDescent="0.35">
      <c r="A891" s="155"/>
      <c r="B891" s="156"/>
      <c r="C891" s="19"/>
      <c r="D891" s="19"/>
      <c r="E891" s="19"/>
    </row>
    <row r="892" spans="1:5" s="29" customFormat="1" ht="15.6" hidden="1" customHeight="1" x14ac:dyDescent="0.35">
      <c r="A892" s="126" t="s">
        <v>178</v>
      </c>
      <c r="B892" s="127" t="s">
        <v>296</v>
      </c>
      <c r="C892" s="30"/>
      <c r="D892" s="30"/>
      <c r="E892" s="30"/>
    </row>
    <row r="893" spans="1:5" s="29" customFormat="1" ht="15.6" hidden="1" customHeight="1" x14ac:dyDescent="0.35">
      <c r="A893" s="126"/>
      <c r="B893" s="127"/>
      <c r="C893" s="18"/>
      <c r="D893" s="18"/>
      <c r="E893" s="18"/>
    </row>
    <row r="894" spans="1:5" s="29" customFormat="1" ht="15.6" hidden="1" customHeight="1" x14ac:dyDescent="0.35">
      <c r="A894" s="126"/>
      <c r="B894" s="127"/>
      <c r="C894" s="18"/>
      <c r="D894" s="18"/>
      <c r="E894" s="18"/>
    </row>
    <row r="895" spans="1:5" s="29" customFormat="1" ht="15.6" hidden="1" customHeight="1" x14ac:dyDescent="0.35">
      <c r="A895" s="126"/>
      <c r="B895" s="127"/>
      <c r="C895" s="18"/>
      <c r="D895" s="18"/>
      <c r="E895" s="18"/>
    </row>
    <row r="896" spans="1:5" s="29" customFormat="1" ht="16.2" hidden="1" customHeight="1" thickBot="1" x14ac:dyDescent="0.35">
      <c r="A896" s="128"/>
      <c r="B896" s="129"/>
      <c r="C896" s="19"/>
      <c r="D896" s="19"/>
      <c r="E896" s="19"/>
    </row>
    <row r="897" spans="1:5" s="29" customFormat="1" ht="15.6" hidden="1" customHeight="1" x14ac:dyDescent="0.35">
      <c r="A897" s="124" t="s">
        <v>179</v>
      </c>
      <c r="B897" s="125" t="s">
        <v>297</v>
      </c>
      <c r="C897" s="17"/>
      <c r="D897" s="17"/>
      <c r="E897" s="17"/>
    </row>
    <row r="898" spans="1:5" s="29" customFormat="1" ht="15.6" hidden="1" customHeight="1" x14ac:dyDescent="0.35">
      <c r="A898" s="126"/>
      <c r="B898" s="127"/>
      <c r="C898" s="18"/>
      <c r="D898" s="18"/>
      <c r="E898" s="18"/>
    </row>
    <row r="899" spans="1:5" s="29" customFormat="1" ht="15.6" hidden="1" customHeight="1" x14ac:dyDescent="0.35">
      <c r="A899" s="126"/>
      <c r="B899" s="127"/>
      <c r="C899" s="18"/>
      <c r="D899" s="18"/>
      <c r="E899" s="18"/>
    </row>
    <row r="900" spans="1:5" s="29" customFormat="1" ht="15.6" hidden="1" customHeight="1" x14ac:dyDescent="0.35">
      <c r="A900" s="126"/>
      <c r="B900" s="127"/>
      <c r="C900" s="18"/>
      <c r="D900" s="18"/>
      <c r="E900" s="18"/>
    </row>
    <row r="901" spans="1:5" s="29" customFormat="1" ht="16.2" hidden="1" customHeight="1" thickBot="1" x14ac:dyDescent="0.35">
      <c r="A901" s="128"/>
      <c r="B901" s="129"/>
      <c r="C901" s="19"/>
      <c r="D901" s="19"/>
      <c r="E901" s="19"/>
    </row>
    <row r="902" spans="1:5" s="29" customFormat="1" ht="15.6" hidden="1" customHeight="1" x14ac:dyDescent="0.35">
      <c r="A902" s="124" t="s">
        <v>180</v>
      </c>
      <c r="B902" s="125" t="s">
        <v>287</v>
      </c>
      <c r="C902" s="17"/>
      <c r="D902" s="17"/>
      <c r="E902" s="17"/>
    </row>
    <row r="903" spans="1:5" s="29" customFormat="1" ht="15.6" hidden="1" customHeight="1" x14ac:dyDescent="0.35">
      <c r="A903" s="126"/>
      <c r="B903" s="127"/>
      <c r="C903" s="18"/>
      <c r="D903" s="18"/>
      <c r="E903" s="18"/>
    </row>
    <row r="904" spans="1:5" s="29" customFormat="1" ht="15.6" hidden="1" customHeight="1" x14ac:dyDescent="0.35">
      <c r="A904" s="126"/>
      <c r="B904" s="127"/>
      <c r="C904" s="18"/>
      <c r="D904" s="18"/>
      <c r="E904" s="18"/>
    </row>
    <row r="905" spans="1:5" s="29" customFormat="1" ht="15.6" hidden="1" customHeight="1" x14ac:dyDescent="0.35">
      <c r="A905" s="126"/>
      <c r="B905" s="127"/>
      <c r="C905" s="18"/>
      <c r="D905" s="18"/>
      <c r="E905" s="18"/>
    </row>
    <row r="906" spans="1:5" s="29" customFormat="1" ht="15.6" hidden="1" customHeight="1" x14ac:dyDescent="0.35">
      <c r="A906" s="126"/>
      <c r="B906" s="127"/>
      <c r="C906" s="20"/>
      <c r="D906" s="20"/>
      <c r="E906" s="20"/>
    </row>
    <row r="907" spans="1:5" s="29" customFormat="1" ht="15.6" hidden="1" customHeight="1" x14ac:dyDescent="0.35">
      <c r="A907" s="151" t="s">
        <v>181</v>
      </c>
      <c r="B907" s="152" t="s">
        <v>277</v>
      </c>
      <c r="C907" s="17"/>
      <c r="D907" s="17"/>
      <c r="E907" s="17"/>
    </row>
    <row r="908" spans="1:5" s="29" customFormat="1" ht="15.6" hidden="1" customHeight="1" x14ac:dyDescent="0.35">
      <c r="A908" s="153"/>
      <c r="B908" s="154"/>
      <c r="C908" s="18"/>
      <c r="D908" s="18"/>
      <c r="E908" s="18"/>
    </row>
    <row r="909" spans="1:5" s="29" customFormat="1" ht="15.6" hidden="1" customHeight="1" x14ac:dyDescent="0.35">
      <c r="A909" s="153"/>
      <c r="B909" s="154"/>
      <c r="C909" s="18"/>
      <c r="D909" s="18"/>
      <c r="E909" s="18"/>
    </row>
    <row r="910" spans="1:5" s="29" customFormat="1" ht="15.6" hidden="1" customHeight="1" x14ac:dyDescent="0.35">
      <c r="A910" s="153"/>
      <c r="B910" s="154"/>
      <c r="C910" s="18"/>
      <c r="D910" s="18"/>
      <c r="E910" s="18"/>
    </row>
    <row r="911" spans="1:5" s="29" customFormat="1" ht="16.2" hidden="1" customHeight="1" thickBot="1" x14ac:dyDescent="0.35">
      <c r="A911" s="155"/>
      <c r="B911" s="156"/>
      <c r="C911" s="19"/>
      <c r="D911" s="19"/>
      <c r="E911" s="19"/>
    </row>
    <row r="912" spans="1:5" s="29" customFormat="1" ht="15.6" hidden="1" customHeight="1" x14ac:dyDescent="0.35">
      <c r="A912" s="126" t="s">
        <v>182</v>
      </c>
      <c r="B912" s="127" t="s">
        <v>215</v>
      </c>
      <c r="C912" s="30"/>
      <c r="D912" s="30"/>
      <c r="E912" s="30"/>
    </row>
    <row r="913" spans="1:5" s="29" customFormat="1" ht="15.6" hidden="1" customHeight="1" x14ac:dyDescent="0.35">
      <c r="A913" s="126"/>
      <c r="B913" s="127"/>
      <c r="C913" s="18"/>
      <c r="D913" s="18"/>
      <c r="E913" s="18"/>
    </row>
    <row r="914" spans="1:5" s="29" customFormat="1" ht="15.6" hidden="1" customHeight="1" x14ac:dyDescent="0.35">
      <c r="A914" s="126"/>
      <c r="B914" s="127"/>
      <c r="C914" s="18"/>
      <c r="D914" s="18"/>
      <c r="E914" s="18"/>
    </row>
    <row r="915" spans="1:5" s="29" customFormat="1" ht="15.6" hidden="1" customHeight="1" x14ac:dyDescent="0.35">
      <c r="A915" s="126"/>
      <c r="B915" s="127"/>
      <c r="C915" s="18"/>
      <c r="D915" s="18"/>
      <c r="E915" s="18"/>
    </row>
    <row r="916" spans="1:5" s="29" customFormat="1" ht="16.2" hidden="1" customHeight="1" thickBot="1" x14ac:dyDescent="0.35">
      <c r="A916" s="128"/>
      <c r="B916" s="129"/>
      <c r="C916" s="19"/>
      <c r="D916" s="19"/>
      <c r="E916" s="19"/>
    </row>
    <row r="917" spans="1:5" s="29" customFormat="1" ht="15.6" hidden="1" customHeight="1" x14ac:dyDescent="0.35">
      <c r="A917" s="124" t="s">
        <v>183</v>
      </c>
      <c r="B917" s="125" t="s">
        <v>218</v>
      </c>
      <c r="C917" s="17"/>
      <c r="D917" s="17"/>
      <c r="E917" s="17"/>
    </row>
    <row r="918" spans="1:5" s="29" customFormat="1" ht="15.6" hidden="1" customHeight="1" x14ac:dyDescent="0.35">
      <c r="A918" s="126"/>
      <c r="B918" s="127"/>
      <c r="C918" s="18"/>
      <c r="D918" s="18"/>
      <c r="E918" s="18"/>
    </row>
    <row r="919" spans="1:5" s="29" customFormat="1" ht="15.6" hidden="1" customHeight="1" x14ac:dyDescent="0.35">
      <c r="A919" s="126"/>
      <c r="B919" s="127"/>
      <c r="C919" s="18"/>
      <c r="D919" s="18"/>
      <c r="E919" s="18"/>
    </row>
    <row r="920" spans="1:5" s="29" customFormat="1" ht="15.6" hidden="1" customHeight="1" x14ac:dyDescent="0.35">
      <c r="A920" s="126"/>
      <c r="B920" s="127"/>
      <c r="C920" s="18"/>
      <c r="D920" s="18"/>
      <c r="E920" s="18"/>
    </row>
    <row r="921" spans="1:5" s="29" customFormat="1" ht="16.2" hidden="1" customHeight="1" thickBot="1" x14ac:dyDescent="0.35">
      <c r="A921" s="128"/>
      <c r="B921" s="129"/>
      <c r="C921" s="19"/>
      <c r="D921" s="19"/>
      <c r="E921" s="19"/>
    </row>
    <row r="922" spans="1:5" s="29" customFormat="1" ht="15.6" hidden="1" customHeight="1" x14ac:dyDescent="0.35">
      <c r="A922" s="124" t="s">
        <v>184</v>
      </c>
      <c r="B922" s="125" t="s">
        <v>218</v>
      </c>
      <c r="C922" s="17"/>
      <c r="D922" s="17"/>
      <c r="E922" s="17"/>
    </row>
    <row r="923" spans="1:5" s="29" customFormat="1" ht="15.6" hidden="1" customHeight="1" x14ac:dyDescent="0.35">
      <c r="A923" s="126"/>
      <c r="B923" s="127"/>
      <c r="C923" s="18"/>
      <c r="D923" s="18"/>
      <c r="E923" s="18"/>
    </row>
    <row r="924" spans="1:5" s="29" customFormat="1" ht="15.6" hidden="1" customHeight="1" x14ac:dyDescent="0.35">
      <c r="A924" s="126"/>
      <c r="B924" s="127"/>
      <c r="C924" s="18"/>
      <c r="D924" s="18"/>
      <c r="E924" s="18"/>
    </row>
    <row r="925" spans="1:5" s="29" customFormat="1" ht="15.6" hidden="1" customHeight="1" x14ac:dyDescent="0.35">
      <c r="A925" s="126"/>
      <c r="B925" s="127"/>
      <c r="C925" s="18"/>
      <c r="D925" s="18"/>
      <c r="E925" s="18"/>
    </row>
    <row r="926" spans="1:5" s="29" customFormat="1" ht="15.6" hidden="1" customHeight="1" x14ac:dyDescent="0.35">
      <c r="A926" s="126"/>
      <c r="B926" s="127"/>
      <c r="C926" s="20"/>
      <c r="D926" s="20"/>
      <c r="E926" s="20"/>
    </row>
    <row r="927" spans="1:5" s="29" customFormat="1" ht="15.6" hidden="1" customHeight="1" x14ac:dyDescent="0.35">
      <c r="A927" s="151" t="s">
        <v>185</v>
      </c>
      <c r="B927" s="152" t="s">
        <v>288</v>
      </c>
      <c r="C927" s="17"/>
      <c r="D927" s="17"/>
      <c r="E927" s="17"/>
    </row>
    <row r="928" spans="1:5" s="29" customFormat="1" ht="15.6" hidden="1" customHeight="1" x14ac:dyDescent="0.35">
      <c r="A928" s="153"/>
      <c r="B928" s="154"/>
      <c r="C928" s="18"/>
      <c r="D928" s="18"/>
      <c r="E928" s="18"/>
    </row>
    <row r="929" spans="1:5" s="29" customFormat="1" ht="15.6" hidden="1" customHeight="1" x14ac:dyDescent="0.35">
      <c r="A929" s="153"/>
      <c r="B929" s="154"/>
      <c r="C929" s="18"/>
      <c r="D929" s="18"/>
      <c r="E929" s="18"/>
    </row>
    <row r="930" spans="1:5" s="29" customFormat="1" ht="15.6" hidden="1" customHeight="1" x14ac:dyDescent="0.35">
      <c r="A930" s="153"/>
      <c r="B930" s="154"/>
      <c r="C930" s="18"/>
      <c r="D930" s="18"/>
      <c r="E930" s="18"/>
    </row>
    <row r="931" spans="1:5" s="29" customFormat="1" ht="16.2" hidden="1" customHeight="1" thickBot="1" x14ac:dyDescent="0.35">
      <c r="A931" s="155"/>
      <c r="B931" s="156"/>
      <c r="C931" s="20"/>
      <c r="D931" s="19"/>
      <c r="E931" s="19"/>
    </row>
    <row r="932" spans="1:5" s="29" customFormat="1" ht="60" customHeight="1" thickBot="1" x14ac:dyDescent="0.35">
      <c r="A932" s="130" t="s">
        <v>186</v>
      </c>
      <c r="B932" s="132" t="s">
        <v>218</v>
      </c>
      <c r="C932" s="64">
        <v>5</v>
      </c>
      <c r="D932" s="30"/>
      <c r="E932" s="30"/>
    </row>
    <row r="933" spans="1:5" s="29" customFormat="1" ht="16.2" hidden="1" customHeight="1" thickBot="1" x14ac:dyDescent="0.35">
      <c r="A933" s="126"/>
      <c r="B933" s="132"/>
      <c r="C933" s="30"/>
      <c r="D933" s="18"/>
      <c r="E933" s="18"/>
    </row>
    <row r="934" spans="1:5" s="29" customFormat="1" ht="16.2" hidden="1" customHeight="1" thickBot="1" x14ac:dyDescent="0.35">
      <c r="A934" s="126"/>
      <c r="B934" s="132"/>
      <c r="C934" s="18"/>
      <c r="D934" s="18"/>
      <c r="E934" s="18"/>
    </row>
    <row r="935" spans="1:5" s="29" customFormat="1" ht="16.2" hidden="1" customHeight="1" thickBot="1" x14ac:dyDescent="0.35">
      <c r="A935" s="126"/>
      <c r="B935" s="132"/>
      <c r="C935" s="18"/>
      <c r="D935" s="18"/>
      <c r="E935" s="18"/>
    </row>
    <row r="936" spans="1:5" s="29" customFormat="1" ht="16.2" hidden="1" customHeight="1" thickBot="1" x14ac:dyDescent="0.35">
      <c r="A936" s="128"/>
      <c r="B936" s="133"/>
      <c r="C936" s="20"/>
      <c r="D936" s="19"/>
      <c r="E936" s="19"/>
    </row>
    <row r="937" spans="1:5" s="29" customFormat="1" ht="60" customHeight="1" x14ac:dyDescent="0.3">
      <c r="A937" s="130" t="s">
        <v>187</v>
      </c>
      <c r="B937" s="131" t="s">
        <v>273</v>
      </c>
      <c r="C937" s="64">
        <v>6</v>
      </c>
      <c r="D937" s="17"/>
      <c r="E937" s="17"/>
    </row>
    <row r="938" spans="1:5" s="29" customFormat="1" ht="15.6" hidden="1" customHeight="1" x14ac:dyDescent="0.3">
      <c r="A938" s="126"/>
      <c r="B938" s="132"/>
      <c r="C938" s="30">
        <f>C937</f>
        <v>6</v>
      </c>
      <c r="D938" s="18"/>
      <c r="E938" s="18"/>
    </row>
    <row r="939" spans="1:5" s="29" customFormat="1" ht="15.6" hidden="1" customHeight="1" x14ac:dyDescent="0.3">
      <c r="A939" s="126"/>
      <c r="B939" s="132"/>
      <c r="C939" s="18">
        <f>C937-C938</f>
        <v>0</v>
      </c>
      <c r="D939" s="18"/>
      <c r="E939" s="18"/>
    </row>
    <row r="940" spans="1:5" s="29" customFormat="1" ht="15.6" hidden="1" customHeight="1" x14ac:dyDescent="0.3">
      <c r="A940" s="126"/>
      <c r="B940" s="132"/>
      <c r="C940" s="18"/>
      <c r="D940" s="18"/>
      <c r="E940" s="18"/>
    </row>
    <row r="941" spans="1:5" s="29" customFormat="1" ht="16.2" hidden="1" customHeight="1" thickBot="1" x14ac:dyDescent="0.35">
      <c r="A941" s="128"/>
      <c r="B941" s="133"/>
      <c r="C941" s="19"/>
      <c r="D941" s="19"/>
      <c r="E941" s="19"/>
    </row>
    <row r="942" spans="1:5" s="3" customFormat="1" ht="14.4" hidden="1" customHeight="1" x14ac:dyDescent="0.3">
      <c r="A942" s="145" t="s">
        <v>188</v>
      </c>
      <c r="B942" s="21"/>
      <c r="C942" s="11" t="e">
        <f>C717+C722+#REF!+C732+C737+C742+C747+C752+C757+C762+C767+C772+C777+C782+C787+C792+C797+C802+C807+C812+C817+C822+C827+C832+C837+C842+C847+C852+C857+C862+C867+C872+C877+C882+C887+C892+C897+C902+C907+C912+C917+C922+C927+C932+C937</f>
        <v>#REF!</v>
      </c>
      <c r="D942" s="11">
        <f t="shared" ref="D942:E943" si="9">D717+D722+D727+D732+D737+D742+D747+D752+D757+D762+D767+D772+D777+D782+D787+D792+D797+D802+D807+D812+D817+D822+D827+D832+D837+D842+D847+D852+D857+D862+D867+D872+D877+D882+D887+D892+D897+D902+D907+D912+D917+D922+D927+D932+D937</f>
        <v>78.062000000000012</v>
      </c>
      <c r="E942" s="11">
        <f t="shared" si="9"/>
        <v>183.51</v>
      </c>
    </row>
    <row r="943" spans="1:5" s="3" customFormat="1" ht="14.4" hidden="1" customHeight="1" x14ac:dyDescent="0.3">
      <c r="A943" s="146"/>
      <c r="B943" s="22"/>
      <c r="C943" s="10">
        <f>C718+C723+C727+C733+C738+C743+C748+C753+C758+C763+C768+C773+C778+C783+C788+C793+C798+C803+C808+C813+C818+C823+C828+C833+C838+C843+C848+C853+C858+C863+C868+C873+C878+C883+C888+C893+C898+C903+C908+C913+C918+C923+C928+C933+C938</f>
        <v>138.30000000000001</v>
      </c>
      <c r="D943" s="10">
        <f t="shared" si="9"/>
        <v>0</v>
      </c>
      <c r="E943" s="10">
        <f t="shared" si="9"/>
        <v>18.329999999999998</v>
      </c>
    </row>
    <row r="944" spans="1:5" s="3" customFormat="1" ht="14.4" hidden="1" customHeight="1" x14ac:dyDescent="0.3">
      <c r="A944" s="146"/>
      <c r="B944" s="22"/>
      <c r="C944" s="10">
        <f t="shared" ref="C944:E946" si="10">C719+C724+C729+C734+C739+C744+C749+C754+C759+C764+C769+C774+C779+C784+C789+C794+C799+C804+C809+C814+C819+C824+C829+C834+C839+C844+C849+C854+C859+C864+C869+C874+C879+C884+C889+C894+C899+C904+C909+C914+C919+C924+C929+C934+C939</f>
        <v>0</v>
      </c>
      <c r="D944" s="10">
        <f t="shared" si="10"/>
        <v>27.981999999999999</v>
      </c>
      <c r="E944" s="10">
        <f t="shared" si="10"/>
        <v>0</v>
      </c>
    </row>
    <row r="945" spans="1:5" s="3" customFormat="1" ht="14.4" hidden="1" customHeight="1" x14ac:dyDescent="0.3">
      <c r="A945" s="146"/>
      <c r="B945" s="22"/>
      <c r="C945" s="10">
        <f t="shared" si="10"/>
        <v>204.45000000000002</v>
      </c>
      <c r="D945" s="10">
        <f t="shared" si="10"/>
        <v>0</v>
      </c>
      <c r="E945" s="10">
        <f t="shared" si="10"/>
        <v>0</v>
      </c>
    </row>
    <row r="946" spans="1:5" s="3" customFormat="1" ht="15" hidden="1" customHeight="1" thickBot="1" x14ac:dyDescent="0.35">
      <c r="A946" s="147"/>
      <c r="B946" s="23"/>
      <c r="C946" s="12">
        <f t="shared" si="10"/>
        <v>0</v>
      </c>
      <c r="D946" s="12">
        <f t="shared" si="10"/>
        <v>0</v>
      </c>
      <c r="E946" s="12">
        <f t="shared" si="10"/>
        <v>0</v>
      </c>
    </row>
    <row r="947" spans="1:5" s="2" customFormat="1" ht="14.4" hidden="1" customHeight="1" x14ac:dyDescent="0.3">
      <c r="A947" s="157" t="s">
        <v>192</v>
      </c>
      <c r="B947" s="24"/>
      <c r="C947" s="8" t="e">
        <f t="shared" ref="C947:E951" si="11">C942+C711+C415</f>
        <v>#REF!</v>
      </c>
      <c r="D947" s="8">
        <f t="shared" si="11"/>
        <v>252.66200000000003</v>
      </c>
      <c r="E947" s="8">
        <f t="shared" si="11"/>
        <v>486.416</v>
      </c>
    </row>
    <row r="948" spans="1:5" s="28" customFormat="1" ht="14.4" hidden="1" customHeight="1" x14ac:dyDescent="0.3">
      <c r="A948" s="157"/>
      <c r="B948" s="27"/>
      <c r="C948" s="26">
        <f t="shared" si="11"/>
        <v>668.64300000000003</v>
      </c>
      <c r="D948" s="26">
        <f t="shared" si="11"/>
        <v>5.52</v>
      </c>
      <c r="E948" s="26">
        <f t="shared" si="11"/>
        <v>57.199999999999996</v>
      </c>
    </row>
    <row r="949" spans="1:5" s="28" customFormat="1" ht="14.4" hidden="1" customHeight="1" x14ac:dyDescent="0.3">
      <c r="A949" s="157"/>
      <c r="B949" s="27"/>
      <c r="C949" s="26">
        <f t="shared" si="11"/>
        <v>270.83000000000004</v>
      </c>
      <c r="D949" s="26">
        <f t="shared" si="11"/>
        <v>137.27199999999999</v>
      </c>
      <c r="E949" s="26">
        <f t="shared" si="11"/>
        <v>32.979999999999997</v>
      </c>
    </row>
    <row r="950" spans="1:5" s="2" customFormat="1" ht="14.4" hidden="1" customHeight="1" x14ac:dyDescent="0.3">
      <c r="A950" s="157"/>
      <c r="B950" s="24"/>
      <c r="C950" s="4">
        <f t="shared" si="11"/>
        <v>209.15</v>
      </c>
      <c r="D950" s="4">
        <f t="shared" si="11"/>
        <v>0</v>
      </c>
      <c r="E950" s="4">
        <f t="shared" si="11"/>
        <v>0</v>
      </c>
    </row>
    <row r="951" spans="1:5" s="2" customFormat="1" ht="15" hidden="1" customHeight="1" thickBot="1" x14ac:dyDescent="0.35">
      <c r="A951" s="158"/>
      <c r="B951" s="25"/>
      <c r="C951" s="9" t="e">
        <f t="shared" si="11"/>
        <v>#REF!</v>
      </c>
      <c r="D951" s="9">
        <f t="shared" si="11"/>
        <v>0</v>
      </c>
      <c r="E951" s="9">
        <f t="shared" si="11"/>
        <v>0</v>
      </c>
    </row>
    <row r="952" spans="1:5" s="33" customFormat="1" ht="14.4" hidden="1" customHeight="1" x14ac:dyDescent="0.3">
      <c r="A952" s="32"/>
      <c r="B952" s="32"/>
      <c r="C952" s="31" t="e">
        <f t="shared" ref="C952:E952" si="12">C947-C948-C949</f>
        <v>#REF!</v>
      </c>
      <c r="D952" s="31">
        <f t="shared" si="12"/>
        <v>109.87000000000003</v>
      </c>
      <c r="E952" s="31">
        <f t="shared" si="12"/>
        <v>396.23599999999999</v>
      </c>
    </row>
    <row r="953" spans="1:5" s="29" customFormat="1" ht="90" hidden="1" customHeight="1" x14ac:dyDescent="0.3">
      <c r="A953" s="36"/>
      <c r="B953" s="37" t="s">
        <v>302</v>
      </c>
      <c r="C953" s="35">
        <f>C45+C50+C55+C60+C421+C426+C436+C441+C446+C451+C717+C722+C732+C737+C742+C747+C752</f>
        <v>164</v>
      </c>
      <c r="D953" s="35">
        <f>D45+D50+D55+D60+D421+D426+D436+D441+D446+D451+D722+D732+D737+D742+D747+D752</f>
        <v>214.84999999999997</v>
      </c>
      <c r="E953" s="35">
        <f>E45+E50+E55+E60+E421+E426+E436+E441+E446+E451+E717+E722+E732+E737+E742+E747+E752</f>
        <v>396.23599999999999</v>
      </c>
    </row>
    <row r="954" spans="1:5" ht="56.4" hidden="1" customHeight="1" x14ac:dyDescent="0.3">
      <c r="A954" s="43"/>
      <c r="B954" s="44" t="s">
        <v>303</v>
      </c>
      <c r="C954" s="45">
        <v>535.5</v>
      </c>
      <c r="D954" s="14"/>
      <c r="E954" s="15"/>
    </row>
    <row r="955" spans="1:5" ht="80.400000000000006" hidden="1" customHeight="1" x14ac:dyDescent="0.3">
      <c r="A955" s="49" t="s">
        <v>193</v>
      </c>
      <c r="B955" s="50"/>
      <c r="C955" s="47"/>
      <c r="D955" s="14"/>
      <c r="E955" s="15"/>
    </row>
    <row r="956" spans="1:5" ht="94.2" hidden="1" customHeight="1" thickBot="1" x14ac:dyDescent="0.3">
      <c r="A956" s="159" t="s">
        <v>304</v>
      </c>
      <c r="B956" s="160"/>
      <c r="C956" s="59">
        <v>122.6</v>
      </c>
      <c r="D956" s="14"/>
      <c r="E956" s="15"/>
    </row>
    <row r="957" spans="1:5" x14ac:dyDescent="0.3">
      <c r="A957" s="161" t="s">
        <v>306</v>
      </c>
      <c r="B957" s="162"/>
      <c r="C957" s="63">
        <v>777</v>
      </c>
      <c r="D957" s="14"/>
      <c r="E957" s="15"/>
    </row>
    <row r="958" spans="1:5" ht="69" customHeight="1" x14ac:dyDescent="0.3">
      <c r="A958" s="60" t="s">
        <v>298</v>
      </c>
      <c r="B958" s="61"/>
      <c r="C958" s="55"/>
      <c r="D958" s="16"/>
      <c r="E958" s="15"/>
    </row>
    <row r="959" spans="1:5" x14ac:dyDescent="0.3">
      <c r="A959" s="163" t="s">
        <v>194</v>
      </c>
      <c r="B959" s="164"/>
      <c r="C959" s="54"/>
      <c r="D959" s="14"/>
      <c r="E959" s="15"/>
    </row>
    <row r="960" spans="1:5" x14ac:dyDescent="0.4">
      <c r="A960" s="51"/>
      <c r="B960" s="38"/>
      <c r="C960" s="54"/>
      <c r="D960" s="14"/>
      <c r="E960" s="15"/>
    </row>
    <row r="961" spans="1:5" ht="57" customHeight="1" x14ac:dyDescent="0.3">
      <c r="A961" s="53" t="s">
        <v>195</v>
      </c>
      <c r="B961" s="39"/>
      <c r="C961" s="54"/>
      <c r="D961" s="14"/>
      <c r="E961" s="15"/>
    </row>
    <row r="962" spans="1:5" x14ac:dyDescent="0.3">
      <c r="A962" s="165" t="s">
        <v>194</v>
      </c>
      <c r="B962" s="166"/>
      <c r="C962" s="54"/>
      <c r="D962" s="14"/>
      <c r="E962" s="15"/>
    </row>
  </sheetData>
  <autoFilter ref="A3:E956">
    <filterColumn colId="0">
      <filters>
        <filter val="1.03"/>
        <filter val="1.06"/>
        <filter val="1.07"/>
        <filter val="1.08"/>
        <filter val="1.09"/>
        <filter val="1.10"/>
        <filter val="1.11"/>
        <filter val="1.12"/>
        <filter val="1.13"/>
        <filter val="1.14"/>
        <filter val="1.15"/>
        <filter val="1.16"/>
        <filter val="1.17"/>
        <filter val="1.18"/>
        <filter val="1.19"/>
        <filter val="1.21"/>
        <filter val="1.22"/>
        <filter val="1.25"/>
        <filter val="1.26"/>
        <filter val="1.36"/>
        <filter val="1.37"/>
        <filter val="1.38"/>
        <filter val="1.39"/>
        <filter val="1.40"/>
        <filter val="1.41"/>
        <filter val="1.42"/>
        <filter val="1.45"/>
        <filter val="1.46"/>
        <filter val="1.49"/>
        <filter val="1.50"/>
        <filter val="1.51"/>
        <filter val="1.52"/>
        <filter val="1.53"/>
        <filter val="1.54"/>
        <filter val="1.55"/>
        <filter val="1.56"/>
        <filter val="1.57"/>
        <filter val="2.01"/>
        <filter val="2.02"/>
        <filter val="2.03"/>
        <filter val="2.04"/>
        <filter val="2.05"/>
        <filter val="2.06"/>
        <filter val="2.07"/>
        <filter val="2.08"/>
        <filter val="2.09"/>
        <filter val="2.10"/>
        <filter val="2.11"/>
        <filter val="2.12"/>
        <filter val="2.13"/>
        <filter val="2.14"/>
        <filter val="2.16"/>
        <filter val="2.17"/>
        <filter val="2.20"/>
        <filter val="2.21"/>
        <filter val="2.22"/>
        <filter val="2.23"/>
        <filter val="2.24"/>
        <filter val="2.25"/>
        <filter val="2.26"/>
        <filter val="2.27"/>
        <filter val="2.28"/>
        <filter val="2.33"/>
        <filter val="2.58"/>
        <filter val="3.01"/>
        <filter val="3.02"/>
        <filter val="3.03"/>
        <filter val="3.04"/>
        <filter val="3.05"/>
        <filter val="3.06"/>
        <filter val="3.07"/>
        <filter val="3.08"/>
        <filter val="3.09"/>
        <filter val="3.10"/>
        <filter val="3.11"/>
        <filter val="3.12"/>
        <filter val="3.19"/>
        <filter val="3.44"/>
        <filter val="3.45"/>
      </filters>
    </filterColumn>
  </autoFilter>
  <pageMargins left="0.39370078740157483" right="0" top="0.15748031496062992" bottom="0.35433070866141736" header="0.31496062992125984" footer="0.31496062992125984"/>
  <pageSetup paperSize="9" scale="15" orientation="portrait" horizontalDpi="300" verticalDpi="300" r:id="rId1"/>
  <rowBreaks count="24" manualBreakCount="24">
    <brk id="34" max="71" man="1"/>
    <brk id="74" max="71" man="1"/>
    <brk id="114" max="71" man="1"/>
    <brk id="154" max="71" man="1"/>
    <brk id="194" max="71" man="1"/>
    <brk id="234" max="71" man="1"/>
    <brk id="274" max="71" man="1"/>
    <brk id="314" max="71" man="1"/>
    <brk id="354" max="71" man="1"/>
    <brk id="394" max="71" man="1"/>
    <brk id="435" max="71" man="1"/>
    <brk id="475" max="71" man="1"/>
    <brk id="515" max="71" man="1"/>
    <brk id="555" max="71" man="1"/>
    <brk id="595" max="71" man="1"/>
    <brk id="635" max="71" man="1"/>
    <brk id="675" max="71" man="1"/>
    <brk id="715" max="71" man="1"/>
    <brk id="756" max="71" man="1"/>
    <brk id="796" max="71" man="1"/>
    <brk id="836" max="71" man="1"/>
    <brk id="876" max="71" man="1"/>
    <brk id="916" max="71" man="1"/>
    <brk id="951" max="7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E962"/>
  <sheetViews>
    <sheetView view="pageBreakPreview" zoomScale="70" zoomScaleNormal="100" zoomScaleSheetLayoutView="70" workbookViewId="0">
      <pane xSplit="2" ySplit="4" topLeftCell="C5" activePane="bottomRight" state="frozen"/>
      <selection pane="topRight" activeCell="C1" sqref="C1"/>
      <selection pane="bottomLeft" activeCell="A5" sqref="A5"/>
      <selection pane="bottomRight" sqref="A1:XFD1048576"/>
    </sheetView>
  </sheetViews>
  <sheetFormatPr defaultRowHeight="25.8" x14ac:dyDescent="0.3"/>
  <cols>
    <col min="1" max="1" width="14.33203125" style="52" customWidth="1"/>
    <col min="2" max="2" width="34.6640625" style="46" hidden="1" customWidth="1"/>
    <col min="3" max="3" width="34.44140625" style="56" customWidth="1"/>
    <col min="4" max="5" width="30.88671875" style="5" hidden="1" customWidth="1"/>
  </cols>
  <sheetData>
    <row r="1" spans="1:5" ht="28.5" customHeight="1" x14ac:dyDescent="0.3">
      <c r="A1" s="94" t="s">
        <v>307</v>
      </c>
      <c r="B1" s="94"/>
      <c r="C1" s="95"/>
      <c r="D1" s="96"/>
      <c r="E1" s="96"/>
    </row>
    <row r="2" spans="1:5" ht="28.5" customHeight="1" x14ac:dyDescent="0.3">
      <c r="A2" s="97" t="s">
        <v>190</v>
      </c>
      <c r="B2" s="40"/>
      <c r="C2" s="99"/>
      <c r="D2" s="100"/>
      <c r="E2" s="100"/>
    </row>
    <row r="3" spans="1:5" s="1" customFormat="1" ht="30.6" customHeight="1" thickBot="1" x14ac:dyDescent="0.35">
      <c r="A3" s="98"/>
      <c r="B3" s="41" t="s">
        <v>299</v>
      </c>
      <c r="C3" s="57" t="s">
        <v>305</v>
      </c>
      <c r="D3" s="34" t="s">
        <v>300</v>
      </c>
      <c r="E3" s="34" t="s">
        <v>301</v>
      </c>
    </row>
    <row r="4" spans="1:5" ht="15" hidden="1" thickBot="1" x14ac:dyDescent="0.35">
      <c r="A4" s="102" t="s">
        <v>82</v>
      </c>
      <c r="B4" s="102"/>
      <c r="C4" s="6"/>
      <c r="D4" s="6"/>
      <c r="E4" s="6"/>
    </row>
    <row r="5" spans="1:5" s="29" customFormat="1" ht="16.2" hidden="1" thickBot="1" x14ac:dyDescent="0.35">
      <c r="A5" s="74" t="s">
        <v>0</v>
      </c>
      <c r="B5" s="88" t="s">
        <v>196</v>
      </c>
      <c r="C5" s="17">
        <v>5.6</v>
      </c>
      <c r="D5" s="17"/>
      <c r="E5" s="17"/>
    </row>
    <row r="6" spans="1:5" s="29" customFormat="1" ht="16.2" hidden="1" thickBot="1" x14ac:dyDescent="0.35">
      <c r="A6" s="71"/>
      <c r="B6" s="89"/>
      <c r="C6" s="18">
        <v>0</v>
      </c>
      <c r="D6" s="18"/>
      <c r="E6" s="18"/>
    </row>
    <row r="7" spans="1:5" s="29" customFormat="1" ht="16.2" hidden="1" thickBot="1" x14ac:dyDescent="0.35">
      <c r="A7" s="71"/>
      <c r="B7" s="89"/>
      <c r="C7" s="18">
        <f>C5-C6</f>
        <v>5.6</v>
      </c>
      <c r="D7" s="18"/>
      <c r="E7" s="18"/>
    </row>
    <row r="8" spans="1:5" s="29" customFormat="1" ht="16.2" hidden="1" thickBot="1" x14ac:dyDescent="0.35">
      <c r="A8" s="71"/>
      <c r="B8" s="89"/>
      <c r="C8" s="18"/>
      <c r="D8" s="18"/>
      <c r="E8" s="18"/>
    </row>
    <row r="9" spans="1:5" s="29" customFormat="1" ht="16.2" hidden="1" thickBot="1" x14ac:dyDescent="0.35">
      <c r="A9" s="72"/>
      <c r="B9" s="90"/>
      <c r="C9" s="19"/>
      <c r="D9" s="19"/>
      <c r="E9" s="19"/>
    </row>
    <row r="10" spans="1:5" s="29" customFormat="1" ht="16.2" hidden="1" thickBot="1" x14ac:dyDescent="0.35">
      <c r="A10" s="74" t="s">
        <v>1</v>
      </c>
      <c r="B10" s="88" t="s">
        <v>197</v>
      </c>
      <c r="C10" s="17">
        <v>9.5</v>
      </c>
      <c r="D10" s="17"/>
      <c r="E10" s="17"/>
    </row>
    <row r="11" spans="1:5" s="29" customFormat="1" ht="16.2" hidden="1" thickBot="1" x14ac:dyDescent="0.35">
      <c r="A11" s="71"/>
      <c r="B11" s="89"/>
      <c r="C11" s="18">
        <v>0</v>
      </c>
      <c r="D11" s="18"/>
      <c r="E11" s="18"/>
    </row>
    <row r="12" spans="1:5" s="29" customFormat="1" ht="16.2" hidden="1" thickBot="1" x14ac:dyDescent="0.35">
      <c r="A12" s="71"/>
      <c r="B12" s="89"/>
      <c r="C12" s="18">
        <f>C10-C11</f>
        <v>9.5</v>
      </c>
      <c r="D12" s="18"/>
      <c r="E12" s="18"/>
    </row>
    <row r="13" spans="1:5" s="29" customFormat="1" ht="16.2" hidden="1" thickBot="1" x14ac:dyDescent="0.35">
      <c r="A13" s="71"/>
      <c r="B13" s="89"/>
      <c r="C13" s="18"/>
      <c r="D13" s="18"/>
      <c r="E13" s="18"/>
    </row>
    <row r="14" spans="1:5" s="29" customFormat="1" ht="16.2" hidden="1" thickBot="1" x14ac:dyDescent="0.35">
      <c r="A14" s="72"/>
      <c r="B14" s="90"/>
      <c r="C14" s="20"/>
      <c r="D14" s="19"/>
      <c r="E14" s="19"/>
    </row>
    <row r="15" spans="1:5" s="29" customFormat="1" ht="60" customHeight="1" thickBot="1" x14ac:dyDescent="0.35">
      <c r="A15" s="73" t="s">
        <v>2</v>
      </c>
      <c r="B15" s="91" t="s">
        <v>198</v>
      </c>
      <c r="C15" s="62">
        <v>1</v>
      </c>
      <c r="D15" s="17"/>
      <c r="E15" s="17"/>
    </row>
    <row r="16" spans="1:5" s="29" customFormat="1" ht="16.2" hidden="1" thickBot="1" x14ac:dyDescent="0.35">
      <c r="A16" s="71"/>
      <c r="B16" s="89"/>
      <c r="C16" s="30"/>
      <c r="D16" s="18"/>
      <c r="E16" s="18"/>
    </row>
    <row r="17" spans="1:5" s="29" customFormat="1" ht="16.2" hidden="1" thickBot="1" x14ac:dyDescent="0.35">
      <c r="A17" s="71"/>
      <c r="B17" s="89"/>
      <c r="C17" s="18"/>
      <c r="D17" s="18"/>
      <c r="E17" s="18"/>
    </row>
    <row r="18" spans="1:5" s="29" customFormat="1" ht="16.2" hidden="1" thickBot="1" x14ac:dyDescent="0.35">
      <c r="A18" s="71"/>
      <c r="B18" s="89"/>
      <c r="C18" s="18"/>
      <c r="D18" s="18"/>
      <c r="E18" s="18"/>
    </row>
    <row r="19" spans="1:5" s="29" customFormat="1" ht="16.2" hidden="1" thickBot="1" x14ac:dyDescent="0.35">
      <c r="A19" s="72"/>
      <c r="B19" s="90"/>
      <c r="C19" s="19"/>
      <c r="D19" s="19"/>
      <c r="E19" s="19"/>
    </row>
    <row r="20" spans="1:5" s="29" customFormat="1" ht="16.2" hidden="1" thickBot="1" x14ac:dyDescent="0.35">
      <c r="A20" s="74" t="s">
        <v>3</v>
      </c>
      <c r="B20" s="88" t="s">
        <v>199</v>
      </c>
      <c r="C20" s="17">
        <f>74.62</f>
        <v>74.62</v>
      </c>
      <c r="D20" s="17"/>
      <c r="E20" s="17">
        <f>14.26</f>
        <v>14.26</v>
      </c>
    </row>
    <row r="21" spans="1:5" s="29" customFormat="1" ht="16.2" hidden="1" thickBot="1" x14ac:dyDescent="0.35">
      <c r="A21" s="71"/>
      <c r="B21" s="89"/>
      <c r="C21" s="18">
        <v>0</v>
      </c>
      <c r="D21" s="18"/>
      <c r="E21" s="18">
        <v>0</v>
      </c>
    </row>
    <row r="22" spans="1:5" s="29" customFormat="1" ht="16.2" hidden="1" thickBot="1" x14ac:dyDescent="0.35">
      <c r="A22" s="71"/>
      <c r="B22" s="89"/>
      <c r="C22" s="18">
        <f t="shared" ref="C22:E22" si="0">C20-C21</f>
        <v>74.62</v>
      </c>
      <c r="D22" s="18"/>
      <c r="E22" s="18">
        <f t="shared" si="0"/>
        <v>14.26</v>
      </c>
    </row>
    <row r="23" spans="1:5" s="29" customFormat="1" ht="16.2" hidden="1" thickBot="1" x14ac:dyDescent="0.35">
      <c r="A23" s="71"/>
      <c r="B23" s="89"/>
      <c r="C23" s="18"/>
      <c r="D23" s="18"/>
      <c r="E23" s="18"/>
    </row>
    <row r="24" spans="1:5" s="29" customFormat="1" ht="16.2" hidden="1" thickBot="1" x14ac:dyDescent="0.35">
      <c r="A24" s="72"/>
      <c r="B24" s="90"/>
      <c r="C24" s="19"/>
      <c r="D24" s="19"/>
      <c r="E24" s="19"/>
    </row>
    <row r="25" spans="1:5" s="29" customFormat="1" ht="16.2" hidden="1" thickBot="1" x14ac:dyDescent="0.35">
      <c r="A25" s="74" t="s">
        <v>4</v>
      </c>
      <c r="B25" s="91" t="s">
        <v>200</v>
      </c>
      <c r="C25" s="17">
        <v>11.56</v>
      </c>
      <c r="D25" s="17"/>
      <c r="E25" s="17"/>
    </row>
    <row r="26" spans="1:5" s="29" customFormat="1" ht="16.2" hidden="1" thickBot="1" x14ac:dyDescent="0.35">
      <c r="A26" s="71"/>
      <c r="B26" s="92"/>
      <c r="C26" s="18">
        <f>C25-0.4*3.9</f>
        <v>10</v>
      </c>
      <c r="D26" s="18"/>
      <c r="E26" s="18"/>
    </row>
    <row r="27" spans="1:5" s="29" customFormat="1" ht="16.2" hidden="1" thickBot="1" x14ac:dyDescent="0.35">
      <c r="A27" s="71"/>
      <c r="B27" s="92"/>
      <c r="C27" s="18">
        <f>C25-C26</f>
        <v>1.5600000000000005</v>
      </c>
      <c r="D27" s="18"/>
      <c r="E27" s="18"/>
    </row>
    <row r="28" spans="1:5" s="29" customFormat="1" ht="16.2" hidden="1" thickBot="1" x14ac:dyDescent="0.35">
      <c r="A28" s="71"/>
      <c r="B28" s="92"/>
      <c r="C28" s="18"/>
      <c r="D28" s="18"/>
      <c r="E28" s="18"/>
    </row>
    <row r="29" spans="1:5" s="29" customFormat="1" ht="16.2" hidden="1" thickBot="1" x14ac:dyDescent="0.35">
      <c r="A29" s="72"/>
      <c r="B29" s="93"/>
      <c r="C29" s="20"/>
      <c r="D29" s="19"/>
      <c r="E29" s="19"/>
    </row>
    <row r="30" spans="1:5" s="29" customFormat="1" ht="60" customHeight="1" thickBot="1" x14ac:dyDescent="0.35">
      <c r="A30" s="73" t="s">
        <v>5</v>
      </c>
      <c r="B30" s="91" t="s">
        <v>201</v>
      </c>
      <c r="C30" s="62">
        <v>4</v>
      </c>
      <c r="D30" s="17"/>
      <c r="E30" s="17"/>
    </row>
    <row r="31" spans="1:5" s="29" customFormat="1" ht="16.2" hidden="1" thickBot="1" x14ac:dyDescent="0.35">
      <c r="A31" s="71"/>
      <c r="B31" s="89"/>
      <c r="C31" s="30"/>
      <c r="D31" s="18"/>
      <c r="E31" s="18"/>
    </row>
    <row r="32" spans="1:5" s="29" customFormat="1" ht="16.2" hidden="1" thickBot="1" x14ac:dyDescent="0.35">
      <c r="A32" s="71"/>
      <c r="B32" s="89"/>
      <c r="C32" s="18"/>
      <c r="D32" s="18"/>
      <c r="E32" s="18"/>
    </row>
    <row r="33" spans="1:5" s="29" customFormat="1" ht="16.2" hidden="1" thickBot="1" x14ac:dyDescent="0.35">
      <c r="A33" s="71"/>
      <c r="B33" s="89"/>
      <c r="C33" s="18"/>
      <c r="D33" s="18"/>
      <c r="E33" s="18"/>
    </row>
    <row r="34" spans="1:5" s="29" customFormat="1" ht="16.2" hidden="1" thickBot="1" x14ac:dyDescent="0.35">
      <c r="A34" s="72"/>
      <c r="B34" s="90"/>
      <c r="C34" s="20"/>
      <c r="D34" s="19"/>
      <c r="E34" s="19"/>
    </row>
    <row r="35" spans="1:5" s="29" customFormat="1" ht="60" customHeight="1" thickBot="1" x14ac:dyDescent="0.35">
      <c r="A35" s="73" t="s">
        <v>6</v>
      </c>
      <c r="B35" s="91" t="s">
        <v>202</v>
      </c>
      <c r="C35" s="62">
        <v>7</v>
      </c>
      <c r="D35" s="17"/>
      <c r="E35" s="17"/>
    </row>
    <row r="36" spans="1:5" s="29" customFormat="1" ht="16.2" hidden="1" thickBot="1" x14ac:dyDescent="0.35">
      <c r="A36" s="71"/>
      <c r="B36" s="89"/>
      <c r="C36" s="30"/>
      <c r="D36" s="18"/>
      <c r="E36" s="18"/>
    </row>
    <row r="37" spans="1:5" s="29" customFormat="1" ht="16.2" hidden="1" thickBot="1" x14ac:dyDescent="0.35">
      <c r="A37" s="71"/>
      <c r="B37" s="89"/>
      <c r="C37" s="18"/>
      <c r="D37" s="18"/>
      <c r="E37" s="18"/>
    </row>
    <row r="38" spans="1:5" s="29" customFormat="1" ht="16.2" hidden="1" thickBot="1" x14ac:dyDescent="0.35">
      <c r="A38" s="71"/>
      <c r="B38" s="89"/>
      <c r="C38" s="18"/>
      <c r="D38" s="18"/>
      <c r="E38" s="18"/>
    </row>
    <row r="39" spans="1:5" s="29" customFormat="1" ht="16.2" hidden="1" thickBot="1" x14ac:dyDescent="0.35">
      <c r="A39" s="72"/>
      <c r="B39" s="90"/>
      <c r="C39" s="20"/>
      <c r="D39" s="19"/>
      <c r="E39" s="19"/>
    </row>
    <row r="40" spans="1:5" s="29" customFormat="1" ht="60" customHeight="1" thickBot="1" x14ac:dyDescent="0.35">
      <c r="A40" s="73" t="s">
        <v>7</v>
      </c>
      <c r="B40" s="91" t="s">
        <v>203</v>
      </c>
      <c r="C40" s="112">
        <v>20</v>
      </c>
      <c r="D40" s="17"/>
      <c r="E40" s="17"/>
    </row>
    <row r="41" spans="1:5" s="29" customFormat="1" ht="15.6" hidden="1" customHeight="1" x14ac:dyDescent="0.35">
      <c r="A41" s="106"/>
      <c r="B41" s="89"/>
      <c r="C41" s="113"/>
      <c r="D41" s="18"/>
      <c r="E41" s="18"/>
    </row>
    <row r="42" spans="1:5" s="29" customFormat="1" ht="15.6" hidden="1" customHeight="1" x14ac:dyDescent="0.35">
      <c r="A42" s="106"/>
      <c r="B42" s="89"/>
      <c r="C42" s="113"/>
      <c r="D42" s="18"/>
      <c r="E42" s="18"/>
    </row>
    <row r="43" spans="1:5" s="29" customFormat="1" ht="15.6" hidden="1" customHeight="1" x14ac:dyDescent="0.35">
      <c r="A43" s="106"/>
      <c r="B43" s="89"/>
      <c r="C43" s="113"/>
      <c r="D43" s="18"/>
      <c r="E43" s="18"/>
    </row>
    <row r="44" spans="1:5" s="29" customFormat="1" ht="37.200000000000003" hidden="1" customHeight="1" thickBot="1" x14ac:dyDescent="0.35">
      <c r="A44" s="107"/>
      <c r="B44" s="101"/>
      <c r="C44" s="114"/>
      <c r="D44" s="48"/>
      <c r="E44" s="19"/>
    </row>
    <row r="45" spans="1:5" s="29" customFormat="1" ht="60" customHeight="1" thickBot="1" x14ac:dyDescent="0.35">
      <c r="A45" s="73" t="s">
        <v>8</v>
      </c>
      <c r="B45" s="91" t="s">
        <v>204</v>
      </c>
      <c r="C45" s="62">
        <v>11</v>
      </c>
      <c r="D45" s="35">
        <v>10</v>
      </c>
      <c r="E45" s="35">
        <v>16.100000000000001</v>
      </c>
    </row>
    <row r="46" spans="1:5" s="29" customFormat="1" ht="16.2" hidden="1" thickBot="1" x14ac:dyDescent="0.35">
      <c r="A46" s="71"/>
      <c r="B46" s="89"/>
      <c r="C46" s="30">
        <f>C45</f>
        <v>11</v>
      </c>
      <c r="D46" s="18"/>
      <c r="E46" s="18"/>
    </row>
    <row r="47" spans="1:5" s="29" customFormat="1" ht="16.2" hidden="1" thickBot="1" x14ac:dyDescent="0.35">
      <c r="A47" s="71"/>
      <c r="B47" s="89"/>
      <c r="C47" s="18">
        <f>C45-C46</f>
        <v>0</v>
      </c>
      <c r="D47" s="18"/>
      <c r="E47" s="18"/>
    </row>
    <row r="48" spans="1:5" s="29" customFormat="1" ht="16.2" hidden="1" thickBot="1" x14ac:dyDescent="0.35">
      <c r="A48" s="71"/>
      <c r="B48" s="89"/>
      <c r="C48" s="18"/>
      <c r="D48" s="18"/>
      <c r="E48" s="18"/>
    </row>
    <row r="49" spans="1:5" s="29" customFormat="1" ht="16.2" hidden="1" thickBot="1" x14ac:dyDescent="0.35">
      <c r="A49" s="72"/>
      <c r="B49" s="90"/>
      <c r="C49" s="20"/>
      <c r="D49" s="19"/>
      <c r="E49" s="19"/>
    </row>
    <row r="50" spans="1:5" s="29" customFormat="1" ht="60" customHeight="1" thickBot="1" x14ac:dyDescent="0.35">
      <c r="A50" s="73" t="s">
        <v>9</v>
      </c>
      <c r="B50" s="91" t="s">
        <v>204</v>
      </c>
      <c r="C50" s="62">
        <v>12</v>
      </c>
      <c r="D50" s="35">
        <v>4</v>
      </c>
      <c r="E50" s="35">
        <v>22.09</v>
      </c>
    </row>
    <row r="51" spans="1:5" s="29" customFormat="1" ht="16.2" hidden="1" thickBot="1" x14ac:dyDescent="0.35">
      <c r="A51" s="71"/>
      <c r="B51" s="89"/>
      <c r="C51" s="30">
        <f>C50</f>
        <v>12</v>
      </c>
      <c r="D51" s="18"/>
      <c r="E51" s="18"/>
    </row>
    <row r="52" spans="1:5" s="29" customFormat="1" ht="16.2" hidden="1" thickBot="1" x14ac:dyDescent="0.35">
      <c r="A52" s="71"/>
      <c r="B52" s="89"/>
      <c r="C52" s="18">
        <f>C50-C51</f>
        <v>0</v>
      </c>
      <c r="D52" s="18"/>
      <c r="E52" s="18"/>
    </row>
    <row r="53" spans="1:5" s="29" customFormat="1" ht="16.2" hidden="1" thickBot="1" x14ac:dyDescent="0.35">
      <c r="A53" s="71"/>
      <c r="B53" s="89"/>
      <c r="C53" s="18"/>
      <c r="D53" s="18"/>
      <c r="E53" s="18"/>
    </row>
    <row r="54" spans="1:5" s="29" customFormat="1" ht="16.2" hidden="1" thickBot="1" x14ac:dyDescent="0.35">
      <c r="A54" s="72"/>
      <c r="B54" s="90"/>
      <c r="C54" s="20"/>
      <c r="D54" s="19"/>
      <c r="E54" s="19"/>
    </row>
    <row r="55" spans="1:5" s="29" customFormat="1" ht="60" customHeight="1" thickBot="1" x14ac:dyDescent="0.35">
      <c r="A55" s="73" t="s">
        <v>10</v>
      </c>
      <c r="B55" s="91" t="s">
        <v>204</v>
      </c>
      <c r="C55" s="62">
        <v>6</v>
      </c>
      <c r="D55" s="35">
        <v>2.04</v>
      </c>
      <c r="E55" s="35">
        <v>11.356</v>
      </c>
    </row>
    <row r="56" spans="1:5" s="29" customFormat="1" ht="16.2" hidden="1" thickBot="1" x14ac:dyDescent="0.35">
      <c r="A56" s="71"/>
      <c r="B56" s="89"/>
      <c r="C56" s="30">
        <f>C55</f>
        <v>6</v>
      </c>
      <c r="D56" s="18"/>
      <c r="E56" s="18"/>
    </row>
    <row r="57" spans="1:5" s="29" customFormat="1" ht="16.2" hidden="1" thickBot="1" x14ac:dyDescent="0.35">
      <c r="A57" s="71"/>
      <c r="B57" s="89"/>
      <c r="C57" s="18">
        <f>C55-C56</f>
        <v>0</v>
      </c>
      <c r="D57" s="18"/>
      <c r="E57" s="18"/>
    </row>
    <row r="58" spans="1:5" s="29" customFormat="1" ht="16.2" hidden="1" thickBot="1" x14ac:dyDescent="0.35">
      <c r="A58" s="71"/>
      <c r="B58" s="89"/>
      <c r="C58" s="18"/>
      <c r="D58" s="18"/>
      <c r="E58" s="18"/>
    </row>
    <row r="59" spans="1:5" s="29" customFormat="1" ht="16.2" hidden="1" thickBot="1" x14ac:dyDescent="0.35">
      <c r="A59" s="72"/>
      <c r="B59" s="90"/>
      <c r="C59" s="20"/>
      <c r="D59" s="19"/>
      <c r="E59" s="19"/>
    </row>
    <row r="60" spans="1:5" s="29" customFormat="1" ht="60" customHeight="1" thickBot="1" x14ac:dyDescent="0.35">
      <c r="A60" s="73" t="s">
        <v>11</v>
      </c>
      <c r="B60" s="91" t="s">
        <v>205</v>
      </c>
      <c r="C60" s="62">
        <v>20</v>
      </c>
      <c r="D60" s="35">
        <v>17.41</v>
      </c>
      <c r="E60" s="35">
        <v>22.18</v>
      </c>
    </row>
    <row r="61" spans="1:5" s="29" customFormat="1" ht="16.2" hidden="1" thickBot="1" x14ac:dyDescent="0.35">
      <c r="A61" s="71"/>
      <c r="B61" s="89"/>
      <c r="C61" s="30">
        <f>C60</f>
        <v>20</v>
      </c>
      <c r="D61" s="18"/>
      <c r="E61" s="18"/>
    </row>
    <row r="62" spans="1:5" s="29" customFormat="1" ht="16.2" hidden="1" thickBot="1" x14ac:dyDescent="0.35">
      <c r="A62" s="71"/>
      <c r="B62" s="89"/>
      <c r="C62" s="18">
        <f>C60-C61</f>
        <v>0</v>
      </c>
      <c r="D62" s="18"/>
      <c r="E62" s="18"/>
    </row>
    <row r="63" spans="1:5" s="29" customFormat="1" ht="16.2" hidden="1" thickBot="1" x14ac:dyDescent="0.35">
      <c r="A63" s="71"/>
      <c r="B63" s="89"/>
      <c r="C63" s="18"/>
      <c r="D63" s="18"/>
      <c r="E63" s="18"/>
    </row>
    <row r="64" spans="1:5" s="29" customFormat="1" ht="16.2" hidden="1" thickBot="1" x14ac:dyDescent="0.35">
      <c r="A64" s="72"/>
      <c r="B64" s="90"/>
      <c r="C64" s="20"/>
      <c r="D64" s="19"/>
      <c r="E64" s="19"/>
    </row>
    <row r="65" spans="1:5" s="29" customFormat="1" ht="60" customHeight="1" thickBot="1" x14ac:dyDescent="0.35">
      <c r="A65" s="73" t="s">
        <v>12</v>
      </c>
      <c r="B65" s="91" t="s">
        <v>206</v>
      </c>
      <c r="C65" s="62">
        <v>8</v>
      </c>
      <c r="D65" s="17"/>
      <c r="E65" s="17">
        <f>(0.3+0.3+0.3+0.3+0.2+0.3)*3.9</f>
        <v>6.63</v>
      </c>
    </row>
    <row r="66" spans="1:5" s="29" customFormat="1" ht="16.2" hidden="1" thickBot="1" x14ac:dyDescent="0.35">
      <c r="A66" s="71"/>
      <c r="B66" s="89"/>
      <c r="C66" s="30"/>
      <c r="D66" s="18"/>
      <c r="E66" s="18">
        <v>0</v>
      </c>
    </row>
    <row r="67" spans="1:5" s="29" customFormat="1" ht="16.2" hidden="1" thickBot="1" x14ac:dyDescent="0.35">
      <c r="A67" s="71"/>
      <c r="B67" s="89"/>
      <c r="C67" s="18"/>
      <c r="D67" s="18"/>
      <c r="E67" s="18">
        <f>E65</f>
        <v>6.63</v>
      </c>
    </row>
    <row r="68" spans="1:5" s="29" customFormat="1" ht="16.2" hidden="1" thickBot="1" x14ac:dyDescent="0.35">
      <c r="A68" s="71"/>
      <c r="B68" s="89"/>
      <c r="C68" s="18"/>
      <c r="D68" s="18"/>
      <c r="E68" s="18"/>
    </row>
    <row r="69" spans="1:5" s="29" customFormat="1" ht="16.2" hidden="1" thickBot="1" x14ac:dyDescent="0.35">
      <c r="A69" s="72"/>
      <c r="B69" s="90"/>
      <c r="C69" s="20"/>
      <c r="D69" s="19"/>
      <c r="E69" s="19"/>
    </row>
    <row r="70" spans="1:5" s="29" customFormat="1" ht="60" customHeight="1" thickBot="1" x14ac:dyDescent="0.35">
      <c r="A70" s="73" t="s">
        <v>13</v>
      </c>
      <c r="B70" s="91" t="s">
        <v>201</v>
      </c>
      <c r="C70" s="62">
        <v>5</v>
      </c>
      <c r="D70" s="17"/>
      <c r="E70" s="17"/>
    </row>
    <row r="71" spans="1:5" s="29" customFormat="1" ht="16.2" hidden="1" thickBot="1" x14ac:dyDescent="0.35">
      <c r="A71" s="71"/>
      <c r="B71" s="89"/>
      <c r="C71" s="30"/>
      <c r="D71" s="18"/>
      <c r="E71" s="18"/>
    </row>
    <row r="72" spans="1:5" s="29" customFormat="1" ht="16.2" hidden="1" thickBot="1" x14ac:dyDescent="0.35">
      <c r="A72" s="71"/>
      <c r="B72" s="89"/>
      <c r="C72" s="18"/>
      <c r="D72" s="18"/>
      <c r="E72" s="18"/>
    </row>
    <row r="73" spans="1:5" s="29" customFormat="1" ht="16.2" hidden="1" thickBot="1" x14ac:dyDescent="0.35">
      <c r="A73" s="71"/>
      <c r="B73" s="89"/>
      <c r="C73" s="18"/>
      <c r="D73" s="18"/>
      <c r="E73" s="18"/>
    </row>
    <row r="74" spans="1:5" s="29" customFormat="1" ht="16.2" hidden="1" thickBot="1" x14ac:dyDescent="0.35">
      <c r="A74" s="72"/>
      <c r="B74" s="90"/>
      <c r="C74" s="20"/>
      <c r="D74" s="19"/>
      <c r="E74" s="19"/>
    </row>
    <row r="75" spans="1:5" s="29" customFormat="1" ht="60" customHeight="1" thickBot="1" x14ac:dyDescent="0.35">
      <c r="A75" s="73" t="s">
        <v>14</v>
      </c>
      <c r="B75" s="91" t="s">
        <v>207</v>
      </c>
      <c r="C75" s="62">
        <v>9</v>
      </c>
      <c r="D75" s="17"/>
      <c r="E75" s="17">
        <f>(0.3+0.3+0.3+0.3+0.2+0.3)*3.9</f>
        <v>6.63</v>
      </c>
    </row>
    <row r="76" spans="1:5" s="29" customFormat="1" ht="16.2" hidden="1" thickBot="1" x14ac:dyDescent="0.35">
      <c r="A76" s="71"/>
      <c r="B76" s="89"/>
      <c r="C76" s="30"/>
      <c r="D76" s="18"/>
      <c r="E76" s="18">
        <v>0</v>
      </c>
    </row>
    <row r="77" spans="1:5" s="29" customFormat="1" ht="16.2" hidden="1" thickBot="1" x14ac:dyDescent="0.35">
      <c r="A77" s="71"/>
      <c r="B77" s="89"/>
      <c r="C77" s="18"/>
      <c r="D77" s="18"/>
      <c r="E77" s="18">
        <f>E75</f>
        <v>6.63</v>
      </c>
    </row>
    <row r="78" spans="1:5" s="29" customFormat="1" ht="16.2" hidden="1" thickBot="1" x14ac:dyDescent="0.35">
      <c r="A78" s="71"/>
      <c r="B78" s="89"/>
      <c r="C78" s="18"/>
      <c r="D78" s="18"/>
      <c r="E78" s="18"/>
    </row>
    <row r="79" spans="1:5" s="29" customFormat="1" ht="16.2" hidden="1" thickBot="1" x14ac:dyDescent="0.35">
      <c r="A79" s="72"/>
      <c r="B79" s="90"/>
      <c r="C79" s="20"/>
      <c r="D79" s="19"/>
      <c r="E79" s="19"/>
    </row>
    <row r="80" spans="1:5" s="29" customFormat="1" ht="60" customHeight="1" thickBot="1" x14ac:dyDescent="0.35">
      <c r="A80" s="73" t="s">
        <v>15</v>
      </c>
      <c r="B80" s="91" t="s">
        <v>208</v>
      </c>
      <c r="C80" s="62">
        <v>8</v>
      </c>
      <c r="D80" s="17"/>
      <c r="E80" s="17"/>
    </row>
    <row r="81" spans="1:5" s="29" customFormat="1" ht="16.2" hidden="1" thickBot="1" x14ac:dyDescent="0.35">
      <c r="A81" s="71"/>
      <c r="B81" s="89"/>
      <c r="C81" s="30"/>
      <c r="D81" s="18"/>
      <c r="E81" s="18"/>
    </row>
    <row r="82" spans="1:5" s="29" customFormat="1" ht="16.2" hidden="1" thickBot="1" x14ac:dyDescent="0.35">
      <c r="A82" s="71"/>
      <c r="B82" s="89"/>
      <c r="C82" s="18"/>
      <c r="D82" s="18"/>
      <c r="E82" s="18"/>
    </row>
    <row r="83" spans="1:5" s="29" customFormat="1" ht="16.2" hidden="1" thickBot="1" x14ac:dyDescent="0.35">
      <c r="A83" s="71"/>
      <c r="B83" s="89"/>
      <c r="C83" s="18"/>
      <c r="D83" s="18"/>
      <c r="E83" s="18"/>
    </row>
    <row r="84" spans="1:5" s="29" customFormat="1" ht="16.2" hidden="1" thickBot="1" x14ac:dyDescent="0.35">
      <c r="A84" s="72"/>
      <c r="B84" s="90"/>
      <c r="C84" s="20"/>
      <c r="D84" s="19"/>
      <c r="E84" s="19"/>
    </row>
    <row r="85" spans="1:5" s="29" customFormat="1" ht="60" customHeight="1" thickBot="1" x14ac:dyDescent="0.35">
      <c r="A85" s="73" t="s">
        <v>16</v>
      </c>
      <c r="B85" s="91" t="s">
        <v>209</v>
      </c>
      <c r="C85" s="62">
        <v>11</v>
      </c>
      <c r="D85" s="17"/>
      <c r="E85" s="17">
        <f>0.4*3.9</f>
        <v>1.56</v>
      </c>
    </row>
    <row r="86" spans="1:5" s="29" customFormat="1" ht="16.2" hidden="1" thickBot="1" x14ac:dyDescent="0.35">
      <c r="A86" s="71"/>
      <c r="B86" s="92"/>
      <c r="C86" s="30"/>
      <c r="D86" s="18"/>
      <c r="E86" s="18">
        <f>E85</f>
        <v>1.56</v>
      </c>
    </row>
    <row r="87" spans="1:5" s="29" customFormat="1" ht="16.2" hidden="1" thickBot="1" x14ac:dyDescent="0.35">
      <c r="A87" s="71"/>
      <c r="B87" s="92"/>
      <c r="C87" s="18"/>
      <c r="D87" s="18"/>
      <c r="E87" s="18">
        <f>E85-E86</f>
        <v>0</v>
      </c>
    </row>
    <row r="88" spans="1:5" s="29" customFormat="1" ht="16.2" hidden="1" thickBot="1" x14ac:dyDescent="0.35">
      <c r="A88" s="71"/>
      <c r="B88" s="92"/>
      <c r="C88" s="18"/>
      <c r="D88" s="18"/>
      <c r="E88" s="18"/>
    </row>
    <row r="89" spans="1:5" s="29" customFormat="1" ht="16.2" hidden="1" thickBot="1" x14ac:dyDescent="0.35">
      <c r="A89" s="72"/>
      <c r="B89" s="93"/>
      <c r="C89" s="20"/>
      <c r="D89" s="19"/>
      <c r="E89" s="19"/>
    </row>
    <row r="90" spans="1:5" s="29" customFormat="1" ht="60" customHeight="1" thickBot="1" x14ac:dyDescent="0.35">
      <c r="A90" s="73" t="s">
        <v>17</v>
      </c>
      <c r="B90" s="91" t="s">
        <v>210</v>
      </c>
      <c r="C90" s="62">
        <v>14</v>
      </c>
      <c r="D90" s="17"/>
      <c r="E90" s="17">
        <f>0.8*3.9</f>
        <v>3.12</v>
      </c>
    </row>
    <row r="91" spans="1:5" s="29" customFormat="1" ht="16.2" hidden="1" thickBot="1" x14ac:dyDescent="0.35">
      <c r="A91" s="71"/>
      <c r="B91" s="92"/>
      <c r="C91" s="30"/>
      <c r="D91" s="18"/>
      <c r="E91" s="18">
        <f>E90</f>
        <v>3.12</v>
      </c>
    </row>
    <row r="92" spans="1:5" s="29" customFormat="1" ht="16.2" hidden="1" thickBot="1" x14ac:dyDescent="0.35">
      <c r="A92" s="71"/>
      <c r="B92" s="92"/>
      <c r="C92" s="18"/>
      <c r="D92" s="18"/>
      <c r="E92" s="18">
        <f>E90-E91</f>
        <v>0</v>
      </c>
    </row>
    <row r="93" spans="1:5" s="29" customFormat="1" ht="16.2" hidden="1" thickBot="1" x14ac:dyDescent="0.35">
      <c r="A93" s="71"/>
      <c r="B93" s="92"/>
      <c r="C93" s="18"/>
      <c r="D93" s="18"/>
      <c r="E93" s="18"/>
    </row>
    <row r="94" spans="1:5" s="29" customFormat="1" ht="16.2" hidden="1" thickBot="1" x14ac:dyDescent="0.35">
      <c r="A94" s="72"/>
      <c r="B94" s="93"/>
      <c r="C94" s="20"/>
      <c r="D94" s="19"/>
      <c r="E94" s="19"/>
    </row>
    <row r="95" spans="1:5" s="29" customFormat="1" ht="60" customHeight="1" thickBot="1" x14ac:dyDescent="0.35">
      <c r="A95" s="73" t="s">
        <v>18</v>
      </c>
      <c r="B95" s="91" t="s">
        <v>211</v>
      </c>
      <c r="C95" s="62">
        <v>8</v>
      </c>
      <c r="D95" s="17"/>
      <c r="E95" s="17"/>
    </row>
    <row r="96" spans="1:5" s="29" customFormat="1" ht="16.2" hidden="1" thickBot="1" x14ac:dyDescent="0.35">
      <c r="A96" s="71"/>
      <c r="B96" s="92"/>
      <c r="C96" s="30">
        <f>C95</f>
        <v>8</v>
      </c>
      <c r="D96" s="18"/>
      <c r="E96" s="18"/>
    </row>
    <row r="97" spans="1:5" s="29" customFormat="1" ht="16.2" hidden="1" thickBot="1" x14ac:dyDescent="0.35">
      <c r="A97" s="71"/>
      <c r="B97" s="92"/>
      <c r="C97" s="18">
        <f>C95-C96</f>
        <v>0</v>
      </c>
      <c r="D97" s="18"/>
      <c r="E97" s="18"/>
    </row>
    <row r="98" spans="1:5" s="29" customFormat="1" ht="16.2" hidden="1" thickBot="1" x14ac:dyDescent="0.35">
      <c r="A98" s="71"/>
      <c r="B98" s="92"/>
      <c r="C98" s="18"/>
      <c r="D98" s="18"/>
      <c r="E98" s="18"/>
    </row>
    <row r="99" spans="1:5" s="29" customFormat="1" ht="16.2" hidden="1" thickBot="1" x14ac:dyDescent="0.35">
      <c r="A99" s="72"/>
      <c r="B99" s="93"/>
      <c r="C99" s="19"/>
      <c r="D99" s="19"/>
      <c r="E99" s="19"/>
    </row>
    <row r="100" spans="1:5" s="29" customFormat="1" ht="16.2" hidden="1" thickBot="1" x14ac:dyDescent="0.35">
      <c r="A100" s="74" t="s">
        <v>19</v>
      </c>
      <c r="B100" s="88" t="s">
        <v>212</v>
      </c>
      <c r="C100" s="17">
        <f>(0.4+0.6+0.2)*3.9</f>
        <v>4.68</v>
      </c>
      <c r="D100" s="17"/>
      <c r="E100" s="17"/>
    </row>
    <row r="101" spans="1:5" s="29" customFormat="1" ht="16.2" hidden="1" thickBot="1" x14ac:dyDescent="0.35">
      <c r="A101" s="71"/>
      <c r="B101" s="89"/>
      <c r="C101" s="18">
        <f>C100</f>
        <v>4.68</v>
      </c>
      <c r="D101" s="18"/>
      <c r="E101" s="18"/>
    </row>
    <row r="102" spans="1:5" s="29" customFormat="1" ht="16.2" hidden="1" thickBot="1" x14ac:dyDescent="0.35">
      <c r="A102" s="71"/>
      <c r="B102" s="89"/>
      <c r="C102" s="18">
        <f>C100-C101</f>
        <v>0</v>
      </c>
      <c r="D102" s="18"/>
      <c r="E102" s="18"/>
    </row>
    <row r="103" spans="1:5" s="29" customFormat="1" ht="16.2" hidden="1" thickBot="1" x14ac:dyDescent="0.35">
      <c r="A103" s="71"/>
      <c r="B103" s="89"/>
      <c r="C103" s="18"/>
      <c r="D103" s="18"/>
      <c r="E103" s="18"/>
    </row>
    <row r="104" spans="1:5" s="29" customFormat="1" ht="16.2" hidden="1" thickBot="1" x14ac:dyDescent="0.35">
      <c r="A104" s="72"/>
      <c r="B104" s="90"/>
      <c r="C104" s="20"/>
      <c r="D104" s="19"/>
      <c r="E104" s="19"/>
    </row>
    <row r="105" spans="1:5" s="29" customFormat="1" ht="60" customHeight="1" thickBot="1" x14ac:dyDescent="0.35">
      <c r="A105" s="73" t="s">
        <v>20</v>
      </c>
      <c r="B105" s="91" t="s">
        <v>213</v>
      </c>
      <c r="C105" s="62">
        <v>4</v>
      </c>
      <c r="D105" s="17"/>
      <c r="E105" s="17"/>
    </row>
    <row r="106" spans="1:5" s="29" customFormat="1" ht="16.2" hidden="1" thickBot="1" x14ac:dyDescent="0.35">
      <c r="A106" s="71"/>
      <c r="B106" s="89"/>
      <c r="C106" s="30"/>
      <c r="D106" s="18"/>
      <c r="E106" s="18"/>
    </row>
    <row r="107" spans="1:5" s="29" customFormat="1" ht="16.2" hidden="1" thickBot="1" x14ac:dyDescent="0.35">
      <c r="A107" s="71"/>
      <c r="B107" s="89"/>
      <c r="C107" s="18"/>
      <c r="D107" s="18"/>
      <c r="E107" s="18"/>
    </row>
    <row r="108" spans="1:5" s="29" customFormat="1" ht="16.2" hidden="1" thickBot="1" x14ac:dyDescent="0.35">
      <c r="A108" s="71"/>
      <c r="B108" s="89"/>
      <c r="C108" s="18"/>
      <c r="D108" s="18"/>
      <c r="E108" s="18"/>
    </row>
    <row r="109" spans="1:5" s="29" customFormat="1" ht="16.2" hidden="1" thickBot="1" x14ac:dyDescent="0.35">
      <c r="A109" s="72"/>
      <c r="B109" s="90"/>
      <c r="C109" s="20"/>
      <c r="D109" s="19"/>
      <c r="E109" s="19"/>
    </row>
    <row r="110" spans="1:5" s="29" customFormat="1" ht="60" customHeight="1" thickBot="1" x14ac:dyDescent="0.35">
      <c r="A110" s="73" t="s">
        <v>21</v>
      </c>
      <c r="B110" s="91" t="s">
        <v>214</v>
      </c>
      <c r="C110" s="62">
        <v>7</v>
      </c>
      <c r="D110" s="17"/>
      <c r="E110" s="17"/>
    </row>
    <row r="111" spans="1:5" s="29" customFormat="1" ht="16.2" hidden="1" thickBot="1" x14ac:dyDescent="0.35">
      <c r="A111" s="71"/>
      <c r="B111" s="92"/>
      <c r="C111" s="30"/>
      <c r="D111" s="18"/>
      <c r="E111" s="18"/>
    </row>
    <row r="112" spans="1:5" s="29" customFormat="1" ht="16.2" hidden="1" thickBot="1" x14ac:dyDescent="0.35">
      <c r="A112" s="71"/>
      <c r="B112" s="92"/>
      <c r="C112" s="18"/>
      <c r="D112" s="18"/>
      <c r="E112" s="18"/>
    </row>
    <row r="113" spans="1:5" s="29" customFormat="1" ht="16.2" hidden="1" thickBot="1" x14ac:dyDescent="0.35">
      <c r="A113" s="71"/>
      <c r="B113" s="92"/>
      <c r="C113" s="18"/>
      <c r="D113" s="18"/>
      <c r="E113" s="18"/>
    </row>
    <row r="114" spans="1:5" s="29" customFormat="1" ht="16.2" hidden="1" thickBot="1" x14ac:dyDescent="0.35">
      <c r="A114" s="72"/>
      <c r="B114" s="93"/>
      <c r="C114" s="19"/>
      <c r="D114" s="19"/>
      <c r="E114" s="19"/>
    </row>
    <row r="115" spans="1:5" s="29" customFormat="1" ht="16.2" hidden="1" thickBot="1" x14ac:dyDescent="0.35">
      <c r="A115" s="74" t="s">
        <v>22</v>
      </c>
      <c r="B115" s="88" t="s">
        <v>215</v>
      </c>
      <c r="C115" s="17"/>
      <c r="D115" s="17"/>
      <c r="E115" s="17"/>
    </row>
    <row r="116" spans="1:5" s="29" customFormat="1" ht="16.2" hidden="1" thickBot="1" x14ac:dyDescent="0.35">
      <c r="A116" s="71"/>
      <c r="B116" s="89"/>
      <c r="C116" s="18"/>
      <c r="D116" s="18"/>
      <c r="E116" s="18"/>
    </row>
    <row r="117" spans="1:5" s="29" customFormat="1" ht="16.2" hidden="1" thickBot="1" x14ac:dyDescent="0.35">
      <c r="A117" s="71"/>
      <c r="B117" s="89"/>
      <c r="C117" s="18"/>
      <c r="D117" s="18"/>
      <c r="E117" s="18"/>
    </row>
    <row r="118" spans="1:5" s="29" customFormat="1" ht="16.2" hidden="1" thickBot="1" x14ac:dyDescent="0.35">
      <c r="A118" s="71"/>
      <c r="B118" s="89"/>
      <c r="C118" s="18"/>
      <c r="D118" s="18"/>
      <c r="E118" s="18"/>
    </row>
    <row r="119" spans="1:5" s="29" customFormat="1" ht="16.2" hidden="1" thickBot="1" x14ac:dyDescent="0.35">
      <c r="A119" s="72"/>
      <c r="B119" s="90"/>
      <c r="C119" s="19"/>
      <c r="D119" s="19"/>
      <c r="E119" s="19"/>
    </row>
    <row r="120" spans="1:5" s="29" customFormat="1" ht="16.2" hidden="1" thickBot="1" x14ac:dyDescent="0.35">
      <c r="A120" s="74" t="s">
        <v>23</v>
      </c>
      <c r="B120" s="88" t="s">
        <v>216</v>
      </c>
      <c r="C120" s="17"/>
      <c r="D120" s="17"/>
      <c r="E120" s="17"/>
    </row>
    <row r="121" spans="1:5" s="29" customFormat="1" ht="16.2" hidden="1" thickBot="1" x14ac:dyDescent="0.35">
      <c r="A121" s="71"/>
      <c r="B121" s="89"/>
      <c r="C121" s="18"/>
      <c r="D121" s="18"/>
      <c r="E121" s="18"/>
    </row>
    <row r="122" spans="1:5" s="29" customFormat="1" ht="16.2" hidden="1" thickBot="1" x14ac:dyDescent="0.35">
      <c r="A122" s="71"/>
      <c r="B122" s="89"/>
      <c r="C122" s="18"/>
      <c r="D122" s="18"/>
      <c r="E122" s="18"/>
    </row>
    <row r="123" spans="1:5" s="29" customFormat="1" ht="16.2" hidden="1" thickBot="1" x14ac:dyDescent="0.35">
      <c r="A123" s="71"/>
      <c r="B123" s="89"/>
      <c r="C123" s="18"/>
      <c r="D123" s="18"/>
      <c r="E123" s="18"/>
    </row>
    <row r="124" spans="1:5" s="29" customFormat="1" ht="16.2" hidden="1" thickBot="1" x14ac:dyDescent="0.35">
      <c r="A124" s="72"/>
      <c r="B124" s="90"/>
      <c r="C124" s="20"/>
      <c r="D124" s="19"/>
      <c r="E124" s="19"/>
    </row>
    <row r="125" spans="1:5" s="29" customFormat="1" ht="60" customHeight="1" thickBot="1" x14ac:dyDescent="0.35">
      <c r="A125" s="73" t="s">
        <v>24</v>
      </c>
      <c r="B125" s="91" t="s">
        <v>217</v>
      </c>
      <c r="C125" s="62">
        <v>11</v>
      </c>
      <c r="D125" s="17"/>
      <c r="E125" s="17"/>
    </row>
    <row r="126" spans="1:5" s="29" customFormat="1" ht="16.2" hidden="1" thickBot="1" x14ac:dyDescent="0.35">
      <c r="A126" s="71"/>
      <c r="B126" s="92"/>
      <c r="C126" s="30"/>
      <c r="D126" s="18"/>
      <c r="E126" s="18"/>
    </row>
    <row r="127" spans="1:5" s="29" customFormat="1" ht="16.2" hidden="1" thickBot="1" x14ac:dyDescent="0.35">
      <c r="A127" s="71"/>
      <c r="B127" s="92"/>
      <c r="C127" s="18"/>
      <c r="D127" s="18"/>
      <c r="E127" s="18"/>
    </row>
    <row r="128" spans="1:5" s="29" customFormat="1" ht="16.2" hidden="1" thickBot="1" x14ac:dyDescent="0.35">
      <c r="A128" s="71"/>
      <c r="B128" s="92"/>
      <c r="C128" s="18"/>
      <c r="D128" s="18"/>
      <c r="E128" s="18"/>
    </row>
    <row r="129" spans="1:5" s="29" customFormat="1" ht="16.2" hidden="1" thickBot="1" x14ac:dyDescent="0.35">
      <c r="A129" s="72"/>
      <c r="B129" s="93"/>
      <c r="C129" s="20"/>
      <c r="D129" s="19"/>
      <c r="E129" s="19"/>
    </row>
    <row r="130" spans="1:5" s="29" customFormat="1" ht="60" customHeight="1" thickBot="1" x14ac:dyDescent="0.35">
      <c r="A130" s="73" t="s">
        <v>25</v>
      </c>
      <c r="B130" s="91" t="s">
        <v>217</v>
      </c>
      <c r="C130" s="62">
        <v>10</v>
      </c>
      <c r="D130" s="17"/>
      <c r="E130" s="17"/>
    </row>
    <row r="131" spans="1:5" s="29" customFormat="1" ht="16.2" hidden="1" thickBot="1" x14ac:dyDescent="0.35">
      <c r="A131" s="71"/>
      <c r="B131" s="89"/>
      <c r="C131" s="30"/>
      <c r="D131" s="18"/>
      <c r="E131" s="18"/>
    </row>
    <row r="132" spans="1:5" s="29" customFormat="1" ht="16.2" hidden="1" thickBot="1" x14ac:dyDescent="0.35">
      <c r="A132" s="71"/>
      <c r="B132" s="89"/>
      <c r="C132" s="18"/>
      <c r="D132" s="18"/>
      <c r="E132" s="18"/>
    </row>
    <row r="133" spans="1:5" s="29" customFormat="1" ht="16.2" hidden="1" thickBot="1" x14ac:dyDescent="0.35">
      <c r="A133" s="71"/>
      <c r="B133" s="89"/>
      <c r="C133" s="18"/>
      <c r="D133" s="18"/>
      <c r="E133" s="18"/>
    </row>
    <row r="134" spans="1:5" s="29" customFormat="1" ht="16.2" hidden="1" thickBot="1" x14ac:dyDescent="0.35">
      <c r="A134" s="72"/>
      <c r="B134" s="90"/>
      <c r="C134" s="19"/>
      <c r="D134" s="19"/>
      <c r="E134" s="19"/>
    </row>
    <row r="135" spans="1:5" s="29" customFormat="1" ht="16.2" hidden="1" thickBot="1" x14ac:dyDescent="0.35">
      <c r="A135" s="74" t="s">
        <v>26</v>
      </c>
      <c r="B135" s="91" t="s">
        <v>218</v>
      </c>
      <c r="C135" s="17"/>
      <c r="D135" s="17"/>
      <c r="E135" s="17"/>
    </row>
    <row r="136" spans="1:5" s="29" customFormat="1" ht="16.2" hidden="1" thickBot="1" x14ac:dyDescent="0.35">
      <c r="A136" s="71"/>
      <c r="B136" s="92"/>
      <c r="C136" s="18"/>
      <c r="D136" s="18"/>
      <c r="E136" s="18"/>
    </row>
    <row r="137" spans="1:5" s="29" customFormat="1" ht="16.2" hidden="1" thickBot="1" x14ac:dyDescent="0.35">
      <c r="A137" s="71"/>
      <c r="B137" s="92"/>
      <c r="C137" s="18"/>
      <c r="D137" s="18"/>
      <c r="E137" s="18"/>
    </row>
    <row r="138" spans="1:5" s="29" customFormat="1" ht="16.2" hidden="1" thickBot="1" x14ac:dyDescent="0.35">
      <c r="A138" s="71"/>
      <c r="B138" s="92"/>
      <c r="C138" s="18"/>
      <c r="D138" s="18"/>
      <c r="E138" s="18"/>
    </row>
    <row r="139" spans="1:5" s="29" customFormat="1" ht="16.2" hidden="1" thickBot="1" x14ac:dyDescent="0.35">
      <c r="A139" s="72"/>
      <c r="B139" s="93"/>
      <c r="C139" s="19"/>
      <c r="D139" s="19"/>
      <c r="E139" s="19"/>
    </row>
    <row r="140" spans="1:5" s="29" customFormat="1" ht="16.2" hidden="1" thickBot="1" x14ac:dyDescent="0.35">
      <c r="A140" s="74" t="s">
        <v>27</v>
      </c>
      <c r="B140" s="91" t="s">
        <v>219</v>
      </c>
      <c r="C140" s="17">
        <f>(0.5*6+0.3)*3.9</f>
        <v>12.87</v>
      </c>
      <c r="D140" s="17"/>
      <c r="E140" s="17"/>
    </row>
    <row r="141" spans="1:5" s="29" customFormat="1" ht="16.2" hidden="1" thickBot="1" x14ac:dyDescent="0.35">
      <c r="A141" s="71"/>
      <c r="B141" s="92"/>
      <c r="C141" s="18">
        <f>C140</f>
        <v>12.87</v>
      </c>
      <c r="D141" s="18"/>
      <c r="E141" s="18"/>
    </row>
    <row r="142" spans="1:5" s="29" customFormat="1" ht="16.2" hidden="1" thickBot="1" x14ac:dyDescent="0.35">
      <c r="A142" s="71"/>
      <c r="B142" s="92"/>
      <c r="C142" s="18">
        <f>C140-C141</f>
        <v>0</v>
      </c>
      <c r="D142" s="18"/>
      <c r="E142" s="18"/>
    </row>
    <row r="143" spans="1:5" s="29" customFormat="1" ht="16.2" hidden="1" thickBot="1" x14ac:dyDescent="0.35">
      <c r="A143" s="71"/>
      <c r="B143" s="92"/>
      <c r="C143" s="18"/>
      <c r="D143" s="18"/>
      <c r="E143" s="18"/>
    </row>
    <row r="144" spans="1:5" s="29" customFormat="1" ht="16.2" hidden="1" thickBot="1" x14ac:dyDescent="0.35">
      <c r="A144" s="72"/>
      <c r="B144" s="93"/>
      <c r="C144" s="19"/>
      <c r="D144" s="19"/>
      <c r="E144" s="19"/>
    </row>
    <row r="145" spans="1:5" s="29" customFormat="1" ht="16.2" hidden="1" thickBot="1" x14ac:dyDescent="0.35">
      <c r="A145" s="74" t="s">
        <v>28</v>
      </c>
      <c r="B145" s="91" t="s">
        <v>220</v>
      </c>
      <c r="C145" s="17">
        <f>(0.4*3+0.5*5)*3.9</f>
        <v>14.43</v>
      </c>
      <c r="D145" s="17"/>
      <c r="E145" s="17"/>
    </row>
    <row r="146" spans="1:5" s="29" customFormat="1" ht="16.2" hidden="1" thickBot="1" x14ac:dyDescent="0.35">
      <c r="A146" s="71"/>
      <c r="B146" s="92"/>
      <c r="C146" s="18">
        <f>C145</f>
        <v>14.43</v>
      </c>
      <c r="D146" s="18"/>
      <c r="E146" s="18"/>
    </row>
    <row r="147" spans="1:5" s="29" customFormat="1" ht="16.2" hidden="1" thickBot="1" x14ac:dyDescent="0.35">
      <c r="A147" s="71"/>
      <c r="B147" s="92"/>
      <c r="C147" s="18">
        <f>C145-C146</f>
        <v>0</v>
      </c>
      <c r="D147" s="18"/>
      <c r="E147" s="18"/>
    </row>
    <row r="148" spans="1:5" s="29" customFormat="1" ht="16.2" hidden="1" thickBot="1" x14ac:dyDescent="0.35">
      <c r="A148" s="71"/>
      <c r="B148" s="92"/>
      <c r="C148" s="18"/>
      <c r="D148" s="18"/>
      <c r="E148" s="18"/>
    </row>
    <row r="149" spans="1:5" s="29" customFormat="1" ht="16.2" hidden="1" thickBot="1" x14ac:dyDescent="0.35">
      <c r="A149" s="72"/>
      <c r="B149" s="93"/>
      <c r="C149" s="19"/>
      <c r="D149" s="19"/>
      <c r="E149" s="19"/>
    </row>
    <row r="150" spans="1:5" s="29" customFormat="1" ht="16.2" hidden="1" thickBot="1" x14ac:dyDescent="0.35">
      <c r="A150" s="74" t="s">
        <v>29</v>
      </c>
      <c r="B150" s="88" t="s">
        <v>221</v>
      </c>
      <c r="C150" s="17"/>
      <c r="D150" s="17"/>
      <c r="E150" s="17"/>
    </row>
    <row r="151" spans="1:5" s="29" customFormat="1" ht="16.2" hidden="1" thickBot="1" x14ac:dyDescent="0.35">
      <c r="A151" s="71"/>
      <c r="B151" s="89"/>
      <c r="C151" s="18"/>
      <c r="D151" s="18"/>
      <c r="E151" s="18"/>
    </row>
    <row r="152" spans="1:5" s="29" customFormat="1" ht="16.2" hidden="1" thickBot="1" x14ac:dyDescent="0.35">
      <c r="A152" s="71"/>
      <c r="B152" s="89"/>
      <c r="C152" s="18"/>
      <c r="D152" s="18"/>
      <c r="E152" s="18"/>
    </row>
    <row r="153" spans="1:5" s="29" customFormat="1" ht="16.2" hidden="1" thickBot="1" x14ac:dyDescent="0.35">
      <c r="A153" s="71"/>
      <c r="B153" s="89"/>
      <c r="C153" s="18"/>
      <c r="D153" s="18"/>
      <c r="E153" s="18"/>
    </row>
    <row r="154" spans="1:5" s="29" customFormat="1" ht="16.2" hidden="1" thickBot="1" x14ac:dyDescent="0.35">
      <c r="A154" s="72"/>
      <c r="B154" s="90"/>
      <c r="C154" s="19"/>
      <c r="D154" s="19"/>
      <c r="E154" s="19"/>
    </row>
    <row r="155" spans="1:5" s="29" customFormat="1" ht="16.2" hidden="1" thickBot="1" x14ac:dyDescent="0.35">
      <c r="A155" s="74" t="s">
        <v>30</v>
      </c>
      <c r="B155" s="88" t="s">
        <v>218</v>
      </c>
      <c r="C155" s="17"/>
      <c r="D155" s="17"/>
      <c r="E155" s="17"/>
    </row>
    <row r="156" spans="1:5" s="29" customFormat="1" ht="16.2" hidden="1" thickBot="1" x14ac:dyDescent="0.35">
      <c r="A156" s="71"/>
      <c r="B156" s="89"/>
      <c r="C156" s="18"/>
      <c r="D156" s="18"/>
      <c r="E156" s="18"/>
    </row>
    <row r="157" spans="1:5" s="29" customFormat="1" ht="16.2" hidden="1" thickBot="1" x14ac:dyDescent="0.35">
      <c r="A157" s="71"/>
      <c r="B157" s="89"/>
      <c r="C157" s="18"/>
      <c r="D157" s="18"/>
      <c r="E157" s="18"/>
    </row>
    <row r="158" spans="1:5" s="29" customFormat="1" ht="16.2" hidden="1" thickBot="1" x14ac:dyDescent="0.35">
      <c r="A158" s="71"/>
      <c r="B158" s="89"/>
      <c r="C158" s="18"/>
      <c r="D158" s="18"/>
      <c r="E158" s="18"/>
    </row>
    <row r="159" spans="1:5" s="29" customFormat="1" ht="16.2" hidden="1" thickBot="1" x14ac:dyDescent="0.35">
      <c r="A159" s="72"/>
      <c r="B159" s="90"/>
      <c r="C159" s="19"/>
      <c r="D159" s="19"/>
      <c r="E159" s="19"/>
    </row>
    <row r="160" spans="1:5" s="29" customFormat="1" ht="16.2" hidden="1" thickBot="1" x14ac:dyDescent="0.35">
      <c r="A160" s="74" t="s">
        <v>31</v>
      </c>
      <c r="B160" s="88" t="s">
        <v>222</v>
      </c>
      <c r="C160" s="17"/>
      <c r="D160" s="17"/>
      <c r="E160" s="17"/>
    </row>
    <row r="161" spans="1:5" s="29" customFormat="1" ht="16.2" hidden="1" thickBot="1" x14ac:dyDescent="0.35">
      <c r="A161" s="71"/>
      <c r="B161" s="89"/>
      <c r="C161" s="18"/>
      <c r="D161" s="18"/>
      <c r="E161" s="18"/>
    </row>
    <row r="162" spans="1:5" s="29" customFormat="1" ht="16.2" hidden="1" thickBot="1" x14ac:dyDescent="0.35">
      <c r="A162" s="71"/>
      <c r="B162" s="89"/>
      <c r="C162" s="18"/>
      <c r="D162" s="18"/>
      <c r="E162" s="18"/>
    </row>
    <row r="163" spans="1:5" s="29" customFormat="1" ht="16.2" hidden="1" thickBot="1" x14ac:dyDescent="0.35">
      <c r="A163" s="71"/>
      <c r="B163" s="89"/>
      <c r="C163" s="18"/>
      <c r="D163" s="18"/>
      <c r="E163" s="18"/>
    </row>
    <row r="164" spans="1:5" s="29" customFormat="1" ht="16.2" hidden="1" thickBot="1" x14ac:dyDescent="0.35">
      <c r="A164" s="72"/>
      <c r="B164" s="90"/>
      <c r="C164" s="19"/>
      <c r="D164" s="19"/>
      <c r="E164" s="19"/>
    </row>
    <row r="165" spans="1:5" s="29" customFormat="1" ht="16.2" hidden="1" thickBot="1" x14ac:dyDescent="0.35">
      <c r="A165" s="74" t="s">
        <v>32</v>
      </c>
      <c r="B165" s="88" t="s">
        <v>223</v>
      </c>
      <c r="C165" s="17"/>
      <c r="D165" s="17"/>
      <c r="E165" s="17"/>
    </row>
    <row r="166" spans="1:5" s="29" customFormat="1" ht="16.2" hidden="1" thickBot="1" x14ac:dyDescent="0.35">
      <c r="A166" s="71"/>
      <c r="B166" s="89"/>
      <c r="C166" s="18"/>
      <c r="D166" s="18"/>
      <c r="E166" s="18"/>
    </row>
    <row r="167" spans="1:5" s="29" customFormat="1" ht="16.2" hidden="1" thickBot="1" x14ac:dyDescent="0.35">
      <c r="A167" s="71"/>
      <c r="B167" s="89"/>
      <c r="C167" s="18"/>
      <c r="D167" s="18"/>
      <c r="E167" s="18"/>
    </row>
    <row r="168" spans="1:5" s="29" customFormat="1" ht="16.2" hidden="1" thickBot="1" x14ac:dyDescent="0.35">
      <c r="A168" s="71"/>
      <c r="B168" s="89"/>
      <c r="C168" s="18"/>
      <c r="D168" s="18"/>
      <c r="E168" s="18"/>
    </row>
    <row r="169" spans="1:5" s="29" customFormat="1" ht="16.2" hidden="1" thickBot="1" x14ac:dyDescent="0.35">
      <c r="A169" s="72"/>
      <c r="B169" s="90"/>
      <c r="C169" s="19"/>
      <c r="D169" s="19"/>
      <c r="E169" s="19"/>
    </row>
    <row r="170" spans="1:5" s="29" customFormat="1" ht="16.2" hidden="1" thickBot="1" x14ac:dyDescent="0.35">
      <c r="A170" s="74" t="s">
        <v>33</v>
      </c>
      <c r="B170" s="88" t="s">
        <v>224</v>
      </c>
      <c r="C170" s="17"/>
      <c r="D170" s="17"/>
      <c r="E170" s="17"/>
    </row>
    <row r="171" spans="1:5" s="29" customFormat="1" ht="16.2" hidden="1" thickBot="1" x14ac:dyDescent="0.35">
      <c r="A171" s="71"/>
      <c r="B171" s="89"/>
      <c r="C171" s="18"/>
      <c r="D171" s="18"/>
      <c r="E171" s="18"/>
    </row>
    <row r="172" spans="1:5" s="29" customFormat="1" ht="16.2" hidden="1" thickBot="1" x14ac:dyDescent="0.35">
      <c r="A172" s="71"/>
      <c r="B172" s="89"/>
      <c r="C172" s="18"/>
      <c r="D172" s="18"/>
      <c r="E172" s="18"/>
    </row>
    <row r="173" spans="1:5" s="29" customFormat="1" ht="16.2" hidden="1" thickBot="1" x14ac:dyDescent="0.35">
      <c r="A173" s="71"/>
      <c r="B173" s="89"/>
      <c r="C173" s="18"/>
      <c r="D173" s="18"/>
      <c r="E173" s="18"/>
    </row>
    <row r="174" spans="1:5" s="29" customFormat="1" ht="16.2" hidden="1" thickBot="1" x14ac:dyDescent="0.35">
      <c r="A174" s="72"/>
      <c r="B174" s="90"/>
      <c r="C174" s="19"/>
      <c r="D174" s="19"/>
      <c r="E174" s="19"/>
    </row>
    <row r="175" spans="1:5" s="29" customFormat="1" ht="16.2" hidden="1" thickBot="1" x14ac:dyDescent="0.35">
      <c r="A175" s="74" t="s">
        <v>34</v>
      </c>
      <c r="B175" s="91" t="s">
        <v>225</v>
      </c>
      <c r="C175" s="17"/>
      <c r="D175" s="17"/>
      <c r="E175" s="17"/>
    </row>
    <row r="176" spans="1:5" s="29" customFormat="1" ht="16.2" hidden="1" thickBot="1" x14ac:dyDescent="0.35">
      <c r="A176" s="71"/>
      <c r="B176" s="92"/>
      <c r="C176" s="18"/>
      <c r="D176" s="18"/>
      <c r="E176" s="18"/>
    </row>
    <row r="177" spans="1:5" s="29" customFormat="1" ht="16.2" hidden="1" thickBot="1" x14ac:dyDescent="0.35">
      <c r="A177" s="71"/>
      <c r="B177" s="92"/>
      <c r="C177" s="18"/>
      <c r="D177" s="18"/>
      <c r="E177" s="18"/>
    </row>
    <row r="178" spans="1:5" s="29" customFormat="1" ht="16.2" hidden="1" thickBot="1" x14ac:dyDescent="0.35">
      <c r="A178" s="71"/>
      <c r="B178" s="92"/>
      <c r="C178" s="18"/>
      <c r="D178" s="18"/>
      <c r="E178" s="18"/>
    </row>
    <row r="179" spans="1:5" s="29" customFormat="1" ht="16.2" hidden="1" thickBot="1" x14ac:dyDescent="0.35">
      <c r="A179" s="72"/>
      <c r="B179" s="93"/>
      <c r="C179" s="20"/>
      <c r="D179" s="19"/>
      <c r="E179" s="19"/>
    </row>
    <row r="180" spans="1:5" s="29" customFormat="1" ht="60" customHeight="1" thickBot="1" x14ac:dyDescent="0.35">
      <c r="A180" s="73" t="s">
        <v>35</v>
      </c>
      <c r="B180" s="91" t="s">
        <v>226</v>
      </c>
      <c r="C180" s="62">
        <v>12</v>
      </c>
      <c r="D180" s="17"/>
      <c r="E180" s="17"/>
    </row>
    <row r="181" spans="1:5" s="29" customFormat="1" ht="16.2" hidden="1" thickBot="1" x14ac:dyDescent="0.35">
      <c r="A181" s="71"/>
      <c r="B181" s="89"/>
      <c r="C181" s="30"/>
      <c r="D181" s="18"/>
      <c r="E181" s="18"/>
    </row>
    <row r="182" spans="1:5" s="29" customFormat="1" ht="16.2" hidden="1" thickBot="1" x14ac:dyDescent="0.35">
      <c r="A182" s="71"/>
      <c r="B182" s="89"/>
      <c r="C182" s="18"/>
      <c r="D182" s="18"/>
      <c r="E182" s="18"/>
    </row>
    <row r="183" spans="1:5" s="29" customFormat="1" ht="16.2" hidden="1" thickBot="1" x14ac:dyDescent="0.35">
      <c r="A183" s="71"/>
      <c r="B183" s="89"/>
      <c r="C183" s="18"/>
      <c r="D183" s="18"/>
      <c r="E183" s="18"/>
    </row>
    <row r="184" spans="1:5" s="29" customFormat="1" ht="16.2" hidden="1" thickBot="1" x14ac:dyDescent="0.35">
      <c r="A184" s="72"/>
      <c r="B184" s="90"/>
      <c r="C184" s="20"/>
      <c r="D184" s="19"/>
      <c r="E184" s="19"/>
    </row>
    <row r="185" spans="1:5" s="29" customFormat="1" ht="60" customHeight="1" thickBot="1" x14ac:dyDescent="0.35">
      <c r="A185" s="73" t="s">
        <v>36</v>
      </c>
      <c r="B185" s="91" t="s">
        <v>227</v>
      </c>
      <c r="C185" s="62">
        <v>4</v>
      </c>
      <c r="D185" s="17"/>
      <c r="E185" s="17"/>
    </row>
    <row r="186" spans="1:5" s="29" customFormat="1" ht="16.2" hidden="1" thickBot="1" x14ac:dyDescent="0.35">
      <c r="A186" s="71"/>
      <c r="B186" s="89"/>
      <c r="C186" s="30"/>
      <c r="D186" s="18"/>
      <c r="E186" s="18"/>
    </row>
    <row r="187" spans="1:5" s="29" customFormat="1" ht="16.2" hidden="1" thickBot="1" x14ac:dyDescent="0.35">
      <c r="A187" s="71"/>
      <c r="B187" s="89"/>
      <c r="C187" s="18"/>
      <c r="D187" s="18"/>
      <c r="E187" s="18"/>
    </row>
    <row r="188" spans="1:5" s="29" customFormat="1" ht="16.2" hidden="1" thickBot="1" x14ac:dyDescent="0.35">
      <c r="A188" s="71"/>
      <c r="B188" s="89"/>
      <c r="C188" s="18"/>
      <c r="D188" s="18"/>
      <c r="E188" s="18"/>
    </row>
    <row r="189" spans="1:5" s="29" customFormat="1" ht="16.2" hidden="1" thickBot="1" x14ac:dyDescent="0.35">
      <c r="A189" s="72"/>
      <c r="B189" s="90"/>
      <c r="C189" s="20"/>
      <c r="D189" s="19"/>
      <c r="E189" s="19"/>
    </row>
    <row r="190" spans="1:5" s="29" customFormat="1" ht="60" customHeight="1" thickBot="1" x14ac:dyDescent="0.35">
      <c r="A190" s="73" t="s">
        <v>37</v>
      </c>
      <c r="B190" s="108" t="s">
        <v>228</v>
      </c>
      <c r="C190" s="62">
        <v>9</v>
      </c>
      <c r="D190" s="17"/>
      <c r="E190" s="17"/>
    </row>
    <row r="191" spans="1:5" s="29" customFormat="1" ht="16.2" hidden="1" thickBot="1" x14ac:dyDescent="0.35">
      <c r="A191" s="71"/>
      <c r="B191" s="89"/>
      <c r="C191" s="30">
        <f>C190*0.25</f>
        <v>2.25</v>
      </c>
      <c r="D191" s="18"/>
      <c r="E191" s="18">
        <f t="shared" ref="E191" si="1">E190*0.8</f>
        <v>0</v>
      </c>
    </row>
    <row r="192" spans="1:5" s="29" customFormat="1" ht="16.2" hidden="1" thickBot="1" x14ac:dyDescent="0.35">
      <c r="A192" s="71"/>
      <c r="B192" s="89"/>
      <c r="C192" s="18">
        <f t="shared" ref="C192:E192" si="2">C190-C191</f>
        <v>6.75</v>
      </c>
      <c r="D192" s="18"/>
      <c r="E192" s="18">
        <f t="shared" si="2"/>
        <v>0</v>
      </c>
    </row>
    <row r="193" spans="1:5" s="29" customFormat="1" ht="16.2" hidden="1" thickBot="1" x14ac:dyDescent="0.35">
      <c r="A193" s="71"/>
      <c r="B193" s="89"/>
      <c r="C193" s="18"/>
      <c r="D193" s="18"/>
      <c r="E193" s="18"/>
    </row>
    <row r="194" spans="1:5" s="29" customFormat="1" ht="16.2" hidden="1" thickBot="1" x14ac:dyDescent="0.35">
      <c r="A194" s="72"/>
      <c r="B194" s="90"/>
      <c r="C194" s="20"/>
      <c r="D194" s="19"/>
      <c r="E194" s="19"/>
    </row>
    <row r="195" spans="1:5" s="29" customFormat="1" ht="60" customHeight="1" thickBot="1" x14ac:dyDescent="0.35">
      <c r="A195" s="73" t="s">
        <v>38</v>
      </c>
      <c r="B195" s="108" t="s">
        <v>229</v>
      </c>
      <c r="C195" s="62">
        <v>8</v>
      </c>
      <c r="D195" s="17"/>
      <c r="E195" s="17"/>
    </row>
    <row r="196" spans="1:5" s="29" customFormat="1" ht="16.2" hidden="1" thickBot="1" x14ac:dyDescent="0.35">
      <c r="A196" s="71"/>
      <c r="B196" s="89"/>
      <c r="C196" s="30"/>
      <c r="D196" s="18"/>
      <c r="E196" s="18">
        <v>0</v>
      </c>
    </row>
    <row r="197" spans="1:5" s="29" customFormat="1" ht="16.2" hidden="1" thickBot="1" x14ac:dyDescent="0.35">
      <c r="A197" s="71"/>
      <c r="B197" s="89"/>
      <c r="C197" s="18"/>
      <c r="D197" s="18"/>
      <c r="E197" s="18">
        <f>E195-E196</f>
        <v>0</v>
      </c>
    </row>
    <row r="198" spans="1:5" s="29" customFormat="1" ht="16.2" hidden="1" thickBot="1" x14ac:dyDescent="0.35">
      <c r="A198" s="71"/>
      <c r="B198" s="89"/>
      <c r="C198" s="18"/>
      <c r="D198" s="18"/>
      <c r="E198" s="18"/>
    </row>
    <row r="199" spans="1:5" s="29" customFormat="1" ht="16.2" hidden="1" thickBot="1" x14ac:dyDescent="0.35">
      <c r="A199" s="72"/>
      <c r="B199" s="90"/>
      <c r="C199" s="20"/>
      <c r="D199" s="19"/>
      <c r="E199" s="19"/>
    </row>
    <row r="200" spans="1:5" s="29" customFormat="1" ht="60" customHeight="1" thickBot="1" x14ac:dyDescent="0.35">
      <c r="A200" s="73" t="s">
        <v>39</v>
      </c>
      <c r="B200" s="108" t="s">
        <v>230</v>
      </c>
      <c r="C200" s="62">
        <v>20</v>
      </c>
      <c r="D200" s="17"/>
      <c r="E200" s="17"/>
    </row>
    <row r="201" spans="1:5" s="29" customFormat="1" ht="16.2" hidden="1" thickBot="1" x14ac:dyDescent="0.35">
      <c r="A201" s="71"/>
      <c r="B201" s="89"/>
      <c r="C201" s="30"/>
      <c r="D201" s="18"/>
      <c r="E201" s="18">
        <f>E200</f>
        <v>0</v>
      </c>
    </row>
    <row r="202" spans="1:5" s="29" customFormat="1" ht="16.2" hidden="1" thickBot="1" x14ac:dyDescent="0.35">
      <c r="A202" s="71"/>
      <c r="B202" s="89"/>
      <c r="C202" s="18"/>
      <c r="D202" s="18"/>
      <c r="E202" s="18">
        <f>E200-E201</f>
        <v>0</v>
      </c>
    </row>
    <row r="203" spans="1:5" s="29" customFormat="1" ht="16.2" hidden="1" thickBot="1" x14ac:dyDescent="0.35">
      <c r="A203" s="71"/>
      <c r="B203" s="89"/>
      <c r="C203" s="18"/>
      <c r="D203" s="18"/>
      <c r="E203" s="18"/>
    </row>
    <row r="204" spans="1:5" s="29" customFormat="1" ht="16.2" hidden="1" thickBot="1" x14ac:dyDescent="0.35">
      <c r="A204" s="72"/>
      <c r="B204" s="90"/>
      <c r="C204" s="20"/>
      <c r="D204" s="19"/>
      <c r="E204" s="19"/>
    </row>
    <row r="205" spans="1:5" s="29" customFormat="1" ht="60" customHeight="1" thickBot="1" x14ac:dyDescent="0.35">
      <c r="A205" s="73" t="s">
        <v>40</v>
      </c>
      <c r="B205" s="108" t="s">
        <v>231</v>
      </c>
      <c r="C205" s="62">
        <v>21</v>
      </c>
      <c r="D205" s="17"/>
      <c r="E205" s="17"/>
    </row>
    <row r="206" spans="1:5" s="29" customFormat="1" ht="16.2" hidden="1" thickBot="1" x14ac:dyDescent="0.35">
      <c r="A206" s="71"/>
      <c r="B206" s="89"/>
      <c r="C206" s="30"/>
      <c r="D206" s="18"/>
      <c r="E206" s="18">
        <f>E205</f>
        <v>0</v>
      </c>
    </row>
    <row r="207" spans="1:5" s="29" customFormat="1" ht="16.2" hidden="1" thickBot="1" x14ac:dyDescent="0.35">
      <c r="A207" s="71"/>
      <c r="B207" s="89"/>
      <c r="C207" s="18"/>
      <c r="D207" s="18"/>
      <c r="E207" s="18">
        <f>E205-E206</f>
        <v>0</v>
      </c>
    </row>
    <row r="208" spans="1:5" s="29" customFormat="1" ht="16.2" hidden="1" thickBot="1" x14ac:dyDescent="0.35">
      <c r="A208" s="71"/>
      <c r="B208" s="89"/>
      <c r="C208" s="18"/>
      <c r="D208" s="18"/>
      <c r="E208" s="18"/>
    </row>
    <row r="209" spans="1:5" s="29" customFormat="1" ht="16.2" hidden="1" thickBot="1" x14ac:dyDescent="0.35">
      <c r="A209" s="72"/>
      <c r="B209" s="90"/>
      <c r="C209" s="20"/>
      <c r="D209" s="19"/>
      <c r="E209" s="19"/>
    </row>
    <row r="210" spans="1:5" s="29" customFormat="1" ht="60" customHeight="1" thickBot="1" x14ac:dyDescent="0.35">
      <c r="A210" s="73" t="s">
        <v>41</v>
      </c>
      <c r="B210" s="108" t="s">
        <v>232</v>
      </c>
      <c r="C210" s="62">
        <v>12</v>
      </c>
      <c r="D210" s="17"/>
      <c r="E210" s="17"/>
    </row>
    <row r="211" spans="1:5" s="29" customFormat="1" ht="16.2" hidden="1" thickBot="1" x14ac:dyDescent="0.35">
      <c r="A211" s="71"/>
      <c r="B211" s="89"/>
      <c r="C211" s="30"/>
      <c r="D211" s="18"/>
      <c r="E211" s="18">
        <f>E210</f>
        <v>0</v>
      </c>
    </row>
    <row r="212" spans="1:5" s="29" customFormat="1" ht="16.2" hidden="1" thickBot="1" x14ac:dyDescent="0.35">
      <c r="A212" s="71"/>
      <c r="B212" s="89"/>
      <c r="C212" s="18"/>
      <c r="D212" s="18"/>
      <c r="E212" s="18">
        <f>E210-E211</f>
        <v>0</v>
      </c>
    </row>
    <row r="213" spans="1:5" s="29" customFormat="1" ht="16.2" hidden="1" thickBot="1" x14ac:dyDescent="0.35">
      <c r="A213" s="71"/>
      <c r="B213" s="89"/>
      <c r="C213" s="18"/>
      <c r="D213" s="18"/>
      <c r="E213" s="18"/>
    </row>
    <row r="214" spans="1:5" s="29" customFormat="1" ht="16.2" hidden="1" thickBot="1" x14ac:dyDescent="0.35">
      <c r="A214" s="72"/>
      <c r="B214" s="90"/>
      <c r="C214" s="19"/>
      <c r="D214" s="19"/>
      <c r="E214" s="19"/>
    </row>
    <row r="215" spans="1:5" s="29" customFormat="1" ht="60" hidden="1" customHeight="1" thickBot="1" x14ac:dyDescent="0.35">
      <c r="A215" s="70" t="s">
        <v>42</v>
      </c>
      <c r="B215" s="108" t="s">
        <v>233</v>
      </c>
      <c r="C215" s="42">
        <v>11.7</v>
      </c>
      <c r="D215" s="17"/>
      <c r="E215" s="17"/>
    </row>
    <row r="216" spans="1:5" s="29" customFormat="1" ht="16.2" hidden="1" thickBot="1" x14ac:dyDescent="0.35">
      <c r="A216" s="71"/>
      <c r="B216" s="89"/>
      <c r="C216" s="18"/>
      <c r="D216" s="18"/>
      <c r="E216" s="18">
        <f>E215</f>
        <v>0</v>
      </c>
    </row>
    <row r="217" spans="1:5" s="29" customFormat="1" ht="16.2" hidden="1" thickBot="1" x14ac:dyDescent="0.35">
      <c r="A217" s="71"/>
      <c r="B217" s="89"/>
      <c r="C217" s="18"/>
      <c r="D217" s="18"/>
      <c r="E217" s="18">
        <f>E215-E216</f>
        <v>0</v>
      </c>
    </row>
    <row r="218" spans="1:5" s="29" customFormat="1" ht="16.2" hidden="1" thickBot="1" x14ac:dyDescent="0.35">
      <c r="A218" s="71"/>
      <c r="B218" s="89"/>
      <c r="C218" s="18"/>
      <c r="D218" s="18"/>
      <c r="E218" s="18"/>
    </row>
    <row r="219" spans="1:5" s="29" customFormat="1" ht="16.2" hidden="1" thickBot="1" x14ac:dyDescent="0.35">
      <c r="A219" s="72"/>
      <c r="B219" s="90"/>
      <c r="C219" s="19"/>
      <c r="D219" s="19"/>
      <c r="E219" s="19"/>
    </row>
    <row r="220" spans="1:5" s="29" customFormat="1" ht="60" hidden="1" customHeight="1" thickBot="1" x14ac:dyDescent="0.35">
      <c r="A220" s="70" t="s">
        <v>43</v>
      </c>
      <c r="B220" s="108" t="s">
        <v>234</v>
      </c>
      <c r="C220" s="42">
        <v>29</v>
      </c>
      <c r="D220" s="17"/>
      <c r="E220" s="17"/>
    </row>
    <row r="221" spans="1:5" s="29" customFormat="1" ht="16.2" hidden="1" thickBot="1" x14ac:dyDescent="0.35">
      <c r="A221" s="71"/>
      <c r="B221" s="89"/>
      <c r="C221" s="18"/>
      <c r="D221" s="18"/>
      <c r="E221" s="18">
        <f>E220</f>
        <v>0</v>
      </c>
    </row>
    <row r="222" spans="1:5" s="29" customFormat="1" ht="16.2" hidden="1" thickBot="1" x14ac:dyDescent="0.35">
      <c r="A222" s="71"/>
      <c r="B222" s="89"/>
      <c r="C222" s="18"/>
      <c r="D222" s="18"/>
      <c r="E222" s="18">
        <f>E220-E221</f>
        <v>0</v>
      </c>
    </row>
    <row r="223" spans="1:5" s="29" customFormat="1" ht="16.2" hidden="1" thickBot="1" x14ac:dyDescent="0.35">
      <c r="A223" s="71"/>
      <c r="B223" s="89"/>
      <c r="C223" s="18"/>
      <c r="D223" s="18"/>
      <c r="E223" s="18"/>
    </row>
    <row r="224" spans="1:5" s="29" customFormat="1" ht="16.2" hidden="1" thickBot="1" x14ac:dyDescent="0.35">
      <c r="A224" s="72"/>
      <c r="B224" s="90"/>
      <c r="C224" s="20"/>
      <c r="D224" s="19"/>
      <c r="E224" s="19"/>
    </row>
    <row r="225" spans="1:5" s="29" customFormat="1" ht="60" customHeight="1" thickBot="1" x14ac:dyDescent="0.35">
      <c r="A225" s="73" t="s">
        <v>44</v>
      </c>
      <c r="B225" s="108" t="s">
        <v>235</v>
      </c>
      <c r="C225" s="62">
        <v>8</v>
      </c>
      <c r="D225" s="17"/>
      <c r="E225" s="17"/>
    </row>
    <row r="226" spans="1:5" s="29" customFormat="1" ht="16.2" hidden="1" thickBot="1" x14ac:dyDescent="0.35">
      <c r="A226" s="71"/>
      <c r="B226" s="89"/>
      <c r="C226" s="30"/>
      <c r="D226" s="18"/>
      <c r="E226" s="18"/>
    </row>
    <row r="227" spans="1:5" s="29" customFormat="1" ht="16.2" hidden="1" thickBot="1" x14ac:dyDescent="0.35">
      <c r="A227" s="71"/>
      <c r="B227" s="89"/>
      <c r="C227" s="18"/>
      <c r="D227" s="18"/>
      <c r="E227" s="18"/>
    </row>
    <row r="228" spans="1:5" s="29" customFormat="1" ht="16.2" hidden="1" thickBot="1" x14ac:dyDescent="0.35">
      <c r="A228" s="71"/>
      <c r="B228" s="89"/>
      <c r="C228" s="18"/>
      <c r="D228" s="18"/>
      <c r="E228" s="18"/>
    </row>
    <row r="229" spans="1:5" s="29" customFormat="1" ht="16.2" hidden="1" thickBot="1" x14ac:dyDescent="0.35">
      <c r="A229" s="72"/>
      <c r="B229" s="90"/>
      <c r="C229" s="20"/>
      <c r="D229" s="19"/>
      <c r="E229" s="19"/>
    </row>
    <row r="230" spans="1:5" s="29" customFormat="1" ht="60" customHeight="1" thickBot="1" x14ac:dyDescent="0.35">
      <c r="A230" s="73" t="s">
        <v>45</v>
      </c>
      <c r="B230" s="108" t="s">
        <v>236</v>
      </c>
      <c r="C230" s="62">
        <v>4</v>
      </c>
      <c r="D230" s="17"/>
      <c r="E230" s="17"/>
    </row>
    <row r="231" spans="1:5" s="29" customFormat="1" ht="16.2" hidden="1" thickBot="1" x14ac:dyDescent="0.35">
      <c r="A231" s="71"/>
      <c r="B231" s="89"/>
      <c r="C231" s="30">
        <f>C230</f>
        <v>4</v>
      </c>
      <c r="D231" s="18"/>
      <c r="E231" s="18"/>
    </row>
    <row r="232" spans="1:5" s="29" customFormat="1" ht="16.2" hidden="1" thickBot="1" x14ac:dyDescent="0.35">
      <c r="A232" s="71"/>
      <c r="B232" s="89"/>
      <c r="C232" s="18">
        <f>C230-C231</f>
        <v>0</v>
      </c>
      <c r="D232" s="18"/>
      <c r="E232" s="18"/>
    </row>
    <row r="233" spans="1:5" s="29" customFormat="1" ht="16.2" hidden="1" thickBot="1" x14ac:dyDescent="0.35">
      <c r="A233" s="71"/>
      <c r="B233" s="89"/>
      <c r="C233" s="18"/>
      <c r="D233" s="18"/>
      <c r="E233" s="18"/>
    </row>
    <row r="234" spans="1:5" s="29" customFormat="1" ht="16.2" hidden="1" thickBot="1" x14ac:dyDescent="0.35">
      <c r="A234" s="72"/>
      <c r="B234" s="90"/>
      <c r="C234" s="19"/>
      <c r="D234" s="19"/>
      <c r="E234" s="19"/>
    </row>
    <row r="235" spans="1:5" s="29" customFormat="1" ht="60" hidden="1" customHeight="1" thickBot="1" x14ac:dyDescent="0.35">
      <c r="A235" s="70" t="s">
        <v>46</v>
      </c>
      <c r="B235" s="108" t="s">
        <v>237</v>
      </c>
      <c r="C235" s="42">
        <v>9.3000000000000007</v>
      </c>
      <c r="D235" s="17"/>
      <c r="E235" s="17"/>
    </row>
    <row r="236" spans="1:5" s="29" customFormat="1" ht="16.2" hidden="1" thickBot="1" x14ac:dyDescent="0.35">
      <c r="A236" s="71"/>
      <c r="B236" s="89"/>
      <c r="C236" s="18"/>
      <c r="D236" s="18"/>
      <c r="E236" s="18"/>
    </row>
    <row r="237" spans="1:5" s="29" customFormat="1" ht="16.2" hidden="1" thickBot="1" x14ac:dyDescent="0.35">
      <c r="A237" s="71"/>
      <c r="B237" s="89"/>
      <c r="C237" s="18"/>
      <c r="D237" s="18"/>
      <c r="E237" s="18"/>
    </row>
    <row r="238" spans="1:5" s="29" customFormat="1" ht="16.2" hidden="1" thickBot="1" x14ac:dyDescent="0.35">
      <c r="A238" s="71"/>
      <c r="B238" s="89"/>
      <c r="C238" s="18"/>
      <c r="D238" s="18"/>
      <c r="E238" s="18"/>
    </row>
    <row r="239" spans="1:5" s="29" customFormat="1" ht="16.2" hidden="1" thickBot="1" x14ac:dyDescent="0.35">
      <c r="A239" s="72"/>
      <c r="B239" s="90"/>
      <c r="C239" s="19"/>
      <c r="D239" s="19"/>
      <c r="E239" s="19"/>
    </row>
    <row r="240" spans="1:5" s="29" customFormat="1" ht="60" hidden="1" customHeight="1" thickBot="1" x14ac:dyDescent="0.35">
      <c r="A240" s="70" t="s">
        <v>47</v>
      </c>
      <c r="B240" s="108" t="s">
        <v>238</v>
      </c>
      <c r="C240" s="42">
        <v>7.4</v>
      </c>
      <c r="D240" s="17"/>
      <c r="E240" s="17"/>
    </row>
    <row r="241" spans="1:5" s="29" customFormat="1" ht="16.2" hidden="1" thickBot="1" x14ac:dyDescent="0.35">
      <c r="A241" s="71"/>
      <c r="B241" s="89"/>
      <c r="C241" s="18"/>
      <c r="D241" s="18"/>
      <c r="E241" s="18"/>
    </row>
    <row r="242" spans="1:5" s="29" customFormat="1" ht="16.2" hidden="1" thickBot="1" x14ac:dyDescent="0.35">
      <c r="A242" s="71"/>
      <c r="B242" s="89"/>
      <c r="C242" s="18"/>
      <c r="D242" s="18"/>
      <c r="E242" s="18"/>
    </row>
    <row r="243" spans="1:5" s="29" customFormat="1" ht="16.2" hidden="1" thickBot="1" x14ac:dyDescent="0.35">
      <c r="A243" s="71"/>
      <c r="B243" s="89"/>
      <c r="C243" s="18"/>
      <c r="D243" s="18"/>
      <c r="E243" s="18"/>
    </row>
    <row r="244" spans="1:5" s="29" customFormat="1" ht="16.2" hidden="1" thickBot="1" x14ac:dyDescent="0.35">
      <c r="A244" s="72"/>
      <c r="B244" s="90"/>
      <c r="C244" s="20"/>
      <c r="D244" s="19"/>
      <c r="E244" s="19"/>
    </row>
    <row r="245" spans="1:5" s="29" customFormat="1" ht="60" customHeight="1" thickBot="1" x14ac:dyDescent="0.35">
      <c r="A245" s="73" t="s">
        <v>48</v>
      </c>
      <c r="B245" s="108" t="s">
        <v>239</v>
      </c>
      <c r="C245" s="62">
        <v>6</v>
      </c>
      <c r="D245" s="17"/>
      <c r="E245" s="17"/>
    </row>
    <row r="246" spans="1:5" s="29" customFormat="1" ht="16.2" hidden="1" thickBot="1" x14ac:dyDescent="0.35">
      <c r="A246" s="71"/>
      <c r="B246" s="89"/>
      <c r="C246" s="30"/>
      <c r="D246" s="18"/>
      <c r="E246" s="18">
        <f>E245</f>
        <v>0</v>
      </c>
    </row>
    <row r="247" spans="1:5" s="29" customFormat="1" ht="16.2" hidden="1" thickBot="1" x14ac:dyDescent="0.35">
      <c r="A247" s="71"/>
      <c r="B247" s="89"/>
      <c r="C247" s="18"/>
      <c r="D247" s="18"/>
      <c r="E247" s="18">
        <f>E245-E246</f>
        <v>0</v>
      </c>
    </row>
    <row r="248" spans="1:5" s="29" customFormat="1" ht="16.2" hidden="1" thickBot="1" x14ac:dyDescent="0.35">
      <c r="A248" s="71"/>
      <c r="B248" s="89"/>
      <c r="C248" s="18"/>
      <c r="D248" s="18"/>
      <c r="E248" s="18"/>
    </row>
    <row r="249" spans="1:5" s="29" customFormat="1" ht="16.2" hidden="1" thickBot="1" x14ac:dyDescent="0.35">
      <c r="A249" s="72"/>
      <c r="B249" s="90"/>
      <c r="C249" s="20"/>
      <c r="D249" s="19"/>
      <c r="E249" s="19"/>
    </row>
    <row r="250" spans="1:5" s="29" customFormat="1" ht="60" customHeight="1" thickBot="1" x14ac:dyDescent="0.35">
      <c r="A250" s="73" t="s">
        <v>49</v>
      </c>
      <c r="B250" s="108" t="s">
        <v>240</v>
      </c>
      <c r="C250" s="62">
        <v>10</v>
      </c>
      <c r="D250" s="17"/>
      <c r="E250" s="17"/>
    </row>
    <row r="251" spans="1:5" s="29" customFormat="1" ht="16.2" hidden="1" thickBot="1" x14ac:dyDescent="0.35">
      <c r="A251" s="71"/>
      <c r="B251" s="89"/>
      <c r="C251" s="30"/>
      <c r="D251" s="18"/>
      <c r="E251" s="18"/>
    </row>
    <row r="252" spans="1:5" s="29" customFormat="1" ht="16.2" hidden="1" thickBot="1" x14ac:dyDescent="0.35">
      <c r="A252" s="71"/>
      <c r="B252" s="89"/>
      <c r="C252" s="18"/>
      <c r="D252" s="18"/>
      <c r="E252" s="18"/>
    </row>
    <row r="253" spans="1:5" s="29" customFormat="1" ht="16.2" hidden="1" thickBot="1" x14ac:dyDescent="0.35">
      <c r="A253" s="71"/>
      <c r="B253" s="89"/>
      <c r="C253" s="18"/>
      <c r="D253" s="18"/>
      <c r="E253" s="18"/>
    </row>
    <row r="254" spans="1:5" s="29" customFormat="1" ht="16.2" hidden="1" thickBot="1" x14ac:dyDescent="0.35">
      <c r="A254" s="72"/>
      <c r="B254" s="90"/>
      <c r="C254" s="20"/>
      <c r="D254" s="19"/>
      <c r="E254" s="19"/>
    </row>
    <row r="255" spans="1:5" s="29" customFormat="1" ht="60" customHeight="1" thickBot="1" x14ac:dyDescent="0.35">
      <c r="A255" s="73" t="s">
        <v>50</v>
      </c>
      <c r="B255" s="108" t="s">
        <v>241</v>
      </c>
      <c r="C255" s="62">
        <v>9</v>
      </c>
      <c r="D255" s="17"/>
      <c r="E255" s="17"/>
    </row>
    <row r="256" spans="1:5" s="29" customFormat="1" ht="16.2" hidden="1" thickBot="1" x14ac:dyDescent="0.35">
      <c r="A256" s="71"/>
      <c r="B256" s="89"/>
      <c r="C256" s="30"/>
      <c r="D256" s="18"/>
      <c r="E256" s="18"/>
    </row>
    <row r="257" spans="1:5" s="29" customFormat="1" ht="16.2" hidden="1" thickBot="1" x14ac:dyDescent="0.35">
      <c r="A257" s="71"/>
      <c r="B257" s="89"/>
      <c r="C257" s="18"/>
      <c r="D257" s="18"/>
      <c r="E257" s="18"/>
    </row>
    <row r="258" spans="1:5" s="29" customFormat="1" ht="16.2" hidden="1" thickBot="1" x14ac:dyDescent="0.35">
      <c r="A258" s="71"/>
      <c r="B258" s="89"/>
      <c r="C258" s="18"/>
      <c r="D258" s="18"/>
      <c r="E258" s="18"/>
    </row>
    <row r="259" spans="1:5" s="29" customFormat="1" ht="16.2" hidden="1" thickBot="1" x14ac:dyDescent="0.35">
      <c r="A259" s="72"/>
      <c r="B259" s="90"/>
      <c r="C259" s="20"/>
      <c r="D259" s="19"/>
      <c r="E259" s="19"/>
    </row>
    <row r="260" spans="1:5" s="29" customFormat="1" ht="60" customHeight="1" thickBot="1" x14ac:dyDescent="0.35">
      <c r="A260" s="73" t="s">
        <v>51</v>
      </c>
      <c r="B260" s="108" t="s">
        <v>196</v>
      </c>
      <c r="C260" s="62">
        <v>6</v>
      </c>
      <c r="D260" s="17"/>
      <c r="E260" s="17"/>
    </row>
    <row r="261" spans="1:5" s="29" customFormat="1" ht="16.2" hidden="1" thickBot="1" x14ac:dyDescent="0.35">
      <c r="A261" s="71"/>
      <c r="B261" s="89"/>
      <c r="C261" s="30"/>
      <c r="D261" s="18"/>
      <c r="E261" s="18"/>
    </row>
    <row r="262" spans="1:5" s="29" customFormat="1" ht="16.2" hidden="1" thickBot="1" x14ac:dyDescent="0.35">
      <c r="A262" s="71"/>
      <c r="B262" s="89"/>
      <c r="C262" s="18"/>
      <c r="D262" s="18"/>
      <c r="E262" s="18"/>
    </row>
    <row r="263" spans="1:5" s="29" customFormat="1" ht="16.2" hidden="1" thickBot="1" x14ac:dyDescent="0.35">
      <c r="A263" s="71"/>
      <c r="B263" s="89"/>
      <c r="C263" s="18"/>
      <c r="D263" s="18"/>
      <c r="E263" s="18"/>
    </row>
    <row r="264" spans="1:5" s="29" customFormat="1" ht="16.2" hidden="1" thickBot="1" x14ac:dyDescent="0.35">
      <c r="A264" s="72"/>
      <c r="B264" s="90"/>
      <c r="C264" s="20"/>
      <c r="D264" s="19"/>
      <c r="E264" s="19"/>
    </row>
    <row r="265" spans="1:5" s="29" customFormat="1" ht="60" customHeight="1" thickBot="1" x14ac:dyDescent="0.35">
      <c r="A265" s="73" t="s">
        <v>52</v>
      </c>
      <c r="B265" s="108" t="s">
        <v>215</v>
      </c>
      <c r="C265" s="62">
        <v>11</v>
      </c>
      <c r="D265" s="17"/>
      <c r="E265" s="17"/>
    </row>
    <row r="266" spans="1:5" s="29" customFormat="1" ht="16.2" hidden="1" thickBot="1" x14ac:dyDescent="0.35">
      <c r="A266" s="71"/>
      <c r="B266" s="89"/>
      <c r="C266" s="30"/>
      <c r="D266" s="18"/>
      <c r="E266" s="18"/>
    </row>
    <row r="267" spans="1:5" s="29" customFormat="1" ht="16.2" hidden="1" thickBot="1" x14ac:dyDescent="0.35">
      <c r="A267" s="71"/>
      <c r="B267" s="89"/>
      <c r="C267" s="18"/>
      <c r="D267" s="18"/>
      <c r="E267" s="18"/>
    </row>
    <row r="268" spans="1:5" s="29" customFormat="1" ht="16.2" hidden="1" thickBot="1" x14ac:dyDescent="0.35">
      <c r="A268" s="71"/>
      <c r="B268" s="89"/>
      <c r="C268" s="18"/>
      <c r="D268" s="18"/>
      <c r="E268" s="18"/>
    </row>
    <row r="269" spans="1:5" s="29" customFormat="1" ht="16.2" hidden="1" thickBot="1" x14ac:dyDescent="0.35">
      <c r="A269" s="72"/>
      <c r="B269" s="90"/>
      <c r="C269" s="20"/>
      <c r="D269" s="19"/>
      <c r="E269" s="19"/>
    </row>
    <row r="270" spans="1:5" s="29" customFormat="1" ht="60" customHeight="1" thickBot="1" x14ac:dyDescent="0.35">
      <c r="A270" s="73" t="s">
        <v>53</v>
      </c>
      <c r="B270" s="108" t="s">
        <v>242</v>
      </c>
      <c r="C270" s="62">
        <v>8</v>
      </c>
      <c r="D270" s="17"/>
      <c r="E270" s="17"/>
    </row>
    <row r="271" spans="1:5" s="29" customFormat="1" ht="16.2" hidden="1" thickBot="1" x14ac:dyDescent="0.35">
      <c r="A271" s="71"/>
      <c r="B271" s="89"/>
      <c r="C271" s="30">
        <v>0</v>
      </c>
      <c r="D271" s="18"/>
      <c r="E271" s="18"/>
    </row>
    <row r="272" spans="1:5" s="29" customFormat="1" ht="16.2" hidden="1" thickBot="1" x14ac:dyDescent="0.35">
      <c r="A272" s="71"/>
      <c r="B272" s="89"/>
      <c r="C272" s="18">
        <f>C270-C271</f>
        <v>8</v>
      </c>
      <c r="D272" s="18"/>
      <c r="E272" s="18"/>
    </row>
    <row r="273" spans="1:5" s="29" customFormat="1" ht="16.2" hidden="1" thickBot="1" x14ac:dyDescent="0.35">
      <c r="A273" s="71"/>
      <c r="B273" s="89"/>
      <c r="C273" s="18"/>
      <c r="D273" s="18"/>
      <c r="E273" s="18"/>
    </row>
    <row r="274" spans="1:5" s="29" customFormat="1" ht="16.2" hidden="1" thickBot="1" x14ac:dyDescent="0.35">
      <c r="A274" s="72"/>
      <c r="B274" s="90"/>
      <c r="C274" s="20"/>
      <c r="D274" s="19"/>
      <c r="E274" s="19"/>
    </row>
    <row r="275" spans="1:5" s="29" customFormat="1" ht="60" customHeight="1" thickBot="1" x14ac:dyDescent="0.35">
      <c r="A275" s="73" t="s">
        <v>54</v>
      </c>
      <c r="B275" s="108" t="s">
        <v>243</v>
      </c>
      <c r="C275" s="62">
        <v>5</v>
      </c>
      <c r="D275" s="17"/>
      <c r="E275" s="17"/>
    </row>
    <row r="276" spans="1:5" s="29" customFormat="1" ht="16.2" hidden="1" thickBot="1" x14ac:dyDescent="0.35">
      <c r="A276" s="71"/>
      <c r="B276" s="89"/>
      <c r="C276" s="30"/>
      <c r="D276" s="18"/>
      <c r="E276" s="18"/>
    </row>
    <row r="277" spans="1:5" s="29" customFormat="1" ht="16.2" hidden="1" thickBot="1" x14ac:dyDescent="0.35">
      <c r="A277" s="71"/>
      <c r="B277" s="89"/>
      <c r="C277" s="18"/>
      <c r="D277" s="18"/>
      <c r="E277" s="18"/>
    </row>
    <row r="278" spans="1:5" s="29" customFormat="1" ht="16.2" hidden="1" thickBot="1" x14ac:dyDescent="0.35">
      <c r="A278" s="71"/>
      <c r="B278" s="89"/>
      <c r="C278" s="18"/>
      <c r="D278" s="18"/>
      <c r="E278" s="18"/>
    </row>
    <row r="279" spans="1:5" s="29" customFormat="1" ht="16.2" hidden="1" thickBot="1" x14ac:dyDescent="0.35">
      <c r="A279" s="72"/>
      <c r="B279" s="90"/>
      <c r="C279" s="20"/>
      <c r="D279" s="19"/>
      <c r="E279" s="19"/>
    </row>
    <row r="280" spans="1:5" s="29" customFormat="1" ht="60" customHeight="1" thickBot="1" x14ac:dyDescent="0.35">
      <c r="A280" s="73" t="s">
        <v>55</v>
      </c>
      <c r="B280" s="108" t="s">
        <v>244</v>
      </c>
      <c r="C280" s="62">
        <v>12</v>
      </c>
      <c r="D280" s="17"/>
      <c r="E280" s="17"/>
    </row>
    <row r="281" spans="1:5" s="29" customFormat="1" ht="16.2" hidden="1" thickBot="1" x14ac:dyDescent="0.35">
      <c r="A281" s="71"/>
      <c r="B281" s="92"/>
      <c r="C281" s="30"/>
      <c r="D281" s="18"/>
      <c r="E281" s="18">
        <f>E280</f>
        <v>0</v>
      </c>
    </row>
    <row r="282" spans="1:5" s="29" customFormat="1" ht="16.2" hidden="1" thickBot="1" x14ac:dyDescent="0.35">
      <c r="A282" s="71"/>
      <c r="B282" s="92"/>
      <c r="C282" s="18"/>
      <c r="D282" s="18"/>
      <c r="E282" s="18">
        <f>E280-E281</f>
        <v>0</v>
      </c>
    </row>
    <row r="283" spans="1:5" s="29" customFormat="1" ht="16.2" hidden="1" thickBot="1" x14ac:dyDescent="0.35">
      <c r="A283" s="71"/>
      <c r="B283" s="92"/>
      <c r="C283" s="18"/>
      <c r="D283" s="18"/>
      <c r="E283" s="18"/>
    </row>
    <row r="284" spans="1:5" s="29" customFormat="1" ht="16.2" hidden="1" thickBot="1" x14ac:dyDescent="0.35">
      <c r="A284" s="72"/>
      <c r="B284" s="93"/>
      <c r="C284" s="20"/>
      <c r="D284" s="19"/>
      <c r="E284" s="19"/>
    </row>
    <row r="285" spans="1:5" s="29" customFormat="1" ht="60" customHeight="1" thickBot="1" x14ac:dyDescent="0.35">
      <c r="A285" s="73" t="s">
        <v>56</v>
      </c>
      <c r="B285" s="108" t="s">
        <v>245</v>
      </c>
      <c r="C285" s="62">
        <v>10</v>
      </c>
      <c r="D285" s="17"/>
      <c r="E285" s="17"/>
    </row>
    <row r="286" spans="1:5" s="29" customFormat="1" ht="16.2" hidden="1" thickBot="1" x14ac:dyDescent="0.35">
      <c r="A286" s="71"/>
      <c r="B286" s="89"/>
      <c r="C286" s="30"/>
      <c r="D286" s="18"/>
      <c r="E286" s="18">
        <f>E285</f>
        <v>0</v>
      </c>
    </row>
    <row r="287" spans="1:5" s="29" customFormat="1" ht="16.2" hidden="1" thickBot="1" x14ac:dyDescent="0.35">
      <c r="A287" s="71"/>
      <c r="B287" s="89"/>
      <c r="C287" s="18"/>
      <c r="D287" s="18"/>
      <c r="E287" s="18">
        <f>E285-E286</f>
        <v>0</v>
      </c>
    </row>
    <row r="288" spans="1:5" s="29" customFormat="1" ht="16.2" hidden="1" thickBot="1" x14ac:dyDescent="0.35">
      <c r="A288" s="71"/>
      <c r="B288" s="89"/>
      <c r="C288" s="18"/>
      <c r="D288" s="18"/>
      <c r="E288" s="18"/>
    </row>
    <row r="289" spans="1:5" s="29" customFormat="1" ht="16.2" hidden="1" thickBot="1" x14ac:dyDescent="0.35">
      <c r="A289" s="72"/>
      <c r="B289" s="90"/>
      <c r="C289" s="19"/>
      <c r="D289" s="19"/>
      <c r="E289" s="19"/>
    </row>
    <row r="290" spans="1:5" s="29" customFormat="1" ht="60" hidden="1" customHeight="1" thickBot="1" x14ac:dyDescent="0.35">
      <c r="A290" s="70" t="s">
        <v>57</v>
      </c>
      <c r="B290" s="108" t="s">
        <v>218</v>
      </c>
      <c r="C290" s="42">
        <v>57.3</v>
      </c>
      <c r="D290" s="17"/>
      <c r="E290" s="17"/>
    </row>
    <row r="291" spans="1:5" s="29" customFormat="1" ht="16.2" hidden="1" thickBot="1" x14ac:dyDescent="0.35">
      <c r="A291" s="71"/>
      <c r="B291" s="89"/>
      <c r="C291" s="18"/>
      <c r="D291" s="18"/>
      <c r="E291" s="18">
        <f>E290</f>
        <v>0</v>
      </c>
    </row>
    <row r="292" spans="1:5" s="29" customFormat="1" ht="16.2" hidden="1" thickBot="1" x14ac:dyDescent="0.35">
      <c r="A292" s="71"/>
      <c r="B292" s="89"/>
      <c r="C292" s="18"/>
      <c r="D292" s="18"/>
      <c r="E292" s="18">
        <f>E290-E291</f>
        <v>0</v>
      </c>
    </row>
    <row r="293" spans="1:5" s="29" customFormat="1" ht="16.2" hidden="1" thickBot="1" x14ac:dyDescent="0.35">
      <c r="A293" s="71"/>
      <c r="B293" s="89"/>
      <c r="C293" s="18"/>
      <c r="D293" s="18"/>
      <c r="E293" s="18"/>
    </row>
    <row r="294" spans="1:5" s="29" customFormat="1" ht="16.2" hidden="1" thickBot="1" x14ac:dyDescent="0.35">
      <c r="A294" s="72"/>
      <c r="B294" s="90"/>
      <c r="C294" s="19"/>
      <c r="D294" s="19"/>
      <c r="E294" s="19"/>
    </row>
    <row r="295" spans="1:5" s="29" customFormat="1" ht="16.2" hidden="1" thickBot="1" x14ac:dyDescent="0.35">
      <c r="A295" s="74" t="s">
        <v>58</v>
      </c>
      <c r="B295" s="88" t="s">
        <v>196</v>
      </c>
      <c r="C295" s="17">
        <f>(0.5+0.3)*2*3.9</f>
        <v>6.24</v>
      </c>
      <c r="D295" s="17"/>
      <c r="E295" s="17"/>
    </row>
    <row r="296" spans="1:5" s="29" customFormat="1" ht="16.2" hidden="1" thickBot="1" x14ac:dyDescent="0.35">
      <c r="A296" s="71"/>
      <c r="B296" s="89"/>
      <c r="C296" s="18">
        <f>C295</f>
        <v>6.24</v>
      </c>
      <c r="D296" s="18"/>
      <c r="E296" s="18"/>
    </row>
    <row r="297" spans="1:5" s="29" customFormat="1" ht="16.2" hidden="1" thickBot="1" x14ac:dyDescent="0.35">
      <c r="A297" s="71"/>
      <c r="B297" s="89"/>
      <c r="C297" s="18">
        <f>C295-C296</f>
        <v>0</v>
      </c>
      <c r="D297" s="18"/>
      <c r="E297" s="18"/>
    </row>
    <row r="298" spans="1:5" s="29" customFormat="1" ht="16.2" hidden="1" thickBot="1" x14ac:dyDescent="0.35">
      <c r="A298" s="71"/>
      <c r="B298" s="89"/>
      <c r="C298" s="18"/>
      <c r="D298" s="18"/>
      <c r="E298" s="18"/>
    </row>
    <row r="299" spans="1:5" s="29" customFormat="1" ht="16.2" hidden="1" thickBot="1" x14ac:dyDescent="0.35">
      <c r="A299" s="71"/>
      <c r="B299" s="89"/>
      <c r="C299" s="20"/>
      <c r="D299" s="20"/>
      <c r="E299" s="20"/>
    </row>
    <row r="300" spans="1:5" s="29" customFormat="1" ht="16.2" hidden="1" thickBot="1" x14ac:dyDescent="0.35">
      <c r="A300" s="74" t="s">
        <v>59</v>
      </c>
      <c r="B300" s="88" t="s">
        <v>246</v>
      </c>
      <c r="C300" s="17">
        <v>26.7</v>
      </c>
      <c r="D300" s="17"/>
      <c r="E300" s="17"/>
    </row>
    <row r="301" spans="1:5" s="29" customFormat="1" ht="16.2" hidden="1" thickBot="1" x14ac:dyDescent="0.35">
      <c r="A301" s="71"/>
      <c r="B301" s="89"/>
      <c r="C301" s="18">
        <f>C300</f>
        <v>26.7</v>
      </c>
      <c r="D301" s="18"/>
      <c r="E301" s="18"/>
    </row>
    <row r="302" spans="1:5" s="29" customFormat="1" ht="16.2" hidden="1" thickBot="1" x14ac:dyDescent="0.35">
      <c r="A302" s="71"/>
      <c r="B302" s="89"/>
      <c r="C302" s="18">
        <f>C300-C301</f>
        <v>0</v>
      </c>
      <c r="D302" s="18"/>
      <c r="E302" s="18"/>
    </row>
    <row r="303" spans="1:5" s="29" customFormat="1" ht="16.2" hidden="1" thickBot="1" x14ac:dyDescent="0.35">
      <c r="A303" s="71"/>
      <c r="B303" s="89"/>
      <c r="C303" s="18"/>
      <c r="D303" s="18"/>
      <c r="E303" s="18"/>
    </row>
    <row r="304" spans="1:5" s="29" customFormat="1" ht="16.2" hidden="1" thickBot="1" x14ac:dyDescent="0.35">
      <c r="A304" s="72"/>
      <c r="B304" s="90"/>
      <c r="C304" s="19"/>
      <c r="D304" s="19"/>
      <c r="E304" s="19"/>
    </row>
    <row r="305" spans="1:5" s="29" customFormat="1" ht="16.2" hidden="1" thickBot="1" x14ac:dyDescent="0.35">
      <c r="A305" s="71" t="s">
        <v>60</v>
      </c>
      <c r="B305" s="89" t="s">
        <v>247</v>
      </c>
      <c r="C305" s="30">
        <v>4.68</v>
      </c>
      <c r="D305" s="30"/>
      <c r="E305" s="30"/>
    </row>
    <row r="306" spans="1:5" s="29" customFormat="1" ht="16.2" hidden="1" thickBot="1" x14ac:dyDescent="0.35">
      <c r="A306" s="71"/>
      <c r="B306" s="89"/>
      <c r="C306" s="18">
        <f>C305</f>
        <v>4.68</v>
      </c>
      <c r="D306" s="18"/>
      <c r="E306" s="18"/>
    </row>
    <row r="307" spans="1:5" s="29" customFormat="1" ht="16.2" hidden="1" thickBot="1" x14ac:dyDescent="0.35">
      <c r="A307" s="71"/>
      <c r="B307" s="89"/>
      <c r="C307" s="18">
        <f>C305-C306</f>
        <v>0</v>
      </c>
      <c r="D307" s="18"/>
      <c r="E307" s="18"/>
    </row>
    <row r="308" spans="1:5" s="29" customFormat="1" ht="16.2" hidden="1" thickBot="1" x14ac:dyDescent="0.35">
      <c r="A308" s="71"/>
      <c r="B308" s="89"/>
      <c r="C308" s="18"/>
      <c r="D308" s="18"/>
      <c r="E308" s="18"/>
    </row>
    <row r="309" spans="1:5" s="29" customFormat="1" ht="16.2" hidden="1" thickBot="1" x14ac:dyDescent="0.35">
      <c r="A309" s="72"/>
      <c r="B309" s="90"/>
      <c r="C309" s="19"/>
      <c r="D309" s="19"/>
      <c r="E309" s="19"/>
    </row>
    <row r="310" spans="1:5" s="29" customFormat="1" ht="16.2" hidden="1" thickBot="1" x14ac:dyDescent="0.35">
      <c r="A310" s="74" t="s">
        <v>61</v>
      </c>
      <c r="B310" s="91" t="s">
        <v>248</v>
      </c>
      <c r="C310" s="17"/>
      <c r="D310" s="17"/>
      <c r="E310" s="17"/>
    </row>
    <row r="311" spans="1:5" s="29" customFormat="1" ht="16.2" hidden="1" thickBot="1" x14ac:dyDescent="0.35">
      <c r="A311" s="71"/>
      <c r="B311" s="92"/>
      <c r="C311" s="18"/>
      <c r="D311" s="18"/>
      <c r="E311" s="18"/>
    </row>
    <row r="312" spans="1:5" s="29" customFormat="1" ht="16.2" hidden="1" thickBot="1" x14ac:dyDescent="0.35">
      <c r="A312" s="71"/>
      <c r="B312" s="92"/>
      <c r="C312" s="18"/>
      <c r="D312" s="18"/>
      <c r="E312" s="18"/>
    </row>
    <row r="313" spans="1:5" s="29" customFormat="1" ht="16.2" hidden="1" thickBot="1" x14ac:dyDescent="0.35">
      <c r="A313" s="71"/>
      <c r="B313" s="92"/>
      <c r="C313" s="18"/>
      <c r="D313" s="18"/>
      <c r="E313" s="18"/>
    </row>
    <row r="314" spans="1:5" s="29" customFormat="1" ht="16.2" hidden="1" thickBot="1" x14ac:dyDescent="0.35">
      <c r="A314" s="72"/>
      <c r="B314" s="93"/>
      <c r="C314" s="19"/>
      <c r="D314" s="19"/>
      <c r="E314" s="19"/>
    </row>
    <row r="315" spans="1:5" s="29" customFormat="1" ht="16.2" hidden="1" thickBot="1" x14ac:dyDescent="0.35">
      <c r="A315" s="74" t="s">
        <v>62</v>
      </c>
      <c r="B315" s="91" t="s">
        <v>196</v>
      </c>
      <c r="C315" s="17"/>
      <c r="D315" s="17"/>
      <c r="E315" s="17"/>
    </row>
    <row r="316" spans="1:5" s="29" customFormat="1" ht="16.2" hidden="1" thickBot="1" x14ac:dyDescent="0.35">
      <c r="A316" s="71"/>
      <c r="B316" s="92"/>
      <c r="C316" s="18"/>
      <c r="D316" s="18"/>
      <c r="E316" s="18"/>
    </row>
    <row r="317" spans="1:5" s="29" customFormat="1" ht="16.2" hidden="1" thickBot="1" x14ac:dyDescent="0.35">
      <c r="A317" s="71"/>
      <c r="B317" s="92"/>
      <c r="C317" s="18"/>
      <c r="D317" s="18"/>
      <c r="E317" s="18"/>
    </row>
    <row r="318" spans="1:5" s="29" customFormat="1" ht="16.2" hidden="1" thickBot="1" x14ac:dyDescent="0.35">
      <c r="A318" s="71"/>
      <c r="B318" s="92"/>
      <c r="C318" s="18"/>
      <c r="D318" s="18"/>
      <c r="E318" s="18"/>
    </row>
    <row r="319" spans="1:5" s="29" customFormat="1" ht="16.2" hidden="1" thickBot="1" x14ac:dyDescent="0.35">
      <c r="A319" s="72"/>
      <c r="B319" s="93"/>
      <c r="C319" s="19"/>
      <c r="D319" s="19"/>
      <c r="E319" s="19"/>
    </row>
    <row r="320" spans="1:5" s="29" customFormat="1" ht="16.2" hidden="1" thickBot="1" x14ac:dyDescent="0.35">
      <c r="A320" s="74" t="s">
        <v>63</v>
      </c>
      <c r="B320" s="88" t="s">
        <v>249</v>
      </c>
      <c r="C320" s="17"/>
      <c r="D320" s="17"/>
      <c r="E320" s="17"/>
    </row>
    <row r="321" spans="1:5" s="29" customFormat="1" ht="16.2" hidden="1" thickBot="1" x14ac:dyDescent="0.35">
      <c r="A321" s="71"/>
      <c r="B321" s="89"/>
      <c r="C321" s="18"/>
      <c r="D321" s="18"/>
      <c r="E321" s="18"/>
    </row>
    <row r="322" spans="1:5" s="29" customFormat="1" ht="16.2" hidden="1" thickBot="1" x14ac:dyDescent="0.35">
      <c r="A322" s="71"/>
      <c r="B322" s="89"/>
      <c r="C322" s="18"/>
      <c r="D322" s="18"/>
      <c r="E322" s="18"/>
    </row>
    <row r="323" spans="1:5" s="29" customFormat="1" ht="16.2" hidden="1" thickBot="1" x14ac:dyDescent="0.35">
      <c r="A323" s="71"/>
      <c r="B323" s="89"/>
      <c r="C323" s="18"/>
      <c r="D323" s="18"/>
      <c r="E323" s="18"/>
    </row>
    <row r="324" spans="1:5" s="29" customFormat="1" ht="16.2" hidden="1" thickBot="1" x14ac:dyDescent="0.35">
      <c r="A324" s="72"/>
      <c r="B324" s="90"/>
      <c r="C324" s="19"/>
      <c r="D324" s="19"/>
      <c r="E324" s="19"/>
    </row>
    <row r="325" spans="1:5" s="29" customFormat="1" ht="16.2" hidden="1" thickBot="1" x14ac:dyDescent="0.35">
      <c r="A325" s="74" t="s">
        <v>64</v>
      </c>
      <c r="B325" s="88" t="s">
        <v>250</v>
      </c>
      <c r="C325" s="17"/>
      <c r="D325" s="17"/>
      <c r="E325" s="17"/>
    </row>
    <row r="326" spans="1:5" s="29" customFormat="1" ht="16.2" hidden="1" thickBot="1" x14ac:dyDescent="0.35">
      <c r="A326" s="71"/>
      <c r="B326" s="89"/>
      <c r="C326" s="18"/>
      <c r="D326" s="18"/>
      <c r="E326" s="18"/>
    </row>
    <row r="327" spans="1:5" s="29" customFormat="1" ht="16.2" hidden="1" thickBot="1" x14ac:dyDescent="0.35">
      <c r="A327" s="71"/>
      <c r="B327" s="89"/>
      <c r="C327" s="18"/>
      <c r="D327" s="18"/>
      <c r="E327" s="18"/>
    </row>
    <row r="328" spans="1:5" s="29" customFormat="1" ht="16.2" hidden="1" thickBot="1" x14ac:dyDescent="0.35">
      <c r="A328" s="71"/>
      <c r="B328" s="89"/>
      <c r="C328" s="18"/>
      <c r="D328" s="18"/>
      <c r="E328" s="18"/>
    </row>
    <row r="329" spans="1:5" s="29" customFormat="1" ht="16.2" hidden="1" thickBot="1" x14ac:dyDescent="0.35">
      <c r="A329" s="72"/>
      <c r="B329" s="90"/>
      <c r="C329" s="19"/>
      <c r="D329" s="19"/>
      <c r="E329" s="19"/>
    </row>
    <row r="330" spans="1:5" s="29" customFormat="1" ht="16.2" hidden="1" thickBot="1" x14ac:dyDescent="0.35">
      <c r="A330" s="74" t="s">
        <v>65</v>
      </c>
      <c r="B330" s="88" t="s">
        <v>251</v>
      </c>
      <c r="C330" s="17"/>
      <c r="D330" s="17"/>
      <c r="E330" s="17"/>
    </row>
    <row r="331" spans="1:5" s="29" customFormat="1" ht="16.2" hidden="1" thickBot="1" x14ac:dyDescent="0.35">
      <c r="A331" s="71"/>
      <c r="B331" s="89"/>
      <c r="C331" s="18"/>
      <c r="D331" s="18"/>
      <c r="E331" s="18"/>
    </row>
    <row r="332" spans="1:5" s="29" customFormat="1" ht="16.2" hidden="1" thickBot="1" x14ac:dyDescent="0.35">
      <c r="A332" s="71"/>
      <c r="B332" s="89"/>
      <c r="C332" s="18"/>
      <c r="D332" s="18"/>
      <c r="E332" s="18"/>
    </row>
    <row r="333" spans="1:5" s="29" customFormat="1" ht="16.2" hidden="1" thickBot="1" x14ac:dyDescent="0.35">
      <c r="A333" s="71"/>
      <c r="B333" s="89"/>
      <c r="C333" s="18"/>
      <c r="D333" s="18"/>
      <c r="E333" s="18"/>
    </row>
    <row r="334" spans="1:5" s="29" customFormat="1" ht="16.2" hidden="1" thickBot="1" x14ac:dyDescent="0.35">
      <c r="A334" s="72"/>
      <c r="B334" s="90"/>
      <c r="C334" s="19"/>
      <c r="D334" s="19"/>
      <c r="E334" s="19"/>
    </row>
    <row r="335" spans="1:5" s="29" customFormat="1" ht="16.2" hidden="1" thickBot="1" x14ac:dyDescent="0.35">
      <c r="A335" s="74" t="s">
        <v>66</v>
      </c>
      <c r="B335" s="88" t="s">
        <v>252</v>
      </c>
      <c r="C335" s="17"/>
      <c r="D335" s="17"/>
      <c r="E335" s="17"/>
    </row>
    <row r="336" spans="1:5" s="29" customFormat="1" ht="16.2" hidden="1" thickBot="1" x14ac:dyDescent="0.35">
      <c r="A336" s="71"/>
      <c r="B336" s="89"/>
      <c r="C336" s="18"/>
      <c r="D336" s="18"/>
      <c r="E336" s="18"/>
    </row>
    <row r="337" spans="1:5" s="29" customFormat="1" ht="16.2" hidden="1" thickBot="1" x14ac:dyDescent="0.35">
      <c r="A337" s="71"/>
      <c r="B337" s="89"/>
      <c r="C337" s="18"/>
      <c r="D337" s="18"/>
      <c r="E337" s="18"/>
    </row>
    <row r="338" spans="1:5" s="29" customFormat="1" ht="16.2" hidden="1" thickBot="1" x14ac:dyDescent="0.35">
      <c r="A338" s="71"/>
      <c r="B338" s="89"/>
      <c r="C338" s="18"/>
      <c r="D338" s="18"/>
      <c r="E338" s="18"/>
    </row>
    <row r="339" spans="1:5" s="29" customFormat="1" ht="16.2" hidden="1" thickBot="1" x14ac:dyDescent="0.35">
      <c r="A339" s="72"/>
      <c r="B339" s="90"/>
      <c r="C339" s="19"/>
      <c r="D339" s="19"/>
      <c r="E339" s="19"/>
    </row>
    <row r="340" spans="1:5" s="29" customFormat="1" ht="16.2" hidden="1" thickBot="1" x14ac:dyDescent="0.35">
      <c r="A340" s="74" t="s">
        <v>67</v>
      </c>
      <c r="B340" s="88" t="s">
        <v>253</v>
      </c>
      <c r="C340" s="17"/>
      <c r="D340" s="17"/>
      <c r="E340" s="17"/>
    </row>
    <row r="341" spans="1:5" s="29" customFormat="1" ht="16.2" hidden="1" thickBot="1" x14ac:dyDescent="0.35">
      <c r="A341" s="71"/>
      <c r="B341" s="89"/>
      <c r="C341" s="18"/>
      <c r="D341" s="18"/>
      <c r="E341" s="18"/>
    </row>
    <row r="342" spans="1:5" s="29" customFormat="1" ht="16.2" hidden="1" thickBot="1" x14ac:dyDescent="0.35">
      <c r="A342" s="71"/>
      <c r="B342" s="89"/>
      <c r="C342" s="18"/>
      <c r="D342" s="18"/>
      <c r="E342" s="18"/>
    </row>
    <row r="343" spans="1:5" s="29" customFormat="1" ht="16.2" hidden="1" thickBot="1" x14ac:dyDescent="0.35">
      <c r="A343" s="71"/>
      <c r="B343" s="89"/>
      <c r="C343" s="18"/>
      <c r="D343" s="18"/>
      <c r="E343" s="18"/>
    </row>
    <row r="344" spans="1:5" s="29" customFormat="1" ht="16.2" hidden="1" thickBot="1" x14ac:dyDescent="0.35">
      <c r="A344" s="72"/>
      <c r="B344" s="90"/>
      <c r="C344" s="19"/>
      <c r="D344" s="19"/>
      <c r="E344" s="19"/>
    </row>
    <row r="345" spans="1:5" s="29" customFormat="1" ht="16.2" hidden="1" thickBot="1" x14ac:dyDescent="0.35">
      <c r="A345" s="74" t="s">
        <v>68</v>
      </c>
      <c r="B345" s="88" t="s">
        <v>249</v>
      </c>
      <c r="C345" s="17"/>
      <c r="D345" s="17"/>
      <c r="E345" s="17"/>
    </row>
    <row r="346" spans="1:5" s="29" customFormat="1" ht="16.2" hidden="1" thickBot="1" x14ac:dyDescent="0.35">
      <c r="A346" s="71"/>
      <c r="B346" s="89"/>
      <c r="C346" s="18"/>
      <c r="D346" s="18"/>
      <c r="E346" s="18"/>
    </row>
    <row r="347" spans="1:5" s="29" customFormat="1" ht="16.2" hidden="1" thickBot="1" x14ac:dyDescent="0.35">
      <c r="A347" s="71"/>
      <c r="B347" s="89"/>
      <c r="C347" s="18"/>
      <c r="D347" s="18"/>
      <c r="E347" s="18"/>
    </row>
    <row r="348" spans="1:5" s="29" customFormat="1" ht="16.2" hidden="1" thickBot="1" x14ac:dyDescent="0.35">
      <c r="A348" s="71"/>
      <c r="B348" s="89"/>
      <c r="C348" s="18"/>
      <c r="D348" s="18"/>
      <c r="E348" s="18"/>
    </row>
    <row r="349" spans="1:5" s="29" customFormat="1" ht="16.2" hidden="1" thickBot="1" x14ac:dyDescent="0.35">
      <c r="A349" s="72"/>
      <c r="B349" s="90"/>
      <c r="C349" s="19"/>
      <c r="D349" s="19"/>
      <c r="E349" s="19"/>
    </row>
    <row r="350" spans="1:5" s="29" customFormat="1" ht="16.2" hidden="1" thickBot="1" x14ac:dyDescent="0.35">
      <c r="A350" s="74" t="s">
        <v>69</v>
      </c>
      <c r="B350" s="88" t="s">
        <v>196</v>
      </c>
      <c r="C350" s="17"/>
      <c r="D350" s="17"/>
      <c r="E350" s="17"/>
    </row>
    <row r="351" spans="1:5" s="29" customFormat="1" ht="16.2" hidden="1" thickBot="1" x14ac:dyDescent="0.35">
      <c r="A351" s="71"/>
      <c r="B351" s="89"/>
      <c r="C351" s="18"/>
      <c r="D351" s="18"/>
      <c r="E351" s="18"/>
    </row>
    <row r="352" spans="1:5" s="29" customFormat="1" ht="16.2" hidden="1" thickBot="1" x14ac:dyDescent="0.35">
      <c r="A352" s="71"/>
      <c r="B352" s="89"/>
      <c r="C352" s="18"/>
      <c r="D352" s="18"/>
      <c r="E352" s="18"/>
    </row>
    <row r="353" spans="1:5" s="29" customFormat="1" ht="16.2" hidden="1" thickBot="1" x14ac:dyDescent="0.35">
      <c r="A353" s="71"/>
      <c r="B353" s="89"/>
      <c r="C353" s="18"/>
      <c r="D353" s="18"/>
      <c r="E353" s="18"/>
    </row>
    <row r="354" spans="1:5" s="29" customFormat="1" ht="16.2" hidden="1" thickBot="1" x14ac:dyDescent="0.35">
      <c r="A354" s="72"/>
      <c r="B354" s="90"/>
      <c r="C354" s="19"/>
      <c r="D354" s="19"/>
      <c r="E354" s="19"/>
    </row>
    <row r="355" spans="1:5" s="29" customFormat="1" ht="16.2" hidden="1" thickBot="1" x14ac:dyDescent="0.35">
      <c r="A355" s="74" t="s">
        <v>70</v>
      </c>
      <c r="B355" s="88" t="s">
        <v>250</v>
      </c>
      <c r="C355" s="17"/>
      <c r="D355" s="17"/>
      <c r="E355" s="17"/>
    </row>
    <row r="356" spans="1:5" s="29" customFormat="1" ht="16.2" hidden="1" thickBot="1" x14ac:dyDescent="0.35">
      <c r="A356" s="71"/>
      <c r="B356" s="89"/>
      <c r="C356" s="18"/>
      <c r="D356" s="18"/>
      <c r="E356" s="18"/>
    </row>
    <row r="357" spans="1:5" s="29" customFormat="1" ht="16.2" hidden="1" thickBot="1" x14ac:dyDescent="0.35">
      <c r="A357" s="71"/>
      <c r="B357" s="89"/>
      <c r="C357" s="18"/>
      <c r="D357" s="18"/>
      <c r="E357" s="18"/>
    </row>
    <row r="358" spans="1:5" s="29" customFormat="1" ht="16.2" hidden="1" thickBot="1" x14ac:dyDescent="0.35">
      <c r="A358" s="71"/>
      <c r="B358" s="89"/>
      <c r="C358" s="18"/>
      <c r="D358" s="18"/>
      <c r="E358" s="18"/>
    </row>
    <row r="359" spans="1:5" s="29" customFormat="1" ht="16.2" hidden="1" thickBot="1" x14ac:dyDescent="0.35">
      <c r="A359" s="72"/>
      <c r="B359" s="90"/>
      <c r="C359" s="19"/>
      <c r="D359" s="19"/>
      <c r="E359" s="19"/>
    </row>
    <row r="360" spans="1:5" s="29" customFormat="1" ht="16.2" hidden="1" thickBot="1" x14ac:dyDescent="0.35">
      <c r="A360" s="74" t="s">
        <v>71</v>
      </c>
      <c r="B360" s="88" t="s">
        <v>251</v>
      </c>
      <c r="C360" s="17"/>
      <c r="D360" s="17"/>
      <c r="E360" s="17"/>
    </row>
    <row r="361" spans="1:5" s="29" customFormat="1" ht="16.2" hidden="1" thickBot="1" x14ac:dyDescent="0.35">
      <c r="A361" s="71"/>
      <c r="B361" s="89"/>
      <c r="C361" s="18"/>
      <c r="D361" s="18"/>
      <c r="E361" s="18"/>
    </row>
    <row r="362" spans="1:5" s="29" customFormat="1" ht="16.2" hidden="1" thickBot="1" x14ac:dyDescent="0.35">
      <c r="A362" s="71"/>
      <c r="B362" s="89"/>
      <c r="C362" s="18"/>
      <c r="D362" s="18"/>
      <c r="E362" s="18"/>
    </row>
    <row r="363" spans="1:5" s="29" customFormat="1" ht="16.2" hidden="1" thickBot="1" x14ac:dyDescent="0.35">
      <c r="A363" s="71"/>
      <c r="B363" s="89"/>
      <c r="C363" s="18"/>
      <c r="D363" s="18"/>
      <c r="E363" s="18"/>
    </row>
    <row r="364" spans="1:5" s="29" customFormat="1" ht="16.2" hidden="1" thickBot="1" x14ac:dyDescent="0.35">
      <c r="A364" s="72"/>
      <c r="B364" s="90"/>
      <c r="C364" s="19"/>
      <c r="D364" s="19"/>
      <c r="E364" s="19"/>
    </row>
    <row r="365" spans="1:5" s="29" customFormat="1" ht="16.2" hidden="1" thickBot="1" x14ac:dyDescent="0.35">
      <c r="A365" s="74" t="s">
        <v>72</v>
      </c>
      <c r="B365" s="88" t="s">
        <v>254</v>
      </c>
      <c r="C365" s="17"/>
      <c r="D365" s="17"/>
      <c r="E365" s="17"/>
    </row>
    <row r="366" spans="1:5" s="29" customFormat="1" ht="16.2" hidden="1" thickBot="1" x14ac:dyDescent="0.35">
      <c r="A366" s="71"/>
      <c r="B366" s="89"/>
      <c r="C366" s="18"/>
      <c r="D366" s="18"/>
      <c r="E366" s="18"/>
    </row>
    <row r="367" spans="1:5" s="29" customFormat="1" ht="16.2" hidden="1" thickBot="1" x14ac:dyDescent="0.35">
      <c r="A367" s="71"/>
      <c r="B367" s="89"/>
      <c r="C367" s="18"/>
      <c r="D367" s="18"/>
      <c r="E367" s="18"/>
    </row>
    <row r="368" spans="1:5" s="29" customFormat="1" ht="16.2" hidden="1" thickBot="1" x14ac:dyDescent="0.35">
      <c r="A368" s="71"/>
      <c r="B368" s="89"/>
      <c r="C368" s="18"/>
      <c r="D368" s="18"/>
      <c r="E368" s="18"/>
    </row>
    <row r="369" spans="1:5" s="29" customFormat="1" ht="16.2" hidden="1" thickBot="1" x14ac:dyDescent="0.35">
      <c r="A369" s="72"/>
      <c r="B369" s="90"/>
      <c r="C369" s="19"/>
      <c r="D369" s="19"/>
      <c r="E369" s="19"/>
    </row>
    <row r="370" spans="1:5" s="29" customFormat="1" ht="16.2" hidden="1" thickBot="1" x14ac:dyDescent="0.35">
      <c r="A370" s="74" t="s">
        <v>73</v>
      </c>
      <c r="B370" s="88" t="s">
        <v>253</v>
      </c>
      <c r="C370" s="17"/>
      <c r="D370" s="17"/>
      <c r="E370" s="17"/>
    </row>
    <row r="371" spans="1:5" s="29" customFormat="1" ht="16.2" hidden="1" thickBot="1" x14ac:dyDescent="0.35">
      <c r="A371" s="71"/>
      <c r="B371" s="89"/>
      <c r="C371" s="18"/>
      <c r="D371" s="18"/>
      <c r="E371" s="18"/>
    </row>
    <row r="372" spans="1:5" s="29" customFormat="1" ht="16.2" hidden="1" thickBot="1" x14ac:dyDescent="0.35">
      <c r="A372" s="71"/>
      <c r="B372" s="89"/>
      <c r="C372" s="18"/>
      <c r="D372" s="18"/>
      <c r="E372" s="18"/>
    </row>
    <row r="373" spans="1:5" s="29" customFormat="1" ht="16.2" hidden="1" thickBot="1" x14ac:dyDescent="0.35">
      <c r="A373" s="71"/>
      <c r="B373" s="89"/>
      <c r="C373" s="18"/>
      <c r="D373" s="18"/>
      <c r="E373" s="18"/>
    </row>
    <row r="374" spans="1:5" s="29" customFormat="1" ht="16.2" hidden="1" thickBot="1" x14ac:dyDescent="0.35">
      <c r="A374" s="72"/>
      <c r="B374" s="90"/>
      <c r="C374" s="19"/>
      <c r="D374" s="19"/>
      <c r="E374" s="19"/>
    </row>
    <row r="375" spans="1:5" s="29" customFormat="1" ht="16.2" hidden="1" thickBot="1" x14ac:dyDescent="0.35">
      <c r="A375" s="74" t="s">
        <v>74</v>
      </c>
      <c r="B375" s="88" t="s">
        <v>215</v>
      </c>
      <c r="C375" s="17"/>
      <c r="D375" s="17"/>
      <c r="E375" s="17"/>
    </row>
    <row r="376" spans="1:5" s="29" customFormat="1" ht="16.2" hidden="1" thickBot="1" x14ac:dyDescent="0.35">
      <c r="A376" s="71"/>
      <c r="B376" s="89"/>
      <c r="C376" s="18"/>
      <c r="D376" s="18"/>
      <c r="E376" s="18"/>
    </row>
    <row r="377" spans="1:5" s="29" customFormat="1" ht="16.2" hidden="1" thickBot="1" x14ac:dyDescent="0.35">
      <c r="A377" s="71"/>
      <c r="B377" s="89"/>
      <c r="C377" s="18"/>
      <c r="D377" s="18"/>
      <c r="E377" s="18"/>
    </row>
    <row r="378" spans="1:5" s="29" customFormat="1" ht="16.2" hidden="1" thickBot="1" x14ac:dyDescent="0.35">
      <c r="A378" s="71"/>
      <c r="B378" s="89"/>
      <c r="C378" s="18"/>
      <c r="D378" s="18"/>
      <c r="E378" s="18"/>
    </row>
    <row r="379" spans="1:5" s="29" customFormat="1" ht="16.2" hidden="1" thickBot="1" x14ac:dyDescent="0.35">
      <c r="A379" s="72"/>
      <c r="B379" s="90"/>
      <c r="C379" s="19"/>
      <c r="D379" s="19"/>
      <c r="E379" s="19"/>
    </row>
    <row r="380" spans="1:5" s="29" customFormat="1" ht="16.2" hidden="1" thickBot="1" x14ac:dyDescent="0.35">
      <c r="A380" s="74" t="s">
        <v>75</v>
      </c>
      <c r="B380" s="88" t="s">
        <v>255</v>
      </c>
      <c r="C380" s="17"/>
      <c r="D380" s="17"/>
      <c r="E380" s="17"/>
    </row>
    <row r="381" spans="1:5" s="29" customFormat="1" ht="16.2" hidden="1" thickBot="1" x14ac:dyDescent="0.35">
      <c r="A381" s="71"/>
      <c r="B381" s="89"/>
      <c r="C381" s="18"/>
      <c r="D381" s="18"/>
      <c r="E381" s="18"/>
    </row>
    <row r="382" spans="1:5" s="29" customFormat="1" ht="16.2" hidden="1" thickBot="1" x14ac:dyDescent="0.35">
      <c r="A382" s="71"/>
      <c r="B382" s="89"/>
      <c r="C382" s="18"/>
      <c r="D382" s="18"/>
      <c r="E382" s="18"/>
    </row>
    <row r="383" spans="1:5" s="29" customFormat="1" ht="16.2" hidden="1" thickBot="1" x14ac:dyDescent="0.35">
      <c r="A383" s="71"/>
      <c r="B383" s="89"/>
      <c r="C383" s="18"/>
      <c r="D383" s="18"/>
      <c r="E383" s="18"/>
    </row>
    <row r="384" spans="1:5" s="29" customFormat="1" ht="16.2" hidden="1" thickBot="1" x14ac:dyDescent="0.35">
      <c r="A384" s="72"/>
      <c r="B384" s="90"/>
      <c r="C384" s="19"/>
      <c r="D384" s="19"/>
      <c r="E384" s="19"/>
    </row>
    <row r="385" spans="1:5" s="29" customFormat="1" ht="25.8" hidden="1" customHeight="1" x14ac:dyDescent="0.35">
      <c r="A385" s="73" t="s">
        <v>76</v>
      </c>
      <c r="B385" s="91" t="s">
        <v>218</v>
      </c>
      <c r="C385" s="115">
        <v>41.8</v>
      </c>
      <c r="D385" s="17"/>
      <c r="E385" s="17"/>
    </row>
    <row r="386" spans="1:5" s="29" customFormat="1" ht="15.6" hidden="1" customHeight="1" x14ac:dyDescent="0.35">
      <c r="A386" s="71"/>
      <c r="B386" s="89"/>
      <c r="C386" s="114"/>
      <c r="D386" s="18"/>
      <c r="E386" s="18"/>
    </row>
    <row r="387" spans="1:5" s="29" customFormat="1" ht="15.6" hidden="1" customHeight="1" x14ac:dyDescent="0.35">
      <c r="A387" s="71"/>
      <c r="B387" s="89"/>
      <c r="C387" s="114"/>
      <c r="D387" s="18"/>
      <c r="E387" s="18"/>
    </row>
    <row r="388" spans="1:5" s="29" customFormat="1" ht="15.6" hidden="1" customHeight="1" x14ac:dyDescent="0.35">
      <c r="A388" s="71"/>
      <c r="B388" s="89"/>
      <c r="C388" s="114"/>
      <c r="D388" s="18"/>
      <c r="E388" s="18"/>
    </row>
    <row r="389" spans="1:5" s="29" customFormat="1" ht="31.8" hidden="1" customHeight="1" thickBot="1" x14ac:dyDescent="0.35">
      <c r="A389" s="72"/>
      <c r="B389" s="90"/>
      <c r="C389" s="116"/>
      <c r="D389" s="19"/>
      <c r="E389" s="19"/>
    </row>
    <row r="390" spans="1:5" s="29" customFormat="1" ht="54.6" hidden="1" customHeight="1" thickBot="1" x14ac:dyDescent="0.35">
      <c r="A390" s="73" t="s">
        <v>77</v>
      </c>
      <c r="B390" s="91" t="s">
        <v>218</v>
      </c>
      <c r="C390" s="35">
        <v>60.8</v>
      </c>
      <c r="D390" s="17"/>
      <c r="E390" s="17"/>
    </row>
    <row r="391" spans="1:5" s="29" customFormat="1" ht="16.2" hidden="1" thickBot="1" x14ac:dyDescent="0.35">
      <c r="A391" s="71"/>
      <c r="B391" s="89"/>
      <c r="C391" s="18"/>
      <c r="D391" s="18"/>
      <c r="E391" s="18"/>
    </row>
    <row r="392" spans="1:5" s="29" customFormat="1" ht="16.2" hidden="1" thickBot="1" x14ac:dyDescent="0.35">
      <c r="A392" s="71"/>
      <c r="B392" s="89"/>
      <c r="C392" s="18"/>
      <c r="D392" s="18"/>
      <c r="E392" s="18"/>
    </row>
    <row r="393" spans="1:5" s="29" customFormat="1" ht="16.2" hidden="1" thickBot="1" x14ac:dyDescent="0.35">
      <c r="A393" s="71"/>
      <c r="B393" s="89"/>
      <c r="C393" s="18"/>
      <c r="D393" s="18"/>
      <c r="E393" s="18"/>
    </row>
    <row r="394" spans="1:5" s="29" customFormat="1" ht="16.2" hidden="1" thickBot="1" x14ac:dyDescent="0.35">
      <c r="A394" s="72"/>
      <c r="B394" s="90"/>
      <c r="C394" s="19"/>
      <c r="D394" s="19"/>
      <c r="E394" s="19"/>
    </row>
    <row r="395" spans="1:5" s="29" customFormat="1" ht="16.2" hidden="1" thickBot="1" x14ac:dyDescent="0.35">
      <c r="A395" s="74" t="s">
        <v>78</v>
      </c>
      <c r="B395" s="88" t="s">
        <v>256</v>
      </c>
      <c r="C395" s="17"/>
      <c r="D395" s="17"/>
      <c r="E395" s="17"/>
    </row>
    <row r="396" spans="1:5" s="29" customFormat="1" ht="16.2" hidden="1" thickBot="1" x14ac:dyDescent="0.35">
      <c r="A396" s="71"/>
      <c r="B396" s="89"/>
      <c r="C396" s="18"/>
      <c r="D396" s="18"/>
      <c r="E396" s="18"/>
    </row>
    <row r="397" spans="1:5" s="29" customFormat="1" ht="16.2" hidden="1" thickBot="1" x14ac:dyDescent="0.35">
      <c r="A397" s="71"/>
      <c r="B397" s="89"/>
      <c r="C397" s="18"/>
      <c r="D397" s="18"/>
      <c r="E397" s="18"/>
    </row>
    <row r="398" spans="1:5" s="29" customFormat="1" ht="16.2" hidden="1" thickBot="1" x14ac:dyDescent="0.35">
      <c r="A398" s="71"/>
      <c r="B398" s="89"/>
      <c r="C398" s="18"/>
      <c r="D398" s="18"/>
      <c r="E398" s="18"/>
    </row>
    <row r="399" spans="1:5" s="29" customFormat="1" ht="16.2" hidden="1" thickBot="1" x14ac:dyDescent="0.35">
      <c r="A399" s="72"/>
      <c r="B399" s="90"/>
      <c r="C399" s="19"/>
      <c r="D399" s="19"/>
      <c r="E399" s="19"/>
    </row>
    <row r="400" spans="1:5" s="29" customFormat="1" ht="16.2" hidden="1" thickBot="1" x14ac:dyDescent="0.35">
      <c r="A400" s="74" t="s">
        <v>79</v>
      </c>
      <c r="B400" s="88" t="s">
        <v>257</v>
      </c>
      <c r="C400" s="17"/>
      <c r="D400" s="17"/>
      <c r="E400" s="17"/>
    </row>
    <row r="401" spans="1:5" s="29" customFormat="1" ht="16.2" hidden="1" thickBot="1" x14ac:dyDescent="0.35">
      <c r="A401" s="71"/>
      <c r="B401" s="89"/>
      <c r="C401" s="18"/>
      <c r="D401" s="18"/>
      <c r="E401" s="18"/>
    </row>
    <row r="402" spans="1:5" s="29" customFormat="1" ht="16.2" hidden="1" thickBot="1" x14ac:dyDescent="0.35">
      <c r="A402" s="71"/>
      <c r="B402" s="89"/>
      <c r="C402" s="18"/>
      <c r="D402" s="18"/>
      <c r="E402" s="18"/>
    </row>
    <row r="403" spans="1:5" s="29" customFormat="1" ht="16.2" hidden="1" thickBot="1" x14ac:dyDescent="0.35">
      <c r="A403" s="71"/>
      <c r="B403" s="89"/>
      <c r="C403" s="18"/>
      <c r="D403" s="18"/>
      <c r="E403" s="18"/>
    </row>
    <row r="404" spans="1:5" s="29" customFormat="1" ht="16.2" hidden="1" thickBot="1" x14ac:dyDescent="0.35">
      <c r="A404" s="72"/>
      <c r="B404" s="90"/>
      <c r="C404" s="19"/>
      <c r="D404" s="19"/>
      <c r="E404" s="19"/>
    </row>
    <row r="405" spans="1:5" s="29" customFormat="1" ht="16.2" hidden="1" thickBot="1" x14ac:dyDescent="0.35">
      <c r="A405" s="74" t="s">
        <v>80</v>
      </c>
      <c r="B405" s="88" t="s">
        <v>226</v>
      </c>
      <c r="C405" s="17">
        <f>0.4*3.9</f>
        <v>1.56</v>
      </c>
      <c r="D405" s="17"/>
      <c r="E405" s="17"/>
    </row>
    <row r="406" spans="1:5" s="29" customFormat="1" ht="16.2" hidden="1" thickBot="1" x14ac:dyDescent="0.35">
      <c r="A406" s="71"/>
      <c r="B406" s="89"/>
      <c r="C406" s="18">
        <f>C405</f>
        <v>1.56</v>
      </c>
      <c r="D406" s="18"/>
      <c r="E406" s="18"/>
    </row>
    <row r="407" spans="1:5" s="29" customFormat="1" ht="16.2" hidden="1" thickBot="1" x14ac:dyDescent="0.35">
      <c r="A407" s="71"/>
      <c r="B407" s="89"/>
      <c r="C407" s="18">
        <f>C405-C406</f>
        <v>0</v>
      </c>
      <c r="D407" s="18"/>
      <c r="E407" s="18"/>
    </row>
    <row r="408" spans="1:5" s="29" customFormat="1" ht="16.2" hidden="1" thickBot="1" x14ac:dyDescent="0.35">
      <c r="A408" s="71"/>
      <c r="B408" s="89"/>
      <c r="C408" s="18"/>
      <c r="D408" s="18"/>
      <c r="E408" s="18"/>
    </row>
    <row r="409" spans="1:5" s="29" customFormat="1" ht="16.2" hidden="1" thickBot="1" x14ac:dyDescent="0.35">
      <c r="A409" s="72"/>
      <c r="B409" s="90"/>
      <c r="C409" s="19"/>
      <c r="D409" s="19"/>
      <c r="E409" s="19"/>
    </row>
    <row r="410" spans="1:5" s="29" customFormat="1" ht="60" hidden="1" customHeight="1" thickBot="1" x14ac:dyDescent="0.35">
      <c r="A410" s="70" t="s">
        <v>81</v>
      </c>
      <c r="B410" s="108" t="s">
        <v>218</v>
      </c>
      <c r="C410" s="42">
        <v>24.3</v>
      </c>
      <c r="D410" s="17"/>
      <c r="E410" s="17"/>
    </row>
    <row r="411" spans="1:5" s="29" customFormat="1" ht="16.2" hidden="1" thickBot="1" x14ac:dyDescent="0.35">
      <c r="A411" s="71"/>
      <c r="B411" s="89"/>
      <c r="C411" s="18"/>
      <c r="D411" s="18"/>
      <c r="E411" s="18">
        <f>E410</f>
        <v>0</v>
      </c>
    </row>
    <row r="412" spans="1:5" s="29" customFormat="1" ht="16.2" hidden="1" thickBot="1" x14ac:dyDescent="0.35">
      <c r="A412" s="71"/>
      <c r="B412" s="89"/>
      <c r="C412" s="18"/>
      <c r="D412" s="18"/>
      <c r="E412" s="18">
        <f>E410-E411</f>
        <v>0</v>
      </c>
    </row>
    <row r="413" spans="1:5" s="29" customFormat="1" ht="16.2" hidden="1" thickBot="1" x14ac:dyDescent="0.35">
      <c r="A413" s="71"/>
      <c r="B413" s="89"/>
      <c r="C413" s="18"/>
      <c r="D413" s="18"/>
      <c r="E413" s="18"/>
    </row>
    <row r="414" spans="1:5" s="29" customFormat="1" ht="16.2" hidden="1" thickBot="1" x14ac:dyDescent="0.35">
      <c r="A414" s="71"/>
      <c r="B414" s="90"/>
      <c r="C414" s="20"/>
      <c r="D414" s="20"/>
      <c r="E414" s="20"/>
    </row>
    <row r="415" spans="1:5" s="2" customFormat="1" ht="15" hidden="1" thickBot="1" x14ac:dyDescent="0.35">
      <c r="A415" s="75" t="s">
        <v>191</v>
      </c>
      <c r="B415" s="21"/>
      <c r="C415" s="11">
        <f>C410+C405+C400+C395+C390+C385+C380+C375+C370+C365+C360+C355+C350+C345+C340+C335+C330+C325+C320+C315+C310+C305+C300+C295+C290+C285+C280+C275+C270+C265+C260+C255+C250+C245+C240+C235+C230+C225+C220+C215+C210+C205+C200+C195+C190+C185+C180+C175+C170+C165+C160+C155+C150+C145+C140+C135+C130+C125+C120+C115+C110+C105+C100+C95+C90+C85+C80+C75+C70+C65+C60+C55+C50+C45+C44+C35+C30+C25+C20+C15+C10+C5</f>
        <v>745.03999999999985</v>
      </c>
      <c r="D415" s="11">
        <f t="shared" ref="D415:E419" si="3">D410+D405+D400+D395+D390+D385+D380+D375+D370+D365+D360+D355+D350+D345+D340+D335+D330+D325+D320+D315+D310+D305+D300+D295+D290+D285+D280+D275+D270+D265+D260+D255+D250+D245+D240+D235+D230+D225+D220+D215+D210+D205+D200+D195+D190+D185+D180+D175+D170+D165+D160+D155+D150+D145+D140+D135+D130+D125+D120+D115+D110+D105+D100+D95+D90+D85+D80+D75+D70+D65+D60+D55+D50+D45+D40+D35+D30+D25+D20+D15+D10+D5</f>
        <v>33.450000000000003</v>
      </c>
      <c r="E415" s="11">
        <f t="shared" si="3"/>
        <v>103.926</v>
      </c>
    </row>
    <row r="416" spans="1:5" s="2" customFormat="1" ht="15" hidden="1" thickBot="1" x14ac:dyDescent="0.35">
      <c r="A416" s="76"/>
      <c r="B416" s="22"/>
      <c r="C416" s="10">
        <f>C411+C406+C401+C396+C391+C386+C381+C376+C371+C366+C361+C356+C351+C346+C341+C336+C331+C326+C321+C316+C311+C306+C301+C296+C291+C286+C281+C276+C271+C266+C261+C256+C251+C246+C241+C236+C231+C226+C221+C216+C211+C206+C201+C196+C191+C186+C181+C176+C171+C166+C161+C156+C151+C146+C141+C136+C131+C126+C121+C116+C111+C106+C101+C96+C91+C86+C81+C76+C71+C66+C61+C56+C51+C46+C40+C36+C31+C26+C21+C16+C11+C6</f>
        <v>164.41</v>
      </c>
      <c r="D416" s="10">
        <f t="shared" si="3"/>
        <v>0</v>
      </c>
      <c r="E416" s="10">
        <f t="shared" si="3"/>
        <v>4.68</v>
      </c>
    </row>
    <row r="417" spans="1:5" s="2" customFormat="1" ht="15" hidden="1" thickBot="1" x14ac:dyDescent="0.35">
      <c r="A417" s="76"/>
      <c r="B417" s="22"/>
      <c r="C417" s="10">
        <f>C412+C407+C402+C397+C392+C387+C382+C377+C372+C367+C362+C357+C352+C347+C342+C337+C332+C327+C322+C317+C312+C307+C302+C297+C292+C287+C282+C277+C272+C267+C262+C257+C252+C247+C242+C237+C232+C227+C222+C217+C212+C207+C202+C197+C192+C187+C182+C177+C172+C167+C162+C157+C152+C147+C142+C137+C132+C127+C122+C117+C112+C107+C102+C97+C92+C87+C82+C77+C72+C67+C62+C57+C52+C47+C42+C37+C32+C27+C22+C17+C12+C7</f>
        <v>106.03</v>
      </c>
      <c r="D417" s="10">
        <f t="shared" si="3"/>
        <v>0</v>
      </c>
      <c r="E417" s="10">
        <f t="shared" si="3"/>
        <v>27.52</v>
      </c>
    </row>
    <row r="418" spans="1:5" s="2" customFormat="1" ht="15" hidden="1" thickBot="1" x14ac:dyDescent="0.35">
      <c r="A418" s="76"/>
      <c r="B418" s="22"/>
      <c r="C418" s="10">
        <f>C413+C408+C403+C398+C393+C388+C383+C378+C373+C368+C363+C358+C353+C348+C343+C338+C333+C328+C323+C318+C313+C308+C303+C298+C293+C288+C283+C278+C273+C268+C263+C258+C253+C248+C243+C238+C233+C228+C223+C218+C213+C208+C203+C198+C193+C188+C183+C178+C173+C168+C163+C158+C153+C148+C143+C138+C133+C128+C123+C118+C113+C108+C103+C98+C93+C88+C83+C78+C73+C68+C63+C58+C53+C48+C43+C38+C33+C28+C23+C18+C13+C8</f>
        <v>0</v>
      </c>
      <c r="D418" s="10">
        <f t="shared" si="3"/>
        <v>0</v>
      </c>
      <c r="E418" s="10">
        <f t="shared" si="3"/>
        <v>0</v>
      </c>
    </row>
    <row r="419" spans="1:5" s="2" customFormat="1" ht="15" hidden="1" thickBot="1" x14ac:dyDescent="0.35">
      <c r="A419" s="77"/>
      <c r="B419" s="23"/>
      <c r="C419" s="12" t="e">
        <f>C414+C409+C404+C399+C394+C389+C384+C379+C374+C369+C364+C359+C354+C349+C344+C339+C334+C329+C324+C319+C314+C309+C304+C299+C294+C289+C284+C279+C274+C269+C264+C259+C254+C249+C244+C239+C234+C229+C224+C219+C214+C209+C204+C199+C194+C189+C184+C179+C174+C169+C164+C159+C154+C149+C144+C139+C134+C129+C124+C119+C114+C109+C104+C99+C94+C89+C84+C79+C74+C69+C64+C59+C54+C49+#REF!+C39+C34+C29+C24+C19+C14+C9</f>
        <v>#REF!</v>
      </c>
      <c r="D419" s="12">
        <f t="shared" si="3"/>
        <v>0</v>
      </c>
      <c r="E419" s="12">
        <f t="shared" si="3"/>
        <v>0</v>
      </c>
    </row>
    <row r="420" spans="1:5" ht="15" hidden="1" thickBot="1" x14ac:dyDescent="0.35">
      <c r="A420" s="103" t="s">
        <v>83</v>
      </c>
      <c r="B420" s="104"/>
      <c r="C420" s="7"/>
      <c r="D420" s="7"/>
      <c r="E420" s="7"/>
    </row>
    <row r="421" spans="1:5" s="29" customFormat="1" ht="60" customHeight="1" thickBot="1" x14ac:dyDescent="0.35">
      <c r="A421" s="73" t="s">
        <v>84</v>
      </c>
      <c r="B421" s="91" t="s">
        <v>258</v>
      </c>
      <c r="C421" s="62">
        <v>10</v>
      </c>
      <c r="D421" s="35">
        <v>9.18</v>
      </c>
      <c r="E421" s="35">
        <v>21.18</v>
      </c>
    </row>
    <row r="422" spans="1:5" s="29" customFormat="1" ht="16.2" hidden="1" thickBot="1" x14ac:dyDescent="0.35">
      <c r="A422" s="71"/>
      <c r="B422" s="92"/>
      <c r="C422" s="30">
        <f>C421</f>
        <v>10</v>
      </c>
      <c r="D422" s="18">
        <v>0</v>
      </c>
      <c r="E422" s="18"/>
    </row>
    <row r="423" spans="1:5" s="29" customFormat="1" ht="16.2" hidden="1" thickBot="1" x14ac:dyDescent="0.35">
      <c r="A423" s="71"/>
      <c r="B423" s="92"/>
      <c r="C423" s="18">
        <f>C421-C422</f>
        <v>0</v>
      </c>
      <c r="D423" s="18">
        <f>D421-D422</f>
        <v>9.18</v>
      </c>
      <c r="E423" s="18"/>
    </row>
    <row r="424" spans="1:5" s="29" customFormat="1" ht="16.2" hidden="1" thickBot="1" x14ac:dyDescent="0.35">
      <c r="A424" s="71"/>
      <c r="B424" s="92"/>
      <c r="C424" s="18"/>
      <c r="D424" s="18"/>
      <c r="E424" s="18"/>
    </row>
    <row r="425" spans="1:5" s="29" customFormat="1" ht="16.2" hidden="1" thickBot="1" x14ac:dyDescent="0.35">
      <c r="A425" s="72"/>
      <c r="B425" s="93"/>
      <c r="C425" s="20"/>
      <c r="D425" s="19"/>
      <c r="E425" s="19"/>
    </row>
    <row r="426" spans="1:5" s="29" customFormat="1" ht="60" customHeight="1" thickBot="1" x14ac:dyDescent="0.35">
      <c r="A426" s="73" t="s">
        <v>85</v>
      </c>
      <c r="B426" s="91" t="s">
        <v>259</v>
      </c>
      <c r="C426" s="62">
        <v>16</v>
      </c>
      <c r="D426" s="35">
        <v>21.74</v>
      </c>
      <c r="E426" s="35">
        <v>39.82</v>
      </c>
    </row>
    <row r="427" spans="1:5" s="29" customFormat="1" ht="16.2" hidden="1" thickBot="1" x14ac:dyDescent="0.35">
      <c r="A427" s="71"/>
      <c r="B427" s="92"/>
      <c r="C427" s="30">
        <f>C426</f>
        <v>16</v>
      </c>
      <c r="D427" s="18">
        <v>0</v>
      </c>
      <c r="E427" s="18"/>
    </row>
    <row r="428" spans="1:5" s="29" customFormat="1" ht="16.2" hidden="1" thickBot="1" x14ac:dyDescent="0.35">
      <c r="A428" s="71"/>
      <c r="B428" s="92"/>
      <c r="C428" s="18">
        <f>C426-C427</f>
        <v>0</v>
      </c>
      <c r="D428" s="18">
        <f>D426-D427</f>
        <v>21.74</v>
      </c>
      <c r="E428" s="18"/>
    </row>
    <row r="429" spans="1:5" s="29" customFormat="1" ht="16.2" hidden="1" thickBot="1" x14ac:dyDescent="0.35">
      <c r="A429" s="71"/>
      <c r="B429" s="92"/>
      <c r="C429" s="18"/>
      <c r="D429" s="18"/>
      <c r="E429" s="18"/>
    </row>
    <row r="430" spans="1:5" s="29" customFormat="1" ht="16.2" hidden="1" thickBot="1" x14ac:dyDescent="0.35">
      <c r="A430" s="72"/>
      <c r="B430" s="93"/>
      <c r="C430" s="20"/>
      <c r="D430" s="19"/>
      <c r="E430" s="19"/>
    </row>
    <row r="431" spans="1:5" s="29" customFormat="1" ht="60" customHeight="1" thickBot="1" x14ac:dyDescent="0.35">
      <c r="A431" s="73" t="s">
        <v>86</v>
      </c>
      <c r="B431" s="91" t="s">
        <v>260</v>
      </c>
      <c r="C431" s="112">
        <v>20</v>
      </c>
      <c r="D431" s="17">
        <f>0.4*3.9</f>
        <v>1.56</v>
      </c>
      <c r="E431" s="17"/>
    </row>
    <row r="432" spans="1:5" s="29" customFormat="1" ht="15.6" hidden="1" customHeight="1" x14ac:dyDescent="0.35">
      <c r="A432" s="71"/>
      <c r="B432" s="92"/>
      <c r="C432" s="113"/>
      <c r="D432" s="18">
        <v>0</v>
      </c>
      <c r="E432" s="18"/>
    </row>
    <row r="433" spans="1:5" s="29" customFormat="1" ht="15.6" hidden="1" customHeight="1" x14ac:dyDescent="0.35">
      <c r="A433" s="71"/>
      <c r="B433" s="92"/>
      <c r="C433" s="113"/>
      <c r="D433" s="18">
        <f>D431-D432</f>
        <v>1.56</v>
      </c>
      <c r="E433" s="18"/>
    </row>
    <row r="434" spans="1:5" s="29" customFormat="1" ht="15.6" hidden="1" customHeight="1" x14ac:dyDescent="0.35">
      <c r="A434" s="71"/>
      <c r="B434" s="92"/>
      <c r="C434" s="113"/>
      <c r="D434" s="18"/>
      <c r="E434" s="18"/>
    </row>
    <row r="435" spans="1:5" s="29" customFormat="1" ht="54.6" hidden="1" customHeight="1" thickBot="1" x14ac:dyDescent="0.35">
      <c r="A435" s="72"/>
      <c r="B435" s="93"/>
      <c r="C435" s="114"/>
      <c r="D435" s="19"/>
      <c r="E435" s="19"/>
    </row>
    <row r="436" spans="1:5" s="29" customFormat="1" ht="60" customHeight="1" thickBot="1" x14ac:dyDescent="0.35">
      <c r="A436" s="73" t="s">
        <v>87</v>
      </c>
      <c r="B436" s="91" t="s">
        <v>258</v>
      </c>
      <c r="C436" s="62">
        <v>9</v>
      </c>
      <c r="D436" s="35">
        <v>8.02</v>
      </c>
      <c r="E436" s="35">
        <v>24.84</v>
      </c>
    </row>
    <row r="437" spans="1:5" s="29" customFormat="1" ht="16.2" hidden="1" thickBot="1" x14ac:dyDescent="0.35">
      <c r="A437" s="71"/>
      <c r="B437" s="92"/>
      <c r="C437" s="30">
        <f>C436</f>
        <v>9</v>
      </c>
      <c r="D437" s="18">
        <v>0</v>
      </c>
      <c r="E437" s="18"/>
    </row>
    <row r="438" spans="1:5" s="29" customFormat="1" ht="16.2" hidden="1" thickBot="1" x14ac:dyDescent="0.35">
      <c r="A438" s="71"/>
      <c r="B438" s="92"/>
      <c r="C438" s="18">
        <f>C436-C437</f>
        <v>0</v>
      </c>
      <c r="D438" s="18">
        <f>D436-D437</f>
        <v>8.02</v>
      </c>
      <c r="E438" s="18"/>
    </row>
    <row r="439" spans="1:5" s="29" customFormat="1" ht="16.2" hidden="1" thickBot="1" x14ac:dyDescent="0.35">
      <c r="A439" s="71"/>
      <c r="B439" s="92"/>
      <c r="C439" s="18"/>
      <c r="D439" s="18"/>
      <c r="E439" s="18"/>
    </row>
    <row r="440" spans="1:5" s="29" customFormat="1" ht="16.2" hidden="1" thickBot="1" x14ac:dyDescent="0.35">
      <c r="A440" s="72"/>
      <c r="B440" s="93"/>
      <c r="C440" s="20"/>
      <c r="D440" s="19"/>
      <c r="E440" s="19"/>
    </row>
    <row r="441" spans="1:5" s="29" customFormat="1" ht="60" customHeight="1" thickBot="1" x14ac:dyDescent="0.35">
      <c r="A441" s="73" t="s">
        <v>88</v>
      </c>
      <c r="B441" s="91" t="s">
        <v>261</v>
      </c>
      <c r="C441" s="62">
        <v>10</v>
      </c>
      <c r="D441" s="35">
        <v>17.16</v>
      </c>
      <c r="E441" s="35">
        <v>23.21</v>
      </c>
    </row>
    <row r="442" spans="1:5" s="29" customFormat="1" ht="16.2" hidden="1" thickBot="1" x14ac:dyDescent="0.35">
      <c r="A442" s="71"/>
      <c r="B442" s="92"/>
      <c r="C442" s="30">
        <f>C441</f>
        <v>10</v>
      </c>
      <c r="D442" s="18">
        <v>0</v>
      </c>
      <c r="E442" s="18"/>
    </row>
    <row r="443" spans="1:5" s="29" customFormat="1" ht="16.2" hidden="1" thickBot="1" x14ac:dyDescent="0.35">
      <c r="A443" s="71"/>
      <c r="B443" s="92"/>
      <c r="C443" s="18">
        <f>C441-C442</f>
        <v>0</v>
      </c>
      <c r="D443" s="18">
        <f>D441-D442</f>
        <v>17.16</v>
      </c>
      <c r="E443" s="18"/>
    </row>
    <row r="444" spans="1:5" s="29" customFormat="1" ht="46.2" hidden="1" customHeight="1" thickBot="1" x14ac:dyDescent="0.35">
      <c r="A444" s="71"/>
      <c r="B444" s="92"/>
      <c r="C444" s="18"/>
      <c r="D444" s="18"/>
      <c r="E444" s="18"/>
    </row>
    <row r="445" spans="1:5" s="29" customFormat="1" ht="16.2" hidden="1" thickBot="1" x14ac:dyDescent="0.35">
      <c r="A445" s="72"/>
      <c r="B445" s="93"/>
      <c r="C445" s="20"/>
      <c r="D445" s="19"/>
      <c r="E445" s="19"/>
    </row>
    <row r="446" spans="1:5" s="29" customFormat="1" ht="60" customHeight="1" thickBot="1" x14ac:dyDescent="0.35">
      <c r="A446" s="73" t="s">
        <v>89</v>
      </c>
      <c r="B446" s="91" t="s">
        <v>261</v>
      </c>
      <c r="C446" s="62">
        <v>7</v>
      </c>
      <c r="D446" s="35">
        <v>23.94</v>
      </c>
      <c r="E446" s="35">
        <v>23.94</v>
      </c>
    </row>
    <row r="447" spans="1:5" s="29" customFormat="1" ht="16.2" hidden="1" thickBot="1" x14ac:dyDescent="0.35">
      <c r="A447" s="71"/>
      <c r="B447" s="92"/>
      <c r="C447" s="30">
        <f>C446</f>
        <v>7</v>
      </c>
      <c r="D447" s="18">
        <v>0</v>
      </c>
      <c r="E447" s="18"/>
    </row>
    <row r="448" spans="1:5" s="29" customFormat="1" ht="16.2" hidden="1" thickBot="1" x14ac:dyDescent="0.35">
      <c r="A448" s="71"/>
      <c r="B448" s="92"/>
      <c r="C448" s="18">
        <f>C446-C447</f>
        <v>0</v>
      </c>
      <c r="D448" s="18">
        <f>D446-D447</f>
        <v>23.94</v>
      </c>
      <c r="E448" s="18"/>
    </row>
    <row r="449" spans="1:5" s="29" customFormat="1" ht="16.2" hidden="1" thickBot="1" x14ac:dyDescent="0.35">
      <c r="A449" s="71"/>
      <c r="B449" s="92"/>
      <c r="C449" s="18"/>
      <c r="D449" s="18"/>
      <c r="E449" s="18"/>
    </row>
    <row r="450" spans="1:5" s="29" customFormat="1" ht="16.2" hidden="1" thickBot="1" x14ac:dyDescent="0.35">
      <c r="A450" s="72"/>
      <c r="B450" s="93"/>
      <c r="C450" s="20"/>
      <c r="D450" s="19"/>
      <c r="E450" s="19"/>
    </row>
    <row r="451" spans="1:5" s="29" customFormat="1" ht="60" customHeight="1" thickBot="1" x14ac:dyDescent="0.35">
      <c r="A451" s="73" t="s">
        <v>90</v>
      </c>
      <c r="B451" s="91" t="s">
        <v>258</v>
      </c>
      <c r="C451" s="62">
        <v>7</v>
      </c>
      <c r="D451" s="35">
        <v>26.34</v>
      </c>
      <c r="E451" s="35">
        <v>26.34</v>
      </c>
    </row>
    <row r="452" spans="1:5" s="29" customFormat="1" ht="16.2" hidden="1" thickBot="1" x14ac:dyDescent="0.35">
      <c r="A452" s="71"/>
      <c r="B452" s="92"/>
      <c r="C452" s="30">
        <f>C451</f>
        <v>7</v>
      </c>
      <c r="D452" s="18"/>
      <c r="E452" s="18"/>
    </row>
    <row r="453" spans="1:5" s="29" customFormat="1" ht="16.2" hidden="1" thickBot="1" x14ac:dyDescent="0.35">
      <c r="A453" s="71"/>
      <c r="B453" s="92"/>
      <c r="C453" s="18">
        <f>C451-C452</f>
        <v>0</v>
      </c>
      <c r="D453" s="18"/>
      <c r="E453" s="18"/>
    </row>
    <row r="454" spans="1:5" s="29" customFormat="1" ht="16.2" hidden="1" thickBot="1" x14ac:dyDescent="0.35">
      <c r="A454" s="71"/>
      <c r="B454" s="92"/>
      <c r="C454" s="18"/>
      <c r="D454" s="18"/>
      <c r="E454" s="18"/>
    </row>
    <row r="455" spans="1:5" s="29" customFormat="1" ht="16.2" hidden="1" thickBot="1" x14ac:dyDescent="0.35">
      <c r="A455" s="72"/>
      <c r="B455" s="93"/>
      <c r="C455" s="20"/>
      <c r="D455" s="19"/>
      <c r="E455" s="19"/>
    </row>
    <row r="456" spans="1:5" s="29" customFormat="1" ht="60" customHeight="1" thickBot="1" x14ac:dyDescent="0.35">
      <c r="A456" s="73" t="s">
        <v>91</v>
      </c>
      <c r="B456" s="91" t="s">
        <v>262</v>
      </c>
      <c r="C456" s="62">
        <v>29</v>
      </c>
      <c r="D456" s="17"/>
      <c r="E456" s="17"/>
    </row>
    <row r="457" spans="1:5" s="29" customFormat="1" ht="16.2" hidden="1" thickBot="1" x14ac:dyDescent="0.35">
      <c r="A457" s="71"/>
      <c r="B457" s="92"/>
      <c r="C457" s="30">
        <f>C456</f>
        <v>29</v>
      </c>
      <c r="D457" s="18"/>
      <c r="E457" s="18"/>
    </row>
    <row r="458" spans="1:5" s="29" customFormat="1" ht="16.2" hidden="1" thickBot="1" x14ac:dyDescent="0.35">
      <c r="A458" s="71"/>
      <c r="B458" s="92"/>
      <c r="C458" s="18">
        <f>C456-C457</f>
        <v>0</v>
      </c>
      <c r="D458" s="18"/>
      <c r="E458" s="18"/>
    </row>
    <row r="459" spans="1:5" s="29" customFormat="1" ht="16.2" hidden="1" thickBot="1" x14ac:dyDescent="0.35">
      <c r="A459" s="71"/>
      <c r="B459" s="92"/>
      <c r="C459" s="18"/>
      <c r="D459" s="18"/>
      <c r="E459" s="18"/>
    </row>
    <row r="460" spans="1:5" s="29" customFormat="1" ht="16.2" hidden="1" thickBot="1" x14ac:dyDescent="0.35">
      <c r="A460" s="72"/>
      <c r="B460" s="93"/>
      <c r="C460" s="20"/>
      <c r="D460" s="19"/>
      <c r="E460" s="19"/>
    </row>
    <row r="461" spans="1:5" s="29" customFormat="1" ht="60" customHeight="1" thickBot="1" x14ac:dyDescent="0.35">
      <c r="A461" s="73" t="s">
        <v>92</v>
      </c>
      <c r="B461" s="91" t="s">
        <v>215</v>
      </c>
      <c r="C461" s="62">
        <v>18</v>
      </c>
      <c r="D461" s="17"/>
      <c r="E461" s="17"/>
    </row>
    <row r="462" spans="1:5" s="29" customFormat="1" ht="16.2" hidden="1" thickBot="1" x14ac:dyDescent="0.35">
      <c r="A462" s="71"/>
      <c r="B462" s="92"/>
      <c r="C462" s="30"/>
      <c r="D462" s="18"/>
      <c r="E462" s="18"/>
    </row>
    <row r="463" spans="1:5" s="29" customFormat="1" ht="16.2" hidden="1" thickBot="1" x14ac:dyDescent="0.35">
      <c r="A463" s="71"/>
      <c r="B463" s="92"/>
      <c r="C463" s="18"/>
      <c r="D463" s="18"/>
      <c r="E463" s="18"/>
    </row>
    <row r="464" spans="1:5" s="29" customFormat="1" ht="16.2" hidden="1" thickBot="1" x14ac:dyDescent="0.35">
      <c r="A464" s="71"/>
      <c r="B464" s="92"/>
      <c r="C464" s="18"/>
      <c r="D464" s="18"/>
      <c r="E464" s="18"/>
    </row>
    <row r="465" spans="1:5" s="29" customFormat="1" ht="16.2" hidden="1" thickBot="1" x14ac:dyDescent="0.35">
      <c r="A465" s="72"/>
      <c r="B465" s="93"/>
      <c r="C465" s="20"/>
      <c r="D465" s="19"/>
      <c r="E465" s="19"/>
    </row>
    <row r="466" spans="1:5" s="29" customFormat="1" ht="60" customHeight="1" thickBot="1" x14ac:dyDescent="0.35">
      <c r="A466" s="73" t="s">
        <v>93</v>
      </c>
      <c r="B466" s="91" t="s">
        <v>263</v>
      </c>
      <c r="C466" s="62">
        <v>11</v>
      </c>
      <c r="D466" s="17"/>
      <c r="E466" s="17">
        <v>5</v>
      </c>
    </row>
    <row r="467" spans="1:5" s="29" customFormat="1" ht="16.2" hidden="1" thickBot="1" x14ac:dyDescent="0.35">
      <c r="A467" s="71"/>
      <c r="B467" s="92"/>
      <c r="C467" s="30"/>
      <c r="D467" s="18"/>
      <c r="E467" s="18">
        <f>E466</f>
        <v>5</v>
      </c>
    </row>
    <row r="468" spans="1:5" s="29" customFormat="1" ht="16.2" hidden="1" thickBot="1" x14ac:dyDescent="0.35">
      <c r="A468" s="71"/>
      <c r="B468" s="92"/>
      <c r="C468" s="18"/>
      <c r="D468" s="18"/>
      <c r="E468" s="18">
        <f>E466-E467</f>
        <v>0</v>
      </c>
    </row>
    <row r="469" spans="1:5" s="29" customFormat="1" ht="16.2" hidden="1" thickBot="1" x14ac:dyDescent="0.35">
      <c r="A469" s="71"/>
      <c r="B469" s="92"/>
      <c r="C469" s="18"/>
      <c r="D469" s="18"/>
      <c r="E469" s="18"/>
    </row>
    <row r="470" spans="1:5" s="29" customFormat="1" ht="16.2" hidden="1" thickBot="1" x14ac:dyDescent="0.35">
      <c r="A470" s="72"/>
      <c r="B470" s="93"/>
      <c r="C470" s="20"/>
      <c r="D470" s="19"/>
      <c r="E470" s="19"/>
    </row>
    <row r="471" spans="1:5" s="29" customFormat="1" ht="60" customHeight="1" thickBot="1" x14ac:dyDescent="0.35">
      <c r="A471" s="73" t="s">
        <v>94</v>
      </c>
      <c r="B471" s="91" t="s">
        <v>264</v>
      </c>
      <c r="C471" s="62">
        <v>5</v>
      </c>
      <c r="D471" s="17"/>
      <c r="E471" s="17">
        <v>2.0299999999999998</v>
      </c>
    </row>
    <row r="472" spans="1:5" s="29" customFormat="1" ht="16.2" hidden="1" thickBot="1" x14ac:dyDescent="0.35">
      <c r="A472" s="71"/>
      <c r="B472" s="92"/>
      <c r="C472" s="30"/>
      <c r="D472" s="18"/>
      <c r="E472" s="18">
        <f>E471</f>
        <v>2.0299999999999998</v>
      </c>
    </row>
    <row r="473" spans="1:5" s="29" customFormat="1" ht="16.2" hidden="1" thickBot="1" x14ac:dyDescent="0.35">
      <c r="A473" s="71"/>
      <c r="B473" s="92"/>
      <c r="C473" s="18"/>
      <c r="D473" s="18"/>
      <c r="E473" s="18">
        <f>E471-E472</f>
        <v>0</v>
      </c>
    </row>
    <row r="474" spans="1:5" s="29" customFormat="1" ht="16.2" hidden="1" thickBot="1" x14ac:dyDescent="0.35">
      <c r="A474" s="71"/>
      <c r="B474" s="92"/>
      <c r="C474" s="18"/>
      <c r="D474" s="18"/>
      <c r="E474" s="18"/>
    </row>
    <row r="475" spans="1:5" s="29" customFormat="1" ht="16.2" hidden="1" thickBot="1" x14ac:dyDescent="0.35">
      <c r="A475" s="72"/>
      <c r="B475" s="93"/>
      <c r="C475" s="20"/>
      <c r="D475" s="19"/>
      <c r="E475" s="19"/>
    </row>
    <row r="476" spans="1:5" s="29" customFormat="1" ht="60" customHeight="1" thickBot="1" x14ac:dyDescent="0.35">
      <c r="A476" s="73" t="s">
        <v>95</v>
      </c>
      <c r="B476" s="91" t="s">
        <v>265</v>
      </c>
      <c r="C476" s="62">
        <v>4</v>
      </c>
      <c r="D476" s="17"/>
      <c r="E476" s="17"/>
    </row>
    <row r="477" spans="1:5" s="29" customFormat="1" ht="16.2" hidden="1" thickBot="1" x14ac:dyDescent="0.35">
      <c r="A477" s="71"/>
      <c r="B477" s="92"/>
      <c r="C477" s="30">
        <f>C476</f>
        <v>4</v>
      </c>
      <c r="D477" s="18"/>
      <c r="E477" s="18"/>
    </row>
    <row r="478" spans="1:5" s="29" customFormat="1" ht="16.2" hidden="1" thickBot="1" x14ac:dyDescent="0.35">
      <c r="A478" s="71"/>
      <c r="B478" s="92"/>
      <c r="C478" s="18">
        <f>C476-C477</f>
        <v>0</v>
      </c>
      <c r="D478" s="18"/>
      <c r="E478" s="18"/>
    </row>
    <row r="479" spans="1:5" s="29" customFormat="1" ht="16.2" hidden="1" thickBot="1" x14ac:dyDescent="0.35">
      <c r="A479" s="71"/>
      <c r="B479" s="92"/>
      <c r="C479" s="18"/>
      <c r="D479" s="18"/>
      <c r="E479" s="18"/>
    </row>
    <row r="480" spans="1:5" s="29" customFormat="1" ht="16.2" hidden="1" thickBot="1" x14ac:dyDescent="0.35">
      <c r="A480" s="72"/>
      <c r="B480" s="93"/>
      <c r="C480" s="20"/>
      <c r="D480" s="19"/>
      <c r="E480" s="19"/>
    </row>
    <row r="481" spans="1:5" s="29" customFormat="1" ht="60" customHeight="1" thickBot="1" x14ac:dyDescent="0.35">
      <c r="A481" s="73" t="s">
        <v>96</v>
      </c>
      <c r="B481" s="108" t="s">
        <v>266</v>
      </c>
      <c r="C481" s="62">
        <v>18</v>
      </c>
      <c r="D481" s="17"/>
      <c r="E481" s="17"/>
    </row>
    <row r="482" spans="1:5" s="29" customFormat="1" ht="16.2" hidden="1" thickBot="1" x14ac:dyDescent="0.35">
      <c r="A482" s="71"/>
      <c r="B482" s="92"/>
      <c r="C482" s="30"/>
      <c r="D482" s="18"/>
      <c r="E482" s="18"/>
    </row>
    <row r="483" spans="1:5" s="29" customFormat="1" ht="16.2" hidden="1" thickBot="1" x14ac:dyDescent="0.35">
      <c r="A483" s="71"/>
      <c r="B483" s="92"/>
      <c r="C483" s="18"/>
      <c r="D483" s="18"/>
      <c r="E483" s="18"/>
    </row>
    <row r="484" spans="1:5" s="29" customFormat="1" ht="16.2" hidden="1" thickBot="1" x14ac:dyDescent="0.35">
      <c r="A484" s="71"/>
      <c r="B484" s="92"/>
      <c r="C484" s="18"/>
      <c r="D484" s="18"/>
      <c r="E484" s="18"/>
    </row>
    <row r="485" spans="1:5" s="29" customFormat="1" ht="16.2" hidden="1" thickBot="1" x14ac:dyDescent="0.35">
      <c r="A485" s="72"/>
      <c r="B485" s="93"/>
      <c r="C485" s="20"/>
      <c r="D485" s="19"/>
      <c r="E485" s="19"/>
    </row>
    <row r="486" spans="1:5" s="29" customFormat="1" ht="60" customHeight="1" thickBot="1" x14ac:dyDescent="0.35">
      <c r="A486" s="73" t="s">
        <v>97</v>
      </c>
      <c r="B486" s="91" t="s">
        <v>207</v>
      </c>
      <c r="C486" s="62">
        <v>5</v>
      </c>
      <c r="D486" s="17"/>
      <c r="E486" s="17"/>
    </row>
    <row r="487" spans="1:5" s="29" customFormat="1" ht="16.2" hidden="1" thickBot="1" x14ac:dyDescent="0.35">
      <c r="A487" s="71"/>
      <c r="B487" s="92"/>
      <c r="C487" s="30"/>
      <c r="D487" s="18"/>
      <c r="E487" s="18"/>
    </row>
    <row r="488" spans="1:5" s="29" customFormat="1" ht="16.2" hidden="1" thickBot="1" x14ac:dyDescent="0.35">
      <c r="A488" s="71"/>
      <c r="B488" s="92"/>
      <c r="C488" s="18"/>
      <c r="D488" s="18"/>
      <c r="E488" s="18"/>
    </row>
    <row r="489" spans="1:5" s="29" customFormat="1" ht="16.2" hidden="1" thickBot="1" x14ac:dyDescent="0.35">
      <c r="A489" s="71"/>
      <c r="B489" s="92"/>
      <c r="C489" s="18"/>
      <c r="D489" s="18"/>
      <c r="E489" s="18"/>
    </row>
    <row r="490" spans="1:5" s="29" customFormat="1" ht="16.2" hidden="1" thickBot="1" x14ac:dyDescent="0.35">
      <c r="A490" s="72"/>
      <c r="B490" s="93"/>
      <c r="C490" s="19"/>
      <c r="D490" s="19"/>
      <c r="E490" s="19"/>
    </row>
    <row r="491" spans="1:5" s="29" customFormat="1" ht="16.2" hidden="1" thickBot="1" x14ac:dyDescent="0.35">
      <c r="A491" s="74" t="s">
        <v>98</v>
      </c>
      <c r="B491" s="91" t="s">
        <v>267</v>
      </c>
      <c r="C491" s="17">
        <f>(0.3+0.4+0.5)*3.9</f>
        <v>4.68</v>
      </c>
      <c r="D491" s="17"/>
      <c r="E491" s="17"/>
    </row>
    <row r="492" spans="1:5" s="29" customFormat="1" ht="16.2" hidden="1" thickBot="1" x14ac:dyDescent="0.35">
      <c r="A492" s="71"/>
      <c r="B492" s="92"/>
      <c r="C492" s="18">
        <f>C491</f>
        <v>4.68</v>
      </c>
      <c r="D492" s="18"/>
      <c r="E492" s="18"/>
    </row>
    <row r="493" spans="1:5" s="29" customFormat="1" ht="16.2" hidden="1" thickBot="1" x14ac:dyDescent="0.35">
      <c r="A493" s="71"/>
      <c r="B493" s="92"/>
      <c r="C493" s="18">
        <f>C491-C492</f>
        <v>0</v>
      </c>
      <c r="D493" s="18"/>
      <c r="E493" s="18"/>
    </row>
    <row r="494" spans="1:5" s="29" customFormat="1" ht="16.2" hidden="1" thickBot="1" x14ac:dyDescent="0.35">
      <c r="A494" s="71"/>
      <c r="B494" s="92"/>
      <c r="C494" s="18"/>
      <c r="D494" s="18"/>
      <c r="E494" s="18"/>
    </row>
    <row r="495" spans="1:5" s="29" customFormat="1" ht="16.2" hidden="1" thickBot="1" x14ac:dyDescent="0.35">
      <c r="A495" s="72"/>
      <c r="B495" s="93"/>
      <c r="C495" s="20"/>
      <c r="D495" s="19"/>
      <c r="E495" s="19"/>
    </row>
    <row r="496" spans="1:5" s="29" customFormat="1" ht="60" customHeight="1" thickBot="1" x14ac:dyDescent="0.35">
      <c r="A496" s="73" t="s">
        <v>99</v>
      </c>
      <c r="B496" s="91" t="s">
        <v>206</v>
      </c>
      <c r="C496" s="62">
        <v>3</v>
      </c>
      <c r="D496" s="17">
        <v>2.73</v>
      </c>
      <c r="E496" s="17"/>
    </row>
    <row r="497" spans="1:5" s="29" customFormat="1" ht="16.2" hidden="1" thickBot="1" x14ac:dyDescent="0.35">
      <c r="A497" s="71"/>
      <c r="B497" s="92"/>
      <c r="C497" s="30"/>
      <c r="D497" s="18">
        <f>D496</f>
        <v>2.73</v>
      </c>
      <c r="E497" s="18"/>
    </row>
    <row r="498" spans="1:5" s="29" customFormat="1" ht="16.2" hidden="1" thickBot="1" x14ac:dyDescent="0.35">
      <c r="A498" s="71"/>
      <c r="B498" s="92"/>
      <c r="C498" s="18"/>
      <c r="D498" s="18">
        <f>D496-D497</f>
        <v>0</v>
      </c>
      <c r="E498" s="18"/>
    </row>
    <row r="499" spans="1:5" s="29" customFormat="1" ht="16.2" hidden="1" thickBot="1" x14ac:dyDescent="0.35">
      <c r="A499" s="71"/>
      <c r="B499" s="92"/>
      <c r="C499" s="18"/>
      <c r="D499" s="18"/>
      <c r="E499" s="18"/>
    </row>
    <row r="500" spans="1:5" s="29" customFormat="1" ht="16.2" hidden="1" thickBot="1" x14ac:dyDescent="0.35">
      <c r="A500" s="72"/>
      <c r="B500" s="93"/>
      <c r="C500" s="20"/>
      <c r="D500" s="19"/>
      <c r="E500" s="19"/>
    </row>
    <row r="501" spans="1:5" s="29" customFormat="1" ht="60" customHeight="1" thickBot="1" x14ac:dyDescent="0.35">
      <c r="A501" s="73" t="s">
        <v>100</v>
      </c>
      <c r="B501" s="108" t="s">
        <v>268</v>
      </c>
      <c r="C501" s="62">
        <v>23</v>
      </c>
      <c r="D501" s="17">
        <v>2.79</v>
      </c>
      <c r="E501" s="17"/>
    </row>
    <row r="502" spans="1:5" s="29" customFormat="1" ht="16.2" hidden="1" thickBot="1" x14ac:dyDescent="0.35">
      <c r="A502" s="71"/>
      <c r="B502" s="92"/>
      <c r="C502" s="30"/>
      <c r="D502" s="18">
        <f>D501</f>
        <v>2.79</v>
      </c>
      <c r="E502" s="18"/>
    </row>
    <row r="503" spans="1:5" s="29" customFormat="1" ht="16.2" hidden="1" thickBot="1" x14ac:dyDescent="0.35">
      <c r="A503" s="71"/>
      <c r="B503" s="92"/>
      <c r="C503" s="18"/>
      <c r="D503" s="18">
        <f>D501-D502</f>
        <v>0</v>
      </c>
      <c r="E503" s="18"/>
    </row>
    <row r="504" spans="1:5" s="29" customFormat="1" ht="16.2" hidden="1" thickBot="1" x14ac:dyDescent="0.35">
      <c r="A504" s="71"/>
      <c r="B504" s="92"/>
      <c r="C504" s="18"/>
      <c r="D504" s="18"/>
      <c r="E504" s="18"/>
    </row>
    <row r="505" spans="1:5" s="29" customFormat="1" ht="16.2" hidden="1" thickBot="1" x14ac:dyDescent="0.35">
      <c r="A505" s="72"/>
      <c r="B505" s="93"/>
      <c r="C505" s="20"/>
      <c r="D505" s="19"/>
      <c r="E505" s="19"/>
    </row>
    <row r="506" spans="1:5" s="29" customFormat="1" ht="60" hidden="1" customHeight="1" thickBot="1" x14ac:dyDescent="0.35">
      <c r="A506" s="73" t="s">
        <v>101</v>
      </c>
      <c r="B506" s="91" t="s">
        <v>269</v>
      </c>
      <c r="C506" s="58"/>
      <c r="D506" s="17"/>
      <c r="E506" s="17">
        <v>13.9</v>
      </c>
    </row>
    <row r="507" spans="1:5" s="29" customFormat="1" ht="16.2" hidden="1" thickBot="1" x14ac:dyDescent="0.35">
      <c r="A507" s="71"/>
      <c r="B507" s="92"/>
      <c r="C507" s="30"/>
      <c r="D507" s="18"/>
      <c r="E507" s="18">
        <f>E506</f>
        <v>13.9</v>
      </c>
    </row>
    <row r="508" spans="1:5" s="29" customFormat="1" ht="16.2" hidden="1" thickBot="1" x14ac:dyDescent="0.35">
      <c r="A508" s="71"/>
      <c r="B508" s="92"/>
      <c r="C508" s="18"/>
      <c r="D508" s="18"/>
      <c r="E508" s="18">
        <f>E506-E507</f>
        <v>0</v>
      </c>
    </row>
    <row r="509" spans="1:5" s="29" customFormat="1" ht="16.2" hidden="1" thickBot="1" x14ac:dyDescent="0.35">
      <c r="A509" s="71"/>
      <c r="B509" s="92"/>
      <c r="C509" s="18"/>
      <c r="D509" s="18"/>
      <c r="E509" s="18"/>
    </row>
    <row r="510" spans="1:5" s="29" customFormat="1" ht="16.2" hidden="1" thickBot="1" x14ac:dyDescent="0.35">
      <c r="A510" s="72"/>
      <c r="B510" s="93"/>
      <c r="C510" s="19"/>
      <c r="D510" s="19"/>
      <c r="E510" s="19"/>
    </row>
    <row r="511" spans="1:5" s="29" customFormat="1" ht="16.2" hidden="1" thickBot="1" x14ac:dyDescent="0.35">
      <c r="A511" s="74" t="s">
        <v>102</v>
      </c>
      <c r="B511" s="91" t="s">
        <v>270</v>
      </c>
      <c r="C511" s="17">
        <v>311.5</v>
      </c>
      <c r="D511" s="17"/>
      <c r="E511" s="17"/>
    </row>
    <row r="512" spans="1:5" s="29" customFormat="1" ht="16.2" hidden="1" thickBot="1" x14ac:dyDescent="0.35">
      <c r="A512" s="71"/>
      <c r="B512" s="92"/>
      <c r="C512" s="18">
        <f>C511*0.5</f>
        <v>155.75</v>
      </c>
      <c r="D512" s="18"/>
      <c r="E512" s="18"/>
    </row>
    <row r="513" spans="1:5" s="29" customFormat="1" ht="16.2" hidden="1" thickBot="1" x14ac:dyDescent="0.35">
      <c r="A513" s="71"/>
      <c r="B513" s="92"/>
      <c r="C513" s="18">
        <f>C511-C512</f>
        <v>155.75</v>
      </c>
      <c r="D513" s="18"/>
      <c r="E513" s="18"/>
    </row>
    <row r="514" spans="1:5" s="29" customFormat="1" ht="16.2" hidden="1" thickBot="1" x14ac:dyDescent="0.35">
      <c r="A514" s="71"/>
      <c r="B514" s="92"/>
      <c r="C514" s="18"/>
      <c r="D514" s="18"/>
      <c r="E514" s="18"/>
    </row>
    <row r="515" spans="1:5" s="29" customFormat="1" ht="16.2" hidden="1" thickBot="1" x14ac:dyDescent="0.35">
      <c r="A515" s="72"/>
      <c r="B515" s="93"/>
      <c r="C515" s="20"/>
      <c r="D515" s="19"/>
      <c r="E515" s="19"/>
    </row>
    <row r="516" spans="1:5" s="29" customFormat="1" ht="60" customHeight="1" thickBot="1" x14ac:dyDescent="0.35">
      <c r="A516" s="73" t="s">
        <v>103</v>
      </c>
      <c r="B516" s="91" t="s">
        <v>271</v>
      </c>
      <c r="C516" s="62">
        <v>12</v>
      </c>
      <c r="D516" s="17"/>
      <c r="E516" s="17"/>
    </row>
    <row r="517" spans="1:5" s="29" customFormat="1" ht="16.2" hidden="1" thickBot="1" x14ac:dyDescent="0.35">
      <c r="A517" s="71"/>
      <c r="B517" s="92"/>
      <c r="C517" s="30"/>
      <c r="D517" s="18"/>
      <c r="E517" s="18"/>
    </row>
    <row r="518" spans="1:5" s="29" customFormat="1" ht="16.2" hidden="1" thickBot="1" x14ac:dyDescent="0.35">
      <c r="A518" s="71"/>
      <c r="B518" s="92"/>
      <c r="C518" s="18"/>
      <c r="D518" s="18"/>
      <c r="E518" s="18"/>
    </row>
    <row r="519" spans="1:5" s="29" customFormat="1" ht="16.2" hidden="1" thickBot="1" x14ac:dyDescent="0.35">
      <c r="A519" s="71"/>
      <c r="B519" s="92"/>
      <c r="C519" s="18"/>
      <c r="D519" s="18"/>
      <c r="E519" s="18"/>
    </row>
    <row r="520" spans="1:5" s="29" customFormat="1" ht="16.2" hidden="1" thickBot="1" x14ac:dyDescent="0.35">
      <c r="A520" s="72"/>
      <c r="B520" s="93"/>
      <c r="C520" s="20"/>
      <c r="D520" s="19"/>
      <c r="E520" s="19"/>
    </row>
    <row r="521" spans="1:5" s="29" customFormat="1" ht="60" customHeight="1" thickBot="1" x14ac:dyDescent="0.35">
      <c r="A521" s="73" t="s">
        <v>104</v>
      </c>
      <c r="B521" s="91" t="s">
        <v>272</v>
      </c>
      <c r="C521" s="62">
        <v>10</v>
      </c>
      <c r="D521" s="17">
        <f>(0.28+0.4)*3.9</f>
        <v>2.6520000000000001</v>
      </c>
      <c r="E521" s="17"/>
    </row>
    <row r="522" spans="1:5" s="29" customFormat="1" ht="16.2" hidden="1" thickBot="1" x14ac:dyDescent="0.35">
      <c r="A522" s="71"/>
      <c r="B522" s="92"/>
      <c r="C522" s="30">
        <f>C521</f>
        <v>10</v>
      </c>
      <c r="D522" s="18">
        <v>0</v>
      </c>
      <c r="E522" s="18"/>
    </row>
    <row r="523" spans="1:5" s="29" customFormat="1" ht="16.2" hidden="1" thickBot="1" x14ac:dyDescent="0.35">
      <c r="A523" s="71"/>
      <c r="B523" s="92"/>
      <c r="C523" s="18">
        <f>C521-C522</f>
        <v>0</v>
      </c>
      <c r="D523" s="18">
        <f>D521-D522</f>
        <v>2.6520000000000001</v>
      </c>
      <c r="E523" s="18"/>
    </row>
    <row r="524" spans="1:5" s="29" customFormat="1" ht="16.2" hidden="1" thickBot="1" x14ac:dyDescent="0.35">
      <c r="A524" s="71"/>
      <c r="B524" s="92"/>
      <c r="C524" s="18"/>
      <c r="D524" s="18"/>
      <c r="E524" s="18"/>
    </row>
    <row r="525" spans="1:5" s="29" customFormat="1" ht="16.2" hidden="1" thickBot="1" x14ac:dyDescent="0.35">
      <c r="A525" s="72"/>
      <c r="B525" s="93"/>
      <c r="C525" s="20"/>
      <c r="D525" s="19"/>
      <c r="E525" s="19"/>
    </row>
    <row r="526" spans="1:5" s="29" customFormat="1" ht="60" customHeight="1" thickBot="1" x14ac:dyDescent="0.35">
      <c r="A526" s="73" t="s">
        <v>105</v>
      </c>
      <c r="B526" s="91" t="s">
        <v>239</v>
      </c>
      <c r="C526" s="62">
        <v>4</v>
      </c>
      <c r="D526" s="17"/>
      <c r="E526" s="17">
        <v>2.34</v>
      </c>
    </row>
    <row r="527" spans="1:5" s="29" customFormat="1" ht="16.2" hidden="1" thickBot="1" x14ac:dyDescent="0.35">
      <c r="A527" s="71"/>
      <c r="B527" s="92"/>
      <c r="C527" s="30"/>
      <c r="D527" s="18"/>
      <c r="E527" s="18">
        <f>E526</f>
        <v>2.34</v>
      </c>
    </row>
    <row r="528" spans="1:5" s="29" customFormat="1" ht="16.2" hidden="1" thickBot="1" x14ac:dyDescent="0.35">
      <c r="A528" s="71"/>
      <c r="B528" s="92"/>
      <c r="C528" s="18"/>
      <c r="D528" s="18"/>
      <c r="E528" s="18">
        <f>E526-E527</f>
        <v>0</v>
      </c>
    </row>
    <row r="529" spans="1:5" s="29" customFormat="1" ht="16.2" hidden="1" thickBot="1" x14ac:dyDescent="0.35">
      <c r="A529" s="71"/>
      <c r="B529" s="92"/>
      <c r="C529" s="18"/>
      <c r="D529" s="18"/>
      <c r="E529" s="18"/>
    </row>
    <row r="530" spans="1:5" s="29" customFormat="1" ht="16.2" hidden="1" thickBot="1" x14ac:dyDescent="0.35">
      <c r="A530" s="72"/>
      <c r="B530" s="93"/>
      <c r="C530" s="20"/>
      <c r="D530" s="19"/>
      <c r="E530" s="19"/>
    </row>
    <row r="531" spans="1:5" s="29" customFormat="1" ht="60" customHeight="1" thickBot="1" x14ac:dyDescent="0.35">
      <c r="A531" s="73" t="s">
        <v>106</v>
      </c>
      <c r="B531" s="91" t="s">
        <v>215</v>
      </c>
      <c r="C531" s="62">
        <v>7</v>
      </c>
      <c r="D531" s="17"/>
      <c r="E531" s="17">
        <f>0.8*3.9</f>
        <v>3.12</v>
      </c>
    </row>
    <row r="532" spans="1:5" s="29" customFormat="1" ht="16.2" hidden="1" thickBot="1" x14ac:dyDescent="0.35">
      <c r="A532" s="71"/>
      <c r="B532" s="92"/>
      <c r="C532" s="30"/>
      <c r="D532" s="18"/>
      <c r="E532" s="18">
        <f>0.5*3.9</f>
        <v>1.95</v>
      </c>
    </row>
    <row r="533" spans="1:5" s="29" customFormat="1" ht="16.2" hidden="1" thickBot="1" x14ac:dyDescent="0.35">
      <c r="A533" s="71"/>
      <c r="B533" s="92"/>
      <c r="C533" s="18"/>
      <c r="D533" s="18"/>
      <c r="E533" s="18">
        <f>E531-E532</f>
        <v>1.1700000000000002</v>
      </c>
    </row>
    <row r="534" spans="1:5" s="29" customFormat="1" ht="16.2" hidden="1" thickBot="1" x14ac:dyDescent="0.35">
      <c r="A534" s="71"/>
      <c r="B534" s="92"/>
      <c r="C534" s="18"/>
      <c r="D534" s="18"/>
      <c r="E534" s="18"/>
    </row>
    <row r="535" spans="1:5" s="29" customFormat="1" ht="16.2" hidden="1" thickBot="1" x14ac:dyDescent="0.35">
      <c r="A535" s="72"/>
      <c r="B535" s="93"/>
      <c r="C535" s="20"/>
      <c r="D535" s="19"/>
      <c r="E535" s="19"/>
    </row>
    <row r="536" spans="1:5" s="29" customFormat="1" ht="60" customHeight="1" thickBot="1" x14ac:dyDescent="0.35">
      <c r="A536" s="73" t="s">
        <v>107</v>
      </c>
      <c r="B536" s="91" t="s">
        <v>206</v>
      </c>
      <c r="C536" s="62">
        <v>6</v>
      </c>
      <c r="D536" s="17"/>
      <c r="E536" s="17">
        <f>(0.3+0.3+0.3+0.3+0.2+0.3)*3.9</f>
        <v>6.63</v>
      </c>
    </row>
    <row r="537" spans="1:5" s="29" customFormat="1" ht="16.2" hidden="1" thickBot="1" x14ac:dyDescent="0.35">
      <c r="A537" s="71"/>
      <c r="B537" s="92"/>
      <c r="C537" s="30"/>
      <c r="D537" s="18"/>
      <c r="E537" s="18">
        <f>0.6*3.9</f>
        <v>2.34</v>
      </c>
    </row>
    <row r="538" spans="1:5" s="29" customFormat="1" ht="16.2" hidden="1" thickBot="1" x14ac:dyDescent="0.35">
      <c r="A538" s="71"/>
      <c r="B538" s="92"/>
      <c r="C538" s="18"/>
      <c r="D538" s="18"/>
      <c r="E538" s="18">
        <f>E536-E537</f>
        <v>4.29</v>
      </c>
    </row>
    <row r="539" spans="1:5" s="29" customFormat="1" ht="16.2" hidden="1" thickBot="1" x14ac:dyDescent="0.35">
      <c r="A539" s="71"/>
      <c r="B539" s="92"/>
      <c r="C539" s="18"/>
      <c r="D539" s="18"/>
      <c r="E539" s="18"/>
    </row>
    <row r="540" spans="1:5" s="29" customFormat="1" ht="16.2" hidden="1" thickBot="1" x14ac:dyDescent="0.35">
      <c r="A540" s="72"/>
      <c r="B540" s="93"/>
      <c r="C540" s="20"/>
      <c r="D540" s="19"/>
      <c r="E540" s="19"/>
    </row>
    <row r="541" spans="1:5" s="29" customFormat="1" ht="60" customHeight="1" thickBot="1" x14ac:dyDescent="0.35">
      <c r="A541" s="73" t="s">
        <v>108</v>
      </c>
      <c r="B541" s="91" t="s">
        <v>207</v>
      </c>
      <c r="C541" s="62">
        <v>2</v>
      </c>
      <c r="D541" s="17"/>
      <c r="E541" s="17">
        <f>(0.3+0.3+0.3+0.3+0.2+0.3)*3.9</f>
        <v>6.63</v>
      </c>
    </row>
    <row r="542" spans="1:5" s="29" customFormat="1" ht="16.2" hidden="1" thickBot="1" x14ac:dyDescent="0.35">
      <c r="A542" s="71"/>
      <c r="B542" s="92"/>
      <c r="C542" s="30"/>
      <c r="D542" s="18"/>
      <c r="E542" s="18">
        <f>E541</f>
        <v>6.63</v>
      </c>
    </row>
    <row r="543" spans="1:5" s="29" customFormat="1" ht="16.2" hidden="1" thickBot="1" x14ac:dyDescent="0.35">
      <c r="A543" s="71"/>
      <c r="B543" s="92"/>
      <c r="C543" s="18"/>
      <c r="D543" s="18"/>
      <c r="E543" s="18">
        <f>E541-E542</f>
        <v>0</v>
      </c>
    </row>
    <row r="544" spans="1:5" s="29" customFormat="1" ht="16.2" hidden="1" thickBot="1" x14ac:dyDescent="0.35">
      <c r="A544" s="71"/>
      <c r="B544" s="92"/>
      <c r="C544" s="18"/>
      <c r="D544" s="18"/>
      <c r="E544" s="18"/>
    </row>
    <row r="545" spans="1:5" s="29" customFormat="1" ht="16.2" hidden="1" thickBot="1" x14ac:dyDescent="0.35">
      <c r="A545" s="72"/>
      <c r="B545" s="93"/>
      <c r="C545" s="20"/>
      <c r="D545" s="19"/>
      <c r="E545" s="19"/>
    </row>
    <row r="546" spans="1:5" s="29" customFormat="1" ht="60" customHeight="1" thickBot="1" x14ac:dyDescent="0.35">
      <c r="A546" s="73" t="s">
        <v>109</v>
      </c>
      <c r="B546" s="91" t="s">
        <v>201</v>
      </c>
      <c r="C546" s="62">
        <v>4</v>
      </c>
      <c r="D546" s="17"/>
      <c r="E546" s="17"/>
    </row>
    <row r="547" spans="1:5" s="29" customFormat="1" ht="16.2" hidden="1" thickBot="1" x14ac:dyDescent="0.35">
      <c r="A547" s="71"/>
      <c r="B547" s="92"/>
      <c r="C547" s="30"/>
      <c r="D547" s="18"/>
      <c r="E547" s="18"/>
    </row>
    <row r="548" spans="1:5" s="29" customFormat="1" ht="16.2" hidden="1" thickBot="1" x14ac:dyDescent="0.35">
      <c r="A548" s="71"/>
      <c r="B548" s="92"/>
      <c r="C548" s="18"/>
      <c r="D548" s="18"/>
      <c r="E548" s="18"/>
    </row>
    <row r="549" spans="1:5" s="29" customFormat="1" ht="16.2" hidden="1" thickBot="1" x14ac:dyDescent="0.35">
      <c r="A549" s="71"/>
      <c r="B549" s="92"/>
      <c r="C549" s="18"/>
      <c r="D549" s="18"/>
      <c r="E549" s="18"/>
    </row>
    <row r="550" spans="1:5" s="29" customFormat="1" ht="16.2" hidden="1" thickBot="1" x14ac:dyDescent="0.35">
      <c r="A550" s="72"/>
      <c r="B550" s="93"/>
      <c r="C550" s="20"/>
      <c r="D550" s="19"/>
      <c r="E550" s="19"/>
    </row>
    <row r="551" spans="1:5" s="29" customFormat="1" ht="60" customHeight="1" thickBot="1" x14ac:dyDescent="0.35">
      <c r="A551" s="73" t="s">
        <v>110</v>
      </c>
      <c r="B551" s="91" t="s">
        <v>218</v>
      </c>
      <c r="C551" s="62">
        <v>9</v>
      </c>
      <c r="D551" s="17"/>
      <c r="E551" s="17"/>
    </row>
    <row r="552" spans="1:5" s="29" customFormat="1" ht="16.2" hidden="1" thickBot="1" x14ac:dyDescent="0.35">
      <c r="A552" s="71"/>
      <c r="B552" s="92"/>
      <c r="C552" s="30"/>
      <c r="D552" s="18"/>
      <c r="E552" s="18"/>
    </row>
    <row r="553" spans="1:5" s="29" customFormat="1" ht="16.2" hidden="1" thickBot="1" x14ac:dyDescent="0.35">
      <c r="A553" s="71"/>
      <c r="B553" s="92"/>
      <c r="C553" s="18"/>
      <c r="D553" s="18"/>
      <c r="E553" s="18"/>
    </row>
    <row r="554" spans="1:5" s="29" customFormat="1" ht="16.2" hidden="1" thickBot="1" x14ac:dyDescent="0.35">
      <c r="A554" s="71"/>
      <c r="B554" s="92"/>
      <c r="C554" s="18"/>
      <c r="D554" s="18"/>
      <c r="E554" s="18"/>
    </row>
    <row r="555" spans="1:5" s="29" customFormat="1" ht="16.2" hidden="1" thickBot="1" x14ac:dyDescent="0.35">
      <c r="A555" s="72"/>
      <c r="B555" s="93"/>
      <c r="C555" s="20"/>
      <c r="D555" s="19"/>
      <c r="E555" s="19"/>
    </row>
    <row r="556" spans="1:5" s="29" customFormat="1" ht="60" customHeight="1" thickBot="1" x14ac:dyDescent="0.35">
      <c r="A556" s="73" t="s">
        <v>111</v>
      </c>
      <c r="B556" s="91" t="s">
        <v>273</v>
      </c>
      <c r="C556" s="62">
        <v>25</v>
      </c>
      <c r="D556" s="17"/>
      <c r="E556" s="17"/>
    </row>
    <row r="557" spans="1:5" s="29" customFormat="1" ht="16.2" hidden="1" thickBot="1" x14ac:dyDescent="0.35">
      <c r="A557" s="71"/>
      <c r="B557" s="92"/>
      <c r="C557" s="30">
        <f>C556</f>
        <v>25</v>
      </c>
      <c r="D557" s="18"/>
      <c r="E557" s="18"/>
    </row>
    <row r="558" spans="1:5" s="29" customFormat="1" ht="16.2" hidden="1" thickBot="1" x14ac:dyDescent="0.35">
      <c r="A558" s="71"/>
      <c r="B558" s="92"/>
      <c r="C558" s="18">
        <f>C556-C557</f>
        <v>0</v>
      </c>
      <c r="D558" s="18"/>
      <c r="E558" s="18"/>
    </row>
    <row r="559" spans="1:5" s="29" customFormat="1" ht="16.2" hidden="1" thickBot="1" x14ac:dyDescent="0.35">
      <c r="A559" s="71"/>
      <c r="B559" s="92"/>
      <c r="C559" s="18"/>
      <c r="D559" s="18"/>
      <c r="E559" s="18"/>
    </row>
    <row r="560" spans="1:5" s="29" customFormat="1" ht="16.2" hidden="1" thickBot="1" x14ac:dyDescent="0.35">
      <c r="A560" s="72"/>
      <c r="B560" s="93"/>
      <c r="C560" s="19"/>
      <c r="D560" s="19"/>
      <c r="E560" s="19"/>
    </row>
    <row r="561" spans="1:5" s="29" customFormat="1" ht="16.2" hidden="1" thickBot="1" x14ac:dyDescent="0.35">
      <c r="A561" s="74" t="s">
        <v>112</v>
      </c>
      <c r="B561" s="91" t="s">
        <v>274</v>
      </c>
      <c r="C561" s="17">
        <f>(0.3*4+0.5)*3.9</f>
        <v>6.63</v>
      </c>
      <c r="D561" s="17"/>
      <c r="E561" s="17"/>
    </row>
    <row r="562" spans="1:5" s="29" customFormat="1" ht="16.2" hidden="1" thickBot="1" x14ac:dyDescent="0.35">
      <c r="A562" s="71"/>
      <c r="B562" s="92"/>
      <c r="C562" s="18">
        <f>C561</f>
        <v>6.63</v>
      </c>
      <c r="D562" s="18"/>
      <c r="E562" s="18"/>
    </row>
    <row r="563" spans="1:5" s="29" customFormat="1" ht="16.2" hidden="1" thickBot="1" x14ac:dyDescent="0.35">
      <c r="A563" s="71"/>
      <c r="B563" s="92"/>
      <c r="C563" s="18">
        <f>C561-C562</f>
        <v>0</v>
      </c>
      <c r="D563" s="18"/>
      <c r="E563" s="18"/>
    </row>
    <row r="564" spans="1:5" s="29" customFormat="1" ht="16.2" hidden="1" thickBot="1" x14ac:dyDescent="0.35">
      <c r="A564" s="71"/>
      <c r="B564" s="92"/>
      <c r="C564" s="18"/>
      <c r="D564" s="18"/>
      <c r="E564" s="18"/>
    </row>
    <row r="565" spans="1:5" s="29" customFormat="1" ht="16.2" hidden="1" thickBot="1" x14ac:dyDescent="0.35">
      <c r="A565" s="72"/>
      <c r="B565" s="93"/>
      <c r="C565" s="19"/>
      <c r="D565" s="18"/>
      <c r="E565" s="19"/>
    </row>
    <row r="566" spans="1:5" s="29" customFormat="1" ht="16.2" hidden="1" thickBot="1" x14ac:dyDescent="0.35">
      <c r="A566" s="74" t="s">
        <v>113</v>
      </c>
      <c r="B566" s="91" t="s">
        <v>218</v>
      </c>
      <c r="C566" s="17">
        <f>0.47*3.9</f>
        <v>1.833</v>
      </c>
      <c r="D566" s="17">
        <f>(0.08+0.65+0.38+0.47+0.6)*3.9</f>
        <v>8.5019999999999989</v>
      </c>
      <c r="E566" s="17"/>
    </row>
    <row r="567" spans="1:5" s="29" customFormat="1" ht="16.2" hidden="1" thickBot="1" x14ac:dyDescent="0.35">
      <c r="A567" s="71"/>
      <c r="B567" s="92"/>
      <c r="C567" s="18">
        <f>C566</f>
        <v>1.833</v>
      </c>
      <c r="D567" s="18">
        <v>0</v>
      </c>
      <c r="E567" s="18"/>
    </row>
    <row r="568" spans="1:5" s="29" customFormat="1" ht="16.2" hidden="1" thickBot="1" x14ac:dyDescent="0.35">
      <c r="A568" s="71"/>
      <c r="B568" s="92"/>
      <c r="C568" s="18">
        <f t="shared" ref="C568:D568" si="4">C566-C567</f>
        <v>0</v>
      </c>
      <c r="D568" s="18">
        <f t="shared" si="4"/>
        <v>8.5019999999999989</v>
      </c>
      <c r="E568" s="18"/>
    </row>
    <row r="569" spans="1:5" s="29" customFormat="1" ht="16.2" hidden="1" thickBot="1" x14ac:dyDescent="0.35">
      <c r="A569" s="71"/>
      <c r="B569" s="92"/>
      <c r="C569" s="18"/>
      <c r="D569" s="18"/>
      <c r="E569" s="18"/>
    </row>
    <row r="570" spans="1:5" s="29" customFormat="1" ht="16.2" hidden="1" thickBot="1" x14ac:dyDescent="0.35">
      <c r="A570" s="72"/>
      <c r="B570" s="93"/>
      <c r="C570" s="19"/>
      <c r="D570" s="19"/>
      <c r="E570" s="19"/>
    </row>
    <row r="571" spans="1:5" s="29" customFormat="1" ht="16.2" hidden="1" thickBot="1" x14ac:dyDescent="0.35">
      <c r="A571" s="74" t="s">
        <v>114</v>
      </c>
      <c r="B571" s="91" t="s">
        <v>275</v>
      </c>
      <c r="C571" s="17"/>
      <c r="D571" s="17"/>
      <c r="E571" s="17"/>
    </row>
    <row r="572" spans="1:5" s="29" customFormat="1" ht="16.2" hidden="1" thickBot="1" x14ac:dyDescent="0.35">
      <c r="A572" s="71"/>
      <c r="B572" s="92"/>
      <c r="C572" s="18"/>
      <c r="D572" s="18"/>
      <c r="E572" s="18"/>
    </row>
    <row r="573" spans="1:5" s="29" customFormat="1" ht="16.2" hidden="1" thickBot="1" x14ac:dyDescent="0.35">
      <c r="A573" s="71"/>
      <c r="B573" s="92"/>
      <c r="C573" s="18"/>
      <c r="D573" s="18"/>
      <c r="E573" s="18"/>
    </row>
    <row r="574" spans="1:5" s="29" customFormat="1" ht="16.2" hidden="1" thickBot="1" x14ac:dyDescent="0.35">
      <c r="A574" s="71"/>
      <c r="B574" s="92"/>
      <c r="C574" s="18"/>
      <c r="D574" s="18"/>
      <c r="E574" s="18"/>
    </row>
    <row r="575" spans="1:5" s="29" customFormat="1" ht="16.2" hidden="1" thickBot="1" x14ac:dyDescent="0.35">
      <c r="A575" s="72"/>
      <c r="B575" s="93"/>
      <c r="C575" s="19"/>
      <c r="D575" s="19"/>
      <c r="E575" s="19"/>
    </row>
    <row r="576" spans="1:5" s="29" customFormat="1" ht="16.2" hidden="1" thickBot="1" x14ac:dyDescent="0.35">
      <c r="A576" s="74" t="s">
        <v>115</v>
      </c>
      <c r="B576" s="91" t="s">
        <v>276</v>
      </c>
      <c r="C576" s="17"/>
      <c r="D576" s="17"/>
      <c r="E576" s="17"/>
    </row>
    <row r="577" spans="1:5" s="29" customFormat="1" ht="16.2" hidden="1" thickBot="1" x14ac:dyDescent="0.35">
      <c r="A577" s="71"/>
      <c r="B577" s="92"/>
      <c r="C577" s="18"/>
      <c r="D577" s="18"/>
      <c r="E577" s="18"/>
    </row>
    <row r="578" spans="1:5" s="29" customFormat="1" ht="16.2" hidden="1" thickBot="1" x14ac:dyDescent="0.35">
      <c r="A578" s="71"/>
      <c r="B578" s="92"/>
      <c r="C578" s="18"/>
      <c r="D578" s="18"/>
      <c r="E578" s="18"/>
    </row>
    <row r="579" spans="1:5" s="29" customFormat="1" ht="16.2" hidden="1" thickBot="1" x14ac:dyDescent="0.35">
      <c r="A579" s="71"/>
      <c r="B579" s="92"/>
      <c r="C579" s="18"/>
      <c r="D579" s="18"/>
      <c r="E579" s="18"/>
    </row>
    <row r="580" spans="1:5" s="29" customFormat="1" ht="16.2" hidden="1" thickBot="1" x14ac:dyDescent="0.35">
      <c r="A580" s="72"/>
      <c r="B580" s="93"/>
      <c r="C580" s="20"/>
      <c r="D580" s="19"/>
      <c r="E580" s="19"/>
    </row>
    <row r="581" spans="1:5" s="29" customFormat="1" ht="60" customHeight="1" thickBot="1" x14ac:dyDescent="0.35">
      <c r="A581" s="73" t="s">
        <v>116</v>
      </c>
      <c r="B581" s="91" t="s">
        <v>277</v>
      </c>
      <c r="C581" s="62">
        <v>11</v>
      </c>
      <c r="D581" s="17"/>
      <c r="E581" s="17"/>
    </row>
    <row r="582" spans="1:5" s="29" customFormat="1" ht="16.2" hidden="1" thickBot="1" x14ac:dyDescent="0.35">
      <c r="A582" s="71"/>
      <c r="B582" s="92"/>
      <c r="C582" s="30"/>
      <c r="D582" s="18"/>
      <c r="E582" s="18"/>
    </row>
    <row r="583" spans="1:5" s="29" customFormat="1" ht="16.2" hidden="1" thickBot="1" x14ac:dyDescent="0.35">
      <c r="A583" s="71"/>
      <c r="B583" s="92"/>
      <c r="C583" s="18"/>
      <c r="D583" s="18"/>
      <c r="E583" s="18"/>
    </row>
    <row r="584" spans="1:5" s="29" customFormat="1" ht="16.2" hidden="1" thickBot="1" x14ac:dyDescent="0.35">
      <c r="A584" s="71"/>
      <c r="B584" s="92"/>
      <c r="C584" s="18"/>
      <c r="D584" s="18"/>
      <c r="E584" s="18"/>
    </row>
    <row r="585" spans="1:5" s="29" customFormat="1" ht="16.2" hidden="1" thickBot="1" x14ac:dyDescent="0.35">
      <c r="A585" s="72"/>
      <c r="B585" s="93"/>
      <c r="C585" s="19"/>
      <c r="D585" s="19"/>
      <c r="E585" s="19"/>
    </row>
    <row r="586" spans="1:5" s="29" customFormat="1" ht="16.2" hidden="1" thickBot="1" x14ac:dyDescent="0.35">
      <c r="A586" s="74" t="s">
        <v>117</v>
      </c>
      <c r="B586" s="91" t="s">
        <v>278</v>
      </c>
      <c r="C586" s="17"/>
      <c r="D586" s="17"/>
      <c r="E586" s="17"/>
    </row>
    <row r="587" spans="1:5" s="29" customFormat="1" ht="16.2" hidden="1" thickBot="1" x14ac:dyDescent="0.35">
      <c r="A587" s="71"/>
      <c r="B587" s="92"/>
      <c r="C587" s="18"/>
      <c r="D587" s="18"/>
      <c r="E587" s="18"/>
    </row>
    <row r="588" spans="1:5" s="29" customFormat="1" ht="16.2" hidden="1" thickBot="1" x14ac:dyDescent="0.35">
      <c r="A588" s="71"/>
      <c r="B588" s="92"/>
      <c r="C588" s="18"/>
      <c r="D588" s="18"/>
      <c r="E588" s="18"/>
    </row>
    <row r="589" spans="1:5" s="29" customFormat="1" ht="16.2" hidden="1" thickBot="1" x14ac:dyDescent="0.35">
      <c r="A589" s="71"/>
      <c r="B589" s="92"/>
      <c r="C589" s="18"/>
      <c r="D589" s="18"/>
      <c r="E589" s="18"/>
    </row>
    <row r="590" spans="1:5" s="29" customFormat="1" ht="16.2" hidden="1" thickBot="1" x14ac:dyDescent="0.35">
      <c r="A590" s="72"/>
      <c r="B590" s="93"/>
      <c r="C590" s="19"/>
      <c r="D590" s="19"/>
      <c r="E590" s="19"/>
    </row>
    <row r="591" spans="1:5" s="29" customFormat="1" ht="16.2" hidden="1" thickBot="1" x14ac:dyDescent="0.35">
      <c r="A591" s="74" t="s">
        <v>118</v>
      </c>
      <c r="B591" s="91" t="s">
        <v>279</v>
      </c>
      <c r="C591" s="17"/>
      <c r="D591" s="17"/>
      <c r="E591" s="17"/>
    </row>
    <row r="592" spans="1:5" s="29" customFormat="1" ht="16.2" hidden="1" thickBot="1" x14ac:dyDescent="0.35">
      <c r="A592" s="71"/>
      <c r="B592" s="92"/>
      <c r="C592" s="18"/>
      <c r="D592" s="18"/>
      <c r="E592" s="18"/>
    </row>
    <row r="593" spans="1:5" s="29" customFormat="1" ht="16.2" hidden="1" thickBot="1" x14ac:dyDescent="0.35">
      <c r="A593" s="71"/>
      <c r="B593" s="92"/>
      <c r="C593" s="18"/>
      <c r="D593" s="18"/>
      <c r="E593" s="18"/>
    </row>
    <row r="594" spans="1:5" s="29" customFormat="1" ht="16.2" hidden="1" thickBot="1" x14ac:dyDescent="0.35">
      <c r="A594" s="71"/>
      <c r="B594" s="92"/>
      <c r="C594" s="18"/>
      <c r="D594" s="18"/>
      <c r="E594" s="18"/>
    </row>
    <row r="595" spans="1:5" s="29" customFormat="1" ht="16.2" hidden="1" thickBot="1" x14ac:dyDescent="0.35">
      <c r="A595" s="72"/>
      <c r="B595" s="93"/>
      <c r="C595" s="19"/>
      <c r="D595" s="19"/>
      <c r="E595" s="19"/>
    </row>
    <row r="596" spans="1:5" s="29" customFormat="1" ht="16.2" hidden="1" thickBot="1" x14ac:dyDescent="0.35">
      <c r="A596" s="74" t="s">
        <v>119</v>
      </c>
      <c r="B596" s="88" t="s">
        <v>238</v>
      </c>
      <c r="C596" s="17"/>
      <c r="D596" s="17"/>
      <c r="E596" s="17"/>
    </row>
    <row r="597" spans="1:5" s="29" customFormat="1" ht="16.2" hidden="1" thickBot="1" x14ac:dyDescent="0.35">
      <c r="A597" s="71"/>
      <c r="B597" s="89"/>
      <c r="C597" s="18"/>
      <c r="D597" s="18"/>
      <c r="E597" s="18"/>
    </row>
    <row r="598" spans="1:5" s="29" customFormat="1" ht="16.2" hidden="1" thickBot="1" x14ac:dyDescent="0.35">
      <c r="A598" s="71"/>
      <c r="B598" s="89"/>
      <c r="C598" s="18"/>
      <c r="D598" s="18"/>
      <c r="E598" s="18"/>
    </row>
    <row r="599" spans="1:5" s="29" customFormat="1" ht="16.2" hidden="1" thickBot="1" x14ac:dyDescent="0.35">
      <c r="A599" s="71"/>
      <c r="B599" s="89"/>
      <c r="C599" s="18"/>
      <c r="D599" s="18"/>
      <c r="E599" s="18"/>
    </row>
    <row r="600" spans="1:5" s="29" customFormat="1" ht="16.2" hidden="1" thickBot="1" x14ac:dyDescent="0.35">
      <c r="A600" s="72"/>
      <c r="B600" s="90"/>
      <c r="C600" s="19"/>
      <c r="D600" s="19"/>
      <c r="E600" s="19"/>
    </row>
    <row r="601" spans="1:5" s="29" customFormat="1" ht="16.2" hidden="1" thickBot="1" x14ac:dyDescent="0.35">
      <c r="A601" s="74" t="s">
        <v>120</v>
      </c>
      <c r="B601" s="91" t="s">
        <v>280</v>
      </c>
      <c r="C601" s="17"/>
      <c r="D601" s="17"/>
      <c r="E601" s="17"/>
    </row>
    <row r="602" spans="1:5" s="29" customFormat="1" ht="16.2" hidden="1" thickBot="1" x14ac:dyDescent="0.35">
      <c r="A602" s="71"/>
      <c r="B602" s="92"/>
      <c r="C602" s="18"/>
      <c r="D602" s="18"/>
      <c r="E602" s="18"/>
    </row>
    <row r="603" spans="1:5" s="29" customFormat="1" ht="16.2" hidden="1" thickBot="1" x14ac:dyDescent="0.35">
      <c r="A603" s="71"/>
      <c r="B603" s="92"/>
      <c r="C603" s="18"/>
      <c r="D603" s="18"/>
      <c r="E603" s="18"/>
    </row>
    <row r="604" spans="1:5" s="29" customFormat="1" ht="16.2" hidden="1" thickBot="1" x14ac:dyDescent="0.35">
      <c r="A604" s="71"/>
      <c r="B604" s="92"/>
      <c r="C604" s="18"/>
      <c r="D604" s="18"/>
      <c r="E604" s="18"/>
    </row>
    <row r="605" spans="1:5" s="29" customFormat="1" ht="16.2" hidden="1" thickBot="1" x14ac:dyDescent="0.35">
      <c r="A605" s="72"/>
      <c r="B605" s="93"/>
      <c r="C605" s="19"/>
      <c r="D605" s="19"/>
      <c r="E605" s="19"/>
    </row>
    <row r="606" spans="1:5" s="29" customFormat="1" ht="16.2" hidden="1" thickBot="1" x14ac:dyDescent="0.35">
      <c r="A606" s="74" t="s">
        <v>121</v>
      </c>
      <c r="B606" s="91" t="s">
        <v>250</v>
      </c>
      <c r="C606" s="17"/>
      <c r="D606" s="17"/>
      <c r="E606" s="17"/>
    </row>
    <row r="607" spans="1:5" s="29" customFormat="1" ht="16.2" hidden="1" thickBot="1" x14ac:dyDescent="0.35">
      <c r="A607" s="71"/>
      <c r="B607" s="92"/>
      <c r="C607" s="18"/>
      <c r="D607" s="18"/>
      <c r="E607" s="18"/>
    </row>
    <row r="608" spans="1:5" s="29" customFormat="1" ht="16.2" hidden="1" thickBot="1" x14ac:dyDescent="0.35">
      <c r="A608" s="71"/>
      <c r="B608" s="92"/>
      <c r="C608" s="18"/>
      <c r="D608" s="18"/>
      <c r="E608" s="18"/>
    </row>
    <row r="609" spans="1:5" s="29" customFormat="1" ht="16.2" hidden="1" thickBot="1" x14ac:dyDescent="0.35">
      <c r="A609" s="71"/>
      <c r="B609" s="92"/>
      <c r="C609" s="18"/>
      <c r="D609" s="18"/>
      <c r="E609" s="18"/>
    </row>
    <row r="610" spans="1:5" s="29" customFormat="1" ht="16.2" hidden="1" thickBot="1" x14ac:dyDescent="0.35">
      <c r="A610" s="72"/>
      <c r="B610" s="93"/>
      <c r="C610" s="19"/>
      <c r="D610" s="19"/>
      <c r="E610" s="19"/>
    </row>
    <row r="611" spans="1:5" s="29" customFormat="1" ht="16.2" hidden="1" thickBot="1" x14ac:dyDescent="0.35">
      <c r="A611" s="74" t="s">
        <v>122</v>
      </c>
      <c r="B611" s="88" t="s">
        <v>281</v>
      </c>
      <c r="C611" s="17"/>
      <c r="D611" s="17"/>
      <c r="E611" s="17"/>
    </row>
    <row r="612" spans="1:5" s="29" customFormat="1" ht="16.2" hidden="1" thickBot="1" x14ac:dyDescent="0.35">
      <c r="A612" s="71"/>
      <c r="B612" s="89"/>
      <c r="C612" s="18"/>
      <c r="D612" s="18"/>
      <c r="E612" s="18"/>
    </row>
    <row r="613" spans="1:5" s="29" customFormat="1" ht="16.2" hidden="1" thickBot="1" x14ac:dyDescent="0.35">
      <c r="A613" s="71"/>
      <c r="B613" s="89"/>
      <c r="C613" s="18"/>
      <c r="D613" s="18"/>
      <c r="E613" s="18"/>
    </row>
    <row r="614" spans="1:5" s="29" customFormat="1" ht="16.2" hidden="1" thickBot="1" x14ac:dyDescent="0.35">
      <c r="A614" s="71"/>
      <c r="B614" s="89"/>
      <c r="C614" s="18"/>
      <c r="D614" s="18"/>
      <c r="E614" s="18"/>
    </row>
    <row r="615" spans="1:5" s="29" customFormat="1" ht="16.2" hidden="1" thickBot="1" x14ac:dyDescent="0.35">
      <c r="A615" s="72"/>
      <c r="B615" s="90"/>
      <c r="C615" s="19"/>
      <c r="D615" s="19"/>
      <c r="E615" s="19"/>
    </row>
    <row r="616" spans="1:5" s="29" customFormat="1" ht="16.2" hidden="1" thickBot="1" x14ac:dyDescent="0.35">
      <c r="A616" s="74" t="s">
        <v>123</v>
      </c>
      <c r="B616" s="88" t="s">
        <v>252</v>
      </c>
      <c r="C616" s="17"/>
      <c r="D616" s="17"/>
      <c r="E616" s="17"/>
    </row>
    <row r="617" spans="1:5" s="29" customFormat="1" ht="16.2" hidden="1" thickBot="1" x14ac:dyDescent="0.35">
      <c r="A617" s="71"/>
      <c r="B617" s="89"/>
      <c r="C617" s="18"/>
      <c r="D617" s="18"/>
      <c r="E617" s="18"/>
    </row>
    <row r="618" spans="1:5" s="29" customFormat="1" ht="16.2" hidden="1" thickBot="1" x14ac:dyDescent="0.35">
      <c r="A618" s="71"/>
      <c r="B618" s="89"/>
      <c r="C618" s="18"/>
      <c r="D618" s="18"/>
      <c r="E618" s="18"/>
    </row>
    <row r="619" spans="1:5" s="29" customFormat="1" ht="16.2" hidden="1" thickBot="1" x14ac:dyDescent="0.35">
      <c r="A619" s="71"/>
      <c r="B619" s="89"/>
      <c r="C619" s="18"/>
      <c r="D619" s="18"/>
      <c r="E619" s="18"/>
    </row>
    <row r="620" spans="1:5" s="29" customFormat="1" ht="16.2" hidden="1" thickBot="1" x14ac:dyDescent="0.35">
      <c r="A620" s="72"/>
      <c r="B620" s="90"/>
      <c r="C620" s="19"/>
      <c r="D620" s="19"/>
      <c r="E620" s="19"/>
    </row>
    <row r="621" spans="1:5" s="29" customFormat="1" ht="16.2" hidden="1" thickBot="1" x14ac:dyDescent="0.35">
      <c r="A621" s="74" t="s">
        <v>124</v>
      </c>
      <c r="B621" s="88" t="s">
        <v>253</v>
      </c>
      <c r="C621" s="17"/>
      <c r="D621" s="17"/>
      <c r="E621" s="17"/>
    </row>
    <row r="622" spans="1:5" s="29" customFormat="1" ht="16.2" hidden="1" thickBot="1" x14ac:dyDescent="0.35">
      <c r="A622" s="71"/>
      <c r="B622" s="89"/>
      <c r="C622" s="18"/>
      <c r="D622" s="18"/>
      <c r="E622" s="18"/>
    </row>
    <row r="623" spans="1:5" s="29" customFormat="1" ht="16.2" hidden="1" thickBot="1" x14ac:dyDescent="0.35">
      <c r="A623" s="71"/>
      <c r="B623" s="89"/>
      <c r="C623" s="18"/>
      <c r="D623" s="18"/>
      <c r="E623" s="18"/>
    </row>
    <row r="624" spans="1:5" s="29" customFormat="1" ht="16.2" hidden="1" thickBot="1" x14ac:dyDescent="0.35">
      <c r="A624" s="71"/>
      <c r="B624" s="89"/>
      <c r="C624" s="18"/>
      <c r="D624" s="18"/>
      <c r="E624" s="18"/>
    </row>
    <row r="625" spans="1:5" s="29" customFormat="1" ht="16.2" hidden="1" thickBot="1" x14ac:dyDescent="0.35">
      <c r="A625" s="72"/>
      <c r="B625" s="90"/>
      <c r="C625" s="19"/>
      <c r="D625" s="19"/>
      <c r="E625" s="19"/>
    </row>
    <row r="626" spans="1:5" s="29" customFormat="1" ht="16.2" hidden="1" thickBot="1" x14ac:dyDescent="0.35">
      <c r="A626" s="74" t="s">
        <v>125</v>
      </c>
      <c r="B626" s="88" t="s">
        <v>249</v>
      </c>
      <c r="C626" s="17"/>
      <c r="D626" s="17"/>
      <c r="E626" s="17"/>
    </row>
    <row r="627" spans="1:5" s="29" customFormat="1" ht="16.2" hidden="1" thickBot="1" x14ac:dyDescent="0.35">
      <c r="A627" s="71"/>
      <c r="B627" s="89"/>
      <c r="C627" s="18"/>
      <c r="D627" s="18"/>
      <c r="E627" s="18"/>
    </row>
    <row r="628" spans="1:5" s="29" customFormat="1" ht="16.2" hidden="1" thickBot="1" x14ac:dyDescent="0.35">
      <c r="A628" s="71"/>
      <c r="B628" s="89"/>
      <c r="C628" s="18"/>
      <c r="D628" s="18"/>
      <c r="E628" s="18"/>
    </row>
    <row r="629" spans="1:5" s="29" customFormat="1" ht="16.2" hidden="1" thickBot="1" x14ac:dyDescent="0.35">
      <c r="A629" s="71"/>
      <c r="B629" s="89"/>
      <c r="C629" s="18"/>
      <c r="D629" s="18"/>
      <c r="E629" s="18"/>
    </row>
    <row r="630" spans="1:5" s="29" customFormat="1" ht="16.2" hidden="1" thickBot="1" x14ac:dyDescent="0.35">
      <c r="A630" s="72"/>
      <c r="B630" s="90"/>
      <c r="C630" s="19"/>
      <c r="D630" s="19"/>
      <c r="E630" s="19"/>
    </row>
    <row r="631" spans="1:5" s="29" customFormat="1" ht="16.2" hidden="1" thickBot="1" x14ac:dyDescent="0.35">
      <c r="A631" s="74" t="s">
        <v>126</v>
      </c>
      <c r="B631" s="88" t="s">
        <v>250</v>
      </c>
      <c r="C631" s="17"/>
      <c r="D631" s="17"/>
      <c r="E631" s="17"/>
    </row>
    <row r="632" spans="1:5" s="29" customFormat="1" ht="16.2" hidden="1" thickBot="1" x14ac:dyDescent="0.35">
      <c r="A632" s="71"/>
      <c r="B632" s="89"/>
      <c r="C632" s="18"/>
      <c r="D632" s="18"/>
      <c r="E632" s="18"/>
    </row>
    <row r="633" spans="1:5" s="29" customFormat="1" ht="16.2" hidden="1" thickBot="1" x14ac:dyDescent="0.35">
      <c r="A633" s="71"/>
      <c r="B633" s="89"/>
      <c r="C633" s="18"/>
      <c r="D633" s="18"/>
      <c r="E633" s="18"/>
    </row>
    <row r="634" spans="1:5" s="29" customFormat="1" ht="16.2" hidden="1" thickBot="1" x14ac:dyDescent="0.35">
      <c r="A634" s="71"/>
      <c r="B634" s="89"/>
      <c r="C634" s="18"/>
      <c r="D634" s="18"/>
      <c r="E634" s="18"/>
    </row>
    <row r="635" spans="1:5" s="29" customFormat="1" ht="16.2" hidden="1" thickBot="1" x14ac:dyDescent="0.35">
      <c r="A635" s="72"/>
      <c r="B635" s="90"/>
      <c r="C635" s="19"/>
      <c r="D635" s="19"/>
      <c r="E635" s="19"/>
    </row>
    <row r="636" spans="1:5" s="29" customFormat="1" ht="16.2" hidden="1" thickBot="1" x14ac:dyDescent="0.35">
      <c r="A636" s="74" t="s">
        <v>127</v>
      </c>
      <c r="B636" s="88" t="s">
        <v>252</v>
      </c>
      <c r="C636" s="17"/>
      <c r="D636" s="17"/>
      <c r="E636" s="17"/>
    </row>
    <row r="637" spans="1:5" s="29" customFormat="1" ht="16.2" hidden="1" thickBot="1" x14ac:dyDescent="0.35">
      <c r="A637" s="71"/>
      <c r="B637" s="89"/>
      <c r="C637" s="18"/>
      <c r="D637" s="18"/>
      <c r="E637" s="18"/>
    </row>
    <row r="638" spans="1:5" s="29" customFormat="1" ht="16.2" hidden="1" thickBot="1" x14ac:dyDescent="0.35">
      <c r="A638" s="71"/>
      <c r="B638" s="89"/>
      <c r="C638" s="18"/>
      <c r="D638" s="18"/>
      <c r="E638" s="18"/>
    </row>
    <row r="639" spans="1:5" s="29" customFormat="1" ht="16.2" hidden="1" thickBot="1" x14ac:dyDescent="0.35">
      <c r="A639" s="71"/>
      <c r="B639" s="89"/>
      <c r="C639" s="18"/>
      <c r="D639" s="18"/>
      <c r="E639" s="18"/>
    </row>
    <row r="640" spans="1:5" s="29" customFormat="1" ht="16.2" hidden="1" thickBot="1" x14ac:dyDescent="0.35">
      <c r="A640" s="72"/>
      <c r="B640" s="90"/>
      <c r="C640" s="19"/>
      <c r="D640" s="19"/>
      <c r="E640" s="19"/>
    </row>
    <row r="641" spans="1:5" s="29" customFormat="1" ht="16.2" hidden="1" thickBot="1" x14ac:dyDescent="0.35">
      <c r="A641" s="74" t="s">
        <v>128</v>
      </c>
      <c r="B641" s="88" t="s">
        <v>253</v>
      </c>
      <c r="C641" s="17"/>
      <c r="D641" s="17"/>
      <c r="E641" s="17"/>
    </row>
    <row r="642" spans="1:5" s="29" customFormat="1" ht="16.2" hidden="1" thickBot="1" x14ac:dyDescent="0.35">
      <c r="A642" s="71"/>
      <c r="B642" s="89"/>
      <c r="C642" s="18"/>
      <c r="D642" s="18"/>
      <c r="E642" s="18"/>
    </row>
    <row r="643" spans="1:5" s="29" customFormat="1" ht="16.2" hidden="1" thickBot="1" x14ac:dyDescent="0.35">
      <c r="A643" s="71"/>
      <c r="B643" s="89"/>
      <c r="C643" s="18"/>
      <c r="D643" s="18"/>
      <c r="E643" s="18"/>
    </row>
    <row r="644" spans="1:5" s="29" customFormat="1" ht="16.2" hidden="1" thickBot="1" x14ac:dyDescent="0.35">
      <c r="A644" s="71"/>
      <c r="B644" s="89"/>
      <c r="C644" s="18"/>
      <c r="D644" s="18"/>
      <c r="E644" s="18"/>
    </row>
    <row r="645" spans="1:5" s="29" customFormat="1" ht="16.2" hidden="1" thickBot="1" x14ac:dyDescent="0.35">
      <c r="A645" s="72"/>
      <c r="B645" s="90"/>
      <c r="C645" s="19"/>
      <c r="D645" s="19"/>
      <c r="E645" s="19"/>
    </row>
    <row r="646" spans="1:5" s="29" customFormat="1" ht="16.2" hidden="1" thickBot="1" x14ac:dyDescent="0.35">
      <c r="A646" s="74" t="s">
        <v>129</v>
      </c>
      <c r="B646" s="88" t="s">
        <v>281</v>
      </c>
      <c r="C646" s="17"/>
      <c r="D646" s="17"/>
      <c r="E646" s="17"/>
    </row>
    <row r="647" spans="1:5" s="29" customFormat="1" ht="16.2" hidden="1" thickBot="1" x14ac:dyDescent="0.35">
      <c r="A647" s="71"/>
      <c r="B647" s="89"/>
      <c r="C647" s="18"/>
      <c r="D647" s="18"/>
      <c r="E647" s="18"/>
    </row>
    <row r="648" spans="1:5" s="29" customFormat="1" ht="16.2" hidden="1" thickBot="1" x14ac:dyDescent="0.35">
      <c r="A648" s="71"/>
      <c r="B648" s="89"/>
      <c r="C648" s="18"/>
      <c r="D648" s="18"/>
      <c r="E648" s="18"/>
    </row>
    <row r="649" spans="1:5" s="29" customFormat="1" ht="16.2" hidden="1" thickBot="1" x14ac:dyDescent="0.35">
      <c r="A649" s="71"/>
      <c r="B649" s="89"/>
      <c r="C649" s="18"/>
      <c r="D649" s="18"/>
      <c r="E649" s="18"/>
    </row>
    <row r="650" spans="1:5" s="29" customFormat="1" ht="16.2" hidden="1" thickBot="1" x14ac:dyDescent="0.35">
      <c r="A650" s="72"/>
      <c r="B650" s="90"/>
      <c r="C650" s="19"/>
      <c r="D650" s="19"/>
      <c r="E650" s="19"/>
    </row>
    <row r="651" spans="1:5" s="29" customFormat="1" ht="16.2" hidden="1" thickBot="1" x14ac:dyDescent="0.35">
      <c r="A651" s="74" t="s">
        <v>130</v>
      </c>
      <c r="B651" s="88" t="s">
        <v>282</v>
      </c>
      <c r="C651" s="17">
        <v>32.450000000000003</v>
      </c>
      <c r="D651" s="17"/>
      <c r="E651" s="17"/>
    </row>
    <row r="652" spans="1:5" s="29" customFormat="1" ht="16.2" hidden="1" thickBot="1" x14ac:dyDescent="0.35">
      <c r="A652" s="71"/>
      <c r="B652" s="89"/>
      <c r="C652" s="18">
        <f>C651-7.5</f>
        <v>24.950000000000003</v>
      </c>
      <c r="D652" s="18"/>
      <c r="E652" s="18"/>
    </row>
    <row r="653" spans="1:5" s="29" customFormat="1" ht="16.2" hidden="1" thickBot="1" x14ac:dyDescent="0.35">
      <c r="A653" s="71"/>
      <c r="B653" s="89"/>
      <c r="C653" s="18">
        <f>C651-C652</f>
        <v>7.5</v>
      </c>
      <c r="D653" s="18"/>
      <c r="E653" s="18"/>
    </row>
    <row r="654" spans="1:5" s="29" customFormat="1" ht="16.2" hidden="1" thickBot="1" x14ac:dyDescent="0.35">
      <c r="A654" s="71"/>
      <c r="B654" s="89"/>
      <c r="C654" s="18"/>
      <c r="D654" s="18"/>
      <c r="E654" s="18"/>
    </row>
    <row r="655" spans="1:5" s="29" customFormat="1" ht="16.2" hidden="1" thickBot="1" x14ac:dyDescent="0.35">
      <c r="A655" s="72"/>
      <c r="B655" s="90"/>
      <c r="C655" s="19"/>
      <c r="D655" s="19"/>
      <c r="E655" s="19"/>
    </row>
    <row r="656" spans="1:5" s="29" customFormat="1" ht="16.2" hidden="1" thickBot="1" x14ac:dyDescent="0.35">
      <c r="A656" s="74" t="s">
        <v>131</v>
      </c>
      <c r="B656" s="88" t="s">
        <v>283</v>
      </c>
      <c r="C656" s="17"/>
      <c r="D656" s="17"/>
      <c r="E656" s="17"/>
    </row>
    <row r="657" spans="1:5" s="29" customFormat="1" ht="16.2" hidden="1" thickBot="1" x14ac:dyDescent="0.35">
      <c r="A657" s="71"/>
      <c r="B657" s="89"/>
      <c r="C657" s="18"/>
      <c r="D657" s="18"/>
      <c r="E657" s="18"/>
    </row>
    <row r="658" spans="1:5" s="29" customFormat="1" ht="16.2" hidden="1" thickBot="1" x14ac:dyDescent="0.35">
      <c r="A658" s="71"/>
      <c r="B658" s="89"/>
      <c r="C658" s="18"/>
      <c r="D658" s="18"/>
      <c r="E658" s="18"/>
    </row>
    <row r="659" spans="1:5" s="29" customFormat="1" ht="16.2" hidden="1" thickBot="1" x14ac:dyDescent="0.35">
      <c r="A659" s="71"/>
      <c r="B659" s="89"/>
      <c r="C659" s="18"/>
      <c r="D659" s="18"/>
      <c r="E659" s="18"/>
    </row>
    <row r="660" spans="1:5" s="29" customFormat="1" ht="16.2" hidden="1" thickBot="1" x14ac:dyDescent="0.35">
      <c r="A660" s="72"/>
      <c r="B660" s="90"/>
      <c r="C660" s="19"/>
      <c r="D660" s="19"/>
      <c r="E660" s="19"/>
    </row>
    <row r="661" spans="1:5" s="29" customFormat="1" ht="16.2" hidden="1" thickBot="1" x14ac:dyDescent="0.35">
      <c r="A661" s="74" t="s">
        <v>132</v>
      </c>
      <c r="B661" s="88" t="s">
        <v>284</v>
      </c>
      <c r="C661" s="17">
        <v>21.53</v>
      </c>
      <c r="D661" s="17"/>
      <c r="E661" s="17"/>
    </row>
    <row r="662" spans="1:5" s="29" customFormat="1" ht="16.2" hidden="1" thickBot="1" x14ac:dyDescent="0.35">
      <c r="A662" s="71"/>
      <c r="B662" s="89"/>
      <c r="C662" s="18">
        <f>C661</f>
        <v>21.53</v>
      </c>
      <c r="D662" s="18"/>
      <c r="E662" s="18"/>
    </row>
    <row r="663" spans="1:5" s="29" customFormat="1" ht="16.2" hidden="1" thickBot="1" x14ac:dyDescent="0.35">
      <c r="A663" s="71"/>
      <c r="B663" s="89"/>
      <c r="C663" s="18">
        <f>C661-C662</f>
        <v>0</v>
      </c>
      <c r="D663" s="18"/>
      <c r="E663" s="18"/>
    </row>
    <row r="664" spans="1:5" s="29" customFormat="1" ht="16.2" hidden="1" thickBot="1" x14ac:dyDescent="0.35">
      <c r="A664" s="71"/>
      <c r="B664" s="89"/>
      <c r="C664" s="18">
        <v>4.7</v>
      </c>
      <c r="D664" s="18"/>
      <c r="E664" s="18"/>
    </row>
    <row r="665" spans="1:5" s="29" customFormat="1" ht="16.2" hidden="1" thickBot="1" x14ac:dyDescent="0.35">
      <c r="A665" s="72"/>
      <c r="B665" s="90"/>
      <c r="C665" s="19"/>
      <c r="D665" s="19"/>
      <c r="E665" s="19"/>
    </row>
    <row r="666" spans="1:5" s="29" customFormat="1" ht="16.2" hidden="1" thickBot="1" x14ac:dyDescent="0.35">
      <c r="A666" s="74" t="s">
        <v>133</v>
      </c>
      <c r="B666" s="88" t="s">
        <v>285</v>
      </c>
      <c r="C666" s="17">
        <v>1.55</v>
      </c>
      <c r="D666" s="17"/>
      <c r="E666" s="17"/>
    </row>
    <row r="667" spans="1:5" s="29" customFormat="1" ht="16.2" hidden="1" thickBot="1" x14ac:dyDescent="0.35">
      <c r="A667" s="71"/>
      <c r="B667" s="89"/>
      <c r="C667" s="18">
        <v>0</v>
      </c>
      <c r="D667" s="18"/>
      <c r="E667" s="18"/>
    </row>
    <row r="668" spans="1:5" s="29" customFormat="1" ht="16.2" hidden="1" thickBot="1" x14ac:dyDescent="0.35">
      <c r="A668" s="71"/>
      <c r="B668" s="89"/>
      <c r="C668" s="18">
        <f>C666-C667</f>
        <v>1.55</v>
      </c>
      <c r="D668" s="18"/>
      <c r="E668" s="18"/>
    </row>
    <row r="669" spans="1:5" s="29" customFormat="1" ht="16.2" hidden="1" thickBot="1" x14ac:dyDescent="0.35">
      <c r="A669" s="71"/>
      <c r="B669" s="89"/>
      <c r="C669" s="18"/>
      <c r="D669" s="18"/>
      <c r="E669" s="18"/>
    </row>
    <row r="670" spans="1:5" s="29" customFormat="1" ht="16.2" hidden="1" thickBot="1" x14ac:dyDescent="0.35">
      <c r="A670" s="72"/>
      <c r="B670" s="90"/>
      <c r="C670" s="19"/>
      <c r="D670" s="19"/>
      <c r="E670" s="19"/>
    </row>
    <row r="671" spans="1:5" s="29" customFormat="1" ht="16.2" hidden="1" thickBot="1" x14ac:dyDescent="0.35">
      <c r="A671" s="74" t="s">
        <v>134</v>
      </c>
      <c r="B671" s="88" t="s">
        <v>218</v>
      </c>
      <c r="C671" s="17"/>
      <c r="D671" s="17"/>
      <c r="E671" s="17"/>
    </row>
    <row r="672" spans="1:5" s="29" customFormat="1" ht="16.2" hidden="1" thickBot="1" x14ac:dyDescent="0.35">
      <c r="A672" s="71"/>
      <c r="B672" s="89"/>
      <c r="C672" s="18"/>
      <c r="D672" s="18"/>
      <c r="E672" s="18"/>
    </row>
    <row r="673" spans="1:5" s="29" customFormat="1" ht="16.2" hidden="1" thickBot="1" x14ac:dyDescent="0.35">
      <c r="A673" s="71"/>
      <c r="B673" s="89"/>
      <c r="C673" s="18"/>
      <c r="D673" s="18"/>
      <c r="E673" s="18"/>
    </row>
    <row r="674" spans="1:5" s="29" customFormat="1" ht="16.2" hidden="1" thickBot="1" x14ac:dyDescent="0.35">
      <c r="A674" s="71"/>
      <c r="B674" s="89"/>
      <c r="C674" s="18"/>
      <c r="D674" s="18"/>
      <c r="E674" s="18"/>
    </row>
    <row r="675" spans="1:5" s="29" customFormat="1" ht="16.2" hidden="1" thickBot="1" x14ac:dyDescent="0.35">
      <c r="A675" s="72"/>
      <c r="B675" s="90"/>
      <c r="C675" s="19"/>
      <c r="D675" s="19"/>
      <c r="E675" s="19"/>
    </row>
    <row r="676" spans="1:5" s="29" customFormat="1" ht="16.2" hidden="1" thickBot="1" x14ac:dyDescent="0.35">
      <c r="A676" s="74" t="s">
        <v>135</v>
      </c>
      <c r="B676" s="88" t="s">
        <v>215</v>
      </c>
      <c r="C676" s="17"/>
      <c r="D676" s="17"/>
      <c r="E676" s="17"/>
    </row>
    <row r="677" spans="1:5" s="29" customFormat="1" ht="16.2" hidden="1" thickBot="1" x14ac:dyDescent="0.35">
      <c r="A677" s="71"/>
      <c r="B677" s="89"/>
      <c r="C677" s="18"/>
      <c r="D677" s="18"/>
      <c r="E677" s="18"/>
    </row>
    <row r="678" spans="1:5" s="29" customFormat="1" ht="16.2" hidden="1" thickBot="1" x14ac:dyDescent="0.35">
      <c r="A678" s="71"/>
      <c r="B678" s="89"/>
      <c r="C678" s="18"/>
      <c r="D678" s="18"/>
      <c r="E678" s="18"/>
    </row>
    <row r="679" spans="1:5" s="29" customFormat="1" ht="16.2" hidden="1" thickBot="1" x14ac:dyDescent="0.35">
      <c r="A679" s="71"/>
      <c r="B679" s="89"/>
      <c r="C679" s="18"/>
      <c r="D679" s="18"/>
      <c r="E679" s="18"/>
    </row>
    <row r="680" spans="1:5" s="29" customFormat="1" ht="16.2" hidden="1" thickBot="1" x14ac:dyDescent="0.35">
      <c r="A680" s="72"/>
      <c r="B680" s="90"/>
      <c r="C680" s="19"/>
      <c r="D680" s="19"/>
      <c r="E680" s="19"/>
    </row>
    <row r="681" spans="1:5" s="29" customFormat="1" ht="16.2" hidden="1" thickBot="1" x14ac:dyDescent="0.35">
      <c r="A681" s="74" t="s">
        <v>136</v>
      </c>
      <c r="B681" s="88" t="s">
        <v>286</v>
      </c>
      <c r="C681" s="17"/>
      <c r="D681" s="17"/>
      <c r="E681" s="17"/>
    </row>
    <row r="682" spans="1:5" s="29" customFormat="1" ht="16.2" hidden="1" thickBot="1" x14ac:dyDescent="0.35">
      <c r="A682" s="71"/>
      <c r="B682" s="89"/>
      <c r="C682" s="18"/>
      <c r="D682" s="18"/>
      <c r="E682" s="18"/>
    </row>
    <row r="683" spans="1:5" s="29" customFormat="1" ht="16.2" hidden="1" thickBot="1" x14ac:dyDescent="0.35">
      <c r="A683" s="71"/>
      <c r="B683" s="89"/>
      <c r="C683" s="18"/>
      <c r="D683" s="18"/>
      <c r="E683" s="18"/>
    </row>
    <row r="684" spans="1:5" s="29" customFormat="1" ht="16.2" hidden="1" thickBot="1" x14ac:dyDescent="0.35">
      <c r="A684" s="71"/>
      <c r="B684" s="89"/>
      <c r="C684" s="18"/>
      <c r="D684" s="18"/>
      <c r="E684" s="18"/>
    </row>
    <row r="685" spans="1:5" s="29" customFormat="1" ht="16.2" hidden="1" thickBot="1" x14ac:dyDescent="0.35">
      <c r="A685" s="72"/>
      <c r="B685" s="90"/>
      <c r="C685" s="19"/>
      <c r="D685" s="19"/>
      <c r="E685" s="19"/>
    </row>
    <row r="686" spans="1:5" s="29" customFormat="1" ht="16.2" hidden="1" thickBot="1" x14ac:dyDescent="0.35">
      <c r="A686" s="74" t="s">
        <v>137</v>
      </c>
      <c r="B686" s="88" t="s">
        <v>287</v>
      </c>
      <c r="C686" s="17"/>
      <c r="D686" s="17"/>
      <c r="E686" s="17"/>
    </row>
    <row r="687" spans="1:5" s="29" customFormat="1" ht="16.2" hidden="1" thickBot="1" x14ac:dyDescent="0.35">
      <c r="A687" s="71"/>
      <c r="B687" s="89"/>
      <c r="C687" s="18"/>
      <c r="D687" s="18"/>
      <c r="E687" s="18"/>
    </row>
    <row r="688" spans="1:5" s="29" customFormat="1" ht="16.2" hidden="1" thickBot="1" x14ac:dyDescent="0.35">
      <c r="A688" s="71"/>
      <c r="B688" s="89"/>
      <c r="C688" s="18"/>
      <c r="D688" s="18"/>
      <c r="E688" s="18"/>
    </row>
    <row r="689" spans="1:5" s="29" customFormat="1" ht="16.2" hidden="1" thickBot="1" x14ac:dyDescent="0.35">
      <c r="A689" s="71"/>
      <c r="B689" s="89"/>
      <c r="C689" s="18"/>
      <c r="D689" s="18"/>
      <c r="E689" s="18"/>
    </row>
    <row r="690" spans="1:5" s="29" customFormat="1" ht="16.2" hidden="1" thickBot="1" x14ac:dyDescent="0.35">
      <c r="A690" s="72"/>
      <c r="B690" s="90"/>
      <c r="C690" s="19"/>
      <c r="D690" s="19"/>
      <c r="E690" s="19"/>
    </row>
    <row r="691" spans="1:5" s="29" customFormat="1" ht="16.2" hidden="1" thickBot="1" x14ac:dyDescent="0.35">
      <c r="A691" s="74" t="s">
        <v>138</v>
      </c>
      <c r="B691" s="88" t="s">
        <v>277</v>
      </c>
      <c r="C691" s="17">
        <f>0.4*3.9</f>
        <v>1.56</v>
      </c>
      <c r="D691" s="17"/>
      <c r="E691" s="17"/>
    </row>
    <row r="692" spans="1:5" s="29" customFormat="1" ht="16.2" hidden="1" thickBot="1" x14ac:dyDescent="0.35">
      <c r="A692" s="71"/>
      <c r="B692" s="89"/>
      <c r="C692" s="18">
        <f>C691</f>
        <v>1.56</v>
      </c>
      <c r="D692" s="18"/>
      <c r="E692" s="18"/>
    </row>
    <row r="693" spans="1:5" s="29" customFormat="1" ht="16.2" hidden="1" thickBot="1" x14ac:dyDescent="0.35">
      <c r="A693" s="71"/>
      <c r="B693" s="89"/>
      <c r="C693" s="18">
        <f>C691-C692</f>
        <v>0</v>
      </c>
      <c r="D693" s="18"/>
      <c r="E693" s="18"/>
    </row>
    <row r="694" spans="1:5" s="29" customFormat="1" ht="16.2" hidden="1" thickBot="1" x14ac:dyDescent="0.35">
      <c r="A694" s="71"/>
      <c r="B694" s="89"/>
      <c r="C694" s="18"/>
      <c r="D694" s="18"/>
      <c r="E694" s="18"/>
    </row>
    <row r="695" spans="1:5" s="29" customFormat="1" ht="16.2" hidden="1" thickBot="1" x14ac:dyDescent="0.35">
      <c r="A695" s="72"/>
      <c r="B695" s="90"/>
      <c r="C695" s="19"/>
      <c r="D695" s="19"/>
      <c r="E695" s="19"/>
    </row>
    <row r="696" spans="1:5" s="29" customFormat="1" ht="16.2" hidden="1" thickBot="1" x14ac:dyDescent="0.35">
      <c r="A696" s="74" t="s">
        <v>139</v>
      </c>
      <c r="B696" s="88" t="s">
        <v>218</v>
      </c>
      <c r="C696" s="17"/>
      <c r="D696" s="17"/>
      <c r="E696" s="17"/>
    </row>
    <row r="697" spans="1:5" s="29" customFormat="1" ht="16.2" hidden="1" thickBot="1" x14ac:dyDescent="0.35">
      <c r="A697" s="71"/>
      <c r="B697" s="89"/>
      <c r="C697" s="18"/>
      <c r="D697" s="18"/>
      <c r="E697" s="18"/>
    </row>
    <row r="698" spans="1:5" s="29" customFormat="1" ht="16.2" hidden="1" thickBot="1" x14ac:dyDescent="0.35">
      <c r="A698" s="71"/>
      <c r="B698" s="89"/>
      <c r="C698" s="18"/>
      <c r="D698" s="18"/>
      <c r="E698" s="18"/>
    </row>
    <row r="699" spans="1:5" s="29" customFormat="1" ht="16.2" hidden="1" thickBot="1" x14ac:dyDescent="0.35">
      <c r="A699" s="71"/>
      <c r="B699" s="89"/>
      <c r="C699" s="18"/>
      <c r="D699" s="18"/>
      <c r="E699" s="18"/>
    </row>
    <row r="700" spans="1:5" s="29" customFormat="1" ht="16.2" hidden="1" thickBot="1" x14ac:dyDescent="0.35">
      <c r="A700" s="72"/>
      <c r="B700" s="90"/>
      <c r="C700" s="19"/>
      <c r="D700" s="19"/>
      <c r="E700" s="19"/>
    </row>
    <row r="701" spans="1:5" s="29" customFormat="1" ht="16.2" hidden="1" thickBot="1" x14ac:dyDescent="0.35">
      <c r="A701" s="74" t="s">
        <v>140</v>
      </c>
      <c r="B701" s="88" t="s">
        <v>288</v>
      </c>
      <c r="C701" s="17"/>
      <c r="D701" s="17"/>
      <c r="E701" s="17"/>
    </row>
    <row r="702" spans="1:5" s="29" customFormat="1" ht="16.2" hidden="1" thickBot="1" x14ac:dyDescent="0.35">
      <c r="A702" s="71"/>
      <c r="B702" s="89"/>
      <c r="C702" s="18"/>
      <c r="D702" s="18"/>
      <c r="E702" s="18"/>
    </row>
    <row r="703" spans="1:5" s="29" customFormat="1" ht="16.2" hidden="1" thickBot="1" x14ac:dyDescent="0.35">
      <c r="A703" s="71"/>
      <c r="B703" s="89"/>
      <c r="C703" s="18"/>
      <c r="D703" s="18"/>
      <c r="E703" s="18"/>
    </row>
    <row r="704" spans="1:5" s="29" customFormat="1" ht="16.2" hidden="1" thickBot="1" x14ac:dyDescent="0.35">
      <c r="A704" s="71"/>
      <c r="B704" s="89"/>
      <c r="C704" s="18"/>
      <c r="D704" s="18"/>
      <c r="E704" s="18"/>
    </row>
    <row r="705" spans="1:5" s="29" customFormat="1" ht="16.2" hidden="1" thickBot="1" x14ac:dyDescent="0.35">
      <c r="A705" s="72"/>
      <c r="B705" s="90"/>
      <c r="C705" s="20"/>
      <c r="D705" s="19"/>
      <c r="E705" s="19"/>
    </row>
    <row r="706" spans="1:5" s="29" customFormat="1" ht="60" customHeight="1" thickBot="1" x14ac:dyDescent="0.35">
      <c r="A706" s="73" t="s">
        <v>141</v>
      </c>
      <c r="B706" s="91" t="s">
        <v>273</v>
      </c>
      <c r="C706" s="62">
        <v>2</v>
      </c>
      <c r="D706" s="17">
        <f>(1.08+0.08+0.08+0.52+0.4+0.08+1.2+0.5+0.3)*3.9</f>
        <v>16.536000000000001</v>
      </c>
      <c r="E706" s="17"/>
    </row>
    <row r="707" spans="1:5" s="29" customFormat="1" ht="16.2" hidden="1" thickBot="1" x14ac:dyDescent="0.35">
      <c r="A707" s="71"/>
      <c r="B707" s="92"/>
      <c r="C707" s="30">
        <f>C706</f>
        <v>2</v>
      </c>
      <c r="D707" s="18">
        <v>0</v>
      </c>
      <c r="E707" s="18"/>
    </row>
    <row r="708" spans="1:5" s="29" customFormat="1" ht="16.2" hidden="1" thickBot="1" x14ac:dyDescent="0.35">
      <c r="A708" s="71"/>
      <c r="B708" s="92"/>
      <c r="C708" s="18">
        <f>C706-C707</f>
        <v>0</v>
      </c>
      <c r="D708" s="18">
        <f>D706-D707</f>
        <v>16.536000000000001</v>
      </c>
      <c r="E708" s="18"/>
    </row>
    <row r="709" spans="1:5" s="29" customFormat="1" ht="16.2" hidden="1" thickBot="1" x14ac:dyDescent="0.35">
      <c r="A709" s="71"/>
      <c r="B709" s="92"/>
      <c r="C709" s="18"/>
      <c r="D709" s="18"/>
      <c r="E709" s="18"/>
    </row>
    <row r="710" spans="1:5" s="29" customFormat="1" ht="16.2" hidden="1" thickBot="1" x14ac:dyDescent="0.35">
      <c r="A710" s="71"/>
      <c r="B710" s="93"/>
      <c r="C710" s="19"/>
      <c r="D710" s="19"/>
      <c r="E710" s="19"/>
    </row>
    <row r="711" spans="1:5" s="2" customFormat="1" ht="15" hidden="1" thickBot="1" x14ac:dyDescent="0.35">
      <c r="A711" s="75" t="s">
        <v>189</v>
      </c>
      <c r="B711" s="21"/>
      <c r="C711" s="11" t="e">
        <f>C706+C701+C696+C691+C686+C681+C676+C671+C666+C661+C656+C651+C646+C641+C636+C631+C626+C621+C616+C611+C606+C601+C596+C591+C586+C581+C576+C571+C566+C561+C556+C551+C546+C541+C536+C531+C526+C521+C516+C511+C506+C501+C496+C491+C486+C481+C476+C471+C466+C461+C456+C451+C446+C441+C436+#REF!+C426+C421</f>
        <v>#REF!</v>
      </c>
      <c r="D711" s="11">
        <f t="shared" ref="D711:E711" si="5">D706+D701+D696+D691+D686+D681+D676+D671+D666+D661+D656+D651+D646+D641+D636+D631+D626+D621+D616+D611+D606+D601+D596+D591+D586+D581+D576+D571+D566+D561+D556+D551+D546+D541+D536+D531+D526+D521+D516+D511+D506+D501+D496+D491+D486+D481+D476+D471+D466+D461+D456+D451+D446+D441+D436+D431+D426+D421</f>
        <v>141.15</v>
      </c>
      <c r="E711" s="11">
        <f t="shared" si="5"/>
        <v>198.98</v>
      </c>
    </row>
    <row r="712" spans="1:5" s="2" customFormat="1" ht="15" hidden="1" thickBot="1" x14ac:dyDescent="0.35">
      <c r="A712" s="76"/>
      <c r="B712" s="22"/>
      <c r="C712" s="10">
        <f>C707+C702+C697+C692+C687+C682+C677+C672+C667+C662+C657+C652+C647+C642+C637+C632+C627+C622+C617+C612+C607+C602+C597+C592+C587+C582+C577+C572+C567+C562+C557+C552+C547+C542+C537+C532+C527+C522+C517+C512+C507+C502+C497+C492+C487+C482+C477+C472+C467+C462+C457+C452+C447+C442+C437+C431+C427+C422</f>
        <v>365.93299999999999</v>
      </c>
      <c r="D712" s="10">
        <f t="shared" ref="D712:E712" si="6">D707+D702+D697+D692+D687+D682+D677+D672+D667+D662+D657+D652+D647+D642+D637+D632+D627+D622+D617+D612+D607+D602+D597+D592+D587+D582+D577+D572+D567+D562+D557+D552+D547+D542+D537+D532+D527+D522+D517+D512+D507+D502+D497+D492+D487+D482+D477+D472+D467+D462+D457+D452+D447+D442+D437+D432+D427+D422</f>
        <v>5.52</v>
      </c>
      <c r="E712" s="10">
        <f t="shared" si="6"/>
        <v>34.19</v>
      </c>
    </row>
    <row r="713" spans="1:5" s="2" customFormat="1" ht="15" hidden="1" thickBot="1" x14ac:dyDescent="0.35">
      <c r="A713" s="76"/>
      <c r="B713" s="22"/>
      <c r="C713" s="10">
        <f t="shared" ref="C713:E713" si="7">C708+C703+C698+C693+C688+C683+C678+C673+C668+C663+C658+C653+C648+C643+C638+C633+C628+C623+C618+C613+C608+C603+C598+C593+C588+C583+C578+C573+C568+C563+C558+C553+C548+C543+C538+C533+C528+C523+C518+C513+C508+C503+C498+C493+C488+C483+C478+C473+C468+C463+C458+C453+C448+C443+C438+C433+C428+C423</f>
        <v>164.8</v>
      </c>
      <c r="D713" s="10">
        <f t="shared" si="7"/>
        <v>109.28999999999999</v>
      </c>
      <c r="E713" s="10">
        <f t="shared" si="7"/>
        <v>5.46</v>
      </c>
    </row>
    <row r="714" spans="1:5" s="2" customFormat="1" ht="15" hidden="1" thickBot="1" x14ac:dyDescent="0.35">
      <c r="A714" s="76"/>
      <c r="B714" s="22"/>
      <c r="C714" s="10">
        <f t="shared" ref="C714:E714" si="8">C709+C704+C699+C694+C689+C684+C679+C674+C669+C664+C659+C654+C649+C644+C639+C634+C629+C624+C619+C614+C609+C604+C599+C594+C589+C584+C579+C574+C569+C564+C559+C554+C549+C544+C539+C534+C529+C524+C519+C514+C509+C504+C499+C494+C489+C484+C479+C474+C469+C464+C459+C454+C449+C444+C439+C434+C429+C424</f>
        <v>4.7</v>
      </c>
      <c r="D714" s="10">
        <f t="shared" si="8"/>
        <v>0</v>
      </c>
      <c r="E714" s="10">
        <f t="shared" si="8"/>
        <v>0</v>
      </c>
    </row>
    <row r="715" spans="1:5" s="2" customFormat="1" ht="15" hidden="1" thickBot="1" x14ac:dyDescent="0.35">
      <c r="A715" s="77"/>
      <c r="B715" s="23"/>
      <c r="C715" s="12">
        <f t="shared" ref="C715:E715" si="9">C710+C705+C700+C695+C690+C685+C680+C675+C670+C665+C660+C655+C650+C645+C640+C635+C630+C625+C620+C615+C610+C605+C600+C595+C590+C585+C580+C575+C570+C565+C560+C555+C550+C545+C540+C535+C530+C525+C520+C515+C510+C505+C500+C495+C490+C485+C480+C475+C470+C465+C460+C455+C450+C445+C440+C435+C430+C425</f>
        <v>0</v>
      </c>
      <c r="D715" s="12">
        <f t="shared" si="9"/>
        <v>0</v>
      </c>
      <c r="E715" s="12">
        <f t="shared" si="9"/>
        <v>0</v>
      </c>
    </row>
    <row r="716" spans="1:5" ht="15" hidden="1" thickBot="1" x14ac:dyDescent="0.35">
      <c r="A716" s="105" t="s">
        <v>142</v>
      </c>
      <c r="B716" s="104"/>
      <c r="C716" s="7"/>
      <c r="D716" s="13"/>
      <c r="E716" s="13"/>
    </row>
    <row r="717" spans="1:5" s="29" customFormat="1" ht="60" customHeight="1" thickBot="1" x14ac:dyDescent="0.35">
      <c r="A717" s="73" t="s">
        <v>143</v>
      </c>
      <c r="B717" s="91" t="s">
        <v>258</v>
      </c>
      <c r="C717" s="62">
        <v>8</v>
      </c>
      <c r="D717" s="35"/>
      <c r="E717" s="35">
        <v>7.42</v>
      </c>
    </row>
    <row r="718" spans="1:5" s="29" customFormat="1" ht="16.2" hidden="1" thickBot="1" x14ac:dyDescent="0.35">
      <c r="A718" s="71"/>
      <c r="B718" s="92"/>
      <c r="C718" s="30">
        <f>C717</f>
        <v>8</v>
      </c>
      <c r="D718" s="18"/>
      <c r="E718" s="18"/>
    </row>
    <row r="719" spans="1:5" s="29" customFormat="1" ht="16.2" hidden="1" thickBot="1" x14ac:dyDescent="0.35">
      <c r="A719" s="71"/>
      <c r="B719" s="92"/>
      <c r="C719" s="18">
        <f>C717-C718</f>
        <v>0</v>
      </c>
      <c r="D719" s="18"/>
      <c r="E719" s="18"/>
    </row>
    <row r="720" spans="1:5" s="29" customFormat="1" ht="16.2" hidden="1" thickBot="1" x14ac:dyDescent="0.35">
      <c r="A720" s="71"/>
      <c r="B720" s="92"/>
      <c r="C720" s="18"/>
      <c r="D720" s="18"/>
      <c r="E720" s="18"/>
    </row>
    <row r="721" spans="1:5" s="29" customFormat="1" ht="16.2" hidden="1" thickBot="1" x14ac:dyDescent="0.35">
      <c r="A721" s="72"/>
      <c r="B721" s="93"/>
      <c r="C721" s="20"/>
      <c r="D721" s="19"/>
      <c r="E721" s="19"/>
    </row>
    <row r="722" spans="1:5" s="29" customFormat="1" ht="60" customHeight="1" thickBot="1" x14ac:dyDescent="0.35">
      <c r="A722" s="73" t="s">
        <v>144</v>
      </c>
      <c r="B722" s="91" t="s">
        <v>289</v>
      </c>
      <c r="C722" s="62">
        <v>8</v>
      </c>
      <c r="D722" s="35">
        <v>10</v>
      </c>
      <c r="E722" s="35">
        <v>32.06</v>
      </c>
    </row>
    <row r="723" spans="1:5" s="29" customFormat="1" ht="16.2" hidden="1" thickBot="1" x14ac:dyDescent="0.35">
      <c r="A723" s="71"/>
      <c r="B723" s="92"/>
      <c r="C723" s="30">
        <f>C722</f>
        <v>8</v>
      </c>
      <c r="D723" s="18">
        <v>0</v>
      </c>
      <c r="E723" s="18"/>
    </row>
    <row r="724" spans="1:5" s="29" customFormat="1" ht="16.2" hidden="1" thickBot="1" x14ac:dyDescent="0.35">
      <c r="A724" s="71"/>
      <c r="B724" s="92"/>
      <c r="C724" s="18">
        <f>C722-C723</f>
        <v>0</v>
      </c>
      <c r="D724" s="18">
        <f>D722-D723</f>
        <v>10</v>
      </c>
      <c r="E724" s="18"/>
    </row>
    <row r="725" spans="1:5" s="29" customFormat="1" ht="16.2" hidden="1" thickBot="1" x14ac:dyDescent="0.35">
      <c r="A725" s="71"/>
      <c r="B725" s="92"/>
      <c r="C725" s="18"/>
      <c r="D725" s="18"/>
      <c r="E725" s="18"/>
    </row>
    <row r="726" spans="1:5" s="29" customFormat="1" ht="16.2" hidden="1" thickBot="1" x14ac:dyDescent="0.35">
      <c r="A726" s="72"/>
      <c r="B726" s="93"/>
      <c r="C726" s="20"/>
      <c r="D726" s="19"/>
      <c r="E726" s="19"/>
    </row>
    <row r="727" spans="1:5" s="29" customFormat="1" ht="60" customHeight="1" thickBot="1" x14ac:dyDescent="0.35">
      <c r="A727" s="73" t="s">
        <v>145</v>
      </c>
      <c r="B727" s="91" t="s">
        <v>290</v>
      </c>
      <c r="C727" s="112">
        <v>12</v>
      </c>
      <c r="D727" s="17">
        <f>(0.48+0.3)*3.9</f>
        <v>3.0419999999999998</v>
      </c>
      <c r="E727" s="17"/>
    </row>
    <row r="728" spans="1:5" s="29" customFormat="1" ht="15.6" hidden="1" customHeight="1" x14ac:dyDescent="0.35">
      <c r="A728" s="71"/>
      <c r="B728" s="92"/>
      <c r="C728" s="113"/>
      <c r="D728" s="18">
        <v>0</v>
      </c>
      <c r="E728" s="18"/>
    </row>
    <row r="729" spans="1:5" s="29" customFormat="1" ht="15.6" hidden="1" customHeight="1" x14ac:dyDescent="0.35">
      <c r="A729" s="71"/>
      <c r="B729" s="92"/>
      <c r="C729" s="113"/>
      <c r="D729" s="18">
        <f>D727-D728</f>
        <v>3.0419999999999998</v>
      </c>
      <c r="E729" s="18"/>
    </row>
    <row r="730" spans="1:5" s="29" customFormat="1" ht="15.6" hidden="1" customHeight="1" x14ac:dyDescent="0.35">
      <c r="A730" s="71"/>
      <c r="B730" s="92"/>
      <c r="C730" s="113"/>
      <c r="D730" s="18"/>
      <c r="E730" s="18"/>
    </row>
    <row r="731" spans="1:5" s="29" customFormat="1" ht="37.799999999999997" hidden="1" customHeight="1" thickBot="1" x14ac:dyDescent="0.35">
      <c r="A731" s="72"/>
      <c r="B731" s="93"/>
      <c r="C731" s="114"/>
      <c r="D731" s="19"/>
      <c r="E731" s="19"/>
    </row>
    <row r="732" spans="1:5" s="29" customFormat="1" ht="60" customHeight="1" thickBot="1" x14ac:dyDescent="0.35">
      <c r="A732" s="73" t="s">
        <v>146</v>
      </c>
      <c r="B732" s="91" t="s">
        <v>258</v>
      </c>
      <c r="C732" s="62">
        <v>8</v>
      </c>
      <c r="D732" s="35">
        <v>12</v>
      </c>
      <c r="E732" s="35">
        <v>22.84</v>
      </c>
    </row>
    <row r="733" spans="1:5" s="29" customFormat="1" ht="16.2" hidden="1" thickBot="1" x14ac:dyDescent="0.35">
      <c r="A733" s="71"/>
      <c r="B733" s="92"/>
      <c r="C733" s="30">
        <f>C732</f>
        <v>8</v>
      </c>
      <c r="D733" s="18"/>
      <c r="E733" s="18"/>
    </row>
    <row r="734" spans="1:5" s="29" customFormat="1" ht="16.2" hidden="1" thickBot="1" x14ac:dyDescent="0.35">
      <c r="A734" s="71"/>
      <c r="B734" s="92"/>
      <c r="C734" s="18">
        <f>C732-C733</f>
        <v>0</v>
      </c>
      <c r="D734" s="18"/>
      <c r="E734" s="18"/>
    </row>
    <row r="735" spans="1:5" s="29" customFormat="1" ht="16.2" hidden="1" thickBot="1" x14ac:dyDescent="0.35">
      <c r="A735" s="71"/>
      <c r="B735" s="92"/>
      <c r="C735" s="18"/>
      <c r="D735" s="18"/>
      <c r="E735" s="18"/>
    </row>
    <row r="736" spans="1:5" s="29" customFormat="1" ht="16.2" hidden="1" thickBot="1" x14ac:dyDescent="0.35">
      <c r="A736" s="72"/>
      <c r="B736" s="93"/>
      <c r="C736" s="20"/>
      <c r="D736" s="19"/>
      <c r="E736" s="19"/>
    </row>
    <row r="737" spans="1:5" s="29" customFormat="1" ht="60" customHeight="1" thickBot="1" x14ac:dyDescent="0.35">
      <c r="A737" s="73" t="s">
        <v>147</v>
      </c>
      <c r="B737" s="91" t="s">
        <v>258</v>
      </c>
      <c r="C737" s="62">
        <v>7</v>
      </c>
      <c r="D737" s="35">
        <v>14</v>
      </c>
      <c r="E737" s="35">
        <v>24.84</v>
      </c>
    </row>
    <row r="738" spans="1:5" s="29" customFormat="1" ht="16.2" hidden="1" thickBot="1" x14ac:dyDescent="0.35">
      <c r="A738" s="71"/>
      <c r="B738" s="92"/>
      <c r="C738" s="30">
        <f>C737</f>
        <v>7</v>
      </c>
      <c r="D738" s="18"/>
      <c r="E738" s="18"/>
    </row>
    <row r="739" spans="1:5" s="29" customFormat="1" ht="16.2" hidden="1" thickBot="1" x14ac:dyDescent="0.35">
      <c r="A739" s="71"/>
      <c r="B739" s="92"/>
      <c r="C739" s="18">
        <f>C737-C738</f>
        <v>0</v>
      </c>
      <c r="D739" s="18"/>
      <c r="E739" s="18"/>
    </row>
    <row r="740" spans="1:5" s="29" customFormat="1" ht="16.2" hidden="1" thickBot="1" x14ac:dyDescent="0.35">
      <c r="A740" s="71"/>
      <c r="B740" s="92"/>
      <c r="C740" s="18"/>
      <c r="D740" s="18"/>
      <c r="E740" s="18"/>
    </row>
    <row r="741" spans="1:5" s="29" customFormat="1" ht="16.2" hidden="1" thickBot="1" x14ac:dyDescent="0.35">
      <c r="A741" s="72"/>
      <c r="B741" s="93"/>
      <c r="C741" s="20"/>
      <c r="D741" s="19"/>
      <c r="E741" s="19"/>
    </row>
    <row r="742" spans="1:5" s="29" customFormat="1" ht="60" customHeight="1" thickBot="1" x14ac:dyDescent="0.35">
      <c r="A742" s="73" t="s">
        <v>148</v>
      </c>
      <c r="B742" s="91" t="s">
        <v>258</v>
      </c>
      <c r="C742" s="62">
        <v>12</v>
      </c>
      <c r="D742" s="35">
        <v>14.26</v>
      </c>
      <c r="E742" s="35">
        <v>25.86</v>
      </c>
    </row>
    <row r="743" spans="1:5" s="29" customFormat="1" ht="16.2" hidden="1" thickBot="1" x14ac:dyDescent="0.35">
      <c r="A743" s="71"/>
      <c r="B743" s="92"/>
      <c r="C743" s="30">
        <f>C742</f>
        <v>12</v>
      </c>
      <c r="D743" s="18"/>
      <c r="E743" s="18"/>
    </row>
    <row r="744" spans="1:5" s="29" customFormat="1" ht="16.2" hidden="1" thickBot="1" x14ac:dyDescent="0.35">
      <c r="A744" s="71"/>
      <c r="B744" s="92"/>
      <c r="C744" s="18">
        <f>C742-C743</f>
        <v>0</v>
      </c>
      <c r="D744" s="18"/>
      <c r="E744" s="18"/>
    </row>
    <row r="745" spans="1:5" s="29" customFormat="1" ht="16.2" hidden="1" thickBot="1" x14ac:dyDescent="0.35">
      <c r="A745" s="71"/>
      <c r="B745" s="92"/>
      <c r="C745" s="18"/>
      <c r="D745" s="18"/>
      <c r="E745" s="18"/>
    </row>
    <row r="746" spans="1:5" s="29" customFormat="1" ht="16.2" hidden="1" thickBot="1" x14ac:dyDescent="0.35">
      <c r="A746" s="72"/>
      <c r="B746" s="93"/>
      <c r="C746" s="20"/>
      <c r="D746" s="19"/>
      <c r="E746" s="19"/>
    </row>
    <row r="747" spans="1:5" s="29" customFormat="1" ht="60" customHeight="1" thickBot="1" x14ac:dyDescent="0.35">
      <c r="A747" s="73" t="s">
        <v>149</v>
      </c>
      <c r="B747" s="91" t="s">
        <v>258</v>
      </c>
      <c r="C747" s="62">
        <v>7</v>
      </c>
      <c r="D747" s="35">
        <v>14.94</v>
      </c>
      <c r="E747" s="35">
        <v>26.16</v>
      </c>
    </row>
    <row r="748" spans="1:5" s="29" customFormat="1" ht="16.2" hidden="1" thickBot="1" x14ac:dyDescent="0.35">
      <c r="A748" s="71"/>
      <c r="B748" s="92"/>
      <c r="C748" s="30">
        <f>C747</f>
        <v>7</v>
      </c>
      <c r="D748" s="18">
        <v>0</v>
      </c>
      <c r="E748" s="18"/>
    </row>
    <row r="749" spans="1:5" s="29" customFormat="1" ht="16.2" hidden="1" thickBot="1" x14ac:dyDescent="0.35">
      <c r="A749" s="71"/>
      <c r="B749" s="92"/>
      <c r="C749" s="18">
        <f>C747-C748</f>
        <v>0</v>
      </c>
      <c r="D749" s="18">
        <f>D747-D748</f>
        <v>14.94</v>
      </c>
      <c r="E749" s="18"/>
    </row>
    <row r="750" spans="1:5" s="29" customFormat="1" ht="16.2" hidden="1" thickBot="1" x14ac:dyDescent="0.35">
      <c r="A750" s="71"/>
      <c r="B750" s="92"/>
      <c r="C750" s="18"/>
      <c r="D750" s="18"/>
      <c r="E750" s="18"/>
    </row>
    <row r="751" spans="1:5" s="29" customFormat="1" ht="16.2" hidden="1" thickBot="1" x14ac:dyDescent="0.35">
      <c r="A751" s="72"/>
      <c r="B751" s="93"/>
      <c r="C751" s="20"/>
      <c r="D751" s="19"/>
      <c r="E751" s="19"/>
    </row>
    <row r="752" spans="1:5" s="29" customFormat="1" ht="60" customHeight="1" thickBot="1" x14ac:dyDescent="0.35">
      <c r="A752" s="73" t="s">
        <v>150</v>
      </c>
      <c r="B752" s="91" t="s">
        <v>258</v>
      </c>
      <c r="C752" s="62">
        <v>6</v>
      </c>
      <c r="D752" s="35">
        <v>9.82</v>
      </c>
      <c r="E752" s="35">
        <v>26</v>
      </c>
    </row>
    <row r="753" spans="1:5" s="29" customFormat="1" ht="16.2" hidden="1" thickBot="1" x14ac:dyDescent="0.35">
      <c r="A753" s="71"/>
      <c r="B753" s="92"/>
      <c r="C753" s="30">
        <f>C752</f>
        <v>6</v>
      </c>
      <c r="D753" s="18"/>
      <c r="E753" s="18"/>
    </row>
    <row r="754" spans="1:5" s="29" customFormat="1" ht="16.2" hidden="1" thickBot="1" x14ac:dyDescent="0.35">
      <c r="A754" s="71"/>
      <c r="B754" s="92"/>
      <c r="C754" s="18">
        <f>C752-C753</f>
        <v>0</v>
      </c>
      <c r="D754" s="18"/>
      <c r="E754" s="18"/>
    </row>
    <row r="755" spans="1:5" s="29" customFormat="1" ht="16.2" hidden="1" thickBot="1" x14ac:dyDescent="0.35">
      <c r="A755" s="71"/>
      <c r="B755" s="92"/>
      <c r="C755" s="18"/>
      <c r="D755" s="18"/>
      <c r="E755" s="18"/>
    </row>
    <row r="756" spans="1:5" s="29" customFormat="1" ht="16.2" hidden="1" thickBot="1" x14ac:dyDescent="0.35">
      <c r="A756" s="72"/>
      <c r="B756" s="93"/>
      <c r="C756" s="20"/>
      <c r="D756" s="19"/>
      <c r="E756" s="19"/>
    </row>
    <row r="757" spans="1:5" s="29" customFormat="1" ht="60" customHeight="1" thickBot="1" x14ac:dyDescent="0.35">
      <c r="A757" s="73" t="s">
        <v>151</v>
      </c>
      <c r="B757" s="91" t="s">
        <v>201</v>
      </c>
      <c r="C757" s="62">
        <v>4</v>
      </c>
      <c r="D757" s="17"/>
      <c r="E757" s="17"/>
    </row>
    <row r="758" spans="1:5" s="29" customFormat="1" ht="16.2" hidden="1" thickBot="1" x14ac:dyDescent="0.35">
      <c r="A758" s="71"/>
      <c r="B758" s="92"/>
      <c r="C758" s="30"/>
      <c r="D758" s="18"/>
      <c r="E758" s="18"/>
    </row>
    <row r="759" spans="1:5" s="29" customFormat="1" ht="16.2" hidden="1" thickBot="1" x14ac:dyDescent="0.35">
      <c r="A759" s="71"/>
      <c r="B759" s="92"/>
      <c r="C759" s="18"/>
      <c r="D759" s="18"/>
      <c r="E759" s="18"/>
    </row>
    <row r="760" spans="1:5" s="29" customFormat="1" ht="16.2" hidden="1" thickBot="1" x14ac:dyDescent="0.35">
      <c r="A760" s="71"/>
      <c r="B760" s="92"/>
      <c r="C760" s="18"/>
      <c r="D760" s="18"/>
      <c r="E760" s="18"/>
    </row>
    <row r="761" spans="1:5" s="29" customFormat="1" ht="16.2" hidden="1" thickBot="1" x14ac:dyDescent="0.35">
      <c r="A761" s="72"/>
      <c r="B761" s="93"/>
      <c r="C761" s="20"/>
      <c r="D761" s="19"/>
      <c r="E761" s="19"/>
    </row>
    <row r="762" spans="1:5" s="29" customFormat="1" ht="60" customHeight="1" thickBot="1" x14ac:dyDescent="0.35">
      <c r="A762" s="73" t="s">
        <v>152</v>
      </c>
      <c r="B762" s="91" t="s">
        <v>206</v>
      </c>
      <c r="C762" s="62">
        <v>8</v>
      </c>
      <c r="D762" s="17"/>
      <c r="E762" s="17">
        <f>(0.3+0.3+0.3+0.3+0.2+0.3)*3.9</f>
        <v>6.63</v>
      </c>
    </row>
    <row r="763" spans="1:5" s="29" customFormat="1" ht="16.2" hidden="1" thickBot="1" x14ac:dyDescent="0.35">
      <c r="A763" s="71"/>
      <c r="B763" s="92"/>
      <c r="C763" s="30"/>
      <c r="D763" s="18"/>
      <c r="E763" s="18">
        <f>E762</f>
        <v>6.63</v>
      </c>
    </row>
    <row r="764" spans="1:5" s="29" customFormat="1" ht="16.2" hidden="1" thickBot="1" x14ac:dyDescent="0.35">
      <c r="A764" s="71"/>
      <c r="B764" s="92"/>
      <c r="C764" s="18"/>
      <c r="D764" s="18"/>
      <c r="E764" s="18">
        <f>E762-E763</f>
        <v>0</v>
      </c>
    </row>
    <row r="765" spans="1:5" s="29" customFormat="1" ht="16.2" hidden="1" thickBot="1" x14ac:dyDescent="0.35">
      <c r="A765" s="71"/>
      <c r="B765" s="92"/>
      <c r="C765" s="18"/>
      <c r="D765" s="18"/>
      <c r="E765" s="18"/>
    </row>
    <row r="766" spans="1:5" s="29" customFormat="1" ht="16.2" hidden="1" thickBot="1" x14ac:dyDescent="0.35">
      <c r="A766" s="72"/>
      <c r="B766" s="93"/>
      <c r="C766" s="20"/>
      <c r="D766" s="19"/>
      <c r="E766" s="19"/>
    </row>
    <row r="767" spans="1:5" s="29" customFormat="1" ht="60" customHeight="1" thickBot="1" x14ac:dyDescent="0.35">
      <c r="A767" s="73" t="s">
        <v>153</v>
      </c>
      <c r="B767" s="91" t="s">
        <v>207</v>
      </c>
      <c r="C767" s="62">
        <v>10</v>
      </c>
      <c r="D767" s="17"/>
      <c r="E767" s="17">
        <f>(0.3+0.3+0.3+0.3+0.2+0.3)*3.9</f>
        <v>6.63</v>
      </c>
    </row>
    <row r="768" spans="1:5" s="29" customFormat="1" ht="16.2" hidden="1" thickBot="1" x14ac:dyDescent="0.35">
      <c r="A768" s="71"/>
      <c r="B768" s="92"/>
      <c r="C768" s="30"/>
      <c r="D768" s="18"/>
      <c r="E768" s="18">
        <f>E767</f>
        <v>6.63</v>
      </c>
    </row>
    <row r="769" spans="1:5" s="29" customFormat="1" ht="16.2" hidden="1" thickBot="1" x14ac:dyDescent="0.35">
      <c r="A769" s="71"/>
      <c r="B769" s="92"/>
      <c r="C769" s="18"/>
      <c r="D769" s="18"/>
      <c r="E769" s="18">
        <f>E767-E768</f>
        <v>0</v>
      </c>
    </row>
    <row r="770" spans="1:5" s="29" customFormat="1" ht="16.2" hidden="1" thickBot="1" x14ac:dyDescent="0.35">
      <c r="A770" s="71"/>
      <c r="B770" s="92"/>
      <c r="C770" s="18"/>
      <c r="D770" s="18"/>
      <c r="E770" s="18"/>
    </row>
    <row r="771" spans="1:5" s="29" customFormat="1" ht="16.2" hidden="1" thickBot="1" x14ac:dyDescent="0.35">
      <c r="A771" s="72"/>
      <c r="B771" s="93"/>
      <c r="C771" s="20"/>
      <c r="D771" s="19"/>
      <c r="E771" s="19"/>
    </row>
    <row r="772" spans="1:5" s="29" customFormat="1" ht="60" customHeight="1" thickBot="1" x14ac:dyDescent="0.35">
      <c r="A772" s="73" t="s">
        <v>154</v>
      </c>
      <c r="B772" s="91" t="s">
        <v>291</v>
      </c>
      <c r="C772" s="62">
        <v>17</v>
      </c>
      <c r="D772" s="17"/>
      <c r="E772" s="17"/>
    </row>
    <row r="773" spans="1:5" s="29" customFormat="1" ht="16.2" hidden="1" thickBot="1" x14ac:dyDescent="0.35">
      <c r="A773" s="71"/>
      <c r="B773" s="92"/>
      <c r="C773" s="30">
        <f>C772</f>
        <v>17</v>
      </c>
      <c r="D773" s="18"/>
      <c r="E773" s="18"/>
    </row>
    <row r="774" spans="1:5" s="29" customFormat="1" ht="16.2" hidden="1" thickBot="1" x14ac:dyDescent="0.35">
      <c r="A774" s="71"/>
      <c r="B774" s="92"/>
      <c r="C774" s="18">
        <f t="shared" ref="C774" si="10">C772-C773</f>
        <v>0</v>
      </c>
      <c r="D774" s="18"/>
      <c r="E774" s="18"/>
    </row>
    <row r="775" spans="1:5" s="29" customFormat="1" ht="30" hidden="1" customHeight="1" x14ac:dyDescent="0.35">
      <c r="A775" s="71"/>
      <c r="B775" s="92"/>
      <c r="C775" s="18">
        <v>164.28</v>
      </c>
      <c r="D775" s="18"/>
      <c r="E775" s="18"/>
    </row>
    <row r="776" spans="1:5" s="29" customFormat="1" ht="70.8" hidden="1" customHeight="1" x14ac:dyDescent="0.35">
      <c r="A776" s="72"/>
      <c r="B776" s="93"/>
      <c r="C776" s="19"/>
      <c r="D776" s="19"/>
      <c r="E776" s="19"/>
    </row>
    <row r="777" spans="1:5" s="29" customFormat="1" ht="16.2" hidden="1" thickBot="1" x14ac:dyDescent="0.35">
      <c r="A777" s="74" t="s">
        <v>155</v>
      </c>
      <c r="B777" s="91" t="s">
        <v>292</v>
      </c>
      <c r="C777" s="17"/>
      <c r="D777" s="17"/>
      <c r="E777" s="17"/>
    </row>
    <row r="778" spans="1:5" s="29" customFormat="1" ht="16.2" hidden="1" thickBot="1" x14ac:dyDescent="0.35">
      <c r="A778" s="71"/>
      <c r="B778" s="92"/>
      <c r="C778" s="18"/>
      <c r="D778" s="18"/>
      <c r="E778" s="18"/>
    </row>
    <row r="779" spans="1:5" s="29" customFormat="1" ht="16.2" hidden="1" thickBot="1" x14ac:dyDescent="0.35">
      <c r="A779" s="71"/>
      <c r="B779" s="92"/>
      <c r="C779" s="18"/>
      <c r="D779" s="18"/>
      <c r="E779" s="18"/>
    </row>
    <row r="780" spans="1:5" s="29" customFormat="1" ht="16.2" hidden="1" thickBot="1" x14ac:dyDescent="0.35">
      <c r="A780" s="71"/>
      <c r="B780" s="92"/>
      <c r="C780" s="18"/>
      <c r="D780" s="18"/>
      <c r="E780" s="18"/>
    </row>
    <row r="781" spans="1:5" s="29" customFormat="1" ht="16.2" hidden="1" thickBot="1" x14ac:dyDescent="0.35">
      <c r="A781" s="72"/>
      <c r="B781" s="93"/>
      <c r="C781" s="19"/>
      <c r="D781" s="19"/>
      <c r="E781" s="19"/>
    </row>
    <row r="782" spans="1:5" s="29" customFormat="1" ht="16.2" hidden="1" thickBot="1" x14ac:dyDescent="0.35">
      <c r="A782" s="74" t="s">
        <v>156</v>
      </c>
      <c r="B782" s="91" t="s">
        <v>239</v>
      </c>
      <c r="C782" s="17"/>
      <c r="D782" s="17"/>
      <c r="E782" s="17">
        <f>0.3*2*3.9</f>
        <v>2.34</v>
      </c>
    </row>
    <row r="783" spans="1:5" s="29" customFormat="1" ht="16.2" hidden="1" thickBot="1" x14ac:dyDescent="0.35">
      <c r="A783" s="71"/>
      <c r="B783" s="92"/>
      <c r="C783" s="18"/>
      <c r="D783" s="18"/>
      <c r="E783" s="18">
        <f>E782</f>
        <v>2.34</v>
      </c>
    </row>
    <row r="784" spans="1:5" s="29" customFormat="1" ht="16.2" hidden="1" thickBot="1" x14ac:dyDescent="0.35">
      <c r="A784" s="71"/>
      <c r="B784" s="92"/>
      <c r="C784" s="18"/>
      <c r="D784" s="18"/>
      <c r="E784" s="18">
        <f>E782-E783</f>
        <v>0</v>
      </c>
    </row>
    <row r="785" spans="1:5" s="29" customFormat="1" ht="16.2" hidden="1" thickBot="1" x14ac:dyDescent="0.35">
      <c r="A785" s="71"/>
      <c r="B785" s="92"/>
      <c r="C785" s="18"/>
      <c r="D785" s="18"/>
      <c r="E785" s="18"/>
    </row>
    <row r="786" spans="1:5" s="29" customFormat="1" ht="16.2" hidden="1" thickBot="1" x14ac:dyDescent="0.35">
      <c r="A786" s="72"/>
      <c r="B786" s="93"/>
      <c r="C786" s="19"/>
      <c r="D786" s="19"/>
      <c r="E786" s="19"/>
    </row>
    <row r="787" spans="1:5" s="29" customFormat="1" ht="16.2" hidden="1" thickBot="1" x14ac:dyDescent="0.35">
      <c r="A787" s="74" t="s">
        <v>157</v>
      </c>
      <c r="B787" s="91" t="s">
        <v>215</v>
      </c>
      <c r="C787" s="17"/>
      <c r="D787" s="17"/>
      <c r="E787" s="17">
        <f>(0.3+0.4)*3.9</f>
        <v>2.73</v>
      </c>
    </row>
    <row r="788" spans="1:5" s="29" customFormat="1" ht="16.2" hidden="1" thickBot="1" x14ac:dyDescent="0.35">
      <c r="A788" s="71"/>
      <c r="B788" s="92"/>
      <c r="C788" s="18"/>
      <c r="D788" s="18"/>
      <c r="E788" s="18">
        <f>E787</f>
        <v>2.73</v>
      </c>
    </row>
    <row r="789" spans="1:5" s="29" customFormat="1" ht="16.2" hidden="1" thickBot="1" x14ac:dyDescent="0.35">
      <c r="A789" s="71"/>
      <c r="B789" s="92"/>
      <c r="C789" s="18"/>
      <c r="D789" s="18"/>
      <c r="E789" s="18">
        <f>E787-E788</f>
        <v>0</v>
      </c>
    </row>
    <row r="790" spans="1:5" s="29" customFormat="1" ht="16.2" hidden="1" thickBot="1" x14ac:dyDescent="0.35">
      <c r="A790" s="71"/>
      <c r="B790" s="92"/>
      <c r="C790" s="18"/>
      <c r="D790" s="18"/>
      <c r="E790" s="18"/>
    </row>
    <row r="791" spans="1:5" s="29" customFormat="1" ht="16.2" hidden="1" thickBot="1" x14ac:dyDescent="0.35">
      <c r="A791" s="72"/>
      <c r="B791" s="93"/>
      <c r="C791" s="19"/>
      <c r="D791" s="19"/>
      <c r="E791" s="19"/>
    </row>
    <row r="792" spans="1:5" s="29" customFormat="1" ht="16.2" hidden="1" thickBot="1" x14ac:dyDescent="0.35">
      <c r="A792" s="74" t="s">
        <v>158</v>
      </c>
      <c r="B792" s="91" t="s">
        <v>277</v>
      </c>
      <c r="C792" s="17">
        <f>0.4*3.9</f>
        <v>1.56</v>
      </c>
      <c r="D792" s="17"/>
      <c r="E792" s="17"/>
    </row>
    <row r="793" spans="1:5" s="29" customFormat="1" ht="16.2" hidden="1" thickBot="1" x14ac:dyDescent="0.35">
      <c r="A793" s="71"/>
      <c r="B793" s="92"/>
      <c r="C793" s="18">
        <f>C792</f>
        <v>1.56</v>
      </c>
      <c r="D793" s="18"/>
      <c r="E793" s="18"/>
    </row>
    <row r="794" spans="1:5" s="29" customFormat="1" ht="16.2" hidden="1" thickBot="1" x14ac:dyDescent="0.35">
      <c r="A794" s="71"/>
      <c r="B794" s="92"/>
      <c r="C794" s="18">
        <f>C792-C793</f>
        <v>0</v>
      </c>
      <c r="D794" s="18"/>
      <c r="E794" s="18"/>
    </row>
    <row r="795" spans="1:5" s="29" customFormat="1" ht="16.2" hidden="1" thickBot="1" x14ac:dyDescent="0.35">
      <c r="A795" s="71"/>
      <c r="B795" s="92"/>
      <c r="C795" s="18"/>
      <c r="D795" s="18"/>
      <c r="E795" s="18"/>
    </row>
    <row r="796" spans="1:5" s="29" customFormat="1" ht="16.2" hidden="1" thickBot="1" x14ac:dyDescent="0.35">
      <c r="A796" s="72"/>
      <c r="B796" s="93"/>
      <c r="C796" s="19"/>
      <c r="D796" s="19"/>
      <c r="E796" s="19"/>
    </row>
    <row r="797" spans="1:5" s="29" customFormat="1" ht="16.2" hidden="1" thickBot="1" x14ac:dyDescent="0.35">
      <c r="A797" s="74" t="s">
        <v>159</v>
      </c>
      <c r="B797" s="91" t="s">
        <v>275</v>
      </c>
      <c r="C797" s="17"/>
      <c r="D797" s="17"/>
      <c r="E797" s="17"/>
    </row>
    <row r="798" spans="1:5" s="29" customFormat="1" ht="16.2" hidden="1" thickBot="1" x14ac:dyDescent="0.35">
      <c r="A798" s="71"/>
      <c r="B798" s="92"/>
      <c r="C798" s="18"/>
      <c r="D798" s="18"/>
      <c r="E798" s="18"/>
    </row>
    <row r="799" spans="1:5" s="29" customFormat="1" ht="16.2" hidden="1" thickBot="1" x14ac:dyDescent="0.35">
      <c r="A799" s="71"/>
      <c r="B799" s="92"/>
      <c r="C799" s="18"/>
      <c r="D799" s="18"/>
      <c r="E799" s="18"/>
    </row>
    <row r="800" spans="1:5" s="29" customFormat="1" ht="16.2" hidden="1" thickBot="1" x14ac:dyDescent="0.35">
      <c r="A800" s="71"/>
      <c r="B800" s="92"/>
      <c r="C800" s="18"/>
      <c r="D800" s="18"/>
      <c r="E800" s="18"/>
    </row>
    <row r="801" spans="1:5" s="29" customFormat="1" ht="16.2" hidden="1" thickBot="1" x14ac:dyDescent="0.35">
      <c r="A801" s="72"/>
      <c r="B801" s="93"/>
      <c r="C801" s="19"/>
      <c r="D801" s="19"/>
      <c r="E801" s="19"/>
    </row>
    <row r="802" spans="1:5" s="29" customFormat="1" ht="16.2" hidden="1" thickBot="1" x14ac:dyDescent="0.35">
      <c r="A802" s="74" t="s">
        <v>160</v>
      </c>
      <c r="B802" s="91" t="s">
        <v>273</v>
      </c>
      <c r="C802" s="17">
        <f>(0.4*2+0.6)*3.9</f>
        <v>5.46</v>
      </c>
      <c r="D802" s="17"/>
      <c r="E802" s="17"/>
    </row>
    <row r="803" spans="1:5" s="29" customFormat="1" ht="16.2" hidden="1" thickBot="1" x14ac:dyDescent="0.35">
      <c r="A803" s="71"/>
      <c r="B803" s="92"/>
      <c r="C803" s="18">
        <f>C802</f>
        <v>5.46</v>
      </c>
      <c r="D803" s="18"/>
      <c r="E803" s="18"/>
    </row>
    <row r="804" spans="1:5" s="29" customFormat="1" ht="16.2" hidden="1" thickBot="1" x14ac:dyDescent="0.35">
      <c r="A804" s="71"/>
      <c r="B804" s="92"/>
      <c r="C804" s="18">
        <f t="shared" ref="C804" si="11">C802-C803</f>
        <v>0</v>
      </c>
      <c r="D804" s="18"/>
      <c r="E804" s="18"/>
    </row>
    <row r="805" spans="1:5" s="29" customFormat="1" ht="16.2" hidden="1" thickBot="1" x14ac:dyDescent="0.35">
      <c r="A805" s="71"/>
      <c r="B805" s="92"/>
      <c r="C805" s="18"/>
      <c r="D805" s="18"/>
      <c r="E805" s="18"/>
    </row>
    <row r="806" spans="1:5" s="29" customFormat="1" ht="16.2" hidden="1" thickBot="1" x14ac:dyDescent="0.35">
      <c r="A806" s="72"/>
      <c r="B806" s="93"/>
      <c r="C806" s="20"/>
      <c r="D806" s="19"/>
      <c r="E806" s="19"/>
    </row>
    <row r="807" spans="1:5" s="29" customFormat="1" ht="60" customHeight="1" x14ac:dyDescent="0.3">
      <c r="A807" s="73" t="s">
        <v>161</v>
      </c>
      <c r="B807" s="91" t="s">
        <v>218</v>
      </c>
      <c r="C807" s="62">
        <v>21</v>
      </c>
      <c r="D807" s="17"/>
      <c r="E807" s="17"/>
    </row>
    <row r="808" spans="1:5" s="29" customFormat="1" ht="15.6" hidden="1" x14ac:dyDescent="0.3">
      <c r="A808" s="71"/>
      <c r="B808" s="92"/>
      <c r="C808" s="30"/>
      <c r="D808" s="18"/>
      <c r="E808" s="18"/>
    </row>
    <row r="809" spans="1:5" s="29" customFormat="1" ht="15.6" hidden="1" x14ac:dyDescent="0.3">
      <c r="A809" s="71"/>
      <c r="B809" s="92"/>
      <c r="C809" s="18"/>
      <c r="D809" s="18"/>
      <c r="E809" s="18"/>
    </row>
    <row r="810" spans="1:5" s="29" customFormat="1" ht="15.6" hidden="1" x14ac:dyDescent="0.3">
      <c r="A810" s="71"/>
      <c r="B810" s="92"/>
      <c r="C810" s="18"/>
      <c r="D810" s="18"/>
      <c r="E810" s="18"/>
    </row>
    <row r="811" spans="1:5" s="29" customFormat="1" ht="16.2" hidden="1" thickBot="1" x14ac:dyDescent="0.35">
      <c r="A811" s="72"/>
      <c r="B811" s="93"/>
      <c r="C811" s="19"/>
      <c r="D811" s="19"/>
      <c r="E811" s="19"/>
    </row>
    <row r="812" spans="1:5" s="29" customFormat="1" ht="15.6" hidden="1" x14ac:dyDescent="0.3">
      <c r="A812" s="74" t="s">
        <v>162</v>
      </c>
      <c r="B812" s="91" t="s">
        <v>278</v>
      </c>
      <c r="C812" s="17"/>
      <c r="D812" s="17"/>
      <c r="E812" s="17"/>
    </row>
    <row r="813" spans="1:5" s="29" customFormat="1" ht="15.6" hidden="1" x14ac:dyDescent="0.3">
      <c r="A813" s="71"/>
      <c r="B813" s="92"/>
      <c r="C813" s="18"/>
      <c r="D813" s="18"/>
      <c r="E813" s="18"/>
    </row>
    <row r="814" spans="1:5" s="29" customFormat="1" ht="15.6" hidden="1" x14ac:dyDescent="0.3">
      <c r="A814" s="71"/>
      <c r="B814" s="92"/>
      <c r="C814" s="18"/>
      <c r="D814" s="18"/>
      <c r="E814" s="18"/>
    </row>
    <row r="815" spans="1:5" s="29" customFormat="1" ht="15.6" hidden="1" x14ac:dyDescent="0.3">
      <c r="A815" s="71"/>
      <c r="B815" s="92"/>
      <c r="C815" s="18"/>
      <c r="D815" s="18"/>
      <c r="E815" s="18"/>
    </row>
    <row r="816" spans="1:5" s="29" customFormat="1" ht="16.2" hidden="1" thickBot="1" x14ac:dyDescent="0.35">
      <c r="A816" s="72"/>
      <c r="B816" s="93"/>
      <c r="C816" s="19"/>
      <c r="D816" s="19"/>
      <c r="E816" s="19"/>
    </row>
    <row r="817" spans="1:5" s="29" customFormat="1" ht="15.6" hidden="1" x14ac:dyDescent="0.3">
      <c r="A817" s="74" t="s">
        <v>163</v>
      </c>
      <c r="B817" s="91" t="s">
        <v>279</v>
      </c>
      <c r="C817" s="17"/>
      <c r="D817" s="17"/>
      <c r="E817" s="17"/>
    </row>
    <row r="818" spans="1:5" s="29" customFormat="1" ht="15.6" hidden="1" x14ac:dyDescent="0.3">
      <c r="A818" s="71"/>
      <c r="B818" s="92"/>
      <c r="C818" s="18"/>
      <c r="D818" s="18"/>
      <c r="E818" s="18"/>
    </row>
    <row r="819" spans="1:5" s="29" customFormat="1" ht="15.6" hidden="1" x14ac:dyDescent="0.3">
      <c r="A819" s="71"/>
      <c r="B819" s="92"/>
      <c r="C819" s="18"/>
      <c r="D819" s="18"/>
      <c r="E819" s="18"/>
    </row>
    <row r="820" spans="1:5" s="29" customFormat="1" ht="15.6" hidden="1" x14ac:dyDescent="0.3">
      <c r="A820" s="71"/>
      <c r="B820" s="92"/>
      <c r="C820" s="18"/>
      <c r="D820" s="18"/>
      <c r="E820" s="18"/>
    </row>
    <row r="821" spans="1:5" s="29" customFormat="1" ht="16.2" hidden="1" thickBot="1" x14ac:dyDescent="0.35">
      <c r="A821" s="72"/>
      <c r="B821" s="93"/>
      <c r="C821" s="19"/>
      <c r="D821" s="19"/>
      <c r="E821" s="19"/>
    </row>
    <row r="822" spans="1:5" s="29" customFormat="1" ht="15.6" hidden="1" x14ac:dyDescent="0.3">
      <c r="A822" s="74" t="s">
        <v>164</v>
      </c>
      <c r="B822" s="88" t="s">
        <v>238</v>
      </c>
      <c r="C822" s="17"/>
      <c r="D822" s="17"/>
      <c r="E822" s="17"/>
    </row>
    <row r="823" spans="1:5" s="29" customFormat="1" ht="15.6" hidden="1" x14ac:dyDescent="0.3">
      <c r="A823" s="71"/>
      <c r="B823" s="89"/>
      <c r="C823" s="18"/>
      <c r="D823" s="18"/>
      <c r="E823" s="18"/>
    </row>
    <row r="824" spans="1:5" s="29" customFormat="1" ht="15.6" hidden="1" x14ac:dyDescent="0.3">
      <c r="A824" s="71"/>
      <c r="B824" s="89"/>
      <c r="C824" s="18"/>
      <c r="D824" s="18"/>
      <c r="E824" s="18"/>
    </row>
    <row r="825" spans="1:5" s="29" customFormat="1" ht="15.6" hidden="1" x14ac:dyDescent="0.3">
      <c r="A825" s="71"/>
      <c r="B825" s="89"/>
      <c r="C825" s="18"/>
      <c r="D825" s="18"/>
      <c r="E825" s="18"/>
    </row>
    <row r="826" spans="1:5" s="29" customFormat="1" ht="16.2" hidden="1" thickBot="1" x14ac:dyDescent="0.35">
      <c r="A826" s="72"/>
      <c r="B826" s="90"/>
      <c r="C826" s="19"/>
      <c r="D826" s="19"/>
      <c r="E826" s="19"/>
    </row>
    <row r="827" spans="1:5" s="29" customFormat="1" ht="15.6" hidden="1" x14ac:dyDescent="0.3">
      <c r="A827" s="74" t="s">
        <v>165</v>
      </c>
      <c r="B827" s="91" t="s">
        <v>249</v>
      </c>
      <c r="C827" s="17"/>
      <c r="D827" s="17"/>
      <c r="E827" s="17"/>
    </row>
    <row r="828" spans="1:5" s="29" customFormat="1" ht="15.6" hidden="1" x14ac:dyDescent="0.3">
      <c r="A828" s="71"/>
      <c r="B828" s="92"/>
      <c r="C828" s="18"/>
      <c r="D828" s="18"/>
      <c r="E828" s="18"/>
    </row>
    <row r="829" spans="1:5" s="29" customFormat="1" ht="15.6" hidden="1" x14ac:dyDescent="0.3">
      <c r="A829" s="71"/>
      <c r="B829" s="92"/>
      <c r="C829" s="18"/>
      <c r="D829" s="18"/>
      <c r="E829" s="18"/>
    </row>
    <row r="830" spans="1:5" s="29" customFormat="1" ht="15.6" hidden="1" x14ac:dyDescent="0.3">
      <c r="A830" s="71"/>
      <c r="B830" s="92"/>
      <c r="C830" s="18"/>
      <c r="D830" s="18"/>
      <c r="E830" s="18"/>
    </row>
    <row r="831" spans="1:5" s="29" customFormat="1" ht="16.2" hidden="1" thickBot="1" x14ac:dyDescent="0.35">
      <c r="A831" s="72"/>
      <c r="B831" s="93"/>
      <c r="C831" s="19"/>
      <c r="D831" s="19"/>
      <c r="E831" s="19"/>
    </row>
    <row r="832" spans="1:5" s="29" customFormat="1" ht="15.6" hidden="1" x14ac:dyDescent="0.3">
      <c r="A832" s="74" t="s">
        <v>166</v>
      </c>
      <c r="B832" s="91" t="s">
        <v>250</v>
      </c>
      <c r="C832" s="17"/>
      <c r="D832" s="17"/>
      <c r="E832" s="17"/>
    </row>
    <row r="833" spans="1:5" s="29" customFormat="1" ht="15.6" hidden="1" x14ac:dyDescent="0.3">
      <c r="A833" s="71"/>
      <c r="B833" s="92"/>
      <c r="C833" s="18"/>
      <c r="D833" s="18"/>
      <c r="E833" s="18"/>
    </row>
    <row r="834" spans="1:5" s="29" customFormat="1" ht="15.6" hidden="1" x14ac:dyDescent="0.3">
      <c r="A834" s="71"/>
      <c r="B834" s="92"/>
      <c r="C834" s="18"/>
      <c r="D834" s="18"/>
      <c r="E834" s="18"/>
    </row>
    <row r="835" spans="1:5" s="29" customFormat="1" ht="15.6" hidden="1" x14ac:dyDescent="0.3">
      <c r="A835" s="71"/>
      <c r="B835" s="92"/>
      <c r="C835" s="18"/>
      <c r="D835" s="18"/>
      <c r="E835" s="18"/>
    </row>
    <row r="836" spans="1:5" s="29" customFormat="1" ht="16.2" hidden="1" thickBot="1" x14ac:dyDescent="0.35">
      <c r="A836" s="72"/>
      <c r="B836" s="93"/>
      <c r="C836" s="19"/>
      <c r="D836" s="19"/>
      <c r="E836" s="19"/>
    </row>
    <row r="837" spans="1:5" s="29" customFormat="1" ht="15.6" hidden="1" x14ac:dyDescent="0.3">
      <c r="A837" s="74" t="s">
        <v>167</v>
      </c>
      <c r="B837" s="88" t="s">
        <v>252</v>
      </c>
      <c r="C837" s="17"/>
      <c r="D837" s="17"/>
      <c r="E837" s="17"/>
    </row>
    <row r="838" spans="1:5" s="29" customFormat="1" ht="15.6" hidden="1" x14ac:dyDescent="0.3">
      <c r="A838" s="71"/>
      <c r="B838" s="89"/>
      <c r="C838" s="18"/>
      <c r="D838" s="18"/>
      <c r="E838" s="18"/>
    </row>
    <row r="839" spans="1:5" s="29" customFormat="1" ht="15.6" hidden="1" x14ac:dyDescent="0.3">
      <c r="A839" s="71"/>
      <c r="B839" s="89"/>
      <c r="C839" s="18"/>
      <c r="D839" s="18"/>
      <c r="E839" s="18"/>
    </row>
    <row r="840" spans="1:5" s="29" customFormat="1" ht="15.6" hidden="1" x14ac:dyDescent="0.3">
      <c r="A840" s="71"/>
      <c r="B840" s="89"/>
      <c r="C840" s="18">
        <v>3.9</v>
      </c>
      <c r="D840" s="18"/>
      <c r="E840" s="18"/>
    </row>
    <row r="841" spans="1:5" s="29" customFormat="1" ht="16.2" hidden="1" thickBot="1" x14ac:dyDescent="0.35">
      <c r="A841" s="72"/>
      <c r="B841" s="90"/>
      <c r="C841" s="19"/>
      <c r="D841" s="19"/>
      <c r="E841" s="19"/>
    </row>
    <row r="842" spans="1:5" s="29" customFormat="1" ht="15.6" hidden="1" x14ac:dyDescent="0.3">
      <c r="A842" s="74" t="s">
        <v>168</v>
      </c>
      <c r="B842" s="88" t="s">
        <v>253</v>
      </c>
      <c r="C842" s="17"/>
      <c r="D842" s="17"/>
      <c r="E842" s="17"/>
    </row>
    <row r="843" spans="1:5" s="29" customFormat="1" ht="15.6" hidden="1" x14ac:dyDescent="0.3">
      <c r="A843" s="71"/>
      <c r="B843" s="89"/>
      <c r="C843" s="18"/>
      <c r="D843" s="18"/>
      <c r="E843" s="18"/>
    </row>
    <row r="844" spans="1:5" s="29" customFormat="1" ht="15.6" hidden="1" x14ac:dyDescent="0.3">
      <c r="A844" s="71"/>
      <c r="B844" s="89"/>
      <c r="C844" s="18"/>
      <c r="D844" s="18"/>
      <c r="E844" s="18"/>
    </row>
    <row r="845" spans="1:5" s="29" customFormat="1" ht="15.6" hidden="1" x14ac:dyDescent="0.3">
      <c r="A845" s="71"/>
      <c r="B845" s="89"/>
      <c r="C845" s="18">
        <v>3.9</v>
      </c>
      <c r="D845" s="18"/>
      <c r="E845" s="18"/>
    </row>
    <row r="846" spans="1:5" s="29" customFormat="1" ht="16.2" hidden="1" thickBot="1" x14ac:dyDescent="0.35">
      <c r="A846" s="72"/>
      <c r="B846" s="90"/>
      <c r="C846" s="19"/>
      <c r="D846" s="19"/>
      <c r="E846" s="19"/>
    </row>
    <row r="847" spans="1:5" s="29" customFormat="1" ht="15.6" hidden="1" x14ac:dyDescent="0.3">
      <c r="A847" s="74" t="s">
        <v>169</v>
      </c>
      <c r="B847" s="88" t="s">
        <v>281</v>
      </c>
      <c r="C847" s="17"/>
      <c r="D847" s="17"/>
      <c r="E847" s="17"/>
    </row>
    <row r="848" spans="1:5" s="29" customFormat="1" ht="15.6" hidden="1" x14ac:dyDescent="0.3">
      <c r="A848" s="71"/>
      <c r="B848" s="89"/>
      <c r="C848" s="18"/>
      <c r="D848" s="18"/>
      <c r="E848" s="18"/>
    </row>
    <row r="849" spans="1:5" s="29" customFormat="1" ht="15.6" hidden="1" x14ac:dyDescent="0.3">
      <c r="A849" s="71"/>
      <c r="B849" s="89"/>
      <c r="C849" s="18"/>
      <c r="D849" s="18"/>
      <c r="E849" s="18"/>
    </row>
    <row r="850" spans="1:5" s="29" customFormat="1" ht="15.6" hidden="1" x14ac:dyDescent="0.3">
      <c r="A850" s="71"/>
      <c r="B850" s="89"/>
      <c r="C850" s="18"/>
      <c r="D850" s="18"/>
      <c r="E850" s="18"/>
    </row>
    <row r="851" spans="1:5" s="29" customFormat="1" ht="16.2" hidden="1" thickBot="1" x14ac:dyDescent="0.35">
      <c r="A851" s="72"/>
      <c r="B851" s="90"/>
      <c r="C851" s="19"/>
      <c r="D851" s="19"/>
      <c r="E851" s="19"/>
    </row>
    <row r="852" spans="1:5" s="29" customFormat="1" ht="15.6" hidden="1" x14ac:dyDescent="0.3">
      <c r="A852" s="74" t="s">
        <v>170</v>
      </c>
      <c r="B852" s="88" t="s">
        <v>249</v>
      </c>
      <c r="C852" s="17"/>
      <c r="D852" s="17"/>
      <c r="E852" s="17"/>
    </row>
    <row r="853" spans="1:5" s="29" customFormat="1" ht="15.6" hidden="1" x14ac:dyDescent="0.3">
      <c r="A853" s="71"/>
      <c r="B853" s="89"/>
      <c r="C853" s="18"/>
      <c r="D853" s="18"/>
      <c r="E853" s="18"/>
    </row>
    <row r="854" spans="1:5" s="29" customFormat="1" ht="15.6" hidden="1" x14ac:dyDescent="0.3">
      <c r="A854" s="71"/>
      <c r="B854" s="89"/>
      <c r="C854" s="18"/>
      <c r="D854" s="18"/>
      <c r="E854" s="18"/>
    </row>
    <row r="855" spans="1:5" s="29" customFormat="1" ht="15.6" hidden="1" x14ac:dyDescent="0.3">
      <c r="A855" s="71"/>
      <c r="B855" s="89"/>
      <c r="C855" s="18"/>
      <c r="D855" s="18"/>
      <c r="E855" s="18"/>
    </row>
    <row r="856" spans="1:5" s="29" customFormat="1" ht="16.2" hidden="1" thickBot="1" x14ac:dyDescent="0.35">
      <c r="A856" s="72"/>
      <c r="B856" s="90"/>
      <c r="C856" s="19"/>
      <c r="D856" s="19"/>
      <c r="E856" s="19"/>
    </row>
    <row r="857" spans="1:5" s="29" customFormat="1" ht="15.6" hidden="1" x14ac:dyDescent="0.3">
      <c r="A857" s="74" t="s">
        <v>171</v>
      </c>
      <c r="B857" s="88" t="s">
        <v>252</v>
      </c>
      <c r="C857" s="17"/>
      <c r="D857" s="17"/>
      <c r="E857" s="17"/>
    </row>
    <row r="858" spans="1:5" s="29" customFormat="1" ht="15.6" hidden="1" x14ac:dyDescent="0.3">
      <c r="A858" s="71"/>
      <c r="B858" s="89"/>
      <c r="C858" s="18"/>
      <c r="D858" s="18"/>
      <c r="E858" s="18"/>
    </row>
    <row r="859" spans="1:5" s="29" customFormat="1" ht="15.6" hidden="1" x14ac:dyDescent="0.3">
      <c r="A859" s="71"/>
      <c r="B859" s="89"/>
      <c r="C859" s="18"/>
      <c r="D859" s="18"/>
      <c r="E859" s="18"/>
    </row>
    <row r="860" spans="1:5" s="29" customFormat="1" ht="15.6" hidden="1" x14ac:dyDescent="0.3">
      <c r="A860" s="71"/>
      <c r="B860" s="89"/>
      <c r="C860" s="18">
        <v>3.9</v>
      </c>
      <c r="D860" s="18"/>
      <c r="E860" s="18"/>
    </row>
    <row r="861" spans="1:5" s="29" customFormat="1" ht="16.2" hidden="1" thickBot="1" x14ac:dyDescent="0.35">
      <c r="A861" s="72"/>
      <c r="B861" s="90"/>
      <c r="C861" s="19"/>
      <c r="D861" s="19"/>
      <c r="E861" s="19"/>
    </row>
    <row r="862" spans="1:5" s="29" customFormat="1" ht="15.6" hidden="1" x14ac:dyDescent="0.3">
      <c r="A862" s="74" t="s">
        <v>172</v>
      </c>
      <c r="B862" s="88" t="s">
        <v>253</v>
      </c>
      <c r="C862" s="17"/>
      <c r="D862" s="17"/>
      <c r="E862" s="17"/>
    </row>
    <row r="863" spans="1:5" s="29" customFormat="1" ht="15.6" hidden="1" x14ac:dyDescent="0.3">
      <c r="A863" s="71"/>
      <c r="B863" s="89"/>
      <c r="C863" s="18"/>
      <c r="D863" s="18"/>
      <c r="E863" s="18"/>
    </row>
    <row r="864" spans="1:5" s="29" customFormat="1" ht="15.6" hidden="1" x14ac:dyDescent="0.3">
      <c r="A864" s="71"/>
      <c r="B864" s="89"/>
      <c r="C864" s="18"/>
      <c r="D864" s="18"/>
      <c r="E864" s="18"/>
    </row>
    <row r="865" spans="1:5" s="29" customFormat="1" ht="15.6" hidden="1" x14ac:dyDescent="0.3">
      <c r="A865" s="71"/>
      <c r="B865" s="89"/>
      <c r="C865" s="18">
        <v>3.9</v>
      </c>
      <c r="D865" s="18"/>
      <c r="E865" s="18"/>
    </row>
    <row r="866" spans="1:5" s="29" customFormat="1" ht="16.2" hidden="1" thickBot="1" x14ac:dyDescent="0.35">
      <c r="A866" s="72"/>
      <c r="B866" s="90"/>
      <c r="C866" s="19"/>
      <c r="D866" s="19"/>
      <c r="E866" s="19"/>
    </row>
    <row r="867" spans="1:5" s="29" customFormat="1" ht="15.6" hidden="1" x14ac:dyDescent="0.3">
      <c r="A867" s="74" t="s">
        <v>173</v>
      </c>
      <c r="B867" s="88" t="s">
        <v>250</v>
      </c>
      <c r="C867" s="17"/>
      <c r="D867" s="17"/>
      <c r="E867" s="17"/>
    </row>
    <row r="868" spans="1:5" s="29" customFormat="1" ht="15.6" hidden="1" x14ac:dyDescent="0.3">
      <c r="A868" s="71"/>
      <c r="B868" s="89"/>
      <c r="C868" s="18"/>
      <c r="D868" s="18"/>
      <c r="E868" s="18"/>
    </row>
    <row r="869" spans="1:5" s="29" customFormat="1" ht="15.6" hidden="1" x14ac:dyDescent="0.3">
      <c r="A869" s="71"/>
      <c r="B869" s="89"/>
      <c r="C869" s="18"/>
      <c r="D869" s="18"/>
      <c r="E869" s="18"/>
    </row>
    <row r="870" spans="1:5" s="29" customFormat="1" ht="15.6" hidden="1" x14ac:dyDescent="0.3">
      <c r="A870" s="71"/>
      <c r="B870" s="89"/>
      <c r="C870" s="18"/>
      <c r="D870" s="18"/>
      <c r="E870" s="18"/>
    </row>
    <row r="871" spans="1:5" s="29" customFormat="1" ht="16.2" hidden="1" thickBot="1" x14ac:dyDescent="0.35">
      <c r="A871" s="72"/>
      <c r="B871" s="90"/>
      <c r="C871" s="19"/>
      <c r="D871" s="19"/>
      <c r="E871" s="19"/>
    </row>
    <row r="872" spans="1:5" s="29" customFormat="1" ht="15.6" hidden="1" x14ac:dyDescent="0.3">
      <c r="A872" s="74" t="s">
        <v>174</v>
      </c>
      <c r="B872" s="91" t="s">
        <v>281</v>
      </c>
      <c r="C872" s="17"/>
      <c r="D872" s="17"/>
      <c r="E872" s="17"/>
    </row>
    <row r="873" spans="1:5" s="29" customFormat="1" ht="15.6" hidden="1" x14ac:dyDescent="0.3">
      <c r="A873" s="71"/>
      <c r="B873" s="92"/>
      <c r="C873" s="18"/>
      <c r="D873" s="18"/>
      <c r="E873" s="18"/>
    </row>
    <row r="874" spans="1:5" s="29" customFormat="1" ht="15.6" hidden="1" x14ac:dyDescent="0.3">
      <c r="A874" s="71"/>
      <c r="B874" s="92"/>
      <c r="C874" s="18"/>
      <c r="D874" s="18"/>
      <c r="E874" s="18"/>
    </row>
    <row r="875" spans="1:5" s="29" customFormat="1" ht="15.6" hidden="1" x14ac:dyDescent="0.3">
      <c r="A875" s="71"/>
      <c r="B875" s="92"/>
      <c r="C875" s="18"/>
      <c r="D875" s="18"/>
      <c r="E875" s="18"/>
    </row>
    <row r="876" spans="1:5" s="29" customFormat="1" ht="15.6" hidden="1" x14ac:dyDescent="0.3">
      <c r="A876" s="71"/>
      <c r="B876" s="92"/>
      <c r="C876" s="20"/>
      <c r="D876" s="20"/>
      <c r="E876" s="20"/>
    </row>
    <row r="877" spans="1:5" s="29" customFormat="1" ht="15.6" hidden="1" x14ac:dyDescent="0.3">
      <c r="A877" s="82" t="s">
        <v>175</v>
      </c>
      <c r="B877" s="109" t="s">
        <v>293</v>
      </c>
      <c r="C877" s="17">
        <v>24.57</v>
      </c>
      <c r="D877" s="17"/>
      <c r="E877" s="17"/>
    </row>
    <row r="878" spans="1:5" s="29" customFormat="1" ht="15.6" hidden="1" x14ac:dyDescent="0.3">
      <c r="A878" s="83"/>
      <c r="B878" s="110"/>
      <c r="C878" s="18">
        <f>C877</f>
        <v>24.57</v>
      </c>
      <c r="D878" s="18"/>
      <c r="E878" s="18"/>
    </row>
    <row r="879" spans="1:5" s="29" customFormat="1" ht="15.6" hidden="1" x14ac:dyDescent="0.3">
      <c r="A879" s="83"/>
      <c r="B879" s="110"/>
      <c r="C879" s="18">
        <f>C877-C878</f>
        <v>0</v>
      </c>
      <c r="D879" s="18"/>
      <c r="E879" s="18"/>
    </row>
    <row r="880" spans="1:5" s="29" customFormat="1" ht="15.6" hidden="1" x14ac:dyDescent="0.3">
      <c r="A880" s="83"/>
      <c r="B880" s="110"/>
      <c r="C880" s="18">
        <v>24.57</v>
      </c>
      <c r="D880" s="18"/>
      <c r="E880" s="18"/>
    </row>
    <row r="881" spans="1:5" s="29" customFormat="1" ht="16.2" hidden="1" thickBot="1" x14ac:dyDescent="0.35">
      <c r="A881" s="84"/>
      <c r="B881" s="111"/>
      <c r="C881" s="19"/>
      <c r="D881" s="19"/>
      <c r="E881" s="19"/>
    </row>
    <row r="882" spans="1:5" s="29" customFormat="1" ht="15.6" hidden="1" x14ac:dyDescent="0.3">
      <c r="A882" s="71" t="s">
        <v>176</v>
      </c>
      <c r="B882" s="92" t="s">
        <v>294</v>
      </c>
      <c r="C882" s="30"/>
      <c r="D882" s="30"/>
      <c r="E882" s="30"/>
    </row>
    <row r="883" spans="1:5" s="29" customFormat="1" ht="15.6" hidden="1" x14ac:dyDescent="0.3">
      <c r="A883" s="71"/>
      <c r="B883" s="92"/>
      <c r="C883" s="18"/>
      <c r="D883" s="18"/>
      <c r="E883" s="18"/>
    </row>
    <row r="884" spans="1:5" s="29" customFormat="1" ht="15.6" hidden="1" x14ac:dyDescent="0.3">
      <c r="A884" s="71"/>
      <c r="B884" s="92"/>
      <c r="C884" s="18"/>
      <c r="D884" s="18"/>
      <c r="E884" s="18"/>
    </row>
    <row r="885" spans="1:5" s="29" customFormat="1" ht="15.6" hidden="1" x14ac:dyDescent="0.3">
      <c r="A885" s="71"/>
      <c r="B885" s="92"/>
      <c r="C885" s="18"/>
      <c r="D885" s="18"/>
      <c r="E885" s="18"/>
    </row>
    <row r="886" spans="1:5" s="29" customFormat="1" ht="15.6" hidden="1" x14ac:dyDescent="0.3">
      <c r="A886" s="71"/>
      <c r="B886" s="92"/>
      <c r="C886" s="20"/>
      <c r="D886" s="20"/>
      <c r="E886" s="20"/>
    </row>
    <row r="887" spans="1:5" s="29" customFormat="1" ht="15.6" hidden="1" x14ac:dyDescent="0.3">
      <c r="A887" s="82" t="s">
        <v>177</v>
      </c>
      <c r="B887" s="109" t="s">
        <v>295</v>
      </c>
      <c r="C887" s="17">
        <v>15.71</v>
      </c>
      <c r="D887" s="17"/>
      <c r="E887" s="17"/>
    </row>
    <row r="888" spans="1:5" s="29" customFormat="1" ht="15.6" hidden="1" x14ac:dyDescent="0.3">
      <c r="A888" s="83"/>
      <c r="B888" s="110"/>
      <c r="C888" s="18">
        <f>C887</f>
        <v>15.71</v>
      </c>
      <c r="D888" s="18"/>
      <c r="E888" s="18"/>
    </row>
    <row r="889" spans="1:5" s="29" customFormat="1" ht="15.6" hidden="1" x14ac:dyDescent="0.3">
      <c r="A889" s="83"/>
      <c r="B889" s="110"/>
      <c r="C889" s="18">
        <f>C887-C888</f>
        <v>0</v>
      </c>
      <c r="D889" s="18"/>
      <c r="E889" s="18"/>
    </row>
    <row r="890" spans="1:5" s="29" customFormat="1" ht="15.6" hidden="1" x14ac:dyDescent="0.3">
      <c r="A890" s="83"/>
      <c r="B890" s="110"/>
      <c r="C890" s="18"/>
      <c r="D890" s="18"/>
      <c r="E890" s="18"/>
    </row>
    <row r="891" spans="1:5" s="29" customFormat="1" ht="34.799999999999997" hidden="1" customHeight="1" x14ac:dyDescent="0.35">
      <c r="A891" s="84"/>
      <c r="B891" s="111"/>
      <c r="C891" s="19"/>
      <c r="D891" s="19"/>
      <c r="E891" s="19"/>
    </row>
    <row r="892" spans="1:5" s="29" customFormat="1" ht="15.6" hidden="1" x14ac:dyDescent="0.3">
      <c r="A892" s="71" t="s">
        <v>178</v>
      </c>
      <c r="B892" s="89" t="s">
        <v>296</v>
      </c>
      <c r="C892" s="30"/>
      <c r="D892" s="30"/>
      <c r="E892" s="30"/>
    </row>
    <row r="893" spans="1:5" s="29" customFormat="1" ht="15.6" hidden="1" x14ac:dyDescent="0.3">
      <c r="A893" s="71"/>
      <c r="B893" s="89"/>
      <c r="C893" s="18"/>
      <c r="D893" s="18"/>
      <c r="E893" s="18"/>
    </row>
    <row r="894" spans="1:5" s="29" customFormat="1" ht="15.6" hidden="1" x14ac:dyDescent="0.3">
      <c r="A894" s="71"/>
      <c r="B894" s="89"/>
      <c r="C894" s="18"/>
      <c r="D894" s="18"/>
      <c r="E894" s="18"/>
    </row>
    <row r="895" spans="1:5" s="29" customFormat="1" ht="15.6" hidden="1" x14ac:dyDescent="0.3">
      <c r="A895" s="71"/>
      <c r="B895" s="89"/>
      <c r="C895" s="18"/>
      <c r="D895" s="18"/>
      <c r="E895" s="18"/>
    </row>
    <row r="896" spans="1:5" s="29" customFormat="1" ht="16.2" hidden="1" thickBot="1" x14ac:dyDescent="0.35">
      <c r="A896" s="72"/>
      <c r="B896" s="90"/>
      <c r="C896" s="19"/>
      <c r="D896" s="19"/>
      <c r="E896" s="19"/>
    </row>
    <row r="897" spans="1:5" s="29" customFormat="1" ht="15.6" hidden="1" x14ac:dyDescent="0.3">
      <c r="A897" s="74" t="s">
        <v>179</v>
      </c>
      <c r="B897" s="88" t="s">
        <v>297</v>
      </c>
      <c r="C897" s="17"/>
      <c r="D897" s="17"/>
      <c r="E897" s="17"/>
    </row>
    <row r="898" spans="1:5" s="29" customFormat="1" ht="15.6" hidden="1" x14ac:dyDescent="0.3">
      <c r="A898" s="71"/>
      <c r="B898" s="89"/>
      <c r="C898" s="18"/>
      <c r="D898" s="18"/>
      <c r="E898" s="18"/>
    </row>
    <row r="899" spans="1:5" s="29" customFormat="1" ht="15.6" hidden="1" x14ac:dyDescent="0.3">
      <c r="A899" s="71"/>
      <c r="B899" s="89"/>
      <c r="C899" s="18"/>
      <c r="D899" s="18"/>
      <c r="E899" s="18"/>
    </row>
    <row r="900" spans="1:5" s="29" customFormat="1" ht="15.6" hidden="1" x14ac:dyDescent="0.3">
      <c r="A900" s="71"/>
      <c r="B900" s="89"/>
      <c r="C900" s="18"/>
      <c r="D900" s="18"/>
      <c r="E900" s="18"/>
    </row>
    <row r="901" spans="1:5" s="29" customFormat="1" ht="16.2" hidden="1" thickBot="1" x14ac:dyDescent="0.35">
      <c r="A901" s="72"/>
      <c r="B901" s="90"/>
      <c r="C901" s="19"/>
      <c r="D901" s="19"/>
      <c r="E901" s="19"/>
    </row>
    <row r="902" spans="1:5" s="29" customFormat="1" ht="15.6" hidden="1" x14ac:dyDescent="0.3">
      <c r="A902" s="74" t="s">
        <v>180</v>
      </c>
      <c r="B902" s="88" t="s">
        <v>287</v>
      </c>
      <c r="C902" s="17"/>
      <c r="D902" s="17"/>
      <c r="E902" s="17"/>
    </row>
    <row r="903" spans="1:5" s="29" customFormat="1" ht="15.6" hidden="1" x14ac:dyDescent="0.3">
      <c r="A903" s="71"/>
      <c r="B903" s="89"/>
      <c r="C903" s="18"/>
      <c r="D903" s="18"/>
      <c r="E903" s="18"/>
    </row>
    <row r="904" spans="1:5" s="29" customFormat="1" ht="15.6" hidden="1" x14ac:dyDescent="0.3">
      <c r="A904" s="71"/>
      <c r="B904" s="89"/>
      <c r="C904" s="18"/>
      <c r="D904" s="18"/>
      <c r="E904" s="18"/>
    </row>
    <row r="905" spans="1:5" s="29" customFormat="1" ht="15.6" hidden="1" x14ac:dyDescent="0.3">
      <c r="A905" s="71"/>
      <c r="B905" s="89"/>
      <c r="C905" s="18"/>
      <c r="D905" s="18"/>
      <c r="E905" s="18"/>
    </row>
    <row r="906" spans="1:5" s="29" customFormat="1" ht="15.6" hidden="1" x14ac:dyDescent="0.3">
      <c r="A906" s="71"/>
      <c r="B906" s="89"/>
      <c r="C906" s="20"/>
      <c r="D906" s="20"/>
      <c r="E906" s="20"/>
    </row>
    <row r="907" spans="1:5" s="29" customFormat="1" ht="15.6" hidden="1" x14ac:dyDescent="0.3">
      <c r="A907" s="82" t="s">
        <v>181</v>
      </c>
      <c r="B907" s="109" t="s">
        <v>277</v>
      </c>
      <c r="C907" s="17"/>
      <c r="D907" s="17"/>
      <c r="E907" s="17"/>
    </row>
    <row r="908" spans="1:5" s="29" customFormat="1" ht="15.6" hidden="1" x14ac:dyDescent="0.3">
      <c r="A908" s="83"/>
      <c r="B908" s="110"/>
      <c r="C908" s="18"/>
      <c r="D908" s="18"/>
      <c r="E908" s="18"/>
    </row>
    <row r="909" spans="1:5" s="29" customFormat="1" ht="15.6" hidden="1" x14ac:dyDescent="0.3">
      <c r="A909" s="83"/>
      <c r="B909" s="110"/>
      <c r="C909" s="18"/>
      <c r="D909" s="18"/>
      <c r="E909" s="18"/>
    </row>
    <row r="910" spans="1:5" s="29" customFormat="1" ht="15.6" hidden="1" x14ac:dyDescent="0.3">
      <c r="A910" s="83"/>
      <c r="B910" s="110"/>
      <c r="C910" s="18"/>
      <c r="D910" s="18"/>
      <c r="E910" s="18"/>
    </row>
    <row r="911" spans="1:5" s="29" customFormat="1" ht="16.2" hidden="1" thickBot="1" x14ac:dyDescent="0.35">
      <c r="A911" s="84"/>
      <c r="B911" s="111"/>
      <c r="C911" s="19"/>
      <c r="D911" s="19"/>
      <c r="E911" s="19"/>
    </row>
    <row r="912" spans="1:5" s="29" customFormat="1" ht="15.6" hidden="1" x14ac:dyDescent="0.3">
      <c r="A912" s="71" t="s">
        <v>182</v>
      </c>
      <c r="B912" s="89" t="s">
        <v>215</v>
      </c>
      <c r="C912" s="30"/>
      <c r="D912" s="30"/>
      <c r="E912" s="30"/>
    </row>
    <row r="913" spans="1:5" s="29" customFormat="1" ht="15.6" hidden="1" x14ac:dyDescent="0.3">
      <c r="A913" s="71"/>
      <c r="B913" s="89"/>
      <c r="C913" s="18"/>
      <c r="D913" s="18"/>
      <c r="E913" s="18"/>
    </row>
    <row r="914" spans="1:5" s="29" customFormat="1" ht="15.6" hidden="1" x14ac:dyDescent="0.3">
      <c r="A914" s="71"/>
      <c r="B914" s="89"/>
      <c r="C914" s="18"/>
      <c r="D914" s="18"/>
      <c r="E914" s="18"/>
    </row>
    <row r="915" spans="1:5" s="29" customFormat="1" ht="15.6" hidden="1" x14ac:dyDescent="0.3">
      <c r="A915" s="71"/>
      <c r="B915" s="89"/>
      <c r="C915" s="18"/>
      <c r="D915" s="18"/>
      <c r="E915" s="18"/>
    </row>
    <row r="916" spans="1:5" s="29" customFormat="1" ht="16.2" hidden="1" thickBot="1" x14ac:dyDescent="0.35">
      <c r="A916" s="72"/>
      <c r="B916" s="90"/>
      <c r="C916" s="19"/>
      <c r="D916" s="19"/>
      <c r="E916" s="19"/>
    </row>
    <row r="917" spans="1:5" s="29" customFormat="1" ht="15.6" hidden="1" x14ac:dyDescent="0.3">
      <c r="A917" s="74" t="s">
        <v>183</v>
      </c>
      <c r="B917" s="88" t="s">
        <v>218</v>
      </c>
      <c r="C917" s="17"/>
      <c r="D917" s="17"/>
      <c r="E917" s="17"/>
    </row>
    <row r="918" spans="1:5" s="29" customFormat="1" ht="15.6" hidden="1" x14ac:dyDescent="0.3">
      <c r="A918" s="71"/>
      <c r="B918" s="89"/>
      <c r="C918" s="18"/>
      <c r="D918" s="18"/>
      <c r="E918" s="18"/>
    </row>
    <row r="919" spans="1:5" s="29" customFormat="1" ht="15.6" hidden="1" x14ac:dyDescent="0.3">
      <c r="A919" s="71"/>
      <c r="B919" s="89"/>
      <c r="C919" s="18"/>
      <c r="D919" s="18"/>
      <c r="E919" s="18"/>
    </row>
    <row r="920" spans="1:5" s="29" customFormat="1" ht="15.6" hidden="1" x14ac:dyDescent="0.3">
      <c r="A920" s="71"/>
      <c r="B920" s="89"/>
      <c r="C920" s="18"/>
      <c r="D920" s="18"/>
      <c r="E920" s="18"/>
    </row>
    <row r="921" spans="1:5" s="29" customFormat="1" ht="16.2" hidden="1" thickBot="1" x14ac:dyDescent="0.35">
      <c r="A921" s="72"/>
      <c r="B921" s="90"/>
      <c r="C921" s="19"/>
      <c r="D921" s="19"/>
      <c r="E921" s="19"/>
    </row>
    <row r="922" spans="1:5" s="29" customFormat="1" ht="15.6" hidden="1" x14ac:dyDescent="0.3">
      <c r="A922" s="74" t="s">
        <v>184</v>
      </c>
      <c r="B922" s="88" t="s">
        <v>218</v>
      </c>
      <c r="C922" s="17"/>
      <c r="D922" s="17"/>
      <c r="E922" s="17"/>
    </row>
    <row r="923" spans="1:5" s="29" customFormat="1" ht="15.6" hidden="1" x14ac:dyDescent="0.3">
      <c r="A923" s="71"/>
      <c r="B923" s="89"/>
      <c r="C923" s="18"/>
      <c r="D923" s="18"/>
      <c r="E923" s="18"/>
    </row>
    <row r="924" spans="1:5" s="29" customFormat="1" ht="15.6" hidden="1" x14ac:dyDescent="0.3">
      <c r="A924" s="71"/>
      <c r="B924" s="89"/>
      <c r="C924" s="18"/>
      <c r="D924" s="18"/>
      <c r="E924" s="18"/>
    </row>
    <row r="925" spans="1:5" s="29" customFormat="1" ht="15.6" hidden="1" x14ac:dyDescent="0.3">
      <c r="A925" s="71"/>
      <c r="B925" s="89"/>
      <c r="C925" s="18"/>
      <c r="D925" s="18"/>
      <c r="E925" s="18"/>
    </row>
    <row r="926" spans="1:5" s="29" customFormat="1" ht="15.6" hidden="1" x14ac:dyDescent="0.3">
      <c r="A926" s="71"/>
      <c r="B926" s="89"/>
      <c r="C926" s="20"/>
      <c r="D926" s="20"/>
      <c r="E926" s="20"/>
    </row>
    <row r="927" spans="1:5" s="29" customFormat="1" ht="15.6" hidden="1" x14ac:dyDescent="0.3">
      <c r="A927" s="82" t="s">
        <v>185</v>
      </c>
      <c r="B927" s="109" t="s">
        <v>288</v>
      </c>
      <c r="C927" s="17"/>
      <c r="D927" s="17"/>
      <c r="E927" s="17"/>
    </row>
    <row r="928" spans="1:5" s="29" customFormat="1" ht="15.6" hidden="1" x14ac:dyDescent="0.3">
      <c r="A928" s="83"/>
      <c r="B928" s="110"/>
      <c r="C928" s="18"/>
      <c r="D928" s="18"/>
      <c r="E928" s="18"/>
    </row>
    <row r="929" spans="1:5" s="29" customFormat="1" ht="15.6" hidden="1" x14ac:dyDescent="0.3">
      <c r="A929" s="83"/>
      <c r="B929" s="110"/>
      <c r="C929" s="18"/>
      <c r="D929" s="18"/>
      <c r="E929" s="18"/>
    </row>
    <row r="930" spans="1:5" s="29" customFormat="1" ht="15.6" hidden="1" x14ac:dyDescent="0.3">
      <c r="A930" s="83"/>
      <c r="B930" s="110"/>
      <c r="C930" s="18"/>
      <c r="D930" s="18"/>
      <c r="E930" s="18"/>
    </row>
    <row r="931" spans="1:5" s="29" customFormat="1" ht="16.2" hidden="1" thickBot="1" x14ac:dyDescent="0.35">
      <c r="A931" s="84"/>
      <c r="B931" s="111"/>
      <c r="C931" s="20"/>
      <c r="D931" s="19"/>
      <c r="E931" s="19"/>
    </row>
    <row r="932" spans="1:5" s="29" customFormat="1" ht="60" customHeight="1" thickBot="1" x14ac:dyDescent="0.35">
      <c r="A932" s="87" t="s">
        <v>186</v>
      </c>
      <c r="B932" s="92" t="s">
        <v>218</v>
      </c>
      <c r="C932" s="62">
        <v>5</v>
      </c>
      <c r="D932" s="30"/>
      <c r="E932" s="30"/>
    </row>
    <row r="933" spans="1:5" s="29" customFormat="1" ht="16.2" hidden="1" thickBot="1" x14ac:dyDescent="0.35">
      <c r="A933" s="71"/>
      <c r="B933" s="92"/>
      <c r="C933" s="30"/>
      <c r="D933" s="18"/>
      <c r="E933" s="18"/>
    </row>
    <row r="934" spans="1:5" s="29" customFormat="1" ht="16.2" hidden="1" thickBot="1" x14ac:dyDescent="0.35">
      <c r="A934" s="71"/>
      <c r="B934" s="92"/>
      <c r="C934" s="18"/>
      <c r="D934" s="18"/>
      <c r="E934" s="18"/>
    </row>
    <row r="935" spans="1:5" s="29" customFormat="1" ht="16.2" hidden="1" thickBot="1" x14ac:dyDescent="0.35">
      <c r="A935" s="71"/>
      <c r="B935" s="92"/>
      <c r="C935" s="18"/>
      <c r="D935" s="18"/>
      <c r="E935" s="18"/>
    </row>
    <row r="936" spans="1:5" s="29" customFormat="1" ht="16.2" hidden="1" thickBot="1" x14ac:dyDescent="0.35">
      <c r="A936" s="72"/>
      <c r="B936" s="93"/>
      <c r="C936" s="20"/>
      <c r="D936" s="19"/>
      <c r="E936" s="19"/>
    </row>
    <row r="937" spans="1:5" s="29" customFormat="1" ht="60" customHeight="1" x14ac:dyDescent="0.3">
      <c r="A937" s="73" t="s">
        <v>187</v>
      </c>
      <c r="B937" s="91" t="s">
        <v>273</v>
      </c>
      <c r="C937" s="62">
        <v>6</v>
      </c>
      <c r="D937" s="17"/>
      <c r="E937" s="17"/>
    </row>
    <row r="938" spans="1:5" s="29" customFormat="1" ht="15.6" hidden="1" x14ac:dyDescent="0.3">
      <c r="A938" s="71"/>
      <c r="B938" s="92"/>
      <c r="C938" s="30">
        <f>C937</f>
        <v>6</v>
      </c>
      <c r="D938" s="18"/>
      <c r="E938" s="18"/>
    </row>
    <row r="939" spans="1:5" s="29" customFormat="1" ht="15.6" hidden="1" x14ac:dyDescent="0.3">
      <c r="A939" s="71"/>
      <c r="B939" s="92"/>
      <c r="C939" s="18">
        <f>C937-C938</f>
        <v>0</v>
      </c>
      <c r="D939" s="18"/>
      <c r="E939" s="18"/>
    </row>
    <row r="940" spans="1:5" s="29" customFormat="1" ht="15.6" hidden="1" x14ac:dyDescent="0.3">
      <c r="A940" s="71"/>
      <c r="B940" s="92"/>
      <c r="C940" s="18"/>
      <c r="D940" s="18"/>
      <c r="E940" s="18"/>
    </row>
    <row r="941" spans="1:5" s="29" customFormat="1" ht="16.2" hidden="1" thickBot="1" x14ac:dyDescent="0.35">
      <c r="A941" s="71"/>
      <c r="B941" s="93"/>
      <c r="C941" s="19"/>
      <c r="D941" s="19"/>
      <c r="E941" s="19"/>
    </row>
    <row r="942" spans="1:5" s="3" customFormat="1" ht="14.4" hidden="1" x14ac:dyDescent="0.3">
      <c r="A942" s="75" t="s">
        <v>188</v>
      </c>
      <c r="B942" s="21"/>
      <c r="C942" s="11" t="e">
        <f>C717+C722+#REF!+C732+C737+C742+C747+C752+C757+C762+C767+C772+C777+C782+C787+C792+C797+C802+C807+C812+C817+C822+C827+C832+C837+C842+C847+C852+C857+C862+C867+C872+C877+C882+C887+C892+C897+C902+C907+C912+C917+C922+C927+C932+C937</f>
        <v>#REF!</v>
      </c>
      <c r="D942" s="11">
        <f t="shared" ref="D942:E942" si="12">D717+D722+D727+D732+D737+D742+D747+D752+D757+D762+D767+D772+D777+D782+D787+D792+D797+D802+D807+D812+D817+D822+D827+D832+D837+D842+D847+D852+D857+D862+D867+D872+D877+D882+D887+D892+D897+D902+D907+D912+D917+D922+D927+D932+D937</f>
        <v>78.062000000000012</v>
      </c>
      <c r="E942" s="11">
        <f t="shared" si="12"/>
        <v>183.51</v>
      </c>
    </row>
    <row r="943" spans="1:5" s="3" customFormat="1" ht="14.4" hidden="1" x14ac:dyDescent="0.3">
      <c r="A943" s="76"/>
      <c r="B943" s="22"/>
      <c r="C943" s="10">
        <f>C718+C723+C727+C733+C738+C743+C748+C753+C758+C763+C768+C773+C778+C783+C788+C793+C798+C803+C808+C813+C818+C823+C828+C833+C838+C843+C848+C853+C858+C863+C868+C873+C878+C883+C888+C893+C898+C903+C908+C913+C918+C923+C928+C933+C938</f>
        <v>138.30000000000001</v>
      </c>
      <c r="D943" s="10">
        <f t="shared" ref="D943:E943" si="13">D718+D723+D728+D733+D738+D743+D748+D753+D758+D763+D768+D773+D778+D783+D788+D793+D798+D803+D808+D813+D818+D823+D828+D833+D838+D843+D848+D853+D858+D863+D868+D873+D878+D883+D888+D893+D898+D903+D908+D913+D918+D923+D928+D933+D938</f>
        <v>0</v>
      </c>
      <c r="E943" s="10">
        <f t="shared" si="13"/>
        <v>18.329999999999998</v>
      </c>
    </row>
    <row r="944" spans="1:5" s="3" customFormat="1" ht="14.4" hidden="1" x14ac:dyDescent="0.3">
      <c r="A944" s="76"/>
      <c r="B944" s="22"/>
      <c r="C944" s="10">
        <f t="shared" ref="C944:E944" si="14">C719+C724+C729+C734+C739+C744+C749+C754+C759+C764+C769+C774+C779+C784+C789+C794+C799+C804+C809+C814+C819+C824+C829+C834+C839+C844+C849+C854+C859+C864+C869+C874+C879+C884+C889+C894+C899+C904+C909+C914+C919+C924+C929+C934+C939</f>
        <v>0</v>
      </c>
      <c r="D944" s="10">
        <f t="shared" si="14"/>
        <v>27.981999999999999</v>
      </c>
      <c r="E944" s="10">
        <f t="shared" si="14"/>
        <v>0</v>
      </c>
    </row>
    <row r="945" spans="1:5" s="3" customFormat="1" ht="14.4" hidden="1" x14ac:dyDescent="0.3">
      <c r="A945" s="76"/>
      <c r="B945" s="22"/>
      <c r="C945" s="10">
        <f t="shared" ref="C945:E945" si="15">C720+C725+C730+C735+C740+C745+C750+C755+C760+C765+C770+C775+C780+C785+C790+C795+C800+C805+C810+C815+C820+C825+C830+C835+C840+C845+C850+C855+C860+C865+C870+C875+C880+C885+C890+C895+C900+C905+C910+C915+C920+C925+C930+C935+C940</f>
        <v>204.45000000000002</v>
      </c>
      <c r="D945" s="10">
        <f t="shared" si="15"/>
        <v>0</v>
      </c>
      <c r="E945" s="10">
        <f t="shared" si="15"/>
        <v>0</v>
      </c>
    </row>
    <row r="946" spans="1:5" s="3" customFormat="1" ht="15" hidden="1" thickBot="1" x14ac:dyDescent="0.35">
      <c r="A946" s="77"/>
      <c r="B946" s="23"/>
      <c r="C946" s="12">
        <f t="shared" ref="C946:E946" si="16">C721+C726+C731+C736+C741+C746+C751+C756+C761+C766+C771+C776+C781+C786+C791+C796+C801+C806+C811+C816+C821+C826+C831+C836+C841+C846+C851+C856+C861+C866+C871+C876+C881+C886+C891+C896+C901+C906+C911+C916+C921+C926+C931+C936+C941</f>
        <v>0</v>
      </c>
      <c r="D946" s="12">
        <f t="shared" si="16"/>
        <v>0</v>
      </c>
      <c r="E946" s="12">
        <f t="shared" si="16"/>
        <v>0</v>
      </c>
    </row>
    <row r="947" spans="1:5" s="2" customFormat="1" ht="14.4" hidden="1" x14ac:dyDescent="0.3">
      <c r="A947" s="85" t="s">
        <v>192</v>
      </c>
      <c r="B947" s="24"/>
      <c r="C947" s="8" t="e">
        <f t="shared" ref="C947:E947" si="17">C942+C711+C415</f>
        <v>#REF!</v>
      </c>
      <c r="D947" s="8">
        <f t="shared" si="17"/>
        <v>252.66200000000003</v>
      </c>
      <c r="E947" s="8">
        <f t="shared" si="17"/>
        <v>486.416</v>
      </c>
    </row>
    <row r="948" spans="1:5" s="28" customFormat="1" ht="14.4" hidden="1" x14ac:dyDescent="0.3">
      <c r="A948" s="85"/>
      <c r="B948" s="27"/>
      <c r="C948" s="26">
        <f t="shared" ref="C948:E948" si="18">C943+C712+C416</f>
        <v>668.64300000000003</v>
      </c>
      <c r="D948" s="26">
        <f t="shared" si="18"/>
        <v>5.52</v>
      </c>
      <c r="E948" s="26">
        <f t="shared" si="18"/>
        <v>57.199999999999996</v>
      </c>
    </row>
    <row r="949" spans="1:5" s="28" customFormat="1" ht="14.4" hidden="1" x14ac:dyDescent="0.3">
      <c r="A949" s="85"/>
      <c r="B949" s="27"/>
      <c r="C949" s="26">
        <f t="shared" ref="C949:E949" si="19">C944+C713+C417</f>
        <v>270.83000000000004</v>
      </c>
      <c r="D949" s="26">
        <f t="shared" si="19"/>
        <v>137.27199999999999</v>
      </c>
      <c r="E949" s="26">
        <f t="shared" si="19"/>
        <v>32.979999999999997</v>
      </c>
    </row>
    <row r="950" spans="1:5" s="2" customFormat="1" ht="14.4" hidden="1" x14ac:dyDescent="0.3">
      <c r="A950" s="85"/>
      <c r="B950" s="24"/>
      <c r="C950" s="4">
        <f t="shared" ref="C950:E950" si="20">C945+C714+C418</f>
        <v>209.15</v>
      </c>
      <c r="D950" s="4">
        <f t="shared" si="20"/>
        <v>0</v>
      </c>
      <c r="E950" s="4">
        <f t="shared" si="20"/>
        <v>0</v>
      </c>
    </row>
    <row r="951" spans="1:5" s="2" customFormat="1" ht="15" hidden="1" thickBot="1" x14ac:dyDescent="0.35">
      <c r="A951" s="86"/>
      <c r="B951" s="25"/>
      <c r="C951" s="9" t="e">
        <f t="shared" ref="C951:E951" si="21">C946+C715+C419</f>
        <v>#REF!</v>
      </c>
      <c r="D951" s="9">
        <f t="shared" si="21"/>
        <v>0</v>
      </c>
      <c r="E951" s="9">
        <f t="shared" si="21"/>
        <v>0</v>
      </c>
    </row>
    <row r="952" spans="1:5" s="33" customFormat="1" ht="14.4" hidden="1" x14ac:dyDescent="0.3">
      <c r="A952" s="32"/>
      <c r="B952" s="32"/>
      <c r="C952" s="31" t="e">
        <f t="shared" ref="C952:E952" si="22">C947-C948-C949</f>
        <v>#REF!</v>
      </c>
      <c r="D952" s="31">
        <f t="shared" si="22"/>
        <v>109.87000000000003</v>
      </c>
      <c r="E952" s="31">
        <f t="shared" si="22"/>
        <v>396.23599999999999</v>
      </c>
    </row>
    <row r="953" spans="1:5" s="29" customFormat="1" ht="90" hidden="1" customHeight="1" x14ac:dyDescent="0.3">
      <c r="A953" s="36"/>
      <c r="B953" s="37" t="s">
        <v>302</v>
      </c>
      <c r="C953" s="35">
        <f>C45+C50+C55+C60+C421+C426+C436+C441+C446+C451+C717+C722+C732+C737+C742+C747+C752</f>
        <v>164</v>
      </c>
      <c r="D953" s="35">
        <f>D45+D50+D55+D60+D421+D426+D436+D441+D446+D451+D722+D732+D737+D742+D747+D752</f>
        <v>214.84999999999997</v>
      </c>
      <c r="E953" s="35">
        <f>E45+E50+E55+E60+E421+E426+E436+E441+E446+E451+E717+E722+E732+E737+E742+E747+E752</f>
        <v>396.23599999999999</v>
      </c>
    </row>
    <row r="954" spans="1:5" ht="56.4" hidden="1" customHeight="1" x14ac:dyDescent="0.3">
      <c r="A954" s="43"/>
      <c r="B954" s="44" t="s">
        <v>303</v>
      </c>
      <c r="C954" s="45">
        <v>535.5</v>
      </c>
      <c r="D954" s="14"/>
      <c r="E954" s="15"/>
    </row>
    <row r="955" spans="1:5" ht="80.400000000000006" hidden="1" customHeight="1" x14ac:dyDescent="0.3">
      <c r="A955" s="49" t="s">
        <v>193</v>
      </c>
      <c r="B955" s="50"/>
      <c r="C955" s="47"/>
      <c r="D955" s="14"/>
      <c r="E955" s="15"/>
    </row>
    <row r="956" spans="1:5" ht="94.2" hidden="1" customHeight="1" thickBot="1" x14ac:dyDescent="0.3">
      <c r="A956" s="80" t="s">
        <v>304</v>
      </c>
      <c r="B956" s="81"/>
      <c r="C956" s="59">
        <v>122.6</v>
      </c>
      <c r="D956" s="14"/>
      <c r="E956" s="15"/>
    </row>
    <row r="957" spans="1:5" x14ac:dyDescent="0.3">
      <c r="A957" s="67" t="s">
        <v>306</v>
      </c>
      <c r="B957" s="67"/>
      <c r="C957" s="63">
        <v>777</v>
      </c>
      <c r="D957" s="14"/>
      <c r="E957" s="15"/>
    </row>
    <row r="958" spans="1:5" ht="69" customHeight="1" x14ac:dyDescent="0.3">
      <c r="A958" s="60" t="s">
        <v>298</v>
      </c>
      <c r="B958" s="61"/>
      <c r="C958" s="55"/>
      <c r="D958" s="16"/>
      <c r="E958" s="15"/>
    </row>
    <row r="959" spans="1:5" x14ac:dyDescent="0.3">
      <c r="A959" s="68" t="s">
        <v>194</v>
      </c>
      <c r="B959" s="69"/>
      <c r="C959" s="54"/>
      <c r="D959" s="14"/>
      <c r="E959" s="15"/>
    </row>
    <row r="960" spans="1:5" x14ac:dyDescent="0.4">
      <c r="A960" s="51"/>
      <c r="B960" s="38"/>
      <c r="C960" s="54"/>
      <c r="D960" s="14"/>
      <c r="E960" s="15"/>
    </row>
    <row r="961" spans="1:5" ht="57" customHeight="1" x14ac:dyDescent="0.3">
      <c r="A961" s="53" t="s">
        <v>195</v>
      </c>
      <c r="B961" s="39"/>
      <c r="C961" s="54"/>
      <c r="D961" s="14"/>
      <c r="E961" s="15"/>
    </row>
    <row r="962" spans="1:5" x14ac:dyDescent="0.3">
      <c r="A962" s="78" t="s">
        <v>194</v>
      </c>
      <c r="B962" s="79"/>
      <c r="C962" s="54"/>
      <c r="D962" s="14"/>
      <c r="E962" s="15"/>
    </row>
  </sheetData>
  <autoFilter ref="A3:E956">
    <filterColumn colId="0">
      <filters>
        <filter val="1.03"/>
        <filter val="1.06"/>
        <filter val="1.07"/>
        <filter val="1.08"/>
        <filter val="1.09"/>
        <filter val="1.10"/>
        <filter val="1.11"/>
        <filter val="1.12"/>
        <filter val="1.13"/>
        <filter val="1.14"/>
        <filter val="1.15"/>
        <filter val="1.16"/>
        <filter val="1.17"/>
        <filter val="1.18"/>
        <filter val="1.19"/>
        <filter val="1.21"/>
        <filter val="1.22"/>
        <filter val="1.25"/>
        <filter val="1.26"/>
        <filter val="1.36"/>
        <filter val="1.37"/>
        <filter val="1.38"/>
        <filter val="1.39"/>
        <filter val="1.40"/>
        <filter val="1.41"/>
        <filter val="1.42"/>
        <filter val="1.45"/>
        <filter val="1.46"/>
        <filter val="1.49"/>
        <filter val="1.50"/>
        <filter val="1.51"/>
        <filter val="1.52"/>
        <filter val="1.53"/>
        <filter val="1.54"/>
        <filter val="1.55"/>
        <filter val="1.56"/>
        <filter val="1.57"/>
        <filter val="2.01"/>
        <filter val="2.02"/>
        <filter val="2.03"/>
        <filter val="2.04"/>
        <filter val="2.05"/>
        <filter val="2.06"/>
        <filter val="2.07"/>
        <filter val="2.08"/>
        <filter val="2.09"/>
        <filter val="2.10"/>
        <filter val="2.11"/>
        <filter val="2.12"/>
        <filter val="2.13"/>
        <filter val="2.14"/>
        <filter val="2.16"/>
        <filter val="2.17"/>
        <filter val="2.20"/>
        <filter val="2.21"/>
        <filter val="2.22"/>
        <filter val="2.23"/>
        <filter val="2.24"/>
        <filter val="2.25"/>
        <filter val="2.26"/>
        <filter val="2.27"/>
        <filter val="2.28"/>
        <filter val="2.33"/>
        <filter val="2.58"/>
        <filter val="3.01"/>
        <filter val="3.02"/>
        <filter val="3.03"/>
        <filter val="3.04"/>
        <filter val="3.05"/>
        <filter val="3.06"/>
        <filter val="3.07"/>
        <filter val="3.08"/>
        <filter val="3.09"/>
        <filter val="3.10"/>
        <filter val="3.11"/>
        <filter val="3.12"/>
        <filter val="3.19"/>
        <filter val="3.44"/>
        <filter val="3.45"/>
      </filters>
    </filterColumn>
  </autoFilter>
  <mergeCells count="388">
    <mergeCell ref="C40:C44"/>
    <mergeCell ref="C385:C389"/>
    <mergeCell ref="C431:C435"/>
    <mergeCell ref="C727:C731"/>
    <mergeCell ref="B932:B936"/>
    <mergeCell ref="B792:B796"/>
    <mergeCell ref="B701:B705"/>
    <mergeCell ref="B706:B710"/>
    <mergeCell ref="B717:B721"/>
    <mergeCell ref="B722:B726"/>
    <mergeCell ref="B727:B731"/>
    <mergeCell ref="B732:B736"/>
    <mergeCell ref="B737:B741"/>
    <mergeCell ref="B742:B746"/>
    <mergeCell ref="B747:B751"/>
    <mergeCell ref="B752:B756"/>
    <mergeCell ref="B757:B761"/>
    <mergeCell ref="B762:B766"/>
    <mergeCell ref="B767:B771"/>
    <mergeCell ref="B772:B776"/>
    <mergeCell ref="B777:B781"/>
    <mergeCell ref="B782:B786"/>
    <mergeCell ref="B787:B791"/>
    <mergeCell ref="B636:B640"/>
    <mergeCell ref="B937:B941"/>
    <mergeCell ref="B797:B801"/>
    <mergeCell ref="B802:B806"/>
    <mergeCell ref="B807:B811"/>
    <mergeCell ref="B812:B816"/>
    <mergeCell ref="B817:B821"/>
    <mergeCell ref="B822:B826"/>
    <mergeCell ref="B827:B831"/>
    <mergeCell ref="B832:B836"/>
    <mergeCell ref="B837:B841"/>
    <mergeCell ref="B917:B921"/>
    <mergeCell ref="B862:B866"/>
    <mergeCell ref="B867:B871"/>
    <mergeCell ref="B872:B876"/>
    <mergeCell ref="B877:B881"/>
    <mergeCell ref="B882:B886"/>
    <mergeCell ref="B887:B891"/>
    <mergeCell ref="B912:B916"/>
    <mergeCell ref="B892:B896"/>
    <mergeCell ref="B897:B901"/>
    <mergeCell ref="B902:B906"/>
    <mergeCell ref="B907:B911"/>
    <mergeCell ref="B922:B926"/>
    <mergeCell ref="B927:B931"/>
    <mergeCell ref="B686:B690"/>
    <mergeCell ref="B691:B695"/>
    <mergeCell ref="B696:B700"/>
    <mergeCell ref="B591:B595"/>
    <mergeCell ref="B596:B600"/>
    <mergeCell ref="B601:B605"/>
    <mergeCell ref="B606:B610"/>
    <mergeCell ref="B611:B615"/>
    <mergeCell ref="B616:B620"/>
    <mergeCell ref="B621:B625"/>
    <mergeCell ref="B626:B630"/>
    <mergeCell ref="B631:B635"/>
    <mergeCell ref="B641:B645"/>
    <mergeCell ref="B646:B650"/>
    <mergeCell ref="B651:B655"/>
    <mergeCell ref="B656:B660"/>
    <mergeCell ref="B661:B665"/>
    <mergeCell ref="B666:B670"/>
    <mergeCell ref="B671:B675"/>
    <mergeCell ref="B676:B680"/>
    <mergeCell ref="B681:B685"/>
    <mergeCell ref="B546:B550"/>
    <mergeCell ref="B551:B555"/>
    <mergeCell ref="B556:B560"/>
    <mergeCell ref="B561:B565"/>
    <mergeCell ref="B566:B570"/>
    <mergeCell ref="B571:B575"/>
    <mergeCell ref="B576:B580"/>
    <mergeCell ref="B581:B585"/>
    <mergeCell ref="B586:B590"/>
    <mergeCell ref="B501:B505"/>
    <mergeCell ref="B506:B510"/>
    <mergeCell ref="B511:B515"/>
    <mergeCell ref="B516:B520"/>
    <mergeCell ref="B521:B525"/>
    <mergeCell ref="B526:B530"/>
    <mergeCell ref="B531:B535"/>
    <mergeCell ref="B536:B540"/>
    <mergeCell ref="B541:B545"/>
    <mergeCell ref="B456:B460"/>
    <mergeCell ref="B461:B465"/>
    <mergeCell ref="B466:B470"/>
    <mergeCell ref="B471:B475"/>
    <mergeCell ref="B476:B480"/>
    <mergeCell ref="B481:B485"/>
    <mergeCell ref="B486:B490"/>
    <mergeCell ref="B491:B495"/>
    <mergeCell ref="B496:B500"/>
    <mergeCell ref="B405:B409"/>
    <mergeCell ref="B410:B414"/>
    <mergeCell ref="B421:B425"/>
    <mergeCell ref="B426:B430"/>
    <mergeCell ref="B431:B435"/>
    <mergeCell ref="B436:B440"/>
    <mergeCell ref="B441:B445"/>
    <mergeCell ref="B446:B450"/>
    <mergeCell ref="B451:B455"/>
    <mergeCell ref="B360:B364"/>
    <mergeCell ref="B365:B369"/>
    <mergeCell ref="B370:B374"/>
    <mergeCell ref="B375:B379"/>
    <mergeCell ref="B380:B384"/>
    <mergeCell ref="B385:B389"/>
    <mergeCell ref="B390:B394"/>
    <mergeCell ref="B395:B399"/>
    <mergeCell ref="B400:B404"/>
    <mergeCell ref="B315:B319"/>
    <mergeCell ref="B320:B324"/>
    <mergeCell ref="B325:B329"/>
    <mergeCell ref="B330:B334"/>
    <mergeCell ref="B335:B339"/>
    <mergeCell ref="B340:B344"/>
    <mergeCell ref="B345:B349"/>
    <mergeCell ref="B350:B354"/>
    <mergeCell ref="B355:B359"/>
    <mergeCell ref="B270:B274"/>
    <mergeCell ref="B275:B279"/>
    <mergeCell ref="B280:B284"/>
    <mergeCell ref="B285:B289"/>
    <mergeCell ref="B290:B294"/>
    <mergeCell ref="B295:B299"/>
    <mergeCell ref="B300:B304"/>
    <mergeCell ref="B305:B309"/>
    <mergeCell ref="B310:B314"/>
    <mergeCell ref="B225:B229"/>
    <mergeCell ref="B230:B234"/>
    <mergeCell ref="B235:B239"/>
    <mergeCell ref="B240:B244"/>
    <mergeCell ref="B245:B249"/>
    <mergeCell ref="B250:B254"/>
    <mergeCell ref="B255:B259"/>
    <mergeCell ref="B260:B264"/>
    <mergeCell ref="B265:B269"/>
    <mergeCell ref="B180:B184"/>
    <mergeCell ref="B185:B189"/>
    <mergeCell ref="B190:B194"/>
    <mergeCell ref="B195:B199"/>
    <mergeCell ref="B200:B204"/>
    <mergeCell ref="B205:B209"/>
    <mergeCell ref="B210:B214"/>
    <mergeCell ref="B215:B219"/>
    <mergeCell ref="B220:B224"/>
    <mergeCell ref="B135:B139"/>
    <mergeCell ref="B140:B144"/>
    <mergeCell ref="B145:B149"/>
    <mergeCell ref="B150:B154"/>
    <mergeCell ref="B155:B159"/>
    <mergeCell ref="B160:B164"/>
    <mergeCell ref="B165:B169"/>
    <mergeCell ref="B170:B174"/>
    <mergeCell ref="B175:B179"/>
    <mergeCell ref="B5:B9"/>
    <mergeCell ref="B10:B14"/>
    <mergeCell ref="B15:B19"/>
    <mergeCell ref="A15:A19"/>
    <mergeCell ref="B110:B114"/>
    <mergeCell ref="B115:B119"/>
    <mergeCell ref="B120:B124"/>
    <mergeCell ref="B125:B129"/>
    <mergeCell ref="B130:B134"/>
    <mergeCell ref="A100:A104"/>
    <mergeCell ref="A95:A99"/>
    <mergeCell ref="A90:A94"/>
    <mergeCell ref="A85:A89"/>
    <mergeCell ref="A80:A84"/>
    <mergeCell ref="A75:A79"/>
    <mergeCell ref="A70:A74"/>
    <mergeCell ref="A10:A14"/>
    <mergeCell ref="A5:A9"/>
    <mergeCell ref="A65:A69"/>
    <mergeCell ref="A60:A64"/>
    <mergeCell ref="A55:A59"/>
    <mergeCell ref="A50:A54"/>
    <mergeCell ref="A45:A49"/>
    <mergeCell ref="A40:A44"/>
    <mergeCell ref="A35:A39"/>
    <mergeCell ref="A30:A34"/>
    <mergeCell ref="A25:A29"/>
    <mergeCell ref="A842:A846"/>
    <mergeCell ref="A1:E1"/>
    <mergeCell ref="A2:A3"/>
    <mergeCell ref="C2:E2"/>
    <mergeCell ref="B20:B24"/>
    <mergeCell ref="B25:B29"/>
    <mergeCell ref="B30:B34"/>
    <mergeCell ref="B35:B39"/>
    <mergeCell ref="B40:B44"/>
    <mergeCell ref="B45:B49"/>
    <mergeCell ref="B50:B54"/>
    <mergeCell ref="B55:B59"/>
    <mergeCell ref="B60:B64"/>
    <mergeCell ref="B65:B69"/>
    <mergeCell ref="B70:B74"/>
    <mergeCell ref="B75:B79"/>
    <mergeCell ref="B80:B84"/>
    <mergeCell ref="A812:A816"/>
    <mergeCell ref="A4:B4"/>
    <mergeCell ref="A420:B420"/>
    <mergeCell ref="A716:B716"/>
    <mergeCell ref="A807:A811"/>
    <mergeCell ref="A802:A806"/>
    <mergeCell ref="A797:A801"/>
    <mergeCell ref="A792:A796"/>
    <mergeCell ref="A787:A791"/>
    <mergeCell ref="A782:A786"/>
    <mergeCell ref="A777:A781"/>
    <mergeCell ref="A772:A776"/>
    <mergeCell ref="A767:A771"/>
    <mergeCell ref="A762:A766"/>
    <mergeCell ref="A757:A761"/>
    <mergeCell ref="A752:A756"/>
    <mergeCell ref="A747:A751"/>
    <mergeCell ref="A742:A746"/>
    <mergeCell ref="A737:A741"/>
    <mergeCell ref="B85:B89"/>
    <mergeCell ref="B90:B94"/>
    <mergeCell ref="B95:B99"/>
    <mergeCell ref="B100:B104"/>
    <mergeCell ref="B105:B109"/>
    <mergeCell ref="A732:A736"/>
    <mergeCell ref="A727:A731"/>
    <mergeCell ref="A722:A726"/>
    <mergeCell ref="A717:A721"/>
    <mergeCell ref="A711:A715"/>
    <mergeCell ref="A706:A710"/>
    <mergeCell ref="A701:A705"/>
    <mergeCell ref="A696:A700"/>
    <mergeCell ref="A691:A695"/>
    <mergeCell ref="A686:A690"/>
    <mergeCell ref="A681:A685"/>
    <mergeCell ref="A676:A680"/>
    <mergeCell ref="A671:A675"/>
    <mergeCell ref="A837:A841"/>
    <mergeCell ref="A832:A836"/>
    <mergeCell ref="A827:A831"/>
    <mergeCell ref="A822:A826"/>
    <mergeCell ref="A817:A821"/>
    <mergeCell ref="B842:B846"/>
    <mergeCell ref="B847:B851"/>
    <mergeCell ref="B852:B856"/>
    <mergeCell ref="B857:B861"/>
    <mergeCell ref="A857:A861"/>
    <mergeCell ref="A852:A856"/>
    <mergeCell ref="A847:A851"/>
    <mergeCell ref="A942:A946"/>
    <mergeCell ref="A947:A951"/>
    <mergeCell ref="A937:A941"/>
    <mergeCell ref="A932:A936"/>
    <mergeCell ref="A927:A931"/>
    <mergeCell ref="A922:A926"/>
    <mergeCell ref="A917:A921"/>
    <mergeCell ref="A912:A916"/>
    <mergeCell ref="A907:A911"/>
    <mergeCell ref="A872:A876"/>
    <mergeCell ref="A867:A871"/>
    <mergeCell ref="A862:A866"/>
    <mergeCell ref="A902:A906"/>
    <mergeCell ref="A897:A901"/>
    <mergeCell ref="A892:A896"/>
    <mergeCell ref="A887:A891"/>
    <mergeCell ref="A882:A886"/>
    <mergeCell ref="A877:A881"/>
    <mergeCell ref="A666:A670"/>
    <mergeCell ref="A661:A665"/>
    <mergeCell ref="A656:A660"/>
    <mergeCell ref="A651:A655"/>
    <mergeCell ref="A646:A650"/>
    <mergeCell ref="A641:A645"/>
    <mergeCell ref="A636:A640"/>
    <mergeCell ref="A631:A635"/>
    <mergeCell ref="A626:A630"/>
    <mergeCell ref="A621:A625"/>
    <mergeCell ref="A616:A620"/>
    <mergeCell ref="A611:A615"/>
    <mergeCell ref="A606:A610"/>
    <mergeCell ref="A601:A605"/>
    <mergeCell ref="A596:A600"/>
    <mergeCell ref="A591:A595"/>
    <mergeCell ref="A586:A590"/>
    <mergeCell ref="A581:A585"/>
    <mergeCell ref="A576:A580"/>
    <mergeCell ref="A571:A575"/>
    <mergeCell ref="A566:A570"/>
    <mergeCell ref="A561:A565"/>
    <mergeCell ref="A556:A560"/>
    <mergeCell ref="A551:A555"/>
    <mergeCell ref="A546:A550"/>
    <mergeCell ref="A541:A545"/>
    <mergeCell ref="A536:A540"/>
    <mergeCell ref="A431:A435"/>
    <mergeCell ref="A426:A430"/>
    <mergeCell ref="A421:A425"/>
    <mergeCell ref="A531:A535"/>
    <mergeCell ref="A526:A530"/>
    <mergeCell ref="A521:A525"/>
    <mergeCell ref="A516:A520"/>
    <mergeCell ref="A511:A515"/>
    <mergeCell ref="A506:A510"/>
    <mergeCell ref="A501:A505"/>
    <mergeCell ref="A496:A500"/>
    <mergeCell ref="A491:A495"/>
    <mergeCell ref="A486:A490"/>
    <mergeCell ref="A481:A485"/>
    <mergeCell ref="A476:A480"/>
    <mergeCell ref="A471:A475"/>
    <mergeCell ref="A466:A470"/>
    <mergeCell ref="A461:A465"/>
    <mergeCell ref="A456:A460"/>
    <mergeCell ref="A451:A455"/>
    <mergeCell ref="A446:A450"/>
    <mergeCell ref="A962:B962"/>
    <mergeCell ref="A956:B956"/>
    <mergeCell ref="A20:A24"/>
    <mergeCell ref="A145:A149"/>
    <mergeCell ref="A140:A144"/>
    <mergeCell ref="A135:A139"/>
    <mergeCell ref="A130:A134"/>
    <mergeCell ref="A125:A129"/>
    <mergeCell ref="A120:A124"/>
    <mergeCell ref="A115:A119"/>
    <mergeCell ref="A110:A114"/>
    <mergeCell ref="A105:A109"/>
    <mergeCell ref="A190:A194"/>
    <mergeCell ref="A185:A189"/>
    <mergeCell ref="A180:A184"/>
    <mergeCell ref="A175:A179"/>
    <mergeCell ref="A170:A174"/>
    <mergeCell ref="A165:A169"/>
    <mergeCell ref="A160:A164"/>
    <mergeCell ref="A155:A159"/>
    <mergeCell ref="A150:A154"/>
    <mergeCell ref="A210:A214"/>
    <mergeCell ref="A205:A209"/>
    <mergeCell ref="A200:A204"/>
    <mergeCell ref="A195:A199"/>
    <mergeCell ref="A280:A284"/>
    <mergeCell ref="A275:A279"/>
    <mergeCell ref="A270:A274"/>
    <mergeCell ref="A265:A269"/>
    <mergeCell ref="A260:A264"/>
    <mergeCell ref="A255:A259"/>
    <mergeCell ref="A250:A254"/>
    <mergeCell ref="A245:A249"/>
    <mergeCell ref="A240:A244"/>
    <mergeCell ref="A340:A344"/>
    <mergeCell ref="A335:A339"/>
    <mergeCell ref="A330:A334"/>
    <mergeCell ref="A415:A419"/>
    <mergeCell ref="A410:A414"/>
    <mergeCell ref="A405:A409"/>
    <mergeCell ref="A400:A404"/>
    <mergeCell ref="A395:A399"/>
    <mergeCell ref="A390:A394"/>
    <mergeCell ref="A385:A389"/>
    <mergeCell ref="A380:A384"/>
    <mergeCell ref="A375:A379"/>
    <mergeCell ref="A957:B957"/>
    <mergeCell ref="A959:B959"/>
    <mergeCell ref="A235:A239"/>
    <mergeCell ref="A230:A234"/>
    <mergeCell ref="A225:A229"/>
    <mergeCell ref="A220:A224"/>
    <mergeCell ref="A215:A219"/>
    <mergeCell ref="A325:A329"/>
    <mergeCell ref="A320:A324"/>
    <mergeCell ref="A315:A319"/>
    <mergeCell ref="A310:A314"/>
    <mergeCell ref="A305:A309"/>
    <mergeCell ref="A300:A304"/>
    <mergeCell ref="A295:A299"/>
    <mergeCell ref="A290:A294"/>
    <mergeCell ref="A285:A289"/>
    <mergeCell ref="A370:A374"/>
    <mergeCell ref="A365:A369"/>
    <mergeCell ref="A360:A364"/>
    <mergeCell ref="A355:A359"/>
    <mergeCell ref="A350:A354"/>
    <mergeCell ref="A345:A349"/>
    <mergeCell ref="A441:A445"/>
    <mergeCell ref="A436:A440"/>
  </mergeCells>
  <phoneticPr fontId="1" type="noConversion"/>
  <pageMargins left="0.39370078740157483" right="0" top="0.15748031496062992" bottom="0.35433070866141736" header="0.31496062992125984" footer="0.31496062992125984"/>
  <pageSetup paperSize="9" scale="15" orientation="portrait" horizontalDpi="300" verticalDpi="300" r:id="rId1"/>
  <rowBreaks count="24" manualBreakCount="24">
    <brk id="34" max="71" man="1"/>
    <brk id="74" max="71" man="1"/>
    <brk id="114" max="71" man="1"/>
    <brk id="154" max="71" man="1"/>
    <brk id="194" max="71" man="1"/>
    <brk id="234" max="71" man="1"/>
    <brk id="274" max="71" man="1"/>
    <brk id="314" max="71" man="1"/>
    <brk id="354" max="71" man="1"/>
    <brk id="394" max="71" man="1"/>
    <brk id="435" max="71" man="1"/>
    <brk id="475" max="71" man="1"/>
    <brk id="515" max="71" man="1"/>
    <brk id="555" max="71" man="1"/>
    <brk id="595" max="71" man="1"/>
    <brk id="635" max="71" man="1"/>
    <brk id="675" max="71" man="1"/>
    <brk id="715" max="71" man="1"/>
    <brk id="756" max="71" man="1"/>
    <brk id="796" max="71" man="1"/>
    <brk id="836" max="71" man="1"/>
    <brk id="876" max="71" man="1"/>
    <brk id="916" max="71" man="1"/>
    <brk id="951" max="7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Лист1 (2)</vt:lpstr>
      <vt:lpstr>Лист1</vt:lpstr>
      <vt:lpstr>Лист1!Область_печати</vt:lpstr>
      <vt:lpstr>'Лист1 (2)'!Область_печати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Ольга Баскакова</dc:creator>
  <cp:lastModifiedBy>Linux</cp:lastModifiedBy>
  <cp:lastPrinted>2026-06-04T10:58:56Z</cp:lastPrinted>
  <dcterms:created xsi:type="dcterms:W3CDTF">2015-06-05T18:19:34Z</dcterms:created>
  <dcterms:modified xsi:type="dcterms:W3CDTF">2026-09-04T13:02:19Z</dcterms:modified>
</cp:coreProperties>
</file>