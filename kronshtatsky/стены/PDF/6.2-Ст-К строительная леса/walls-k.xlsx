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kronshtatsky\стены\PDF\6.2-Ст-К строительная леса\"/>
    </mc:Choice>
  </mc:AlternateContent>
  <bookViews>
    <workbookView xWindow="0" yWindow="0" windowWidth="16404" windowHeight="8436" firstSheet="17" activeTab="17"/>
  </bookViews>
  <sheets>
    <sheet name="Table 1" sheetId="1" state="hidden" r:id="rId1"/>
    <sheet name="Table 2" sheetId="2" state="hidden" r:id="rId2"/>
    <sheet name="Table 3" sheetId="3" state="hidden" r:id="rId3"/>
    <sheet name="Table 4" sheetId="4" state="hidden" r:id="rId4"/>
    <sheet name="Table 5" sheetId="5" state="hidden" r:id="rId5"/>
    <sheet name="Table 6" sheetId="6" state="hidden" r:id="rId6"/>
    <sheet name="Table 7" sheetId="7" state="hidden" r:id="rId7"/>
    <sheet name="Table 8" sheetId="8" state="hidden" r:id="rId8"/>
    <sheet name="Table 9" sheetId="9" state="hidden" r:id="rId9"/>
    <sheet name="Table 10" sheetId="10" state="hidden" r:id="rId10"/>
    <sheet name="Table 11" sheetId="11" state="hidden" r:id="rId11"/>
    <sheet name="Table 12" sheetId="12" state="hidden" r:id="rId12"/>
    <sheet name="Table 13" sheetId="13" state="hidden" r:id="rId13"/>
    <sheet name="Table 14" sheetId="14" state="hidden" r:id="rId14"/>
    <sheet name="Table 15" sheetId="15" state="hidden" r:id="rId15"/>
    <sheet name="Table 16" sheetId="16" state="hidden" r:id="rId16"/>
    <sheet name="Table 17" sheetId="17" state="hidden" r:id="rId17"/>
    <sheet name="6.2леса" sheetId="60" r:id="rId18"/>
    <sheet name="-1эт" sheetId="18" state="hidden" r:id="rId19"/>
    <sheet name="1эт" sheetId="19" state="hidden" r:id="rId20"/>
    <sheet name="2эт" sheetId="20" state="hidden" r:id="rId21"/>
    <sheet name="3эт" sheetId="21" state="hidden" r:id="rId22"/>
    <sheet name="1.2п" sheetId="31" state="hidden" r:id="rId23"/>
  </sheets>
  <calcPr calcId="152511"/>
</workbook>
</file>

<file path=xl/calcChain.xml><?xml version="1.0" encoding="utf-8"?>
<calcChain xmlns="http://schemas.openxmlformats.org/spreadsheetml/2006/main">
  <c r="C6" i="60" l="1"/>
  <c r="C7" i="60" l="1"/>
  <c r="C14" i="60"/>
  <c r="C13" i="60"/>
  <c r="C12" i="60"/>
  <c r="C11" i="60"/>
  <c r="C10" i="60"/>
  <c r="C9" i="60"/>
  <c r="C8" i="60"/>
  <c r="C15" i="60" l="1"/>
  <c r="E3" i="60" s="1"/>
  <c r="C12" i="31" l="1"/>
</calcChain>
</file>

<file path=xl/sharedStrings.xml><?xml version="1.0" encoding="utf-8"?>
<sst xmlns="http://schemas.openxmlformats.org/spreadsheetml/2006/main" count="4582" uniqueCount="396">
  <si>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подвала</t>
    </r>
  </si>
  <si>
    <r>
      <rPr>
        <i/>
        <sz val="13"/>
        <rFont val="ISOCPEUR"/>
        <family val="2"/>
      </rPr>
      <t>Ном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ер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еще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ния</t>
    </r>
  </si>
  <si>
    <r>
      <rPr>
        <i/>
        <sz val="13"/>
        <rFont val="ISOCPEUR"/>
        <family val="2"/>
      </rPr>
      <t>Наименование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помещения</t>
    </r>
  </si>
  <si>
    <r>
      <rPr>
        <i/>
        <sz val="13"/>
        <rFont val="ISOCPEUR"/>
        <family val="2"/>
      </rPr>
      <t>СТЕНЫ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ИЛИ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ПЕРЕГОРОДКИ</t>
    </r>
  </si>
  <si>
    <r>
      <rPr>
        <i/>
        <sz val="13"/>
        <rFont val="ISOCPEUR"/>
        <family val="2"/>
      </rPr>
      <t>Основной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тип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потолка</t>
    </r>
  </si>
  <si>
    <r>
      <rPr>
        <i/>
        <sz val="13"/>
        <rFont val="ISOCPEUR"/>
        <family val="2"/>
      </rPr>
      <t>ПЛИНТУС</t>
    </r>
  </si>
  <si>
    <r>
      <rPr>
        <i/>
        <sz val="13"/>
        <rFont val="ISOCPEUR"/>
        <family val="2"/>
      </rPr>
      <t>Примечание</t>
    </r>
  </si>
  <si>
    <r>
      <rPr>
        <i/>
        <sz val="13"/>
        <rFont val="ISOCPEUR"/>
        <family val="2"/>
      </rPr>
      <t>Железобетон</t>
    </r>
  </si>
  <si>
    <r>
      <rPr>
        <i/>
        <sz val="13"/>
        <rFont val="ISOCPEUR"/>
        <family val="2"/>
      </rPr>
      <t>Кирпич</t>
    </r>
  </si>
  <si>
    <r>
      <rPr>
        <i/>
        <sz val="13"/>
        <rFont val="ISOCPEUR"/>
        <family val="2"/>
      </rPr>
      <t>Газобетон</t>
    </r>
  </si>
  <si>
    <r>
      <rPr>
        <i/>
        <sz val="13"/>
        <rFont val="ISOCPEUR"/>
        <family val="2"/>
      </rPr>
      <t>Утеплитель</t>
    </r>
  </si>
  <si>
    <r>
      <rPr>
        <i/>
        <sz val="13"/>
        <rFont val="ISOCPEUR"/>
        <family val="2"/>
      </rPr>
      <t>Финишный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слой</t>
    </r>
  </si>
  <si>
    <r>
      <rPr>
        <i/>
        <sz val="13"/>
        <rFont val="ISOCPEUR"/>
        <family val="2"/>
      </rPr>
      <t>Вид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отделки</t>
    </r>
  </si>
  <si>
    <r>
      <rPr>
        <i/>
        <sz val="13"/>
        <rFont val="ISOCPEUR"/>
        <family val="2"/>
      </rPr>
      <t>Площадь,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м²</t>
    </r>
  </si>
  <si>
    <r>
      <rPr>
        <i/>
        <sz val="13"/>
        <rFont val="ISOCPEUR"/>
        <family val="2"/>
      </rPr>
      <t>м.п.</t>
    </r>
  </si>
  <si>
    <r>
      <rPr>
        <i/>
        <sz val="11"/>
        <rFont val="ISOCPEUR"/>
        <family val="2"/>
      </rPr>
      <t>0.01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</si>
  <si>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</si>
  <si>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</si>
  <si>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</si>
  <si>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</si>
  <si>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</si>
  <si>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</si>
  <si>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</si>
  <si>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CC1</t>
    </r>
  </si>
  <si>
    <r>
      <rPr>
        <i/>
        <sz val="11"/>
        <rFont val="ISOCPEUR"/>
        <family val="2"/>
      </rPr>
      <t>0.02</t>
    </r>
  </si>
  <si>
    <r>
      <rPr>
        <i/>
        <sz val="11"/>
        <rFont val="ISOCPEUR"/>
        <family val="2"/>
      </rPr>
      <t>Венткамера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</si>
  <si>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</si>
  <si>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0.09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</si>
  <si>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прокладки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коммуникаций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</si>
  <si>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поверхности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Политакс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88PU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2/50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аналог)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</si>
  <si>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</si>
  <si>
    <r>
      <rPr>
        <i/>
        <sz val="11"/>
        <rFont val="ISOCPEUR"/>
        <family val="2"/>
      </rPr>
      <t>0.03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</si>
  <si>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</si>
  <si>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пропитка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гидрофобизирующим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составом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BOSTIK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SMP;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</si>
  <si>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0.10</t>
    </r>
  </si>
  <si>
    <r>
      <rPr>
        <i/>
        <sz val="11"/>
        <rFont val="ISOCPEUR"/>
        <family val="2"/>
      </rPr>
      <t>0.11</t>
    </r>
  </si>
  <si>
    <r>
      <rPr>
        <i/>
        <sz val="11"/>
        <rFont val="ISOCPEUR"/>
        <family val="2"/>
      </rPr>
      <t>0.04</t>
    </r>
  </si>
  <si>
    <r>
      <rPr>
        <i/>
        <sz val="11"/>
        <rFont val="ISOCPEUR"/>
        <family val="2"/>
      </rPr>
      <t>Насосная</t>
    </r>
  </si>
  <si>
    <r>
      <rPr>
        <i/>
        <sz val="11"/>
        <rFont val="ISOCPEUR"/>
        <family val="2"/>
      </rPr>
      <t>0.12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</si>
  <si>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</si>
  <si>
    <r>
      <rPr>
        <i/>
        <sz val="11"/>
        <rFont val="ISOCPEUR"/>
        <family val="2"/>
      </rPr>
      <t>0.05</t>
    </r>
  </si>
  <si>
    <r>
      <rPr>
        <i/>
        <sz val="11"/>
        <rFont val="ISOCPEUR"/>
        <family val="2"/>
      </rPr>
      <t>0.13</t>
    </r>
  </si>
  <si>
    <r>
      <rPr>
        <i/>
        <sz val="11"/>
        <rFont val="ISOCPEUR"/>
        <family val="2"/>
      </rPr>
      <t>0.06</t>
    </r>
  </si>
  <si>
    <r>
      <rPr>
        <i/>
        <sz val="11"/>
        <rFont val="ISOCPEUR"/>
        <family val="2"/>
      </rPr>
      <t>ИТП</t>
    </r>
  </si>
  <si>
    <r>
      <rPr>
        <i/>
        <sz val="11"/>
        <rFont val="ISOCPEUR"/>
        <family val="2"/>
      </rPr>
      <t>0.14</t>
    </r>
  </si>
  <si>
    <r>
      <rPr>
        <i/>
        <sz val="11"/>
        <rFont val="ISOCPEUR"/>
        <family val="2"/>
      </rPr>
      <t>0.07</t>
    </r>
  </si>
  <si>
    <r>
      <rPr>
        <i/>
        <sz val="11"/>
        <rFont val="ISOCPEUR"/>
        <family val="2"/>
      </rPr>
      <t>0.15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</si>
  <si>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CC2</t>
    </r>
  </si>
  <si>
    <r>
      <rPr>
        <i/>
        <sz val="11"/>
        <rFont val="ISOCPEUR"/>
        <family val="2"/>
      </rPr>
      <t>0.23</t>
    </r>
  </si>
  <si>
    <r>
      <rPr>
        <i/>
        <sz val="11"/>
        <rFont val="ISOCPEUR"/>
        <family val="2"/>
      </rPr>
      <t>0.16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</si>
  <si>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отработанных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ламп</t>
    </r>
  </si>
  <si>
    <r>
      <rPr>
        <i/>
        <sz val="11"/>
        <rFont val="ISOCPEUR"/>
        <family val="2"/>
      </rPr>
      <t>0.24</t>
    </r>
  </si>
  <si>
    <r>
      <rPr>
        <i/>
        <sz val="11"/>
        <rFont val="ISOCPEUR"/>
        <family val="2"/>
      </rPr>
      <t>0.17</t>
    </r>
  </si>
  <si>
    <r>
      <rPr>
        <i/>
        <sz val="11"/>
        <rFont val="ISOCPEUR"/>
        <family val="2"/>
      </rPr>
      <t>0.25</t>
    </r>
  </si>
  <si>
    <r>
      <rPr>
        <i/>
        <sz val="11"/>
        <rFont val="ISOCPEUR"/>
        <family val="2"/>
      </rPr>
      <t>0.18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</si>
  <si>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</si>
  <si>
    <r>
      <rPr>
        <i/>
        <sz val="11"/>
        <rFont val="ISOCPEUR"/>
        <family val="2"/>
      </rPr>
      <t>0.26</t>
    </r>
  </si>
  <si>
    <r>
      <rPr>
        <i/>
        <sz val="11"/>
        <rFont val="ISOCPEUR"/>
        <family val="2"/>
      </rPr>
      <t>0.19</t>
    </r>
  </si>
  <si>
    <r>
      <rPr>
        <i/>
        <sz val="11"/>
        <rFont val="ISOCPEUR"/>
        <family val="2"/>
      </rPr>
      <t>0.27</t>
    </r>
  </si>
  <si>
    <r>
      <rPr>
        <i/>
        <sz val="11"/>
        <rFont val="ISOCPEUR"/>
        <family val="2"/>
      </rPr>
      <t>0.20</t>
    </r>
  </si>
  <si>
    <r>
      <rPr>
        <i/>
        <sz val="11"/>
        <rFont val="ISOCPEUR"/>
        <family val="2"/>
      </rPr>
      <t>0.28</t>
    </r>
  </si>
  <si>
    <r>
      <rPr>
        <i/>
        <sz val="11"/>
        <rFont val="ISOCPEUR"/>
        <family val="2"/>
      </rPr>
      <t>0.21</t>
    </r>
  </si>
  <si>
    <r>
      <rPr>
        <i/>
        <sz val="11"/>
        <rFont val="ISOCPEUR"/>
        <family val="2"/>
      </rPr>
      <t>0.22</t>
    </r>
  </si>
  <si>
    <r>
      <rPr>
        <i/>
        <sz val="13"/>
        <rFont val="ISOCPEUR"/>
        <family val="2"/>
      </rPr>
      <t>ГСП</t>
    </r>
  </si>
  <si>
    <r>
      <rPr>
        <i/>
        <sz val="13"/>
        <rFont val="ISOCPEUR"/>
        <family val="2"/>
      </rPr>
      <t>ПГП</t>
    </r>
  </si>
  <si>
    <r>
      <rPr>
        <i/>
        <sz val="11"/>
        <rFont val="ISOCPEUR"/>
        <family val="2"/>
      </rPr>
      <t>1.01</t>
    </r>
  </si>
  <si>
    <r>
      <rPr>
        <i/>
        <sz val="11"/>
        <rFont val="ISOCPEUR"/>
        <family val="2"/>
      </rPr>
      <t>Тамбур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</si>
  <si>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</si>
  <si>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необходимост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выравнивания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</si>
  <si>
    <r>
      <rPr>
        <i/>
        <sz val="11"/>
        <rFont val="ISOCPEUR"/>
        <family val="2"/>
      </rPr>
      <t>1.02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</si>
  <si>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ожидания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родителей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стойкой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зарядки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мобильных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устройств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</si>
  <si>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</si>
  <si>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</si>
  <si>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</si>
  <si>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</si>
  <si>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1.04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</si>
  <si>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двухсветным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общественных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мероприятий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эстрадой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в
</t>
    </r>
    <r>
      <rPr>
        <i/>
        <sz val="11"/>
        <rFont val="ISOCPEUR"/>
        <family val="2"/>
      </rPr>
      <t>уровне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пола)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</si>
  <si>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</si>
  <si>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1.05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</si>
  <si>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диспетчерским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пультом</t>
    </r>
  </si>
  <si>
    <r>
      <rPr>
        <i/>
        <sz val="11"/>
        <rFont val="ISOCPEUR"/>
        <family val="2"/>
      </rPr>
      <t>1.06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</si>
  <si>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</si>
  <si>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1.07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</si>
  <si>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</si>
  <si>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1.08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</si>
  <si>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начальной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</si>
  <si>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1.09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</si>
  <si>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</si>
  <si>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1.10</t>
    </r>
  </si>
  <si>
    <r>
      <rPr>
        <i/>
        <sz val="11"/>
        <rFont val="ISOCPEUR"/>
        <family val="2"/>
      </rPr>
      <t>1.20</t>
    </r>
  </si>
  <si>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</si>
  <si>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1.11</t>
    </r>
  </si>
  <si>
    <r>
      <rPr>
        <i/>
        <sz val="11"/>
        <rFont val="ISOCPEUR"/>
        <family val="2"/>
      </rPr>
      <t>1.21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</si>
  <si>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приготовления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дезинфицирующих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</si>
  <si>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</si>
  <si>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1.12</t>
    </r>
  </si>
  <si>
    <r>
      <rPr>
        <i/>
        <sz val="11"/>
        <rFont val="ISOCPEUR"/>
        <family val="2"/>
      </rPr>
      <t>Игровая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организации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</si>
  <si>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1"/>
        <rFont val="ISOCPEUR"/>
        <family val="2"/>
      </rPr>
      <t>1.22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</si>
  <si>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</si>
  <si>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1.13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</si>
  <si>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</si>
  <si>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1.23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</si>
  <si>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</si>
  <si>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1.14</t>
    </r>
  </si>
  <si>
    <r>
      <rPr>
        <i/>
        <sz val="11"/>
        <rFont val="ISOCPEUR"/>
        <family val="2"/>
      </rPr>
      <t>1.24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</si>
  <si>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</si>
  <si>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1.15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</si>
  <si>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</si>
  <si>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1.25</t>
    </r>
  </si>
  <si>
    <r>
      <rPr>
        <i/>
        <sz val="11"/>
        <rFont val="ISOCPEUR"/>
        <family val="2"/>
      </rPr>
      <t>Артистическая</t>
    </r>
  </si>
  <si>
    <r>
      <rPr>
        <i/>
        <sz val="11"/>
        <rFont val="ISOCPEUR"/>
        <family val="2"/>
      </rPr>
      <t>1.16</t>
    </r>
  </si>
  <si>
    <r>
      <rPr>
        <i/>
        <sz val="11"/>
        <rFont val="ISOCPEUR"/>
        <family val="2"/>
      </rPr>
      <t>С/у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(медблок)</t>
    </r>
  </si>
  <si>
    <r>
      <rPr>
        <i/>
        <sz val="11"/>
        <rFont val="ISOCPEUR"/>
        <family val="2"/>
      </rPr>
      <t>1.26</t>
    </r>
  </si>
  <si>
    <r>
      <rPr>
        <i/>
        <sz val="11"/>
        <rFont val="ISOCPEUR"/>
        <family val="2"/>
      </rPr>
      <t>1.27</t>
    </r>
  </si>
  <si>
    <r>
      <rPr>
        <i/>
        <sz val="11"/>
        <rFont val="ISOCPEUR"/>
        <family val="2"/>
      </rPr>
      <t>1.17</t>
    </r>
  </si>
  <si>
    <r>
      <rPr>
        <i/>
        <sz val="11"/>
        <rFont val="ISOCPEUR"/>
        <family val="2"/>
      </rPr>
      <t>Процедурный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</si>
  <si>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1.28</t>
    </r>
  </si>
  <si>
    <r>
      <rPr>
        <i/>
        <sz val="11"/>
        <rFont val="ISOCPEUR"/>
        <family val="2"/>
      </rPr>
      <t>Серверная</t>
    </r>
  </si>
  <si>
    <r>
      <rPr>
        <i/>
        <sz val="11"/>
        <rFont val="ISOCPEUR"/>
        <family val="2"/>
      </rPr>
      <t>1.18</t>
    </r>
  </si>
  <si>
    <r>
      <rPr>
        <i/>
        <sz val="11"/>
        <rFont val="ISOCPEUR"/>
        <family val="2"/>
      </rPr>
      <t>Прививочный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</si>
  <si>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1.29</t>
    </r>
  </si>
  <si>
    <r>
      <rPr>
        <i/>
        <sz val="11"/>
        <rFont val="ISOCPEUR"/>
        <family val="2"/>
      </rPr>
      <t>Электрощитовая</t>
    </r>
  </si>
  <si>
    <r>
      <rPr>
        <i/>
        <sz val="11"/>
        <rFont val="ISOCPEUR"/>
        <family val="2"/>
      </rPr>
      <t>1.30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</si>
  <si>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типа</t>
    </r>
  </si>
  <si>
    <r>
      <rPr>
        <i/>
        <sz val="11"/>
        <rFont val="ISOCPEUR"/>
        <family val="2"/>
      </rPr>
      <t>1.31</t>
    </r>
  </si>
  <si>
    <r>
      <rPr>
        <i/>
        <sz val="11"/>
        <rFont val="ISOCPEUR"/>
        <family val="2"/>
      </rPr>
      <t>1.32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</si>
  <si>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</si>
  <si>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1.33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</si>
  <si>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№2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</si>
  <si>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1.34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</si>
  <si>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№3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</si>
  <si>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1.35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</si>
  <si>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</si>
  <si>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1.36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</si>
  <si>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</si>
  <si>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1.37</t>
    </r>
  </si>
  <si>
    <r>
      <rPr>
        <i/>
        <sz val="11"/>
        <rFont val="ISOCPEUR"/>
        <family val="2"/>
      </rPr>
      <t>Умывальная</t>
    </r>
  </si>
  <si>
    <r>
      <rPr>
        <i/>
        <sz val="11"/>
        <rFont val="ISOCPEUR"/>
        <family val="2"/>
      </rPr>
      <t>1.38</t>
    </r>
  </si>
  <si>
    <r>
      <rPr>
        <i/>
        <sz val="11"/>
        <rFont val="ISOCPEUR"/>
        <family val="2"/>
      </rPr>
      <t>Обеденный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</si>
  <si>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3"/>
        <rFont val="ISOCPEUR"/>
        <family val="2"/>
      </rPr>
      <t>0,000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=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163,65</t>
    </r>
  </si>
  <si>
    <r>
      <rPr>
        <i/>
        <sz val="11"/>
        <rFont val="ISOCPEUR"/>
        <family val="2"/>
      </rPr>
      <t>1.39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</si>
  <si>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столовой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</si>
  <si>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1.40</t>
    </r>
  </si>
  <si>
    <r>
      <rPr>
        <i/>
        <sz val="11"/>
        <rFont val="ISOCPEUR"/>
        <family val="2"/>
      </rPr>
      <t>Холодный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</si>
  <si>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1.41</t>
    </r>
  </si>
  <si>
    <r>
      <rPr>
        <i/>
        <sz val="11"/>
        <rFont val="ISOCPEUR"/>
        <family val="2"/>
      </rPr>
      <t>Горячий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</si>
  <si>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1.42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</si>
  <si>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кухонной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</si>
  <si>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1.43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</si>
  <si>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сухих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продуктов</t>
    </r>
  </si>
  <si>
    <r>
      <rPr>
        <i/>
        <sz val="11"/>
        <rFont val="ISOCPEUR"/>
        <family val="2"/>
      </rPr>
      <t>1.44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</si>
  <si>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холодильным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оборудованием</t>
    </r>
  </si>
  <si>
    <r>
      <rPr>
        <i/>
        <sz val="11"/>
        <rFont val="ISOCPEUR"/>
        <family val="2"/>
      </rPr>
      <t>1.45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</si>
  <si>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овощей</t>
    </r>
  </si>
  <si>
    <r>
      <rPr>
        <i/>
        <sz val="11"/>
        <rFont val="ISOCPEUR"/>
        <family val="2"/>
      </rPr>
      <t>1.46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</si>
  <si>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</si>
  <si>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1.47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</si>
  <si>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временного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отходов</t>
    </r>
  </si>
  <si>
    <r>
      <rPr>
        <i/>
        <sz val="11"/>
        <rFont val="ISOCPEUR"/>
        <family val="2"/>
      </rPr>
      <t>1.48</t>
    </r>
  </si>
  <si>
    <r>
      <rPr>
        <i/>
        <sz val="11"/>
        <rFont val="ISOCPEUR"/>
        <family val="2"/>
      </rPr>
      <t>Раздаточная</t>
    </r>
  </si>
  <si>
    <r>
      <rPr>
        <i/>
        <sz val="11"/>
        <rFont val="ISOCPEUR"/>
        <family val="2"/>
      </rPr>
      <t>1.49</t>
    </r>
  </si>
  <si>
    <r>
      <rPr>
        <i/>
        <sz val="11"/>
        <rFont val="ISOCPEUR"/>
        <family val="2"/>
      </rPr>
      <t>1.50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</si>
  <si>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оборотной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тары</t>
    </r>
  </si>
  <si>
    <r>
      <rPr>
        <i/>
        <sz val="11"/>
        <rFont val="ISOCPEUR"/>
        <family val="2"/>
      </rPr>
      <t>1.51</t>
    </r>
  </si>
  <si>
    <r>
      <rPr>
        <i/>
        <sz val="11"/>
        <rFont val="ISOCPEUR"/>
        <family val="2"/>
      </rPr>
      <t>Загрузочная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</si>
  <si>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сетке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</si>
  <si>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1.52</t>
    </r>
  </si>
  <si>
    <r>
      <rPr>
        <i/>
        <sz val="11"/>
        <rFont val="ISOCPEUR"/>
        <family val="2"/>
      </rPr>
      <t>1.53</t>
    </r>
  </si>
  <si>
    <r>
      <rPr>
        <i/>
        <sz val="11"/>
        <rFont val="ISOCPEUR"/>
        <family val="2"/>
      </rPr>
      <t>1.54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</si>
  <si>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</si>
  <si>
    <r>
      <rPr>
        <i/>
        <sz val="11"/>
        <rFont val="ISOCPEUR"/>
        <family val="2"/>
      </rPr>
      <t>1.55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</si>
  <si>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первичной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</si>
  <si>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1.56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</si>
  <si>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вторичной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</si>
  <si>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1.57</t>
    </r>
  </si>
  <si>
    <r>
      <rPr>
        <i/>
        <sz val="11"/>
        <rFont val="ISOCPEUR"/>
        <family val="2"/>
      </rPr>
      <t>Мясо-рыбный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</si>
  <si>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1.58</t>
    </r>
  </si>
  <si>
    <r>
      <rPr>
        <i/>
        <sz val="11"/>
        <rFont val="ISOCPEUR"/>
        <family val="2"/>
      </rPr>
      <t>1.59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</si>
  <si>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</si>
  <si>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1.60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</si>
  <si>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</si>
  <si>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1.61</t>
    </r>
  </si>
  <si>
    <r>
      <rPr>
        <i/>
        <sz val="11"/>
        <rFont val="ISOCPEUR"/>
        <family val="2"/>
      </rPr>
      <t>Пост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</si>
  <si>
    <r>
      <rPr>
        <i/>
        <sz val="11"/>
        <rFont val="ISOCPEUR"/>
        <family val="2"/>
      </rPr>
      <t>1.62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</si>
  <si>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посетителей)</t>
    </r>
  </si>
  <si>
    <r>
      <rPr>
        <i/>
        <sz val="11"/>
        <rFont val="ISOCPEUR"/>
        <family val="2"/>
      </rPr>
      <t>1.63</t>
    </r>
  </si>
  <si>
    <r>
      <rPr>
        <i/>
        <sz val="11"/>
        <rFont val="ISOCPEUR"/>
        <family val="2"/>
      </rPr>
      <t>1.64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</si>
  <si>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комната</t>
    </r>
  </si>
  <si>
    <r>
      <rPr>
        <i/>
        <sz val="11"/>
        <rFont val="ISOCPEUR"/>
        <family val="2"/>
      </rPr>
      <t>1.65</t>
    </r>
  </si>
  <si>
    <r>
      <rPr>
        <i/>
        <sz val="11"/>
        <rFont val="ISOCPEUR"/>
        <family val="2"/>
      </rPr>
      <t>Буфет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</si>
  <si>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п.</t>
    </r>
  </si>
  <si>
    <r>
      <rPr>
        <i/>
        <sz val="11"/>
        <rFont val="ISOCPEUR"/>
        <family val="2"/>
      </rPr>
      <t>1.66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</si>
  <si>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МГН)</t>
    </r>
  </si>
  <si>
    <r>
      <rPr>
        <i/>
        <sz val="11"/>
        <rFont val="ISOCPEUR"/>
        <family val="2"/>
      </rPr>
      <t>1.67</t>
    </r>
  </si>
  <si>
    <r>
      <rPr>
        <i/>
        <sz val="11"/>
        <rFont val="ISOCPEUR"/>
        <family val="2"/>
      </rPr>
      <t>Групповая</t>
    </r>
  </si>
  <si>
    <r>
      <rPr>
        <i/>
        <sz val="11"/>
        <rFont val="ISOCPEUR"/>
        <family val="2"/>
      </rPr>
      <t>1.68</t>
    </r>
  </si>
  <si>
    <r>
      <rPr>
        <i/>
        <sz val="11"/>
        <rFont val="ISOCPEUR"/>
        <family val="2"/>
      </rPr>
      <t>Спальная</t>
    </r>
  </si>
  <si>
    <r>
      <rPr>
        <i/>
        <sz val="11"/>
        <rFont val="ISOCPEUR"/>
        <family val="2"/>
      </rPr>
      <t>1.69</t>
    </r>
  </si>
  <si>
    <r>
      <rPr>
        <i/>
        <sz val="11"/>
        <rFont val="ISOCPEUR"/>
        <family val="2"/>
      </rPr>
      <t>1.70</t>
    </r>
  </si>
  <si>
    <r>
      <rPr>
        <i/>
        <sz val="11"/>
        <rFont val="ISOCPEUR"/>
        <family val="2"/>
      </rPr>
      <t>1.71</t>
    </r>
  </si>
  <si>
    <r>
      <rPr>
        <i/>
        <sz val="11"/>
        <rFont val="ISOCPEUR"/>
        <family val="2"/>
      </rPr>
      <t>1.72</t>
    </r>
  </si>
  <si>
    <r>
      <rPr>
        <i/>
        <sz val="11"/>
        <rFont val="ISOCPEUR"/>
        <family val="2"/>
      </rPr>
      <t>1.73</t>
    </r>
  </si>
  <si>
    <r>
      <rPr>
        <i/>
        <sz val="11"/>
        <rFont val="ISOCPEUR"/>
        <family val="2"/>
      </rPr>
      <t>1.74</t>
    </r>
  </si>
  <si>
    <r>
      <rPr>
        <i/>
        <sz val="11"/>
        <rFont val="ISOCPEUR"/>
        <family val="2"/>
      </rPr>
      <t>1.75</t>
    </r>
  </si>
  <si>
    <r>
      <rPr>
        <i/>
        <sz val="11"/>
        <rFont val="ISOCPEUR"/>
        <family val="2"/>
      </rPr>
      <t>1.76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</si>
  <si>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гардеробом,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</t>
    </r>
  </si>
  <si>
    <r>
      <rPr>
        <i/>
        <sz val="11"/>
        <rFont val="ISOCPEUR"/>
        <family val="2"/>
      </rPr>
      <t>1.77</t>
    </r>
  </si>
  <si>
    <r>
      <rPr>
        <i/>
        <sz val="11"/>
        <rFont val="ISOCPEUR"/>
        <family val="2"/>
      </rPr>
      <t>1.78</t>
    </r>
  </si>
  <si>
    <r>
      <rPr>
        <i/>
        <sz val="11"/>
        <rFont val="ISOCPEUR"/>
        <family val="2"/>
      </rPr>
      <t>1.79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</si>
  <si>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</si>
  <si>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</si>
  <si>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1.80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</si>
  <si>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Л1)</t>
    </r>
  </si>
  <si>
    <r>
      <rPr>
        <i/>
        <sz val="11"/>
        <rFont val="ISOCPEUR"/>
        <family val="2"/>
      </rPr>
      <t>1.81</t>
    </r>
  </si>
  <si>
    <r>
      <rPr>
        <i/>
        <sz val="11"/>
        <rFont val="ISOCPEUR"/>
        <family val="2"/>
      </rPr>
      <t>1.82</t>
    </r>
  </si>
  <si>
    <r>
      <rPr>
        <i/>
        <sz val="11"/>
        <rFont val="ISOCPEUR"/>
        <family val="2"/>
      </rPr>
      <t>2.11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</si>
  <si>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(МГН)</t>
    </r>
  </si>
  <si>
    <r>
      <rPr>
        <i/>
        <sz val="11"/>
        <rFont val="ISOCPEUR"/>
        <family val="2"/>
      </rPr>
      <t>2.01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</si>
  <si>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</si>
  <si>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2.12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</si>
  <si>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</si>
  <si>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2.02</t>
    </r>
  </si>
  <si>
    <r>
      <rPr>
        <i/>
        <sz val="11"/>
        <rFont val="ISOCPEUR"/>
        <family val="2"/>
      </rPr>
      <t>Лабораторно-исслед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</si>
  <si>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2.13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</si>
  <si>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</si>
  <si>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2.03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</si>
  <si>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</si>
  <si>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2.14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</si>
  <si>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</si>
  <si>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2.04</t>
    </r>
  </si>
  <si>
    <r>
      <rPr>
        <i/>
        <sz val="11"/>
        <rFont val="ISOCPEUR"/>
        <family val="2"/>
      </rPr>
      <t>2.15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</si>
  <si>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</si>
  <si>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2.05</t>
    </r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</si>
  <si>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</si>
  <si>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2.16</t>
    </r>
  </si>
  <si>
    <r>
      <rPr>
        <i/>
        <sz val="11"/>
        <rFont val="ISOCPEUR"/>
        <family val="2"/>
      </rPr>
      <t>2.06</t>
    </r>
  </si>
  <si>
    <r>
      <rPr>
        <i/>
        <sz val="11"/>
        <rFont val="ISOCPEUR"/>
        <family val="2"/>
      </rPr>
      <t>2.17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</si>
  <si>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</si>
  <si>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2.07</t>
    </r>
  </si>
  <si>
    <r>
      <rPr>
        <i/>
        <sz val="11"/>
        <rFont val="ISOCPEUR"/>
        <family val="2"/>
      </rPr>
      <t>2.18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</si>
  <si>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</si>
  <si>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2.08</t>
    </r>
  </si>
  <si>
    <r>
      <rPr>
        <i/>
        <sz val="11"/>
        <rFont val="ISOCPEUR"/>
        <family val="2"/>
      </rPr>
      <t>2.19</t>
    </r>
  </si>
  <si>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15х24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</si>
  <si>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2.09</t>
    </r>
  </si>
  <si>
    <r>
      <rPr>
        <i/>
        <sz val="11"/>
        <rFont val="ISOCPEUR"/>
        <family val="2"/>
      </rPr>
      <t>2.20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</si>
  <si>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</si>
  <si>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2.30</t>
    </r>
  </si>
  <si>
    <r>
      <rPr>
        <i/>
        <sz val="11"/>
        <rFont val="ISOCPEUR"/>
        <family val="2"/>
      </rPr>
      <t>2.21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</si>
  <si>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учителем-логопедо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</si>
  <si>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2.31</t>
    </r>
  </si>
  <si>
    <r>
      <rPr>
        <i/>
        <sz val="11"/>
        <rFont val="ISOCPEUR"/>
        <family val="2"/>
      </rPr>
      <t>2.22</t>
    </r>
  </si>
  <si>
    <r>
      <rPr>
        <i/>
        <sz val="11"/>
        <rFont val="ISOCPEUR"/>
        <family val="2"/>
      </rPr>
      <t>2.32</t>
    </r>
  </si>
  <si>
    <r>
      <rPr>
        <i/>
        <sz val="11"/>
        <rFont val="ISOCPEUR"/>
        <family val="2"/>
      </rPr>
      <t>2.33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</si>
  <si>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безопасности)</t>
    </r>
  </si>
  <si>
    <r>
      <rPr>
        <i/>
        <sz val="11"/>
        <rFont val="ISOCPEUR"/>
        <family val="2"/>
      </rPr>
      <t>2.23</t>
    </r>
  </si>
  <si>
    <r>
      <rPr>
        <i/>
        <sz val="11"/>
        <rFont val="ISOCPEUR"/>
        <family val="2"/>
      </rPr>
      <t>2.34</t>
    </r>
  </si>
  <si>
    <r>
      <rPr>
        <i/>
        <sz val="11"/>
        <rFont val="ISOCPEUR"/>
        <family val="2"/>
      </rPr>
      <t>2.24</t>
    </r>
  </si>
  <si>
    <r>
      <rPr>
        <i/>
        <sz val="11"/>
        <rFont val="ISOCPEUR"/>
        <family val="2"/>
      </rPr>
      <t>2.35</t>
    </r>
  </si>
  <si>
    <r>
      <rPr>
        <i/>
        <sz val="11"/>
        <rFont val="ISOCPEUR"/>
        <family val="2"/>
      </rPr>
      <t>2.25</t>
    </r>
  </si>
  <si>
    <r>
      <rPr>
        <i/>
        <sz val="11"/>
        <rFont val="ISOCPEUR"/>
        <family val="2"/>
      </rPr>
      <t>2.36</t>
    </r>
  </si>
  <si>
    <r>
      <rPr>
        <i/>
        <sz val="11"/>
        <rFont val="ISOCPEUR"/>
        <family val="2"/>
      </rPr>
      <t>2.26</t>
    </r>
  </si>
  <si>
    <r>
      <rPr>
        <i/>
        <sz val="11"/>
        <rFont val="ISOCPEUR"/>
        <family val="2"/>
      </rPr>
      <t>2.27</t>
    </r>
  </si>
  <si>
    <r>
      <rPr>
        <i/>
        <sz val="11"/>
        <rFont val="ISOCPEUR"/>
        <family val="2"/>
      </rPr>
      <t>2.37</t>
    </r>
  </si>
  <si>
    <r>
      <rPr>
        <i/>
        <sz val="11"/>
        <rFont val="ISOCPEUR"/>
        <family val="2"/>
      </rPr>
      <t>2.28</t>
    </r>
  </si>
  <si>
    <r>
      <rPr>
        <i/>
        <sz val="11"/>
        <rFont val="ISOCPEUR"/>
        <family val="2"/>
      </rPr>
      <t>Рекреация</t>
    </r>
  </si>
  <si>
    <r>
      <rPr>
        <i/>
        <sz val="11"/>
        <rFont val="ISOCPEUR"/>
        <family val="2"/>
      </rPr>
      <t>2.38</t>
    </r>
  </si>
  <si>
    <r>
      <rPr>
        <i/>
        <sz val="11"/>
        <rFont val="ISOCPEUR"/>
        <family val="2"/>
      </rPr>
      <t>2.46</t>
    </r>
  </si>
  <si>
    <r>
      <rPr>
        <i/>
        <sz val="11"/>
        <rFont val="ISOCPEUR"/>
        <family val="2"/>
      </rPr>
      <t>2.47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</si>
  <si>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физкультурный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активных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игр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детьми</t>
    </r>
  </si>
  <si>
    <r>
      <rPr>
        <i/>
        <sz val="11"/>
        <rFont val="ISOCPEUR"/>
        <family val="2"/>
      </rPr>
      <t>2.39</t>
    </r>
  </si>
  <si>
    <r>
      <rPr>
        <i/>
        <sz val="11"/>
        <rFont val="ISOCPEUR"/>
        <family val="2"/>
      </rPr>
      <t>2.40</t>
    </r>
  </si>
  <si>
    <r>
      <rPr>
        <i/>
        <sz val="11"/>
        <rFont val="ISOCPEUR"/>
        <family val="2"/>
      </rPr>
      <t>2.48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</si>
  <si>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физкультурного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</si>
  <si>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2.41</t>
    </r>
  </si>
  <si>
    <r>
      <rPr>
        <i/>
        <sz val="11"/>
        <rFont val="ISOCPEUR"/>
        <family val="2"/>
      </rPr>
      <t>2.49</t>
    </r>
  </si>
  <si>
    <r>
      <rPr>
        <i/>
        <sz val="11"/>
        <rFont val="ISOCPEUR"/>
        <family val="2"/>
      </rPr>
      <t>Музыкальный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</si>
  <si>
    <r>
      <rPr>
        <i/>
        <sz val="11"/>
        <rFont val="ISOCPEUR"/>
        <family val="2"/>
      </rPr>
      <t>2.42</t>
    </r>
  </si>
  <si>
    <r>
      <rPr>
        <i/>
        <sz val="11"/>
        <rFont val="ISOCPEUR"/>
        <family val="2"/>
      </rPr>
      <t>2.50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</si>
  <si>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</si>
  <si>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2.43</t>
    </r>
  </si>
  <si>
    <r>
      <rPr>
        <i/>
        <sz val="11"/>
        <rFont val="ISOCPEUR"/>
        <family val="2"/>
      </rPr>
      <t>2.44</t>
    </r>
  </si>
  <si>
    <r>
      <rPr>
        <i/>
        <sz val="11"/>
        <rFont val="ISOCPEUR"/>
        <family val="2"/>
      </rPr>
      <t>2.45</t>
    </r>
  </si>
  <si>
    <r>
      <rPr>
        <i/>
        <sz val="11"/>
        <rFont val="ISOCPEUR"/>
        <family val="2"/>
      </rPr>
      <t>2.51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</si>
  <si>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</si>
  <si>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2.52</t>
    </r>
  </si>
  <si>
    <r>
      <rPr>
        <i/>
        <sz val="11"/>
        <rFont val="ISOCPEUR"/>
        <family val="2"/>
      </rPr>
      <t>2.53</t>
    </r>
  </si>
  <si>
    <r>
      <rPr>
        <i/>
        <sz val="11"/>
        <rFont val="ISOCPEUR"/>
        <family val="2"/>
      </rPr>
      <t>Хозяйственная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кладовая</t>
    </r>
  </si>
  <si>
    <r>
      <rPr>
        <i/>
        <sz val="11"/>
        <rFont val="ISOCPEUR"/>
        <family val="2"/>
      </rPr>
      <t>2.54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</si>
  <si>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</si>
  <si>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2.55</t>
    </r>
  </si>
  <si>
    <r>
      <rPr>
        <i/>
        <sz val="11"/>
        <rFont val="ISOCPEUR"/>
        <family val="2"/>
      </rPr>
      <t>2.56</t>
    </r>
  </si>
  <si>
    <r>
      <rPr>
        <i/>
        <sz val="11"/>
        <rFont val="ISOCPEUR"/>
        <family val="2"/>
      </rPr>
      <t>2.57</t>
    </r>
  </si>
  <si>
    <r>
      <rPr>
        <i/>
        <sz val="11"/>
        <rFont val="ISOCPEUR"/>
        <family val="2"/>
      </rPr>
      <t>2.58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</si>
  <si>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</si>
  <si>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3.01</t>
    </r>
  </si>
  <si>
    <r>
      <rPr>
        <i/>
        <sz val="11"/>
        <rFont val="ISOCPEUR"/>
        <family val="2"/>
      </rPr>
      <t>3.11</t>
    </r>
  </si>
  <si>
    <r>
      <rPr>
        <i/>
        <sz val="11"/>
        <rFont val="ISOCPEUR"/>
        <family val="2"/>
      </rPr>
      <t>3.02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</si>
  <si>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</si>
  <si>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3.12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</si>
  <si>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читательских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</si>
  <si>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3.03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</si>
  <si>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</si>
  <si>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3.13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</si>
  <si>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</si>
  <si>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3.04</t>
    </r>
  </si>
  <si>
    <r>
      <rPr>
        <i/>
        <sz val="11"/>
        <rFont val="ISOCPEUR"/>
        <family val="2"/>
      </rPr>
      <t>3.14</t>
    </r>
  </si>
  <si>
    <r>
      <rPr>
        <i/>
        <sz val="11"/>
        <rFont val="ISOCPEUR"/>
        <family val="2"/>
      </rPr>
      <t>3.05</t>
    </r>
  </si>
  <si>
    <r>
      <rPr>
        <i/>
        <sz val="11"/>
        <rFont val="ISOCPEUR"/>
        <family val="2"/>
      </rPr>
      <t>3.15</t>
    </r>
  </si>
  <si>
    <r>
      <rPr>
        <i/>
        <sz val="11"/>
        <rFont val="ISOCPEUR"/>
        <family val="2"/>
      </rPr>
      <t>3.06</t>
    </r>
  </si>
  <si>
    <r>
      <rPr>
        <i/>
        <sz val="11"/>
        <rFont val="ISOCPEUR"/>
        <family val="2"/>
      </rPr>
      <t>3.16</t>
    </r>
  </si>
  <si>
    <r>
      <rPr>
        <i/>
        <sz val="11"/>
        <rFont val="ISOCPEUR"/>
        <family val="2"/>
      </rPr>
      <t>3.07</t>
    </r>
  </si>
  <si>
    <r>
      <rPr>
        <i/>
        <sz val="11"/>
        <rFont val="ISOCPEUR"/>
        <family val="2"/>
      </rPr>
      <t>3.17</t>
    </r>
  </si>
  <si>
    <r>
      <rPr>
        <i/>
        <sz val="11"/>
        <rFont val="ISOCPEUR"/>
        <family val="2"/>
      </rPr>
      <t>3.08</t>
    </r>
  </si>
  <si>
    <r>
      <rPr>
        <i/>
        <sz val="11"/>
        <rFont val="ISOCPEUR"/>
        <family val="2"/>
      </rPr>
      <t>3.18</t>
    </r>
  </si>
  <si>
    <r>
      <rPr>
        <i/>
        <sz val="11"/>
        <rFont val="ISOCPEUR"/>
        <family val="2"/>
      </rPr>
      <t>3.09</t>
    </r>
  </si>
  <si>
    <r>
      <rPr>
        <i/>
        <sz val="11"/>
        <rFont val="ISOCPEUR"/>
        <family val="2"/>
      </rPr>
      <t>3.19</t>
    </r>
  </si>
  <si>
    <r>
      <rPr>
        <i/>
        <sz val="11"/>
        <rFont val="ISOCPEUR"/>
        <family val="2"/>
      </rPr>
      <t>3.20</t>
    </r>
  </si>
  <si>
    <r>
      <rPr>
        <i/>
        <sz val="11"/>
        <rFont val="ISOCPEUR"/>
        <family val="2"/>
      </rPr>
      <t>3.28</t>
    </r>
  </si>
  <si>
    <r>
      <rPr>
        <i/>
        <sz val="11"/>
        <rFont val="ISOCPEUR"/>
        <family val="2"/>
      </rPr>
      <t>3.21</t>
    </r>
  </si>
  <si>
    <r>
      <rPr>
        <i/>
        <sz val="11"/>
        <rFont val="ISOCPEUR"/>
        <family val="2"/>
      </rPr>
      <t>3.29</t>
    </r>
  </si>
  <si>
    <r>
      <rPr>
        <i/>
        <sz val="11"/>
        <rFont val="ISOCPEUR"/>
        <family val="2"/>
      </rPr>
      <t xml:space="preserve">(армированная
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</si>
  <si>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3.23</t>
    </r>
  </si>
  <si>
    <r>
      <rPr>
        <i/>
        <sz val="11"/>
        <rFont val="ISOCPEUR"/>
        <family val="2"/>
      </rPr>
      <t>3.31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</si>
  <si>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</si>
  <si>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r>
      <rPr>
        <i/>
        <sz val="11"/>
        <rFont val="ISOCPEUR"/>
        <family val="2"/>
      </rPr>
      <t>3.24</t>
    </r>
  </si>
  <si>
    <r>
      <rPr>
        <i/>
        <sz val="11"/>
        <rFont val="ISOCPEUR"/>
        <family val="2"/>
      </rPr>
      <t>3.32</t>
    </r>
  </si>
  <si>
    <r>
      <rPr>
        <i/>
        <sz val="11"/>
        <rFont val="ISOCPEUR"/>
        <family val="2"/>
      </rPr>
      <t xml:space="preserve">черновой
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</si>
  <si>
    <r>
      <rPr>
        <i/>
        <sz val="11"/>
        <rFont val="ISOCPEUR"/>
        <family val="2"/>
      </rPr>
      <t>3.25</t>
    </r>
  </si>
  <si>
    <r>
      <rPr>
        <i/>
        <sz val="11"/>
        <rFont val="ISOCPEUR"/>
        <family val="2"/>
      </rPr>
      <t>3.33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</si>
  <si>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(open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space)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администрации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рабочими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местами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руководителя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воспитателя</t>
    </r>
  </si>
  <si>
    <r>
      <rPr>
        <i/>
        <sz val="11"/>
        <rFont val="ISOCPEUR"/>
        <family val="2"/>
      </rPr>
      <t>3.26</t>
    </r>
  </si>
  <si>
    <r>
      <rPr>
        <i/>
        <sz val="11"/>
        <rFont val="ISOCPEUR"/>
        <family val="2"/>
      </rPr>
      <t>3.34</t>
    </r>
  </si>
  <si>
    <r>
      <rPr>
        <i/>
        <sz val="11"/>
        <rFont val="ISOCPEUR"/>
        <family val="2"/>
      </rPr>
      <t>Вспомогательное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</si>
  <si>
    <r>
      <rPr>
        <i/>
        <sz val="11"/>
        <rFont val="ISOCPEUR"/>
        <family val="2"/>
      </rPr>
      <t>3.27</t>
    </r>
  </si>
  <si>
    <r>
      <rPr>
        <i/>
        <sz val="11"/>
        <rFont val="ISOCPEUR"/>
        <family val="2"/>
      </rPr>
      <t>3.35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</si>
  <si>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развивающих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зонирования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раздвижной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</si>
  <si>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</si>
  <si>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</si>
  <si>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</si>
  <si>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3.36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</si>
  <si>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приёма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сортировки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грязного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</si>
  <si>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</si>
  <si>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</si>
  <si>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3.37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</si>
  <si>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чистого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</si>
  <si>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3.38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</si>
  <si>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</si>
  <si>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3.39</t>
    </r>
  </si>
  <si>
    <r>
      <rPr>
        <i/>
        <sz val="11"/>
        <rFont val="ISOCPEUR"/>
        <family val="2"/>
      </rPr>
      <t>3.40</t>
    </r>
  </si>
  <si>
    <r>
      <rPr>
        <i/>
        <sz val="11"/>
        <rFont val="ISOCPEUR"/>
        <family val="2"/>
      </rPr>
      <t>3.41</t>
    </r>
  </si>
  <si>
    <r>
      <rPr>
        <i/>
        <sz val="11"/>
        <rFont val="ISOCPEUR"/>
        <family val="2"/>
      </rPr>
      <t>3.42</t>
    </r>
  </si>
  <si>
    <r>
      <rPr>
        <i/>
        <sz val="11"/>
        <rFont val="ISOCPEUR"/>
        <family val="2"/>
      </rPr>
      <t>3.43</t>
    </r>
  </si>
  <si>
    <r>
      <rPr>
        <i/>
        <sz val="11"/>
        <rFont val="ISOCPEUR"/>
        <family val="2"/>
      </rPr>
      <t>3.44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</si>
  <si>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</si>
  <si>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</si>
  <si>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</si>
  <si>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3.45</t>
    </r>
  </si>
  <si>
    <t>Утеплитель</t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</si>
  <si>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</si>
  <si>
    <r>
      <rPr>
        <i/>
        <sz val="11"/>
        <rFont val="ISOCPEUR"/>
        <family val="2"/>
      </rPr>
      <t>Шпатлевание стен
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отм.
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</si>
  <si>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t>3.12</t>
  </si>
  <si>
    <t>3.17</t>
  </si>
  <si>
    <t>3.38</t>
  </si>
  <si>
    <t>3.43</t>
  </si>
  <si>
    <t>2.19</t>
  </si>
  <si>
    <t>2.32</t>
  </si>
  <si>
    <t>м2</t>
  </si>
  <si>
    <t>№ п.п.</t>
  </si>
  <si>
    <t>Ед. изм.</t>
  </si>
  <si>
    <t>Объем</t>
  </si>
  <si>
    <t>Спецификация выполненных работ</t>
  </si>
  <si>
    <t>Помещения:</t>
  </si>
  <si>
    <t>Объем, м²</t>
  </si>
  <si>
    <t>сумма:</t>
  </si>
  <si>
    <t>Тип</t>
  </si>
  <si>
    <t>2.18 Инвентарная (снарядная) 30,6</t>
  </si>
  <si>
    <t>FK10</t>
  </si>
  <si>
    <t>1.37 Умывальная 11,4</t>
  </si>
  <si>
    <t>1.38 Обеденный зал на 150 мест 165,9</t>
  </si>
  <si>
    <t>1.65 Буфет 6,3</t>
  </si>
  <si>
    <t>1.71 Буфет 6,3</t>
  </si>
  <si>
    <t>2.38 Буфет 6,3</t>
  </si>
  <si>
    <t>2.43 Буфет 6,3</t>
  </si>
  <si>
    <t>3.24 Буфет 6,3</t>
  </si>
  <si>
    <t>3.31 Буфет 6,3</t>
  </si>
  <si>
    <t>Итог:</t>
  </si>
  <si>
    <t>3.21</t>
  </si>
  <si>
    <t>3.20</t>
  </si>
  <si>
    <t>Наименование</t>
  </si>
  <si>
    <t>Монтаж, демонтаж, аренда строительных лесов</t>
  </si>
  <si>
    <t>Газобетон</t>
  </si>
  <si>
    <t>№ п.п</t>
  </si>
  <si>
    <t>№ пом</t>
  </si>
  <si>
    <t>Объем, м2:</t>
  </si>
  <si>
    <t>ММП(1.04)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</si>
</sst>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i/>
      <sz val="13"/>
      <name val="ISOCPEUR"/>
      <family val="2"/>
      <charset val="204"/>
    </font>
    <font>
      <i/>
      <sz val="11"/>
      <name val="ISOCPEUR"/>
      <family val="2"/>
      <charset val="204"/>
    </font>
    <font>
      <i/>
      <sz val="11"/>
      <color rgb="FF000000"/>
      <name val="ISOCPEUR"/>
      <family val="2"/>
    </font>
    <font>
      <i/>
      <sz val="15.5"/>
      <name val="ISOCPEUR"/>
      <family val="2"/>
    </font>
    <font>
      <sz val="15.5"/>
      <name val="Times New Roman"/>
      <family val="1"/>
    </font>
    <font>
      <i/>
      <sz val="13"/>
      <name val="ISOCPEUR"/>
      <family val="2"/>
    </font>
    <font>
      <sz val="13"/>
      <name val="Times New Roman"/>
      <family val="1"/>
    </font>
    <font>
      <i/>
      <sz val="11"/>
      <name val="ISOCPEUR"/>
      <family val="2"/>
    </font>
    <font>
      <sz val="11"/>
      <name val="Times New Roman"/>
      <family val="1"/>
    </font>
    <font>
      <sz val="15.5"/>
      <name val="Times New Roman"/>
      <family val="1"/>
      <charset val="204"/>
    </font>
    <font>
      <sz val="11"/>
      <name val="Times New Roman"/>
      <family val="1"/>
      <charset val="204"/>
    </font>
    <font>
      <sz val="14"/>
      <color theme="1"/>
      <name val="ГОСТ тип А"/>
      <family val="2"/>
      <charset val="204"/>
    </font>
    <font>
      <sz val="14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b/>
      <sz val="12"/>
      <name val="ГОСТ тип А"/>
      <family val="2"/>
      <charset val="204"/>
    </font>
    <font>
      <sz val="12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189">
    <xf numFmtId="0" fontId="0" fillId="0" borderId="0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 indent="3"/>
    </xf>
    <xf numFmtId="0" fontId="0" fillId="0" borderId="5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164" fontId="4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164" fontId="4" fillId="0" borderId="7" xfId="0" applyNumberFormat="1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indent="2" shrinkToFit="1"/>
    </xf>
    <xf numFmtId="164" fontId="4" fillId="0" borderId="7" xfId="0" applyNumberFormat="1" applyFont="1" applyFill="1" applyBorder="1" applyAlignment="1">
      <alignment horizontal="left" vertical="center" indent="2" shrinkToFit="1"/>
    </xf>
    <xf numFmtId="0" fontId="3" fillId="0" borderId="5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164" fontId="4" fillId="0" borderId="10" xfId="0" applyNumberFormat="1" applyFont="1" applyFill="1" applyBorder="1" applyAlignment="1">
      <alignment horizontal="left" vertical="center" indent="2" shrinkToFit="1"/>
    </xf>
    <xf numFmtId="164" fontId="4" fillId="0" borderId="8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center" vertical="center" shrinkToFit="1"/>
    </xf>
    <xf numFmtId="164" fontId="4" fillId="0" borderId="13" xfId="0" applyNumberFormat="1" applyFont="1" applyFill="1" applyBorder="1" applyAlignment="1">
      <alignment horizontal="center" vertical="center" shrinkToFit="1"/>
    </xf>
    <xf numFmtId="164" fontId="4" fillId="0" borderId="15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left" vertical="center" indent="2" shrinkToFit="1"/>
    </xf>
    <xf numFmtId="164" fontId="4" fillId="0" borderId="15" xfId="0" applyNumberFormat="1" applyFont="1" applyFill="1" applyBorder="1" applyAlignment="1">
      <alignment horizontal="left" vertical="center" indent="2" shrinkToFit="1"/>
    </xf>
    <xf numFmtId="0" fontId="0" fillId="0" borderId="11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164" fontId="4" fillId="0" borderId="14" xfId="0" applyNumberFormat="1" applyFont="1" applyFill="1" applyBorder="1" applyAlignment="1">
      <alignment horizontal="center" vertical="center" shrinkToFit="1"/>
    </xf>
    <xf numFmtId="164" fontId="4" fillId="0" borderId="2" xfId="0" applyNumberFormat="1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left" vertical="center" wrapText="1"/>
    </xf>
    <xf numFmtId="164" fontId="4" fillId="0" borderId="14" xfId="0" applyNumberFormat="1" applyFont="1" applyFill="1" applyBorder="1" applyAlignment="1">
      <alignment horizontal="left" vertical="center" indent="2" shrinkToFit="1"/>
    </xf>
    <xf numFmtId="164" fontId="4" fillId="0" borderId="2" xfId="0" applyNumberFormat="1" applyFont="1" applyFill="1" applyBorder="1" applyAlignment="1">
      <alignment horizontal="left" vertical="center" indent="2" shrinkToFit="1"/>
    </xf>
    <xf numFmtId="0" fontId="0" fillId="0" borderId="14" xfId="0" applyFill="1" applyBorder="1" applyAlignment="1">
      <alignment horizontal="left" vertical="center" wrapTex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0" fillId="0" borderId="9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 wrapText="1"/>
    </xf>
    <xf numFmtId="164" fontId="4" fillId="0" borderId="4" xfId="0" applyNumberFormat="1" applyFont="1" applyFill="1" applyBorder="1" applyAlignment="1">
      <alignment horizontal="right" vertical="center" indent="3" shrinkToFit="1"/>
    </xf>
    <xf numFmtId="164" fontId="4" fillId="0" borderId="4" xfId="0" applyNumberFormat="1" applyFont="1" applyFill="1" applyBorder="1" applyAlignment="1">
      <alignment horizontal="right" vertical="center" indent="2" shrinkToFit="1"/>
    </xf>
    <xf numFmtId="0" fontId="0" fillId="0" borderId="14" xfId="0" applyFill="1" applyBorder="1" applyAlignment="1">
      <alignment horizontal="left" wrapText="1" indent="63"/>
    </xf>
    <xf numFmtId="0" fontId="0" fillId="0" borderId="0" xfId="0" applyFill="1" applyBorder="1" applyAlignment="1">
      <alignment horizontal="left" wrapText="1" indent="63"/>
    </xf>
    <xf numFmtId="0" fontId="0" fillId="0" borderId="2" xfId="0" applyFill="1" applyBorder="1" applyAlignment="1">
      <alignment horizontal="left" wrapText="1" indent="63"/>
    </xf>
    <xf numFmtId="0" fontId="3" fillId="0" borderId="9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3" fillId="0" borderId="9" xfId="0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right" vertical="center" indent="2" shrinkToFit="1"/>
    </xf>
    <xf numFmtId="164" fontId="4" fillId="0" borderId="14" xfId="0" applyNumberFormat="1" applyFont="1" applyFill="1" applyBorder="1" applyAlignment="1">
      <alignment horizontal="left" vertical="top" indent="2" shrinkToFit="1"/>
    </xf>
    <xf numFmtId="164" fontId="4" fillId="0" borderId="2" xfId="0" applyNumberFormat="1" applyFont="1" applyFill="1" applyBorder="1" applyAlignment="1">
      <alignment horizontal="left" vertical="top" indent="2" shrinkToFit="1"/>
    </xf>
    <xf numFmtId="0" fontId="3" fillId="0" borderId="14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right" vertical="top" indent="2" shrinkToFit="1"/>
    </xf>
    <xf numFmtId="164" fontId="4" fillId="0" borderId="14" xfId="0" applyNumberFormat="1" applyFont="1" applyFill="1" applyBorder="1" applyAlignment="1">
      <alignment horizontal="center" vertical="top" shrinkToFit="1"/>
    </xf>
    <xf numFmtId="164" fontId="4" fillId="0" borderId="2" xfId="0" applyNumberFormat="1" applyFont="1" applyFill="1" applyBorder="1" applyAlignment="1">
      <alignment horizontal="center" vertical="top" shrinkToFit="1"/>
    </xf>
    <xf numFmtId="164" fontId="4" fillId="0" borderId="9" xfId="0" applyNumberFormat="1" applyFont="1" applyFill="1" applyBorder="1" applyAlignment="1">
      <alignment horizontal="right" vertical="center" indent="3" shrinkToFit="1"/>
    </xf>
    <xf numFmtId="0" fontId="3" fillId="0" borderId="9" xfId="0" applyFont="1" applyFill="1" applyBorder="1" applyAlignment="1">
      <alignment horizontal="center" wrapText="1"/>
    </xf>
    <xf numFmtId="164" fontId="4" fillId="0" borderId="9" xfId="0" applyNumberFormat="1" applyFont="1" applyFill="1" applyBorder="1" applyAlignment="1">
      <alignment horizontal="right" indent="3" shrinkToFit="1"/>
    </xf>
    <xf numFmtId="0" fontId="3" fillId="0" borderId="9" xfId="0" applyFont="1" applyFill="1" applyBorder="1" applyAlignment="1">
      <alignment horizontal="left" wrapText="1"/>
    </xf>
    <xf numFmtId="164" fontId="4" fillId="0" borderId="9" xfId="0" applyNumberFormat="1" applyFont="1" applyFill="1" applyBorder="1" applyAlignment="1">
      <alignment horizontal="center" shrinkToFit="1"/>
    </xf>
    <xf numFmtId="164" fontId="4" fillId="0" borderId="14" xfId="0" applyNumberFormat="1" applyFont="1" applyFill="1" applyBorder="1" applyAlignment="1">
      <alignment horizontal="center" shrinkToFit="1"/>
    </xf>
    <xf numFmtId="164" fontId="4" fillId="0" borderId="2" xfId="0" applyNumberFormat="1" applyFont="1" applyFill="1" applyBorder="1" applyAlignment="1">
      <alignment horizontal="center" shrinkToFit="1"/>
    </xf>
    <xf numFmtId="164" fontId="4" fillId="0" borderId="14" xfId="0" applyNumberFormat="1" applyFont="1" applyFill="1" applyBorder="1" applyAlignment="1">
      <alignment horizontal="left" indent="2" shrinkToFit="1"/>
    </xf>
    <xf numFmtId="164" fontId="4" fillId="0" borderId="9" xfId="0" applyNumberFormat="1" applyFont="1" applyFill="1" applyBorder="1" applyAlignment="1">
      <alignment horizontal="right" indent="2" shrinkToFit="1"/>
    </xf>
    <xf numFmtId="164" fontId="4" fillId="0" borderId="9" xfId="0" applyNumberFormat="1" applyFont="1" applyFill="1" applyBorder="1" applyAlignment="1">
      <alignment horizontal="right" vertical="top" indent="3" shrinkToFit="1"/>
    </xf>
    <xf numFmtId="0" fontId="0" fillId="0" borderId="14" xfId="0" applyFill="1" applyBorder="1" applyAlignment="1">
      <alignment horizontal="left" wrapText="1" indent="2"/>
    </xf>
    <xf numFmtId="0" fontId="0" fillId="0" borderId="8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164" fontId="4" fillId="0" borderId="6" xfId="0" applyNumberFormat="1" applyFont="1" applyFill="1" applyBorder="1" applyAlignment="1">
      <alignment horizontal="center" vertical="center" shrinkToFi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164" fontId="4" fillId="0" borderId="8" xfId="0" applyNumberFormat="1" applyFont="1" applyFill="1" applyBorder="1" applyAlignment="1">
      <alignment horizontal="center" vertical="center" shrinkToFit="1"/>
    </xf>
    <xf numFmtId="164" fontId="4" fillId="0" borderId="6" xfId="0" applyNumberFormat="1" applyFont="1" applyFill="1" applyBorder="1" applyAlignment="1">
      <alignment horizontal="left" vertical="center" indent="2" shrinkToFit="1"/>
    </xf>
    <xf numFmtId="164" fontId="4" fillId="0" borderId="11" xfId="0" applyNumberFormat="1" applyFont="1" applyFill="1" applyBorder="1" applyAlignment="1">
      <alignment horizontal="center" vertical="center" shrinkToFit="1"/>
    </xf>
    <xf numFmtId="164" fontId="4" fillId="0" borderId="12" xfId="0" applyNumberFormat="1" applyFont="1" applyFill="1" applyBorder="1" applyAlignment="1">
      <alignment horizontal="center" vertical="center" shrinkToFit="1"/>
    </xf>
    <xf numFmtId="164" fontId="4" fillId="0" borderId="3" xfId="0" applyNumberFormat="1" applyFont="1" applyFill="1" applyBorder="1" applyAlignment="1">
      <alignment horizontal="center" vertical="center" shrinkToFi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vertical="top"/>
    </xf>
    <xf numFmtId="0" fontId="0" fillId="0" borderId="16" xfId="0" applyFill="1" applyBorder="1" applyAlignment="1">
      <alignment horizontal="left" vertical="center" wrapText="1" indent="3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vertical="center" shrinkToFit="1"/>
    </xf>
    <xf numFmtId="0" fontId="0" fillId="0" borderId="16" xfId="0" applyFill="1" applyBorder="1" applyAlignment="1">
      <alignment vertical="center" wrapText="1"/>
    </xf>
    <xf numFmtId="0" fontId="0" fillId="0" borderId="16" xfId="0" applyFill="1" applyBorder="1" applyAlignment="1">
      <alignment vertical="top" wrapText="1"/>
    </xf>
    <xf numFmtId="0" fontId="3" fillId="0" borderId="16" xfId="0" applyFont="1" applyFill="1" applyBorder="1" applyAlignment="1">
      <alignment vertical="center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center" wrapText="1"/>
    </xf>
    <xf numFmtId="164" fontId="4" fillId="0" borderId="16" xfId="0" applyNumberFormat="1" applyFont="1" applyFill="1" applyBorder="1" applyAlignment="1">
      <alignment horizontal="left" vertical="center" indent="2" shrinkToFit="1"/>
    </xf>
    <xf numFmtId="0" fontId="3" fillId="0" borderId="16" xfId="0" applyFont="1" applyFill="1" applyBorder="1" applyAlignment="1">
      <alignment horizontal="left" vertical="top" wrapText="1"/>
    </xf>
    <xf numFmtId="164" fontId="4" fillId="0" borderId="16" xfId="0" applyNumberFormat="1" applyFont="1" applyFill="1" applyBorder="1" applyAlignment="1">
      <alignment horizontal="center" vertical="top" shrinkToFit="1"/>
    </xf>
    <xf numFmtId="164" fontId="4" fillId="0" borderId="16" xfId="0" applyNumberFormat="1" applyFont="1" applyFill="1" applyBorder="1" applyAlignment="1">
      <alignment horizontal="left" vertical="top" indent="2" shrinkToFit="1"/>
    </xf>
    <xf numFmtId="164" fontId="4" fillId="0" borderId="16" xfId="0" applyNumberFormat="1" applyFont="1" applyFill="1" applyBorder="1" applyAlignment="1">
      <alignment horizontal="right" vertical="center" indent="2" shrinkToFit="1"/>
    </xf>
    <xf numFmtId="164" fontId="4" fillId="0" borderId="16" xfId="0" applyNumberFormat="1" applyFont="1" applyFill="1" applyBorder="1" applyAlignment="1">
      <alignment horizontal="right" vertical="center" indent="3" shrinkToFit="1"/>
    </xf>
    <xf numFmtId="0" fontId="2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center" vertical="center" shrinkToFi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0" fontId="0" fillId="0" borderId="16" xfId="0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vertical="center" wrapText="1"/>
    </xf>
    <xf numFmtId="0" fontId="0" fillId="0" borderId="8" xfId="0" applyFill="1" applyBorder="1" applyAlignment="1">
      <alignment vertical="top" wrapText="1"/>
    </xf>
    <xf numFmtId="164" fontId="4" fillId="0" borderId="8" xfId="0" applyNumberFormat="1" applyFont="1" applyFill="1" applyBorder="1" applyAlignment="1">
      <alignment vertical="center" shrinkToFit="1"/>
    </xf>
    <xf numFmtId="0" fontId="0" fillId="0" borderId="8" xfId="0" applyFill="1" applyBorder="1" applyAlignment="1">
      <alignment vertical="center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9" xfId="0" applyFill="1" applyBorder="1" applyAlignment="1">
      <alignment vertical="top" wrapText="1"/>
    </xf>
    <xf numFmtId="164" fontId="4" fillId="0" borderId="9" xfId="0" applyNumberFormat="1" applyFont="1" applyFill="1" applyBorder="1" applyAlignment="1">
      <alignment vertical="top" shrinkToFit="1"/>
    </xf>
    <xf numFmtId="0" fontId="3" fillId="0" borderId="9" xfId="0" applyFont="1" applyFill="1" applyBorder="1" applyAlignment="1">
      <alignment vertical="top" wrapText="1"/>
    </xf>
    <xf numFmtId="0" fontId="12" fillId="0" borderId="9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center" vertical="center" shrinkToFit="1"/>
    </xf>
    <xf numFmtId="164" fontId="4" fillId="0" borderId="0" xfId="0" applyNumberFormat="1" applyFont="1" applyFill="1" applyBorder="1" applyAlignment="1">
      <alignment horizontal="left" vertical="top" indent="2" shrinkToFit="1"/>
    </xf>
    <xf numFmtId="164" fontId="4" fillId="0" borderId="0" xfId="0" applyNumberFormat="1" applyFont="1" applyFill="1" applyBorder="1" applyAlignment="1">
      <alignment horizontal="left" vertical="center" indent="2" shrinkToFit="1"/>
    </xf>
    <xf numFmtId="164" fontId="4" fillId="0" borderId="0" xfId="0" applyNumberFormat="1" applyFont="1" applyFill="1" applyBorder="1" applyAlignment="1">
      <alignment horizontal="center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164" fontId="13" fillId="0" borderId="16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left" vertical="center" wrapText="1"/>
    </xf>
    <xf numFmtId="0" fontId="13" fillId="0" borderId="16" xfId="0" applyFont="1" applyBorder="1" applyAlignment="1">
      <alignment horizontal="right" vertical="center" wrapText="1"/>
    </xf>
    <xf numFmtId="0" fontId="16" fillId="0" borderId="16" xfId="2" applyFont="1" applyFill="1" applyBorder="1" applyAlignment="1">
      <alignment horizontal="center" vertical="center" wrapText="1"/>
    </xf>
    <xf numFmtId="0" fontId="17" fillId="0" borderId="16" xfId="2" applyFont="1" applyFill="1" applyBorder="1" applyAlignment="1">
      <alignment vertical="top"/>
    </xf>
    <xf numFmtId="0" fontId="17" fillId="0" borderId="16" xfId="2" applyFont="1" applyFill="1" applyBorder="1" applyAlignment="1">
      <alignment horizontal="center" vertical="center"/>
    </xf>
    <xf numFmtId="2" fontId="17" fillId="0" borderId="16" xfId="2" applyNumberFormat="1" applyFont="1" applyFill="1" applyBorder="1" applyAlignment="1">
      <alignment horizontal="center" vertical="center"/>
    </xf>
    <xf numFmtId="0" fontId="19" fillId="0" borderId="22" xfId="2" applyFont="1" applyFill="1" applyBorder="1" applyAlignment="1">
      <alignment horizontal="center" vertical="center"/>
    </xf>
    <xf numFmtId="0" fontId="19" fillId="0" borderId="0" xfId="2" applyNumberFormat="1" applyFont="1"/>
    <xf numFmtId="0" fontId="19" fillId="0" borderId="0" xfId="2" applyNumberFormat="1" applyFont="1" applyFill="1"/>
    <xf numFmtId="4" fontId="18" fillId="0" borderId="16" xfId="0" applyNumberFormat="1" applyFont="1" applyFill="1" applyBorder="1" applyAlignment="1">
      <alignment horizontal="center" vertical="center" wrapText="1"/>
    </xf>
    <xf numFmtId="1" fontId="19" fillId="0" borderId="16" xfId="2" applyNumberFormat="1" applyFont="1" applyBorder="1" applyAlignment="1">
      <alignment horizontal="center" vertical="center"/>
    </xf>
    <xf numFmtId="49" fontId="19" fillId="0" borderId="16" xfId="2" applyNumberFormat="1" applyFont="1" applyBorder="1" applyAlignment="1">
      <alignment horizontal="center" vertical="center"/>
    </xf>
    <xf numFmtId="2" fontId="19" fillId="0" borderId="16" xfId="2" applyNumberFormat="1" applyFont="1" applyBorder="1" applyAlignment="1">
      <alignment horizontal="center" vertical="center"/>
    </xf>
    <xf numFmtId="2" fontId="19" fillId="2" borderId="16" xfId="2" applyNumberFormat="1" applyFont="1" applyFill="1" applyBorder="1" applyAlignment="1">
      <alignment horizontal="center" vertical="center"/>
    </xf>
    <xf numFmtId="2" fontId="19" fillId="2" borderId="16" xfId="2" applyNumberFormat="1" applyFont="1" applyFill="1" applyBorder="1" applyAlignment="1">
      <alignment horizontal="right" vertical="center"/>
    </xf>
    <xf numFmtId="0" fontId="0" fillId="0" borderId="16" xfId="0" applyFill="1" applyBorder="1" applyAlignment="1">
      <alignment horizontal="left" vertical="top" wrapText="1" inden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top" wrapText="1" indent="6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top" wrapText="1" indent="2"/>
    </xf>
    <xf numFmtId="0" fontId="2" fillId="0" borderId="16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top" wrapText="1" indent="7"/>
    </xf>
    <xf numFmtId="0" fontId="0" fillId="0" borderId="16" xfId="0" applyFill="1" applyBorder="1" applyAlignment="1">
      <alignment horizontal="left" vertical="top" wrapText="1" indent="4"/>
    </xf>
    <xf numFmtId="0" fontId="0" fillId="0" borderId="17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left" vertical="top" wrapText="1" indent="7"/>
    </xf>
    <xf numFmtId="0" fontId="11" fillId="0" borderId="16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19" fillId="0" borderId="24" xfId="2" applyNumberFormat="1" applyFont="1" applyFill="1" applyBorder="1" applyAlignment="1">
      <alignment horizontal="center"/>
    </xf>
    <xf numFmtId="0" fontId="19" fillId="0" borderId="0" xfId="2" applyNumberFormat="1" applyFont="1" applyFill="1" applyAlignment="1">
      <alignment horizontal="center"/>
    </xf>
    <xf numFmtId="0" fontId="16" fillId="0" borderId="23" xfId="2" applyFont="1" applyFill="1" applyBorder="1" applyAlignment="1">
      <alignment horizontal="center" vertical="center" wrapText="1"/>
    </xf>
    <xf numFmtId="0" fontId="16" fillId="0" borderId="16" xfId="2" applyFont="1" applyFill="1" applyBorder="1" applyAlignment="1">
      <alignment horizontal="center" vertical="center" wrapText="1"/>
    </xf>
    <xf numFmtId="0" fontId="16" fillId="0" borderId="19" xfId="2" applyFont="1" applyFill="1" applyBorder="1" applyAlignment="1">
      <alignment horizontal="center" vertical="center" wrapText="1"/>
    </xf>
    <xf numFmtId="0" fontId="16" fillId="0" borderId="20" xfId="2" applyFont="1" applyFill="1" applyBorder="1" applyAlignment="1">
      <alignment horizontal="center" vertical="center" wrapText="1"/>
    </xf>
    <xf numFmtId="0" fontId="16" fillId="0" borderId="19" xfId="2" applyFont="1" applyFill="1" applyBorder="1" applyAlignment="1">
      <alignment horizontal="left" vertical="center" wrapText="1"/>
    </xf>
    <xf numFmtId="0" fontId="16" fillId="0" borderId="20" xfId="2" applyFont="1" applyFill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8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ht="30" customHeight="1" x14ac:dyDescent="0.25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9.5" customHeight="1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64" t="s">
        <v>4</v>
      </c>
      <c r="N2" s="164"/>
      <c r="O2" s="167" t="s">
        <v>5</v>
      </c>
      <c r="P2" s="167"/>
      <c r="Q2" s="168" t="s">
        <v>6</v>
      </c>
    </row>
    <row r="3" spans="1:17" ht="19.5" customHeight="1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71" t="s">
        <v>10</v>
      </c>
      <c r="J3" s="171"/>
      <c r="K3" s="172" t="s">
        <v>11</v>
      </c>
      <c r="L3" s="172"/>
      <c r="M3" s="164" t="s">
        <v>12</v>
      </c>
      <c r="N3" s="165" t="s">
        <v>13</v>
      </c>
      <c r="O3" s="164" t="s">
        <v>12</v>
      </c>
      <c r="P3" s="169" t="s">
        <v>14</v>
      </c>
      <c r="Q3" s="168"/>
    </row>
    <row r="4" spans="1:17" ht="46.35" customHeight="1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8" t="s">
        <v>12</v>
      </c>
      <c r="L4" s="97" t="s">
        <v>13</v>
      </c>
      <c r="M4" s="164"/>
      <c r="N4" s="165"/>
      <c r="O4" s="164"/>
      <c r="P4" s="169"/>
      <c r="Q4" s="168"/>
    </row>
    <row r="5" spans="1:17" ht="192" customHeight="1" x14ac:dyDescent="0.25">
      <c r="A5" s="99" t="s">
        <v>15</v>
      </c>
      <c r="B5" s="100" t="s">
        <v>16</v>
      </c>
      <c r="C5" s="97" t="s">
        <v>17</v>
      </c>
      <c r="D5" s="101">
        <v>64</v>
      </c>
      <c r="E5" s="97" t="s">
        <v>18</v>
      </c>
      <c r="F5" s="101">
        <v>25.4</v>
      </c>
      <c r="G5" s="102" t="s">
        <v>19</v>
      </c>
      <c r="H5" s="101">
        <v>0</v>
      </c>
      <c r="I5" s="102" t="s">
        <v>19</v>
      </c>
      <c r="J5" s="101">
        <v>0</v>
      </c>
      <c r="K5" s="100" t="s">
        <v>20</v>
      </c>
      <c r="L5" s="101">
        <v>89.4</v>
      </c>
      <c r="M5" s="97" t="s">
        <v>21</v>
      </c>
      <c r="N5" s="101">
        <v>10.7</v>
      </c>
      <c r="O5" s="100" t="s">
        <v>20</v>
      </c>
      <c r="P5" s="101">
        <v>28.8</v>
      </c>
      <c r="Q5" s="102" t="s">
        <v>19</v>
      </c>
    </row>
    <row r="6" spans="1:17" ht="192.15" customHeight="1" x14ac:dyDescent="0.25">
      <c r="A6" s="99" t="s">
        <v>24</v>
      </c>
      <c r="B6" s="102" t="s">
        <v>25</v>
      </c>
      <c r="C6" s="97" t="s">
        <v>17</v>
      </c>
      <c r="D6" s="101">
        <v>21.9</v>
      </c>
      <c r="E6" s="97" t="s">
        <v>18</v>
      </c>
      <c r="F6" s="101">
        <v>31.9</v>
      </c>
      <c r="G6" s="102" t="s">
        <v>19</v>
      </c>
      <c r="H6" s="101">
        <v>0</v>
      </c>
      <c r="I6" s="97" t="s">
        <v>26</v>
      </c>
      <c r="J6" s="101">
        <v>79.7</v>
      </c>
      <c r="K6" s="100" t="s">
        <v>20</v>
      </c>
      <c r="L6" s="101">
        <v>133.5</v>
      </c>
      <c r="M6" s="97" t="s">
        <v>21</v>
      </c>
      <c r="N6" s="101">
        <v>57.6</v>
      </c>
      <c r="O6" s="100" t="s">
        <v>20</v>
      </c>
      <c r="P6" s="101">
        <v>42.8</v>
      </c>
      <c r="Q6" s="102" t="s">
        <v>19</v>
      </c>
    </row>
    <row r="7" spans="1:17" ht="192" customHeight="1" x14ac:dyDescent="0.25">
      <c r="A7" s="106" t="s">
        <v>31</v>
      </c>
      <c r="B7" s="106" t="s">
        <v>32</v>
      </c>
      <c r="C7" s="105" t="s">
        <v>17</v>
      </c>
      <c r="D7" s="103">
        <v>140.9</v>
      </c>
      <c r="E7" s="105" t="s">
        <v>18</v>
      </c>
      <c r="F7" s="103">
        <v>221.4</v>
      </c>
      <c r="G7" s="105" t="s">
        <v>33</v>
      </c>
      <c r="H7" s="103">
        <v>5.2</v>
      </c>
      <c r="I7" s="106" t="s">
        <v>19</v>
      </c>
      <c r="J7" s="103">
        <v>0</v>
      </c>
      <c r="K7" s="104" t="s">
        <v>20</v>
      </c>
      <c r="L7" s="103">
        <v>367.5</v>
      </c>
      <c r="M7" s="105" t="s">
        <v>21</v>
      </c>
      <c r="N7" s="103">
        <v>164.4</v>
      </c>
      <c r="O7" s="104" t="s">
        <v>20</v>
      </c>
      <c r="P7" s="103">
        <v>116.4</v>
      </c>
      <c r="Q7" s="106" t="s">
        <v>19</v>
      </c>
    </row>
    <row r="8" spans="1:17" ht="151.5" customHeight="1" x14ac:dyDescent="0.25">
      <c r="A8" s="106" t="s">
        <v>36</v>
      </c>
      <c r="B8" s="106" t="s">
        <v>37</v>
      </c>
      <c r="C8" s="105" t="s">
        <v>17</v>
      </c>
      <c r="D8" s="103">
        <v>126.5</v>
      </c>
      <c r="E8" s="105" t="s">
        <v>18</v>
      </c>
      <c r="F8" s="103">
        <v>4.9000000000000004</v>
      </c>
      <c r="G8" s="106" t="s">
        <v>19</v>
      </c>
      <c r="H8" s="103">
        <v>0</v>
      </c>
      <c r="I8" s="106" t="s">
        <v>19</v>
      </c>
      <c r="J8" s="103">
        <v>0</v>
      </c>
      <c r="K8" s="104" t="s">
        <v>20</v>
      </c>
      <c r="L8" s="103">
        <v>131.30000000000001</v>
      </c>
      <c r="M8" s="105" t="s">
        <v>21</v>
      </c>
      <c r="N8" s="103">
        <v>58.2</v>
      </c>
      <c r="O8" s="104" t="s">
        <v>20</v>
      </c>
      <c r="P8" s="103">
        <v>42.1</v>
      </c>
      <c r="Q8" s="106" t="s">
        <v>19</v>
      </c>
    </row>
    <row r="9" spans="1:17" ht="151.5" customHeight="1" x14ac:dyDescent="0.25">
      <c r="A9" s="106" t="s">
        <v>40</v>
      </c>
      <c r="B9" s="106" t="s">
        <v>25</v>
      </c>
      <c r="C9" s="105" t="s">
        <v>17</v>
      </c>
      <c r="D9" s="103">
        <v>37.700000000000003</v>
      </c>
      <c r="E9" s="105" t="s">
        <v>18</v>
      </c>
      <c r="F9" s="103">
        <v>29.7</v>
      </c>
      <c r="G9" s="106" t="s">
        <v>19</v>
      </c>
      <c r="H9" s="103">
        <v>0</v>
      </c>
      <c r="I9" s="106" t="s">
        <v>19</v>
      </c>
      <c r="J9" s="103">
        <v>0</v>
      </c>
      <c r="K9" s="104" t="s">
        <v>20</v>
      </c>
      <c r="L9" s="103">
        <v>67.400000000000006</v>
      </c>
      <c r="M9" s="105" t="s">
        <v>21</v>
      </c>
      <c r="N9" s="103">
        <v>54.2</v>
      </c>
      <c r="O9" s="104" t="s">
        <v>20</v>
      </c>
      <c r="P9" s="103">
        <v>30.1</v>
      </c>
      <c r="Q9" s="106" t="s">
        <v>19</v>
      </c>
    </row>
    <row r="10" spans="1:17" ht="114.75" customHeight="1" x14ac:dyDescent="0.25">
      <c r="A10" s="106" t="s">
        <v>42</v>
      </c>
      <c r="B10" s="106" t="s">
        <v>43</v>
      </c>
      <c r="C10" s="105" t="s">
        <v>17</v>
      </c>
      <c r="D10" s="103">
        <v>57.5</v>
      </c>
      <c r="E10" s="105" t="s">
        <v>18</v>
      </c>
      <c r="F10" s="103">
        <v>72.2</v>
      </c>
      <c r="G10" s="106" t="s">
        <v>19</v>
      </c>
      <c r="H10" s="103">
        <v>0</v>
      </c>
      <c r="I10" s="106" t="s">
        <v>19</v>
      </c>
      <c r="J10" s="103">
        <v>0</v>
      </c>
      <c r="K10" s="104" t="s">
        <v>20</v>
      </c>
      <c r="L10" s="103">
        <v>129.69999999999999</v>
      </c>
      <c r="M10" s="105" t="s">
        <v>21</v>
      </c>
      <c r="N10" s="103">
        <v>99.5</v>
      </c>
      <c r="O10" s="104" t="s">
        <v>20</v>
      </c>
      <c r="P10" s="103">
        <v>41.7</v>
      </c>
      <c r="Q10" s="106" t="s">
        <v>19</v>
      </c>
    </row>
    <row r="11" spans="1:17" ht="50.25" customHeight="1" x14ac:dyDescent="0.25">
      <c r="A11" s="106" t="s">
        <v>45</v>
      </c>
      <c r="B11" s="106" t="s">
        <v>25</v>
      </c>
      <c r="C11" s="106" t="s">
        <v>19</v>
      </c>
      <c r="D11" s="103">
        <v>0</v>
      </c>
      <c r="E11" s="105" t="s">
        <v>18</v>
      </c>
      <c r="F11" s="103">
        <v>31.4</v>
      </c>
      <c r="G11" s="106" t="s">
        <v>19</v>
      </c>
      <c r="H11" s="103">
        <v>0</v>
      </c>
      <c r="I11" s="105" t="s">
        <v>26</v>
      </c>
      <c r="J11" s="103">
        <v>64.400000000000006</v>
      </c>
      <c r="K11" s="104" t="s">
        <v>20</v>
      </c>
      <c r="L11" s="103">
        <v>95.8</v>
      </c>
      <c r="M11" s="105" t="s">
        <v>21</v>
      </c>
      <c r="N11" s="103">
        <v>40.700000000000003</v>
      </c>
      <c r="O11" s="104" t="s">
        <v>20</v>
      </c>
      <c r="P11" s="103">
        <v>31.4</v>
      </c>
      <c r="Q11" s="106" t="s">
        <v>19</v>
      </c>
    </row>
    <row r="12" spans="1:17" ht="187.2" x14ac:dyDescent="0.25">
      <c r="A12" s="99" t="s">
        <v>22</v>
      </c>
      <c r="B12" s="100" t="s">
        <v>23</v>
      </c>
      <c r="C12" s="97" t="s">
        <v>17</v>
      </c>
      <c r="D12" s="101">
        <v>44.3</v>
      </c>
      <c r="E12" s="97" t="s">
        <v>18</v>
      </c>
      <c r="F12" s="103">
        <v>23.1</v>
      </c>
      <c r="G12" s="104" t="s">
        <v>20</v>
      </c>
      <c r="H12" s="103">
        <v>67.400000000000006</v>
      </c>
      <c r="I12" s="103"/>
      <c r="J12" s="103"/>
      <c r="K12" s="103"/>
      <c r="L12" s="103"/>
      <c r="M12" s="105" t="s">
        <v>21</v>
      </c>
      <c r="N12" s="101">
        <v>24.5</v>
      </c>
      <c r="O12" s="100" t="s">
        <v>20</v>
      </c>
      <c r="P12" s="103">
        <v>21.4</v>
      </c>
      <c r="Q12" s="106" t="s">
        <v>19</v>
      </c>
    </row>
    <row r="13" spans="1:17" ht="187.2" x14ac:dyDescent="0.25">
      <c r="A13" s="99" t="s">
        <v>27</v>
      </c>
      <c r="B13" s="100" t="s">
        <v>28</v>
      </c>
      <c r="C13" s="97" t="s">
        <v>29</v>
      </c>
      <c r="D13" s="101">
        <v>233.1</v>
      </c>
      <c r="E13" s="97" t="s">
        <v>18</v>
      </c>
      <c r="F13" s="103">
        <v>72.400000000000006</v>
      </c>
      <c r="G13" s="106" t="s">
        <v>19</v>
      </c>
      <c r="H13" s="103">
        <v>305.5</v>
      </c>
      <c r="I13" s="103"/>
      <c r="J13" s="103"/>
      <c r="K13" s="103"/>
      <c r="L13" s="103"/>
      <c r="M13" s="104" t="s">
        <v>30</v>
      </c>
      <c r="N13" s="101">
        <v>156.9</v>
      </c>
      <c r="O13" s="102" t="s">
        <v>19</v>
      </c>
      <c r="P13" s="103">
        <v>98.5</v>
      </c>
      <c r="Q13" s="106" t="s">
        <v>19</v>
      </c>
    </row>
    <row r="14" spans="1:17" ht="187.2" x14ac:dyDescent="0.25">
      <c r="A14" s="99" t="s">
        <v>34</v>
      </c>
      <c r="B14" s="100" t="s">
        <v>28</v>
      </c>
      <c r="C14" s="97" t="s">
        <v>29</v>
      </c>
      <c r="D14" s="101">
        <v>387.1</v>
      </c>
      <c r="E14" s="97" t="s">
        <v>18</v>
      </c>
      <c r="F14" s="103">
        <v>31.8</v>
      </c>
      <c r="G14" s="106" t="s">
        <v>19</v>
      </c>
      <c r="H14" s="103">
        <v>419</v>
      </c>
      <c r="I14" s="103"/>
      <c r="J14" s="103"/>
      <c r="K14" s="103"/>
      <c r="L14" s="103"/>
      <c r="M14" s="104" t="s">
        <v>30</v>
      </c>
      <c r="N14" s="101">
        <v>243.4</v>
      </c>
      <c r="O14" s="102" t="s">
        <v>19</v>
      </c>
      <c r="P14" s="103">
        <v>135.5</v>
      </c>
      <c r="Q14" s="106" t="s">
        <v>19</v>
      </c>
    </row>
    <row r="15" spans="1:17" ht="187.2" x14ac:dyDescent="0.25">
      <c r="A15" s="106" t="s">
        <v>35</v>
      </c>
      <c r="B15" s="104" t="s">
        <v>28</v>
      </c>
      <c r="C15" s="105" t="s">
        <v>29</v>
      </c>
      <c r="D15" s="103">
        <v>87.2</v>
      </c>
      <c r="E15" s="105" t="s">
        <v>18</v>
      </c>
      <c r="F15" s="103">
        <v>11.1</v>
      </c>
      <c r="G15" s="106" t="s">
        <v>19</v>
      </c>
      <c r="H15" s="103">
        <v>98.3</v>
      </c>
      <c r="I15" s="103"/>
      <c r="J15" s="103"/>
      <c r="K15" s="103"/>
      <c r="L15" s="103"/>
      <c r="M15" s="104" t="s">
        <v>30</v>
      </c>
      <c r="N15" s="103">
        <v>64.3</v>
      </c>
      <c r="O15" s="106" t="s">
        <v>19</v>
      </c>
      <c r="P15" s="103">
        <v>32.299999999999997</v>
      </c>
      <c r="Q15" s="106" t="s">
        <v>19</v>
      </c>
    </row>
    <row r="16" spans="1:17" ht="187.2" x14ac:dyDescent="0.25">
      <c r="A16" s="106" t="s">
        <v>38</v>
      </c>
      <c r="B16" s="104" t="s">
        <v>39</v>
      </c>
      <c r="C16" s="105" t="s">
        <v>17</v>
      </c>
      <c r="D16" s="103">
        <v>89.2</v>
      </c>
      <c r="E16" s="105" t="s">
        <v>18</v>
      </c>
      <c r="F16" s="103">
        <v>26.1</v>
      </c>
      <c r="G16" s="104" t="s">
        <v>20</v>
      </c>
      <c r="H16" s="103">
        <v>115.3</v>
      </c>
      <c r="I16" s="103"/>
      <c r="J16" s="103"/>
      <c r="K16" s="103"/>
      <c r="L16" s="103"/>
      <c r="M16" s="105" t="s">
        <v>21</v>
      </c>
      <c r="N16" s="103">
        <v>17</v>
      </c>
      <c r="O16" s="104" t="s">
        <v>20</v>
      </c>
      <c r="P16" s="103">
        <v>37.299999999999997</v>
      </c>
      <c r="Q16" s="106" t="s">
        <v>19</v>
      </c>
    </row>
    <row r="17" spans="1:17" ht="187.2" x14ac:dyDescent="0.25">
      <c r="A17" s="106" t="s">
        <v>41</v>
      </c>
      <c r="B17" s="104" t="s">
        <v>28</v>
      </c>
      <c r="C17" s="105" t="s">
        <v>29</v>
      </c>
      <c r="D17" s="103">
        <v>49.8</v>
      </c>
      <c r="E17" s="105" t="s">
        <v>18</v>
      </c>
      <c r="F17" s="103">
        <v>16.5</v>
      </c>
      <c r="G17" s="106" t="s">
        <v>19</v>
      </c>
      <c r="H17" s="103">
        <v>70.400000000000006</v>
      </c>
      <c r="I17" s="103"/>
      <c r="J17" s="103"/>
      <c r="K17" s="103"/>
      <c r="L17" s="103"/>
      <c r="M17" s="104" t="s">
        <v>30</v>
      </c>
      <c r="N17" s="103">
        <v>16.600000000000001</v>
      </c>
      <c r="O17" s="106" t="s">
        <v>19</v>
      </c>
      <c r="P17" s="103">
        <v>22.3</v>
      </c>
      <c r="Q17" s="106" t="s">
        <v>19</v>
      </c>
    </row>
    <row r="18" spans="1:17" ht="187.2" x14ac:dyDescent="0.25">
      <c r="A18" s="106" t="s">
        <v>44</v>
      </c>
      <c r="B18" s="104" t="s">
        <v>28</v>
      </c>
      <c r="C18" s="105" t="s">
        <v>29</v>
      </c>
      <c r="D18" s="103">
        <v>197.8</v>
      </c>
      <c r="E18" s="105" t="s">
        <v>18</v>
      </c>
      <c r="F18" s="103">
        <v>25.9</v>
      </c>
      <c r="G18" s="106" t="s">
        <v>19</v>
      </c>
      <c r="H18" s="103">
        <v>223.7</v>
      </c>
      <c r="I18" s="103"/>
      <c r="J18" s="103"/>
      <c r="K18" s="103"/>
      <c r="L18" s="103"/>
      <c r="M18" s="104" t="s">
        <v>30</v>
      </c>
      <c r="N18" s="103">
        <v>176.6</v>
      </c>
      <c r="O18" s="106" t="s">
        <v>19</v>
      </c>
      <c r="P18" s="103">
        <v>68.599999999999994</v>
      </c>
      <c r="Q18" s="106" t="s">
        <v>19</v>
      </c>
    </row>
  </sheetData>
  <mergeCells count="16">
    <mergeCell ref="M3:M4"/>
    <mergeCell ref="N3:N4"/>
    <mergeCell ref="A1:Q1"/>
    <mergeCell ref="A2:A4"/>
    <mergeCell ref="B2:B4"/>
    <mergeCell ref="C2:L2"/>
    <mergeCell ref="M2:N2"/>
    <mergeCell ref="O2:P2"/>
    <mergeCell ref="Q2:Q4"/>
    <mergeCell ref="O3:O4"/>
    <mergeCell ref="P3:P4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9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x14ac:dyDescent="0.25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64" t="s">
        <v>4</v>
      </c>
      <c r="N2" s="164"/>
      <c r="O2" s="167" t="s">
        <v>5</v>
      </c>
      <c r="P2" s="167"/>
      <c r="Q2" s="168" t="s">
        <v>6</v>
      </c>
    </row>
    <row r="3" spans="1:17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71" t="s">
        <v>10</v>
      </c>
      <c r="J3" s="171"/>
      <c r="K3" s="172" t="s">
        <v>11</v>
      </c>
      <c r="L3" s="172"/>
      <c r="M3" s="164" t="s">
        <v>12</v>
      </c>
      <c r="N3" s="165" t="s">
        <v>13</v>
      </c>
      <c r="O3" s="164" t="s">
        <v>12</v>
      </c>
      <c r="P3" s="169" t="s">
        <v>14</v>
      </c>
      <c r="Q3" s="168"/>
    </row>
    <row r="4" spans="1:17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8" t="s">
        <v>12</v>
      </c>
      <c r="L4" s="97" t="s">
        <v>13</v>
      </c>
      <c r="M4" s="164"/>
      <c r="N4" s="165"/>
      <c r="O4" s="164"/>
      <c r="P4" s="169"/>
      <c r="Q4" s="168"/>
    </row>
    <row r="5" spans="1:17" ht="187.2" x14ac:dyDescent="0.25">
      <c r="A5" s="7" t="s">
        <v>46</v>
      </c>
      <c r="B5" s="8" t="s">
        <v>47</v>
      </c>
      <c r="C5" s="3" t="s">
        <v>17</v>
      </c>
      <c r="D5" s="9">
        <v>26.3</v>
      </c>
      <c r="E5" s="3" t="s">
        <v>18</v>
      </c>
      <c r="F5" s="9">
        <v>18.899999999999999</v>
      </c>
      <c r="G5" s="10" t="s">
        <v>19</v>
      </c>
      <c r="H5" s="9">
        <v>0</v>
      </c>
      <c r="I5" s="9"/>
      <c r="J5" s="9"/>
      <c r="K5" s="8" t="s">
        <v>20</v>
      </c>
      <c r="L5" s="9">
        <v>45.2</v>
      </c>
      <c r="M5" s="3" t="s">
        <v>21</v>
      </c>
      <c r="N5" s="9">
        <v>11.8</v>
      </c>
      <c r="O5" s="8" t="s">
        <v>20</v>
      </c>
      <c r="P5" s="9">
        <v>14.3</v>
      </c>
      <c r="Q5" s="10" t="s">
        <v>19</v>
      </c>
    </row>
    <row r="6" spans="1:17" ht="187.2" x14ac:dyDescent="0.25">
      <c r="A6" s="7" t="s">
        <v>49</v>
      </c>
      <c r="B6" s="8" t="s">
        <v>50</v>
      </c>
      <c r="C6" s="3" t="s">
        <v>17</v>
      </c>
      <c r="D6" s="9">
        <v>30.7</v>
      </c>
      <c r="E6" s="3" t="s">
        <v>18</v>
      </c>
      <c r="F6" s="9">
        <v>11.7</v>
      </c>
      <c r="G6" s="10" t="s">
        <v>19</v>
      </c>
      <c r="H6" s="9">
        <v>0</v>
      </c>
      <c r="I6" s="9"/>
      <c r="J6" s="9"/>
      <c r="K6" s="8" t="s">
        <v>20</v>
      </c>
      <c r="L6" s="9">
        <v>42.4</v>
      </c>
      <c r="M6" s="3" t="s">
        <v>21</v>
      </c>
      <c r="N6" s="9">
        <v>12.4</v>
      </c>
      <c r="O6" s="8" t="s">
        <v>20</v>
      </c>
      <c r="P6" s="9">
        <v>13.4</v>
      </c>
      <c r="Q6" s="10" t="s">
        <v>19</v>
      </c>
    </row>
    <row r="7" spans="1:17" ht="187.2" x14ac:dyDescent="0.25">
      <c r="A7" s="7" t="s">
        <v>52</v>
      </c>
      <c r="B7" s="10" t="s">
        <v>32</v>
      </c>
      <c r="C7" s="3" t="s">
        <v>17</v>
      </c>
      <c r="D7" s="9">
        <v>33.700000000000003</v>
      </c>
      <c r="E7" s="3" t="s">
        <v>18</v>
      </c>
      <c r="F7" s="9">
        <v>45.4</v>
      </c>
      <c r="G7" s="10" t="s">
        <v>19</v>
      </c>
      <c r="H7" s="9">
        <v>0</v>
      </c>
      <c r="I7" s="9"/>
      <c r="J7" s="9"/>
      <c r="K7" s="8" t="s">
        <v>20</v>
      </c>
      <c r="L7" s="9">
        <v>79.099999999999994</v>
      </c>
      <c r="M7" s="3" t="s">
        <v>21</v>
      </c>
      <c r="N7" s="9">
        <v>30.4</v>
      </c>
      <c r="O7" s="8" t="s">
        <v>20</v>
      </c>
      <c r="P7" s="9">
        <v>24.3</v>
      </c>
      <c r="Q7" s="10" t="s">
        <v>19</v>
      </c>
    </row>
    <row r="8" spans="1:17" ht="187.2" x14ac:dyDescent="0.25">
      <c r="A8" s="7" t="s">
        <v>54</v>
      </c>
      <c r="B8" s="8" t="s">
        <v>55</v>
      </c>
      <c r="C8" s="3" t="s">
        <v>17</v>
      </c>
      <c r="D8" s="9">
        <v>69.900000000000006</v>
      </c>
      <c r="E8" s="3" t="s">
        <v>18</v>
      </c>
      <c r="F8" s="9">
        <v>24.3</v>
      </c>
      <c r="G8" s="10" t="s">
        <v>19</v>
      </c>
      <c r="H8" s="9">
        <v>0</v>
      </c>
      <c r="I8" s="9"/>
      <c r="J8" s="9"/>
      <c r="K8" s="8" t="s">
        <v>20</v>
      </c>
      <c r="L8" s="9">
        <v>94.2</v>
      </c>
      <c r="M8" s="3" t="s">
        <v>21</v>
      </c>
      <c r="N8" s="9">
        <v>13</v>
      </c>
      <c r="O8" s="8" t="s">
        <v>20</v>
      </c>
      <c r="P8" s="9">
        <v>29.8</v>
      </c>
      <c r="Q8" s="10" t="s">
        <v>19</v>
      </c>
    </row>
    <row r="9" spans="1:17" ht="187.2" x14ac:dyDescent="0.25">
      <c r="A9" s="17" t="s">
        <v>57</v>
      </c>
      <c r="B9" s="22" t="s">
        <v>28</v>
      </c>
      <c r="C9" s="1" t="s">
        <v>29</v>
      </c>
      <c r="D9" s="21">
        <v>60.3</v>
      </c>
      <c r="E9" s="1" t="s">
        <v>18</v>
      </c>
      <c r="F9" s="19">
        <v>29.4</v>
      </c>
      <c r="G9" s="17" t="s">
        <v>19</v>
      </c>
      <c r="H9" s="21">
        <v>0</v>
      </c>
      <c r="I9" s="85"/>
      <c r="J9" s="85"/>
      <c r="K9" s="17" t="s">
        <v>19</v>
      </c>
      <c r="L9" s="21">
        <v>89.7</v>
      </c>
      <c r="M9" s="22" t="s">
        <v>30</v>
      </c>
      <c r="N9" s="21">
        <v>31.4</v>
      </c>
      <c r="O9" s="17" t="s">
        <v>19</v>
      </c>
      <c r="P9" s="21">
        <v>28.9</v>
      </c>
      <c r="Q9" s="17" t="s">
        <v>19</v>
      </c>
    </row>
    <row r="10" spans="1:17" ht="187.2" x14ac:dyDescent="0.25">
      <c r="A10" s="17" t="s">
        <v>59</v>
      </c>
      <c r="B10" s="22" t="s">
        <v>28</v>
      </c>
      <c r="C10" s="1" t="s">
        <v>29</v>
      </c>
      <c r="D10" s="19">
        <v>337.9</v>
      </c>
      <c r="E10" s="1" t="s">
        <v>18</v>
      </c>
      <c r="F10" s="19">
        <v>126.9</v>
      </c>
      <c r="G10" s="17" t="s">
        <v>19</v>
      </c>
      <c r="H10" s="21">
        <v>0</v>
      </c>
      <c r="I10" s="85"/>
      <c r="J10" s="85"/>
      <c r="K10" s="17" t="s">
        <v>19</v>
      </c>
      <c r="L10" s="19">
        <v>464.7</v>
      </c>
      <c r="M10" s="22" t="s">
        <v>30</v>
      </c>
      <c r="N10" s="19">
        <v>289.10000000000002</v>
      </c>
      <c r="O10" s="17" t="s">
        <v>19</v>
      </c>
      <c r="P10" s="19">
        <v>162</v>
      </c>
      <c r="Q10" s="17" t="s">
        <v>19</v>
      </c>
    </row>
    <row r="11" spans="1:17" ht="187.2" x14ac:dyDescent="0.25">
      <c r="A11" s="17" t="s">
        <v>61</v>
      </c>
      <c r="B11" s="22" t="s">
        <v>28</v>
      </c>
      <c r="C11" s="1" t="s">
        <v>29</v>
      </c>
      <c r="D11" s="19">
        <v>278.8</v>
      </c>
      <c r="E11" s="1" t="s">
        <v>18</v>
      </c>
      <c r="F11" s="19">
        <v>64</v>
      </c>
      <c r="G11" s="17" t="s">
        <v>19</v>
      </c>
      <c r="H11" s="21">
        <v>0</v>
      </c>
      <c r="I11" s="85"/>
      <c r="J11" s="85"/>
      <c r="K11" s="17" t="s">
        <v>19</v>
      </c>
      <c r="L11" s="19">
        <v>342.8</v>
      </c>
      <c r="M11" s="22" t="s">
        <v>30</v>
      </c>
      <c r="N11" s="19">
        <v>259.2</v>
      </c>
      <c r="O11" s="17" t="s">
        <v>19</v>
      </c>
      <c r="P11" s="21">
        <v>111.1</v>
      </c>
      <c r="Q11" s="17" t="s">
        <v>19</v>
      </c>
    </row>
    <row r="12" spans="1:17" ht="187.2" x14ac:dyDescent="0.25">
      <c r="A12" s="17" t="s">
        <v>62</v>
      </c>
      <c r="B12" s="22" t="s">
        <v>28</v>
      </c>
      <c r="C12" s="1" t="s">
        <v>29</v>
      </c>
      <c r="D12" s="21">
        <v>32.799999999999997</v>
      </c>
      <c r="E12" s="1" t="s">
        <v>18</v>
      </c>
      <c r="F12" s="19">
        <v>40.700000000000003</v>
      </c>
      <c r="G12" s="17" t="s">
        <v>19</v>
      </c>
      <c r="H12" s="21">
        <v>0</v>
      </c>
      <c r="I12" s="85"/>
      <c r="J12" s="85"/>
      <c r="K12" s="17" t="s">
        <v>19</v>
      </c>
      <c r="L12" s="21">
        <v>73.5</v>
      </c>
      <c r="M12" s="22" t="s">
        <v>30</v>
      </c>
      <c r="N12" s="19">
        <v>26.4</v>
      </c>
      <c r="O12" s="17" t="s">
        <v>19</v>
      </c>
      <c r="P12" s="21">
        <v>24.1</v>
      </c>
      <c r="Q12" s="17" t="s">
        <v>19</v>
      </c>
    </row>
    <row r="13" spans="1:17" ht="187.2" x14ac:dyDescent="0.25">
      <c r="A13" s="7" t="s">
        <v>48</v>
      </c>
      <c r="B13" s="10" t="s">
        <v>25</v>
      </c>
      <c r="C13" s="3" t="s">
        <v>17</v>
      </c>
      <c r="D13" s="9">
        <v>89.7</v>
      </c>
      <c r="E13" s="3" t="s">
        <v>18</v>
      </c>
      <c r="F13" s="9">
        <v>52.7</v>
      </c>
      <c r="G13" s="10" t="s">
        <v>19</v>
      </c>
      <c r="H13" s="11">
        <v>0</v>
      </c>
      <c r="I13" s="12"/>
      <c r="J13" s="83"/>
      <c r="K13" s="13" t="s">
        <v>20</v>
      </c>
      <c r="L13" s="14">
        <v>142.30000000000001</v>
      </c>
      <c r="M13" s="6" t="s">
        <v>21</v>
      </c>
      <c r="N13" s="9">
        <v>126</v>
      </c>
      <c r="O13" s="8" t="s">
        <v>20</v>
      </c>
      <c r="P13" s="14">
        <v>56.4</v>
      </c>
      <c r="Q13" s="16" t="s">
        <v>19</v>
      </c>
    </row>
    <row r="14" spans="1:17" ht="187.2" x14ac:dyDescent="0.25">
      <c r="A14" s="7" t="s">
        <v>51</v>
      </c>
      <c r="B14" s="10" t="s">
        <v>25</v>
      </c>
      <c r="C14" s="3" t="s">
        <v>17</v>
      </c>
      <c r="D14" s="9">
        <v>26.4</v>
      </c>
      <c r="E14" s="3" t="s">
        <v>18</v>
      </c>
      <c r="F14" s="9">
        <v>92.5</v>
      </c>
      <c r="G14" s="10" t="s">
        <v>19</v>
      </c>
      <c r="H14" s="11">
        <v>0</v>
      </c>
      <c r="I14" s="12"/>
      <c r="J14" s="83"/>
      <c r="K14" s="13" t="s">
        <v>20</v>
      </c>
      <c r="L14" s="14">
        <v>118.9</v>
      </c>
      <c r="M14" s="6" t="s">
        <v>21</v>
      </c>
      <c r="N14" s="9">
        <v>70.7</v>
      </c>
      <c r="O14" s="8" t="s">
        <v>20</v>
      </c>
      <c r="P14" s="14">
        <v>38.799999999999997</v>
      </c>
      <c r="Q14" s="16" t="s">
        <v>19</v>
      </c>
    </row>
    <row r="15" spans="1:17" ht="187.2" x14ac:dyDescent="0.25">
      <c r="A15" s="7" t="s">
        <v>53</v>
      </c>
      <c r="B15" s="8" t="s">
        <v>28</v>
      </c>
      <c r="C15" s="3" t="s">
        <v>29</v>
      </c>
      <c r="D15" s="9">
        <v>210.2</v>
      </c>
      <c r="E15" s="3" t="s">
        <v>18</v>
      </c>
      <c r="F15" s="9">
        <v>94.2</v>
      </c>
      <c r="G15" s="10" t="s">
        <v>19</v>
      </c>
      <c r="H15" s="11">
        <v>0</v>
      </c>
      <c r="I15" s="12"/>
      <c r="J15" s="83"/>
      <c r="K15" s="16" t="s">
        <v>19</v>
      </c>
      <c r="L15" s="14">
        <v>304.3</v>
      </c>
      <c r="M15" s="13" t="s">
        <v>30</v>
      </c>
      <c r="N15" s="9">
        <v>242</v>
      </c>
      <c r="O15" s="10" t="s">
        <v>19</v>
      </c>
      <c r="P15" s="14">
        <v>99.1</v>
      </c>
      <c r="Q15" s="16" t="s">
        <v>19</v>
      </c>
    </row>
    <row r="16" spans="1:17" ht="230.4" x14ac:dyDescent="0.25">
      <c r="A16" s="17" t="s">
        <v>56</v>
      </c>
      <c r="B16" s="17" t="s">
        <v>32</v>
      </c>
      <c r="C16" s="1" t="s">
        <v>17</v>
      </c>
      <c r="D16" s="19">
        <v>261.60000000000002</v>
      </c>
      <c r="E16" s="1" t="s">
        <v>18</v>
      </c>
      <c r="F16" s="19">
        <v>130.30000000000001</v>
      </c>
      <c r="G16" s="1" t="s">
        <v>33</v>
      </c>
      <c r="H16" s="24">
        <v>3.8</v>
      </c>
      <c r="I16" s="25"/>
      <c r="J16" s="88"/>
      <c r="K16" s="30" t="s">
        <v>20</v>
      </c>
      <c r="L16" s="32">
        <v>395.7</v>
      </c>
      <c r="M16" s="34" t="s">
        <v>21</v>
      </c>
      <c r="N16" s="19">
        <v>180.7</v>
      </c>
      <c r="O16" s="22" t="s">
        <v>20</v>
      </c>
      <c r="P16" s="32">
        <v>123.9</v>
      </c>
      <c r="Q16" s="28" t="s">
        <v>19</v>
      </c>
    </row>
    <row r="17" spans="1:17" ht="14.4" x14ac:dyDescent="0.25">
      <c r="A17" s="18"/>
      <c r="B17" s="18"/>
      <c r="C17" s="4"/>
      <c r="D17" s="20"/>
      <c r="E17" s="4"/>
      <c r="F17" s="20"/>
      <c r="G17" s="4"/>
      <c r="H17" s="26"/>
      <c r="I17" s="27"/>
      <c r="J17" s="89"/>
      <c r="K17" s="31"/>
      <c r="L17" s="33"/>
      <c r="M17" s="36"/>
      <c r="N17" s="20"/>
      <c r="O17" s="23"/>
      <c r="P17" s="33"/>
      <c r="Q17" s="29"/>
    </row>
    <row r="18" spans="1:17" ht="187.2" x14ac:dyDescent="0.25">
      <c r="A18" s="17" t="s">
        <v>58</v>
      </c>
      <c r="B18" s="22" t="s">
        <v>28</v>
      </c>
      <c r="C18" s="1" t="s">
        <v>29</v>
      </c>
      <c r="D18" s="19">
        <v>114.6</v>
      </c>
      <c r="E18" s="1" t="s">
        <v>18</v>
      </c>
      <c r="F18" s="21">
        <v>76.2</v>
      </c>
      <c r="G18" s="17" t="s">
        <v>19</v>
      </c>
      <c r="H18" s="24">
        <v>0</v>
      </c>
      <c r="I18" s="25"/>
      <c r="J18" s="88"/>
      <c r="K18" s="28" t="s">
        <v>19</v>
      </c>
      <c r="L18" s="32">
        <v>190.8</v>
      </c>
      <c r="M18" s="30" t="s">
        <v>30</v>
      </c>
      <c r="N18" s="19">
        <v>103.5</v>
      </c>
      <c r="O18" s="17" t="s">
        <v>19</v>
      </c>
      <c r="P18" s="32">
        <v>62.1</v>
      </c>
      <c r="Q18" s="28" t="s">
        <v>19</v>
      </c>
    </row>
    <row r="19" spans="1:17" ht="187.2" x14ac:dyDescent="0.25">
      <c r="A19" s="17" t="s">
        <v>60</v>
      </c>
      <c r="B19" s="22" t="s">
        <v>28</v>
      </c>
      <c r="C19" s="1" t="s">
        <v>29</v>
      </c>
      <c r="D19" s="19">
        <v>185.8</v>
      </c>
      <c r="E19" s="1" t="s">
        <v>18</v>
      </c>
      <c r="F19" s="21">
        <v>41.3</v>
      </c>
      <c r="G19" s="17" t="s">
        <v>19</v>
      </c>
      <c r="H19" s="24">
        <v>0</v>
      </c>
      <c r="I19" s="25"/>
      <c r="J19" s="88"/>
      <c r="K19" s="28" t="s">
        <v>19</v>
      </c>
      <c r="L19" s="32">
        <v>227.1</v>
      </c>
      <c r="M19" s="30" t="s">
        <v>30</v>
      </c>
      <c r="N19" s="19">
        <v>181.1</v>
      </c>
      <c r="O19" s="17" t="s">
        <v>19</v>
      </c>
      <c r="P19" s="32">
        <v>71</v>
      </c>
      <c r="Q19" s="28" t="s">
        <v>19</v>
      </c>
    </row>
  </sheetData>
  <mergeCells count="16"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9" ht="31.5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29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9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1" t="s">
        <v>10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9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9" ht="144" x14ac:dyDescent="0.25">
      <c r="A5" s="102" t="s">
        <v>65</v>
      </c>
      <c r="B5" s="102" t="s">
        <v>66</v>
      </c>
      <c r="C5" s="97" t="s">
        <v>67</v>
      </c>
      <c r="D5" s="101">
        <v>5.6</v>
      </c>
      <c r="E5" s="101"/>
      <c r="F5" s="101"/>
      <c r="G5" s="102" t="s">
        <v>19</v>
      </c>
      <c r="H5" s="101">
        <v>0</v>
      </c>
      <c r="I5" s="102" t="s">
        <v>19</v>
      </c>
      <c r="J5" s="101">
        <v>0</v>
      </c>
      <c r="K5" s="102" t="s">
        <v>19</v>
      </c>
      <c r="L5" s="101">
        <v>0</v>
      </c>
      <c r="M5" s="97" t="s">
        <v>26</v>
      </c>
      <c r="N5" s="101">
        <v>5.4</v>
      </c>
      <c r="O5" s="100" t="s">
        <v>20</v>
      </c>
      <c r="P5" s="101">
        <v>11</v>
      </c>
      <c r="Q5" s="97" t="s">
        <v>21</v>
      </c>
      <c r="R5" s="101">
        <v>13.4</v>
      </c>
      <c r="S5" s="100" t="s">
        <v>20</v>
      </c>
      <c r="T5" s="101">
        <v>7.7</v>
      </c>
      <c r="U5" s="97" t="s">
        <v>68</v>
      </c>
      <c r="AC5" s="95"/>
    </row>
    <row r="6" spans="1:29" ht="86.4" x14ac:dyDescent="0.25">
      <c r="A6" s="102" t="s">
        <v>69</v>
      </c>
      <c r="B6" s="97" t="s">
        <v>70</v>
      </c>
      <c r="C6" s="97" t="s">
        <v>67</v>
      </c>
      <c r="D6" s="101">
        <v>11.6</v>
      </c>
      <c r="E6" s="101"/>
      <c r="F6" s="101"/>
      <c r="G6" s="97" t="s">
        <v>71</v>
      </c>
      <c r="H6" s="101">
        <v>6.3</v>
      </c>
      <c r="I6" s="102" t="s">
        <v>19</v>
      </c>
      <c r="J6" s="101">
        <v>0</v>
      </c>
      <c r="K6" s="97" t="s">
        <v>71</v>
      </c>
      <c r="L6" s="101">
        <v>15.1</v>
      </c>
      <c r="M6" s="102" t="s">
        <v>19</v>
      </c>
      <c r="N6" s="101">
        <v>0</v>
      </c>
      <c r="O6" s="100" t="s">
        <v>20</v>
      </c>
      <c r="P6" s="101">
        <v>32.9</v>
      </c>
      <c r="Q6" s="110" t="s">
        <v>30</v>
      </c>
      <c r="R6" s="101">
        <v>17.600000000000001</v>
      </c>
      <c r="S6" s="100" t="s">
        <v>20</v>
      </c>
      <c r="T6" s="101">
        <v>14</v>
      </c>
      <c r="U6" s="97" t="s">
        <v>68</v>
      </c>
      <c r="AC6" s="95"/>
    </row>
    <row r="7" spans="1:29" ht="86.4" x14ac:dyDescent="0.25">
      <c r="A7" s="102" t="s">
        <v>72</v>
      </c>
      <c r="B7" s="100" t="s">
        <v>73</v>
      </c>
      <c r="C7" s="102" t="s">
        <v>19</v>
      </c>
      <c r="D7" s="101">
        <v>0</v>
      </c>
      <c r="E7" s="101"/>
      <c r="F7" s="101"/>
      <c r="G7" s="102" t="s">
        <v>19</v>
      </c>
      <c r="H7" s="101">
        <v>0</v>
      </c>
      <c r="I7" s="102" t="s">
        <v>19</v>
      </c>
      <c r="J7" s="101">
        <v>0</v>
      </c>
      <c r="K7" s="97" t="s">
        <v>74</v>
      </c>
      <c r="L7" s="101">
        <v>27.1</v>
      </c>
      <c r="M7" s="102" t="s">
        <v>19</v>
      </c>
      <c r="N7" s="101">
        <v>0</v>
      </c>
      <c r="O7" s="100" t="s">
        <v>20</v>
      </c>
      <c r="P7" s="101">
        <v>27.1</v>
      </c>
      <c r="Q7" s="97" t="s">
        <v>21</v>
      </c>
      <c r="R7" s="101">
        <v>5.8</v>
      </c>
      <c r="S7" s="100" t="s">
        <v>20</v>
      </c>
      <c r="T7" s="101">
        <v>8.5</v>
      </c>
      <c r="U7" s="97" t="s">
        <v>68</v>
      </c>
      <c r="AC7" s="95"/>
    </row>
    <row r="8" spans="1:29" ht="144" x14ac:dyDescent="0.25">
      <c r="A8" s="102" t="s">
        <v>75</v>
      </c>
      <c r="B8" s="97" t="s">
        <v>76</v>
      </c>
      <c r="C8" s="97" t="s">
        <v>67</v>
      </c>
      <c r="D8" s="101">
        <v>266.7</v>
      </c>
      <c r="E8" s="101"/>
      <c r="F8" s="101"/>
      <c r="G8" s="97" t="s">
        <v>71</v>
      </c>
      <c r="H8" s="101">
        <v>166.5</v>
      </c>
      <c r="I8" s="97" t="s">
        <v>77</v>
      </c>
      <c r="J8" s="101">
        <v>4.3</v>
      </c>
      <c r="K8" s="97" t="s">
        <v>71</v>
      </c>
      <c r="L8" s="101">
        <v>7.1</v>
      </c>
      <c r="M8" s="102" t="s">
        <v>19</v>
      </c>
      <c r="N8" s="101">
        <v>0</v>
      </c>
      <c r="O8" s="100" t="s">
        <v>20</v>
      </c>
      <c r="P8" s="101">
        <v>444.7</v>
      </c>
      <c r="Q8" s="97" t="s">
        <v>21</v>
      </c>
      <c r="R8" s="101">
        <v>357.2</v>
      </c>
      <c r="S8" s="100" t="s">
        <v>20</v>
      </c>
      <c r="T8" s="101">
        <v>88.6</v>
      </c>
      <c r="U8" s="97" t="s">
        <v>68</v>
      </c>
      <c r="AC8" s="95"/>
    </row>
    <row r="9" spans="1:29" ht="86.4" x14ac:dyDescent="0.25">
      <c r="A9" s="102" t="s">
        <v>78</v>
      </c>
      <c r="B9" s="100" t="s">
        <v>79</v>
      </c>
      <c r="C9" s="97" t="s">
        <v>67</v>
      </c>
      <c r="D9" s="101">
        <v>26.5</v>
      </c>
      <c r="E9" s="101"/>
      <c r="F9" s="101"/>
      <c r="G9" s="97" t="s">
        <v>71</v>
      </c>
      <c r="H9" s="101">
        <v>28.2</v>
      </c>
      <c r="I9" s="102" t="s">
        <v>19</v>
      </c>
      <c r="J9" s="101">
        <v>0</v>
      </c>
      <c r="K9" s="97" t="s">
        <v>71</v>
      </c>
      <c r="L9" s="101">
        <v>14</v>
      </c>
      <c r="M9" s="102" t="s">
        <v>19</v>
      </c>
      <c r="N9" s="101">
        <v>0</v>
      </c>
      <c r="O9" s="100" t="s">
        <v>20</v>
      </c>
      <c r="P9" s="101">
        <v>68.7</v>
      </c>
      <c r="Q9" s="110" t="s">
        <v>30</v>
      </c>
      <c r="R9" s="101">
        <v>22.1</v>
      </c>
      <c r="S9" s="100" t="s">
        <v>20</v>
      </c>
      <c r="T9" s="101">
        <v>19</v>
      </c>
      <c r="U9" s="97" t="s">
        <v>68</v>
      </c>
      <c r="AC9" s="95"/>
    </row>
    <row r="10" spans="1:29" ht="86.4" x14ac:dyDescent="0.25">
      <c r="A10" s="102" t="s">
        <v>80</v>
      </c>
      <c r="B10" s="100" t="s">
        <v>81</v>
      </c>
      <c r="C10" s="102" t="s">
        <v>19</v>
      </c>
      <c r="D10" s="101">
        <v>0</v>
      </c>
      <c r="E10" s="101"/>
      <c r="F10" s="101"/>
      <c r="G10" s="97" t="s">
        <v>74</v>
      </c>
      <c r="H10" s="101">
        <v>15</v>
      </c>
      <c r="I10" s="102" t="s">
        <v>19</v>
      </c>
      <c r="J10" s="101">
        <v>0</v>
      </c>
      <c r="K10" s="97" t="s">
        <v>74</v>
      </c>
      <c r="L10" s="101">
        <v>21.5</v>
      </c>
      <c r="M10" s="102" t="s">
        <v>19</v>
      </c>
      <c r="N10" s="101">
        <v>0</v>
      </c>
      <c r="O10" s="100" t="s">
        <v>20</v>
      </c>
      <c r="P10" s="101">
        <v>36.5</v>
      </c>
      <c r="Q10" s="97" t="s">
        <v>21</v>
      </c>
      <c r="R10" s="101">
        <v>5.9</v>
      </c>
      <c r="S10" s="100" t="s">
        <v>20</v>
      </c>
      <c r="T10" s="101">
        <v>9</v>
      </c>
      <c r="U10" s="97" t="s">
        <v>68</v>
      </c>
      <c r="AC10" s="95"/>
    </row>
    <row r="11" spans="1:29" ht="86.4" x14ac:dyDescent="0.25">
      <c r="A11" s="102" t="s">
        <v>82</v>
      </c>
      <c r="B11" s="100" t="s">
        <v>83</v>
      </c>
      <c r="C11" s="97" t="s">
        <v>67</v>
      </c>
      <c r="D11" s="101">
        <v>12.4</v>
      </c>
      <c r="E11" s="101"/>
      <c r="F11" s="101"/>
      <c r="G11" s="97" t="s">
        <v>71</v>
      </c>
      <c r="H11" s="101">
        <v>34.299999999999997</v>
      </c>
      <c r="I11" s="102" t="s">
        <v>19</v>
      </c>
      <c r="J11" s="101">
        <v>0</v>
      </c>
      <c r="K11" s="102" t="s">
        <v>19</v>
      </c>
      <c r="L11" s="101">
        <v>0</v>
      </c>
      <c r="M11" s="102" t="s">
        <v>19</v>
      </c>
      <c r="N11" s="101">
        <v>0</v>
      </c>
      <c r="O11" s="100" t="s">
        <v>20</v>
      </c>
      <c r="P11" s="101">
        <v>46.7</v>
      </c>
      <c r="Q11" s="110" t="s">
        <v>30</v>
      </c>
      <c r="R11" s="101">
        <v>10</v>
      </c>
      <c r="S11" s="100" t="s">
        <v>20</v>
      </c>
      <c r="T11" s="101">
        <v>11.7</v>
      </c>
      <c r="U11" s="97" t="s">
        <v>68</v>
      </c>
      <c r="AC11" s="95"/>
    </row>
    <row r="12" spans="1:29" ht="86.4" x14ac:dyDescent="0.25">
      <c r="A12" s="102" t="s">
        <v>84</v>
      </c>
      <c r="B12" s="100" t="s">
        <v>85</v>
      </c>
      <c r="C12" s="97" t="s">
        <v>67</v>
      </c>
      <c r="D12" s="101">
        <v>72.900000000000006</v>
      </c>
      <c r="E12" s="101"/>
      <c r="F12" s="101"/>
      <c r="G12" s="97" t="s">
        <v>71</v>
      </c>
      <c r="H12" s="101">
        <v>66.099999999999994</v>
      </c>
      <c r="I12" s="102" t="s">
        <v>19</v>
      </c>
      <c r="J12" s="101">
        <v>0</v>
      </c>
      <c r="K12" s="97" t="s">
        <v>71</v>
      </c>
      <c r="L12" s="101">
        <v>16.5</v>
      </c>
      <c r="M12" s="102" t="s">
        <v>19</v>
      </c>
      <c r="N12" s="101">
        <v>0</v>
      </c>
      <c r="O12" s="100" t="s">
        <v>20</v>
      </c>
      <c r="P12" s="101">
        <v>155.5</v>
      </c>
      <c r="Q12" s="110" t="s">
        <v>30</v>
      </c>
      <c r="R12" s="101">
        <v>105.4</v>
      </c>
      <c r="S12" s="100" t="s">
        <v>20</v>
      </c>
      <c r="T12" s="101">
        <v>48.2</v>
      </c>
      <c r="U12" s="97" t="s">
        <v>68</v>
      </c>
      <c r="AC12" s="95"/>
    </row>
    <row r="13" spans="1:29" ht="86.4" x14ac:dyDescent="0.25">
      <c r="A13" s="102" t="s">
        <v>86</v>
      </c>
      <c r="B13" s="100" t="s">
        <v>87</v>
      </c>
      <c r="C13" s="97" t="s">
        <v>67</v>
      </c>
      <c r="D13" s="101">
        <v>40.1</v>
      </c>
      <c r="E13" s="101"/>
      <c r="F13" s="101"/>
      <c r="G13" s="97" t="s">
        <v>71</v>
      </c>
      <c r="H13" s="101">
        <v>70.099999999999994</v>
      </c>
      <c r="I13" s="102" t="s">
        <v>19</v>
      </c>
      <c r="J13" s="101">
        <v>0</v>
      </c>
      <c r="K13" s="97" t="s">
        <v>71</v>
      </c>
      <c r="L13" s="101">
        <v>8.4</v>
      </c>
      <c r="M13" s="102" t="s">
        <v>19</v>
      </c>
      <c r="N13" s="101">
        <v>0</v>
      </c>
      <c r="O13" s="100" t="s">
        <v>20</v>
      </c>
      <c r="P13" s="101">
        <v>118.6</v>
      </c>
      <c r="Q13" s="110" t="s">
        <v>30</v>
      </c>
      <c r="R13" s="101">
        <v>62.9</v>
      </c>
      <c r="S13" s="100" t="s">
        <v>20</v>
      </c>
      <c r="T13" s="101">
        <v>34.6</v>
      </c>
      <c r="U13" s="97" t="s">
        <v>68</v>
      </c>
      <c r="AC13" s="95"/>
    </row>
  </sheetData>
  <mergeCells count="15">
    <mergeCell ref="A1:U1"/>
    <mergeCell ref="M3:N3"/>
    <mergeCell ref="O3:P3"/>
    <mergeCell ref="Q3:Q4"/>
    <mergeCell ref="R3:R4"/>
    <mergeCell ref="S3:S4"/>
    <mergeCell ref="T3:T4"/>
    <mergeCell ref="A2:A4"/>
    <mergeCell ref="B2:B4"/>
    <mergeCell ref="C2:L2"/>
    <mergeCell ref="Q2:R2"/>
    <mergeCell ref="S2:T2"/>
    <mergeCell ref="C3:D3"/>
    <mergeCell ref="E3:F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21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1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1" t="s">
        <v>10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1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1" ht="86.4" x14ac:dyDescent="0.25">
      <c r="A5" s="10" t="s">
        <v>88</v>
      </c>
      <c r="B5" s="8" t="s">
        <v>87</v>
      </c>
      <c r="C5" s="3" t="s">
        <v>67</v>
      </c>
      <c r="D5" s="9">
        <v>55.6</v>
      </c>
      <c r="E5" s="9"/>
      <c r="F5" s="9"/>
      <c r="G5" s="3" t="s">
        <v>71</v>
      </c>
      <c r="H5" s="9">
        <v>47.3</v>
      </c>
      <c r="I5" s="9"/>
      <c r="J5" s="9"/>
      <c r="K5" s="3" t="s">
        <v>71</v>
      </c>
      <c r="L5" s="9">
        <v>6.6</v>
      </c>
      <c r="M5" s="9"/>
      <c r="N5" s="9"/>
      <c r="O5" s="8" t="s">
        <v>20</v>
      </c>
      <c r="P5" s="9">
        <v>109.5</v>
      </c>
      <c r="Q5" s="51" t="s">
        <v>30</v>
      </c>
      <c r="R5" s="9">
        <v>64.3</v>
      </c>
      <c r="S5" s="8" t="s">
        <v>20</v>
      </c>
      <c r="T5" s="9">
        <v>32.4</v>
      </c>
      <c r="U5" s="3" t="s">
        <v>68</v>
      </c>
    </row>
    <row r="6" spans="1:21" ht="86.4" x14ac:dyDescent="0.25">
      <c r="A6" s="10" t="s">
        <v>91</v>
      </c>
      <c r="B6" s="8" t="s">
        <v>87</v>
      </c>
      <c r="C6" s="3" t="s">
        <v>67</v>
      </c>
      <c r="D6" s="9">
        <v>92.6</v>
      </c>
      <c r="E6" s="9"/>
      <c r="F6" s="9"/>
      <c r="G6" s="3" t="s">
        <v>71</v>
      </c>
      <c r="H6" s="9">
        <v>11.6</v>
      </c>
      <c r="I6" s="9"/>
      <c r="J6" s="9"/>
      <c r="K6" s="3" t="s">
        <v>71</v>
      </c>
      <c r="L6" s="9">
        <v>8.5</v>
      </c>
      <c r="M6" s="9"/>
      <c r="N6" s="9"/>
      <c r="O6" s="8" t="s">
        <v>20</v>
      </c>
      <c r="P6" s="9">
        <v>112.7</v>
      </c>
      <c r="Q6" s="51" t="s">
        <v>30</v>
      </c>
      <c r="R6" s="9">
        <v>64.400000000000006</v>
      </c>
      <c r="S6" s="8" t="s">
        <v>20</v>
      </c>
      <c r="T6" s="9">
        <v>32.6</v>
      </c>
      <c r="U6" s="3" t="s">
        <v>68</v>
      </c>
    </row>
    <row r="7" spans="1:21" ht="86.4" x14ac:dyDescent="0.25">
      <c r="A7" s="17" t="s">
        <v>95</v>
      </c>
      <c r="B7" s="22" t="s">
        <v>96</v>
      </c>
      <c r="C7" s="1" t="s">
        <v>67</v>
      </c>
      <c r="D7" s="19">
        <v>121.5</v>
      </c>
      <c r="E7" s="84"/>
      <c r="F7" s="84"/>
      <c r="G7" s="1" t="s">
        <v>71</v>
      </c>
      <c r="H7" s="19">
        <v>24.2</v>
      </c>
      <c r="I7" s="84"/>
      <c r="J7" s="84"/>
      <c r="K7" s="1" t="s">
        <v>71</v>
      </c>
      <c r="L7" s="21">
        <v>28.6</v>
      </c>
      <c r="M7" s="85"/>
      <c r="N7" s="85"/>
      <c r="O7" s="22" t="s">
        <v>20</v>
      </c>
      <c r="P7" s="19">
        <v>174.2</v>
      </c>
      <c r="Q7" s="22" t="s">
        <v>30</v>
      </c>
      <c r="R7" s="19">
        <v>131.19999999999999</v>
      </c>
      <c r="S7" s="22" t="s">
        <v>20</v>
      </c>
      <c r="T7" s="19">
        <v>46</v>
      </c>
      <c r="U7" s="1" t="s">
        <v>68</v>
      </c>
    </row>
    <row r="8" spans="1:21" ht="86.4" x14ac:dyDescent="0.25">
      <c r="A8" s="17" t="s">
        <v>99</v>
      </c>
      <c r="B8" s="22" t="s">
        <v>100</v>
      </c>
      <c r="C8" s="1" t="s">
        <v>94</v>
      </c>
      <c r="D8" s="21">
        <v>50.1</v>
      </c>
      <c r="E8" s="85"/>
      <c r="F8" s="85"/>
      <c r="G8" s="17" t="s">
        <v>19</v>
      </c>
      <c r="H8" s="21">
        <v>0</v>
      </c>
      <c r="I8" s="85"/>
      <c r="J8" s="85"/>
      <c r="K8" s="1" t="s">
        <v>74</v>
      </c>
      <c r="L8" s="21">
        <v>30.1</v>
      </c>
      <c r="M8" s="85"/>
      <c r="N8" s="85"/>
      <c r="O8" s="22" t="s">
        <v>20</v>
      </c>
      <c r="P8" s="21">
        <v>80.2</v>
      </c>
      <c r="Q8" s="1" t="s">
        <v>21</v>
      </c>
      <c r="R8" s="21">
        <v>15.8</v>
      </c>
      <c r="S8" s="22" t="s">
        <v>20</v>
      </c>
      <c r="T8" s="21">
        <v>20.3</v>
      </c>
      <c r="U8" s="1" t="s">
        <v>68</v>
      </c>
    </row>
    <row r="9" spans="1:21" ht="86.4" x14ac:dyDescent="0.25">
      <c r="A9" s="17" t="s">
        <v>103</v>
      </c>
      <c r="B9" s="22" t="s">
        <v>81</v>
      </c>
      <c r="C9" s="1" t="s">
        <v>94</v>
      </c>
      <c r="D9" s="21">
        <v>7.2</v>
      </c>
      <c r="E9" s="85"/>
      <c r="F9" s="85"/>
      <c r="G9" s="17" t="s">
        <v>19</v>
      </c>
      <c r="H9" s="21">
        <v>0</v>
      </c>
      <c r="I9" s="85"/>
      <c r="J9" s="85"/>
      <c r="K9" s="1" t="s">
        <v>74</v>
      </c>
      <c r="L9" s="21">
        <v>27.6</v>
      </c>
      <c r="M9" s="85"/>
      <c r="N9" s="85"/>
      <c r="O9" s="22" t="s">
        <v>20</v>
      </c>
      <c r="P9" s="19">
        <v>34.799999999999997</v>
      </c>
      <c r="Q9" s="1" t="s">
        <v>21</v>
      </c>
      <c r="R9" s="21">
        <v>5.4</v>
      </c>
      <c r="S9" s="22" t="s">
        <v>20</v>
      </c>
      <c r="T9" s="21">
        <v>8.1999999999999993</v>
      </c>
      <c r="U9" s="1" t="s">
        <v>68</v>
      </c>
    </row>
    <row r="10" spans="1:21" ht="86.4" x14ac:dyDescent="0.25">
      <c r="A10" s="17" t="s">
        <v>106</v>
      </c>
      <c r="B10" s="22" t="s">
        <v>107</v>
      </c>
      <c r="C10" s="1" t="s">
        <v>94</v>
      </c>
      <c r="D10" s="19">
        <v>49.9</v>
      </c>
      <c r="E10" s="84"/>
      <c r="F10" s="84"/>
      <c r="G10" s="17" t="s">
        <v>19</v>
      </c>
      <c r="H10" s="21">
        <v>0</v>
      </c>
      <c r="I10" s="85"/>
      <c r="J10" s="85"/>
      <c r="K10" s="1" t="s">
        <v>74</v>
      </c>
      <c r="L10" s="19">
        <v>30.4</v>
      </c>
      <c r="M10" s="84"/>
      <c r="N10" s="84"/>
      <c r="O10" s="22" t="s">
        <v>20</v>
      </c>
      <c r="P10" s="21">
        <v>80.3</v>
      </c>
      <c r="Q10" s="1" t="s">
        <v>21</v>
      </c>
      <c r="R10" s="21">
        <v>15.8</v>
      </c>
      <c r="S10" s="22" t="s">
        <v>20</v>
      </c>
      <c r="T10" s="21">
        <v>20.2</v>
      </c>
      <c r="U10" s="1" t="s">
        <v>68</v>
      </c>
    </row>
    <row r="11" spans="1:21" ht="86.4" x14ac:dyDescent="0.25">
      <c r="A11" s="17" t="s">
        <v>110</v>
      </c>
      <c r="B11" s="22" t="s">
        <v>111</v>
      </c>
      <c r="C11" s="1" t="s">
        <v>94</v>
      </c>
      <c r="D11" s="21">
        <v>1.1000000000000001</v>
      </c>
      <c r="E11" s="85"/>
      <c r="F11" s="85"/>
      <c r="G11" s="1" t="s">
        <v>74</v>
      </c>
      <c r="H11" s="21">
        <v>4.8</v>
      </c>
      <c r="I11" s="85"/>
      <c r="J11" s="85"/>
      <c r="K11" s="1" t="s">
        <v>74</v>
      </c>
      <c r="L11" s="21">
        <v>16.7</v>
      </c>
      <c r="M11" s="85"/>
      <c r="N11" s="85"/>
      <c r="O11" s="22" t="s">
        <v>20</v>
      </c>
      <c r="P11" s="21">
        <v>22.7</v>
      </c>
      <c r="Q11" s="22" t="s">
        <v>30</v>
      </c>
      <c r="R11" s="21">
        <v>2.4</v>
      </c>
      <c r="S11" s="22" t="s">
        <v>20</v>
      </c>
      <c r="T11" s="21">
        <v>5.3</v>
      </c>
      <c r="U11" s="1" t="s">
        <v>68</v>
      </c>
    </row>
    <row r="12" spans="1:21" ht="86.4" x14ac:dyDescent="0.25">
      <c r="A12" s="17" t="s">
        <v>114</v>
      </c>
      <c r="B12" s="22" t="s">
        <v>115</v>
      </c>
      <c r="C12" s="1" t="s">
        <v>94</v>
      </c>
      <c r="D12" s="21">
        <v>18.600000000000001</v>
      </c>
      <c r="E12" s="85"/>
      <c r="F12" s="85"/>
      <c r="G12" s="17" t="s">
        <v>19</v>
      </c>
      <c r="H12" s="21">
        <v>0</v>
      </c>
      <c r="I12" s="85"/>
      <c r="J12" s="85"/>
      <c r="K12" s="1" t="s">
        <v>74</v>
      </c>
      <c r="L12" s="19">
        <v>40.799999999999997</v>
      </c>
      <c r="M12" s="84"/>
      <c r="N12" s="84"/>
      <c r="O12" s="22" t="s">
        <v>20</v>
      </c>
      <c r="P12" s="19">
        <v>59.4</v>
      </c>
      <c r="Q12" s="1" t="s">
        <v>21</v>
      </c>
      <c r="R12" s="21">
        <v>13.9</v>
      </c>
      <c r="S12" s="22" t="s">
        <v>20</v>
      </c>
      <c r="T12" s="21">
        <v>16.2</v>
      </c>
      <c r="U12" s="1" t="s">
        <v>68</v>
      </c>
    </row>
    <row r="13" spans="1:21" ht="86.4" x14ac:dyDescent="0.25">
      <c r="A13" s="17" t="s">
        <v>118</v>
      </c>
      <c r="B13" s="22" t="s">
        <v>119</v>
      </c>
      <c r="C13" s="1" t="s">
        <v>94</v>
      </c>
      <c r="D13" s="21">
        <v>7.2</v>
      </c>
      <c r="E13" s="85"/>
      <c r="F13" s="85"/>
      <c r="G13" s="17" t="s">
        <v>19</v>
      </c>
      <c r="H13" s="21">
        <v>0</v>
      </c>
      <c r="I13" s="85"/>
      <c r="J13" s="85"/>
      <c r="K13" s="1" t="s">
        <v>74</v>
      </c>
      <c r="L13" s="21">
        <v>50.8</v>
      </c>
      <c r="M13" s="85"/>
      <c r="N13" s="85"/>
      <c r="O13" s="22" t="s">
        <v>20</v>
      </c>
      <c r="P13" s="21">
        <v>58</v>
      </c>
      <c r="Q13" s="1" t="s">
        <v>21</v>
      </c>
      <c r="R13" s="21">
        <v>13.9</v>
      </c>
      <c r="S13" s="22" t="s">
        <v>20</v>
      </c>
      <c r="T13" s="21">
        <v>15.4</v>
      </c>
      <c r="U13" s="1" t="s">
        <v>68</v>
      </c>
    </row>
    <row r="14" spans="1:21" ht="86.4" x14ac:dyDescent="0.25">
      <c r="A14" s="7" t="s">
        <v>89</v>
      </c>
      <c r="B14" s="10" t="s">
        <v>90</v>
      </c>
      <c r="C14" s="3" t="s">
        <v>67</v>
      </c>
      <c r="D14" s="52">
        <v>7.4</v>
      </c>
      <c r="E14" s="52"/>
      <c r="F14" s="52"/>
      <c r="G14" s="3" t="s">
        <v>71</v>
      </c>
      <c r="H14" s="9">
        <v>24.1</v>
      </c>
      <c r="I14" s="9"/>
      <c r="J14" s="9"/>
      <c r="K14" s="3" t="s">
        <v>71</v>
      </c>
      <c r="L14" s="11">
        <v>35.700000000000003</v>
      </c>
      <c r="M14" s="83"/>
      <c r="N14" s="12"/>
      <c r="O14" s="13" t="s">
        <v>20</v>
      </c>
      <c r="P14" s="14">
        <v>67.2</v>
      </c>
      <c r="Q14" s="13" t="s">
        <v>30</v>
      </c>
      <c r="R14" s="9">
        <v>20.399999999999999</v>
      </c>
      <c r="S14" s="8" t="s">
        <v>20</v>
      </c>
      <c r="T14" s="14">
        <v>15.9</v>
      </c>
      <c r="U14" s="6" t="s">
        <v>68</v>
      </c>
    </row>
    <row r="15" spans="1:21" ht="86.4" x14ac:dyDescent="0.25">
      <c r="A15" s="17" t="s">
        <v>92</v>
      </c>
      <c r="B15" s="1" t="s">
        <v>93</v>
      </c>
      <c r="C15" s="1" t="s">
        <v>94</v>
      </c>
      <c r="D15" s="21">
        <v>7.7</v>
      </c>
      <c r="E15" s="85"/>
      <c r="F15" s="85"/>
      <c r="G15" s="1" t="s">
        <v>74</v>
      </c>
      <c r="H15" s="21">
        <v>14.3</v>
      </c>
      <c r="I15" s="85"/>
      <c r="J15" s="85"/>
      <c r="K15" s="1" t="s">
        <v>74</v>
      </c>
      <c r="L15" s="24">
        <v>21.7</v>
      </c>
      <c r="M15" s="88"/>
      <c r="N15" s="25"/>
      <c r="O15" s="30" t="s">
        <v>20</v>
      </c>
      <c r="P15" s="32">
        <v>43.7</v>
      </c>
      <c r="Q15" s="34" t="s">
        <v>21</v>
      </c>
      <c r="R15" s="21">
        <v>6</v>
      </c>
      <c r="S15" s="22" t="s">
        <v>20</v>
      </c>
      <c r="T15" s="32">
        <v>10.7</v>
      </c>
      <c r="U15" s="34" t="s">
        <v>68</v>
      </c>
    </row>
    <row r="16" spans="1:21" ht="86.4" x14ac:dyDescent="0.25">
      <c r="A16" s="17" t="s">
        <v>97</v>
      </c>
      <c r="B16" s="22" t="s">
        <v>98</v>
      </c>
      <c r="C16" s="1" t="s">
        <v>94</v>
      </c>
      <c r="D16" s="21">
        <v>3.2</v>
      </c>
      <c r="E16" s="85"/>
      <c r="F16" s="85"/>
      <c r="G16" s="1" t="s">
        <v>74</v>
      </c>
      <c r="H16" s="21">
        <v>9</v>
      </c>
      <c r="I16" s="85"/>
      <c r="J16" s="85"/>
      <c r="K16" s="1" t="s">
        <v>74</v>
      </c>
      <c r="L16" s="24">
        <v>20.9</v>
      </c>
      <c r="M16" s="88"/>
      <c r="N16" s="25"/>
      <c r="O16" s="30" t="s">
        <v>20</v>
      </c>
      <c r="P16" s="32">
        <v>33</v>
      </c>
      <c r="Q16" s="34" t="s">
        <v>21</v>
      </c>
      <c r="R16" s="21">
        <v>4.7</v>
      </c>
      <c r="S16" s="22" t="s">
        <v>20</v>
      </c>
      <c r="T16" s="24">
        <v>8</v>
      </c>
      <c r="U16" s="34" t="s">
        <v>68</v>
      </c>
    </row>
    <row r="17" spans="1:21" ht="86.4" x14ac:dyDescent="0.25">
      <c r="A17" s="17" t="s">
        <v>101</v>
      </c>
      <c r="B17" s="22" t="s">
        <v>102</v>
      </c>
      <c r="C17" s="1" t="s">
        <v>94</v>
      </c>
      <c r="D17" s="21">
        <v>18.100000000000001</v>
      </c>
      <c r="E17" s="85"/>
      <c r="F17" s="85"/>
      <c r="G17" s="1" t="s">
        <v>74</v>
      </c>
      <c r="H17" s="21">
        <v>12.2</v>
      </c>
      <c r="I17" s="85"/>
      <c r="J17" s="85"/>
      <c r="K17" s="1" t="s">
        <v>74</v>
      </c>
      <c r="L17" s="24">
        <v>12.6</v>
      </c>
      <c r="M17" s="88"/>
      <c r="N17" s="25"/>
      <c r="O17" s="30" t="s">
        <v>20</v>
      </c>
      <c r="P17" s="32">
        <v>42.9</v>
      </c>
      <c r="Q17" s="34" t="s">
        <v>21</v>
      </c>
      <c r="R17" s="21">
        <v>4.7</v>
      </c>
      <c r="S17" s="22" t="s">
        <v>20</v>
      </c>
      <c r="T17" s="32">
        <v>10.4</v>
      </c>
      <c r="U17" s="34" t="s">
        <v>68</v>
      </c>
    </row>
    <row r="18" spans="1:21" ht="86.4" x14ac:dyDescent="0.25">
      <c r="A18" s="17" t="s">
        <v>104</v>
      </c>
      <c r="B18" s="22" t="s">
        <v>105</v>
      </c>
      <c r="C18" s="1" t="s">
        <v>67</v>
      </c>
      <c r="D18" s="21">
        <v>17</v>
      </c>
      <c r="E18" s="85"/>
      <c r="F18" s="85"/>
      <c r="G18" s="1" t="s">
        <v>71</v>
      </c>
      <c r="H18" s="21">
        <v>10.4</v>
      </c>
      <c r="I18" s="85"/>
      <c r="J18" s="85"/>
      <c r="K18" s="1" t="s">
        <v>71</v>
      </c>
      <c r="L18" s="24">
        <v>23.9</v>
      </c>
      <c r="M18" s="88"/>
      <c r="N18" s="25"/>
      <c r="O18" s="30" t="s">
        <v>20</v>
      </c>
      <c r="P18" s="24">
        <v>51.3</v>
      </c>
      <c r="Q18" s="34" t="s">
        <v>21</v>
      </c>
      <c r="R18" s="21">
        <v>10.1</v>
      </c>
      <c r="S18" s="22" t="s">
        <v>20</v>
      </c>
      <c r="T18" s="32">
        <v>12.4</v>
      </c>
      <c r="U18" s="34" t="s">
        <v>68</v>
      </c>
    </row>
    <row r="19" spans="1:21" ht="86.4" x14ac:dyDescent="0.25">
      <c r="A19" s="7" t="s">
        <v>108</v>
      </c>
      <c r="B19" s="10" t="s">
        <v>109</v>
      </c>
      <c r="C19" s="3" t="s">
        <v>67</v>
      </c>
      <c r="D19" s="53">
        <v>13</v>
      </c>
      <c r="E19" s="53"/>
      <c r="F19" s="53"/>
      <c r="G19" s="3" t="s">
        <v>71</v>
      </c>
      <c r="H19" s="9">
        <v>11.3</v>
      </c>
      <c r="I19" s="9"/>
      <c r="J19" s="9"/>
      <c r="K19" s="3" t="s">
        <v>71</v>
      </c>
      <c r="L19" s="14">
        <v>26.4</v>
      </c>
      <c r="M19" s="86"/>
      <c r="N19" s="15"/>
      <c r="O19" s="13" t="s">
        <v>20</v>
      </c>
      <c r="P19" s="14">
        <v>50.7</v>
      </c>
      <c r="Q19" s="6" t="s">
        <v>21</v>
      </c>
      <c r="R19" s="9">
        <v>10.3</v>
      </c>
      <c r="S19" s="8" t="s">
        <v>20</v>
      </c>
      <c r="T19" s="11">
        <v>12.1</v>
      </c>
      <c r="U19" s="6" t="s">
        <v>68</v>
      </c>
    </row>
    <row r="20" spans="1:21" ht="86.4" x14ac:dyDescent="0.25">
      <c r="A20" s="7" t="s">
        <v>112</v>
      </c>
      <c r="B20" s="10" t="s">
        <v>109</v>
      </c>
      <c r="C20" s="3" t="s">
        <v>67</v>
      </c>
      <c r="D20" s="53">
        <v>20.3</v>
      </c>
      <c r="E20" s="53"/>
      <c r="F20" s="53"/>
      <c r="G20" s="3" t="s">
        <v>71</v>
      </c>
      <c r="H20" s="9">
        <v>39.4</v>
      </c>
      <c r="I20" s="9"/>
      <c r="J20" s="9"/>
      <c r="K20" s="10" t="s">
        <v>19</v>
      </c>
      <c r="L20" s="11">
        <v>0</v>
      </c>
      <c r="M20" s="83"/>
      <c r="N20" s="12"/>
      <c r="O20" s="13" t="s">
        <v>20</v>
      </c>
      <c r="P20" s="14">
        <v>59.7</v>
      </c>
      <c r="Q20" s="6" t="s">
        <v>21</v>
      </c>
      <c r="R20" s="9">
        <v>10.7</v>
      </c>
      <c r="S20" s="8" t="s">
        <v>20</v>
      </c>
      <c r="T20" s="14">
        <v>14.4</v>
      </c>
      <c r="U20" s="6" t="s">
        <v>68</v>
      </c>
    </row>
    <row r="21" spans="1:21" ht="86.4" x14ac:dyDescent="0.25">
      <c r="A21" s="17" t="s">
        <v>113</v>
      </c>
      <c r="B21" s="17" t="s">
        <v>32</v>
      </c>
      <c r="C21" s="1" t="s">
        <v>67</v>
      </c>
      <c r="D21" s="21">
        <v>22.6</v>
      </c>
      <c r="E21" s="85"/>
      <c r="F21" s="85"/>
      <c r="G21" s="1" t="s">
        <v>71</v>
      </c>
      <c r="H21" s="19">
        <v>40.799999999999997</v>
      </c>
      <c r="I21" s="84"/>
      <c r="J21" s="84"/>
      <c r="K21" s="17" t="s">
        <v>19</v>
      </c>
      <c r="L21" s="24">
        <v>0</v>
      </c>
      <c r="M21" s="88"/>
      <c r="N21" s="25"/>
      <c r="O21" s="30" t="s">
        <v>20</v>
      </c>
      <c r="P21" s="32">
        <v>63.5</v>
      </c>
      <c r="Q21" s="34" t="s">
        <v>21</v>
      </c>
      <c r="R21" s="21">
        <v>25.9</v>
      </c>
      <c r="S21" s="22" t="s">
        <v>20</v>
      </c>
      <c r="T21" s="32">
        <v>10.9</v>
      </c>
      <c r="U21" s="34" t="s">
        <v>68</v>
      </c>
    </row>
    <row r="22" spans="1:21" ht="86.4" x14ac:dyDescent="0.25">
      <c r="A22" s="17" t="s">
        <v>116</v>
      </c>
      <c r="B22" s="17" t="s">
        <v>117</v>
      </c>
      <c r="C22" s="1" t="s">
        <v>67</v>
      </c>
      <c r="D22" s="19">
        <v>42.4</v>
      </c>
      <c r="E22" s="84"/>
      <c r="F22" s="84"/>
      <c r="G22" s="1" t="s">
        <v>71</v>
      </c>
      <c r="H22" s="21">
        <v>39.299999999999997</v>
      </c>
      <c r="I22" s="85"/>
      <c r="J22" s="85"/>
      <c r="K22" s="17" t="s">
        <v>19</v>
      </c>
      <c r="L22" s="24">
        <v>0</v>
      </c>
      <c r="M22" s="88"/>
      <c r="N22" s="25"/>
      <c r="O22" s="30" t="s">
        <v>20</v>
      </c>
      <c r="P22" s="24">
        <v>81.7</v>
      </c>
      <c r="Q22" s="30" t="s">
        <v>30</v>
      </c>
      <c r="R22" s="21">
        <v>35.799999999999997</v>
      </c>
      <c r="S22" s="22" t="s">
        <v>20</v>
      </c>
      <c r="T22" s="32">
        <v>22</v>
      </c>
      <c r="U22" s="34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7" ht="29.25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37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37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1" t="s">
        <v>10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37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37" ht="86.4" x14ac:dyDescent="0.25">
      <c r="A5" s="10" t="s">
        <v>120</v>
      </c>
      <c r="B5" s="10" t="s">
        <v>121</v>
      </c>
      <c r="C5" s="3" t="s">
        <v>67</v>
      </c>
      <c r="D5" s="9">
        <v>31.2</v>
      </c>
      <c r="E5" s="10" t="s">
        <v>19</v>
      </c>
      <c r="F5" s="9">
        <v>0</v>
      </c>
      <c r="G5" s="3" t="s">
        <v>71</v>
      </c>
      <c r="H5" s="9">
        <v>59.7</v>
      </c>
      <c r="I5" s="9"/>
      <c r="J5" s="9"/>
      <c r="K5" s="10" t="s">
        <v>19</v>
      </c>
      <c r="L5" s="9">
        <v>0</v>
      </c>
      <c r="M5" s="9"/>
      <c r="N5" s="9"/>
      <c r="O5" s="8" t="s">
        <v>20</v>
      </c>
      <c r="P5" s="9">
        <v>90.9</v>
      </c>
      <c r="Q5" s="3" t="s">
        <v>21</v>
      </c>
      <c r="R5" s="9">
        <v>45.9</v>
      </c>
      <c r="S5" s="8" t="s">
        <v>20</v>
      </c>
      <c r="T5" s="9">
        <v>24.9</v>
      </c>
      <c r="U5" s="3" t="s">
        <v>68</v>
      </c>
      <c r="AK5" s="95"/>
    </row>
    <row r="6" spans="1:37" ht="86.4" x14ac:dyDescent="0.25">
      <c r="A6" s="10" t="s">
        <v>122</v>
      </c>
      <c r="B6" s="8" t="s">
        <v>123</v>
      </c>
      <c r="C6" s="3" t="s">
        <v>67</v>
      </c>
      <c r="D6" s="9">
        <v>64.900000000000006</v>
      </c>
      <c r="E6" s="10" t="s">
        <v>19</v>
      </c>
      <c r="F6" s="9">
        <v>0</v>
      </c>
      <c r="G6" s="3" t="s">
        <v>71</v>
      </c>
      <c r="H6" s="9">
        <v>88.7</v>
      </c>
      <c r="I6" s="9"/>
      <c r="J6" s="9"/>
      <c r="K6" s="3" t="s">
        <v>71</v>
      </c>
      <c r="L6" s="9">
        <v>23.7</v>
      </c>
      <c r="M6" s="9"/>
      <c r="N6" s="9"/>
      <c r="O6" s="8" t="s">
        <v>20</v>
      </c>
      <c r="P6" s="9">
        <v>177.2</v>
      </c>
      <c r="Q6" s="3" t="s">
        <v>21</v>
      </c>
      <c r="R6" s="9">
        <v>180.7</v>
      </c>
      <c r="S6" s="8" t="s">
        <v>20</v>
      </c>
      <c r="T6" s="9">
        <v>38.299999999999997</v>
      </c>
      <c r="U6" s="3" t="s">
        <v>68</v>
      </c>
      <c r="AK6" s="95"/>
    </row>
    <row r="7" spans="1:37" ht="86.4" x14ac:dyDescent="0.25">
      <c r="A7" s="10" t="s">
        <v>124</v>
      </c>
      <c r="B7" s="10" t="s">
        <v>32</v>
      </c>
      <c r="C7" s="3" t="s">
        <v>67</v>
      </c>
      <c r="D7" s="9">
        <v>130.19999999999999</v>
      </c>
      <c r="E7" s="10" t="s">
        <v>19</v>
      </c>
      <c r="F7" s="9">
        <v>0</v>
      </c>
      <c r="G7" s="3" t="s">
        <v>71</v>
      </c>
      <c r="H7" s="9">
        <v>128.19999999999999</v>
      </c>
      <c r="I7" s="9"/>
      <c r="J7" s="9"/>
      <c r="K7" s="3" t="s">
        <v>71</v>
      </c>
      <c r="L7" s="9">
        <v>4.5999999999999996</v>
      </c>
      <c r="M7" s="9"/>
      <c r="N7" s="9"/>
      <c r="O7" s="8" t="s">
        <v>20</v>
      </c>
      <c r="P7" s="9">
        <v>263.10000000000002</v>
      </c>
      <c r="Q7" s="3" t="s">
        <v>21</v>
      </c>
      <c r="R7" s="9">
        <v>113</v>
      </c>
      <c r="S7" s="8" t="s">
        <v>20</v>
      </c>
      <c r="T7" s="9">
        <v>51.4</v>
      </c>
      <c r="U7" s="3" t="s">
        <v>68</v>
      </c>
      <c r="AK7" s="95"/>
    </row>
    <row r="8" spans="1:37" ht="129.6" x14ac:dyDescent="0.25">
      <c r="A8" s="10" t="s">
        <v>125</v>
      </c>
      <c r="B8" s="8" t="s">
        <v>126</v>
      </c>
      <c r="C8" s="3" t="s">
        <v>67</v>
      </c>
      <c r="D8" s="9">
        <v>73.900000000000006</v>
      </c>
      <c r="E8" s="3" t="s">
        <v>71</v>
      </c>
      <c r="F8" s="9">
        <v>36.799999999999997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110.6</v>
      </c>
      <c r="Q8" s="3" t="s">
        <v>21</v>
      </c>
      <c r="R8" s="9">
        <v>14.4</v>
      </c>
      <c r="S8" s="8" t="s">
        <v>20</v>
      </c>
      <c r="T8" s="9">
        <v>26.9</v>
      </c>
      <c r="U8" s="3" t="s">
        <v>68</v>
      </c>
      <c r="AK8" s="95"/>
    </row>
    <row r="9" spans="1:37" ht="86.4" x14ac:dyDescent="0.25">
      <c r="A9" s="10" t="s">
        <v>127</v>
      </c>
      <c r="B9" s="8" t="s">
        <v>128</v>
      </c>
      <c r="C9" s="3" t="s">
        <v>67</v>
      </c>
      <c r="D9" s="9">
        <v>82.3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9"/>
      <c r="N9" s="9"/>
      <c r="O9" s="8" t="s">
        <v>20</v>
      </c>
      <c r="P9" s="9">
        <v>82.3</v>
      </c>
      <c r="Q9" s="3" t="s">
        <v>21</v>
      </c>
      <c r="R9" s="9">
        <v>17.899999999999999</v>
      </c>
      <c r="S9" s="8" t="s">
        <v>20</v>
      </c>
      <c r="T9" s="9">
        <v>20</v>
      </c>
      <c r="U9" s="3" t="s">
        <v>68</v>
      </c>
      <c r="AK9" s="95"/>
    </row>
    <row r="10" spans="1:37" ht="86.4" x14ac:dyDescent="0.25">
      <c r="A10" s="10" t="s">
        <v>129</v>
      </c>
      <c r="B10" s="8" t="s">
        <v>130</v>
      </c>
      <c r="C10" s="3" t="s">
        <v>67</v>
      </c>
      <c r="D10" s="9">
        <v>78.400000000000006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10" t="s">
        <v>19</v>
      </c>
      <c r="L10" s="9">
        <v>0</v>
      </c>
      <c r="M10" s="9"/>
      <c r="N10" s="9"/>
      <c r="O10" s="8" t="s">
        <v>20</v>
      </c>
      <c r="P10" s="9">
        <v>78.400000000000006</v>
      </c>
      <c r="Q10" s="3" t="s">
        <v>21</v>
      </c>
      <c r="R10" s="9">
        <v>15.5</v>
      </c>
      <c r="S10" s="8" t="s">
        <v>20</v>
      </c>
      <c r="T10" s="9">
        <v>18.8</v>
      </c>
      <c r="U10" s="3" t="s">
        <v>68</v>
      </c>
      <c r="AK10" s="95"/>
    </row>
    <row r="11" spans="1:37" ht="86.4" x14ac:dyDescent="0.25">
      <c r="A11" s="10" t="s">
        <v>131</v>
      </c>
      <c r="B11" s="8" t="s">
        <v>132</v>
      </c>
      <c r="C11" s="3" t="s">
        <v>67</v>
      </c>
      <c r="D11" s="9">
        <v>82.6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71</v>
      </c>
      <c r="L11" s="9">
        <v>13.7</v>
      </c>
      <c r="M11" s="9"/>
      <c r="N11" s="9"/>
      <c r="O11" s="8" t="s">
        <v>20</v>
      </c>
      <c r="P11" s="9">
        <v>96.3</v>
      </c>
      <c r="Q11" s="3" t="s">
        <v>21</v>
      </c>
      <c r="R11" s="9">
        <v>23.4</v>
      </c>
      <c r="S11" s="8" t="s">
        <v>20</v>
      </c>
      <c r="T11" s="9">
        <v>23.1</v>
      </c>
      <c r="U11" s="3" t="s">
        <v>68</v>
      </c>
      <c r="AK11" s="95"/>
    </row>
    <row r="12" spans="1:37" ht="86.4" x14ac:dyDescent="0.25">
      <c r="A12" s="10" t="s">
        <v>133</v>
      </c>
      <c r="B12" s="8" t="s">
        <v>134</v>
      </c>
      <c r="C12" s="3" t="s">
        <v>67</v>
      </c>
      <c r="D12" s="9">
        <v>32.799999999999997</v>
      </c>
      <c r="E12" s="10" t="s">
        <v>19</v>
      </c>
      <c r="F12" s="9">
        <v>0</v>
      </c>
      <c r="G12" s="3" t="s">
        <v>71</v>
      </c>
      <c r="H12" s="9">
        <v>22</v>
      </c>
      <c r="I12" s="9"/>
      <c r="J12" s="9"/>
      <c r="K12" s="10" t="s">
        <v>19</v>
      </c>
      <c r="L12" s="9">
        <v>0</v>
      </c>
      <c r="M12" s="9"/>
      <c r="N12" s="9"/>
      <c r="O12" s="8" t="s">
        <v>20</v>
      </c>
      <c r="P12" s="9">
        <v>54.8</v>
      </c>
      <c r="Q12" s="3" t="s">
        <v>21</v>
      </c>
      <c r="R12" s="9">
        <v>25.9</v>
      </c>
      <c r="S12" s="8" t="s">
        <v>20</v>
      </c>
      <c r="T12" s="9">
        <v>15.2</v>
      </c>
      <c r="U12" s="3" t="s">
        <v>68</v>
      </c>
      <c r="AK12" s="95"/>
    </row>
    <row r="13" spans="1:37" ht="86.4" x14ac:dyDescent="0.25">
      <c r="A13" s="17" t="s">
        <v>135</v>
      </c>
      <c r="B13" s="17" t="s">
        <v>136</v>
      </c>
      <c r="C13" s="1" t="s">
        <v>94</v>
      </c>
      <c r="D13" s="21">
        <v>11</v>
      </c>
      <c r="E13" s="17" t="s">
        <v>19</v>
      </c>
      <c r="F13" s="21">
        <v>0</v>
      </c>
      <c r="G13" s="17" t="s">
        <v>19</v>
      </c>
      <c r="H13" s="21">
        <v>0</v>
      </c>
      <c r="I13" s="85"/>
      <c r="J13" s="85"/>
      <c r="K13" s="1" t="s">
        <v>74</v>
      </c>
      <c r="L13" s="21">
        <v>38.9</v>
      </c>
      <c r="M13" s="85"/>
      <c r="N13" s="85"/>
      <c r="O13" s="22" t="s">
        <v>20</v>
      </c>
      <c r="P13" s="19">
        <v>49.9</v>
      </c>
      <c r="Q13" s="1" t="s">
        <v>21</v>
      </c>
      <c r="R13" s="21">
        <v>11.8</v>
      </c>
      <c r="S13" s="22" t="s">
        <v>20</v>
      </c>
      <c r="T13" s="21">
        <v>12.2</v>
      </c>
      <c r="U13" s="1" t="s">
        <v>68</v>
      </c>
      <c r="AK13" s="95"/>
    </row>
    <row r="14" spans="1:37" ht="86.4" x14ac:dyDescent="0.25">
      <c r="A14" s="17" t="s">
        <v>137</v>
      </c>
      <c r="B14" s="22" t="s">
        <v>138</v>
      </c>
      <c r="C14" s="1" t="s">
        <v>67</v>
      </c>
      <c r="D14" s="19">
        <v>116.4</v>
      </c>
      <c r="E14" s="17" t="s">
        <v>19</v>
      </c>
      <c r="F14" s="21">
        <v>0</v>
      </c>
      <c r="G14" s="1" t="s">
        <v>71</v>
      </c>
      <c r="H14" s="21">
        <v>87.3</v>
      </c>
      <c r="I14" s="85"/>
      <c r="J14" s="85"/>
      <c r="K14" s="1" t="s">
        <v>71</v>
      </c>
      <c r="L14" s="21">
        <v>22.5</v>
      </c>
      <c r="M14" s="85"/>
      <c r="N14" s="85"/>
      <c r="O14" s="22" t="s">
        <v>20</v>
      </c>
      <c r="P14" s="19">
        <v>226.1</v>
      </c>
      <c r="Q14" s="1" t="s">
        <v>21</v>
      </c>
      <c r="R14" s="19">
        <v>170.4</v>
      </c>
      <c r="S14" s="22" t="s">
        <v>20</v>
      </c>
      <c r="T14" s="21">
        <v>62.7</v>
      </c>
      <c r="U14" s="1" t="s">
        <v>68</v>
      </c>
      <c r="AK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  <col min="22" max="22" width="6.6640625" customWidth="1"/>
    <col min="23" max="23" width="9.77734375" customWidth="1"/>
    <col min="24" max="24" width="6.6640625" customWidth="1"/>
    <col min="25" max="25" width="46" customWidth="1"/>
    <col min="26" max="26" width="10" customWidth="1"/>
    <col min="27" max="27" width="6.6640625" customWidth="1"/>
    <col min="28" max="28" width="2.77734375" customWidth="1"/>
    <col min="29" max="29" width="13.109375" customWidth="1"/>
  </cols>
  <sheetData>
    <row r="1" spans="1:49" ht="24.75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49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49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49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49" ht="86.4" x14ac:dyDescent="0.25">
      <c r="A5" s="7" t="s">
        <v>140</v>
      </c>
      <c r="B5" s="8" t="s">
        <v>141</v>
      </c>
      <c r="C5" s="3" t="s">
        <v>94</v>
      </c>
      <c r="D5" s="9">
        <v>20.5</v>
      </c>
      <c r="E5" s="10" t="s">
        <v>19</v>
      </c>
      <c r="F5" s="9">
        <v>0</v>
      </c>
      <c r="G5" s="3" t="s">
        <v>74</v>
      </c>
      <c r="H5" s="9">
        <v>102.4</v>
      </c>
      <c r="I5" s="9"/>
      <c r="J5" s="9"/>
      <c r="K5" s="3" t="s">
        <v>74</v>
      </c>
      <c r="L5" s="9">
        <v>2</v>
      </c>
      <c r="M5" s="9"/>
      <c r="N5" s="9"/>
      <c r="O5" s="8" t="s">
        <v>20</v>
      </c>
      <c r="P5" s="9">
        <v>125</v>
      </c>
      <c r="Q5" s="3" t="s">
        <v>21</v>
      </c>
      <c r="R5" s="9">
        <v>36.4</v>
      </c>
      <c r="S5" s="8" t="s">
        <v>20</v>
      </c>
      <c r="T5" s="9">
        <v>32.200000000000003</v>
      </c>
      <c r="U5" s="3" t="s">
        <v>68</v>
      </c>
      <c r="V5" s="54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6"/>
      <c r="AW5" s="95"/>
    </row>
    <row r="6" spans="1:49" ht="144" x14ac:dyDescent="0.25">
      <c r="A6" s="7" t="s">
        <v>142</v>
      </c>
      <c r="B6" s="8" t="s">
        <v>143</v>
      </c>
      <c r="C6" s="3" t="s">
        <v>94</v>
      </c>
      <c r="D6" s="9">
        <v>5</v>
      </c>
      <c r="E6" s="3" t="s">
        <v>74</v>
      </c>
      <c r="F6" s="9">
        <v>1.4</v>
      </c>
      <c r="G6" s="3" t="s">
        <v>74</v>
      </c>
      <c r="H6" s="9">
        <v>22.3</v>
      </c>
      <c r="I6" s="9"/>
      <c r="J6" s="9"/>
      <c r="K6" s="3" t="s">
        <v>74</v>
      </c>
      <c r="L6" s="9">
        <v>27.9</v>
      </c>
      <c r="M6" s="9"/>
      <c r="N6" s="9"/>
      <c r="O6" s="8" t="s">
        <v>20</v>
      </c>
      <c r="P6" s="9">
        <v>56.7</v>
      </c>
      <c r="Q6" s="3" t="s">
        <v>21</v>
      </c>
      <c r="R6" s="9">
        <v>15</v>
      </c>
      <c r="S6" s="8" t="s">
        <v>20</v>
      </c>
      <c r="T6" s="9">
        <v>12.6</v>
      </c>
      <c r="U6" s="3" t="s">
        <v>68</v>
      </c>
      <c r="V6" s="54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6"/>
      <c r="AW6" s="95"/>
    </row>
    <row r="7" spans="1:49" ht="144" x14ac:dyDescent="0.25">
      <c r="A7" s="7" t="s">
        <v>144</v>
      </c>
      <c r="B7" s="8" t="s">
        <v>145</v>
      </c>
      <c r="C7" s="3" t="s">
        <v>94</v>
      </c>
      <c r="D7" s="9">
        <v>53.6</v>
      </c>
      <c r="E7" s="3" t="s">
        <v>74</v>
      </c>
      <c r="F7" s="9">
        <v>5.5</v>
      </c>
      <c r="G7" s="3" t="s">
        <v>74</v>
      </c>
      <c r="H7" s="9">
        <v>62.9</v>
      </c>
      <c r="I7" s="9"/>
      <c r="J7" s="9"/>
      <c r="K7" s="3" t="s">
        <v>74</v>
      </c>
      <c r="L7" s="9">
        <v>69.3</v>
      </c>
      <c r="M7" s="9"/>
      <c r="N7" s="9"/>
      <c r="O7" s="8" t="s">
        <v>20</v>
      </c>
      <c r="P7" s="9">
        <v>191.3</v>
      </c>
      <c r="Q7" s="3" t="s">
        <v>21</v>
      </c>
      <c r="R7" s="9">
        <v>89.2</v>
      </c>
      <c r="S7" s="8" t="s">
        <v>20</v>
      </c>
      <c r="T7" s="9">
        <v>44</v>
      </c>
      <c r="U7" s="3" t="s">
        <v>68</v>
      </c>
      <c r="V7" s="54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6"/>
      <c r="AW7" s="95"/>
    </row>
    <row r="8" spans="1:49" ht="86.4" x14ac:dyDescent="0.25">
      <c r="A8" s="7" t="s">
        <v>146</v>
      </c>
      <c r="B8" s="8" t="s">
        <v>147</v>
      </c>
      <c r="C8" s="3" t="s">
        <v>94</v>
      </c>
      <c r="D8" s="9">
        <v>6.7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3" t="s">
        <v>74</v>
      </c>
      <c r="L8" s="9">
        <v>61.5</v>
      </c>
      <c r="M8" s="9"/>
      <c r="N8" s="9"/>
      <c r="O8" s="8" t="s">
        <v>20</v>
      </c>
      <c r="P8" s="9">
        <v>68.2</v>
      </c>
      <c r="Q8" s="3" t="s">
        <v>21</v>
      </c>
      <c r="R8" s="9">
        <v>13.6</v>
      </c>
      <c r="S8" s="8" t="s">
        <v>20</v>
      </c>
      <c r="T8" s="9">
        <v>16.2</v>
      </c>
      <c r="U8" s="3" t="s">
        <v>68</v>
      </c>
      <c r="V8" s="54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6"/>
      <c r="AW8" s="95"/>
    </row>
    <row r="9" spans="1:49" ht="86.4" x14ac:dyDescent="0.25">
      <c r="A9" s="7" t="s">
        <v>148</v>
      </c>
      <c r="B9" s="8" t="s">
        <v>149</v>
      </c>
      <c r="C9" s="3" t="s">
        <v>94</v>
      </c>
      <c r="D9" s="9">
        <v>5.2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3" t="s">
        <v>74</v>
      </c>
      <c r="L9" s="9">
        <v>51.6</v>
      </c>
      <c r="M9" s="9"/>
      <c r="N9" s="9"/>
      <c r="O9" s="8" t="s">
        <v>20</v>
      </c>
      <c r="P9" s="9">
        <v>56.8</v>
      </c>
      <c r="Q9" s="3" t="s">
        <v>21</v>
      </c>
      <c r="R9" s="9">
        <v>12.1</v>
      </c>
      <c r="S9" s="8" t="s">
        <v>20</v>
      </c>
      <c r="T9" s="9">
        <v>14.2</v>
      </c>
      <c r="U9" s="3" t="s">
        <v>68</v>
      </c>
      <c r="V9" s="54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6"/>
      <c r="AW9" s="95"/>
    </row>
    <row r="10" spans="1:49" ht="86.4" x14ac:dyDescent="0.25">
      <c r="A10" s="7" t="s">
        <v>150</v>
      </c>
      <c r="B10" s="8" t="s">
        <v>151</v>
      </c>
      <c r="C10" s="3" t="s">
        <v>94</v>
      </c>
      <c r="D10" s="9">
        <v>11.2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3" t="s">
        <v>74</v>
      </c>
      <c r="L10" s="9">
        <v>86.5</v>
      </c>
      <c r="M10" s="9"/>
      <c r="N10" s="9"/>
      <c r="O10" s="8" t="s">
        <v>20</v>
      </c>
      <c r="P10" s="9">
        <v>97.6</v>
      </c>
      <c r="Q10" s="3" t="s">
        <v>21</v>
      </c>
      <c r="R10" s="9">
        <v>29.7</v>
      </c>
      <c r="S10" s="8" t="s">
        <v>20</v>
      </c>
      <c r="T10" s="9">
        <v>23.8</v>
      </c>
      <c r="U10" s="3" t="s">
        <v>68</v>
      </c>
      <c r="V10" s="54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6"/>
      <c r="AW10" s="95"/>
    </row>
    <row r="11" spans="1:49" ht="86.4" x14ac:dyDescent="0.25">
      <c r="A11" s="7" t="s">
        <v>152</v>
      </c>
      <c r="B11" s="8" t="s">
        <v>153</v>
      </c>
      <c r="C11" s="3" t="s">
        <v>94</v>
      </c>
      <c r="D11" s="9">
        <v>2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74</v>
      </c>
      <c r="L11" s="9">
        <v>52.8</v>
      </c>
      <c r="M11" s="9"/>
      <c r="N11" s="9"/>
      <c r="O11" s="8" t="s">
        <v>20</v>
      </c>
      <c r="P11" s="9">
        <v>54.8</v>
      </c>
      <c r="Q11" s="3" t="s">
        <v>21</v>
      </c>
      <c r="R11" s="9">
        <v>10.8</v>
      </c>
      <c r="S11" s="8" t="s">
        <v>20</v>
      </c>
      <c r="T11" s="9">
        <v>13.4</v>
      </c>
      <c r="U11" s="3" t="s">
        <v>68</v>
      </c>
      <c r="V11" s="54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6"/>
      <c r="AW11" s="95"/>
    </row>
    <row r="12" spans="1:49" ht="86.4" x14ac:dyDescent="0.25">
      <c r="A12" s="17" t="s">
        <v>154</v>
      </c>
      <c r="B12" s="22" t="s">
        <v>155</v>
      </c>
      <c r="C12" s="1" t="s">
        <v>94</v>
      </c>
      <c r="D12" s="21">
        <v>6.5</v>
      </c>
      <c r="E12" s="17" t="s">
        <v>19</v>
      </c>
      <c r="F12" s="21">
        <v>0</v>
      </c>
      <c r="G12" s="17" t="s">
        <v>19</v>
      </c>
      <c r="H12" s="21">
        <v>0</v>
      </c>
      <c r="I12" s="85"/>
      <c r="J12" s="85"/>
      <c r="K12" s="1" t="s">
        <v>74</v>
      </c>
      <c r="L12" s="19">
        <v>48.2</v>
      </c>
      <c r="M12" s="84"/>
      <c r="N12" s="84"/>
      <c r="O12" s="22" t="s">
        <v>20</v>
      </c>
      <c r="P12" s="19">
        <v>54.7</v>
      </c>
      <c r="Q12" s="1" t="s">
        <v>21</v>
      </c>
      <c r="R12" s="21">
        <v>9.3000000000000007</v>
      </c>
      <c r="S12" s="22" t="s">
        <v>20</v>
      </c>
      <c r="T12" s="21">
        <v>13.5</v>
      </c>
      <c r="U12" s="1" t="s">
        <v>68</v>
      </c>
      <c r="V12" s="54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6"/>
      <c r="AW12" s="95"/>
    </row>
    <row r="13" spans="1:49" ht="86.4" x14ac:dyDescent="0.25">
      <c r="A13" s="17" t="s">
        <v>156</v>
      </c>
      <c r="B13" s="22" t="s">
        <v>157</v>
      </c>
      <c r="C13" s="17" t="s">
        <v>19</v>
      </c>
      <c r="D13" s="21">
        <v>0</v>
      </c>
      <c r="E13" s="17" t="s">
        <v>19</v>
      </c>
      <c r="F13" s="21">
        <v>0</v>
      </c>
      <c r="G13" s="17" t="s">
        <v>19</v>
      </c>
      <c r="H13" s="21">
        <v>0</v>
      </c>
      <c r="I13" s="85"/>
      <c r="J13" s="85"/>
      <c r="K13" s="1" t="s">
        <v>74</v>
      </c>
      <c r="L13" s="19">
        <v>54.7</v>
      </c>
      <c r="M13" s="84"/>
      <c r="N13" s="84"/>
      <c r="O13" s="22" t="s">
        <v>20</v>
      </c>
      <c r="P13" s="19">
        <v>54.7</v>
      </c>
      <c r="Q13" s="1" t="s">
        <v>21</v>
      </c>
      <c r="R13" s="21">
        <v>9.6999999999999993</v>
      </c>
      <c r="S13" s="22" t="s">
        <v>20</v>
      </c>
      <c r="T13" s="21">
        <v>13.1</v>
      </c>
      <c r="U13" s="1" t="s">
        <v>68</v>
      </c>
      <c r="V13" s="54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6"/>
      <c r="AW13" s="95"/>
    </row>
    <row r="14" spans="1:49" ht="86.4" x14ac:dyDescent="0.25">
      <c r="A14" s="17" t="s">
        <v>158</v>
      </c>
      <c r="B14" s="17" t="s">
        <v>159</v>
      </c>
      <c r="C14" s="1" t="s">
        <v>67</v>
      </c>
      <c r="D14" s="21">
        <v>10.6</v>
      </c>
      <c r="E14" s="17" t="s">
        <v>19</v>
      </c>
      <c r="F14" s="21">
        <v>0</v>
      </c>
      <c r="G14" s="1" t="s">
        <v>71</v>
      </c>
      <c r="H14" s="21">
        <v>8.5</v>
      </c>
      <c r="I14" s="85"/>
      <c r="J14" s="85"/>
      <c r="K14" s="1" t="s">
        <v>71</v>
      </c>
      <c r="L14" s="21">
        <v>22.5</v>
      </c>
      <c r="M14" s="85"/>
      <c r="N14" s="85"/>
      <c r="O14" s="22" t="s">
        <v>20</v>
      </c>
      <c r="P14" s="21">
        <v>41.6</v>
      </c>
      <c r="Q14" s="1" t="s">
        <v>21</v>
      </c>
      <c r="R14" s="21">
        <v>7.7</v>
      </c>
      <c r="S14" s="22" t="s">
        <v>20</v>
      </c>
      <c r="T14" s="21">
        <v>9.8000000000000007</v>
      </c>
      <c r="U14" s="1" t="s">
        <v>68</v>
      </c>
      <c r="V14" s="47"/>
      <c r="W14" s="48"/>
      <c r="X14" s="48"/>
      <c r="Y14" s="48"/>
      <c r="Z14" s="48"/>
      <c r="AA14" s="48"/>
      <c r="AB14" s="48"/>
      <c r="AC14" s="48"/>
      <c r="AD14" s="48"/>
      <c r="AE14" s="49"/>
      <c r="AF14" s="34" t="s">
        <v>139</v>
      </c>
      <c r="AG14" s="35"/>
      <c r="AW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7" ht="29.25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27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7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7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7" ht="86.4" x14ac:dyDescent="0.25">
      <c r="A5" s="10" t="s">
        <v>160</v>
      </c>
      <c r="B5" s="8" t="s">
        <v>98</v>
      </c>
      <c r="C5" s="3" t="s">
        <v>94</v>
      </c>
      <c r="D5" s="9">
        <v>11.7</v>
      </c>
      <c r="E5" s="10" t="s">
        <v>19</v>
      </c>
      <c r="F5" s="9">
        <v>0</v>
      </c>
      <c r="G5" s="10" t="s">
        <v>19</v>
      </c>
      <c r="H5" s="9">
        <v>0</v>
      </c>
      <c r="I5" s="9"/>
      <c r="J5" s="9"/>
      <c r="K5" s="3" t="s">
        <v>74</v>
      </c>
      <c r="L5" s="9">
        <v>18.8</v>
      </c>
      <c r="M5" s="10" t="s">
        <v>19</v>
      </c>
      <c r="N5" s="9">
        <v>0</v>
      </c>
      <c r="O5" s="8" t="s">
        <v>20</v>
      </c>
      <c r="P5" s="9">
        <v>30.5</v>
      </c>
      <c r="Q5" s="3" t="s">
        <v>21</v>
      </c>
      <c r="R5" s="9">
        <v>3.3</v>
      </c>
      <c r="S5" s="8" t="s">
        <v>20</v>
      </c>
      <c r="T5" s="9">
        <v>7.2</v>
      </c>
      <c r="U5" s="3" t="s">
        <v>68</v>
      </c>
      <c r="AA5" s="95"/>
    </row>
    <row r="6" spans="1:27" ht="86.4" x14ac:dyDescent="0.25">
      <c r="A6" s="10" t="s">
        <v>161</v>
      </c>
      <c r="B6" s="8" t="s">
        <v>162</v>
      </c>
      <c r="C6" s="3" t="s">
        <v>94</v>
      </c>
      <c r="D6" s="9">
        <v>26.2</v>
      </c>
      <c r="E6" s="10" t="s">
        <v>19</v>
      </c>
      <c r="F6" s="9">
        <v>0</v>
      </c>
      <c r="G6" s="10" t="s">
        <v>19</v>
      </c>
      <c r="H6" s="9">
        <v>0</v>
      </c>
      <c r="I6" s="9"/>
      <c r="J6" s="9"/>
      <c r="K6" s="3" t="s">
        <v>74</v>
      </c>
      <c r="L6" s="9">
        <v>23.8</v>
      </c>
      <c r="M6" s="10" t="s">
        <v>19</v>
      </c>
      <c r="N6" s="9">
        <v>0</v>
      </c>
      <c r="O6" s="8" t="s">
        <v>20</v>
      </c>
      <c r="P6" s="9">
        <v>50</v>
      </c>
      <c r="Q6" s="3" t="s">
        <v>21</v>
      </c>
      <c r="R6" s="9">
        <v>8.6999999999999993</v>
      </c>
      <c r="S6" s="8" t="s">
        <v>20</v>
      </c>
      <c r="T6" s="9">
        <v>11.9</v>
      </c>
      <c r="U6" s="3" t="s">
        <v>68</v>
      </c>
      <c r="AA6" s="95"/>
    </row>
    <row r="7" spans="1:27" ht="86.4" x14ac:dyDescent="0.25">
      <c r="A7" s="10" t="s">
        <v>163</v>
      </c>
      <c r="B7" s="10" t="s">
        <v>164</v>
      </c>
      <c r="C7" s="10" t="s">
        <v>19</v>
      </c>
      <c r="D7" s="9">
        <v>0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10" t="s">
        <v>19</v>
      </c>
      <c r="L7" s="9">
        <v>0</v>
      </c>
      <c r="M7" s="3" t="s">
        <v>165</v>
      </c>
      <c r="N7" s="9">
        <v>42.1</v>
      </c>
      <c r="O7" s="8" t="s">
        <v>20</v>
      </c>
      <c r="P7" s="9">
        <v>42.1</v>
      </c>
      <c r="Q7" s="3" t="s">
        <v>21</v>
      </c>
      <c r="R7" s="9">
        <v>8.3000000000000007</v>
      </c>
      <c r="S7" s="8" t="s">
        <v>20</v>
      </c>
      <c r="T7" s="9">
        <v>10.7</v>
      </c>
      <c r="U7" s="3" t="s">
        <v>68</v>
      </c>
      <c r="AA7" s="95"/>
    </row>
    <row r="8" spans="1:27" ht="86.4" x14ac:dyDescent="0.25">
      <c r="A8" s="10" t="s">
        <v>166</v>
      </c>
      <c r="B8" s="10" t="s">
        <v>66</v>
      </c>
      <c r="C8" s="10" t="s">
        <v>19</v>
      </c>
      <c r="D8" s="9">
        <v>0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3" t="s">
        <v>165</v>
      </c>
      <c r="N8" s="9">
        <v>19.7</v>
      </c>
      <c r="O8" s="8" t="s">
        <v>20</v>
      </c>
      <c r="P8" s="9">
        <v>19.7</v>
      </c>
      <c r="Q8" s="3" t="s">
        <v>21</v>
      </c>
      <c r="R8" s="9">
        <v>2.2000000000000002</v>
      </c>
      <c r="S8" s="8" t="s">
        <v>20</v>
      </c>
      <c r="T8" s="9">
        <v>5.0999999999999996</v>
      </c>
      <c r="U8" s="10" t="s">
        <v>19</v>
      </c>
      <c r="AA8" s="95"/>
    </row>
    <row r="9" spans="1:27" ht="86.4" x14ac:dyDescent="0.25">
      <c r="A9" s="10" t="s">
        <v>167</v>
      </c>
      <c r="B9" s="8" t="s">
        <v>102</v>
      </c>
      <c r="C9" s="10" t="s">
        <v>19</v>
      </c>
      <c r="D9" s="9">
        <v>0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3" t="s">
        <v>74</v>
      </c>
      <c r="L9" s="9">
        <v>26.5</v>
      </c>
      <c r="M9" s="10" t="s">
        <v>19</v>
      </c>
      <c r="N9" s="9">
        <v>0</v>
      </c>
      <c r="O9" s="8" t="s">
        <v>20</v>
      </c>
      <c r="P9" s="9">
        <v>26.5</v>
      </c>
      <c r="Q9" s="3" t="s">
        <v>21</v>
      </c>
      <c r="R9" s="9">
        <v>3.3</v>
      </c>
      <c r="S9" s="8" t="s">
        <v>20</v>
      </c>
      <c r="T9" s="9">
        <v>6.3</v>
      </c>
      <c r="U9" s="3" t="s">
        <v>68</v>
      </c>
      <c r="AA9" s="95"/>
    </row>
    <row r="10" spans="1:27" ht="86.4" x14ac:dyDescent="0.25">
      <c r="A10" s="10" t="s">
        <v>168</v>
      </c>
      <c r="B10" s="8" t="s">
        <v>169</v>
      </c>
      <c r="C10" s="3" t="s">
        <v>67</v>
      </c>
      <c r="D10" s="9">
        <v>8.3000000000000007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3" t="s">
        <v>71</v>
      </c>
      <c r="L10" s="9">
        <v>40</v>
      </c>
      <c r="M10" s="10" t="s">
        <v>19</v>
      </c>
      <c r="N10" s="9">
        <v>0</v>
      </c>
      <c r="O10" s="8" t="s">
        <v>20</v>
      </c>
      <c r="P10" s="9">
        <v>48.4</v>
      </c>
      <c r="Q10" s="3" t="s">
        <v>21</v>
      </c>
      <c r="R10" s="9">
        <v>10.199999999999999</v>
      </c>
      <c r="S10" s="8" t="s">
        <v>20</v>
      </c>
      <c r="T10" s="9">
        <v>12.8</v>
      </c>
      <c r="U10" s="3" t="s">
        <v>68</v>
      </c>
      <c r="AA10" s="95"/>
    </row>
    <row r="11" spans="1:27" ht="86.4" x14ac:dyDescent="0.25">
      <c r="A11" s="10" t="s">
        <v>170</v>
      </c>
      <c r="B11" s="8" t="s">
        <v>171</v>
      </c>
      <c r="C11" s="3" t="s">
        <v>94</v>
      </c>
      <c r="D11" s="9">
        <v>10.6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74</v>
      </c>
      <c r="L11" s="9">
        <v>35.299999999999997</v>
      </c>
      <c r="M11" s="10" t="s">
        <v>19</v>
      </c>
      <c r="N11" s="9">
        <v>0</v>
      </c>
      <c r="O11" s="8" t="s">
        <v>20</v>
      </c>
      <c r="P11" s="9">
        <v>45.9</v>
      </c>
      <c r="Q11" s="3" t="s">
        <v>21</v>
      </c>
      <c r="R11" s="9">
        <v>13.9</v>
      </c>
      <c r="S11" s="8" t="s">
        <v>20</v>
      </c>
      <c r="T11" s="9">
        <v>13.2</v>
      </c>
      <c r="U11" s="3" t="s">
        <v>68</v>
      </c>
      <c r="AA11" s="95"/>
    </row>
    <row r="12" spans="1:27" ht="86.4" x14ac:dyDescent="0.25">
      <c r="A12" s="17" t="s">
        <v>172</v>
      </c>
      <c r="B12" s="22" t="s">
        <v>173</v>
      </c>
      <c r="C12" s="1" t="s">
        <v>94</v>
      </c>
      <c r="D12" s="21">
        <v>10.8</v>
      </c>
      <c r="E12" s="17" t="s">
        <v>19</v>
      </c>
      <c r="F12" s="21">
        <v>0</v>
      </c>
      <c r="G12" s="17" t="s">
        <v>19</v>
      </c>
      <c r="H12" s="21">
        <v>0</v>
      </c>
      <c r="I12" s="85"/>
      <c r="J12" s="85"/>
      <c r="K12" s="1" t="s">
        <v>74</v>
      </c>
      <c r="L12" s="19">
        <v>34.200000000000003</v>
      </c>
      <c r="M12" s="17" t="s">
        <v>19</v>
      </c>
      <c r="N12" s="21">
        <v>0</v>
      </c>
      <c r="O12" s="22" t="s">
        <v>20</v>
      </c>
      <c r="P12" s="19">
        <v>45</v>
      </c>
      <c r="Q12" s="1" t="s">
        <v>21</v>
      </c>
      <c r="R12" s="21">
        <v>12.2</v>
      </c>
      <c r="S12" s="22" t="s">
        <v>20</v>
      </c>
      <c r="T12" s="21">
        <v>12.6</v>
      </c>
      <c r="U12" s="1" t="s">
        <v>68</v>
      </c>
      <c r="AA12" s="95"/>
    </row>
    <row r="13" spans="1:27" ht="86.4" x14ac:dyDescent="0.25">
      <c r="A13" s="37" t="s">
        <v>174</v>
      </c>
      <c r="B13" s="38" t="s">
        <v>175</v>
      </c>
      <c r="C13" s="1" t="s">
        <v>94</v>
      </c>
      <c r="D13" s="45">
        <v>15.4</v>
      </c>
      <c r="E13" s="37" t="s">
        <v>19</v>
      </c>
      <c r="F13" s="45">
        <v>0</v>
      </c>
      <c r="G13" s="37" t="s">
        <v>19</v>
      </c>
      <c r="H13" s="45">
        <v>0</v>
      </c>
      <c r="I13" s="90"/>
      <c r="J13" s="90"/>
      <c r="K13" s="1" t="s">
        <v>74</v>
      </c>
      <c r="L13" s="45">
        <v>51.8</v>
      </c>
      <c r="M13" s="37" t="s">
        <v>19</v>
      </c>
      <c r="N13" s="45">
        <v>0</v>
      </c>
      <c r="O13" s="38" t="s">
        <v>20</v>
      </c>
      <c r="P13" s="45">
        <v>67.2</v>
      </c>
      <c r="Q13" s="1" t="s">
        <v>21</v>
      </c>
      <c r="R13" s="45">
        <v>21.4</v>
      </c>
      <c r="S13" s="38" t="s">
        <v>20</v>
      </c>
      <c r="T13" s="45">
        <v>19.5</v>
      </c>
      <c r="U13" s="1" t="s">
        <v>68</v>
      </c>
      <c r="AA13" s="95"/>
    </row>
    <row r="14" spans="1:27" ht="144" x14ac:dyDescent="0.25">
      <c r="A14" s="17" t="s">
        <v>176</v>
      </c>
      <c r="B14" s="17" t="s">
        <v>32</v>
      </c>
      <c r="C14" s="1" t="s">
        <v>94</v>
      </c>
      <c r="D14" s="21">
        <v>41.9</v>
      </c>
      <c r="E14" s="1" t="s">
        <v>74</v>
      </c>
      <c r="F14" s="21">
        <v>7</v>
      </c>
      <c r="G14" s="1" t="s">
        <v>74</v>
      </c>
      <c r="H14" s="21">
        <v>4.2</v>
      </c>
      <c r="I14" s="85"/>
      <c r="J14" s="85"/>
      <c r="K14" s="1" t="s">
        <v>74</v>
      </c>
      <c r="L14" s="19">
        <v>150.69999999999999</v>
      </c>
      <c r="M14" s="17" t="s">
        <v>19</v>
      </c>
      <c r="N14" s="21">
        <v>0</v>
      </c>
      <c r="O14" s="22" t="s">
        <v>20</v>
      </c>
      <c r="P14" s="19">
        <v>203.8</v>
      </c>
      <c r="Q14" s="1" t="s">
        <v>21</v>
      </c>
      <c r="R14" s="21">
        <v>58.8</v>
      </c>
      <c r="S14" s="22" t="s">
        <v>20</v>
      </c>
      <c r="T14" s="21">
        <v>43.1</v>
      </c>
      <c r="U14" s="17" t="s">
        <v>19</v>
      </c>
      <c r="AA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8" ht="19.5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28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8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8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8" ht="86.4" x14ac:dyDescent="0.25">
      <c r="A5" s="10" t="s">
        <v>177</v>
      </c>
      <c r="B5" s="10" t="s">
        <v>66</v>
      </c>
      <c r="C5" s="3" t="s">
        <v>67</v>
      </c>
      <c r="D5" s="9">
        <v>0.1</v>
      </c>
      <c r="E5" s="9"/>
      <c r="F5" s="9"/>
      <c r="G5" s="10" t="s">
        <v>19</v>
      </c>
      <c r="H5" s="9">
        <v>0</v>
      </c>
      <c r="I5" s="9"/>
      <c r="J5" s="9"/>
      <c r="K5" s="10" t="s">
        <v>19</v>
      </c>
      <c r="L5" s="9">
        <v>0</v>
      </c>
      <c r="M5" s="3" t="s">
        <v>165</v>
      </c>
      <c r="N5" s="9">
        <v>37</v>
      </c>
      <c r="O5" s="8" t="s">
        <v>20</v>
      </c>
      <c r="P5" s="9">
        <v>37.1</v>
      </c>
      <c r="Q5" s="8" t="s">
        <v>178</v>
      </c>
      <c r="R5" s="9">
        <v>27.4</v>
      </c>
      <c r="S5" s="8" t="s">
        <v>20</v>
      </c>
      <c r="T5" s="9">
        <v>10.6</v>
      </c>
      <c r="U5" s="3" t="s">
        <v>68</v>
      </c>
      <c r="AB5" s="95"/>
    </row>
    <row r="6" spans="1:28" ht="115.2" x14ac:dyDescent="0.25">
      <c r="A6" s="10" t="s">
        <v>179</v>
      </c>
      <c r="B6" s="8" t="s">
        <v>180</v>
      </c>
      <c r="C6" s="3" t="s">
        <v>17</v>
      </c>
      <c r="D6" s="9">
        <v>62.4</v>
      </c>
      <c r="E6" s="9"/>
      <c r="F6" s="9"/>
      <c r="G6" s="3" t="s">
        <v>18</v>
      </c>
      <c r="H6" s="9">
        <v>43</v>
      </c>
      <c r="I6" s="9"/>
      <c r="J6" s="9"/>
      <c r="K6" s="3" t="s">
        <v>18</v>
      </c>
      <c r="L6" s="9">
        <v>6.7</v>
      </c>
      <c r="M6" s="10" t="s">
        <v>19</v>
      </c>
      <c r="N6" s="9">
        <v>0</v>
      </c>
      <c r="O6" s="8" t="s">
        <v>20</v>
      </c>
      <c r="P6" s="9">
        <v>112.1</v>
      </c>
      <c r="Q6" s="8" t="s">
        <v>178</v>
      </c>
      <c r="R6" s="9">
        <v>92.5</v>
      </c>
      <c r="S6" s="8" t="s">
        <v>20</v>
      </c>
      <c r="T6" s="9">
        <v>31.1</v>
      </c>
      <c r="U6" s="10" t="s">
        <v>19</v>
      </c>
      <c r="AB6" s="95"/>
    </row>
    <row r="7" spans="1:28" ht="115.2" x14ac:dyDescent="0.25">
      <c r="A7" s="10" t="s">
        <v>181</v>
      </c>
      <c r="B7" s="8" t="s">
        <v>182</v>
      </c>
      <c r="C7" s="3" t="s">
        <v>17</v>
      </c>
      <c r="D7" s="9">
        <v>25.4</v>
      </c>
      <c r="E7" s="9"/>
      <c r="F7" s="9"/>
      <c r="G7" s="3" t="s">
        <v>18</v>
      </c>
      <c r="H7" s="9">
        <v>29.6</v>
      </c>
      <c r="I7" s="9"/>
      <c r="J7" s="9"/>
      <c r="K7" s="10" t="s">
        <v>19</v>
      </c>
      <c r="L7" s="9">
        <v>0</v>
      </c>
      <c r="M7" s="10" t="s">
        <v>19</v>
      </c>
      <c r="N7" s="9">
        <v>0</v>
      </c>
      <c r="O7" s="8" t="s">
        <v>20</v>
      </c>
      <c r="P7" s="9">
        <v>55</v>
      </c>
      <c r="Q7" s="8" t="s">
        <v>178</v>
      </c>
      <c r="R7" s="9">
        <v>21.6</v>
      </c>
      <c r="S7" s="8" t="s">
        <v>20</v>
      </c>
      <c r="T7" s="9">
        <v>15.1</v>
      </c>
      <c r="U7" s="10" t="s">
        <v>19</v>
      </c>
      <c r="AB7" s="95"/>
    </row>
    <row r="8" spans="1:28" ht="86.4" x14ac:dyDescent="0.25">
      <c r="A8" s="10" t="s">
        <v>183</v>
      </c>
      <c r="B8" s="8" t="s">
        <v>184</v>
      </c>
      <c r="C8" s="10" t="s">
        <v>19</v>
      </c>
      <c r="D8" s="9">
        <v>0</v>
      </c>
      <c r="E8" s="9"/>
      <c r="F8" s="9"/>
      <c r="G8" s="3" t="s">
        <v>74</v>
      </c>
      <c r="H8" s="9">
        <v>8.8000000000000007</v>
      </c>
      <c r="I8" s="9"/>
      <c r="J8" s="9"/>
      <c r="K8" s="3" t="s">
        <v>74</v>
      </c>
      <c r="L8" s="9">
        <v>28.9</v>
      </c>
      <c r="M8" s="10" t="s">
        <v>19</v>
      </c>
      <c r="N8" s="9">
        <v>0</v>
      </c>
      <c r="O8" s="8" t="s">
        <v>20</v>
      </c>
      <c r="P8" s="9">
        <v>37.700000000000003</v>
      </c>
      <c r="Q8" s="8" t="s">
        <v>178</v>
      </c>
      <c r="R8" s="9">
        <v>6.2</v>
      </c>
      <c r="S8" s="8" t="s">
        <v>20</v>
      </c>
      <c r="T8" s="9">
        <v>8.9</v>
      </c>
      <c r="U8" s="3" t="s">
        <v>68</v>
      </c>
      <c r="AB8" s="95"/>
    </row>
    <row r="9" spans="1:28" ht="57.6" x14ac:dyDescent="0.25">
      <c r="A9" s="10" t="s">
        <v>185</v>
      </c>
      <c r="B9" s="10" t="s">
        <v>66</v>
      </c>
      <c r="C9" s="10" t="s">
        <v>19</v>
      </c>
      <c r="D9" s="9">
        <v>0</v>
      </c>
      <c r="E9" s="9"/>
      <c r="F9" s="9"/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3" t="s">
        <v>165</v>
      </c>
      <c r="N9" s="9">
        <v>19.600000000000001</v>
      </c>
      <c r="O9" s="8" t="s">
        <v>20</v>
      </c>
      <c r="P9" s="9">
        <v>19.600000000000001</v>
      </c>
      <c r="Q9" s="8" t="s">
        <v>178</v>
      </c>
      <c r="R9" s="9">
        <v>10.9</v>
      </c>
      <c r="S9" s="8" t="s">
        <v>20</v>
      </c>
      <c r="T9" s="9">
        <v>8.6999999999999993</v>
      </c>
      <c r="U9" s="3" t="s">
        <v>68</v>
      </c>
      <c r="AB9" s="95"/>
    </row>
    <row r="10" spans="1:28" ht="115.2" x14ac:dyDescent="0.25">
      <c r="A10" s="10" t="s">
        <v>186</v>
      </c>
      <c r="B10" s="8" t="s">
        <v>187</v>
      </c>
      <c r="C10" s="3" t="s">
        <v>17</v>
      </c>
      <c r="D10" s="9">
        <v>45.4</v>
      </c>
      <c r="E10" s="9"/>
      <c r="F10" s="9"/>
      <c r="G10" s="3" t="s">
        <v>18</v>
      </c>
      <c r="H10" s="9">
        <v>6.4</v>
      </c>
      <c r="I10" s="9"/>
      <c r="J10" s="9"/>
      <c r="K10" s="3" t="s">
        <v>18</v>
      </c>
      <c r="L10" s="9">
        <v>38.299999999999997</v>
      </c>
      <c r="M10" s="10" t="s">
        <v>19</v>
      </c>
      <c r="N10" s="9">
        <v>0</v>
      </c>
      <c r="O10" s="8" t="s">
        <v>20</v>
      </c>
      <c r="P10" s="9">
        <v>90</v>
      </c>
      <c r="Q10" s="8" t="s">
        <v>178</v>
      </c>
      <c r="R10" s="9">
        <v>24</v>
      </c>
      <c r="S10" s="8" t="s">
        <v>20</v>
      </c>
      <c r="T10" s="9">
        <v>20.8</v>
      </c>
      <c r="U10" s="10" t="s">
        <v>19</v>
      </c>
      <c r="AB10" s="95"/>
    </row>
    <row r="11" spans="1:28" ht="115.2" x14ac:dyDescent="0.25">
      <c r="A11" s="17" t="s">
        <v>188</v>
      </c>
      <c r="B11" s="17" t="s">
        <v>189</v>
      </c>
      <c r="C11" s="1" t="s">
        <v>17</v>
      </c>
      <c r="D11" s="21">
        <v>0.1</v>
      </c>
      <c r="E11" s="85"/>
      <c r="F11" s="85"/>
      <c r="G11" s="1" t="s">
        <v>18</v>
      </c>
      <c r="H11" s="21">
        <v>5.2</v>
      </c>
      <c r="I11" s="85"/>
      <c r="J11" s="85"/>
      <c r="K11" s="1" t="s">
        <v>18</v>
      </c>
      <c r="L11" s="21">
        <v>35</v>
      </c>
      <c r="M11" s="17" t="s">
        <v>19</v>
      </c>
      <c r="N11" s="21">
        <v>0</v>
      </c>
      <c r="O11" s="22" t="s">
        <v>20</v>
      </c>
      <c r="P11" s="19">
        <v>40.200000000000003</v>
      </c>
      <c r="Q11" s="22" t="s">
        <v>178</v>
      </c>
      <c r="R11" s="21">
        <v>6.7</v>
      </c>
      <c r="S11" s="22" t="s">
        <v>20</v>
      </c>
      <c r="T11" s="21">
        <v>9</v>
      </c>
      <c r="U11" s="1" t="s">
        <v>190</v>
      </c>
      <c r="AB11" s="95"/>
    </row>
    <row r="12" spans="1:28" ht="86.4" x14ac:dyDescent="0.25">
      <c r="A12" s="17" t="s">
        <v>191</v>
      </c>
      <c r="B12" s="22" t="s">
        <v>192</v>
      </c>
      <c r="C12" s="1" t="s">
        <v>94</v>
      </c>
      <c r="D12" s="21">
        <v>8.6</v>
      </c>
      <c r="E12" s="85"/>
      <c r="F12" s="85"/>
      <c r="G12" s="17" t="s">
        <v>19</v>
      </c>
      <c r="H12" s="21">
        <v>0</v>
      </c>
      <c r="I12" s="85"/>
      <c r="J12" s="85"/>
      <c r="K12" s="1" t="s">
        <v>74</v>
      </c>
      <c r="L12" s="21">
        <v>79.900000000000006</v>
      </c>
      <c r="M12" s="17" t="s">
        <v>19</v>
      </c>
      <c r="N12" s="21">
        <v>0</v>
      </c>
      <c r="O12" s="22" t="s">
        <v>20</v>
      </c>
      <c r="P12" s="21">
        <v>88.5</v>
      </c>
      <c r="Q12" s="22" t="s">
        <v>178</v>
      </c>
      <c r="R12" s="21">
        <v>29.6</v>
      </c>
      <c r="S12" s="22" t="s">
        <v>20</v>
      </c>
      <c r="T12" s="21">
        <v>21.7</v>
      </c>
      <c r="U12" s="1" t="s">
        <v>68</v>
      </c>
      <c r="AB12" s="95"/>
    </row>
    <row r="13" spans="1:28" ht="115.2" x14ac:dyDescent="0.25">
      <c r="A13" s="17" t="s">
        <v>193</v>
      </c>
      <c r="B13" s="17" t="s">
        <v>194</v>
      </c>
      <c r="C13" s="1" t="s">
        <v>17</v>
      </c>
      <c r="D13" s="19">
        <v>49.4</v>
      </c>
      <c r="E13" s="84"/>
      <c r="F13" s="84"/>
      <c r="G13" s="17" t="s">
        <v>19</v>
      </c>
      <c r="H13" s="21">
        <v>0</v>
      </c>
      <c r="I13" s="85"/>
      <c r="J13" s="85"/>
      <c r="K13" s="1" t="s">
        <v>18</v>
      </c>
      <c r="L13" s="19">
        <v>34.799999999999997</v>
      </c>
      <c r="M13" s="17" t="s">
        <v>19</v>
      </c>
      <c r="N13" s="21">
        <v>0</v>
      </c>
      <c r="O13" s="22" t="s">
        <v>20</v>
      </c>
      <c r="P13" s="19">
        <v>84.2</v>
      </c>
      <c r="Q13" s="22" t="s">
        <v>178</v>
      </c>
      <c r="R13" s="21">
        <v>51.3</v>
      </c>
      <c r="S13" s="22" t="s">
        <v>20</v>
      </c>
      <c r="T13" s="21">
        <v>23.6</v>
      </c>
      <c r="U13" s="17" t="s">
        <v>19</v>
      </c>
      <c r="AB13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1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6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36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36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36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36" ht="115.2" x14ac:dyDescent="0.25">
      <c r="A5" s="10" t="s">
        <v>195</v>
      </c>
      <c r="B5" s="10" t="s">
        <v>196</v>
      </c>
      <c r="C5" s="3" t="s">
        <v>17</v>
      </c>
      <c r="D5" s="9">
        <v>44.5</v>
      </c>
      <c r="E5" s="9"/>
      <c r="F5" s="9"/>
      <c r="G5" s="3" t="s">
        <v>18</v>
      </c>
      <c r="H5" s="9">
        <v>28.3</v>
      </c>
      <c r="I5" s="9"/>
      <c r="J5" s="9"/>
      <c r="K5" s="3" t="s">
        <v>18</v>
      </c>
      <c r="L5" s="9">
        <v>20.100000000000001</v>
      </c>
      <c r="M5" s="10" t="s">
        <v>19</v>
      </c>
      <c r="N5" s="9">
        <v>0</v>
      </c>
      <c r="O5" s="8" t="s">
        <v>20</v>
      </c>
      <c r="P5" s="9">
        <v>92.9</v>
      </c>
      <c r="Q5" s="8" t="s">
        <v>178</v>
      </c>
      <c r="R5" s="9">
        <v>56.6</v>
      </c>
      <c r="S5" s="8" t="s">
        <v>20</v>
      </c>
      <c r="T5" s="9">
        <v>25</v>
      </c>
      <c r="U5" s="10" t="s">
        <v>19</v>
      </c>
      <c r="AJ5" s="95"/>
    </row>
    <row r="6" spans="1:36" ht="115.2" x14ac:dyDescent="0.25">
      <c r="A6" s="10" t="s">
        <v>197</v>
      </c>
      <c r="B6" s="8" t="s">
        <v>187</v>
      </c>
      <c r="C6" s="3" t="s">
        <v>17</v>
      </c>
      <c r="D6" s="9">
        <v>32.1</v>
      </c>
      <c r="E6" s="9"/>
      <c r="F6" s="9"/>
      <c r="G6" s="3" t="s">
        <v>18</v>
      </c>
      <c r="H6" s="9">
        <v>6.3</v>
      </c>
      <c r="I6" s="9"/>
      <c r="J6" s="9"/>
      <c r="K6" s="3" t="s">
        <v>18</v>
      </c>
      <c r="L6" s="9">
        <v>29</v>
      </c>
      <c r="M6" s="10" t="s">
        <v>19</v>
      </c>
      <c r="N6" s="9">
        <v>0</v>
      </c>
      <c r="O6" s="8" t="s">
        <v>20</v>
      </c>
      <c r="P6" s="9">
        <v>67.400000000000006</v>
      </c>
      <c r="Q6" s="8" t="s">
        <v>178</v>
      </c>
      <c r="R6" s="9">
        <v>18.5</v>
      </c>
      <c r="S6" s="8" t="s">
        <v>20</v>
      </c>
      <c r="T6" s="9">
        <v>15.3</v>
      </c>
      <c r="U6" s="10" t="s">
        <v>19</v>
      </c>
      <c r="AJ6" s="95"/>
    </row>
    <row r="7" spans="1:36" ht="57.6" x14ac:dyDescent="0.25">
      <c r="A7" s="10" t="s">
        <v>198</v>
      </c>
      <c r="B7" s="10" t="s">
        <v>66</v>
      </c>
      <c r="C7" s="10" t="s">
        <v>19</v>
      </c>
      <c r="D7" s="9">
        <v>0</v>
      </c>
      <c r="E7" s="9"/>
      <c r="F7" s="9"/>
      <c r="G7" s="10" t="s">
        <v>19</v>
      </c>
      <c r="H7" s="9">
        <v>0</v>
      </c>
      <c r="I7" s="9"/>
      <c r="J7" s="9"/>
      <c r="K7" s="10" t="s">
        <v>19</v>
      </c>
      <c r="L7" s="9">
        <v>0</v>
      </c>
      <c r="M7" s="3" t="s">
        <v>165</v>
      </c>
      <c r="N7" s="9">
        <v>21.5</v>
      </c>
      <c r="O7" s="8" t="s">
        <v>20</v>
      </c>
      <c r="P7" s="9">
        <v>21.5</v>
      </c>
      <c r="Q7" s="8" t="s">
        <v>178</v>
      </c>
      <c r="R7" s="9">
        <v>4.8</v>
      </c>
      <c r="S7" s="8" t="s">
        <v>20</v>
      </c>
      <c r="T7" s="9">
        <v>6.6</v>
      </c>
      <c r="U7" s="3" t="s">
        <v>68</v>
      </c>
      <c r="AJ7" s="95"/>
    </row>
    <row r="8" spans="1:36" ht="115.2" x14ac:dyDescent="0.25">
      <c r="A8" s="10" t="s">
        <v>199</v>
      </c>
      <c r="B8" s="10" t="s">
        <v>189</v>
      </c>
      <c r="C8" s="3" t="s">
        <v>17</v>
      </c>
      <c r="D8" s="9">
        <v>0.1</v>
      </c>
      <c r="E8" s="9"/>
      <c r="F8" s="9"/>
      <c r="G8" s="3" t="s">
        <v>18</v>
      </c>
      <c r="H8" s="9">
        <v>5.0999999999999996</v>
      </c>
      <c r="I8" s="9"/>
      <c r="J8" s="9"/>
      <c r="K8" s="3" t="s">
        <v>18</v>
      </c>
      <c r="L8" s="9">
        <v>35</v>
      </c>
      <c r="M8" s="10" t="s">
        <v>19</v>
      </c>
      <c r="N8" s="9">
        <v>0</v>
      </c>
      <c r="O8" s="8" t="s">
        <v>20</v>
      </c>
      <c r="P8" s="9">
        <v>40.200000000000003</v>
      </c>
      <c r="Q8" s="8" t="s">
        <v>178</v>
      </c>
      <c r="R8" s="9">
        <v>6.7</v>
      </c>
      <c r="S8" s="8" t="s">
        <v>20</v>
      </c>
      <c r="T8" s="9">
        <v>9</v>
      </c>
      <c r="U8" s="3" t="s">
        <v>190</v>
      </c>
      <c r="AJ8" s="95"/>
    </row>
    <row r="9" spans="1:36" ht="86.4" x14ac:dyDescent="0.25">
      <c r="A9" s="10" t="s">
        <v>200</v>
      </c>
      <c r="B9" s="8" t="s">
        <v>192</v>
      </c>
      <c r="C9" s="3" t="s">
        <v>94</v>
      </c>
      <c r="D9" s="9">
        <v>8.9</v>
      </c>
      <c r="E9" s="9"/>
      <c r="F9" s="9"/>
      <c r="G9" s="10" t="s">
        <v>19</v>
      </c>
      <c r="H9" s="9">
        <v>0</v>
      </c>
      <c r="I9" s="9"/>
      <c r="J9" s="9"/>
      <c r="K9" s="3" t="s">
        <v>74</v>
      </c>
      <c r="L9" s="9">
        <v>80.2</v>
      </c>
      <c r="M9" s="10" t="s">
        <v>19</v>
      </c>
      <c r="N9" s="9">
        <v>0</v>
      </c>
      <c r="O9" s="8" t="s">
        <v>20</v>
      </c>
      <c r="P9" s="9">
        <v>89.1</v>
      </c>
      <c r="Q9" s="8" t="s">
        <v>178</v>
      </c>
      <c r="R9" s="9">
        <v>29.9</v>
      </c>
      <c r="S9" s="8" t="s">
        <v>20</v>
      </c>
      <c r="T9" s="9">
        <v>21.9</v>
      </c>
      <c r="U9" s="3" t="s">
        <v>68</v>
      </c>
      <c r="AJ9" s="95"/>
    </row>
    <row r="10" spans="1:36" ht="115.2" x14ac:dyDescent="0.25">
      <c r="A10" s="10" t="s">
        <v>201</v>
      </c>
      <c r="B10" s="10" t="s">
        <v>194</v>
      </c>
      <c r="C10" s="3" t="s">
        <v>17</v>
      </c>
      <c r="D10" s="9">
        <v>47.9</v>
      </c>
      <c r="E10" s="9"/>
      <c r="F10" s="9"/>
      <c r="G10" s="10" t="s">
        <v>19</v>
      </c>
      <c r="H10" s="9">
        <v>0</v>
      </c>
      <c r="I10" s="9"/>
      <c r="J10" s="9"/>
      <c r="K10" s="3" t="s">
        <v>18</v>
      </c>
      <c r="L10" s="9">
        <v>37.5</v>
      </c>
      <c r="M10" s="10" t="s">
        <v>19</v>
      </c>
      <c r="N10" s="9">
        <v>0</v>
      </c>
      <c r="O10" s="8" t="s">
        <v>20</v>
      </c>
      <c r="P10" s="9">
        <v>85.4</v>
      </c>
      <c r="Q10" s="8" t="s">
        <v>178</v>
      </c>
      <c r="R10" s="9">
        <v>51.2</v>
      </c>
      <c r="S10" s="8" t="s">
        <v>20</v>
      </c>
      <c r="T10" s="9">
        <v>23.8</v>
      </c>
      <c r="U10" s="10" t="s">
        <v>19</v>
      </c>
      <c r="AJ10" s="95"/>
    </row>
    <row r="11" spans="1:36" ht="115.2" x14ac:dyDescent="0.25">
      <c r="A11" s="17" t="s">
        <v>202</v>
      </c>
      <c r="B11" s="17" t="s">
        <v>196</v>
      </c>
      <c r="C11" s="1" t="s">
        <v>17</v>
      </c>
      <c r="D11" s="21">
        <v>61.1</v>
      </c>
      <c r="E11" s="85"/>
      <c r="F11" s="85"/>
      <c r="G11" s="1" t="s">
        <v>18</v>
      </c>
      <c r="H11" s="21">
        <v>7.6</v>
      </c>
      <c r="I11" s="85"/>
      <c r="J11" s="85"/>
      <c r="K11" s="1" t="s">
        <v>18</v>
      </c>
      <c r="L11" s="21">
        <v>20.8</v>
      </c>
      <c r="M11" s="17" t="s">
        <v>19</v>
      </c>
      <c r="N11" s="21">
        <v>0</v>
      </c>
      <c r="O11" s="22" t="s">
        <v>20</v>
      </c>
      <c r="P11" s="21">
        <v>89.5</v>
      </c>
      <c r="Q11" s="22" t="s">
        <v>178</v>
      </c>
      <c r="R11" s="21">
        <v>56.3</v>
      </c>
      <c r="S11" s="22" t="s">
        <v>20</v>
      </c>
      <c r="T11" s="21">
        <v>25.2</v>
      </c>
      <c r="U11" s="17" t="s">
        <v>19</v>
      </c>
      <c r="AJ11" s="95"/>
    </row>
    <row r="12" spans="1:36" ht="86.4" x14ac:dyDescent="0.25">
      <c r="A12" s="17" t="s">
        <v>203</v>
      </c>
      <c r="B12" s="22" t="s">
        <v>102</v>
      </c>
      <c r="C12" s="1" t="s">
        <v>94</v>
      </c>
      <c r="D12" s="21">
        <v>0.8</v>
      </c>
      <c r="E12" s="85"/>
      <c r="F12" s="85"/>
      <c r="G12" s="1" t="s">
        <v>74</v>
      </c>
      <c r="H12" s="21">
        <v>2.2000000000000002</v>
      </c>
      <c r="I12" s="85"/>
      <c r="J12" s="85"/>
      <c r="K12" s="1" t="s">
        <v>74</v>
      </c>
      <c r="L12" s="21">
        <v>36.5</v>
      </c>
      <c r="M12" s="17" t="s">
        <v>19</v>
      </c>
      <c r="N12" s="21">
        <v>0</v>
      </c>
      <c r="O12" s="22" t="s">
        <v>20</v>
      </c>
      <c r="P12" s="19">
        <v>39.4</v>
      </c>
      <c r="Q12" s="22" t="s">
        <v>178</v>
      </c>
      <c r="R12" s="21">
        <v>5.7</v>
      </c>
      <c r="S12" s="22" t="s">
        <v>20</v>
      </c>
      <c r="T12" s="21">
        <v>9.4</v>
      </c>
      <c r="U12" s="1" t="s">
        <v>68</v>
      </c>
      <c r="AJ12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1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5" ht="24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35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35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35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35" ht="115.2" x14ac:dyDescent="0.25">
      <c r="A5" s="7" t="s">
        <v>204</v>
      </c>
      <c r="B5" s="8" t="s">
        <v>205</v>
      </c>
      <c r="C5" s="3" t="s">
        <v>17</v>
      </c>
      <c r="D5" s="9">
        <v>36.1</v>
      </c>
      <c r="E5" s="10" t="s">
        <v>19</v>
      </c>
      <c r="F5" s="9">
        <v>0</v>
      </c>
      <c r="G5" s="10" t="s">
        <v>19</v>
      </c>
      <c r="H5" s="9">
        <v>0</v>
      </c>
      <c r="I5" s="9"/>
      <c r="J5" s="9"/>
      <c r="K5" s="3" t="s">
        <v>18</v>
      </c>
      <c r="L5" s="9">
        <v>32.1</v>
      </c>
      <c r="M5" s="9"/>
      <c r="N5" s="9"/>
      <c r="O5" s="8" t="s">
        <v>20</v>
      </c>
      <c r="P5" s="9">
        <v>68.2</v>
      </c>
      <c r="Q5" s="8" t="s">
        <v>178</v>
      </c>
      <c r="R5" s="9">
        <v>10.7</v>
      </c>
      <c r="S5" s="8" t="s">
        <v>20</v>
      </c>
      <c r="T5" s="9">
        <v>15.2</v>
      </c>
      <c r="U5" s="10" t="s">
        <v>19</v>
      </c>
      <c r="AI5" s="95"/>
    </row>
    <row r="6" spans="1:35" ht="115.2" x14ac:dyDescent="0.25">
      <c r="A6" s="7" t="s">
        <v>206</v>
      </c>
      <c r="B6" s="10" t="s">
        <v>32</v>
      </c>
      <c r="C6" s="3" t="s">
        <v>17</v>
      </c>
      <c r="D6" s="9">
        <v>41.8</v>
      </c>
      <c r="E6" s="10" t="s">
        <v>19</v>
      </c>
      <c r="F6" s="9">
        <v>0</v>
      </c>
      <c r="G6" s="3" t="s">
        <v>18</v>
      </c>
      <c r="H6" s="9">
        <v>47.6</v>
      </c>
      <c r="I6" s="9"/>
      <c r="J6" s="9"/>
      <c r="K6" s="3" t="s">
        <v>18</v>
      </c>
      <c r="L6" s="9">
        <v>14.6</v>
      </c>
      <c r="M6" s="9"/>
      <c r="N6" s="9"/>
      <c r="O6" s="8" t="s">
        <v>20</v>
      </c>
      <c r="P6" s="9">
        <v>104</v>
      </c>
      <c r="Q6" s="8" t="s">
        <v>178</v>
      </c>
      <c r="R6" s="9">
        <v>41.2</v>
      </c>
      <c r="S6" s="8" t="s">
        <v>20</v>
      </c>
      <c r="T6" s="9">
        <v>18.100000000000001</v>
      </c>
      <c r="U6" s="10" t="s">
        <v>19</v>
      </c>
      <c r="AI6" s="95"/>
    </row>
    <row r="7" spans="1:35" ht="115.2" x14ac:dyDescent="0.25">
      <c r="A7" s="7" t="s">
        <v>207</v>
      </c>
      <c r="B7" s="10" t="s">
        <v>32</v>
      </c>
      <c r="C7" s="3" t="s">
        <v>17</v>
      </c>
      <c r="D7" s="9">
        <v>56.7</v>
      </c>
      <c r="E7" s="10" t="s">
        <v>19</v>
      </c>
      <c r="F7" s="9">
        <v>0</v>
      </c>
      <c r="G7" s="3" t="s">
        <v>18</v>
      </c>
      <c r="H7" s="9">
        <v>74</v>
      </c>
      <c r="I7" s="9"/>
      <c r="J7" s="9"/>
      <c r="K7" s="3" t="s">
        <v>18</v>
      </c>
      <c r="L7" s="9">
        <v>7.2</v>
      </c>
      <c r="M7" s="9"/>
      <c r="N7" s="9"/>
      <c r="O7" s="8" t="s">
        <v>20</v>
      </c>
      <c r="P7" s="9">
        <v>137.9</v>
      </c>
      <c r="Q7" s="8" t="s">
        <v>178</v>
      </c>
      <c r="R7" s="9">
        <v>60.8</v>
      </c>
      <c r="S7" s="8" t="s">
        <v>20</v>
      </c>
      <c r="T7" s="9">
        <v>42.3</v>
      </c>
      <c r="U7" s="10" t="s">
        <v>19</v>
      </c>
      <c r="AI7" s="95"/>
    </row>
    <row r="8" spans="1:35" ht="187.2" x14ac:dyDescent="0.25">
      <c r="A8" s="7" t="s">
        <v>208</v>
      </c>
      <c r="B8" s="8" t="s">
        <v>209</v>
      </c>
      <c r="C8" s="3" t="s">
        <v>17</v>
      </c>
      <c r="D8" s="9">
        <v>105.7</v>
      </c>
      <c r="E8" s="3" t="s">
        <v>18</v>
      </c>
      <c r="F8" s="9">
        <v>38.299999999999997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144</v>
      </c>
      <c r="Q8" s="3" t="s">
        <v>210</v>
      </c>
      <c r="R8" s="9">
        <v>26</v>
      </c>
      <c r="S8" s="8" t="s">
        <v>20</v>
      </c>
      <c r="T8" s="9">
        <v>40.4</v>
      </c>
      <c r="U8" s="10" t="s">
        <v>19</v>
      </c>
      <c r="AI8" s="95"/>
    </row>
    <row r="9" spans="1:35" ht="187.2" x14ac:dyDescent="0.25">
      <c r="A9" s="7" t="s">
        <v>211</v>
      </c>
      <c r="B9" s="8" t="s">
        <v>212</v>
      </c>
      <c r="C9" s="3" t="s">
        <v>17</v>
      </c>
      <c r="D9" s="9">
        <v>78.8</v>
      </c>
      <c r="E9" s="3" t="s">
        <v>18</v>
      </c>
      <c r="F9" s="9">
        <v>36.5</v>
      </c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9"/>
      <c r="N9" s="9"/>
      <c r="O9" s="8" t="s">
        <v>20</v>
      </c>
      <c r="P9" s="9">
        <v>115.3</v>
      </c>
      <c r="Q9" s="3" t="s">
        <v>210</v>
      </c>
      <c r="R9" s="9">
        <v>19.3</v>
      </c>
      <c r="S9" s="8" t="s">
        <v>20</v>
      </c>
      <c r="T9" s="9">
        <v>30</v>
      </c>
      <c r="U9" s="10" t="s">
        <v>19</v>
      </c>
      <c r="AI9" s="95"/>
    </row>
    <row r="10" spans="1:35" ht="115.2" x14ac:dyDescent="0.25">
      <c r="A10" s="17" t="s">
        <v>213</v>
      </c>
      <c r="B10" s="22" t="s">
        <v>134</v>
      </c>
      <c r="C10" s="1" t="s">
        <v>17</v>
      </c>
      <c r="D10" s="21">
        <v>26.2</v>
      </c>
      <c r="E10" s="17" t="s">
        <v>19</v>
      </c>
      <c r="F10" s="21">
        <v>0</v>
      </c>
      <c r="G10" s="1" t="s">
        <v>18</v>
      </c>
      <c r="H10" s="21">
        <v>4.8</v>
      </c>
      <c r="I10" s="85"/>
      <c r="J10" s="85"/>
      <c r="K10" s="1" t="s">
        <v>18</v>
      </c>
      <c r="L10" s="21">
        <v>9.1</v>
      </c>
      <c r="M10" s="85"/>
      <c r="N10" s="85"/>
      <c r="O10" s="22" t="s">
        <v>20</v>
      </c>
      <c r="P10" s="21">
        <v>40.1</v>
      </c>
      <c r="Q10" s="22" t="s">
        <v>178</v>
      </c>
      <c r="R10" s="21">
        <v>6.5</v>
      </c>
      <c r="S10" s="22" t="s">
        <v>20</v>
      </c>
      <c r="T10" s="21">
        <v>8.6</v>
      </c>
      <c r="U10" s="17" t="s">
        <v>19</v>
      </c>
      <c r="AI10" s="95"/>
    </row>
    <row r="11" spans="1:35" ht="86.4" x14ac:dyDescent="0.25">
      <c r="A11" s="17" t="s">
        <v>214</v>
      </c>
      <c r="B11" s="17" t="s">
        <v>32</v>
      </c>
      <c r="C11" s="1" t="s">
        <v>94</v>
      </c>
      <c r="D11" s="21">
        <v>18</v>
      </c>
      <c r="E11" s="17" t="s">
        <v>19</v>
      </c>
      <c r="F11" s="21">
        <v>0</v>
      </c>
      <c r="G11" s="1" t="s">
        <v>74</v>
      </c>
      <c r="H11" s="21">
        <v>73.900000000000006</v>
      </c>
      <c r="I11" s="85"/>
      <c r="J11" s="85"/>
      <c r="K11" s="1" t="s">
        <v>74</v>
      </c>
      <c r="L11" s="19">
        <v>36.4</v>
      </c>
      <c r="M11" s="84"/>
      <c r="N11" s="84"/>
      <c r="O11" s="22" t="s">
        <v>20</v>
      </c>
      <c r="P11" s="19">
        <v>128.30000000000001</v>
      </c>
      <c r="Q11" s="1" t="s">
        <v>21</v>
      </c>
      <c r="R11" s="21">
        <v>25.1</v>
      </c>
      <c r="S11" s="22" t="s">
        <v>20</v>
      </c>
      <c r="T11" s="21">
        <v>28</v>
      </c>
      <c r="U11" s="17" t="s">
        <v>19</v>
      </c>
      <c r="AI11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2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1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1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09" t="s">
        <v>63</v>
      </c>
      <c r="J3" s="109"/>
      <c r="K3" s="109" t="s">
        <v>64</v>
      </c>
      <c r="L3" s="109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1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1" ht="144" x14ac:dyDescent="0.25">
      <c r="A5" s="99" t="s">
        <v>75</v>
      </c>
      <c r="B5" s="97" t="s">
        <v>76</v>
      </c>
      <c r="C5" s="97" t="s">
        <v>67</v>
      </c>
      <c r="D5" s="101">
        <v>38.1</v>
      </c>
      <c r="E5" s="101"/>
      <c r="F5" s="101"/>
      <c r="G5" s="97" t="s">
        <v>71</v>
      </c>
      <c r="H5" s="101">
        <v>45.7</v>
      </c>
      <c r="I5" s="101"/>
      <c r="J5" s="101"/>
      <c r="K5" s="102" t="s">
        <v>19</v>
      </c>
      <c r="L5" s="101">
        <v>0</v>
      </c>
      <c r="M5" s="101"/>
      <c r="N5" s="101"/>
      <c r="O5" s="100" t="s">
        <v>20</v>
      </c>
      <c r="P5" s="101">
        <v>83.8</v>
      </c>
      <c r="Q5" s="97" t="s">
        <v>21</v>
      </c>
      <c r="R5" s="101">
        <v>43.1</v>
      </c>
      <c r="S5" s="100" t="s">
        <v>20</v>
      </c>
      <c r="T5" s="101">
        <v>22.2</v>
      </c>
      <c r="U5" s="97" t="s">
        <v>68</v>
      </c>
    </row>
    <row r="6" spans="1:21" ht="86.4" x14ac:dyDescent="0.25">
      <c r="A6" s="99" t="s">
        <v>217</v>
      </c>
      <c r="B6" s="100" t="s">
        <v>218</v>
      </c>
      <c r="C6" s="97" t="s">
        <v>67</v>
      </c>
      <c r="D6" s="101">
        <v>52.2</v>
      </c>
      <c r="E6" s="101"/>
      <c r="F6" s="101"/>
      <c r="G6" s="97" t="s">
        <v>71</v>
      </c>
      <c r="H6" s="101">
        <v>47.9</v>
      </c>
      <c r="I6" s="101"/>
      <c r="J6" s="101"/>
      <c r="K6" s="97" t="s">
        <v>71</v>
      </c>
      <c r="L6" s="101">
        <v>13.8</v>
      </c>
      <c r="M6" s="101"/>
      <c r="N6" s="101"/>
      <c r="O6" s="100" t="s">
        <v>20</v>
      </c>
      <c r="P6" s="101">
        <v>114</v>
      </c>
      <c r="Q6" s="110" t="s">
        <v>30</v>
      </c>
      <c r="R6" s="101">
        <v>63.7</v>
      </c>
      <c r="S6" s="100" t="s">
        <v>20</v>
      </c>
      <c r="T6" s="101">
        <v>34.1</v>
      </c>
      <c r="U6" s="97" t="s">
        <v>68</v>
      </c>
    </row>
    <row r="7" spans="1:21" ht="86.4" x14ac:dyDescent="0.25">
      <c r="A7" s="99" t="s">
        <v>221</v>
      </c>
      <c r="B7" s="97" t="s">
        <v>222</v>
      </c>
      <c r="C7" s="97" t="s">
        <v>67</v>
      </c>
      <c r="D7" s="101">
        <v>47.5</v>
      </c>
      <c r="E7" s="101"/>
      <c r="F7" s="101"/>
      <c r="G7" s="97" t="s">
        <v>71</v>
      </c>
      <c r="H7" s="101">
        <v>68.599999999999994</v>
      </c>
      <c r="I7" s="101"/>
      <c r="J7" s="101"/>
      <c r="K7" s="97" t="s">
        <v>71</v>
      </c>
      <c r="L7" s="101">
        <v>16.7</v>
      </c>
      <c r="M7" s="101"/>
      <c r="N7" s="101"/>
      <c r="O7" s="100" t="s">
        <v>20</v>
      </c>
      <c r="P7" s="101">
        <v>132.80000000000001</v>
      </c>
      <c r="Q7" s="110" t="s">
        <v>30</v>
      </c>
      <c r="R7" s="101">
        <v>90.2</v>
      </c>
      <c r="S7" s="100" t="s">
        <v>20</v>
      </c>
      <c r="T7" s="101">
        <v>40.299999999999997</v>
      </c>
      <c r="U7" s="97" t="s">
        <v>68</v>
      </c>
    </row>
    <row r="8" spans="1:21" ht="86.4" x14ac:dyDescent="0.25">
      <c r="A8" s="102" t="s">
        <v>225</v>
      </c>
      <c r="B8" s="100" t="s">
        <v>226</v>
      </c>
      <c r="C8" s="97" t="s">
        <v>67</v>
      </c>
      <c r="D8" s="101">
        <v>22.2</v>
      </c>
      <c r="E8" s="101"/>
      <c r="F8" s="101"/>
      <c r="G8" s="97" t="s">
        <v>71</v>
      </c>
      <c r="H8" s="111">
        <v>54.5</v>
      </c>
      <c r="I8" s="111"/>
      <c r="J8" s="111"/>
      <c r="K8" s="97" t="s">
        <v>71</v>
      </c>
      <c r="L8" s="101">
        <v>19.5</v>
      </c>
      <c r="M8" s="101"/>
      <c r="N8" s="101"/>
      <c r="O8" s="100" t="s">
        <v>20</v>
      </c>
      <c r="P8" s="101">
        <v>96.2</v>
      </c>
      <c r="Q8" s="100" t="s">
        <v>30</v>
      </c>
      <c r="R8" s="101">
        <v>39.799999999999997</v>
      </c>
      <c r="S8" s="100" t="s">
        <v>20</v>
      </c>
      <c r="T8" s="101">
        <v>26.9</v>
      </c>
      <c r="U8" s="97" t="s">
        <v>68</v>
      </c>
    </row>
    <row r="9" spans="1:21" ht="86.4" x14ac:dyDescent="0.25">
      <c r="A9" s="102" t="s">
        <v>229</v>
      </c>
      <c r="B9" s="100" t="s">
        <v>218</v>
      </c>
      <c r="C9" s="97" t="s">
        <v>67</v>
      </c>
      <c r="D9" s="101">
        <v>87.3</v>
      </c>
      <c r="E9" s="101"/>
      <c r="F9" s="101"/>
      <c r="G9" s="97" t="s">
        <v>71</v>
      </c>
      <c r="H9" s="101">
        <v>11.4</v>
      </c>
      <c r="I9" s="101"/>
      <c r="J9" s="101"/>
      <c r="K9" s="97" t="s">
        <v>71</v>
      </c>
      <c r="L9" s="101">
        <v>13.2</v>
      </c>
      <c r="M9" s="101"/>
      <c r="N9" s="101"/>
      <c r="O9" s="100" t="s">
        <v>20</v>
      </c>
      <c r="P9" s="111">
        <v>111.9</v>
      </c>
      <c r="Q9" s="100" t="s">
        <v>30</v>
      </c>
      <c r="R9" s="111">
        <v>64</v>
      </c>
      <c r="S9" s="100" t="s">
        <v>20</v>
      </c>
      <c r="T9" s="101">
        <v>32.6</v>
      </c>
      <c r="U9" s="97" t="s">
        <v>68</v>
      </c>
    </row>
    <row r="10" spans="1:21" ht="100.8" x14ac:dyDescent="0.25">
      <c r="A10" s="102" t="s">
        <v>232</v>
      </c>
      <c r="B10" s="97" t="s">
        <v>233</v>
      </c>
      <c r="C10" s="97" t="s">
        <v>67</v>
      </c>
      <c r="D10" s="101">
        <v>56.5</v>
      </c>
      <c r="E10" s="101"/>
      <c r="F10" s="101"/>
      <c r="G10" s="97" t="s">
        <v>71</v>
      </c>
      <c r="H10" s="101">
        <v>35.6</v>
      </c>
      <c r="I10" s="101"/>
      <c r="J10" s="101"/>
      <c r="K10" s="97" t="s">
        <v>71</v>
      </c>
      <c r="L10" s="101">
        <v>17.899999999999999</v>
      </c>
      <c r="M10" s="101"/>
      <c r="N10" s="101"/>
      <c r="O10" s="100" t="s">
        <v>20</v>
      </c>
      <c r="P10" s="111">
        <v>110</v>
      </c>
      <c r="Q10" s="97" t="s">
        <v>21</v>
      </c>
      <c r="R10" s="111">
        <v>65.400000000000006</v>
      </c>
      <c r="S10" s="100" t="s">
        <v>20</v>
      </c>
      <c r="T10" s="101">
        <v>33.1</v>
      </c>
      <c r="U10" s="97" t="s">
        <v>68</v>
      </c>
    </row>
    <row r="11" spans="1:21" ht="100.8" x14ac:dyDescent="0.25">
      <c r="A11" s="102" t="s">
        <v>235</v>
      </c>
      <c r="B11" s="97" t="s">
        <v>233</v>
      </c>
      <c r="C11" s="97" t="s">
        <v>67</v>
      </c>
      <c r="D11" s="101">
        <v>58.7</v>
      </c>
      <c r="E11" s="101"/>
      <c r="F11" s="101"/>
      <c r="G11" s="97" t="s">
        <v>71</v>
      </c>
      <c r="H11" s="101">
        <v>36.700000000000003</v>
      </c>
      <c r="I11" s="101"/>
      <c r="J11" s="101"/>
      <c r="K11" s="97" t="s">
        <v>71</v>
      </c>
      <c r="L11" s="101">
        <v>12.3</v>
      </c>
      <c r="M11" s="101"/>
      <c r="N11" s="101"/>
      <c r="O11" s="100" t="s">
        <v>20</v>
      </c>
      <c r="P11" s="111">
        <v>107.7</v>
      </c>
      <c r="Q11" s="97" t="s">
        <v>21</v>
      </c>
      <c r="R11" s="101">
        <v>64.099999999999994</v>
      </c>
      <c r="S11" s="100" t="s">
        <v>20</v>
      </c>
      <c r="T11" s="101">
        <v>32.6</v>
      </c>
      <c r="U11" s="97" t="s">
        <v>68</v>
      </c>
    </row>
    <row r="12" spans="1:21" ht="86.4" x14ac:dyDescent="0.25">
      <c r="A12" s="102" t="s">
        <v>238</v>
      </c>
      <c r="B12" s="100" t="s">
        <v>218</v>
      </c>
      <c r="C12" s="97" t="s">
        <v>67</v>
      </c>
      <c r="D12" s="101">
        <v>91</v>
      </c>
      <c r="E12" s="101"/>
      <c r="F12" s="101"/>
      <c r="G12" s="97" t="s">
        <v>71</v>
      </c>
      <c r="H12" s="101">
        <v>17.3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108.3</v>
      </c>
      <c r="Q12" s="100" t="s">
        <v>30</v>
      </c>
      <c r="R12" s="111">
        <v>64.3</v>
      </c>
      <c r="S12" s="100" t="s">
        <v>20</v>
      </c>
      <c r="T12" s="101">
        <v>33.299999999999997</v>
      </c>
      <c r="U12" s="97" t="s">
        <v>68</v>
      </c>
    </row>
    <row r="13" spans="1:21" ht="86.4" x14ac:dyDescent="0.25">
      <c r="A13" s="102" t="s">
        <v>241</v>
      </c>
      <c r="B13" s="102" t="s">
        <v>32</v>
      </c>
      <c r="C13" s="97" t="s">
        <v>67</v>
      </c>
      <c r="D13" s="101">
        <v>51.5</v>
      </c>
      <c r="E13" s="101"/>
      <c r="F13" s="101"/>
      <c r="G13" s="97" t="s">
        <v>71</v>
      </c>
      <c r="H13" s="101">
        <v>81.400000000000006</v>
      </c>
      <c r="I13" s="101"/>
      <c r="J13" s="101"/>
      <c r="K13" s="97" t="s">
        <v>71</v>
      </c>
      <c r="L13" s="111">
        <v>43.6</v>
      </c>
      <c r="M13" s="111"/>
      <c r="N13" s="111"/>
      <c r="O13" s="100" t="s">
        <v>20</v>
      </c>
      <c r="P13" s="111">
        <v>176.5</v>
      </c>
      <c r="Q13" s="97" t="s">
        <v>21</v>
      </c>
      <c r="R13" s="101">
        <v>91.5</v>
      </c>
      <c r="S13" s="100" t="s">
        <v>20</v>
      </c>
      <c r="T13" s="101">
        <v>41.9</v>
      </c>
      <c r="U13" s="97" t="s">
        <v>68</v>
      </c>
    </row>
    <row r="14" spans="1:21" ht="86.4" x14ac:dyDescent="0.25">
      <c r="A14" s="102" t="s">
        <v>244</v>
      </c>
      <c r="B14" s="100" t="s">
        <v>102</v>
      </c>
      <c r="C14" s="102" t="s">
        <v>19</v>
      </c>
      <c r="D14" s="101">
        <v>0</v>
      </c>
      <c r="E14" s="101"/>
      <c r="F14" s="101"/>
      <c r="G14" s="102" t="s">
        <v>19</v>
      </c>
      <c r="H14" s="101">
        <v>0</v>
      </c>
      <c r="I14" s="101"/>
      <c r="J14" s="101"/>
      <c r="K14" s="97" t="s">
        <v>74</v>
      </c>
      <c r="L14" s="101">
        <v>36.299999999999997</v>
      </c>
      <c r="M14" s="101"/>
      <c r="N14" s="101"/>
      <c r="O14" s="100" t="s">
        <v>20</v>
      </c>
      <c r="P14" s="101">
        <v>36.299999999999997</v>
      </c>
      <c r="Q14" s="97" t="s">
        <v>21</v>
      </c>
      <c r="R14" s="101">
        <v>5.0999999999999996</v>
      </c>
      <c r="S14" s="100" t="s">
        <v>20</v>
      </c>
      <c r="T14" s="101">
        <v>8.9</v>
      </c>
      <c r="U14" s="97" t="s">
        <v>68</v>
      </c>
    </row>
    <row r="15" spans="1:21" ht="86.4" x14ac:dyDescent="0.25">
      <c r="A15" s="99" t="s">
        <v>215</v>
      </c>
      <c r="B15" s="100" t="s">
        <v>216</v>
      </c>
      <c r="C15" s="97" t="s">
        <v>67</v>
      </c>
      <c r="D15" s="101">
        <v>16</v>
      </c>
      <c r="E15" s="101"/>
      <c r="F15" s="101"/>
      <c r="G15" s="102" t="s">
        <v>19</v>
      </c>
      <c r="H15" s="101">
        <v>0</v>
      </c>
      <c r="I15" s="101"/>
      <c r="J15" s="101"/>
      <c r="K15" s="97" t="s">
        <v>71</v>
      </c>
      <c r="L15" s="101">
        <v>37.5</v>
      </c>
      <c r="M15" s="101"/>
      <c r="N15" s="101"/>
      <c r="O15" s="100" t="s">
        <v>20</v>
      </c>
      <c r="P15" s="111">
        <v>53.5</v>
      </c>
      <c r="Q15" s="97" t="s">
        <v>21</v>
      </c>
      <c r="R15" s="101">
        <v>13.1</v>
      </c>
      <c r="S15" s="100" t="s">
        <v>20</v>
      </c>
      <c r="T15" s="111">
        <v>13.5</v>
      </c>
      <c r="U15" s="97" t="s">
        <v>68</v>
      </c>
    </row>
    <row r="16" spans="1:21" ht="86.4" x14ac:dyDescent="0.25">
      <c r="A16" s="99" t="s">
        <v>219</v>
      </c>
      <c r="B16" s="100" t="s">
        <v>220</v>
      </c>
      <c r="C16" s="97" t="s">
        <v>67</v>
      </c>
      <c r="D16" s="101">
        <v>16.3</v>
      </c>
      <c r="E16" s="101"/>
      <c r="F16" s="101"/>
      <c r="G16" s="97" t="s">
        <v>71</v>
      </c>
      <c r="H16" s="101">
        <v>8</v>
      </c>
      <c r="I16" s="101"/>
      <c r="J16" s="101"/>
      <c r="K16" s="97" t="s">
        <v>71</v>
      </c>
      <c r="L16" s="111">
        <v>54.6</v>
      </c>
      <c r="M16" s="111"/>
      <c r="N16" s="111"/>
      <c r="O16" s="100" t="s">
        <v>20</v>
      </c>
      <c r="P16" s="111">
        <v>78.900000000000006</v>
      </c>
      <c r="Q16" s="97" t="s">
        <v>21</v>
      </c>
      <c r="R16" s="101">
        <v>27</v>
      </c>
      <c r="S16" s="100" t="s">
        <v>20</v>
      </c>
      <c r="T16" s="101">
        <v>21.1</v>
      </c>
      <c r="U16" s="97" t="s">
        <v>68</v>
      </c>
    </row>
    <row r="17" spans="1:21" ht="86.4" x14ac:dyDescent="0.25">
      <c r="A17" s="102" t="s">
        <v>223</v>
      </c>
      <c r="B17" s="100" t="s">
        <v>224</v>
      </c>
      <c r="C17" s="97" t="s">
        <v>94</v>
      </c>
      <c r="D17" s="101">
        <v>1.7</v>
      </c>
      <c r="E17" s="101"/>
      <c r="F17" s="101"/>
      <c r="G17" s="97" t="s">
        <v>74</v>
      </c>
      <c r="H17" s="101">
        <v>10.5</v>
      </c>
      <c r="I17" s="101"/>
      <c r="J17" s="101"/>
      <c r="K17" s="97" t="s">
        <v>74</v>
      </c>
      <c r="L17" s="101">
        <v>41.4</v>
      </c>
      <c r="M17" s="101"/>
      <c r="N17" s="101"/>
      <c r="O17" s="100" t="s">
        <v>20</v>
      </c>
      <c r="P17" s="111">
        <v>53.6</v>
      </c>
      <c r="Q17" s="97" t="s">
        <v>21</v>
      </c>
      <c r="R17" s="101">
        <v>12.7</v>
      </c>
      <c r="S17" s="100" t="s">
        <v>20</v>
      </c>
      <c r="T17" s="111">
        <v>13.4</v>
      </c>
      <c r="U17" s="97" t="s">
        <v>68</v>
      </c>
    </row>
    <row r="18" spans="1:21" ht="86.4" x14ac:dyDescent="0.25">
      <c r="A18" s="102" t="s">
        <v>227</v>
      </c>
      <c r="B18" s="100" t="s">
        <v>228</v>
      </c>
      <c r="C18" s="97" t="s">
        <v>94</v>
      </c>
      <c r="D18" s="101">
        <v>5.5</v>
      </c>
      <c r="E18" s="101"/>
      <c r="F18" s="101"/>
      <c r="G18" s="102" t="s">
        <v>19</v>
      </c>
      <c r="H18" s="101">
        <v>0</v>
      </c>
      <c r="I18" s="101"/>
      <c r="J18" s="101"/>
      <c r="K18" s="97" t="s">
        <v>74</v>
      </c>
      <c r="L18" s="101">
        <v>33.299999999999997</v>
      </c>
      <c r="M18" s="101"/>
      <c r="N18" s="101"/>
      <c r="O18" s="100" t="s">
        <v>20</v>
      </c>
      <c r="P18" s="111">
        <v>38.799999999999997</v>
      </c>
      <c r="Q18" s="97" t="s">
        <v>21</v>
      </c>
      <c r="R18" s="101">
        <v>8.5</v>
      </c>
      <c r="S18" s="100" t="s">
        <v>20</v>
      </c>
      <c r="T18" s="101">
        <v>11.6</v>
      </c>
      <c r="U18" s="97" t="s">
        <v>68</v>
      </c>
    </row>
    <row r="19" spans="1:21" ht="86.4" x14ac:dyDescent="0.25">
      <c r="A19" s="102" t="s">
        <v>230</v>
      </c>
      <c r="B19" s="100" t="s">
        <v>231</v>
      </c>
      <c r="C19" s="97" t="s">
        <v>67</v>
      </c>
      <c r="D19" s="101">
        <v>16.8</v>
      </c>
      <c r="E19" s="101"/>
      <c r="F19" s="101"/>
      <c r="G19" s="97" t="s">
        <v>71</v>
      </c>
      <c r="H19" s="101">
        <v>10.3</v>
      </c>
      <c r="I19" s="101"/>
      <c r="J19" s="101"/>
      <c r="K19" s="97" t="s">
        <v>71</v>
      </c>
      <c r="L19" s="101">
        <v>55.5</v>
      </c>
      <c r="M19" s="101"/>
      <c r="N19" s="101"/>
      <c r="O19" s="100" t="s">
        <v>20</v>
      </c>
      <c r="P19" s="111">
        <v>82.6</v>
      </c>
      <c r="Q19" s="97" t="s">
        <v>21</v>
      </c>
      <c r="R19" s="101">
        <v>28</v>
      </c>
      <c r="S19" s="100" t="s">
        <v>20</v>
      </c>
      <c r="T19" s="111">
        <v>21.6</v>
      </c>
      <c r="U19" s="97" t="s">
        <v>68</v>
      </c>
    </row>
    <row r="20" spans="1:21" ht="86.4" x14ac:dyDescent="0.25">
      <c r="A20" s="102" t="s">
        <v>234</v>
      </c>
      <c r="B20" s="100" t="s">
        <v>100</v>
      </c>
      <c r="C20" s="97" t="s">
        <v>94</v>
      </c>
      <c r="D20" s="101">
        <v>7.8</v>
      </c>
      <c r="E20" s="101"/>
      <c r="F20" s="101"/>
      <c r="G20" s="102" t="s">
        <v>19</v>
      </c>
      <c r="H20" s="101">
        <v>0</v>
      </c>
      <c r="I20" s="101"/>
      <c r="J20" s="101"/>
      <c r="K20" s="97" t="s">
        <v>74</v>
      </c>
      <c r="L20" s="101">
        <v>33.1</v>
      </c>
      <c r="M20" s="101"/>
      <c r="N20" s="101"/>
      <c r="O20" s="100" t="s">
        <v>20</v>
      </c>
      <c r="P20" s="111">
        <v>40.799999999999997</v>
      </c>
      <c r="Q20" s="97" t="s">
        <v>21</v>
      </c>
      <c r="R20" s="101">
        <v>10.7</v>
      </c>
      <c r="S20" s="100" t="s">
        <v>20</v>
      </c>
      <c r="T20" s="111">
        <v>12</v>
      </c>
      <c r="U20" s="97" t="s">
        <v>68</v>
      </c>
    </row>
    <row r="21" spans="1:21" ht="86.4" x14ac:dyDescent="0.25">
      <c r="A21" s="102" t="s">
        <v>236</v>
      </c>
      <c r="B21" s="100" t="s">
        <v>237</v>
      </c>
      <c r="C21" s="97" t="s">
        <v>94</v>
      </c>
      <c r="D21" s="101">
        <v>4.5</v>
      </c>
      <c r="E21" s="101"/>
      <c r="F21" s="101"/>
      <c r="G21" s="97" t="s">
        <v>74</v>
      </c>
      <c r="H21" s="101">
        <v>10.8</v>
      </c>
      <c r="I21" s="101"/>
      <c r="J21" s="101"/>
      <c r="K21" s="97" t="s">
        <v>74</v>
      </c>
      <c r="L21" s="101">
        <v>37.5</v>
      </c>
      <c r="M21" s="101"/>
      <c r="N21" s="101"/>
      <c r="O21" s="100" t="s">
        <v>20</v>
      </c>
      <c r="P21" s="111">
        <v>52.9</v>
      </c>
      <c r="Q21" s="97" t="s">
        <v>21</v>
      </c>
      <c r="R21" s="101">
        <v>11.3</v>
      </c>
      <c r="S21" s="100" t="s">
        <v>20</v>
      </c>
      <c r="T21" s="111">
        <v>13</v>
      </c>
      <c r="U21" s="97" t="s">
        <v>68</v>
      </c>
    </row>
    <row r="22" spans="1:21" ht="86.4" x14ac:dyDescent="0.25">
      <c r="A22" s="102" t="s">
        <v>239</v>
      </c>
      <c r="B22" s="100" t="s">
        <v>240</v>
      </c>
      <c r="C22" s="97" t="s">
        <v>67</v>
      </c>
      <c r="D22" s="101">
        <v>22</v>
      </c>
      <c r="E22" s="101"/>
      <c r="F22" s="101"/>
      <c r="G22" s="97" t="s">
        <v>71</v>
      </c>
      <c r="H22" s="101">
        <v>37</v>
      </c>
      <c r="I22" s="101"/>
      <c r="J22" s="101"/>
      <c r="K22" s="97" t="s">
        <v>71</v>
      </c>
      <c r="L22" s="111">
        <v>24.8</v>
      </c>
      <c r="M22" s="111"/>
      <c r="N22" s="111"/>
      <c r="O22" s="100" t="s">
        <v>20</v>
      </c>
      <c r="P22" s="111">
        <v>83.8</v>
      </c>
      <c r="Q22" s="97" t="s">
        <v>21</v>
      </c>
      <c r="R22" s="101">
        <v>31.5</v>
      </c>
      <c r="S22" s="100" t="s">
        <v>20</v>
      </c>
      <c r="T22" s="111">
        <v>23.6</v>
      </c>
      <c r="U22" s="97" t="s">
        <v>68</v>
      </c>
    </row>
    <row r="23" spans="1:21" ht="86.4" x14ac:dyDescent="0.25">
      <c r="A23" s="102" t="s">
        <v>242</v>
      </c>
      <c r="B23" s="100" t="s">
        <v>243</v>
      </c>
      <c r="C23" s="97" t="s">
        <v>67</v>
      </c>
      <c r="D23" s="111">
        <v>532.70000000000005</v>
      </c>
      <c r="E23" s="111"/>
      <c r="F23" s="111"/>
      <c r="G23" s="97" t="s">
        <v>71</v>
      </c>
      <c r="H23" s="101">
        <v>63.7</v>
      </c>
      <c r="I23" s="101"/>
      <c r="J23" s="101"/>
      <c r="K23" s="102" t="s">
        <v>19</v>
      </c>
      <c r="L23" s="101">
        <v>0</v>
      </c>
      <c r="M23" s="101"/>
      <c r="N23" s="101"/>
      <c r="O23" s="100" t="s">
        <v>20</v>
      </c>
      <c r="P23" s="111">
        <v>596.4</v>
      </c>
      <c r="Q23" s="102" t="s">
        <v>19</v>
      </c>
      <c r="R23" s="111">
        <v>703.2</v>
      </c>
      <c r="S23" s="100" t="s">
        <v>20</v>
      </c>
      <c r="T23" s="111">
        <v>81</v>
      </c>
      <c r="U23" s="9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V2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2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2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2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09" t="s">
        <v>63</v>
      </c>
      <c r="J3" s="109"/>
      <c r="K3" s="109" t="s">
        <v>64</v>
      </c>
      <c r="L3" s="109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2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2" ht="86.4" x14ac:dyDescent="0.25">
      <c r="A5" s="99" t="s">
        <v>245</v>
      </c>
      <c r="B5" s="100" t="s">
        <v>246</v>
      </c>
      <c r="C5" s="97" t="s">
        <v>67</v>
      </c>
      <c r="D5" s="101">
        <v>57.1</v>
      </c>
      <c r="E5" s="101"/>
      <c r="F5" s="101"/>
      <c r="G5" s="102" t="s">
        <v>19</v>
      </c>
      <c r="H5" s="101">
        <v>0</v>
      </c>
      <c r="I5" s="101"/>
      <c r="J5" s="101"/>
      <c r="K5" s="97" t="s">
        <v>71</v>
      </c>
      <c r="L5" s="101">
        <v>50.3</v>
      </c>
      <c r="M5" s="101"/>
      <c r="N5" s="101"/>
      <c r="O5" s="100" t="s">
        <v>20</v>
      </c>
      <c r="P5" s="101">
        <v>107.3</v>
      </c>
      <c r="Q5" s="97" t="s">
        <v>21</v>
      </c>
      <c r="R5" s="101">
        <v>23.7</v>
      </c>
      <c r="S5" s="100" t="s">
        <v>20</v>
      </c>
      <c r="T5" s="101">
        <v>25</v>
      </c>
      <c r="U5" s="97" t="s">
        <v>68</v>
      </c>
      <c r="V5" s="95"/>
    </row>
    <row r="6" spans="1:22" ht="86.4" x14ac:dyDescent="0.25">
      <c r="A6" s="99" t="s">
        <v>248</v>
      </c>
      <c r="B6" s="97" t="s">
        <v>249</v>
      </c>
      <c r="C6" s="97" t="s">
        <v>67</v>
      </c>
      <c r="D6" s="101">
        <v>21.2</v>
      </c>
      <c r="E6" s="101"/>
      <c r="F6" s="101"/>
      <c r="G6" s="97" t="s">
        <v>71</v>
      </c>
      <c r="H6" s="101">
        <v>17.8</v>
      </c>
      <c r="I6" s="101"/>
      <c r="J6" s="101"/>
      <c r="K6" s="97" t="s">
        <v>71</v>
      </c>
      <c r="L6" s="101">
        <v>12.8</v>
      </c>
      <c r="M6" s="101"/>
      <c r="N6" s="101"/>
      <c r="O6" s="100" t="s">
        <v>20</v>
      </c>
      <c r="P6" s="101">
        <v>51.7</v>
      </c>
      <c r="Q6" s="110" t="s">
        <v>30</v>
      </c>
      <c r="R6" s="101">
        <v>14</v>
      </c>
      <c r="S6" s="100" t="s">
        <v>20</v>
      </c>
      <c r="T6" s="101">
        <v>14</v>
      </c>
      <c r="U6" s="97" t="s">
        <v>68</v>
      </c>
      <c r="V6" s="95"/>
    </row>
    <row r="7" spans="1:22" ht="86.4" x14ac:dyDescent="0.25">
      <c r="A7" s="102" t="s">
        <v>251</v>
      </c>
      <c r="B7" s="100" t="s">
        <v>98</v>
      </c>
      <c r="C7" s="97" t="s">
        <v>94</v>
      </c>
      <c r="D7" s="101">
        <v>13.7</v>
      </c>
      <c r="E7" s="101"/>
      <c r="F7" s="101"/>
      <c r="G7" s="97" t="s">
        <v>74</v>
      </c>
      <c r="H7" s="101">
        <v>16.3</v>
      </c>
      <c r="I7" s="101"/>
      <c r="J7" s="101"/>
      <c r="K7" s="97" t="s">
        <v>74</v>
      </c>
      <c r="L7" s="101">
        <v>6.7</v>
      </c>
      <c r="M7" s="101"/>
      <c r="N7" s="101"/>
      <c r="O7" s="100" t="s">
        <v>20</v>
      </c>
      <c r="P7" s="101">
        <v>36.700000000000003</v>
      </c>
      <c r="Q7" s="97" t="s">
        <v>21</v>
      </c>
      <c r="R7" s="101">
        <v>5.4</v>
      </c>
      <c r="S7" s="100" t="s">
        <v>20</v>
      </c>
      <c r="T7" s="101">
        <v>8.9</v>
      </c>
      <c r="U7" s="97" t="s">
        <v>68</v>
      </c>
      <c r="V7" s="95"/>
    </row>
    <row r="8" spans="1:22" ht="86.4" x14ac:dyDescent="0.25">
      <c r="A8" s="102" t="s">
        <v>255</v>
      </c>
      <c r="B8" s="100" t="s">
        <v>102</v>
      </c>
      <c r="C8" s="97" t="s">
        <v>94</v>
      </c>
      <c r="D8" s="101">
        <v>8.8000000000000007</v>
      </c>
      <c r="E8" s="101"/>
      <c r="F8" s="101"/>
      <c r="G8" s="97" t="s">
        <v>74</v>
      </c>
      <c r="H8" s="101">
        <v>15</v>
      </c>
      <c r="I8" s="101"/>
      <c r="J8" s="101"/>
      <c r="K8" s="97" t="s">
        <v>74</v>
      </c>
      <c r="L8" s="101">
        <v>27.8</v>
      </c>
      <c r="M8" s="101"/>
      <c r="N8" s="101"/>
      <c r="O8" s="100" t="s">
        <v>20</v>
      </c>
      <c r="P8" s="101">
        <v>51.6</v>
      </c>
      <c r="Q8" s="97" t="s">
        <v>21</v>
      </c>
      <c r="R8" s="101">
        <v>9.8000000000000007</v>
      </c>
      <c r="S8" s="100" t="s">
        <v>20</v>
      </c>
      <c r="T8" s="101">
        <v>12.7</v>
      </c>
      <c r="U8" s="97" t="s">
        <v>68</v>
      </c>
      <c r="V8" s="95"/>
    </row>
    <row r="9" spans="1:22" ht="86.4" x14ac:dyDescent="0.25">
      <c r="A9" s="102" t="s">
        <v>257</v>
      </c>
      <c r="B9" s="100" t="s">
        <v>100</v>
      </c>
      <c r="C9" s="97" t="s">
        <v>94</v>
      </c>
      <c r="D9" s="111">
        <v>49.7</v>
      </c>
      <c r="E9" s="111"/>
      <c r="F9" s="111"/>
      <c r="G9" s="102" t="s">
        <v>19</v>
      </c>
      <c r="H9" s="101">
        <v>0</v>
      </c>
      <c r="I9" s="101"/>
      <c r="J9" s="101"/>
      <c r="K9" s="97" t="s">
        <v>74</v>
      </c>
      <c r="L9" s="101">
        <v>29.9</v>
      </c>
      <c r="M9" s="101"/>
      <c r="N9" s="101"/>
      <c r="O9" s="100" t="s">
        <v>20</v>
      </c>
      <c r="P9" s="101">
        <v>79.599999999999994</v>
      </c>
      <c r="Q9" s="97" t="s">
        <v>21</v>
      </c>
      <c r="R9" s="101">
        <v>15.8</v>
      </c>
      <c r="S9" s="100" t="s">
        <v>20</v>
      </c>
      <c r="T9" s="101">
        <v>20.3</v>
      </c>
      <c r="U9" s="97" t="s">
        <v>68</v>
      </c>
      <c r="V9" s="95"/>
    </row>
    <row r="10" spans="1:22" ht="86.4" x14ac:dyDescent="0.25">
      <c r="A10" s="102" t="s">
        <v>259</v>
      </c>
      <c r="B10" s="100" t="s">
        <v>107</v>
      </c>
      <c r="C10" s="97" t="s">
        <v>94</v>
      </c>
      <c r="D10" s="111">
        <v>49.3</v>
      </c>
      <c r="E10" s="111"/>
      <c r="F10" s="111"/>
      <c r="G10" s="102" t="s">
        <v>19</v>
      </c>
      <c r="H10" s="101">
        <v>0</v>
      </c>
      <c r="I10" s="101"/>
      <c r="J10" s="101"/>
      <c r="K10" s="97" t="s">
        <v>74</v>
      </c>
      <c r="L10" s="101">
        <v>30</v>
      </c>
      <c r="M10" s="101"/>
      <c r="N10" s="101"/>
      <c r="O10" s="100" t="s">
        <v>20</v>
      </c>
      <c r="P10" s="101">
        <v>79.3</v>
      </c>
      <c r="Q10" s="97" t="s">
        <v>21</v>
      </c>
      <c r="R10" s="101">
        <v>15.8</v>
      </c>
      <c r="S10" s="100" t="s">
        <v>20</v>
      </c>
      <c r="T10" s="101">
        <v>20.2</v>
      </c>
      <c r="U10" s="97" t="s">
        <v>68</v>
      </c>
      <c r="V10" s="95"/>
    </row>
    <row r="11" spans="1:22" ht="86.4" x14ac:dyDescent="0.25">
      <c r="A11" s="99" t="s">
        <v>261</v>
      </c>
      <c r="B11" s="100" t="s">
        <v>81</v>
      </c>
      <c r="C11" s="97" t="s">
        <v>94</v>
      </c>
      <c r="D11" s="101">
        <v>7.1</v>
      </c>
      <c r="E11" s="101"/>
      <c r="F11" s="101"/>
      <c r="G11" s="102" t="s">
        <v>19</v>
      </c>
      <c r="H11" s="101">
        <v>0</v>
      </c>
      <c r="I11" s="101"/>
      <c r="J11" s="101"/>
      <c r="K11" s="97" t="s">
        <v>74</v>
      </c>
      <c r="L11" s="101">
        <v>27.3</v>
      </c>
      <c r="M11" s="101"/>
      <c r="N11" s="101"/>
      <c r="O11" s="100" t="s">
        <v>20</v>
      </c>
      <c r="P11" s="101">
        <v>34.4</v>
      </c>
      <c r="Q11" s="97" t="s">
        <v>21</v>
      </c>
      <c r="R11" s="101">
        <v>5.4</v>
      </c>
      <c r="S11" s="100" t="s">
        <v>20</v>
      </c>
      <c r="T11" s="101">
        <v>8.1999999999999993</v>
      </c>
      <c r="U11" s="97" t="s">
        <v>68</v>
      </c>
      <c r="V11" s="95"/>
    </row>
    <row r="12" spans="1:22" ht="86.4" x14ac:dyDescent="0.25">
      <c r="A12" s="99" t="s">
        <v>262</v>
      </c>
      <c r="B12" s="99" t="s">
        <v>32</v>
      </c>
      <c r="C12" s="97" t="s">
        <v>67</v>
      </c>
      <c r="D12" s="101">
        <v>16.3</v>
      </c>
      <c r="E12" s="113"/>
      <c r="F12" s="113"/>
      <c r="G12" s="97" t="s">
        <v>71</v>
      </c>
      <c r="H12" s="101">
        <v>30.6</v>
      </c>
      <c r="I12" s="113"/>
      <c r="J12" s="113"/>
      <c r="K12" s="99" t="s">
        <v>19</v>
      </c>
      <c r="L12" s="101">
        <v>0</v>
      </c>
      <c r="M12" s="113"/>
      <c r="N12" s="113"/>
      <c r="O12" s="110" t="s">
        <v>20</v>
      </c>
      <c r="P12" s="101">
        <v>46.9</v>
      </c>
      <c r="Q12" s="97" t="s">
        <v>21</v>
      </c>
      <c r="R12" s="101">
        <v>19.100000000000001</v>
      </c>
      <c r="S12" s="110" t="s">
        <v>20</v>
      </c>
      <c r="T12" s="101">
        <v>4.7</v>
      </c>
      <c r="U12" s="97" t="s">
        <v>68</v>
      </c>
      <c r="V12" s="95"/>
    </row>
    <row r="13" spans="1:22" ht="86.4" x14ac:dyDescent="0.25">
      <c r="A13" s="102" t="s">
        <v>264</v>
      </c>
      <c r="B13" s="102" t="s">
        <v>265</v>
      </c>
      <c r="C13" s="97" t="s">
        <v>67</v>
      </c>
      <c r="D13" s="111">
        <v>164.1</v>
      </c>
      <c r="E13" s="111"/>
      <c r="F13" s="111"/>
      <c r="G13" s="97" t="s">
        <v>71</v>
      </c>
      <c r="H13" s="101">
        <v>85.3</v>
      </c>
      <c r="I13" s="101"/>
      <c r="J13" s="101"/>
      <c r="K13" s="97" t="s">
        <v>71</v>
      </c>
      <c r="L13" s="111">
        <v>42.8</v>
      </c>
      <c r="M13" s="111"/>
      <c r="N13" s="111"/>
      <c r="O13" s="100" t="s">
        <v>20</v>
      </c>
      <c r="P13" s="111">
        <v>292.2</v>
      </c>
      <c r="Q13" s="97" t="s">
        <v>21</v>
      </c>
      <c r="R13" s="111">
        <v>377.8</v>
      </c>
      <c r="S13" s="100" t="s">
        <v>20</v>
      </c>
      <c r="T13" s="101">
        <v>70.5</v>
      </c>
      <c r="U13" s="97" t="s">
        <v>68</v>
      </c>
      <c r="V13" s="95"/>
    </row>
    <row r="14" spans="1:22" ht="86.4" x14ac:dyDescent="0.25">
      <c r="A14" s="99" t="s">
        <v>247</v>
      </c>
      <c r="B14" s="102" t="s">
        <v>32</v>
      </c>
      <c r="C14" s="97" t="s">
        <v>67</v>
      </c>
      <c r="D14" s="101">
        <v>138.9</v>
      </c>
      <c r="E14" s="101"/>
      <c r="F14" s="101"/>
      <c r="G14" s="97" t="s">
        <v>71</v>
      </c>
      <c r="H14" s="101">
        <v>123.1</v>
      </c>
      <c r="I14" s="101"/>
      <c r="J14" s="101"/>
      <c r="K14" s="97" t="s">
        <v>71</v>
      </c>
      <c r="L14" s="101">
        <v>6.7</v>
      </c>
      <c r="M14" s="101"/>
      <c r="N14" s="101"/>
      <c r="O14" s="100" t="s">
        <v>20</v>
      </c>
      <c r="P14" s="111">
        <v>268.7</v>
      </c>
      <c r="Q14" s="97" t="s">
        <v>21</v>
      </c>
      <c r="R14" s="101">
        <v>115.5</v>
      </c>
      <c r="S14" s="100" t="s">
        <v>20</v>
      </c>
      <c r="T14" s="111">
        <v>52.7</v>
      </c>
      <c r="U14" s="97" t="s">
        <v>68</v>
      </c>
    </row>
    <row r="15" spans="1:22" ht="86.4" x14ac:dyDescent="0.25">
      <c r="A15" s="99" t="s">
        <v>250</v>
      </c>
      <c r="B15" s="100" t="s">
        <v>126</v>
      </c>
      <c r="C15" s="97" t="s">
        <v>67</v>
      </c>
      <c r="D15" s="101">
        <v>78.7</v>
      </c>
      <c r="E15" s="101"/>
      <c r="F15" s="101"/>
      <c r="G15" s="102" t="s">
        <v>19</v>
      </c>
      <c r="H15" s="101">
        <v>0</v>
      </c>
      <c r="I15" s="101"/>
      <c r="J15" s="101"/>
      <c r="K15" s="102" t="s">
        <v>19</v>
      </c>
      <c r="L15" s="101">
        <v>0</v>
      </c>
      <c r="M15" s="101"/>
      <c r="N15" s="101"/>
      <c r="O15" s="100" t="s">
        <v>20</v>
      </c>
      <c r="P15" s="111">
        <v>78.7</v>
      </c>
      <c r="Q15" s="97" t="s">
        <v>21</v>
      </c>
      <c r="R15" s="101">
        <v>13.5</v>
      </c>
      <c r="S15" s="100" t="s">
        <v>20</v>
      </c>
      <c r="T15" s="111">
        <v>20.5</v>
      </c>
      <c r="U15" s="97" t="s">
        <v>68</v>
      </c>
    </row>
    <row r="16" spans="1:22" ht="86.4" x14ac:dyDescent="0.25">
      <c r="A16" s="99" t="s">
        <v>252</v>
      </c>
      <c r="B16" s="100" t="s">
        <v>128</v>
      </c>
      <c r="C16" s="97" t="s">
        <v>67</v>
      </c>
      <c r="D16" s="101">
        <v>84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84</v>
      </c>
      <c r="Q16" s="97" t="s">
        <v>21</v>
      </c>
      <c r="R16" s="101">
        <v>27.9</v>
      </c>
      <c r="S16" s="100" t="s">
        <v>20</v>
      </c>
      <c r="T16" s="111">
        <v>21.7</v>
      </c>
      <c r="U16" s="97" t="s">
        <v>68</v>
      </c>
    </row>
    <row r="17" spans="1:21" ht="86.4" x14ac:dyDescent="0.25">
      <c r="A17" s="102" t="s">
        <v>253</v>
      </c>
      <c r="B17" s="100" t="s">
        <v>254</v>
      </c>
      <c r="C17" s="97" t="s">
        <v>67</v>
      </c>
      <c r="D17" s="101">
        <v>33.5</v>
      </c>
      <c r="E17" s="101"/>
      <c r="F17" s="101"/>
      <c r="G17" s="97" t="s">
        <v>71</v>
      </c>
      <c r="H17" s="101">
        <v>20.9</v>
      </c>
      <c r="I17" s="101"/>
      <c r="J17" s="101"/>
      <c r="K17" s="102" t="s">
        <v>19</v>
      </c>
      <c r="L17" s="101">
        <v>0</v>
      </c>
      <c r="M17" s="101"/>
      <c r="N17" s="101"/>
      <c r="O17" s="100" t="s">
        <v>20</v>
      </c>
      <c r="P17" s="111">
        <v>54.3</v>
      </c>
      <c r="Q17" s="100" t="s">
        <v>30</v>
      </c>
      <c r="R17" s="101">
        <v>25.9</v>
      </c>
      <c r="S17" s="100" t="s">
        <v>20</v>
      </c>
      <c r="T17" s="111">
        <v>14.5</v>
      </c>
      <c r="U17" s="97" t="s">
        <v>68</v>
      </c>
    </row>
    <row r="18" spans="1:21" ht="86.4" x14ac:dyDescent="0.25">
      <c r="A18" s="102" t="s">
        <v>256</v>
      </c>
      <c r="B18" s="100" t="s">
        <v>130</v>
      </c>
      <c r="C18" s="97" t="s">
        <v>67</v>
      </c>
      <c r="D18" s="101">
        <v>82.1</v>
      </c>
      <c r="E18" s="101"/>
      <c r="F18" s="101"/>
      <c r="G18" s="102" t="s">
        <v>19</v>
      </c>
      <c r="H18" s="101">
        <v>0</v>
      </c>
      <c r="I18" s="101"/>
      <c r="J18" s="101"/>
      <c r="K18" s="102" t="s">
        <v>19</v>
      </c>
      <c r="L18" s="101">
        <v>0</v>
      </c>
      <c r="M18" s="101"/>
      <c r="N18" s="101"/>
      <c r="O18" s="100" t="s">
        <v>20</v>
      </c>
      <c r="P18" s="101">
        <v>82.1</v>
      </c>
      <c r="Q18" s="97" t="s">
        <v>21</v>
      </c>
      <c r="R18" s="101">
        <v>13.6</v>
      </c>
      <c r="S18" s="100" t="s">
        <v>20</v>
      </c>
      <c r="T18" s="111">
        <v>20.5</v>
      </c>
      <c r="U18" s="97" t="s">
        <v>68</v>
      </c>
    </row>
    <row r="19" spans="1:21" ht="86.4" x14ac:dyDescent="0.25">
      <c r="A19" s="102" t="s">
        <v>258</v>
      </c>
      <c r="B19" s="100" t="s">
        <v>132</v>
      </c>
      <c r="C19" s="97" t="s">
        <v>67</v>
      </c>
      <c r="D19" s="101">
        <v>85.1</v>
      </c>
      <c r="E19" s="101"/>
      <c r="F19" s="101"/>
      <c r="G19" s="102" t="s">
        <v>19</v>
      </c>
      <c r="H19" s="101">
        <v>0</v>
      </c>
      <c r="I19" s="101"/>
      <c r="J19" s="101"/>
      <c r="K19" s="97" t="s">
        <v>71</v>
      </c>
      <c r="L19" s="101">
        <v>13.5</v>
      </c>
      <c r="M19" s="101"/>
      <c r="N19" s="101"/>
      <c r="O19" s="100" t="s">
        <v>20</v>
      </c>
      <c r="P19" s="111">
        <v>98.7</v>
      </c>
      <c r="Q19" s="97" t="s">
        <v>21</v>
      </c>
      <c r="R19" s="111">
        <v>23.4</v>
      </c>
      <c r="S19" s="100" t="s">
        <v>20</v>
      </c>
      <c r="T19" s="111">
        <v>24.8</v>
      </c>
      <c r="U19" s="97" t="s">
        <v>68</v>
      </c>
    </row>
    <row r="20" spans="1:21" ht="187.2" x14ac:dyDescent="0.25">
      <c r="A20" s="102" t="s">
        <v>260</v>
      </c>
      <c r="B20" s="102" t="s">
        <v>159</v>
      </c>
      <c r="C20" s="97" t="s">
        <v>94</v>
      </c>
      <c r="D20" s="101">
        <v>10.8</v>
      </c>
      <c r="E20" s="101"/>
      <c r="F20" s="101"/>
      <c r="G20" s="97" t="s">
        <v>74</v>
      </c>
      <c r="H20" s="101">
        <v>15.6</v>
      </c>
      <c r="I20" s="101"/>
      <c r="J20" s="101"/>
      <c r="K20" s="97" t="s">
        <v>74</v>
      </c>
      <c r="L20" s="101">
        <v>21.3</v>
      </c>
      <c r="M20" s="101"/>
      <c r="N20" s="101"/>
      <c r="O20" s="100" t="s">
        <v>20</v>
      </c>
      <c r="P20" s="111">
        <v>47.6</v>
      </c>
      <c r="Q20" s="97" t="s">
        <v>210</v>
      </c>
      <c r="R20" s="101">
        <v>8.3000000000000007</v>
      </c>
      <c r="S20" s="100" t="s">
        <v>20</v>
      </c>
      <c r="T20" s="111">
        <v>10.8</v>
      </c>
      <c r="U20" s="97" t="s">
        <v>68</v>
      </c>
    </row>
    <row r="21" spans="1:21" ht="115.2" x14ac:dyDescent="0.25">
      <c r="A21" s="102" t="s">
        <v>263</v>
      </c>
      <c r="B21" s="100" t="s">
        <v>187</v>
      </c>
      <c r="C21" s="97" t="s">
        <v>17</v>
      </c>
      <c r="D21" s="111">
        <v>43.8</v>
      </c>
      <c r="E21" s="111"/>
      <c r="F21" s="111"/>
      <c r="G21" s="97" t="s">
        <v>18</v>
      </c>
      <c r="H21" s="101">
        <v>6.3</v>
      </c>
      <c r="I21" s="101"/>
      <c r="J21" s="101"/>
      <c r="K21" s="97" t="s">
        <v>18</v>
      </c>
      <c r="L21" s="101">
        <v>33.799999999999997</v>
      </c>
      <c r="M21" s="101"/>
      <c r="N21" s="101"/>
      <c r="O21" s="100" t="s">
        <v>20</v>
      </c>
      <c r="P21" s="111">
        <v>83.9</v>
      </c>
      <c r="Q21" s="100" t="s">
        <v>178</v>
      </c>
      <c r="R21" s="101">
        <v>21.6</v>
      </c>
      <c r="S21" s="100" t="s">
        <v>20</v>
      </c>
      <c r="T21" s="111">
        <v>20.3</v>
      </c>
      <c r="U21" s="102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17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1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1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09" t="s">
        <v>63</v>
      </c>
      <c r="J3" s="109"/>
      <c r="K3" s="109" t="s">
        <v>64</v>
      </c>
      <c r="L3" s="109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1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1" ht="115.2" x14ac:dyDescent="0.25">
      <c r="A5" s="17" t="s">
        <v>266</v>
      </c>
      <c r="B5" s="17" t="s">
        <v>189</v>
      </c>
      <c r="C5" s="1" t="s">
        <v>17</v>
      </c>
      <c r="D5" s="21">
        <v>0.1</v>
      </c>
      <c r="E5" s="85"/>
      <c r="F5" s="85"/>
      <c r="G5" s="1" t="s">
        <v>18</v>
      </c>
      <c r="H5" s="21">
        <v>5.0999999999999996</v>
      </c>
      <c r="I5" s="85"/>
      <c r="J5" s="85"/>
      <c r="K5" s="1" t="s">
        <v>18</v>
      </c>
      <c r="L5" s="19">
        <v>34.5</v>
      </c>
      <c r="M5" s="84"/>
      <c r="N5" s="84"/>
      <c r="O5" s="22" t="s">
        <v>20</v>
      </c>
      <c r="P5" s="21">
        <v>39.700000000000003</v>
      </c>
      <c r="Q5" s="22" t="s">
        <v>178</v>
      </c>
      <c r="R5" s="21">
        <v>6.7</v>
      </c>
      <c r="S5" s="22" t="s">
        <v>20</v>
      </c>
      <c r="T5" s="21">
        <v>9</v>
      </c>
      <c r="U5" s="1" t="s">
        <v>190</v>
      </c>
    </row>
    <row r="6" spans="1:21" ht="86.4" x14ac:dyDescent="0.25">
      <c r="A6" s="7" t="s">
        <v>270</v>
      </c>
      <c r="B6" s="8" t="s">
        <v>192</v>
      </c>
      <c r="C6" s="3" t="s">
        <v>94</v>
      </c>
      <c r="D6" s="9">
        <v>8.5</v>
      </c>
      <c r="E6" s="9"/>
      <c r="F6" s="82"/>
      <c r="G6" s="102" t="s">
        <v>19</v>
      </c>
      <c r="H6" s="101">
        <v>0</v>
      </c>
      <c r="I6" s="101"/>
      <c r="J6" s="101"/>
      <c r="K6" s="97" t="s">
        <v>74</v>
      </c>
      <c r="L6" s="101">
        <v>79.2</v>
      </c>
      <c r="M6" s="101"/>
      <c r="N6" s="101"/>
      <c r="O6" s="100" t="s">
        <v>20</v>
      </c>
      <c r="P6" s="101">
        <v>87.8</v>
      </c>
      <c r="Q6" s="100" t="s">
        <v>178</v>
      </c>
      <c r="R6" s="101">
        <v>29.6</v>
      </c>
      <c r="S6" s="100" t="s">
        <v>20</v>
      </c>
      <c r="T6" s="101">
        <v>21.7</v>
      </c>
      <c r="U6" s="97" t="s">
        <v>68</v>
      </c>
    </row>
    <row r="7" spans="1:21" ht="115.2" x14ac:dyDescent="0.25">
      <c r="A7" s="7" t="s">
        <v>271</v>
      </c>
      <c r="B7" s="10" t="s">
        <v>194</v>
      </c>
      <c r="C7" s="3" t="s">
        <v>17</v>
      </c>
      <c r="D7" s="9">
        <v>46.6</v>
      </c>
      <c r="E7" s="9"/>
      <c r="F7" s="82"/>
      <c r="G7" s="102" t="s">
        <v>19</v>
      </c>
      <c r="H7" s="101">
        <v>0</v>
      </c>
      <c r="I7" s="101"/>
      <c r="J7" s="101"/>
      <c r="K7" s="97" t="s">
        <v>18</v>
      </c>
      <c r="L7" s="101">
        <v>34.299999999999997</v>
      </c>
      <c r="M7" s="101"/>
      <c r="N7" s="101"/>
      <c r="O7" s="100" t="s">
        <v>20</v>
      </c>
      <c r="P7" s="101">
        <v>80.900000000000006</v>
      </c>
      <c r="Q7" s="100" t="s">
        <v>178</v>
      </c>
      <c r="R7" s="101">
        <v>51.3</v>
      </c>
      <c r="S7" s="100" t="s">
        <v>20</v>
      </c>
      <c r="T7" s="101">
        <v>23.6</v>
      </c>
      <c r="U7" s="102" t="s">
        <v>19</v>
      </c>
    </row>
    <row r="8" spans="1:21" ht="115.2" x14ac:dyDescent="0.25">
      <c r="A8" s="7" t="s">
        <v>274</v>
      </c>
      <c r="B8" s="10" t="s">
        <v>196</v>
      </c>
      <c r="C8" s="3" t="s">
        <v>17</v>
      </c>
      <c r="D8" s="9">
        <v>43.2</v>
      </c>
      <c r="E8" s="9"/>
      <c r="F8" s="82"/>
      <c r="G8" s="97" t="s">
        <v>18</v>
      </c>
      <c r="H8" s="101">
        <v>27.9</v>
      </c>
      <c r="I8" s="101"/>
      <c r="J8" s="101"/>
      <c r="K8" s="97" t="s">
        <v>18</v>
      </c>
      <c r="L8" s="101">
        <v>19.8</v>
      </c>
      <c r="M8" s="101"/>
      <c r="N8" s="101"/>
      <c r="O8" s="100" t="s">
        <v>20</v>
      </c>
      <c r="P8" s="101">
        <v>90.9</v>
      </c>
      <c r="Q8" s="100" t="s">
        <v>178</v>
      </c>
      <c r="R8" s="101">
        <v>56.6</v>
      </c>
      <c r="S8" s="100" t="s">
        <v>20</v>
      </c>
      <c r="T8" s="101">
        <v>25</v>
      </c>
      <c r="U8" s="102" t="s">
        <v>19</v>
      </c>
    </row>
    <row r="9" spans="1:21" ht="115.2" x14ac:dyDescent="0.25">
      <c r="A9" s="7" t="s">
        <v>277</v>
      </c>
      <c r="B9" s="8" t="s">
        <v>187</v>
      </c>
      <c r="C9" s="3" t="s">
        <v>17</v>
      </c>
      <c r="D9" s="9">
        <v>33.700000000000003</v>
      </c>
      <c r="E9" s="9"/>
      <c r="F9" s="82"/>
      <c r="G9" s="97" t="s">
        <v>18</v>
      </c>
      <c r="H9" s="101">
        <v>14.4</v>
      </c>
      <c r="I9" s="101"/>
      <c r="J9" s="101"/>
      <c r="K9" s="97" t="s">
        <v>18</v>
      </c>
      <c r="L9" s="101">
        <v>33.799999999999997</v>
      </c>
      <c r="M9" s="101"/>
      <c r="N9" s="101"/>
      <c r="O9" s="100" t="s">
        <v>20</v>
      </c>
      <c r="P9" s="101">
        <v>81.8</v>
      </c>
      <c r="Q9" s="100" t="s">
        <v>178</v>
      </c>
      <c r="R9" s="101">
        <v>21.5</v>
      </c>
      <c r="S9" s="100" t="s">
        <v>20</v>
      </c>
      <c r="T9" s="101">
        <v>20.3</v>
      </c>
      <c r="U9" s="102" t="s">
        <v>19</v>
      </c>
    </row>
    <row r="10" spans="1:21" ht="115.2" x14ac:dyDescent="0.25">
      <c r="A10" s="7" t="s">
        <v>280</v>
      </c>
      <c r="B10" s="10" t="s">
        <v>189</v>
      </c>
      <c r="C10" s="3" t="s">
        <v>17</v>
      </c>
      <c r="D10" s="9">
        <v>0.1</v>
      </c>
      <c r="E10" s="9"/>
      <c r="F10" s="82"/>
      <c r="G10" s="97" t="s">
        <v>18</v>
      </c>
      <c r="H10" s="101">
        <v>5.0999999999999996</v>
      </c>
      <c r="I10" s="101"/>
      <c r="J10" s="101"/>
      <c r="K10" s="97" t="s">
        <v>18</v>
      </c>
      <c r="L10" s="101">
        <v>34.5</v>
      </c>
      <c r="M10" s="101"/>
      <c r="N10" s="101"/>
      <c r="O10" s="100" t="s">
        <v>20</v>
      </c>
      <c r="P10" s="101">
        <v>39.700000000000003</v>
      </c>
      <c r="Q10" s="100" t="s">
        <v>178</v>
      </c>
      <c r="R10" s="101">
        <v>6.7</v>
      </c>
      <c r="S10" s="100" t="s">
        <v>20</v>
      </c>
      <c r="T10" s="101">
        <v>9</v>
      </c>
      <c r="U10" s="97" t="s">
        <v>190</v>
      </c>
    </row>
    <row r="11" spans="1:21" ht="115.2" x14ac:dyDescent="0.25">
      <c r="A11" s="57" t="s">
        <v>281</v>
      </c>
      <c r="B11" s="58" t="s">
        <v>194</v>
      </c>
      <c r="C11" s="79" t="s">
        <v>17</v>
      </c>
      <c r="D11" s="59">
        <v>46.6</v>
      </c>
      <c r="E11" s="94"/>
      <c r="F11" s="66"/>
      <c r="G11" s="112" t="s">
        <v>19</v>
      </c>
      <c r="H11" s="113">
        <v>0</v>
      </c>
      <c r="I11" s="113"/>
      <c r="J11" s="113"/>
      <c r="K11" s="97" t="s">
        <v>18</v>
      </c>
      <c r="L11" s="113">
        <v>34.299999999999997</v>
      </c>
      <c r="M11" s="113"/>
      <c r="N11" s="113"/>
      <c r="O11" s="97" t="s">
        <v>20</v>
      </c>
      <c r="P11" s="113">
        <v>80.8</v>
      </c>
      <c r="Q11" s="97" t="s">
        <v>178</v>
      </c>
      <c r="R11" s="113">
        <v>51.3</v>
      </c>
      <c r="S11" s="97" t="s">
        <v>20</v>
      </c>
      <c r="T11" s="113">
        <v>23.6</v>
      </c>
      <c r="U11" s="112" t="s">
        <v>19</v>
      </c>
    </row>
    <row r="12" spans="1:21" ht="115.2" x14ac:dyDescent="0.25">
      <c r="A12" s="58" t="s">
        <v>282</v>
      </c>
      <c r="B12" s="58" t="s">
        <v>196</v>
      </c>
      <c r="C12" s="79" t="s">
        <v>17</v>
      </c>
      <c r="D12" s="59">
        <v>59.5</v>
      </c>
      <c r="E12" s="94"/>
      <c r="F12" s="66"/>
      <c r="G12" s="97" t="s">
        <v>18</v>
      </c>
      <c r="H12" s="113">
        <v>7.5</v>
      </c>
      <c r="I12" s="113"/>
      <c r="J12" s="113"/>
      <c r="K12" s="97" t="s">
        <v>18</v>
      </c>
      <c r="L12" s="113">
        <v>19.8</v>
      </c>
      <c r="M12" s="113"/>
      <c r="N12" s="113"/>
      <c r="O12" s="97" t="s">
        <v>20</v>
      </c>
      <c r="P12" s="113">
        <v>86.8</v>
      </c>
      <c r="Q12" s="97" t="s">
        <v>178</v>
      </c>
      <c r="R12" s="113">
        <v>56.3</v>
      </c>
      <c r="S12" s="97" t="s">
        <v>20</v>
      </c>
      <c r="T12" s="114">
        <v>24.9</v>
      </c>
      <c r="U12" s="112" t="s">
        <v>19</v>
      </c>
    </row>
    <row r="13" spans="1:21" ht="86.4" x14ac:dyDescent="0.25">
      <c r="A13" s="7" t="s">
        <v>267</v>
      </c>
      <c r="B13" s="8" t="s">
        <v>192</v>
      </c>
      <c r="C13" s="3" t="s">
        <v>94</v>
      </c>
      <c r="D13" s="9">
        <v>8.5</v>
      </c>
      <c r="E13" s="9"/>
      <c r="F13" s="82"/>
      <c r="G13" s="102" t="s">
        <v>19</v>
      </c>
      <c r="H13" s="101">
        <v>0</v>
      </c>
      <c r="I13" s="101"/>
      <c r="J13" s="101"/>
      <c r="K13" s="97" t="s">
        <v>74</v>
      </c>
      <c r="L13" s="101">
        <v>79.2</v>
      </c>
      <c r="M13" s="101"/>
      <c r="N13" s="101"/>
      <c r="O13" s="100" t="s">
        <v>20</v>
      </c>
      <c r="P13" s="111">
        <v>87.7</v>
      </c>
      <c r="Q13" s="100" t="s">
        <v>178</v>
      </c>
      <c r="R13" s="115">
        <v>29.6</v>
      </c>
      <c r="S13" s="100" t="s">
        <v>20</v>
      </c>
      <c r="T13" s="111">
        <v>21.7</v>
      </c>
      <c r="U13" s="97" t="s">
        <v>68</v>
      </c>
    </row>
    <row r="14" spans="1:21" ht="115.2" x14ac:dyDescent="0.25">
      <c r="A14" s="17" t="s">
        <v>268</v>
      </c>
      <c r="B14" s="1" t="s">
        <v>269</v>
      </c>
      <c r="C14" s="1" t="s">
        <v>17</v>
      </c>
      <c r="D14" s="21">
        <v>60.7</v>
      </c>
      <c r="E14" s="85"/>
      <c r="F14" s="87"/>
      <c r="G14" s="97" t="s">
        <v>18</v>
      </c>
      <c r="H14" s="111">
        <v>42.3</v>
      </c>
      <c r="I14" s="111"/>
      <c r="J14" s="111"/>
      <c r="K14" s="97" t="s">
        <v>18</v>
      </c>
      <c r="L14" s="101">
        <v>9.1</v>
      </c>
      <c r="M14" s="101"/>
      <c r="N14" s="101"/>
      <c r="O14" s="100" t="s">
        <v>20</v>
      </c>
      <c r="P14" s="111">
        <v>112.1</v>
      </c>
      <c r="Q14" s="100" t="s">
        <v>178</v>
      </c>
      <c r="R14" s="101">
        <v>81.7</v>
      </c>
      <c r="S14" s="100" t="s">
        <v>20</v>
      </c>
      <c r="T14" s="111">
        <v>31</v>
      </c>
      <c r="U14" s="102" t="s">
        <v>19</v>
      </c>
    </row>
    <row r="15" spans="1:21" ht="115.2" x14ac:dyDescent="0.25">
      <c r="A15" s="7" t="s">
        <v>272</v>
      </c>
      <c r="B15" s="8" t="s">
        <v>273</v>
      </c>
      <c r="C15" s="3" t="s">
        <v>17</v>
      </c>
      <c r="D15" s="9">
        <v>35.4</v>
      </c>
      <c r="E15" s="9"/>
      <c r="F15" s="82"/>
      <c r="G15" s="97" t="s">
        <v>18</v>
      </c>
      <c r="H15" s="101">
        <v>6</v>
      </c>
      <c r="I15" s="101"/>
      <c r="J15" s="101"/>
      <c r="K15" s="102" t="s">
        <v>19</v>
      </c>
      <c r="L15" s="101">
        <v>0</v>
      </c>
      <c r="M15" s="101"/>
      <c r="N15" s="101"/>
      <c r="O15" s="100" t="s">
        <v>20</v>
      </c>
      <c r="P15" s="101">
        <v>41.3</v>
      </c>
      <c r="Q15" s="100" t="s">
        <v>178</v>
      </c>
      <c r="R15" s="116">
        <v>7</v>
      </c>
      <c r="S15" s="100" t="s">
        <v>20</v>
      </c>
      <c r="T15" s="101">
        <v>9.9</v>
      </c>
      <c r="U15" s="102" t="s">
        <v>19</v>
      </c>
    </row>
    <row r="16" spans="1:21" ht="115.2" x14ac:dyDescent="0.25">
      <c r="A16" s="7" t="s">
        <v>275</v>
      </c>
      <c r="B16" s="8" t="s">
        <v>276</v>
      </c>
      <c r="C16" s="3" t="s">
        <v>17</v>
      </c>
      <c r="D16" s="9">
        <v>47.7</v>
      </c>
      <c r="E16" s="9"/>
      <c r="F16" s="82"/>
      <c r="G16" s="97" t="s">
        <v>18</v>
      </c>
      <c r="H16" s="101">
        <v>36.700000000000003</v>
      </c>
      <c r="I16" s="101"/>
      <c r="J16" s="101"/>
      <c r="K16" s="97" t="s">
        <v>18</v>
      </c>
      <c r="L16" s="101">
        <v>17.5</v>
      </c>
      <c r="M16" s="101"/>
      <c r="N16" s="101"/>
      <c r="O16" s="100" t="s">
        <v>20</v>
      </c>
      <c r="P16" s="111">
        <v>102</v>
      </c>
      <c r="Q16" s="100" t="s">
        <v>178</v>
      </c>
      <c r="R16" s="115">
        <v>75.2</v>
      </c>
      <c r="S16" s="100" t="s">
        <v>20</v>
      </c>
      <c r="T16" s="111">
        <v>29.4</v>
      </c>
      <c r="U16" s="102" t="s">
        <v>19</v>
      </c>
    </row>
    <row r="17" spans="1:21" ht="115.2" x14ac:dyDescent="0.25">
      <c r="A17" s="7" t="s">
        <v>278</v>
      </c>
      <c r="B17" s="8" t="s">
        <v>279</v>
      </c>
      <c r="C17" s="3" t="s">
        <v>17</v>
      </c>
      <c r="D17" s="9">
        <v>12.5</v>
      </c>
      <c r="E17" s="9"/>
      <c r="F17" s="82"/>
      <c r="G17" s="97" t="s">
        <v>18</v>
      </c>
      <c r="H17" s="101">
        <v>4.5</v>
      </c>
      <c r="I17" s="101"/>
      <c r="J17" s="101"/>
      <c r="K17" s="97" t="s">
        <v>18</v>
      </c>
      <c r="L17" s="101">
        <v>23.2</v>
      </c>
      <c r="M17" s="101"/>
      <c r="N17" s="101"/>
      <c r="O17" s="100" t="s">
        <v>20</v>
      </c>
      <c r="P17" s="111">
        <v>40.200000000000003</v>
      </c>
      <c r="Q17" s="100" t="s">
        <v>178</v>
      </c>
      <c r="R17" s="116">
        <v>6.2</v>
      </c>
      <c r="S17" s="100" t="s">
        <v>20</v>
      </c>
      <c r="T17" s="101">
        <v>9.6</v>
      </c>
      <c r="U17" s="102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H1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4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34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34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09" t="s">
        <v>63</v>
      </c>
      <c r="J3" s="109"/>
      <c r="K3" s="109" t="s">
        <v>64</v>
      </c>
      <c r="L3" s="109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34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34" ht="187.2" x14ac:dyDescent="0.25">
      <c r="A5" s="7" t="s">
        <v>283</v>
      </c>
      <c r="B5" s="10" t="s">
        <v>32</v>
      </c>
      <c r="C5" s="3" t="s">
        <v>17</v>
      </c>
      <c r="D5" s="9">
        <v>40</v>
      </c>
      <c r="E5" s="3" t="s">
        <v>18</v>
      </c>
      <c r="F5" s="9">
        <v>3.7</v>
      </c>
      <c r="G5" s="3" t="s">
        <v>18</v>
      </c>
      <c r="H5" s="9">
        <v>39.9</v>
      </c>
      <c r="I5" s="9"/>
      <c r="J5" s="9"/>
      <c r="K5" s="3" t="s">
        <v>18</v>
      </c>
      <c r="L5" s="9">
        <v>4.9000000000000004</v>
      </c>
      <c r="M5" s="9"/>
      <c r="N5" s="9"/>
      <c r="O5" s="8" t="s">
        <v>20</v>
      </c>
      <c r="P5" s="9">
        <v>88.6</v>
      </c>
      <c r="Q5" s="8" t="s">
        <v>284</v>
      </c>
      <c r="R5" s="9">
        <v>38.700000000000003</v>
      </c>
      <c r="S5" s="8" t="s">
        <v>20</v>
      </c>
      <c r="T5" s="9">
        <v>14.8</v>
      </c>
      <c r="U5" s="10" t="s">
        <v>19</v>
      </c>
      <c r="AH5" s="95"/>
    </row>
    <row r="6" spans="1:34" ht="86.4" x14ac:dyDescent="0.25">
      <c r="A6" s="7" t="s">
        <v>285</v>
      </c>
      <c r="B6" s="8" t="s">
        <v>102</v>
      </c>
      <c r="C6" s="3" t="s">
        <v>94</v>
      </c>
      <c r="D6" s="9">
        <v>7.1</v>
      </c>
      <c r="E6" s="10" t="s">
        <v>19</v>
      </c>
      <c r="F6" s="9">
        <v>0</v>
      </c>
      <c r="G6" s="3" t="s">
        <v>74</v>
      </c>
      <c r="H6" s="9">
        <v>13.2</v>
      </c>
      <c r="I6" s="9"/>
      <c r="J6" s="9"/>
      <c r="K6" s="3" t="s">
        <v>74</v>
      </c>
      <c r="L6" s="9">
        <v>19.5</v>
      </c>
      <c r="M6" s="9"/>
      <c r="N6" s="9"/>
      <c r="O6" s="8" t="s">
        <v>20</v>
      </c>
      <c r="P6" s="9">
        <v>39.799999999999997</v>
      </c>
      <c r="Q6" s="8" t="s">
        <v>284</v>
      </c>
      <c r="R6" s="9">
        <v>5.8</v>
      </c>
      <c r="S6" s="8" t="s">
        <v>20</v>
      </c>
      <c r="T6" s="9">
        <v>9.6</v>
      </c>
      <c r="U6" s="3" t="s">
        <v>68</v>
      </c>
      <c r="AH6" s="95"/>
    </row>
    <row r="7" spans="1:34" ht="115.2" x14ac:dyDescent="0.25">
      <c r="A7" s="7" t="s">
        <v>286</v>
      </c>
      <c r="B7" s="8" t="s">
        <v>287</v>
      </c>
      <c r="C7" s="3" t="s">
        <v>17</v>
      </c>
      <c r="D7" s="9">
        <v>25.2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3" t="s">
        <v>18</v>
      </c>
      <c r="L7" s="9">
        <v>13.7</v>
      </c>
      <c r="M7" s="9"/>
      <c r="N7" s="9"/>
      <c r="O7" s="8" t="s">
        <v>20</v>
      </c>
      <c r="P7" s="9">
        <v>38.9</v>
      </c>
      <c r="Q7" s="8" t="s">
        <v>284</v>
      </c>
      <c r="R7" s="9">
        <v>6.2</v>
      </c>
      <c r="S7" s="8" t="s">
        <v>20</v>
      </c>
      <c r="T7" s="9">
        <v>9.5</v>
      </c>
      <c r="U7" s="10" t="s">
        <v>19</v>
      </c>
      <c r="AH7" s="95"/>
    </row>
    <row r="8" spans="1:34" ht="187.2" x14ac:dyDescent="0.25">
      <c r="A8" s="7" t="s">
        <v>288</v>
      </c>
      <c r="B8" s="8" t="s">
        <v>209</v>
      </c>
      <c r="C8" s="3" t="s">
        <v>17</v>
      </c>
      <c r="D8" s="9">
        <v>104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104</v>
      </c>
      <c r="Q8" s="3" t="s">
        <v>289</v>
      </c>
      <c r="R8" s="9">
        <v>26.3</v>
      </c>
      <c r="S8" s="8" t="s">
        <v>20</v>
      </c>
      <c r="T8" s="9">
        <v>28.7</v>
      </c>
      <c r="U8" s="10" t="s">
        <v>19</v>
      </c>
      <c r="AH8" s="95"/>
    </row>
    <row r="9" spans="1:34" ht="115.2" x14ac:dyDescent="0.25">
      <c r="A9" s="7" t="s">
        <v>290</v>
      </c>
      <c r="B9" s="8" t="s">
        <v>254</v>
      </c>
      <c r="C9" s="3" t="s">
        <v>17</v>
      </c>
      <c r="D9" s="9">
        <v>25.2</v>
      </c>
      <c r="E9" s="10" t="s">
        <v>19</v>
      </c>
      <c r="F9" s="9">
        <v>0</v>
      </c>
      <c r="G9" s="3" t="s">
        <v>18</v>
      </c>
      <c r="H9" s="9">
        <v>4.7</v>
      </c>
      <c r="I9" s="9"/>
      <c r="J9" s="9"/>
      <c r="K9" s="3" t="s">
        <v>18</v>
      </c>
      <c r="L9" s="9">
        <v>9.1</v>
      </c>
      <c r="M9" s="9"/>
      <c r="N9" s="9"/>
      <c r="O9" s="8" t="s">
        <v>20</v>
      </c>
      <c r="P9" s="9">
        <v>38.9</v>
      </c>
      <c r="Q9" s="8" t="s">
        <v>284</v>
      </c>
      <c r="R9" s="9">
        <v>6.5</v>
      </c>
      <c r="S9" s="8" t="s">
        <v>20</v>
      </c>
      <c r="T9" s="9">
        <v>8.6</v>
      </c>
      <c r="U9" s="10" t="s">
        <v>19</v>
      </c>
      <c r="AH9" s="95"/>
    </row>
    <row r="10" spans="1:34" ht="115.2" x14ac:dyDescent="0.25">
      <c r="A10" s="7" t="s">
        <v>291</v>
      </c>
      <c r="B10" s="10" t="s">
        <v>32</v>
      </c>
      <c r="C10" s="3" t="s">
        <v>17</v>
      </c>
      <c r="D10" s="9">
        <v>60.8</v>
      </c>
      <c r="E10" s="10" t="s">
        <v>19</v>
      </c>
      <c r="F10" s="9">
        <v>0</v>
      </c>
      <c r="G10" s="3" t="s">
        <v>18</v>
      </c>
      <c r="H10" s="9">
        <v>79.099999999999994</v>
      </c>
      <c r="I10" s="9"/>
      <c r="J10" s="9"/>
      <c r="K10" s="3" t="s">
        <v>18</v>
      </c>
      <c r="L10" s="9">
        <v>7.1</v>
      </c>
      <c r="M10" s="9"/>
      <c r="N10" s="9"/>
      <c r="O10" s="8" t="s">
        <v>20</v>
      </c>
      <c r="P10" s="9">
        <v>147</v>
      </c>
      <c r="Q10" s="8" t="s">
        <v>284</v>
      </c>
      <c r="R10" s="9">
        <v>63.1</v>
      </c>
      <c r="S10" s="8" t="s">
        <v>20</v>
      </c>
      <c r="T10" s="9">
        <v>31.5</v>
      </c>
      <c r="U10" s="10" t="s">
        <v>19</v>
      </c>
      <c r="AH10" s="95"/>
    </row>
    <row r="11" spans="1:34" ht="187.2" x14ac:dyDescent="0.25">
      <c r="A11" s="57" t="s">
        <v>292</v>
      </c>
      <c r="B11" s="2" t="s">
        <v>212</v>
      </c>
      <c r="C11" s="79" t="s">
        <v>17</v>
      </c>
      <c r="D11" s="59">
        <v>83.5</v>
      </c>
      <c r="E11" s="58" t="s">
        <v>19</v>
      </c>
      <c r="F11" s="59">
        <v>0</v>
      </c>
      <c r="G11" s="58" t="s">
        <v>19</v>
      </c>
      <c r="H11" s="59">
        <v>0</v>
      </c>
      <c r="I11" s="94"/>
      <c r="J11" s="94"/>
      <c r="K11" s="58" t="s">
        <v>19</v>
      </c>
      <c r="L11" s="59">
        <v>0</v>
      </c>
      <c r="M11" s="94"/>
      <c r="N11" s="94"/>
      <c r="O11" s="2" t="s">
        <v>20</v>
      </c>
      <c r="P11" s="59">
        <v>83.5</v>
      </c>
      <c r="Q11" s="79" t="s">
        <v>289</v>
      </c>
      <c r="R11" s="59">
        <v>18.399999999999999</v>
      </c>
      <c r="S11" s="2" t="s">
        <v>20</v>
      </c>
      <c r="T11" s="59">
        <v>20.399999999999999</v>
      </c>
      <c r="U11" s="58" t="s">
        <v>19</v>
      </c>
      <c r="AH11" s="95"/>
    </row>
    <row r="12" spans="1:34" ht="100.8" x14ac:dyDescent="0.25">
      <c r="A12" s="17" t="s">
        <v>293</v>
      </c>
      <c r="B12" s="17" t="s">
        <v>265</v>
      </c>
      <c r="C12" s="1" t="s">
        <v>67</v>
      </c>
      <c r="D12" s="21">
        <v>43.1</v>
      </c>
      <c r="E12" s="17" t="s">
        <v>19</v>
      </c>
      <c r="F12" s="21">
        <v>0</v>
      </c>
      <c r="G12" s="1" t="s">
        <v>71</v>
      </c>
      <c r="H12" s="21">
        <v>53.7</v>
      </c>
      <c r="I12" s="85"/>
      <c r="J12" s="85"/>
      <c r="K12" s="1" t="s">
        <v>71</v>
      </c>
      <c r="L12" s="21">
        <v>19.100000000000001</v>
      </c>
      <c r="M12" s="85"/>
      <c r="N12" s="85"/>
      <c r="O12" s="22" t="s">
        <v>20</v>
      </c>
      <c r="P12" s="19">
        <v>116</v>
      </c>
      <c r="Q12" s="1" t="s">
        <v>294</v>
      </c>
      <c r="R12" s="21">
        <v>79.599999999999994</v>
      </c>
      <c r="S12" s="22" t="s">
        <v>20</v>
      </c>
      <c r="T12" s="21">
        <v>27.6</v>
      </c>
      <c r="U12" s="1" t="s">
        <v>68</v>
      </c>
      <c r="AH12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2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ht="29.25" customHeight="1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1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1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09" t="s">
        <v>63</v>
      </c>
      <c r="J3" s="109"/>
      <c r="K3" s="109" t="s">
        <v>64</v>
      </c>
      <c r="L3" s="109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1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1" ht="86.4" x14ac:dyDescent="0.25">
      <c r="A5" s="102" t="s">
        <v>295</v>
      </c>
      <c r="B5" s="100" t="s">
        <v>218</v>
      </c>
      <c r="C5" s="97" t="s">
        <v>67</v>
      </c>
      <c r="D5" s="111">
        <v>49.2</v>
      </c>
      <c r="E5" s="111"/>
      <c r="F5" s="111"/>
      <c r="G5" s="97" t="s">
        <v>71</v>
      </c>
      <c r="H5" s="111">
        <v>43.5</v>
      </c>
      <c r="I5" s="111"/>
      <c r="J5" s="111"/>
      <c r="K5" s="97" t="s">
        <v>71</v>
      </c>
      <c r="L5" s="101">
        <v>16.8</v>
      </c>
      <c r="M5" s="101"/>
      <c r="N5" s="101"/>
      <c r="O5" s="100" t="s">
        <v>20</v>
      </c>
      <c r="P5" s="111">
        <v>109.4</v>
      </c>
      <c r="Q5" s="100" t="s">
        <v>30</v>
      </c>
      <c r="R5" s="101">
        <v>62.8</v>
      </c>
      <c r="S5" s="100" t="s">
        <v>20</v>
      </c>
      <c r="T5" s="101">
        <v>25.1</v>
      </c>
      <c r="U5" s="97" t="s">
        <v>68</v>
      </c>
    </row>
    <row r="6" spans="1:21" ht="86.4" x14ac:dyDescent="0.25">
      <c r="A6" s="102" t="s">
        <v>297</v>
      </c>
      <c r="B6" s="97" t="s">
        <v>298</v>
      </c>
      <c r="C6" s="97" t="s">
        <v>67</v>
      </c>
      <c r="D6" s="101">
        <v>30.9</v>
      </c>
      <c r="E6" s="101"/>
      <c r="F6" s="101"/>
      <c r="G6" s="97" t="s">
        <v>71</v>
      </c>
      <c r="H6" s="101">
        <v>68.099999999999994</v>
      </c>
      <c r="I6" s="101"/>
      <c r="J6" s="101"/>
      <c r="K6" s="97" t="s">
        <v>71</v>
      </c>
      <c r="L6" s="111">
        <v>27.4</v>
      </c>
      <c r="M6" s="111"/>
      <c r="N6" s="111"/>
      <c r="O6" s="100" t="s">
        <v>20</v>
      </c>
      <c r="P6" s="111">
        <v>126.4</v>
      </c>
      <c r="Q6" s="100" t="s">
        <v>30</v>
      </c>
      <c r="R6" s="101">
        <v>89.1</v>
      </c>
      <c r="S6" s="100" t="s">
        <v>20</v>
      </c>
      <c r="T6" s="101">
        <v>22.7</v>
      </c>
      <c r="U6" s="97" t="s">
        <v>68</v>
      </c>
    </row>
    <row r="7" spans="1:21" ht="86.4" x14ac:dyDescent="0.25">
      <c r="A7" s="102" t="s">
        <v>301</v>
      </c>
      <c r="B7" s="100" t="s">
        <v>302</v>
      </c>
      <c r="C7" s="97" t="s">
        <v>67</v>
      </c>
      <c r="D7" s="101">
        <v>17.399999999999999</v>
      </c>
      <c r="E7" s="101"/>
      <c r="F7" s="101"/>
      <c r="G7" s="97" t="s">
        <v>71</v>
      </c>
      <c r="H7" s="111">
        <v>48.7</v>
      </c>
      <c r="I7" s="111"/>
      <c r="J7" s="111"/>
      <c r="K7" s="97" t="s">
        <v>71</v>
      </c>
      <c r="L7" s="101">
        <v>16</v>
      </c>
      <c r="M7" s="101"/>
      <c r="N7" s="101"/>
      <c r="O7" s="100" t="s">
        <v>20</v>
      </c>
      <c r="P7" s="101">
        <v>82.2</v>
      </c>
      <c r="Q7" s="100" t="s">
        <v>30</v>
      </c>
      <c r="R7" s="101">
        <v>29.7</v>
      </c>
      <c r="S7" s="100" t="s">
        <v>20</v>
      </c>
      <c r="T7" s="101">
        <v>19.8</v>
      </c>
      <c r="U7" s="97" t="s">
        <v>68</v>
      </c>
    </row>
    <row r="8" spans="1:21" ht="86.4" x14ac:dyDescent="0.25">
      <c r="A8" s="102" t="s">
        <v>305</v>
      </c>
      <c r="B8" s="100" t="s">
        <v>218</v>
      </c>
      <c r="C8" s="97" t="s">
        <v>67</v>
      </c>
      <c r="D8" s="101">
        <v>52.9</v>
      </c>
      <c r="E8" s="101"/>
      <c r="F8" s="101"/>
      <c r="G8" s="97" t="s">
        <v>71</v>
      </c>
      <c r="H8" s="111">
        <v>43.2</v>
      </c>
      <c r="I8" s="111"/>
      <c r="J8" s="111"/>
      <c r="K8" s="97" t="s">
        <v>71</v>
      </c>
      <c r="L8" s="101">
        <v>12.5</v>
      </c>
      <c r="M8" s="101"/>
      <c r="N8" s="101"/>
      <c r="O8" s="100" t="s">
        <v>20</v>
      </c>
      <c r="P8" s="111">
        <v>108.7</v>
      </c>
      <c r="Q8" s="100" t="s">
        <v>30</v>
      </c>
      <c r="R8" s="111">
        <v>64.599999999999994</v>
      </c>
      <c r="S8" s="100" t="s">
        <v>20</v>
      </c>
      <c r="T8" s="101">
        <v>25.1</v>
      </c>
      <c r="U8" s="97" t="s">
        <v>68</v>
      </c>
    </row>
    <row r="9" spans="1:21" ht="86.4" x14ac:dyDescent="0.25">
      <c r="A9" s="102" t="s">
        <v>307</v>
      </c>
      <c r="B9" s="100" t="s">
        <v>218</v>
      </c>
      <c r="C9" s="97" t="s">
        <v>67</v>
      </c>
      <c r="D9" s="101">
        <v>84.1</v>
      </c>
      <c r="E9" s="101"/>
      <c r="F9" s="101"/>
      <c r="G9" s="97" t="s">
        <v>71</v>
      </c>
      <c r="H9" s="101">
        <v>11.3</v>
      </c>
      <c r="I9" s="101"/>
      <c r="J9" s="101"/>
      <c r="K9" s="97" t="s">
        <v>71</v>
      </c>
      <c r="L9" s="101">
        <v>15.3</v>
      </c>
      <c r="M9" s="101"/>
      <c r="N9" s="101"/>
      <c r="O9" s="100" t="s">
        <v>20</v>
      </c>
      <c r="P9" s="111">
        <v>110.8</v>
      </c>
      <c r="Q9" s="100" t="s">
        <v>30</v>
      </c>
      <c r="R9" s="101">
        <v>69.5</v>
      </c>
      <c r="S9" s="100" t="s">
        <v>20</v>
      </c>
      <c r="T9" s="111">
        <v>24.8</v>
      </c>
      <c r="U9" s="97" t="s">
        <v>68</v>
      </c>
    </row>
    <row r="10" spans="1:21" ht="86.4" x14ac:dyDescent="0.25">
      <c r="A10" s="102" t="s">
        <v>309</v>
      </c>
      <c r="B10" s="100" t="s">
        <v>218</v>
      </c>
      <c r="C10" s="97" t="s">
        <v>67</v>
      </c>
      <c r="D10" s="101">
        <v>55.7</v>
      </c>
      <c r="E10" s="101"/>
      <c r="F10" s="101"/>
      <c r="G10" s="97" t="s">
        <v>71</v>
      </c>
      <c r="H10" s="101">
        <v>35.5</v>
      </c>
      <c r="I10" s="101"/>
      <c r="J10" s="101"/>
      <c r="K10" s="97" t="s">
        <v>71</v>
      </c>
      <c r="L10" s="101">
        <v>18.8</v>
      </c>
      <c r="M10" s="101"/>
      <c r="N10" s="101"/>
      <c r="O10" s="100" t="s">
        <v>20</v>
      </c>
      <c r="P10" s="111">
        <v>110</v>
      </c>
      <c r="Q10" s="100" t="s">
        <v>30</v>
      </c>
      <c r="R10" s="111">
        <v>65.400000000000006</v>
      </c>
      <c r="S10" s="100" t="s">
        <v>20</v>
      </c>
      <c r="T10" s="101">
        <v>25.2</v>
      </c>
      <c r="U10" s="97" t="s">
        <v>68</v>
      </c>
    </row>
    <row r="11" spans="1:21" ht="86.4" x14ac:dyDescent="0.25">
      <c r="A11" s="102" t="s">
        <v>311</v>
      </c>
      <c r="B11" s="100" t="s">
        <v>218</v>
      </c>
      <c r="C11" s="97" t="s">
        <v>67</v>
      </c>
      <c r="D11" s="101">
        <v>55.3</v>
      </c>
      <c r="E11" s="101"/>
      <c r="F11" s="101"/>
      <c r="G11" s="97" t="s">
        <v>71</v>
      </c>
      <c r="H11" s="101">
        <v>36.700000000000003</v>
      </c>
      <c r="I11" s="101"/>
      <c r="J11" s="101"/>
      <c r="K11" s="97" t="s">
        <v>71</v>
      </c>
      <c r="L11" s="101">
        <v>15.3</v>
      </c>
      <c r="M11" s="101"/>
      <c r="N11" s="101"/>
      <c r="O11" s="100" t="s">
        <v>20</v>
      </c>
      <c r="P11" s="111">
        <v>107.3</v>
      </c>
      <c r="Q11" s="100" t="s">
        <v>30</v>
      </c>
      <c r="R11" s="101">
        <v>63.7</v>
      </c>
      <c r="S11" s="100" t="s">
        <v>20</v>
      </c>
      <c r="T11" s="101">
        <v>32.6</v>
      </c>
      <c r="U11" s="97" t="s">
        <v>68</v>
      </c>
    </row>
    <row r="12" spans="1:21" ht="86.4" x14ac:dyDescent="0.25">
      <c r="A12" s="102" t="s">
        <v>313</v>
      </c>
      <c r="B12" s="100" t="s">
        <v>218</v>
      </c>
      <c r="C12" s="97" t="s">
        <v>67</v>
      </c>
      <c r="D12" s="101">
        <v>88.8</v>
      </c>
      <c r="E12" s="101"/>
      <c r="F12" s="101"/>
      <c r="G12" s="97" t="s">
        <v>71</v>
      </c>
      <c r="H12" s="101">
        <v>14.9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103.7</v>
      </c>
      <c r="Q12" s="100" t="s">
        <v>30</v>
      </c>
      <c r="R12" s="111">
        <v>123.1</v>
      </c>
      <c r="S12" s="100" t="s">
        <v>20</v>
      </c>
      <c r="T12" s="101">
        <v>33.299999999999997</v>
      </c>
      <c r="U12" s="97" t="s">
        <v>68</v>
      </c>
    </row>
    <row r="13" spans="1:21" ht="86.4" x14ac:dyDescent="0.25">
      <c r="A13" s="102" t="s">
        <v>315</v>
      </c>
      <c r="B13" s="100" t="s">
        <v>81</v>
      </c>
      <c r="C13" s="97" t="s">
        <v>94</v>
      </c>
      <c r="D13" s="101">
        <v>7.1</v>
      </c>
      <c r="E13" s="101"/>
      <c r="F13" s="101"/>
      <c r="G13" s="102" t="s">
        <v>19</v>
      </c>
      <c r="H13" s="101">
        <v>0</v>
      </c>
      <c r="I13" s="101"/>
      <c r="J13" s="101"/>
      <c r="K13" s="97" t="s">
        <v>74</v>
      </c>
      <c r="L13" s="101">
        <v>27.1</v>
      </c>
      <c r="M13" s="101"/>
      <c r="N13" s="101"/>
      <c r="O13" s="100" t="s">
        <v>20</v>
      </c>
      <c r="P13" s="111">
        <v>34.200000000000003</v>
      </c>
      <c r="Q13" s="97" t="s">
        <v>21</v>
      </c>
      <c r="R13" s="101">
        <v>5.4</v>
      </c>
      <c r="S13" s="100" t="s">
        <v>20</v>
      </c>
      <c r="T13" s="101">
        <v>8.1999999999999993</v>
      </c>
      <c r="U13" s="97" t="s">
        <v>68</v>
      </c>
    </row>
    <row r="14" spans="1:21" ht="86.4" x14ac:dyDescent="0.25">
      <c r="A14" s="102" t="s">
        <v>296</v>
      </c>
      <c r="B14" s="100" t="s">
        <v>228</v>
      </c>
      <c r="C14" s="97" t="s">
        <v>94</v>
      </c>
      <c r="D14" s="111">
        <v>49.2</v>
      </c>
      <c r="E14" s="111"/>
      <c r="F14" s="111"/>
      <c r="G14" s="102" t="s">
        <v>19</v>
      </c>
      <c r="H14" s="101">
        <v>0</v>
      </c>
      <c r="I14" s="101"/>
      <c r="J14" s="101"/>
      <c r="K14" s="97" t="s">
        <v>74</v>
      </c>
      <c r="L14" s="101">
        <v>29.9</v>
      </c>
      <c r="M14" s="101"/>
      <c r="N14" s="101"/>
      <c r="O14" s="100" t="s">
        <v>20</v>
      </c>
      <c r="P14" s="101">
        <v>79.099999999999994</v>
      </c>
      <c r="Q14" s="97" t="s">
        <v>21</v>
      </c>
      <c r="R14" s="101">
        <v>15.8</v>
      </c>
      <c r="S14" s="100" t="s">
        <v>20</v>
      </c>
      <c r="T14" s="111">
        <v>20.2</v>
      </c>
      <c r="U14" s="97" t="s">
        <v>68</v>
      </c>
    </row>
    <row r="15" spans="1:21" ht="129.6" x14ac:dyDescent="0.25">
      <c r="A15" s="102" t="s">
        <v>299</v>
      </c>
      <c r="B15" s="97" t="s">
        <v>300</v>
      </c>
      <c r="C15" s="97" t="s">
        <v>67</v>
      </c>
      <c r="D15" s="111">
        <v>316.89999999999998</v>
      </c>
      <c r="E15" s="111"/>
      <c r="F15" s="111"/>
      <c r="G15" s="97" t="s">
        <v>71</v>
      </c>
      <c r="H15" s="111">
        <v>124.2</v>
      </c>
      <c r="I15" s="111"/>
      <c r="J15" s="111"/>
      <c r="K15" s="97" t="s">
        <v>71</v>
      </c>
      <c r="L15" s="101">
        <v>26.1</v>
      </c>
      <c r="M15" s="101"/>
      <c r="N15" s="101"/>
      <c r="O15" s="100" t="s">
        <v>20</v>
      </c>
      <c r="P15" s="111">
        <v>467.2</v>
      </c>
      <c r="Q15" s="97" t="s">
        <v>21</v>
      </c>
      <c r="R15" s="111">
        <v>256.89999999999998</v>
      </c>
      <c r="S15" s="100" t="s">
        <v>20</v>
      </c>
      <c r="T15" s="111">
        <v>80.400000000000006</v>
      </c>
      <c r="U15" s="97" t="s">
        <v>68</v>
      </c>
    </row>
    <row r="16" spans="1:21" ht="86.4" x14ac:dyDescent="0.25">
      <c r="A16" s="102" t="s">
        <v>303</v>
      </c>
      <c r="B16" s="102" t="s">
        <v>304</v>
      </c>
      <c r="C16" s="97" t="s">
        <v>67</v>
      </c>
      <c r="D16" s="101">
        <v>78.7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78.7</v>
      </c>
      <c r="Q16" s="100" t="s">
        <v>30</v>
      </c>
      <c r="R16" s="101">
        <v>13.3</v>
      </c>
      <c r="S16" s="100" t="s">
        <v>20</v>
      </c>
      <c r="T16" s="111">
        <v>13.8</v>
      </c>
      <c r="U16" s="97" t="s">
        <v>68</v>
      </c>
    </row>
    <row r="17" spans="1:21" ht="86.4" x14ac:dyDescent="0.25">
      <c r="A17" s="102" t="s">
        <v>306</v>
      </c>
      <c r="B17" s="100" t="s">
        <v>98</v>
      </c>
      <c r="C17" s="97" t="s">
        <v>94</v>
      </c>
      <c r="D17" s="101">
        <v>13.6</v>
      </c>
      <c r="E17" s="101"/>
      <c r="F17" s="101"/>
      <c r="G17" s="97" t="s">
        <v>74</v>
      </c>
      <c r="H17" s="101">
        <v>16.3</v>
      </c>
      <c r="I17" s="101"/>
      <c r="J17" s="101"/>
      <c r="K17" s="97" t="s">
        <v>74</v>
      </c>
      <c r="L17" s="101">
        <v>6.7</v>
      </c>
      <c r="M17" s="101"/>
      <c r="N17" s="101"/>
      <c r="O17" s="100" t="s">
        <v>20</v>
      </c>
      <c r="P17" s="111">
        <v>36.6</v>
      </c>
      <c r="Q17" s="97" t="s">
        <v>21</v>
      </c>
      <c r="R17" s="101">
        <v>5.4</v>
      </c>
      <c r="S17" s="100" t="s">
        <v>20</v>
      </c>
      <c r="T17" s="101">
        <v>8.9</v>
      </c>
      <c r="U17" s="97" t="s">
        <v>68</v>
      </c>
    </row>
    <row r="18" spans="1:21" ht="86.4" x14ac:dyDescent="0.25">
      <c r="A18" s="102" t="s">
        <v>308</v>
      </c>
      <c r="B18" s="100" t="s">
        <v>102</v>
      </c>
      <c r="C18" s="97" t="s">
        <v>94</v>
      </c>
      <c r="D18" s="101">
        <v>16</v>
      </c>
      <c r="E18" s="101"/>
      <c r="F18" s="101"/>
      <c r="G18" s="97" t="s">
        <v>74</v>
      </c>
      <c r="H18" s="101">
        <v>15</v>
      </c>
      <c r="I18" s="101"/>
      <c r="J18" s="101"/>
      <c r="K18" s="97" t="s">
        <v>74</v>
      </c>
      <c r="L18" s="101">
        <v>30</v>
      </c>
      <c r="M18" s="101"/>
      <c r="N18" s="101"/>
      <c r="O18" s="100" t="s">
        <v>20</v>
      </c>
      <c r="P18" s="101">
        <v>61</v>
      </c>
      <c r="Q18" s="97" t="s">
        <v>21</v>
      </c>
      <c r="R18" s="101">
        <v>11.9</v>
      </c>
      <c r="S18" s="100" t="s">
        <v>20</v>
      </c>
      <c r="T18" s="111">
        <v>15</v>
      </c>
      <c r="U18" s="97" t="s">
        <v>68</v>
      </c>
    </row>
    <row r="19" spans="1:21" ht="86.4" x14ac:dyDescent="0.25">
      <c r="A19" s="102" t="s">
        <v>310</v>
      </c>
      <c r="B19" s="100" t="s">
        <v>254</v>
      </c>
      <c r="C19" s="97" t="s">
        <v>67</v>
      </c>
      <c r="D19" s="101">
        <v>31.8</v>
      </c>
      <c r="E19" s="101"/>
      <c r="F19" s="101"/>
      <c r="G19" s="97" t="s">
        <v>71</v>
      </c>
      <c r="H19" s="101">
        <v>16.2</v>
      </c>
      <c r="I19" s="101"/>
      <c r="J19" s="101"/>
      <c r="K19" s="97" t="s">
        <v>71</v>
      </c>
      <c r="L19" s="101">
        <v>1.2</v>
      </c>
      <c r="M19" s="101"/>
      <c r="N19" s="101"/>
      <c r="O19" s="100" t="s">
        <v>20</v>
      </c>
      <c r="P19" s="101">
        <v>49.1</v>
      </c>
      <c r="Q19" s="100" t="s">
        <v>30</v>
      </c>
      <c r="R19" s="101">
        <v>25.8</v>
      </c>
      <c r="S19" s="100" t="s">
        <v>20</v>
      </c>
      <c r="T19" s="111">
        <v>14.5</v>
      </c>
      <c r="U19" s="97" t="s">
        <v>68</v>
      </c>
    </row>
    <row r="20" spans="1:21" ht="86.4" x14ac:dyDescent="0.25">
      <c r="A20" s="102" t="s">
        <v>312</v>
      </c>
      <c r="B20" s="100" t="s">
        <v>126</v>
      </c>
      <c r="C20" s="97" t="s">
        <v>67</v>
      </c>
      <c r="D20" s="111">
        <v>78.400000000000006</v>
      </c>
      <c r="E20" s="111"/>
      <c r="F20" s="111"/>
      <c r="G20" s="102" t="s">
        <v>19</v>
      </c>
      <c r="H20" s="101">
        <v>0</v>
      </c>
      <c r="I20" s="101"/>
      <c r="J20" s="101"/>
      <c r="K20" s="102" t="s">
        <v>19</v>
      </c>
      <c r="L20" s="101">
        <v>0</v>
      </c>
      <c r="M20" s="101"/>
      <c r="N20" s="101"/>
      <c r="O20" s="100" t="s">
        <v>20</v>
      </c>
      <c r="P20" s="111">
        <v>78.400000000000006</v>
      </c>
      <c r="Q20" s="97" t="s">
        <v>21</v>
      </c>
      <c r="R20" s="111">
        <v>45</v>
      </c>
      <c r="S20" s="100" t="s">
        <v>20</v>
      </c>
      <c r="T20" s="101">
        <v>17.100000000000001</v>
      </c>
      <c r="U20" s="97" t="s">
        <v>68</v>
      </c>
    </row>
    <row r="21" spans="1:21" ht="86.4" x14ac:dyDescent="0.25">
      <c r="A21" s="102" t="s">
        <v>314</v>
      </c>
      <c r="B21" s="102" t="s">
        <v>265</v>
      </c>
      <c r="C21" s="97" t="s">
        <v>67</v>
      </c>
      <c r="D21" s="101">
        <v>94.1</v>
      </c>
      <c r="E21" s="101"/>
      <c r="F21" s="101"/>
      <c r="G21" s="97" t="s">
        <v>71</v>
      </c>
      <c r="H21" s="111">
        <v>54.2</v>
      </c>
      <c r="I21" s="111"/>
      <c r="J21" s="111"/>
      <c r="K21" s="97" t="s">
        <v>71</v>
      </c>
      <c r="L21" s="101">
        <v>8.8000000000000007</v>
      </c>
      <c r="M21" s="101"/>
      <c r="N21" s="101"/>
      <c r="O21" s="100" t="s">
        <v>20</v>
      </c>
      <c r="P21" s="111">
        <v>157.1</v>
      </c>
      <c r="Q21" s="97" t="s">
        <v>21</v>
      </c>
      <c r="R21" s="111">
        <v>207</v>
      </c>
      <c r="S21" s="100" t="s">
        <v>20</v>
      </c>
      <c r="T21" s="111">
        <v>34.200000000000003</v>
      </c>
      <c r="U21" s="97" t="s">
        <v>68</v>
      </c>
    </row>
    <row r="22" spans="1:21" ht="86.4" x14ac:dyDescent="0.25">
      <c r="A22" s="102" t="s">
        <v>316</v>
      </c>
      <c r="B22" s="102" t="s">
        <v>32</v>
      </c>
      <c r="C22" s="97" t="s">
        <v>67</v>
      </c>
      <c r="D22" s="111">
        <v>150.9</v>
      </c>
      <c r="E22" s="111"/>
      <c r="F22" s="111"/>
      <c r="G22" s="97" t="s">
        <v>71</v>
      </c>
      <c r="H22" s="111">
        <v>117.1</v>
      </c>
      <c r="I22" s="111"/>
      <c r="J22" s="111"/>
      <c r="K22" s="97" t="s">
        <v>71</v>
      </c>
      <c r="L22" s="101">
        <v>2.2000000000000002</v>
      </c>
      <c r="M22" s="101"/>
      <c r="N22" s="101"/>
      <c r="O22" s="100" t="s">
        <v>20</v>
      </c>
      <c r="P22" s="111">
        <v>270.2</v>
      </c>
      <c r="Q22" s="97" t="s">
        <v>21</v>
      </c>
      <c r="R22" s="111">
        <v>218.4</v>
      </c>
      <c r="S22" s="100" t="s">
        <v>20</v>
      </c>
      <c r="T22" s="111">
        <v>52.4</v>
      </c>
      <c r="U22" s="9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B17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  <col min="22" max="22" width="12.77734375" customWidth="1"/>
  </cols>
  <sheetData>
    <row r="1" spans="1:28" ht="41.25" customHeight="1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8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07"/>
      <c r="N2" s="107"/>
      <c r="O2" s="107"/>
      <c r="P2" s="107"/>
      <c r="Q2" s="164" t="s">
        <v>4</v>
      </c>
      <c r="R2" s="164"/>
      <c r="S2" s="167" t="s">
        <v>5</v>
      </c>
      <c r="T2" s="167"/>
      <c r="U2" s="108" t="s">
        <v>6</v>
      </c>
    </row>
    <row r="3" spans="1:28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09" t="s">
        <v>63</v>
      </c>
      <c r="J3" s="109"/>
      <c r="K3" s="109" t="s">
        <v>64</v>
      </c>
      <c r="L3" s="109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08"/>
    </row>
    <row r="4" spans="1:28" ht="34.799999999999997" x14ac:dyDescent="0.25">
      <c r="A4" s="165"/>
      <c r="B4" s="164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164"/>
      <c r="R4" s="165"/>
      <c r="S4" s="164"/>
      <c r="T4" s="169"/>
      <c r="U4" s="108"/>
    </row>
    <row r="5" spans="1:28" ht="86.4" hidden="1" x14ac:dyDescent="0.25">
      <c r="A5" s="58" t="s">
        <v>317</v>
      </c>
      <c r="B5" s="2" t="s">
        <v>130</v>
      </c>
      <c r="C5" s="123" t="s">
        <v>67</v>
      </c>
      <c r="D5" s="59">
        <v>84.5</v>
      </c>
      <c r="E5" s="94"/>
      <c r="F5" s="94"/>
      <c r="G5" s="58" t="s">
        <v>19</v>
      </c>
      <c r="H5" s="59">
        <v>0</v>
      </c>
      <c r="I5" s="94"/>
      <c r="J5" s="94"/>
      <c r="K5" s="58" t="s">
        <v>19</v>
      </c>
      <c r="L5" s="59">
        <v>0</v>
      </c>
      <c r="M5" s="94"/>
      <c r="N5" s="94"/>
      <c r="O5" s="2" t="s">
        <v>20</v>
      </c>
      <c r="P5" s="59">
        <v>84.5</v>
      </c>
      <c r="Q5" s="129" t="s">
        <v>21</v>
      </c>
      <c r="R5" s="59">
        <v>48.5</v>
      </c>
      <c r="S5" s="2" t="s">
        <v>20</v>
      </c>
      <c r="T5" s="59">
        <v>20.5</v>
      </c>
      <c r="U5" s="129" t="s">
        <v>68</v>
      </c>
      <c r="V5" s="177"/>
    </row>
    <row r="6" spans="1:28" ht="86.4" hidden="1" x14ac:dyDescent="0.25">
      <c r="A6" s="139" t="s">
        <v>319</v>
      </c>
      <c r="B6" s="137" t="s">
        <v>132</v>
      </c>
      <c r="C6" s="123" t="s">
        <v>67</v>
      </c>
      <c r="D6" s="59">
        <v>114.2</v>
      </c>
      <c r="E6" s="94"/>
      <c r="F6" s="94"/>
      <c r="G6" s="58" t="s">
        <v>19</v>
      </c>
      <c r="H6" s="59">
        <v>0</v>
      </c>
      <c r="I6" s="94"/>
      <c r="J6" s="94"/>
      <c r="K6" s="123" t="s">
        <v>67</v>
      </c>
      <c r="L6" s="59">
        <v>18.600000000000001</v>
      </c>
      <c r="M6" s="94"/>
      <c r="N6" s="94"/>
      <c r="O6" s="2" t="s">
        <v>20</v>
      </c>
      <c r="P6" s="59">
        <v>132.80000000000001</v>
      </c>
      <c r="Q6" s="129" t="s">
        <v>21</v>
      </c>
      <c r="R6" s="59">
        <v>29.4</v>
      </c>
      <c r="S6" s="2" t="s">
        <v>20</v>
      </c>
      <c r="T6" s="59">
        <v>23.3</v>
      </c>
      <c r="U6" s="129" t="s">
        <v>68</v>
      </c>
      <c r="V6" s="177"/>
    </row>
    <row r="7" spans="1:28" ht="115.2" hidden="1" x14ac:dyDescent="0.25">
      <c r="A7" s="58" t="s">
        <v>322</v>
      </c>
      <c r="B7" s="2" t="s">
        <v>187</v>
      </c>
      <c r="C7" s="3" t="s">
        <v>337</v>
      </c>
      <c r="D7" s="59">
        <v>43.6</v>
      </c>
      <c r="E7" s="94"/>
      <c r="F7" s="94"/>
      <c r="G7" s="3" t="s">
        <v>337</v>
      </c>
      <c r="H7" s="59">
        <v>6.3</v>
      </c>
      <c r="I7" s="94"/>
      <c r="J7" s="94"/>
      <c r="K7" s="3" t="s">
        <v>337</v>
      </c>
      <c r="L7" s="59">
        <v>33.6</v>
      </c>
      <c r="M7" s="94"/>
      <c r="N7" s="94"/>
      <c r="O7" s="2" t="s">
        <v>20</v>
      </c>
      <c r="P7" s="59">
        <v>83.5</v>
      </c>
      <c r="Q7" s="2" t="s">
        <v>178</v>
      </c>
      <c r="R7" s="59">
        <v>21.6</v>
      </c>
      <c r="S7" s="2" t="s">
        <v>20</v>
      </c>
      <c r="T7" s="59">
        <v>20.3</v>
      </c>
      <c r="U7" s="58" t="s">
        <v>19</v>
      </c>
      <c r="V7" s="177"/>
    </row>
    <row r="8" spans="1:28" ht="115.2" hidden="1" x14ac:dyDescent="0.25">
      <c r="A8" s="58" t="s">
        <v>325</v>
      </c>
      <c r="B8" s="58" t="s">
        <v>189</v>
      </c>
      <c r="C8" s="3" t="s">
        <v>337</v>
      </c>
      <c r="D8" s="59">
        <v>0.1</v>
      </c>
      <c r="E8" s="94"/>
      <c r="F8" s="94"/>
      <c r="G8" s="3" t="s">
        <v>337</v>
      </c>
      <c r="H8" s="59">
        <v>5</v>
      </c>
      <c r="I8" s="94"/>
      <c r="J8" s="94"/>
      <c r="K8" s="3" t="s">
        <v>337</v>
      </c>
      <c r="L8" s="59">
        <v>34.299999999999997</v>
      </c>
      <c r="M8" s="94"/>
      <c r="N8" s="94"/>
      <c r="O8" s="2" t="s">
        <v>20</v>
      </c>
      <c r="P8" s="59">
        <v>39.5</v>
      </c>
      <c r="Q8" s="2" t="s">
        <v>178</v>
      </c>
      <c r="R8" s="59">
        <v>6.7</v>
      </c>
      <c r="S8" s="2" t="s">
        <v>20</v>
      </c>
      <c r="T8" s="59">
        <v>9</v>
      </c>
      <c r="U8" s="140" t="s">
        <v>360</v>
      </c>
      <c r="V8" s="177"/>
    </row>
    <row r="9" spans="1:28" ht="115.2" hidden="1" x14ac:dyDescent="0.25">
      <c r="A9" s="37" t="s">
        <v>328</v>
      </c>
      <c r="B9" s="37" t="s">
        <v>194</v>
      </c>
      <c r="C9" s="3" t="s">
        <v>337</v>
      </c>
      <c r="D9" s="45">
        <v>45.2</v>
      </c>
      <c r="E9" s="90"/>
      <c r="F9" s="90"/>
      <c r="G9" s="37" t="s">
        <v>19</v>
      </c>
      <c r="H9" s="45">
        <v>0</v>
      </c>
      <c r="I9" s="90"/>
      <c r="J9" s="90"/>
      <c r="K9" s="3" t="s">
        <v>337</v>
      </c>
      <c r="L9" s="45">
        <v>34.1</v>
      </c>
      <c r="M9" s="90"/>
      <c r="N9" s="90"/>
      <c r="O9" s="38" t="s">
        <v>20</v>
      </c>
      <c r="P9" s="45">
        <v>79.3</v>
      </c>
      <c r="Q9" s="2" t="s">
        <v>178</v>
      </c>
      <c r="R9" s="45">
        <v>52.1</v>
      </c>
      <c r="S9" s="38" t="s">
        <v>20</v>
      </c>
      <c r="T9" s="45">
        <v>16.5</v>
      </c>
      <c r="U9" s="37" t="s">
        <v>19</v>
      </c>
      <c r="V9" s="177"/>
    </row>
    <row r="10" spans="1:28" ht="115.2" hidden="1" x14ac:dyDescent="0.25">
      <c r="A10" s="58" t="s">
        <v>331</v>
      </c>
      <c r="B10" s="58" t="s">
        <v>196</v>
      </c>
      <c r="C10" s="129" t="s">
        <v>17</v>
      </c>
      <c r="D10" s="126">
        <v>32.9</v>
      </c>
      <c r="E10" s="126"/>
      <c r="F10" s="126"/>
      <c r="G10" s="129" t="s">
        <v>18</v>
      </c>
      <c r="H10" s="126">
        <v>27.7</v>
      </c>
      <c r="I10" s="126"/>
      <c r="J10" s="126"/>
      <c r="K10" s="129" t="s">
        <v>18</v>
      </c>
      <c r="L10" s="126">
        <v>19.7</v>
      </c>
      <c r="M10" s="126"/>
      <c r="N10" s="126"/>
      <c r="O10" s="125" t="s">
        <v>20</v>
      </c>
      <c r="P10" s="126">
        <v>80.400000000000006</v>
      </c>
      <c r="Q10" s="125" t="s">
        <v>178</v>
      </c>
      <c r="R10" s="126">
        <v>57</v>
      </c>
      <c r="S10" s="2" t="s">
        <v>20</v>
      </c>
      <c r="T10" s="59">
        <v>19.5</v>
      </c>
      <c r="U10" s="58" t="s">
        <v>19</v>
      </c>
      <c r="V10" s="177"/>
    </row>
    <row r="11" spans="1:28" ht="86.4" hidden="1" x14ac:dyDescent="0.25">
      <c r="A11" s="124" t="s">
        <v>334</v>
      </c>
      <c r="B11" s="137" t="s">
        <v>192</v>
      </c>
      <c r="C11" s="129" t="s">
        <v>94</v>
      </c>
      <c r="D11" s="138">
        <v>8.3000000000000007</v>
      </c>
      <c r="E11" s="126"/>
      <c r="F11" s="126"/>
      <c r="G11" s="139" t="s">
        <v>19</v>
      </c>
      <c r="H11" s="138">
        <v>0</v>
      </c>
      <c r="I11" s="126"/>
      <c r="J11" s="126"/>
      <c r="K11" s="129" t="s">
        <v>74</v>
      </c>
      <c r="L11" s="138">
        <v>78.5</v>
      </c>
      <c r="M11" s="126"/>
      <c r="N11" s="126"/>
      <c r="O11" s="137" t="s">
        <v>20</v>
      </c>
      <c r="P11" s="138">
        <v>86.7</v>
      </c>
      <c r="Q11" s="131" t="s">
        <v>178</v>
      </c>
      <c r="R11" s="138">
        <v>29.6</v>
      </c>
      <c r="S11" s="137" t="s">
        <v>20</v>
      </c>
      <c r="T11" s="138">
        <v>21.7</v>
      </c>
      <c r="U11" s="129" t="s">
        <v>68</v>
      </c>
      <c r="V11" s="91"/>
      <c r="W11" s="92"/>
      <c r="X11" s="92"/>
      <c r="Y11" s="92"/>
      <c r="Z11" s="92"/>
      <c r="AA11" s="92"/>
      <c r="AB11" s="92"/>
    </row>
    <row r="12" spans="1:28" ht="115.2" x14ac:dyDescent="0.25">
      <c r="A12" s="60" t="s">
        <v>318</v>
      </c>
      <c r="B12" s="38" t="s">
        <v>187</v>
      </c>
      <c r="C12" s="3" t="s">
        <v>337</v>
      </c>
      <c r="D12" s="61">
        <v>27.9</v>
      </c>
      <c r="E12" s="61"/>
      <c r="F12" s="61"/>
      <c r="G12" s="3" t="s">
        <v>337</v>
      </c>
      <c r="H12" s="45">
        <v>15.1</v>
      </c>
      <c r="I12" s="90"/>
      <c r="J12" s="90"/>
      <c r="K12" s="3" t="s">
        <v>337</v>
      </c>
      <c r="L12" s="39">
        <v>33.700000000000003</v>
      </c>
      <c r="M12" s="141"/>
      <c r="N12" s="40"/>
      <c r="O12" s="44" t="s">
        <v>20</v>
      </c>
      <c r="P12" s="42">
        <v>76.8</v>
      </c>
      <c r="Q12" s="50" t="s">
        <v>178</v>
      </c>
      <c r="R12" s="61">
        <v>21.6</v>
      </c>
      <c r="S12" s="38" t="s">
        <v>20</v>
      </c>
      <c r="T12" s="39">
        <v>18.100000000000001</v>
      </c>
      <c r="U12" s="41" t="s">
        <v>19</v>
      </c>
    </row>
    <row r="13" spans="1:28" ht="115.2" x14ac:dyDescent="0.25">
      <c r="A13" s="58" t="s">
        <v>320</v>
      </c>
      <c r="B13" s="58" t="s">
        <v>194</v>
      </c>
      <c r="C13" s="3" t="s">
        <v>337</v>
      </c>
      <c r="D13" s="59">
        <v>27.8</v>
      </c>
      <c r="E13" s="126"/>
      <c r="F13" s="126"/>
      <c r="G13" s="58" t="s">
        <v>19</v>
      </c>
      <c r="H13" s="59">
        <v>0</v>
      </c>
      <c r="I13" s="126"/>
      <c r="J13" s="126"/>
      <c r="K13" s="2" t="s">
        <v>321</v>
      </c>
      <c r="L13" s="62">
        <v>34.200000000000003</v>
      </c>
      <c r="M13" s="142"/>
      <c r="N13" s="63"/>
      <c r="O13" s="50" t="s">
        <v>20</v>
      </c>
      <c r="P13" s="62">
        <v>62</v>
      </c>
      <c r="Q13" s="50" t="s">
        <v>178</v>
      </c>
      <c r="R13" s="59">
        <v>51.6</v>
      </c>
      <c r="S13" s="2" t="s">
        <v>20</v>
      </c>
      <c r="T13" s="62">
        <v>14.1</v>
      </c>
      <c r="U13" s="64" t="s">
        <v>19</v>
      </c>
    </row>
    <row r="14" spans="1:28" ht="115.2" x14ac:dyDescent="0.25">
      <c r="A14" s="60" t="s">
        <v>323</v>
      </c>
      <c r="B14" s="37" t="s">
        <v>189</v>
      </c>
      <c r="C14" s="3" t="s">
        <v>337</v>
      </c>
      <c r="D14" s="68">
        <v>0.1</v>
      </c>
      <c r="E14" s="68"/>
      <c r="F14" s="68"/>
      <c r="G14" s="3" t="s">
        <v>337</v>
      </c>
      <c r="H14" s="45">
        <v>5</v>
      </c>
      <c r="I14" s="90"/>
      <c r="J14" s="90"/>
      <c r="K14" s="3" t="s">
        <v>337</v>
      </c>
      <c r="L14" s="42">
        <v>34.4</v>
      </c>
      <c r="M14" s="143"/>
      <c r="N14" s="43"/>
      <c r="O14" s="44" t="s">
        <v>20</v>
      </c>
      <c r="P14" s="42">
        <v>39.5</v>
      </c>
      <c r="Q14" s="44" t="s">
        <v>178</v>
      </c>
      <c r="R14" s="68">
        <v>6.7</v>
      </c>
      <c r="S14" s="38" t="s">
        <v>20</v>
      </c>
      <c r="T14" s="39">
        <v>9</v>
      </c>
      <c r="U14" s="50" t="s">
        <v>324</v>
      </c>
    </row>
    <row r="15" spans="1:28" ht="115.2" x14ac:dyDescent="0.3">
      <c r="A15" s="69" t="s">
        <v>326</v>
      </c>
      <c r="B15" s="46" t="s">
        <v>192</v>
      </c>
      <c r="C15" s="3" t="s">
        <v>337</v>
      </c>
      <c r="D15" s="70">
        <v>8.5</v>
      </c>
      <c r="E15" s="70"/>
      <c r="F15" s="70"/>
      <c r="G15" s="71" t="s">
        <v>19</v>
      </c>
      <c r="H15" s="72">
        <v>0</v>
      </c>
      <c r="I15" s="72"/>
      <c r="J15" s="72"/>
      <c r="K15" s="3" t="s">
        <v>337</v>
      </c>
      <c r="L15" s="73">
        <v>78.5</v>
      </c>
      <c r="M15" s="144"/>
      <c r="N15" s="74"/>
      <c r="O15" s="47" t="s">
        <v>20</v>
      </c>
      <c r="P15" s="75">
        <v>87</v>
      </c>
      <c r="Q15" s="93" t="s">
        <v>178</v>
      </c>
      <c r="R15" s="76">
        <v>29.6</v>
      </c>
      <c r="S15" s="46" t="s">
        <v>20</v>
      </c>
      <c r="T15" s="75">
        <v>21.7</v>
      </c>
      <c r="U15" s="50" t="s">
        <v>327</v>
      </c>
    </row>
    <row r="16" spans="1:28" ht="115.2" x14ac:dyDescent="0.25">
      <c r="A16" s="60" t="s">
        <v>329</v>
      </c>
      <c r="B16" s="2" t="s">
        <v>330</v>
      </c>
      <c r="C16" s="3" t="s">
        <v>337</v>
      </c>
      <c r="D16" s="61">
        <v>56.3</v>
      </c>
      <c r="E16" s="61"/>
      <c r="F16" s="61"/>
      <c r="G16" s="3" t="s">
        <v>337</v>
      </c>
      <c r="H16" s="45">
        <v>59.7</v>
      </c>
      <c r="I16" s="90"/>
      <c r="J16" s="90"/>
      <c r="K16" s="3" t="s">
        <v>337</v>
      </c>
      <c r="L16" s="39">
        <v>9.1</v>
      </c>
      <c r="M16" s="141"/>
      <c r="N16" s="40"/>
      <c r="O16" s="44" t="s">
        <v>20</v>
      </c>
      <c r="P16" s="42">
        <v>125.1</v>
      </c>
      <c r="Q16" s="50" t="s">
        <v>178</v>
      </c>
      <c r="R16" s="61">
        <v>78.3</v>
      </c>
      <c r="S16" s="38" t="s">
        <v>20</v>
      </c>
      <c r="T16" s="42">
        <v>35.6</v>
      </c>
      <c r="U16" s="41" t="s">
        <v>19</v>
      </c>
    </row>
    <row r="17" spans="1:21" ht="115.2" x14ac:dyDescent="0.25">
      <c r="A17" s="57" t="s">
        <v>332</v>
      </c>
      <c r="B17" s="2" t="s">
        <v>333</v>
      </c>
      <c r="C17" s="127" t="s">
        <v>17</v>
      </c>
      <c r="D17" s="65">
        <v>33.799999999999997</v>
      </c>
      <c r="E17" s="65"/>
      <c r="F17" s="65"/>
      <c r="G17" s="127" t="s">
        <v>18</v>
      </c>
      <c r="H17" s="59">
        <v>4.8</v>
      </c>
      <c r="I17" s="126"/>
      <c r="J17" s="126"/>
      <c r="K17" s="127" t="s">
        <v>18</v>
      </c>
      <c r="L17" s="66">
        <v>2.6</v>
      </c>
      <c r="M17" s="145"/>
      <c r="N17" s="67"/>
      <c r="O17" s="50" t="s">
        <v>20</v>
      </c>
      <c r="P17" s="66">
        <v>41.2</v>
      </c>
      <c r="Q17" s="50" t="s">
        <v>178</v>
      </c>
      <c r="R17" s="77">
        <v>6.9</v>
      </c>
      <c r="S17" s="2" t="s">
        <v>20</v>
      </c>
      <c r="T17" s="62">
        <v>10</v>
      </c>
      <c r="U17" s="64" t="s">
        <v>19</v>
      </c>
    </row>
  </sheetData>
  <mergeCells count="16">
    <mergeCell ref="V5:V10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K15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7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37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19"/>
      <c r="N2" s="119"/>
      <c r="O2" s="119"/>
      <c r="P2" s="119"/>
      <c r="Q2" s="164" t="s">
        <v>4</v>
      </c>
      <c r="R2" s="164"/>
      <c r="S2" s="167" t="s">
        <v>5</v>
      </c>
      <c r="T2" s="167"/>
      <c r="U2" s="120" t="s">
        <v>6</v>
      </c>
    </row>
    <row r="3" spans="1:37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5" t="s">
        <v>391</v>
      </c>
      <c r="H3" s="171"/>
      <c r="I3" s="117" t="s">
        <v>63</v>
      </c>
      <c r="J3" s="117"/>
      <c r="K3" s="117" t="s">
        <v>64</v>
      </c>
      <c r="L3" s="117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20"/>
    </row>
    <row r="4" spans="1:37" ht="34.799999999999997" x14ac:dyDescent="0.25">
      <c r="A4" s="165"/>
      <c r="B4" s="164"/>
      <c r="C4" s="96" t="s">
        <v>12</v>
      </c>
      <c r="D4" s="118" t="s">
        <v>13</v>
      </c>
      <c r="E4" s="96" t="s">
        <v>12</v>
      </c>
      <c r="F4" s="118" t="s">
        <v>13</v>
      </c>
      <c r="G4" s="96" t="s">
        <v>12</v>
      </c>
      <c r="H4" s="118" t="s">
        <v>13</v>
      </c>
      <c r="I4" s="96" t="s">
        <v>12</v>
      </c>
      <c r="J4" s="118" t="s">
        <v>13</v>
      </c>
      <c r="K4" s="96" t="s">
        <v>12</v>
      </c>
      <c r="L4" s="118" t="s">
        <v>13</v>
      </c>
      <c r="M4" s="96" t="s">
        <v>12</v>
      </c>
      <c r="N4" s="118" t="s">
        <v>13</v>
      </c>
      <c r="O4" s="98" t="s">
        <v>12</v>
      </c>
      <c r="P4" s="118" t="s">
        <v>13</v>
      </c>
      <c r="Q4" s="164"/>
      <c r="R4" s="165"/>
      <c r="S4" s="164"/>
      <c r="T4" s="169"/>
      <c r="U4" s="120"/>
    </row>
    <row r="5" spans="1:37" ht="115.2" x14ac:dyDescent="0.25">
      <c r="A5" s="7" t="s">
        <v>335</v>
      </c>
      <c r="B5" s="3" t="s">
        <v>336</v>
      </c>
      <c r="C5" s="3" t="s">
        <v>337</v>
      </c>
      <c r="D5" s="9">
        <v>44.1</v>
      </c>
      <c r="E5" s="10" t="s">
        <v>19</v>
      </c>
      <c r="F5" s="9">
        <v>0</v>
      </c>
      <c r="G5" s="3" t="s">
        <v>338</v>
      </c>
      <c r="H5" s="9">
        <v>64.400000000000006</v>
      </c>
      <c r="I5" s="9"/>
      <c r="J5" s="9"/>
      <c r="K5" s="3" t="s">
        <v>338</v>
      </c>
      <c r="L5" s="9">
        <v>5.7</v>
      </c>
      <c r="M5" s="9"/>
      <c r="N5" s="9"/>
      <c r="O5" s="8" t="s">
        <v>20</v>
      </c>
      <c r="P5" s="9">
        <v>114.2</v>
      </c>
      <c r="Q5" s="8" t="s">
        <v>339</v>
      </c>
      <c r="R5" s="9">
        <v>77.8</v>
      </c>
      <c r="S5" s="8" t="s">
        <v>20</v>
      </c>
      <c r="T5" s="9">
        <v>31.9</v>
      </c>
      <c r="U5" s="10" t="s">
        <v>19</v>
      </c>
      <c r="V5" s="78"/>
      <c r="AK5" s="95"/>
    </row>
    <row r="6" spans="1:37" ht="86.4" x14ac:dyDescent="0.25">
      <c r="A6" s="7" t="s">
        <v>340</v>
      </c>
      <c r="B6" s="8" t="s">
        <v>341</v>
      </c>
      <c r="C6" s="3" t="s">
        <v>342</v>
      </c>
      <c r="D6" s="9">
        <v>9.1</v>
      </c>
      <c r="E6" s="10" t="s">
        <v>19</v>
      </c>
      <c r="F6" s="9">
        <v>0</v>
      </c>
      <c r="G6" s="3" t="s">
        <v>343</v>
      </c>
      <c r="H6" s="9">
        <v>16.399999999999999</v>
      </c>
      <c r="I6" s="9"/>
      <c r="J6" s="9"/>
      <c r="K6" s="3" t="s">
        <v>343</v>
      </c>
      <c r="L6" s="9">
        <v>13.6</v>
      </c>
      <c r="M6" s="9"/>
      <c r="N6" s="9"/>
      <c r="O6" s="8" t="s">
        <v>20</v>
      </c>
      <c r="P6" s="9">
        <v>39.1</v>
      </c>
      <c r="Q6" s="8" t="s">
        <v>339</v>
      </c>
      <c r="R6" s="9">
        <v>6</v>
      </c>
      <c r="S6" s="8" t="s">
        <v>20</v>
      </c>
      <c r="T6" s="9">
        <v>9.4</v>
      </c>
      <c r="U6" s="3" t="s">
        <v>68</v>
      </c>
      <c r="V6" s="78"/>
      <c r="AK6" s="95"/>
    </row>
    <row r="7" spans="1:37" ht="86.4" x14ac:dyDescent="0.25">
      <c r="A7" s="7" t="s">
        <v>344</v>
      </c>
      <c r="B7" s="8" t="s">
        <v>345</v>
      </c>
      <c r="C7" s="3" t="s">
        <v>342</v>
      </c>
      <c r="D7" s="9">
        <v>24.8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3" t="s">
        <v>343</v>
      </c>
      <c r="L7" s="9">
        <v>13.6</v>
      </c>
      <c r="M7" s="9"/>
      <c r="N7" s="9"/>
      <c r="O7" s="8" t="s">
        <v>20</v>
      </c>
      <c r="P7" s="9">
        <v>38.5</v>
      </c>
      <c r="Q7" s="8" t="s">
        <v>339</v>
      </c>
      <c r="R7" s="9">
        <v>6.1</v>
      </c>
      <c r="S7" s="8" t="s">
        <v>20</v>
      </c>
      <c r="T7" s="9">
        <v>9.5</v>
      </c>
      <c r="U7" s="3" t="s">
        <v>68</v>
      </c>
      <c r="V7" s="78"/>
      <c r="AK7" s="95"/>
    </row>
    <row r="8" spans="1:37" ht="187.2" x14ac:dyDescent="0.25">
      <c r="A8" s="7" t="s">
        <v>346</v>
      </c>
      <c r="B8" s="8" t="s">
        <v>209</v>
      </c>
      <c r="C8" s="3" t="s">
        <v>337</v>
      </c>
      <c r="D8" s="9">
        <v>103.5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103.5</v>
      </c>
      <c r="Q8" s="3" t="s">
        <v>347</v>
      </c>
      <c r="R8" s="9">
        <v>32.1</v>
      </c>
      <c r="S8" s="8" t="s">
        <v>20</v>
      </c>
      <c r="T8" s="9">
        <v>28.7</v>
      </c>
      <c r="U8" s="10" t="s">
        <v>19</v>
      </c>
      <c r="V8" s="78"/>
      <c r="AK8" s="95"/>
    </row>
    <row r="9" spans="1:37" ht="115.2" x14ac:dyDescent="0.25">
      <c r="A9" s="7" t="s">
        <v>348</v>
      </c>
      <c r="B9" s="8" t="s">
        <v>254</v>
      </c>
      <c r="C9" s="3" t="s">
        <v>337</v>
      </c>
      <c r="D9" s="9">
        <v>19.3</v>
      </c>
      <c r="E9" s="10" t="s">
        <v>19</v>
      </c>
      <c r="F9" s="9">
        <v>0</v>
      </c>
      <c r="G9" s="3" t="s">
        <v>338</v>
      </c>
      <c r="H9" s="9">
        <v>4.5999999999999996</v>
      </c>
      <c r="I9" s="9"/>
      <c r="J9" s="9"/>
      <c r="K9" s="3" t="s">
        <v>338</v>
      </c>
      <c r="L9" s="9">
        <v>13.1</v>
      </c>
      <c r="M9" s="9"/>
      <c r="N9" s="9"/>
      <c r="O9" s="8" t="s">
        <v>20</v>
      </c>
      <c r="P9" s="9">
        <v>37</v>
      </c>
      <c r="Q9" s="8" t="s">
        <v>339</v>
      </c>
      <c r="R9" s="9">
        <v>5.9</v>
      </c>
      <c r="S9" s="8" t="s">
        <v>20</v>
      </c>
      <c r="T9" s="9">
        <v>7.9</v>
      </c>
      <c r="U9" s="10" t="s">
        <v>19</v>
      </c>
      <c r="V9" s="78"/>
      <c r="AK9" s="95"/>
    </row>
    <row r="10" spans="1:37" ht="129.6" x14ac:dyDescent="0.25">
      <c r="A10" s="7" t="s">
        <v>349</v>
      </c>
      <c r="B10" s="8" t="s">
        <v>102</v>
      </c>
      <c r="C10" s="3" t="s">
        <v>342</v>
      </c>
      <c r="D10" s="9">
        <v>10.9</v>
      </c>
      <c r="E10" s="3" t="s">
        <v>343</v>
      </c>
      <c r="F10" s="9">
        <v>5.2</v>
      </c>
      <c r="G10" s="3" t="s">
        <v>343</v>
      </c>
      <c r="H10" s="9">
        <v>12.8</v>
      </c>
      <c r="I10" s="9"/>
      <c r="J10" s="9"/>
      <c r="K10" s="3" t="s">
        <v>343</v>
      </c>
      <c r="L10" s="9">
        <v>11.5</v>
      </c>
      <c r="M10" s="9"/>
      <c r="N10" s="9"/>
      <c r="O10" s="8" t="s">
        <v>20</v>
      </c>
      <c r="P10" s="9">
        <v>40.4</v>
      </c>
      <c r="Q10" s="8" t="s">
        <v>339</v>
      </c>
      <c r="R10" s="9">
        <v>6.3</v>
      </c>
      <c r="S10" s="8" t="s">
        <v>20</v>
      </c>
      <c r="T10" s="9">
        <v>9.8000000000000007</v>
      </c>
      <c r="U10" s="3" t="s">
        <v>68</v>
      </c>
      <c r="V10" s="78"/>
      <c r="AK10" s="95"/>
    </row>
    <row r="11" spans="1:37" ht="172.8" x14ac:dyDescent="0.25">
      <c r="A11" s="7" t="s">
        <v>350</v>
      </c>
      <c r="B11" s="10" t="s">
        <v>32</v>
      </c>
      <c r="C11" s="3" t="s">
        <v>337</v>
      </c>
      <c r="D11" s="9">
        <v>40.799999999999997</v>
      </c>
      <c r="E11" s="3" t="s">
        <v>338</v>
      </c>
      <c r="F11" s="9">
        <v>3.7</v>
      </c>
      <c r="G11" s="3" t="s">
        <v>338</v>
      </c>
      <c r="H11" s="9">
        <v>43.9</v>
      </c>
      <c r="I11" s="9"/>
      <c r="J11" s="9"/>
      <c r="K11" s="3" t="s">
        <v>338</v>
      </c>
      <c r="L11" s="9">
        <v>4.9000000000000004</v>
      </c>
      <c r="M11" s="9"/>
      <c r="N11" s="9"/>
      <c r="O11" s="8" t="s">
        <v>20</v>
      </c>
      <c r="P11" s="9">
        <v>93.3</v>
      </c>
      <c r="Q11" s="8" t="s">
        <v>339</v>
      </c>
      <c r="R11" s="9">
        <v>38.700000000000003</v>
      </c>
      <c r="S11" s="8" t="s">
        <v>20</v>
      </c>
      <c r="T11" s="9">
        <v>16.899999999999999</v>
      </c>
      <c r="U11" s="10" t="s">
        <v>19</v>
      </c>
      <c r="V11" s="78"/>
      <c r="AK11" s="95"/>
    </row>
    <row r="12" spans="1:37" ht="115.2" x14ac:dyDescent="0.25">
      <c r="A12" s="7" t="s">
        <v>351</v>
      </c>
      <c r="B12" s="10" t="s">
        <v>32</v>
      </c>
      <c r="C12" s="3" t="s">
        <v>337</v>
      </c>
      <c r="D12" s="9">
        <v>58</v>
      </c>
      <c r="E12" s="10" t="s">
        <v>19</v>
      </c>
      <c r="F12" s="9">
        <v>0</v>
      </c>
      <c r="G12" s="3" t="s">
        <v>338</v>
      </c>
      <c r="H12" s="9">
        <v>115.9</v>
      </c>
      <c r="I12" s="9"/>
      <c r="J12" s="9"/>
      <c r="K12" s="3" t="s">
        <v>338</v>
      </c>
      <c r="L12" s="9">
        <v>7</v>
      </c>
      <c r="M12" s="9"/>
      <c r="N12" s="9"/>
      <c r="O12" s="8" t="s">
        <v>20</v>
      </c>
      <c r="P12" s="9">
        <v>180.9</v>
      </c>
      <c r="Q12" s="8" t="s">
        <v>339</v>
      </c>
      <c r="R12" s="9">
        <v>62.9</v>
      </c>
      <c r="S12" s="8" t="s">
        <v>20</v>
      </c>
      <c r="T12" s="9">
        <v>40.1</v>
      </c>
      <c r="U12" s="10" t="s">
        <v>19</v>
      </c>
      <c r="V12" s="78"/>
      <c r="AK12" s="95"/>
    </row>
    <row r="13" spans="1:37" ht="187.2" x14ac:dyDescent="0.25">
      <c r="A13" s="7" t="s">
        <v>352</v>
      </c>
      <c r="B13" s="8" t="s">
        <v>212</v>
      </c>
      <c r="C13" s="3" t="s">
        <v>337</v>
      </c>
      <c r="D13" s="9">
        <v>83.5</v>
      </c>
      <c r="E13" s="10" t="s">
        <v>19</v>
      </c>
      <c r="F13" s="9">
        <v>0</v>
      </c>
      <c r="G13" s="10" t="s">
        <v>19</v>
      </c>
      <c r="H13" s="9">
        <v>0</v>
      </c>
      <c r="I13" s="9"/>
      <c r="J13" s="9"/>
      <c r="K13" s="10" t="s">
        <v>19</v>
      </c>
      <c r="L13" s="9">
        <v>0</v>
      </c>
      <c r="M13" s="9"/>
      <c r="N13" s="9"/>
      <c r="O13" s="8" t="s">
        <v>20</v>
      </c>
      <c r="P13" s="9">
        <v>83.5</v>
      </c>
      <c r="Q13" s="3" t="s">
        <v>347</v>
      </c>
      <c r="R13" s="9">
        <v>28</v>
      </c>
      <c r="S13" s="8" t="s">
        <v>20</v>
      </c>
      <c r="T13" s="9">
        <v>20.399999999999999</v>
      </c>
      <c r="U13" s="10" t="s">
        <v>19</v>
      </c>
      <c r="V13" s="78"/>
      <c r="AK13" s="95"/>
    </row>
    <row r="14" spans="1:37" ht="86.4" x14ac:dyDescent="0.25">
      <c r="A14" s="128" t="s">
        <v>353</v>
      </c>
      <c r="B14" s="128" t="s">
        <v>32</v>
      </c>
      <c r="C14" s="129" t="s">
        <v>354</v>
      </c>
      <c r="D14" s="130">
        <v>17.7</v>
      </c>
      <c r="E14" s="128" t="s">
        <v>19</v>
      </c>
      <c r="F14" s="130">
        <v>0</v>
      </c>
      <c r="G14" s="129" t="s">
        <v>355</v>
      </c>
      <c r="H14" s="130">
        <v>31.5</v>
      </c>
      <c r="I14" s="121"/>
      <c r="J14" s="121"/>
      <c r="K14" s="128" t="s">
        <v>19</v>
      </c>
      <c r="L14" s="130">
        <v>0</v>
      </c>
      <c r="M14" s="121"/>
      <c r="N14" s="121"/>
      <c r="O14" s="131" t="s">
        <v>20</v>
      </c>
      <c r="P14" s="130">
        <v>49.2</v>
      </c>
      <c r="Q14" s="129" t="s">
        <v>356</v>
      </c>
      <c r="R14" s="130">
        <v>21.8</v>
      </c>
      <c r="S14" s="131" t="s">
        <v>20</v>
      </c>
      <c r="T14" s="130">
        <v>9.4</v>
      </c>
      <c r="U14" s="129" t="s">
        <v>68</v>
      </c>
      <c r="V14" s="78"/>
      <c r="AK14" s="95"/>
    </row>
    <row r="15" spans="1:37" ht="86.4" x14ac:dyDescent="0.25">
      <c r="A15" s="128" t="s">
        <v>357</v>
      </c>
      <c r="B15" s="128" t="s">
        <v>265</v>
      </c>
      <c r="C15" s="129" t="s">
        <v>354</v>
      </c>
      <c r="D15" s="130">
        <v>51.7</v>
      </c>
      <c r="E15" s="128" t="s">
        <v>19</v>
      </c>
      <c r="F15" s="130">
        <v>0</v>
      </c>
      <c r="G15" s="129" t="s">
        <v>355</v>
      </c>
      <c r="H15" s="130">
        <v>37.6</v>
      </c>
      <c r="I15" s="121"/>
      <c r="J15" s="121"/>
      <c r="K15" s="129" t="s">
        <v>355</v>
      </c>
      <c r="L15" s="130">
        <v>24.6</v>
      </c>
      <c r="M15" s="122"/>
      <c r="N15" s="122"/>
      <c r="O15" s="131" t="s">
        <v>20</v>
      </c>
      <c r="P15" s="130">
        <v>113.8</v>
      </c>
      <c r="Q15" s="129" t="s">
        <v>356</v>
      </c>
      <c r="R15" s="130">
        <v>87.4</v>
      </c>
      <c r="S15" s="131" t="s">
        <v>20</v>
      </c>
      <c r="T15" s="130">
        <v>32.700000000000003</v>
      </c>
      <c r="U15" s="129" t="s">
        <v>68</v>
      </c>
      <c r="V15" s="78"/>
      <c r="AK15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15"/>
  <sheetViews>
    <sheetView tabSelected="1" workbookViewId="0">
      <selection activeCell="I4" sqref="I4"/>
    </sheetView>
  </sheetViews>
  <sheetFormatPr defaultRowHeight="15.6" x14ac:dyDescent="0.3"/>
  <cols>
    <col min="1" max="1" width="8.88671875" style="156"/>
    <col min="2" max="2" width="11.109375" style="156" bestFit="1" customWidth="1"/>
    <col min="3" max="3" width="17.109375" style="156" customWidth="1"/>
    <col min="4" max="4" width="8.77734375" style="156" customWidth="1"/>
    <col min="5" max="5" width="9.44140625" style="156" customWidth="1"/>
    <col min="6" max="16384" width="8.88671875" style="156"/>
  </cols>
  <sheetData>
    <row r="1" spans="1:5" x14ac:dyDescent="0.3">
      <c r="A1" s="181" t="s">
        <v>371</v>
      </c>
      <c r="B1" s="181"/>
      <c r="C1" s="181"/>
      <c r="D1" s="181"/>
      <c r="E1" s="181"/>
    </row>
    <row r="2" spans="1:5" x14ac:dyDescent="0.3">
      <c r="A2" s="151" t="s">
        <v>368</v>
      </c>
      <c r="B2" s="182" t="s">
        <v>389</v>
      </c>
      <c r="C2" s="183"/>
      <c r="D2" s="152" t="s">
        <v>369</v>
      </c>
      <c r="E2" s="152" t="s">
        <v>370</v>
      </c>
    </row>
    <row r="3" spans="1:5" ht="38.4" customHeight="1" x14ac:dyDescent="0.3">
      <c r="A3" s="151">
        <v>1</v>
      </c>
      <c r="B3" s="184" t="s">
        <v>390</v>
      </c>
      <c r="C3" s="185"/>
      <c r="D3" s="153" t="s">
        <v>367</v>
      </c>
      <c r="E3" s="154">
        <f>C15</f>
        <v>1802.53</v>
      </c>
    </row>
    <row r="4" spans="1:5" x14ac:dyDescent="0.3">
      <c r="A4" s="180"/>
      <c r="B4" s="180"/>
      <c r="C4" s="180"/>
      <c r="D4" s="180"/>
      <c r="E4" s="180"/>
    </row>
    <row r="5" spans="1:5" s="157" customFormat="1" ht="17.399999999999999" customHeight="1" x14ac:dyDescent="0.3">
      <c r="A5" s="155" t="s">
        <v>392</v>
      </c>
      <c r="B5" s="158" t="s">
        <v>393</v>
      </c>
      <c r="C5" s="158" t="s">
        <v>394</v>
      </c>
      <c r="D5" s="178"/>
      <c r="E5" s="179"/>
    </row>
    <row r="6" spans="1:5" x14ac:dyDescent="0.3">
      <c r="A6" s="159">
        <v>1</v>
      </c>
      <c r="B6" s="160" t="s">
        <v>395</v>
      </c>
      <c r="C6" s="161">
        <f>14*2*7.5+3*2*2.5+81</f>
        <v>306</v>
      </c>
      <c r="D6" s="178"/>
      <c r="E6" s="179"/>
    </row>
    <row r="7" spans="1:5" x14ac:dyDescent="0.3">
      <c r="A7" s="159">
        <v>2</v>
      </c>
      <c r="B7" s="160" t="s">
        <v>365</v>
      </c>
      <c r="C7" s="161">
        <f>32*2*7.5</f>
        <v>480</v>
      </c>
      <c r="D7" s="178"/>
      <c r="E7" s="179"/>
    </row>
    <row r="8" spans="1:5" x14ac:dyDescent="0.3">
      <c r="A8" s="159">
        <v>3</v>
      </c>
      <c r="B8" s="160" t="s">
        <v>361</v>
      </c>
      <c r="C8" s="161">
        <f>35*2*7.5+165.26</f>
        <v>690.26</v>
      </c>
      <c r="D8" s="178"/>
      <c r="E8" s="179"/>
    </row>
    <row r="9" spans="1:5" x14ac:dyDescent="0.3">
      <c r="A9" s="159">
        <v>4</v>
      </c>
      <c r="B9" s="160" t="s">
        <v>366</v>
      </c>
      <c r="C9" s="161">
        <f>8*2*2.4</f>
        <v>38.4</v>
      </c>
      <c r="D9" s="178"/>
      <c r="E9" s="179"/>
    </row>
    <row r="10" spans="1:5" x14ac:dyDescent="0.3">
      <c r="A10" s="159">
        <v>5</v>
      </c>
      <c r="B10" s="160" t="s">
        <v>362</v>
      </c>
      <c r="C10" s="161">
        <f>8*2*3.2+5.28</f>
        <v>56.480000000000004</v>
      </c>
      <c r="D10" s="178"/>
      <c r="E10" s="179"/>
    </row>
    <row r="11" spans="1:5" x14ac:dyDescent="0.3">
      <c r="A11" s="159">
        <v>6</v>
      </c>
      <c r="B11" s="160" t="s">
        <v>388</v>
      </c>
      <c r="C11" s="161">
        <f>8*2*3.2+4.91</f>
        <v>56.11</v>
      </c>
      <c r="D11" s="178"/>
      <c r="E11" s="179"/>
    </row>
    <row r="12" spans="1:5" x14ac:dyDescent="0.3">
      <c r="A12" s="159">
        <v>7</v>
      </c>
      <c r="B12" s="160" t="s">
        <v>387</v>
      </c>
      <c r="C12" s="161">
        <f>9*2*3.2+6.26</f>
        <v>63.86</v>
      </c>
      <c r="D12" s="178"/>
      <c r="E12" s="179"/>
    </row>
    <row r="13" spans="1:5" x14ac:dyDescent="0.3">
      <c r="A13" s="159">
        <v>8</v>
      </c>
      <c r="B13" s="160" t="s">
        <v>363</v>
      </c>
      <c r="C13" s="161">
        <f>10*2*2.5+4.95</f>
        <v>54.95</v>
      </c>
      <c r="D13" s="178"/>
      <c r="E13" s="179"/>
    </row>
    <row r="14" spans="1:5" x14ac:dyDescent="0.3">
      <c r="A14" s="159">
        <v>9</v>
      </c>
      <c r="B14" s="160" t="s">
        <v>364</v>
      </c>
      <c r="C14" s="161">
        <f>8*2*3.2+5.27</f>
        <v>56.47</v>
      </c>
      <c r="D14" s="178"/>
      <c r="E14" s="179"/>
    </row>
    <row r="15" spans="1:5" x14ac:dyDescent="0.3">
      <c r="A15" s="161"/>
      <c r="B15" s="163" t="s">
        <v>386</v>
      </c>
      <c r="C15" s="162">
        <f>SUM(C6:C14)</f>
        <v>1802.53</v>
      </c>
      <c r="D15" s="178"/>
      <c r="E15" s="179"/>
    </row>
  </sheetData>
  <mergeCells count="5">
    <mergeCell ref="D5:E15"/>
    <mergeCell ref="A4:E4"/>
    <mergeCell ref="A1:E1"/>
    <mergeCell ref="B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33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ht="30" customHeight="1" x14ac:dyDescent="0.25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9.5" customHeight="1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64" t="s">
        <v>4</v>
      </c>
      <c r="N2" s="164"/>
      <c r="O2" s="167" t="s">
        <v>5</v>
      </c>
      <c r="P2" s="167"/>
      <c r="Q2" s="168" t="s">
        <v>6</v>
      </c>
    </row>
    <row r="3" spans="1:17" ht="19.5" customHeight="1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71" t="s">
        <v>10</v>
      </c>
      <c r="J3" s="171"/>
      <c r="K3" s="172" t="s">
        <v>11</v>
      </c>
      <c r="L3" s="172"/>
      <c r="M3" s="164" t="s">
        <v>12</v>
      </c>
      <c r="N3" s="165" t="s">
        <v>13</v>
      </c>
      <c r="O3" s="164" t="s">
        <v>12</v>
      </c>
      <c r="P3" s="169" t="s">
        <v>14</v>
      </c>
      <c r="Q3" s="168"/>
    </row>
    <row r="4" spans="1:17" ht="46.35" customHeight="1" x14ac:dyDescent="0.25">
      <c r="A4" s="165"/>
      <c r="B4" s="164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8" t="s">
        <v>12</v>
      </c>
      <c r="L4" s="132" t="s">
        <v>13</v>
      </c>
      <c r="M4" s="164"/>
      <c r="N4" s="165"/>
      <c r="O4" s="164"/>
      <c r="P4" s="169"/>
      <c r="Q4" s="168"/>
    </row>
    <row r="5" spans="1:17" ht="192" customHeight="1" x14ac:dyDescent="0.25">
      <c r="A5" s="99" t="s">
        <v>15</v>
      </c>
      <c r="B5" s="100" t="s">
        <v>16</v>
      </c>
      <c r="C5" s="132" t="s">
        <v>17</v>
      </c>
      <c r="D5" s="101">
        <v>64</v>
      </c>
      <c r="E5" s="132" t="s">
        <v>18</v>
      </c>
      <c r="F5" s="101">
        <v>25.4</v>
      </c>
      <c r="G5" s="102" t="s">
        <v>19</v>
      </c>
      <c r="H5" s="101">
        <v>0</v>
      </c>
      <c r="I5" s="102" t="s">
        <v>19</v>
      </c>
      <c r="J5" s="101">
        <v>0</v>
      </c>
      <c r="K5" s="100" t="s">
        <v>20</v>
      </c>
      <c r="L5" s="101">
        <v>89.4</v>
      </c>
      <c r="M5" s="132" t="s">
        <v>21</v>
      </c>
      <c r="N5" s="101">
        <v>10.7</v>
      </c>
      <c r="O5" s="100" t="s">
        <v>20</v>
      </c>
      <c r="P5" s="101">
        <v>28.8</v>
      </c>
      <c r="Q5" s="102" t="s">
        <v>19</v>
      </c>
    </row>
    <row r="6" spans="1:17" ht="192.15" customHeight="1" x14ac:dyDescent="0.25">
      <c r="A6" s="99" t="s">
        <v>24</v>
      </c>
      <c r="B6" s="102" t="s">
        <v>25</v>
      </c>
      <c r="C6" s="132" t="s">
        <v>17</v>
      </c>
      <c r="D6" s="101">
        <v>21.9</v>
      </c>
      <c r="E6" s="132" t="s">
        <v>18</v>
      </c>
      <c r="F6" s="101">
        <v>31.9</v>
      </c>
      <c r="G6" s="102" t="s">
        <v>19</v>
      </c>
      <c r="H6" s="101">
        <v>0</v>
      </c>
      <c r="I6" s="132" t="s">
        <v>26</v>
      </c>
      <c r="J6" s="101">
        <v>79.7</v>
      </c>
      <c r="K6" s="100" t="s">
        <v>20</v>
      </c>
      <c r="L6" s="101">
        <v>133.5</v>
      </c>
      <c r="M6" s="132" t="s">
        <v>21</v>
      </c>
      <c r="N6" s="101">
        <v>57.6</v>
      </c>
      <c r="O6" s="100" t="s">
        <v>20</v>
      </c>
      <c r="P6" s="101">
        <v>42.8</v>
      </c>
      <c r="Q6" s="102" t="s">
        <v>19</v>
      </c>
    </row>
    <row r="7" spans="1:17" ht="192" customHeight="1" x14ac:dyDescent="0.25">
      <c r="A7" s="106" t="s">
        <v>31</v>
      </c>
      <c r="B7" s="106" t="s">
        <v>32</v>
      </c>
      <c r="C7" s="105" t="s">
        <v>17</v>
      </c>
      <c r="D7" s="103">
        <v>140.9</v>
      </c>
      <c r="E7" s="105" t="s">
        <v>18</v>
      </c>
      <c r="F7" s="103">
        <v>221.4</v>
      </c>
      <c r="G7" s="105" t="s">
        <v>33</v>
      </c>
      <c r="H7" s="103">
        <v>5.2</v>
      </c>
      <c r="I7" s="106" t="s">
        <v>19</v>
      </c>
      <c r="J7" s="103">
        <v>0</v>
      </c>
      <c r="K7" s="104" t="s">
        <v>20</v>
      </c>
      <c r="L7" s="103">
        <v>367.5</v>
      </c>
      <c r="M7" s="105" t="s">
        <v>21</v>
      </c>
      <c r="N7" s="103">
        <v>164.4</v>
      </c>
      <c r="O7" s="104" t="s">
        <v>20</v>
      </c>
      <c r="P7" s="103">
        <v>116.4</v>
      </c>
      <c r="Q7" s="106" t="s">
        <v>19</v>
      </c>
    </row>
    <row r="8" spans="1:17" ht="151.5" customHeight="1" x14ac:dyDescent="0.25">
      <c r="A8" s="106" t="s">
        <v>36</v>
      </c>
      <c r="B8" s="106" t="s">
        <v>37</v>
      </c>
      <c r="C8" s="105" t="s">
        <v>17</v>
      </c>
      <c r="D8" s="103">
        <v>126.5</v>
      </c>
      <c r="E8" s="105" t="s">
        <v>18</v>
      </c>
      <c r="F8" s="103">
        <v>4.9000000000000004</v>
      </c>
      <c r="G8" s="106" t="s">
        <v>19</v>
      </c>
      <c r="H8" s="103">
        <v>0</v>
      </c>
      <c r="I8" s="106" t="s">
        <v>19</v>
      </c>
      <c r="J8" s="103">
        <v>0</v>
      </c>
      <c r="K8" s="104" t="s">
        <v>20</v>
      </c>
      <c r="L8" s="103">
        <v>131.30000000000001</v>
      </c>
      <c r="M8" s="105" t="s">
        <v>21</v>
      </c>
      <c r="N8" s="103">
        <v>58.2</v>
      </c>
      <c r="O8" s="104" t="s">
        <v>20</v>
      </c>
      <c r="P8" s="103">
        <v>42.1</v>
      </c>
      <c r="Q8" s="106" t="s">
        <v>19</v>
      </c>
    </row>
    <row r="9" spans="1:17" ht="151.5" customHeight="1" x14ac:dyDescent="0.25">
      <c r="A9" s="106" t="s">
        <v>40</v>
      </c>
      <c r="B9" s="106" t="s">
        <v>25</v>
      </c>
      <c r="C9" s="105" t="s">
        <v>17</v>
      </c>
      <c r="D9" s="103">
        <v>37.700000000000003</v>
      </c>
      <c r="E9" s="105" t="s">
        <v>18</v>
      </c>
      <c r="F9" s="103">
        <v>29.7</v>
      </c>
      <c r="G9" s="106" t="s">
        <v>19</v>
      </c>
      <c r="H9" s="103">
        <v>0</v>
      </c>
      <c r="I9" s="106" t="s">
        <v>19</v>
      </c>
      <c r="J9" s="103">
        <v>0</v>
      </c>
      <c r="K9" s="104" t="s">
        <v>20</v>
      </c>
      <c r="L9" s="103">
        <v>67.400000000000006</v>
      </c>
      <c r="M9" s="105" t="s">
        <v>21</v>
      </c>
      <c r="N9" s="103">
        <v>54.2</v>
      </c>
      <c r="O9" s="104" t="s">
        <v>20</v>
      </c>
      <c r="P9" s="103">
        <v>30.1</v>
      </c>
      <c r="Q9" s="106" t="s">
        <v>19</v>
      </c>
    </row>
    <row r="10" spans="1:17" ht="114.75" customHeight="1" x14ac:dyDescent="0.25">
      <c r="A10" s="106" t="s">
        <v>42</v>
      </c>
      <c r="B10" s="106" t="s">
        <v>43</v>
      </c>
      <c r="C10" s="105" t="s">
        <v>17</v>
      </c>
      <c r="D10" s="103">
        <v>57.5</v>
      </c>
      <c r="E10" s="105" t="s">
        <v>18</v>
      </c>
      <c r="F10" s="103">
        <v>72.2</v>
      </c>
      <c r="G10" s="106" t="s">
        <v>19</v>
      </c>
      <c r="H10" s="103">
        <v>0</v>
      </c>
      <c r="I10" s="106" t="s">
        <v>19</v>
      </c>
      <c r="J10" s="103">
        <v>0</v>
      </c>
      <c r="K10" s="104" t="s">
        <v>20</v>
      </c>
      <c r="L10" s="103">
        <v>129.69999999999999</v>
      </c>
      <c r="M10" s="105" t="s">
        <v>21</v>
      </c>
      <c r="N10" s="103">
        <v>99.5</v>
      </c>
      <c r="O10" s="104" t="s">
        <v>20</v>
      </c>
      <c r="P10" s="103">
        <v>41.7</v>
      </c>
      <c r="Q10" s="106" t="s">
        <v>19</v>
      </c>
    </row>
    <row r="11" spans="1:17" ht="50.25" customHeight="1" x14ac:dyDescent="0.25">
      <c r="A11" s="106" t="s">
        <v>45</v>
      </c>
      <c r="B11" s="106" t="s">
        <v>25</v>
      </c>
      <c r="C11" s="106" t="s">
        <v>19</v>
      </c>
      <c r="D11" s="103">
        <v>0</v>
      </c>
      <c r="E11" s="105" t="s">
        <v>18</v>
      </c>
      <c r="F11" s="103">
        <v>31.4</v>
      </c>
      <c r="G11" s="106" t="s">
        <v>19</v>
      </c>
      <c r="H11" s="103">
        <v>0</v>
      </c>
      <c r="I11" s="105" t="s">
        <v>26</v>
      </c>
      <c r="J11" s="103">
        <v>64.400000000000006</v>
      </c>
      <c r="K11" s="104" t="s">
        <v>20</v>
      </c>
      <c r="L11" s="103">
        <v>95.8</v>
      </c>
      <c r="M11" s="105" t="s">
        <v>21</v>
      </c>
      <c r="N11" s="103">
        <v>40.700000000000003</v>
      </c>
      <c r="O11" s="104" t="s">
        <v>20</v>
      </c>
      <c r="P11" s="103">
        <v>31.4</v>
      </c>
      <c r="Q11" s="106" t="s">
        <v>19</v>
      </c>
    </row>
    <row r="12" spans="1:17" ht="187.2" x14ac:dyDescent="0.25">
      <c r="A12" s="99" t="s">
        <v>22</v>
      </c>
      <c r="B12" s="100" t="s">
        <v>23</v>
      </c>
      <c r="C12" s="132" t="s">
        <v>17</v>
      </c>
      <c r="D12" s="101">
        <v>44.3</v>
      </c>
      <c r="E12" s="132" t="s">
        <v>18</v>
      </c>
      <c r="F12" s="103">
        <v>23.1</v>
      </c>
      <c r="G12" s="104" t="s">
        <v>20</v>
      </c>
      <c r="H12" s="103">
        <v>67.400000000000006</v>
      </c>
      <c r="I12" s="103"/>
      <c r="J12" s="103"/>
      <c r="K12" s="103"/>
      <c r="L12" s="103"/>
      <c r="M12" s="105" t="s">
        <v>21</v>
      </c>
      <c r="N12" s="101">
        <v>24.5</v>
      </c>
      <c r="O12" s="100" t="s">
        <v>20</v>
      </c>
      <c r="P12" s="103">
        <v>21.4</v>
      </c>
      <c r="Q12" s="106" t="s">
        <v>19</v>
      </c>
    </row>
    <row r="13" spans="1:17" ht="187.2" x14ac:dyDescent="0.25">
      <c r="A13" s="99" t="s">
        <v>27</v>
      </c>
      <c r="B13" s="100" t="s">
        <v>28</v>
      </c>
      <c r="C13" s="132" t="s">
        <v>29</v>
      </c>
      <c r="D13" s="101">
        <v>233.1</v>
      </c>
      <c r="E13" s="132" t="s">
        <v>18</v>
      </c>
      <c r="F13" s="103">
        <v>72.400000000000006</v>
      </c>
      <c r="G13" s="106" t="s">
        <v>19</v>
      </c>
      <c r="H13" s="103">
        <v>305.5</v>
      </c>
      <c r="I13" s="103"/>
      <c r="J13" s="103"/>
      <c r="K13" s="103"/>
      <c r="L13" s="103"/>
      <c r="M13" s="104" t="s">
        <v>30</v>
      </c>
      <c r="N13" s="101">
        <v>156.9</v>
      </c>
      <c r="O13" s="102" t="s">
        <v>19</v>
      </c>
      <c r="P13" s="103">
        <v>98.5</v>
      </c>
      <c r="Q13" s="106" t="s">
        <v>19</v>
      </c>
    </row>
    <row r="14" spans="1:17" ht="187.2" x14ac:dyDescent="0.25">
      <c r="A14" s="99" t="s">
        <v>34</v>
      </c>
      <c r="B14" s="100" t="s">
        <v>28</v>
      </c>
      <c r="C14" s="132" t="s">
        <v>29</v>
      </c>
      <c r="D14" s="101">
        <v>387.1</v>
      </c>
      <c r="E14" s="132" t="s">
        <v>18</v>
      </c>
      <c r="F14" s="103">
        <v>31.8</v>
      </c>
      <c r="G14" s="106" t="s">
        <v>19</v>
      </c>
      <c r="H14" s="103">
        <v>419</v>
      </c>
      <c r="I14" s="103"/>
      <c r="J14" s="103"/>
      <c r="K14" s="103"/>
      <c r="L14" s="103"/>
      <c r="M14" s="104" t="s">
        <v>30</v>
      </c>
      <c r="N14" s="101">
        <v>243.4</v>
      </c>
      <c r="O14" s="102" t="s">
        <v>19</v>
      </c>
      <c r="P14" s="103">
        <v>135.5</v>
      </c>
      <c r="Q14" s="106" t="s">
        <v>19</v>
      </c>
    </row>
    <row r="15" spans="1:17" ht="187.2" x14ac:dyDescent="0.25">
      <c r="A15" s="106" t="s">
        <v>35</v>
      </c>
      <c r="B15" s="104" t="s">
        <v>28</v>
      </c>
      <c r="C15" s="105" t="s">
        <v>29</v>
      </c>
      <c r="D15" s="103">
        <v>87.2</v>
      </c>
      <c r="E15" s="105" t="s">
        <v>18</v>
      </c>
      <c r="F15" s="103">
        <v>11.1</v>
      </c>
      <c r="G15" s="106" t="s">
        <v>19</v>
      </c>
      <c r="H15" s="103">
        <v>98.3</v>
      </c>
      <c r="I15" s="103"/>
      <c r="J15" s="103"/>
      <c r="K15" s="103"/>
      <c r="L15" s="103"/>
      <c r="M15" s="104" t="s">
        <v>30</v>
      </c>
      <c r="N15" s="103">
        <v>64.3</v>
      </c>
      <c r="O15" s="106" t="s">
        <v>19</v>
      </c>
      <c r="P15" s="103">
        <v>32.299999999999997</v>
      </c>
      <c r="Q15" s="106" t="s">
        <v>19</v>
      </c>
    </row>
    <row r="16" spans="1:17" ht="187.2" x14ac:dyDescent="0.25">
      <c r="A16" s="106" t="s">
        <v>38</v>
      </c>
      <c r="B16" s="104" t="s">
        <v>39</v>
      </c>
      <c r="C16" s="105" t="s">
        <v>17</v>
      </c>
      <c r="D16" s="103">
        <v>89.2</v>
      </c>
      <c r="E16" s="105" t="s">
        <v>18</v>
      </c>
      <c r="F16" s="103">
        <v>26.1</v>
      </c>
      <c r="G16" s="104" t="s">
        <v>20</v>
      </c>
      <c r="H16" s="103">
        <v>115.3</v>
      </c>
      <c r="I16" s="103"/>
      <c r="J16" s="103"/>
      <c r="K16" s="103"/>
      <c r="L16" s="103"/>
      <c r="M16" s="105" t="s">
        <v>21</v>
      </c>
      <c r="N16" s="103">
        <v>17</v>
      </c>
      <c r="O16" s="104" t="s">
        <v>20</v>
      </c>
      <c r="P16" s="103">
        <v>37.299999999999997</v>
      </c>
      <c r="Q16" s="106" t="s">
        <v>19</v>
      </c>
    </row>
    <row r="17" spans="1:17" ht="187.2" x14ac:dyDescent="0.25">
      <c r="A17" s="106" t="s">
        <v>41</v>
      </c>
      <c r="B17" s="104" t="s">
        <v>28</v>
      </c>
      <c r="C17" s="105" t="s">
        <v>29</v>
      </c>
      <c r="D17" s="103">
        <v>49.8</v>
      </c>
      <c r="E17" s="105" t="s">
        <v>18</v>
      </c>
      <c r="F17" s="103">
        <v>16.5</v>
      </c>
      <c r="G17" s="106" t="s">
        <v>19</v>
      </c>
      <c r="H17" s="103">
        <v>70.400000000000006</v>
      </c>
      <c r="I17" s="103"/>
      <c r="J17" s="103"/>
      <c r="K17" s="103"/>
      <c r="L17" s="103"/>
      <c r="M17" s="104" t="s">
        <v>30</v>
      </c>
      <c r="N17" s="103">
        <v>16.600000000000001</v>
      </c>
      <c r="O17" s="106" t="s">
        <v>19</v>
      </c>
      <c r="P17" s="103">
        <v>22.3</v>
      </c>
      <c r="Q17" s="106" t="s">
        <v>19</v>
      </c>
    </row>
    <row r="18" spans="1:17" ht="187.2" x14ac:dyDescent="0.25">
      <c r="A18" s="106" t="s">
        <v>44</v>
      </c>
      <c r="B18" s="104" t="s">
        <v>28</v>
      </c>
      <c r="C18" s="105" t="s">
        <v>29</v>
      </c>
      <c r="D18" s="103">
        <v>197.8</v>
      </c>
      <c r="E18" s="105" t="s">
        <v>18</v>
      </c>
      <c r="F18" s="103">
        <v>25.9</v>
      </c>
      <c r="G18" s="106" t="s">
        <v>19</v>
      </c>
      <c r="H18" s="103">
        <v>223.7</v>
      </c>
      <c r="I18" s="103"/>
      <c r="J18" s="103"/>
      <c r="K18" s="103"/>
      <c r="L18" s="103"/>
      <c r="M18" s="104" t="s">
        <v>30</v>
      </c>
      <c r="N18" s="103">
        <v>176.6</v>
      </c>
      <c r="O18" s="106" t="s">
        <v>19</v>
      </c>
      <c r="P18" s="103">
        <v>68.599999999999994</v>
      </c>
      <c r="Q18" s="106" t="s">
        <v>19</v>
      </c>
    </row>
    <row r="19" spans="1:17" ht="187.2" x14ac:dyDescent="0.25">
      <c r="A19" s="7" t="s">
        <v>46</v>
      </c>
      <c r="B19" s="8" t="s">
        <v>47</v>
      </c>
      <c r="C19" s="3" t="s">
        <v>17</v>
      </c>
      <c r="D19" s="9">
        <v>26.3</v>
      </c>
      <c r="E19" s="3" t="s">
        <v>18</v>
      </c>
      <c r="F19" s="9">
        <v>18.899999999999999</v>
      </c>
      <c r="G19" s="10" t="s">
        <v>19</v>
      </c>
      <c r="H19" s="9">
        <v>0</v>
      </c>
      <c r="I19" s="9"/>
      <c r="J19" s="9"/>
      <c r="K19" s="8" t="s">
        <v>20</v>
      </c>
      <c r="L19" s="9">
        <v>45.2</v>
      </c>
      <c r="M19" s="3" t="s">
        <v>21</v>
      </c>
      <c r="N19" s="9">
        <v>11.8</v>
      </c>
      <c r="O19" s="8" t="s">
        <v>20</v>
      </c>
      <c r="P19" s="9">
        <v>14.3</v>
      </c>
      <c r="Q19" s="10" t="s">
        <v>19</v>
      </c>
    </row>
    <row r="20" spans="1:17" ht="187.2" x14ac:dyDescent="0.25">
      <c r="A20" s="7" t="s">
        <v>49</v>
      </c>
      <c r="B20" s="8" t="s">
        <v>50</v>
      </c>
      <c r="C20" s="3" t="s">
        <v>17</v>
      </c>
      <c r="D20" s="9">
        <v>30.7</v>
      </c>
      <c r="E20" s="3" t="s">
        <v>18</v>
      </c>
      <c r="F20" s="9">
        <v>11.7</v>
      </c>
      <c r="G20" s="10" t="s">
        <v>19</v>
      </c>
      <c r="H20" s="9">
        <v>0</v>
      </c>
      <c r="I20" s="9"/>
      <c r="J20" s="9"/>
      <c r="K20" s="8" t="s">
        <v>20</v>
      </c>
      <c r="L20" s="9">
        <v>42.4</v>
      </c>
      <c r="M20" s="3" t="s">
        <v>21</v>
      </c>
      <c r="N20" s="9">
        <v>12.4</v>
      </c>
      <c r="O20" s="8" t="s">
        <v>20</v>
      </c>
      <c r="P20" s="9">
        <v>13.4</v>
      </c>
      <c r="Q20" s="10" t="s">
        <v>19</v>
      </c>
    </row>
    <row r="21" spans="1:17" ht="187.2" x14ac:dyDescent="0.25">
      <c r="A21" s="7" t="s">
        <v>52</v>
      </c>
      <c r="B21" s="10" t="s">
        <v>32</v>
      </c>
      <c r="C21" s="3" t="s">
        <v>17</v>
      </c>
      <c r="D21" s="9">
        <v>33.700000000000003</v>
      </c>
      <c r="E21" s="3" t="s">
        <v>18</v>
      </c>
      <c r="F21" s="9">
        <v>45.4</v>
      </c>
      <c r="G21" s="10" t="s">
        <v>19</v>
      </c>
      <c r="H21" s="9">
        <v>0</v>
      </c>
      <c r="I21" s="9"/>
      <c r="J21" s="9"/>
      <c r="K21" s="8" t="s">
        <v>20</v>
      </c>
      <c r="L21" s="9">
        <v>79.099999999999994</v>
      </c>
      <c r="M21" s="3" t="s">
        <v>21</v>
      </c>
      <c r="N21" s="9">
        <v>30.4</v>
      </c>
      <c r="O21" s="8" t="s">
        <v>20</v>
      </c>
      <c r="P21" s="9">
        <v>24.3</v>
      </c>
      <c r="Q21" s="10" t="s">
        <v>19</v>
      </c>
    </row>
    <row r="22" spans="1:17" ht="187.2" x14ac:dyDescent="0.25">
      <c r="A22" s="7" t="s">
        <v>54</v>
      </c>
      <c r="B22" s="8" t="s">
        <v>55</v>
      </c>
      <c r="C22" s="3" t="s">
        <v>17</v>
      </c>
      <c r="D22" s="9">
        <v>69.900000000000006</v>
      </c>
      <c r="E22" s="3" t="s">
        <v>18</v>
      </c>
      <c r="F22" s="9">
        <v>24.3</v>
      </c>
      <c r="G22" s="10" t="s">
        <v>19</v>
      </c>
      <c r="H22" s="9">
        <v>0</v>
      </c>
      <c r="I22" s="9"/>
      <c r="J22" s="9"/>
      <c r="K22" s="8" t="s">
        <v>20</v>
      </c>
      <c r="L22" s="9">
        <v>94.2</v>
      </c>
      <c r="M22" s="3" t="s">
        <v>21</v>
      </c>
      <c r="N22" s="9">
        <v>13</v>
      </c>
      <c r="O22" s="8" t="s">
        <v>20</v>
      </c>
      <c r="P22" s="9">
        <v>29.8</v>
      </c>
      <c r="Q22" s="10" t="s">
        <v>19</v>
      </c>
    </row>
    <row r="23" spans="1:17" ht="187.2" x14ac:dyDescent="0.25">
      <c r="A23" s="17" t="s">
        <v>57</v>
      </c>
      <c r="B23" s="22" t="s">
        <v>28</v>
      </c>
      <c r="C23" s="127" t="s">
        <v>29</v>
      </c>
      <c r="D23" s="121">
        <v>60.3</v>
      </c>
      <c r="E23" s="127" t="s">
        <v>18</v>
      </c>
      <c r="F23" s="122">
        <v>29.4</v>
      </c>
      <c r="G23" s="17" t="s">
        <v>19</v>
      </c>
      <c r="H23" s="121">
        <v>0</v>
      </c>
      <c r="I23" s="121"/>
      <c r="J23" s="121"/>
      <c r="K23" s="17" t="s">
        <v>19</v>
      </c>
      <c r="L23" s="121">
        <v>89.7</v>
      </c>
      <c r="M23" s="22" t="s">
        <v>30</v>
      </c>
      <c r="N23" s="121">
        <v>31.4</v>
      </c>
      <c r="O23" s="17" t="s">
        <v>19</v>
      </c>
      <c r="P23" s="121">
        <v>28.9</v>
      </c>
      <c r="Q23" s="17" t="s">
        <v>19</v>
      </c>
    </row>
    <row r="24" spans="1:17" ht="187.2" x14ac:dyDescent="0.25">
      <c r="A24" s="17" t="s">
        <v>59</v>
      </c>
      <c r="B24" s="22" t="s">
        <v>28</v>
      </c>
      <c r="C24" s="127" t="s">
        <v>29</v>
      </c>
      <c r="D24" s="122">
        <v>337.9</v>
      </c>
      <c r="E24" s="127" t="s">
        <v>18</v>
      </c>
      <c r="F24" s="122">
        <v>126.9</v>
      </c>
      <c r="G24" s="17" t="s">
        <v>19</v>
      </c>
      <c r="H24" s="121">
        <v>0</v>
      </c>
      <c r="I24" s="121"/>
      <c r="J24" s="121"/>
      <c r="K24" s="17" t="s">
        <v>19</v>
      </c>
      <c r="L24" s="122">
        <v>464.7</v>
      </c>
      <c r="M24" s="22" t="s">
        <v>30</v>
      </c>
      <c r="N24" s="122">
        <v>289.10000000000002</v>
      </c>
      <c r="O24" s="17" t="s">
        <v>19</v>
      </c>
      <c r="P24" s="122">
        <v>162</v>
      </c>
      <c r="Q24" s="17" t="s">
        <v>19</v>
      </c>
    </row>
    <row r="25" spans="1:17" ht="187.2" x14ac:dyDescent="0.25">
      <c r="A25" s="17" t="s">
        <v>61</v>
      </c>
      <c r="B25" s="22" t="s">
        <v>28</v>
      </c>
      <c r="C25" s="127" t="s">
        <v>29</v>
      </c>
      <c r="D25" s="122">
        <v>278.8</v>
      </c>
      <c r="E25" s="127" t="s">
        <v>18</v>
      </c>
      <c r="F25" s="122">
        <v>64</v>
      </c>
      <c r="G25" s="17" t="s">
        <v>19</v>
      </c>
      <c r="H25" s="121">
        <v>0</v>
      </c>
      <c r="I25" s="121"/>
      <c r="J25" s="121"/>
      <c r="K25" s="17" t="s">
        <v>19</v>
      </c>
      <c r="L25" s="122">
        <v>342.8</v>
      </c>
      <c r="M25" s="22" t="s">
        <v>30</v>
      </c>
      <c r="N25" s="122">
        <v>259.2</v>
      </c>
      <c r="O25" s="17" t="s">
        <v>19</v>
      </c>
      <c r="P25" s="121">
        <v>111.1</v>
      </c>
      <c r="Q25" s="17" t="s">
        <v>19</v>
      </c>
    </row>
    <row r="26" spans="1:17" ht="187.2" x14ac:dyDescent="0.25">
      <c r="A26" s="17" t="s">
        <v>62</v>
      </c>
      <c r="B26" s="22" t="s">
        <v>28</v>
      </c>
      <c r="C26" s="127" t="s">
        <v>29</v>
      </c>
      <c r="D26" s="121">
        <v>32.799999999999997</v>
      </c>
      <c r="E26" s="127" t="s">
        <v>18</v>
      </c>
      <c r="F26" s="122">
        <v>40.700000000000003</v>
      </c>
      <c r="G26" s="17" t="s">
        <v>19</v>
      </c>
      <c r="H26" s="121">
        <v>0</v>
      </c>
      <c r="I26" s="121"/>
      <c r="J26" s="121"/>
      <c r="K26" s="17" t="s">
        <v>19</v>
      </c>
      <c r="L26" s="121">
        <v>73.5</v>
      </c>
      <c r="M26" s="22" t="s">
        <v>30</v>
      </c>
      <c r="N26" s="122">
        <v>26.4</v>
      </c>
      <c r="O26" s="17" t="s">
        <v>19</v>
      </c>
      <c r="P26" s="121">
        <v>24.1</v>
      </c>
      <c r="Q26" s="17" t="s">
        <v>19</v>
      </c>
    </row>
    <row r="27" spans="1:17" ht="187.2" x14ac:dyDescent="0.25">
      <c r="A27" s="7" t="s">
        <v>48</v>
      </c>
      <c r="B27" s="10" t="s">
        <v>25</v>
      </c>
      <c r="C27" s="3" t="s">
        <v>17</v>
      </c>
      <c r="D27" s="9">
        <v>89.7</v>
      </c>
      <c r="E27" s="3" t="s">
        <v>18</v>
      </c>
      <c r="F27" s="9">
        <v>52.7</v>
      </c>
      <c r="G27" s="10" t="s">
        <v>19</v>
      </c>
      <c r="H27" s="82">
        <v>0</v>
      </c>
      <c r="I27" s="12"/>
      <c r="J27" s="83"/>
      <c r="K27" s="13" t="s">
        <v>20</v>
      </c>
      <c r="L27" s="14">
        <v>142.30000000000001</v>
      </c>
      <c r="M27" s="6" t="s">
        <v>21</v>
      </c>
      <c r="N27" s="9">
        <v>126</v>
      </c>
      <c r="O27" s="8" t="s">
        <v>20</v>
      </c>
      <c r="P27" s="14">
        <v>56.4</v>
      </c>
      <c r="Q27" s="16" t="s">
        <v>19</v>
      </c>
    </row>
    <row r="28" spans="1:17" ht="187.2" x14ac:dyDescent="0.25">
      <c r="A28" s="7" t="s">
        <v>51</v>
      </c>
      <c r="B28" s="10" t="s">
        <v>25</v>
      </c>
      <c r="C28" s="3" t="s">
        <v>17</v>
      </c>
      <c r="D28" s="9">
        <v>26.4</v>
      </c>
      <c r="E28" s="3" t="s">
        <v>18</v>
      </c>
      <c r="F28" s="9">
        <v>92.5</v>
      </c>
      <c r="G28" s="10" t="s">
        <v>19</v>
      </c>
      <c r="H28" s="82">
        <v>0</v>
      </c>
      <c r="I28" s="12"/>
      <c r="J28" s="83"/>
      <c r="K28" s="13" t="s">
        <v>20</v>
      </c>
      <c r="L28" s="14">
        <v>118.9</v>
      </c>
      <c r="M28" s="6" t="s">
        <v>21</v>
      </c>
      <c r="N28" s="9">
        <v>70.7</v>
      </c>
      <c r="O28" s="8" t="s">
        <v>20</v>
      </c>
      <c r="P28" s="14">
        <v>38.799999999999997</v>
      </c>
      <c r="Q28" s="16" t="s">
        <v>19</v>
      </c>
    </row>
    <row r="29" spans="1:17" ht="187.2" x14ac:dyDescent="0.25">
      <c r="A29" s="7" t="s">
        <v>53</v>
      </c>
      <c r="B29" s="8" t="s">
        <v>28</v>
      </c>
      <c r="C29" s="3" t="s">
        <v>29</v>
      </c>
      <c r="D29" s="9">
        <v>210.2</v>
      </c>
      <c r="E29" s="3" t="s">
        <v>18</v>
      </c>
      <c r="F29" s="9">
        <v>94.2</v>
      </c>
      <c r="G29" s="10" t="s">
        <v>19</v>
      </c>
      <c r="H29" s="82">
        <v>0</v>
      </c>
      <c r="I29" s="12"/>
      <c r="J29" s="83"/>
      <c r="K29" s="16" t="s">
        <v>19</v>
      </c>
      <c r="L29" s="14">
        <v>304.3</v>
      </c>
      <c r="M29" s="13" t="s">
        <v>30</v>
      </c>
      <c r="N29" s="9">
        <v>242</v>
      </c>
      <c r="O29" s="10" t="s">
        <v>19</v>
      </c>
      <c r="P29" s="14">
        <v>99.1</v>
      </c>
      <c r="Q29" s="16" t="s">
        <v>19</v>
      </c>
    </row>
    <row r="30" spans="1:17" ht="230.4" x14ac:dyDescent="0.25">
      <c r="A30" s="17" t="s">
        <v>56</v>
      </c>
      <c r="B30" s="17" t="s">
        <v>32</v>
      </c>
      <c r="C30" s="127" t="s">
        <v>17</v>
      </c>
      <c r="D30" s="122">
        <v>261.60000000000002</v>
      </c>
      <c r="E30" s="127" t="s">
        <v>18</v>
      </c>
      <c r="F30" s="122">
        <v>130.30000000000001</v>
      </c>
      <c r="G30" s="127" t="s">
        <v>33</v>
      </c>
      <c r="H30" s="87">
        <v>3.8</v>
      </c>
      <c r="I30" s="25"/>
      <c r="J30" s="88"/>
      <c r="K30" s="30" t="s">
        <v>20</v>
      </c>
      <c r="L30" s="32">
        <v>395.7</v>
      </c>
      <c r="M30" s="34" t="s">
        <v>21</v>
      </c>
      <c r="N30" s="122">
        <v>180.7</v>
      </c>
      <c r="O30" s="22" t="s">
        <v>20</v>
      </c>
      <c r="P30" s="32">
        <v>123.9</v>
      </c>
      <c r="Q30" s="28" t="s">
        <v>19</v>
      </c>
    </row>
    <row r="31" spans="1:17" ht="14.4" x14ac:dyDescent="0.25">
      <c r="A31" s="18"/>
      <c r="B31" s="18"/>
      <c r="C31" s="4"/>
      <c r="D31" s="20"/>
      <c r="E31" s="4"/>
      <c r="F31" s="20"/>
      <c r="G31" s="4"/>
      <c r="H31" s="26"/>
      <c r="I31" s="27"/>
      <c r="J31" s="89"/>
      <c r="K31" s="31"/>
      <c r="L31" s="33"/>
      <c r="M31" s="36"/>
      <c r="N31" s="20"/>
      <c r="O31" s="23"/>
      <c r="P31" s="33"/>
      <c r="Q31" s="29"/>
    </row>
    <row r="32" spans="1:17" ht="187.2" x14ac:dyDescent="0.25">
      <c r="A32" s="17" t="s">
        <v>58</v>
      </c>
      <c r="B32" s="22" t="s">
        <v>28</v>
      </c>
      <c r="C32" s="127" t="s">
        <v>29</v>
      </c>
      <c r="D32" s="122">
        <v>114.6</v>
      </c>
      <c r="E32" s="127" t="s">
        <v>18</v>
      </c>
      <c r="F32" s="121">
        <v>76.2</v>
      </c>
      <c r="G32" s="17" t="s">
        <v>19</v>
      </c>
      <c r="H32" s="87">
        <v>0</v>
      </c>
      <c r="I32" s="25"/>
      <c r="J32" s="88"/>
      <c r="K32" s="28" t="s">
        <v>19</v>
      </c>
      <c r="L32" s="32">
        <v>190.8</v>
      </c>
      <c r="M32" s="30" t="s">
        <v>30</v>
      </c>
      <c r="N32" s="122">
        <v>103.5</v>
      </c>
      <c r="O32" s="17" t="s">
        <v>19</v>
      </c>
      <c r="P32" s="32">
        <v>62.1</v>
      </c>
      <c r="Q32" s="28" t="s">
        <v>19</v>
      </c>
    </row>
    <row r="33" spans="1:17" ht="187.2" x14ac:dyDescent="0.25">
      <c r="A33" s="17" t="s">
        <v>60</v>
      </c>
      <c r="B33" s="22" t="s">
        <v>28</v>
      </c>
      <c r="C33" s="127" t="s">
        <v>29</v>
      </c>
      <c r="D33" s="122">
        <v>185.8</v>
      </c>
      <c r="E33" s="127" t="s">
        <v>18</v>
      </c>
      <c r="F33" s="121">
        <v>41.3</v>
      </c>
      <c r="G33" s="17" t="s">
        <v>19</v>
      </c>
      <c r="H33" s="87">
        <v>0</v>
      </c>
      <c r="I33" s="25"/>
      <c r="J33" s="88"/>
      <c r="K33" s="28" t="s">
        <v>19</v>
      </c>
      <c r="L33" s="32">
        <v>227.1</v>
      </c>
      <c r="M33" s="30" t="s">
        <v>30</v>
      </c>
      <c r="N33" s="122">
        <v>181.1</v>
      </c>
      <c r="O33" s="17" t="s">
        <v>19</v>
      </c>
      <c r="P33" s="32">
        <v>71</v>
      </c>
      <c r="Q33" s="28" t="s">
        <v>19</v>
      </c>
    </row>
  </sheetData>
  <mergeCells count="16"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85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9" ht="31.5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29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33"/>
      <c r="N2" s="133"/>
      <c r="O2" s="133"/>
      <c r="P2" s="133"/>
      <c r="Q2" s="164" t="s">
        <v>4</v>
      </c>
      <c r="R2" s="164"/>
      <c r="S2" s="167" t="s">
        <v>5</v>
      </c>
      <c r="T2" s="167"/>
      <c r="U2" s="134" t="s">
        <v>6</v>
      </c>
    </row>
    <row r="3" spans="1:29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80" t="s">
        <v>63</v>
      </c>
      <c r="J3" s="81"/>
      <c r="K3" s="80" t="s">
        <v>64</v>
      </c>
      <c r="L3" s="81"/>
      <c r="M3" s="171" t="s">
        <v>10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34"/>
    </row>
    <row r="4" spans="1:29" ht="34.799999999999997" x14ac:dyDescent="0.25">
      <c r="A4" s="165"/>
      <c r="B4" s="164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164"/>
      <c r="R4" s="165"/>
      <c r="S4" s="164"/>
      <c r="T4" s="169"/>
      <c r="U4" s="134"/>
    </row>
    <row r="5" spans="1:29" ht="144" x14ac:dyDescent="0.25">
      <c r="A5" s="102" t="s">
        <v>65</v>
      </c>
      <c r="B5" s="102" t="s">
        <v>66</v>
      </c>
      <c r="C5" s="132" t="s">
        <v>67</v>
      </c>
      <c r="D5" s="101">
        <v>5.6</v>
      </c>
      <c r="E5" s="101"/>
      <c r="F5" s="101"/>
      <c r="G5" s="102" t="s">
        <v>19</v>
      </c>
      <c r="H5" s="101">
        <v>0</v>
      </c>
      <c r="I5" s="102" t="s">
        <v>19</v>
      </c>
      <c r="J5" s="101">
        <v>0</v>
      </c>
      <c r="K5" s="102" t="s">
        <v>19</v>
      </c>
      <c r="L5" s="101">
        <v>0</v>
      </c>
      <c r="M5" s="132" t="s">
        <v>26</v>
      </c>
      <c r="N5" s="101">
        <v>5.4</v>
      </c>
      <c r="O5" s="100" t="s">
        <v>20</v>
      </c>
      <c r="P5" s="101">
        <v>11</v>
      </c>
      <c r="Q5" s="132" t="s">
        <v>21</v>
      </c>
      <c r="R5" s="101">
        <v>13.4</v>
      </c>
      <c r="S5" s="100" t="s">
        <v>20</v>
      </c>
      <c r="T5" s="101">
        <v>7.7</v>
      </c>
      <c r="U5" s="132" t="s">
        <v>68</v>
      </c>
      <c r="AC5" s="95"/>
    </row>
    <row r="6" spans="1:29" ht="86.4" x14ac:dyDescent="0.25">
      <c r="A6" s="102" t="s">
        <v>69</v>
      </c>
      <c r="B6" s="132" t="s">
        <v>70</v>
      </c>
      <c r="C6" s="132" t="s">
        <v>67</v>
      </c>
      <c r="D6" s="101">
        <v>11.6</v>
      </c>
      <c r="E6" s="101"/>
      <c r="F6" s="101"/>
      <c r="G6" s="132" t="s">
        <v>71</v>
      </c>
      <c r="H6" s="101">
        <v>6.3</v>
      </c>
      <c r="I6" s="102" t="s">
        <v>19</v>
      </c>
      <c r="J6" s="101">
        <v>0</v>
      </c>
      <c r="K6" s="132" t="s">
        <v>71</v>
      </c>
      <c r="L6" s="101">
        <v>15.1</v>
      </c>
      <c r="M6" s="102" t="s">
        <v>19</v>
      </c>
      <c r="N6" s="101">
        <v>0</v>
      </c>
      <c r="O6" s="100" t="s">
        <v>20</v>
      </c>
      <c r="P6" s="101">
        <v>32.9</v>
      </c>
      <c r="Q6" s="110" t="s">
        <v>30</v>
      </c>
      <c r="R6" s="101">
        <v>17.600000000000001</v>
      </c>
      <c r="S6" s="100" t="s">
        <v>20</v>
      </c>
      <c r="T6" s="101">
        <v>14</v>
      </c>
      <c r="U6" s="132" t="s">
        <v>68</v>
      </c>
      <c r="AC6" s="95"/>
    </row>
    <row r="7" spans="1:29" ht="86.4" x14ac:dyDescent="0.25">
      <c r="A7" s="102" t="s">
        <v>72</v>
      </c>
      <c r="B7" s="100" t="s">
        <v>73</v>
      </c>
      <c r="C7" s="102" t="s">
        <v>19</v>
      </c>
      <c r="D7" s="101">
        <v>0</v>
      </c>
      <c r="E7" s="101"/>
      <c r="F7" s="101"/>
      <c r="G7" s="102" t="s">
        <v>19</v>
      </c>
      <c r="H7" s="101">
        <v>0</v>
      </c>
      <c r="I7" s="102" t="s">
        <v>19</v>
      </c>
      <c r="J7" s="101">
        <v>0</v>
      </c>
      <c r="K7" s="132" t="s">
        <v>74</v>
      </c>
      <c r="L7" s="101">
        <v>27.1</v>
      </c>
      <c r="M7" s="102" t="s">
        <v>19</v>
      </c>
      <c r="N7" s="101">
        <v>0</v>
      </c>
      <c r="O7" s="100" t="s">
        <v>20</v>
      </c>
      <c r="P7" s="101">
        <v>27.1</v>
      </c>
      <c r="Q7" s="132" t="s">
        <v>21</v>
      </c>
      <c r="R7" s="101">
        <v>5.8</v>
      </c>
      <c r="S7" s="100" t="s">
        <v>20</v>
      </c>
      <c r="T7" s="101">
        <v>8.5</v>
      </c>
      <c r="U7" s="132" t="s">
        <v>68</v>
      </c>
      <c r="AC7" s="95"/>
    </row>
    <row r="8" spans="1:29" ht="144" x14ac:dyDescent="0.25">
      <c r="A8" s="102" t="s">
        <v>75</v>
      </c>
      <c r="B8" s="132" t="s">
        <v>76</v>
      </c>
      <c r="C8" s="132" t="s">
        <v>67</v>
      </c>
      <c r="D8" s="101">
        <v>266.7</v>
      </c>
      <c r="E8" s="101"/>
      <c r="F8" s="101"/>
      <c r="G8" s="132" t="s">
        <v>71</v>
      </c>
      <c r="H8" s="101">
        <v>166.5</v>
      </c>
      <c r="I8" s="132" t="s">
        <v>77</v>
      </c>
      <c r="J8" s="101">
        <v>4.3</v>
      </c>
      <c r="K8" s="132" t="s">
        <v>71</v>
      </c>
      <c r="L8" s="101">
        <v>7.1</v>
      </c>
      <c r="M8" s="102" t="s">
        <v>19</v>
      </c>
      <c r="N8" s="101">
        <v>0</v>
      </c>
      <c r="O8" s="100" t="s">
        <v>20</v>
      </c>
      <c r="P8" s="101">
        <v>444.7</v>
      </c>
      <c r="Q8" s="132" t="s">
        <v>21</v>
      </c>
      <c r="R8" s="101">
        <v>357.2</v>
      </c>
      <c r="S8" s="100" t="s">
        <v>20</v>
      </c>
      <c r="T8" s="101">
        <v>88.6</v>
      </c>
      <c r="U8" s="132" t="s">
        <v>68</v>
      </c>
      <c r="AC8" s="95"/>
    </row>
    <row r="9" spans="1:29" ht="86.4" x14ac:dyDescent="0.25">
      <c r="A9" s="102" t="s">
        <v>78</v>
      </c>
      <c r="B9" s="100" t="s">
        <v>79</v>
      </c>
      <c r="C9" s="132" t="s">
        <v>67</v>
      </c>
      <c r="D9" s="101">
        <v>26.5</v>
      </c>
      <c r="E9" s="101"/>
      <c r="F9" s="101"/>
      <c r="G9" s="132" t="s">
        <v>71</v>
      </c>
      <c r="H9" s="101">
        <v>28.2</v>
      </c>
      <c r="I9" s="102" t="s">
        <v>19</v>
      </c>
      <c r="J9" s="101">
        <v>0</v>
      </c>
      <c r="K9" s="132" t="s">
        <v>71</v>
      </c>
      <c r="L9" s="101">
        <v>14</v>
      </c>
      <c r="M9" s="102" t="s">
        <v>19</v>
      </c>
      <c r="N9" s="101">
        <v>0</v>
      </c>
      <c r="O9" s="100" t="s">
        <v>20</v>
      </c>
      <c r="P9" s="101">
        <v>68.7</v>
      </c>
      <c r="Q9" s="110" t="s">
        <v>30</v>
      </c>
      <c r="R9" s="101">
        <v>22.1</v>
      </c>
      <c r="S9" s="100" t="s">
        <v>20</v>
      </c>
      <c r="T9" s="101">
        <v>19</v>
      </c>
      <c r="U9" s="132" t="s">
        <v>68</v>
      </c>
      <c r="AC9" s="95"/>
    </row>
    <row r="10" spans="1:29" ht="86.4" x14ac:dyDescent="0.25">
      <c r="A10" s="102" t="s">
        <v>80</v>
      </c>
      <c r="B10" s="100" t="s">
        <v>81</v>
      </c>
      <c r="C10" s="102" t="s">
        <v>19</v>
      </c>
      <c r="D10" s="101">
        <v>0</v>
      </c>
      <c r="E10" s="101"/>
      <c r="F10" s="101"/>
      <c r="G10" s="132" t="s">
        <v>74</v>
      </c>
      <c r="H10" s="101">
        <v>15</v>
      </c>
      <c r="I10" s="102" t="s">
        <v>19</v>
      </c>
      <c r="J10" s="101">
        <v>0</v>
      </c>
      <c r="K10" s="132" t="s">
        <v>74</v>
      </c>
      <c r="L10" s="101">
        <v>21.5</v>
      </c>
      <c r="M10" s="102" t="s">
        <v>19</v>
      </c>
      <c r="N10" s="101">
        <v>0</v>
      </c>
      <c r="O10" s="100" t="s">
        <v>20</v>
      </c>
      <c r="P10" s="101">
        <v>36.5</v>
      </c>
      <c r="Q10" s="132" t="s">
        <v>21</v>
      </c>
      <c r="R10" s="101">
        <v>5.9</v>
      </c>
      <c r="S10" s="100" t="s">
        <v>20</v>
      </c>
      <c r="T10" s="101">
        <v>9</v>
      </c>
      <c r="U10" s="132" t="s">
        <v>68</v>
      </c>
      <c r="AC10" s="95"/>
    </row>
    <row r="11" spans="1:29" ht="86.4" x14ac:dyDescent="0.25">
      <c r="A11" s="102" t="s">
        <v>82</v>
      </c>
      <c r="B11" s="100" t="s">
        <v>83</v>
      </c>
      <c r="C11" s="132" t="s">
        <v>67</v>
      </c>
      <c r="D11" s="101">
        <v>12.4</v>
      </c>
      <c r="E11" s="101"/>
      <c r="F11" s="101"/>
      <c r="G11" s="132" t="s">
        <v>71</v>
      </c>
      <c r="H11" s="101">
        <v>34.299999999999997</v>
      </c>
      <c r="I11" s="102" t="s">
        <v>19</v>
      </c>
      <c r="J11" s="101">
        <v>0</v>
      </c>
      <c r="K11" s="102" t="s">
        <v>19</v>
      </c>
      <c r="L11" s="101">
        <v>0</v>
      </c>
      <c r="M11" s="102" t="s">
        <v>19</v>
      </c>
      <c r="N11" s="101">
        <v>0</v>
      </c>
      <c r="O11" s="100" t="s">
        <v>20</v>
      </c>
      <c r="P11" s="101">
        <v>46.7</v>
      </c>
      <c r="Q11" s="110" t="s">
        <v>30</v>
      </c>
      <c r="R11" s="101">
        <v>10</v>
      </c>
      <c r="S11" s="100" t="s">
        <v>20</v>
      </c>
      <c r="T11" s="101">
        <v>11.7</v>
      </c>
      <c r="U11" s="132" t="s">
        <v>68</v>
      </c>
      <c r="AC11" s="95"/>
    </row>
    <row r="12" spans="1:29" ht="86.4" x14ac:dyDescent="0.25">
      <c r="A12" s="102" t="s">
        <v>84</v>
      </c>
      <c r="B12" s="100" t="s">
        <v>85</v>
      </c>
      <c r="C12" s="132" t="s">
        <v>67</v>
      </c>
      <c r="D12" s="101">
        <v>72.900000000000006</v>
      </c>
      <c r="E12" s="101"/>
      <c r="F12" s="101"/>
      <c r="G12" s="132" t="s">
        <v>71</v>
      </c>
      <c r="H12" s="101">
        <v>66.099999999999994</v>
      </c>
      <c r="I12" s="102" t="s">
        <v>19</v>
      </c>
      <c r="J12" s="101">
        <v>0</v>
      </c>
      <c r="K12" s="132" t="s">
        <v>71</v>
      </c>
      <c r="L12" s="101">
        <v>16.5</v>
      </c>
      <c r="M12" s="102" t="s">
        <v>19</v>
      </c>
      <c r="N12" s="101">
        <v>0</v>
      </c>
      <c r="O12" s="100" t="s">
        <v>20</v>
      </c>
      <c r="P12" s="101">
        <v>155.5</v>
      </c>
      <c r="Q12" s="110" t="s">
        <v>30</v>
      </c>
      <c r="R12" s="101">
        <v>105.4</v>
      </c>
      <c r="S12" s="100" t="s">
        <v>20</v>
      </c>
      <c r="T12" s="101">
        <v>48.2</v>
      </c>
      <c r="U12" s="132" t="s">
        <v>68</v>
      </c>
      <c r="AC12" s="95"/>
    </row>
    <row r="13" spans="1:29" ht="86.4" x14ac:dyDescent="0.25">
      <c r="A13" s="102" t="s">
        <v>86</v>
      </c>
      <c r="B13" s="100" t="s">
        <v>87</v>
      </c>
      <c r="C13" s="132" t="s">
        <v>67</v>
      </c>
      <c r="D13" s="101">
        <v>40.1</v>
      </c>
      <c r="E13" s="101"/>
      <c r="F13" s="101"/>
      <c r="G13" s="132" t="s">
        <v>71</v>
      </c>
      <c r="H13" s="101">
        <v>70.099999999999994</v>
      </c>
      <c r="I13" s="102" t="s">
        <v>19</v>
      </c>
      <c r="J13" s="101">
        <v>0</v>
      </c>
      <c r="K13" s="132" t="s">
        <v>71</v>
      </c>
      <c r="L13" s="101">
        <v>8.4</v>
      </c>
      <c r="M13" s="102" t="s">
        <v>19</v>
      </c>
      <c r="N13" s="101">
        <v>0</v>
      </c>
      <c r="O13" s="100" t="s">
        <v>20</v>
      </c>
      <c r="P13" s="101">
        <v>118.6</v>
      </c>
      <c r="Q13" s="110" t="s">
        <v>30</v>
      </c>
      <c r="R13" s="101">
        <v>62.9</v>
      </c>
      <c r="S13" s="100" t="s">
        <v>20</v>
      </c>
      <c r="T13" s="101">
        <v>34.6</v>
      </c>
      <c r="U13" s="132" t="s">
        <v>68</v>
      </c>
      <c r="AC13" s="95"/>
    </row>
    <row r="14" spans="1:29" ht="86.4" x14ac:dyDescent="0.25">
      <c r="A14" s="10" t="s">
        <v>88</v>
      </c>
      <c r="B14" s="8" t="s">
        <v>87</v>
      </c>
      <c r="C14" s="3" t="s">
        <v>67</v>
      </c>
      <c r="D14" s="9">
        <v>55.6</v>
      </c>
      <c r="E14" s="9"/>
      <c r="F14" s="9"/>
      <c r="G14" s="3" t="s">
        <v>71</v>
      </c>
      <c r="H14" s="9">
        <v>47.3</v>
      </c>
      <c r="I14" s="9"/>
      <c r="J14" s="9"/>
      <c r="K14" s="3" t="s">
        <v>71</v>
      </c>
      <c r="L14" s="9">
        <v>6.6</v>
      </c>
      <c r="M14" s="9"/>
      <c r="N14" s="9"/>
      <c r="O14" s="8" t="s">
        <v>20</v>
      </c>
      <c r="P14" s="9">
        <v>109.5</v>
      </c>
      <c r="Q14" s="51" t="s">
        <v>30</v>
      </c>
      <c r="R14" s="9">
        <v>64.3</v>
      </c>
      <c r="S14" s="8" t="s">
        <v>20</v>
      </c>
      <c r="T14" s="9">
        <v>32.4</v>
      </c>
      <c r="U14" s="3" t="s">
        <v>68</v>
      </c>
    </row>
    <row r="15" spans="1:29" ht="86.4" x14ac:dyDescent="0.25">
      <c r="A15" s="10" t="s">
        <v>91</v>
      </c>
      <c r="B15" s="8" t="s">
        <v>87</v>
      </c>
      <c r="C15" s="3" t="s">
        <v>67</v>
      </c>
      <c r="D15" s="9">
        <v>92.6</v>
      </c>
      <c r="E15" s="9"/>
      <c r="F15" s="9"/>
      <c r="G15" s="3" t="s">
        <v>71</v>
      </c>
      <c r="H15" s="9">
        <v>11.6</v>
      </c>
      <c r="I15" s="9"/>
      <c r="J15" s="9"/>
      <c r="K15" s="3" t="s">
        <v>71</v>
      </c>
      <c r="L15" s="9">
        <v>8.5</v>
      </c>
      <c r="M15" s="9"/>
      <c r="N15" s="9"/>
      <c r="O15" s="8" t="s">
        <v>20</v>
      </c>
      <c r="P15" s="9">
        <v>112.7</v>
      </c>
      <c r="Q15" s="51" t="s">
        <v>30</v>
      </c>
      <c r="R15" s="9">
        <v>64.400000000000006</v>
      </c>
      <c r="S15" s="8" t="s">
        <v>20</v>
      </c>
      <c r="T15" s="9">
        <v>32.6</v>
      </c>
      <c r="U15" s="3" t="s">
        <v>68</v>
      </c>
    </row>
    <row r="16" spans="1:29" ht="86.4" x14ac:dyDescent="0.25">
      <c r="A16" s="17" t="s">
        <v>95</v>
      </c>
      <c r="B16" s="22" t="s">
        <v>96</v>
      </c>
      <c r="C16" s="127" t="s">
        <v>67</v>
      </c>
      <c r="D16" s="122">
        <v>121.5</v>
      </c>
      <c r="E16" s="122"/>
      <c r="F16" s="122"/>
      <c r="G16" s="127" t="s">
        <v>71</v>
      </c>
      <c r="H16" s="122">
        <v>24.2</v>
      </c>
      <c r="I16" s="122"/>
      <c r="J16" s="122"/>
      <c r="K16" s="127" t="s">
        <v>71</v>
      </c>
      <c r="L16" s="121">
        <v>28.6</v>
      </c>
      <c r="M16" s="121"/>
      <c r="N16" s="121"/>
      <c r="O16" s="22" t="s">
        <v>20</v>
      </c>
      <c r="P16" s="122">
        <v>174.2</v>
      </c>
      <c r="Q16" s="22" t="s">
        <v>30</v>
      </c>
      <c r="R16" s="122">
        <v>131.19999999999999</v>
      </c>
      <c r="S16" s="22" t="s">
        <v>20</v>
      </c>
      <c r="T16" s="122">
        <v>46</v>
      </c>
      <c r="U16" s="127" t="s">
        <v>68</v>
      </c>
    </row>
    <row r="17" spans="1:21" ht="86.4" x14ac:dyDescent="0.25">
      <c r="A17" s="17" t="s">
        <v>99</v>
      </c>
      <c r="B17" s="22" t="s">
        <v>100</v>
      </c>
      <c r="C17" s="127" t="s">
        <v>94</v>
      </c>
      <c r="D17" s="121">
        <v>50.1</v>
      </c>
      <c r="E17" s="121"/>
      <c r="F17" s="121"/>
      <c r="G17" s="17" t="s">
        <v>19</v>
      </c>
      <c r="H17" s="121">
        <v>0</v>
      </c>
      <c r="I17" s="121"/>
      <c r="J17" s="121"/>
      <c r="K17" s="127" t="s">
        <v>74</v>
      </c>
      <c r="L17" s="121">
        <v>30.1</v>
      </c>
      <c r="M17" s="121"/>
      <c r="N17" s="121"/>
      <c r="O17" s="22" t="s">
        <v>20</v>
      </c>
      <c r="P17" s="121">
        <v>80.2</v>
      </c>
      <c r="Q17" s="127" t="s">
        <v>21</v>
      </c>
      <c r="R17" s="121">
        <v>15.8</v>
      </c>
      <c r="S17" s="22" t="s">
        <v>20</v>
      </c>
      <c r="T17" s="121">
        <v>20.3</v>
      </c>
      <c r="U17" s="127" t="s">
        <v>68</v>
      </c>
    </row>
    <row r="18" spans="1:21" ht="86.4" x14ac:dyDescent="0.25">
      <c r="A18" s="17" t="s">
        <v>103</v>
      </c>
      <c r="B18" s="22" t="s">
        <v>81</v>
      </c>
      <c r="C18" s="127" t="s">
        <v>94</v>
      </c>
      <c r="D18" s="121">
        <v>7.2</v>
      </c>
      <c r="E18" s="121"/>
      <c r="F18" s="121"/>
      <c r="G18" s="17" t="s">
        <v>19</v>
      </c>
      <c r="H18" s="121">
        <v>0</v>
      </c>
      <c r="I18" s="121"/>
      <c r="J18" s="121"/>
      <c r="K18" s="127" t="s">
        <v>74</v>
      </c>
      <c r="L18" s="121">
        <v>27.6</v>
      </c>
      <c r="M18" s="121"/>
      <c r="N18" s="121"/>
      <c r="O18" s="22" t="s">
        <v>20</v>
      </c>
      <c r="P18" s="122">
        <v>34.799999999999997</v>
      </c>
      <c r="Q18" s="127" t="s">
        <v>21</v>
      </c>
      <c r="R18" s="121">
        <v>5.4</v>
      </c>
      <c r="S18" s="22" t="s">
        <v>20</v>
      </c>
      <c r="T18" s="121">
        <v>8.1999999999999993</v>
      </c>
      <c r="U18" s="127" t="s">
        <v>68</v>
      </c>
    </row>
    <row r="19" spans="1:21" ht="86.4" x14ac:dyDescent="0.25">
      <c r="A19" s="17" t="s">
        <v>106</v>
      </c>
      <c r="B19" s="22" t="s">
        <v>107</v>
      </c>
      <c r="C19" s="127" t="s">
        <v>94</v>
      </c>
      <c r="D19" s="122">
        <v>49.9</v>
      </c>
      <c r="E19" s="122"/>
      <c r="F19" s="122"/>
      <c r="G19" s="17" t="s">
        <v>19</v>
      </c>
      <c r="H19" s="121">
        <v>0</v>
      </c>
      <c r="I19" s="121"/>
      <c r="J19" s="121"/>
      <c r="K19" s="127" t="s">
        <v>74</v>
      </c>
      <c r="L19" s="122">
        <v>30.4</v>
      </c>
      <c r="M19" s="122"/>
      <c r="N19" s="122"/>
      <c r="O19" s="22" t="s">
        <v>20</v>
      </c>
      <c r="P19" s="121">
        <v>80.3</v>
      </c>
      <c r="Q19" s="127" t="s">
        <v>21</v>
      </c>
      <c r="R19" s="121">
        <v>15.8</v>
      </c>
      <c r="S19" s="22" t="s">
        <v>20</v>
      </c>
      <c r="T19" s="121">
        <v>20.2</v>
      </c>
      <c r="U19" s="127" t="s">
        <v>68</v>
      </c>
    </row>
    <row r="20" spans="1:21" ht="86.4" x14ac:dyDescent="0.25">
      <c r="A20" s="17" t="s">
        <v>110</v>
      </c>
      <c r="B20" s="22" t="s">
        <v>111</v>
      </c>
      <c r="C20" s="127" t="s">
        <v>94</v>
      </c>
      <c r="D20" s="121">
        <v>1.1000000000000001</v>
      </c>
      <c r="E20" s="121"/>
      <c r="F20" s="121"/>
      <c r="G20" s="127" t="s">
        <v>74</v>
      </c>
      <c r="H20" s="121">
        <v>4.8</v>
      </c>
      <c r="I20" s="121"/>
      <c r="J20" s="121"/>
      <c r="K20" s="127" t="s">
        <v>74</v>
      </c>
      <c r="L20" s="121">
        <v>16.7</v>
      </c>
      <c r="M20" s="121"/>
      <c r="N20" s="121"/>
      <c r="O20" s="22" t="s">
        <v>20</v>
      </c>
      <c r="P20" s="121">
        <v>22.7</v>
      </c>
      <c r="Q20" s="22" t="s">
        <v>30</v>
      </c>
      <c r="R20" s="121">
        <v>2.4</v>
      </c>
      <c r="S20" s="22" t="s">
        <v>20</v>
      </c>
      <c r="T20" s="121">
        <v>5.3</v>
      </c>
      <c r="U20" s="127" t="s">
        <v>68</v>
      </c>
    </row>
    <row r="21" spans="1:21" ht="86.4" x14ac:dyDescent="0.25">
      <c r="A21" s="17" t="s">
        <v>114</v>
      </c>
      <c r="B21" s="22" t="s">
        <v>115</v>
      </c>
      <c r="C21" s="127" t="s">
        <v>94</v>
      </c>
      <c r="D21" s="121">
        <v>18.600000000000001</v>
      </c>
      <c r="E21" s="121"/>
      <c r="F21" s="121"/>
      <c r="G21" s="17" t="s">
        <v>19</v>
      </c>
      <c r="H21" s="121">
        <v>0</v>
      </c>
      <c r="I21" s="121"/>
      <c r="J21" s="121"/>
      <c r="K21" s="127" t="s">
        <v>74</v>
      </c>
      <c r="L21" s="122">
        <v>40.799999999999997</v>
      </c>
      <c r="M21" s="122"/>
      <c r="N21" s="122"/>
      <c r="O21" s="22" t="s">
        <v>20</v>
      </c>
      <c r="P21" s="122">
        <v>59.4</v>
      </c>
      <c r="Q21" s="127" t="s">
        <v>21</v>
      </c>
      <c r="R21" s="121">
        <v>13.9</v>
      </c>
      <c r="S21" s="22" t="s">
        <v>20</v>
      </c>
      <c r="T21" s="121">
        <v>16.2</v>
      </c>
      <c r="U21" s="127" t="s">
        <v>68</v>
      </c>
    </row>
    <row r="22" spans="1:21" ht="86.4" x14ac:dyDescent="0.25">
      <c r="A22" s="17" t="s">
        <v>118</v>
      </c>
      <c r="B22" s="22" t="s">
        <v>119</v>
      </c>
      <c r="C22" s="127" t="s">
        <v>94</v>
      </c>
      <c r="D22" s="121">
        <v>7.2</v>
      </c>
      <c r="E22" s="121"/>
      <c r="F22" s="121"/>
      <c r="G22" s="17" t="s">
        <v>19</v>
      </c>
      <c r="H22" s="121">
        <v>0</v>
      </c>
      <c r="I22" s="121"/>
      <c r="J22" s="121"/>
      <c r="K22" s="127" t="s">
        <v>74</v>
      </c>
      <c r="L22" s="121">
        <v>50.8</v>
      </c>
      <c r="M22" s="121"/>
      <c r="N22" s="121"/>
      <c r="O22" s="22" t="s">
        <v>20</v>
      </c>
      <c r="P22" s="121">
        <v>58</v>
      </c>
      <c r="Q22" s="127" t="s">
        <v>21</v>
      </c>
      <c r="R22" s="121">
        <v>13.9</v>
      </c>
      <c r="S22" s="22" t="s">
        <v>20</v>
      </c>
      <c r="T22" s="121">
        <v>15.4</v>
      </c>
      <c r="U22" s="127" t="s">
        <v>68</v>
      </c>
    </row>
    <row r="23" spans="1:21" ht="86.4" x14ac:dyDescent="0.25">
      <c r="A23" s="7" t="s">
        <v>89</v>
      </c>
      <c r="B23" s="10" t="s">
        <v>90</v>
      </c>
      <c r="C23" s="3" t="s">
        <v>67</v>
      </c>
      <c r="D23" s="52">
        <v>7.4</v>
      </c>
      <c r="E23" s="52"/>
      <c r="F23" s="52"/>
      <c r="G23" s="3" t="s">
        <v>71</v>
      </c>
      <c r="H23" s="9">
        <v>24.1</v>
      </c>
      <c r="I23" s="9"/>
      <c r="J23" s="9"/>
      <c r="K23" s="3" t="s">
        <v>71</v>
      </c>
      <c r="L23" s="82">
        <v>35.700000000000003</v>
      </c>
      <c r="M23" s="83"/>
      <c r="N23" s="12"/>
      <c r="O23" s="13" t="s">
        <v>20</v>
      </c>
      <c r="P23" s="14">
        <v>67.2</v>
      </c>
      <c r="Q23" s="13" t="s">
        <v>30</v>
      </c>
      <c r="R23" s="9">
        <v>20.399999999999999</v>
      </c>
      <c r="S23" s="8" t="s">
        <v>20</v>
      </c>
      <c r="T23" s="14">
        <v>15.9</v>
      </c>
      <c r="U23" s="6" t="s">
        <v>68</v>
      </c>
    </row>
    <row r="24" spans="1:21" ht="86.4" x14ac:dyDescent="0.25">
      <c r="A24" s="17" t="s">
        <v>92</v>
      </c>
      <c r="B24" s="127" t="s">
        <v>93</v>
      </c>
      <c r="C24" s="127" t="s">
        <v>94</v>
      </c>
      <c r="D24" s="121">
        <v>7.7</v>
      </c>
      <c r="E24" s="121"/>
      <c r="F24" s="121"/>
      <c r="G24" s="127" t="s">
        <v>74</v>
      </c>
      <c r="H24" s="121">
        <v>14.3</v>
      </c>
      <c r="I24" s="121"/>
      <c r="J24" s="121"/>
      <c r="K24" s="127" t="s">
        <v>74</v>
      </c>
      <c r="L24" s="87">
        <v>21.7</v>
      </c>
      <c r="M24" s="88"/>
      <c r="N24" s="25"/>
      <c r="O24" s="30" t="s">
        <v>20</v>
      </c>
      <c r="P24" s="32">
        <v>43.7</v>
      </c>
      <c r="Q24" s="34" t="s">
        <v>21</v>
      </c>
      <c r="R24" s="121">
        <v>6</v>
      </c>
      <c r="S24" s="22" t="s">
        <v>20</v>
      </c>
      <c r="T24" s="32">
        <v>10.7</v>
      </c>
      <c r="U24" s="34" t="s">
        <v>68</v>
      </c>
    </row>
    <row r="25" spans="1:21" ht="86.4" x14ac:dyDescent="0.25">
      <c r="A25" s="17" t="s">
        <v>97</v>
      </c>
      <c r="B25" s="22" t="s">
        <v>98</v>
      </c>
      <c r="C25" s="127" t="s">
        <v>94</v>
      </c>
      <c r="D25" s="121">
        <v>3.2</v>
      </c>
      <c r="E25" s="121"/>
      <c r="F25" s="121"/>
      <c r="G25" s="127" t="s">
        <v>74</v>
      </c>
      <c r="H25" s="121">
        <v>9</v>
      </c>
      <c r="I25" s="121"/>
      <c r="J25" s="121"/>
      <c r="K25" s="127" t="s">
        <v>74</v>
      </c>
      <c r="L25" s="87">
        <v>20.9</v>
      </c>
      <c r="M25" s="88"/>
      <c r="N25" s="25"/>
      <c r="O25" s="30" t="s">
        <v>20</v>
      </c>
      <c r="P25" s="32">
        <v>33</v>
      </c>
      <c r="Q25" s="34" t="s">
        <v>21</v>
      </c>
      <c r="R25" s="121">
        <v>4.7</v>
      </c>
      <c r="S25" s="22" t="s">
        <v>20</v>
      </c>
      <c r="T25" s="87">
        <v>8</v>
      </c>
      <c r="U25" s="34" t="s">
        <v>68</v>
      </c>
    </row>
    <row r="26" spans="1:21" ht="86.4" x14ac:dyDescent="0.25">
      <c r="A26" s="17" t="s">
        <v>101</v>
      </c>
      <c r="B26" s="22" t="s">
        <v>102</v>
      </c>
      <c r="C26" s="127" t="s">
        <v>94</v>
      </c>
      <c r="D26" s="121">
        <v>18.100000000000001</v>
      </c>
      <c r="E26" s="121"/>
      <c r="F26" s="121"/>
      <c r="G26" s="127" t="s">
        <v>74</v>
      </c>
      <c r="H26" s="121">
        <v>12.2</v>
      </c>
      <c r="I26" s="121"/>
      <c r="J26" s="121"/>
      <c r="K26" s="127" t="s">
        <v>74</v>
      </c>
      <c r="L26" s="87">
        <v>12.6</v>
      </c>
      <c r="M26" s="88"/>
      <c r="N26" s="25"/>
      <c r="O26" s="30" t="s">
        <v>20</v>
      </c>
      <c r="P26" s="32">
        <v>42.9</v>
      </c>
      <c r="Q26" s="34" t="s">
        <v>21</v>
      </c>
      <c r="R26" s="121">
        <v>4.7</v>
      </c>
      <c r="S26" s="22" t="s">
        <v>20</v>
      </c>
      <c r="T26" s="32">
        <v>10.4</v>
      </c>
      <c r="U26" s="34" t="s">
        <v>68</v>
      </c>
    </row>
    <row r="27" spans="1:21" ht="86.4" x14ac:dyDescent="0.25">
      <c r="A27" s="17" t="s">
        <v>104</v>
      </c>
      <c r="B27" s="22" t="s">
        <v>105</v>
      </c>
      <c r="C27" s="127" t="s">
        <v>67</v>
      </c>
      <c r="D27" s="121">
        <v>17</v>
      </c>
      <c r="E27" s="121"/>
      <c r="F27" s="121"/>
      <c r="G27" s="127" t="s">
        <v>71</v>
      </c>
      <c r="H27" s="121">
        <v>10.4</v>
      </c>
      <c r="I27" s="121"/>
      <c r="J27" s="121"/>
      <c r="K27" s="127" t="s">
        <v>71</v>
      </c>
      <c r="L27" s="87">
        <v>23.9</v>
      </c>
      <c r="M27" s="88"/>
      <c r="N27" s="25"/>
      <c r="O27" s="30" t="s">
        <v>20</v>
      </c>
      <c r="P27" s="87">
        <v>51.3</v>
      </c>
      <c r="Q27" s="34" t="s">
        <v>21</v>
      </c>
      <c r="R27" s="121">
        <v>10.1</v>
      </c>
      <c r="S27" s="22" t="s">
        <v>20</v>
      </c>
      <c r="T27" s="32">
        <v>12.4</v>
      </c>
      <c r="U27" s="34" t="s">
        <v>68</v>
      </c>
    </row>
    <row r="28" spans="1:21" ht="86.4" x14ac:dyDescent="0.25">
      <c r="A28" s="7" t="s">
        <v>108</v>
      </c>
      <c r="B28" s="10" t="s">
        <v>109</v>
      </c>
      <c r="C28" s="3" t="s">
        <v>67</v>
      </c>
      <c r="D28" s="53">
        <v>13</v>
      </c>
      <c r="E28" s="53"/>
      <c r="F28" s="53"/>
      <c r="G28" s="3" t="s">
        <v>71</v>
      </c>
      <c r="H28" s="9">
        <v>11.3</v>
      </c>
      <c r="I28" s="9"/>
      <c r="J28" s="9"/>
      <c r="K28" s="3" t="s">
        <v>71</v>
      </c>
      <c r="L28" s="14">
        <v>26.4</v>
      </c>
      <c r="M28" s="86"/>
      <c r="N28" s="15"/>
      <c r="O28" s="13" t="s">
        <v>20</v>
      </c>
      <c r="P28" s="14">
        <v>50.7</v>
      </c>
      <c r="Q28" s="6" t="s">
        <v>21</v>
      </c>
      <c r="R28" s="9">
        <v>10.3</v>
      </c>
      <c r="S28" s="8" t="s">
        <v>20</v>
      </c>
      <c r="T28" s="82">
        <v>12.1</v>
      </c>
      <c r="U28" s="6" t="s">
        <v>68</v>
      </c>
    </row>
    <row r="29" spans="1:21" ht="86.4" x14ac:dyDescent="0.25">
      <c r="A29" s="7" t="s">
        <v>112</v>
      </c>
      <c r="B29" s="10" t="s">
        <v>109</v>
      </c>
      <c r="C29" s="3" t="s">
        <v>67</v>
      </c>
      <c r="D29" s="53">
        <v>20.3</v>
      </c>
      <c r="E29" s="53"/>
      <c r="F29" s="53"/>
      <c r="G29" s="3" t="s">
        <v>71</v>
      </c>
      <c r="H29" s="9">
        <v>39.4</v>
      </c>
      <c r="I29" s="9"/>
      <c r="J29" s="9"/>
      <c r="K29" s="10" t="s">
        <v>19</v>
      </c>
      <c r="L29" s="82">
        <v>0</v>
      </c>
      <c r="M29" s="83"/>
      <c r="N29" s="12"/>
      <c r="O29" s="13" t="s">
        <v>20</v>
      </c>
      <c r="P29" s="14">
        <v>59.7</v>
      </c>
      <c r="Q29" s="6" t="s">
        <v>21</v>
      </c>
      <c r="R29" s="9">
        <v>10.7</v>
      </c>
      <c r="S29" s="8" t="s">
        <v>20</v>
      </c>
      <c r="T29" s="14">
        <v>14.4</v>
      </c>
      <c r="U29" s="6" t="s">
        <v>68</v>
      </c>
    </row>
    <row r="30" spans="1:21" ht="86.4" x14ac:dyDescent="0.25">
      <c r="A30" s="17" t="s">
        <v>113</v>
      </c>
      <c r="B30" s="17" t="s">
        <v>32</v>
      </c>
      <c r="C30" s="127" t="s">
        <v>67</v>
      </c>
      <c r="D30" s="121">
        <v>22.6</v>
      </c>
      <c r="E30" s="121"/>
      <c r="F30" s="121"/>
      <c r="G30" s="127" t="s">
        <v>71</v>
      </c>
      <c r="H30" s="122">
        <v>40.799999999999997</v>
      </c>
      <c r="I30" s="122"/>
      <c r="J30" s="122"/>
      <c r="K30" s="17" t="s">
        <v>19</v>
      </c>
      <c r="L30" s="87">
        <v>0</v>
      </c>
      <c r="M30" s="88"/>
      <c r="N30" s="25"/>
      <c r="O30" s="30" t="s">
        <v>20</v>
      </c>
      <c r="P30" s="32">
        <v>63.5</v>
      </c>
      <c r="Q30" s="34" t="s">
        <v>21</v>
      </c>
      <c r="R30" s="121">
        <v>25.9</v>
      </c>
      <c r="S30" s="22" t="s">
        <v>20</v>
      </c>
      <c r="T30" s="32">
        <v>10.9</v>
      </c>
      <c r="U30" s="34" t="s">
        <v>68</v>
      </c>
    </row>
    <row r="31" spans="1:21" ht="86.4" x14ac:dyDescent="0.25">
      <c r="A31" s="17" t="s">
        <v>116</v>
      </c>
      <c r="B31" s="17" t="s">
        <v>117</v>
      </c>
      <c r="C31" s="127" t="s">
        <v>67</v>
      </c>
      <c r="D31" s="122">
        <v>42.4</v>
      </c>
      <c r="E31" s="122"/>
      <c r="F31" s="122"/>
      <c r="G31" s="127" t="s">
        <v>71</v>
      </c>
      <c r="H31" s="121">
        <v>39.299999999999997</v>
      </c>
      <c r="I31" s="121"/>
      <c r="J31" s="121"/>
      <c r="K31" s="17" t="s">
        <v>19</v>
      </c>
      <c r="L31" s="87">
        <v>0</v>
      </c>
      <c r="M31" s="88"/>
      <c r="N31" s="25"/>
      <c r="O31" s="30" t="s">
        <v>20</v>
      </c>
      <c r="P31" s="87">
        <v>81.7</v>
      </c>
      <c r="Q31" s="30" t="s">
        <v>30</v>
      </c>
      <c r="R31" s="121">
        <v>35.799999999999997</v>
      </c>
      <c r="S31" s="22" t="s">
        <v>20</v>
      </c>
      <c r="T31" s="32">
        <v>22</v>
      </c>
      <c r="U31" s="34" t="s">
        <v>68</v>
      </c>
    </row>
    <row r="32" spans="1:21" ht="86.4" x14ac:dyDescent="0.25">
      <c r="A32" s="10" t="s">
        <v>120</v>
      </c>
      <c r="B32" s="10" t="s">
        <v>121</v>
      </c>
      <c r="C32" s="3" t="s">
        <v>67</v>
      </c>
      <c r="D32" s="9">
        <v>31.2</v>
      </c>
      <c r="E32" s="10" t="s">
        <v>19</v>
      </c>
      <c r="F32" s="9">
        <v>0</v>
      </c>
      <c r="G32" s="3" t="s">
        <v>71</v>
      </c>
      <c r="H32" s="9">
        <v>59.7</v>
      </c>
      <c r="I32" s="9"/>
      <c r="J32" s="9"/>
      <c r="K32" s="10" t="s">
        <v>19</v>
      </c>
      <c r="L32" s="9">
        <v>0</v>
      </c>
      <c r="M32" s="9"/>
      <c r="N32" s="9"/>
      <c r="O32" s="8" t="s">
        <v>20</v>
      </c>
      <c r="P32" s="9">
        <v>90.9</v>
      </c>
      <c r="Q32" s="3" t="s">
        <v>21</v>
      </c>
      <c r="R32" s="9">
        <v>45.9</v>
      </c>
      <c r="S32" s="8" t="s">
        <v>20</v>
      </c>
      <c r="T32" s="9">
        <v>24.9</v>
      </c>
      <c r="U32" s="3" t="s">
        <v>68</v>
      </c>
    </row>
    <row r="33" spans="1:21" ht="86.4" x14ac:dyDescent="0.25">
      <c r="A33" s="10" t="s">
        <v>122</v>
      </c>
      <c r="B33" s="8" t="s">
        <v>123</v>
      </c>
      <c r="C33" s="3" t="s">
        <v>67</v>
      </c>
      <c r="D33" s="9">
        <v>64.900000000000006</v>
      </c>
      <c r="E33" s="10" t="s">
        <v>19</v>
      </c>
      <c r="F33" s="9">
        <v>0</v>
      </c>
      <c r="G33" s="3" t="s">
        <v>71</v>
      </c>
      <c r="H33" s="9">
        <v>88.7</v>
      </c>
      <c r="I33" s="9"/>
      <c r="J33" s="9"/>
      <c r="K33" s="3" t="s">
        <v>71</v>
      </c>
      <c r="L33" s="9">
        <v>23.7</v>
      </c>
      <c r="M33" s="9"/>
      <c r="N33" s="9"/>
      <c r="O33" s="8" t="s">
        <v>20</v>
      </c>
      <c r="P33" s="9">
        <v>177.2</v>
      </c>
      <c r="Q33" s="3" t="s">
        <v>21</v>
      </c>
      <c r="R33" s="9">
        <v>180.7</v>
      </c>
      <c r="S33" s="8" t="s">
        <v>20</v>
      </c>
      <c r="T33" s="9">
        <v>38.299999999999997</v>
      </c>
      <c r="U33" s="3" t="s">
        <v>68</v>
      </c>
    </row>
    <row r="34" spans="1:21" ht="86.4" x14ac:dyDescent="0.25">
      <c r="A34" s="10" t="s">
        <v>124</v>
      </c>
      <c r="B34" s="10" t="s">
        <v>32</v>
      </c>
      <c r="C34" s="3" t="s">
        <v>67</v>
      </c>
      <c r="D34" s="9">
        <v>130.19999999999999</v>
      </c>
      <c r="E34" s="10" t="s">
        <v>19</v>
      </c>
      <c r="F34" s="9">
        <v>0</v>
      </c>
      <c r="G34" s="3" t="s">
        <v>71</v>
      </c>
      <c r="H34" s="9">
        <v>128.19999999999999</v>
      </c>
      <c r="I34" s="9"/>
      <c r="J34" s="9"/>
      <c r="K34" s="3" t="s">
        <v>71</v>
      </c>
      <c r="L34" s="9">
        <v>4.5999999999999996</v>
      </c>
      <c r="M34" s="9"/>
      <c r="N34" s="9"/>
      <c r="O34" s="8" t="s">
        <v>20</v>
      </c>
      <c r="P34" s="9">
        <v>263.10000000000002</v>
      </c>
      <c r="Q34" s="3" t="s">
        <v>21</v>
      </c>
      <c r="R34" s="9">
        <v>113</v>
      </c>
      <c r="S34" s="8" t="s">
        <v>20</v>
      </c>
      <c r="T34" s="9">
        <v>51.4</v>
      </c>
      <c r="U34" s="3" t="s">
        <v>68</v>
      </c>
    </row>
    <row r="35" spans="1:21" ht="129.6" x14ac:dyDescent="0.25">
      <c r="A35" s="10" t="s">
        <v>125</v>
      </c>
      <c r="B35" s="8" t="s">
        <v>126</v>
      </c>
      <c r="C35" s="3" t="s">
        <v>67</v>
      </c>
      <c r="D35" s="9">
        <v>73.900000000000006</v>
      </c>
      <c r="E35" s="3" t="s">
        <v>71</v>
      </c>
      <c r="F35" s="9">
        <v>36.799999999999997</v>
      </c>
      <c r="G35" s="10" t="s">
        <v>19</v>
      </c>
      <c r="H35" s="9">
        <v>0</v>
      </c>
      <c r="I35" s="9"/>
      <c r="J35" s="9"/>
      <c r="K35" s="10" t="s">
        <v>19</v>
      </c>
      <c r="L35" s="9">
        <v>0</v>
      </c>
      <c r="M35" s="9"/>
      <c r="N35" s="9"/>
      <c r="O35" s="8" t="s">
        <v>20</v>
      </c>
      <c r="P35" s="9">
        <v>110.6</v>
      </c>
      <c r="Q35" s="3" t="s">
        <v>21</v>
      </c>
      <c r="R35" s="9">
        <v>14.4</v>
      </c>
      <c r="S35" s="8" t="s">
        <v>20</v>
      </c>
      <c r="T35" s="9">
        <v>26.9</v>
      </c>
      <c r="U35" s="3" t="s">
        <v>68</v>
      </c>
    </row>
    <row r="36" spans="1:21" ht="86.4" x14ac:dyDescent="0.25">
      <c r="A36" s="10" t="s">
        <v>127</v>
      </c>
      <c r="B36" s="8" t="s">
        <v>128</v>
      </c>
      <c r="C36" s="3" t="s">
        <v>67</v>
      </c>
      <c r="D36" s="9">
        <v>82.3</v>
      </c>
      <c r="E36" s="10" t="s">
        <v>19</v>
      </c>
      <c r="F36" s="9">
        <v>0</v>
      </c>
      <c r="G36" s="10" t="s">
        <v>19</v>
      </c>
      <c r="H36" s="9">
        <v>0</v>
      </c>
      <c r="I36" s="9"/>
      <c r="J36" s="9"/>
      <c r="K36" s="10" t="s">
        <v>19</v>
      </c>
      <c r="L36" s="9">
        <v>0</v>
      </c>
      <c r="M36" s="9"/>
      <c r="N36" s="9"/>
      <c r="O36" s="8" t="s">
        <v>20</v>
      </c>
      <c r="P36" s="9">
        <v>82.3</v>
      </c>
      <c r="Q36" s="3" t="s">
        <v>21</v>
      </c>
      <c r="R36" s="9">
        <v>17.899999999999999</v>
      </c>
      <c r="S36" s="8" t="s">
        <v>20</v>
      </c>
      <c r="T36" s="9">
        <v>20</v>
      </c>
      <c r="U36" s="3" t="s">
        <v>68</v>
      </c>
    </row>
    <row r="37" spans="1:21" ht="86.4" x14ac:dyDescent="0.25">
      <c r="A37" s="10" t="s">
        <v>129</v>
      </c>
      <c r="B37" s="8" t="s">
        <v>130</v>
      </c>
      <c r="C37" s="3" t="s">
        <v>67</v>
      </c>
      <c r="D37" s="9">
        <v>78.400000000000006</v>
      </c>
      <c r="E37" s="10" t="s">
        <v>19</v>
      </c>
      <c r="F37" s="9">
        <v>0</v>
      </c>
      <c r="G37" s="10" t="s">
        <v>19</v>
      </c>
      <c r="H37" s="9">
        <v>0</v>
      </c>
      <c r="I37" s="9"/>
      <c r="J37" s="9"/>
      <c r="K37" s="10" t="s">
        <v>19</v>
      </c>
      <c r="L37" s="9">
        <v>0</v>
      </c>
      <c r="M37" s="9"/>
      <c r="N37" s="9"/>
      <c r="O37" s="8" t="s">
        <v>20</v>
      </c>
      <c r="P37" s="9">
        <v>78.400000000000006</v>
      </c>
      <c r="Q37" s="3" t="s">
        <v>21</v>
      </c>
      <c r="R37" s="9">
        <v>15.5</v>
      </c>
      <c r="S37" s="8" t="s">
        <v>20</v>
      </c>
      <c r="T37" s="9">
        <v>18.8</v>
      </c>
      <c r="U37" s="3" t="s">
        <v>68</v>
      </c>
    </row>
    <row r="38" spans="1:21" ht="86.4" x14ac:dyDescent="0.25">
      <c r="A38" s="10" t="s">
        <v>131</v>
      </c>
      <c r="B38" s="8" t="s">
        <v>132</v>
      </c>
      <c r="C38" s="3" t="s">
        <v>67</v>
      </c>
      <c r="D38" s="9">
        <v>82.6</v>
      </c>
      <c r="E38" s="10" t="s">
        <v>19</v>
      </c>
      <c r="F38" s="9">
        <v>0</v>
      </c>
      <c r="G38" s="10" t="s">
        <v>19</v>
      </c>
      <c r="H38" s="9">
        <v>0</v>
      </c>
      <c r="I38" s="9"/>
      <c r="J38" s="9"/>
      <c r="K38" s="3" t="s">
        <v>71</v>
      </c>
      <c r="L38" s="9">
        <v>13.7</v>
      </c>
      <c r="M38" s="9"/>
      <c r="N38" s="9"/>
      <c r="O38" s="8" t="s">
        <v>20</v>
      </c>
      <c r="P38" s="9">
        <v>96.3</v>
      </c>
      <c r="Q38" s="3" t="s">
        <v>21</v>
      </c>
      <c r="R38" s="9">
        <v>23.4</v>
      </c>
      <c r="S38" s="8" t="s">
        <v>20</v>
      </c>
      <c r="T38" s="9">
        <v>23.1</v>
      </c>
      <c r="U38" s="3" t="s">
        <v>68</v>
      </c>
    </row>
    <row r="39" spans="1:21" ht="86.4" x14ac:dyDescent="0.25">
      <c r="A39" s="10" t="s">
        <v>133</v>
      </c>
      <c r="B39" s="8" t="s">
        <v>134</v>
      </c>
      <c r="C39" s="3" t="s">
        <v>67</v>
      </c>
      <c r="D39" s="9">
        <v>32.799999999999997</v>
      </c>
      <c r="E39" s="10" t="s">
        <v>19</v>
      </c>
      <c r="F39" s="9">
        <v>0</v>
      </c>
      <c r="G39" s="3" t="s">
        <v>71</v>
      </c>
      <c r="H39" s="9">
        <v>22</v>
      </c>
      <c r="I39" s="9"/>
      <c r="J39" s="9"/>
      <c r="K39" s="10" t="s">
        <v>19</v>
      </c>
      <c r="L39" s="9">
        <v>0</v>
      </c>
      <c r="M39" s="9"/>
      <c r="N39" s="9"/>
      <c r="O39" s="8" t="s">
        <v>20</v>
      </c>
      <c r="P39" s="9">
        <v>54.8</v>
      </c>
      <c r="Q39" s="3" t="s">
        <v>21</v>
      </c>
      <c r="R39" s="9">
        <v>25.9</v>
      </c>
      <c r="S39" s="8" t="s">
        <v>20</v>
      </c>
      <c r="T39" s="9">
        <v>15.2</v>
      </c>
      <c r="U39" s="3" t="s">
        <v>68</v>
      </c>
    </row>
    <row r="40" spans="1:21" ht="86.4" x14ac:dyDescent="0.25">
      <c r="A40" s="17" t="s">
        <v>135</v>
      </c>
      <c r="B40" s="17" t="s">
        <v>136</v>
      </c>
      <c r="C40" s="127" t="s">
        <v>94</v>
      </c>
      <c r="D40" s="121">
        <v>11</v>
      </c>
      <c r="E40" s="17" t="s">
        <v>19</v>
      </c>
      <c r="F40" s="121">
        <v>0</v>
      </c>
      <c r="G40" s="17" t="s">
        <v>19</v>
      </c>
      <c r="H40" s="121">
        <v>0</v>
      </c>
      <c r="I40" s="121"/>
      <c r="J40" s="121"/>
      <c r="K40" s="127" t="s">
        <v>74</v>
      </c>
      <c r="L40" s="121">
        <v>38.9</v>
      </c>
      <c r="M40" s="121"/>
      <c r="N40" s="121"/>
      <c r="O40" s="22" t="s">
        <v>20</v>
      </c>
      <c r="P40" s="122">
        <v>49.9</v>
      </c>
      <c r="Q40" s="127" t="s">
        <v>21</v>
      </c>
      <c r="R40" s="121">
        <v>11.8</v>
      </c>
      <c r="S40" s="22" t="s">
        <v>20</v>
      </c>
      <c r="T40" s="121">
        <v>12.2</v>
      </c>
      <c r="U40" s="127" t="s">
        <v>68</v>
      </c>
    </row>
    <row r="41" spans="1:21" ht="86.4" x14ac:dyDescent="0.25">
      <c r="A41" s="17" t="s">
        <v>137</v>
      </c>
      <c r="B41" s="22" t="s">
        <v>138</v>
      </c>
      <c r="C41" s="127" t="s">
        <v>67</v>
      </c>
      <c r="D41" s="122">
        <v>116.4</v>
      </c>
      <c r="E41" s="17" t="s">
        <v>19</v>
      </c>
      <c r="F41" s="121">
        <v>0</v>
      </c>
      <c r="G41" s="127" t="s">
        <v>71</v>
      </c>
      <c r="H41" s="121">
        <v>87.3</v>
      </c>
      <c r="I41" s="121"/>
      <c r="J41" s="121"/>
      <c r="K41" s="127" t="s">
        <v>71</v>
      </c>
      <c r="L41" s="121">
        <v>22.5</v>
      </c>
      <c r="M41" s="121"/>
      <c r="N41" s="121"/>
      <c r="O41" s="22" t="s">
        <v>20</v>
      </c>
      <c r="P41" s="122">
        <v>226.1</v>
      </c>
      <c r="Q41" s="127" t="s">
        <v>21</v>
      </c>
      <c r="R41" s="122">
        <v>170.4</v>
      </c>
      <c r="S41" s="22" t="s">
        <v>20</v>
      </c>
      <c r="T41" s="121">
        <v>62.7</v>
      </c>
      <c r="U41" s="127" t="s">
        <v>68</v>
      </c>
    </row>
    <row r="42" spans="1:21" ht="86.4" x14ac:dyDescent="0.25">
      <c r="A42" s="7" t="s">
        <v>140</v>
      </c>
      <c r="B42" s="8" t="s">
        <v>141</v>
      </c>
      <c r="C42" s="3" t="s">
        <v>94</v>
      </c>
      <c r="D42" s="9">
        <v>20.5</v>
      </c>
      <c r="E42" s="10" t="s">
        <v>19</v>
      </c>
      <c r="F42" s="9">
        <v>0</v>
      </c>
      <c r="G42" s="3" t="s">
        <v>74</v>
      </c>
      <c r="H42" s="9">
        <v>102.4</v>
      </c>
      <c r="I42" s="9"/>
      <c r="J42" s="9"/>
      <c r="K42" s="3" t="s">
        <v>74</v>
      </c>
      <c r="L42" s="9">
        <v>2</v>
      </c>
      <c r="M42" s="9"/>
      <c r="N42" s="9"/>
      <c r="O42" s="8" t="s">
        <v>20</v>
      </c>
      <c r="P42" s="9">
        <v>125</v>
      </c>
      <c r="Q42" s="3" t="s">
        <v>21</v>
      </c>
      <c r="R42" s="9">
        <v>36.4</v>
      </c>
      <c r="S42" s="8" t="s">
        <v>20</v>
      </c>
      <c r="T42" s="9">
        <v>32.200000000000003</v>
      </c>
      <c r="U42" s="3" t="s">
        <v>68</v>
      </c>
    </row>
    <row r="43" spans="1:21" ht="144" x14ac:dyDescent="0.25">
      <c r="A43" s="7" t="s">
        <v>142</v>
      </c>
      <c r="B43" s="8" t="s">
        <v>143</v>
      </c>
      <c r="C43" s="3" t="s">
        <v>94</v>
      </c>
      <c r="D43" s="9">
        <v>5</v>
      </c>
      <c r="E43" s="3" t="s">
        <v>74</v>
      </c>
      <c r="F43" s="9">
        <v>1.4</v>
      </c>
      <c r="G43" s="3" t="s">
        <v>74</v>
      </c>
      <c r="H43" s="9">
        <v>22.3</v>
      </c>
      <c r="I43" s="9"/>
      <c r="J43" s="9"/>
      <c r="K43" s="3" t="s">
        <v>74</v>
      </c>
      <c r="L43" s="9">
        <v>27.9</v>
      </c>
      <c r="M43" s="9"/>
      <c r="N43" s="9"/>
      <c r="O43" s="8" t="s">
        <v>20</v>
      </c>
      <c r="P43" s="9">
        <v>56.7</v>
      </c>
      <c r="Q43" s="3" t="s">
        <v>21</v>
      </c>
      <c r="R43" s="9">
        <v>15</v>
      </c>
      <c r="S43" s="8" t="s">
        <v>20</v>
      </c>
      <c r="T43" s="9">
        <v>12.6</v>
      </c>
      <c r="U43" s="3" t="s">
        <v>68</v>
      </c>
    </row>
    <row r="44" spans="1:21" ht="144" x14ac:dyDescent="0.25">
      <c r="A44" s="7" t="s">
        <v>144</v>
      </c>
      <c r="B44" s="8" t="s">
        <v>145</v>
      </c>
      <c r="C44" s="3" t="s">
        <v>94</v>
      </c>
      <c r="D44" s="9">
        <v>53.6</v>
      </c>
      <c r="E44" s="3" t="s">
        <v>74</v>
      </c>
      <c r="F44" s="9">
        <v>5.5</v>
      </c>
      <c r="G44" s="3" t="s">
        <v>74</v>
      </c>
      <c r="H44" s="9">
        <v>62.9</v>
      </c>
      <c r="I44" s="9"/>
      <c r="J44" s="9"/>
      <c r="K44" s="3" t="s">
        <v>74</v>
      </c>
      <c r="L44" s="9">
        <v>69.3</v>
      </c>
      <c r="M44" s="9"/>
      <c r="N44" s="9"/>
      <c r="O44" s="8" t="s">
        <v>20</v>
      </c>
      <c r="P44" s="9">
        <v>191.3</v>
      </c>
      <c r="Q44" s="3" t="s">
        <v>21</v>
      </c>
      <c r="R44" s="9">
        <v>89.2</v>
      </c>
      <c r="S44" s="8" t="s">
        <v>20</v>
      </c>
      <c r="T44" s="9">
        <v>44</v>
      </c>
      <c r="U44" s="3" t="s">
        <v>68</v>
      </c>
    </row>
    <row r="45" spans="1:21" ht="86.4" x14ac:dyDescent="0.25">
      <c r="A45" s="7" t="s">
        <v>146</v>
      </c>
      <c r="B45" s="8" t="s">
        <v>147</v>
      </c>
      <c r="C45" s="3" t="s">
        <v>94</v>
      </c>
      <c r="D45" s="9">
        <v>6.7</v>
      </c>
      <c r="E45" s="10" t="s">
        <v>19</v>
      </c>
      <c r="F45" s="9">
        <v>0</v>
      </c>
      <c r="G45" s="10" t="s">
        <v>19</v>
      </c>
      <c r="H45" s="9">
        <v>0</v>
      </c>
      <c r="I45" s="9"/>
      <c r="J45" s="9"/>
      <c r="K45" s="3" t="s">
        <v>74</v>
      </c>
      <c r="L45" s="9">
        <v>61.5</v>
      </c>
      <c r="M45" s="9"/>
      <c r="N45" s="9"/>
      <c r="O45" s="8" t="s">
        <v>20</v>
      </c>
      <c r="P45" s="9">
        <v>68.2</v>
      </c>
      <c r="Q45" s="3" t="s">
        <v>21</v>
      </c>
      <c r="R45" s="9">
        <v>13.6</v>
      </c>
      <c r="S45" s="8" t="s">
        <v>20</v>
      </c>
      <c r="T45" s="9">
        <v>16.2</v>
      </c>
      <c r="U45" s="3" t="s">
        <v>68</v>
      </c>
    </row>
    <row r="46" spans="1:21" ht="86.4" x14ac:dyDescent="0.25">
      <c r="A46" s="7" t="s">
        <v>148</v>
      </c>
      <c r="B46" s="8" t="s">
        <v>149</v>
      </c>
      <c r="C46" s="3" t="s">
        <v>94</v>
      </c>
      <c r="D46" s="9">
        <v>5.2</v>
      </c>
      <c r="E46" s="10" t="s">
        <v>19</v>
      </c>
      <c r="F46" s="9">
        <v>0</v>
      </c>
      <c r="G46" s="10" t="s">
        <v>19</v>
      </c>
      <c r="H46" s="9">
        <v>0</v>
      </c>
      <c r="I46" s="9"/>
      <c r="J46" s="9"/>
      <c r="K46" s="3" t="s">
        <v>74</v>
      </c>
      <c r="L46" s="9">
        <v>51.6</v>
      </c>
      <c r="M46" s="9"/>
      <c r="N46" s="9"/>
      <c r="O46" s="8" t="s">
        <v>20</v>
      </c>
      <c r="P46" s="9">
        <v>56.8</v>
      </c>
      <c r="Q46" s="3" t="s">
        <v>21</v>
      </c>
      <c r="R46" s="9">
        <v>12.1</v>
      </c>
      <c r="S46" s="8" t="s">
        <v>20</v>
      </c>
      <c r="T46" s="9">
        <v>14.2</v>
      </c>
      <c r="U46" s="3" t="s">
        <v>68</v>
      </c>
    </row>
    <row r="47" spans="1:21" ht="86.4" x14ac:dyDescent="0.25">
      <c r="A47" s="7" t="s">
        <v>150</v>
      </c>
      <c r="B47" s="8" t="s">
        <v>151</v>
      </c>
      <c r="C47" s="3" t="s">
        <v>94</v>
      </c>
      <c r="D47" s="9">
        <v>11.2</v>
      </c>
      <c r="E47" s="10" t="s">
        <v>19</v>
      </c>
      <c r="F47" s="9">
        <v>0</v>
      </c>
      <c r="G47" s="10" t="s">
        <v>19</v>
      </c>
      <c r="H47" s="9">
        <v>0</v>
      </c>
      <c r="I47" s="9"/>
      <c r="J47" s="9"/>
      <c r="K47" s="3" t="s">
        <v>74</v>
      </c>
      <c r="L47" s="9">
        <v>86.5</v>
      </c>
      <c r="M47" s="9"/>
      <c r="N47" s="9"/>
      <c r="O47" s="8" t="s">
        <v>20</v>
      </c>
      <c r="P47" s="9">
        <v>97.6</v>
      </c>
      <c r="Q47" s="3" t="s">
        <v>21</v>
      </c>
      <c r="R47" s="9">
        <v>29.7</v>
      </c>
      <c r="S47" s="8" t="s">
        <v>20</v>
      </c>
      <c r="T47" s="9">
        <v>23.8</v>
      </c>
      <c r="U47" s="3" t="s">
        <v>68</v>
      </c>
    </row>
    <row r="48" spans="1:21" ht="86.4" x14ac:dyDescent="0.25">
      <c r="A48" s="7" t="s">
        <v>152</v>
      </c>
      <c r="B48" s="8" t="s">
        <v>153</v>
      </c>
      <c r="C48" s="3" t="s">
        <v>94</v>
      </c>
      <c r="D48" s="9">
        <v>2</v>
      </c>
      <c r="E48" s="10" t="s">
        <v>19</v>
      </c>
      <c r="F48" s="9">
        <v>0</v>
      </c>
      <c r="G48" s="10" t="s">
        <v>19</v>
      </c>
      <c r="H48" s="9">
        <v>0</v>
      </c>
      <c r="I48" s="9"/>
      <c r="J48" s="9"/>
      <c r="K48" s="3" t="s">
        <v>74</v>
      </c>
      <c r="L48" s="9">
        <v>52.8</v>
      </c>
      <c r="M48" s="9"/>
      <c r="N48" s="9"/>
      <c r="O48" s="8" t="s">
        <v>20</v>
      </c>
      <c r="P48" s="9">
        <v>54.8</v>
      </c>
      <c r="Q48" s="3" t="s">
        <v>21</v>
      </c>
      <c r="R48" s="9">
        <v>10.8</v>
      </c>
      <c r="S48" s="8" t="s">
        <v>20</v>
      </c>
      <c r="T48" s="9">
        <v>13.4</v>
      </c>
      <c r="U48" s="3" t="s">
        <v>68</v>
      </c>
    </row>
    <row r="49" spans="1:21" ht="86.4" x14ac:dyDescent="0.25">
      <c r="A49" s="17" t="s">
        <v>154</v>
      </c>
      <c r="B49" s="22" t="s">
        <v>155</v>
      </c>
      <c r="C49" s="127" t="s">
        <v>94</v>
      </c>
      <c r="D49" s="121">
        <v>6.5</v>
      </c>
      <c r="E49" s="17" t="s">
        <v>19</v>
      </c>
      <c r="F49" s="121">
        <v>0</v>
      </c>
      <c r="G49" s="17" t="s">
        <v>19</v>
      </c>
      <c r="H49" s="121">
        <v>0</v>
      </c>
      <c r="I49" s="121"/>
      <c r="J49" s="121"/>
      <c r="K49" s="127" t="s">
        <v>74</v>
      </c>
      <c r="L49" s="122">
        <v>48.2</v>
      </c>
      <c r="M49" s="122"/>
      <c r="N49" s="122"/>
      <c r="O49" s="22" t="s">
        <v>20</v>
      </c>
      <c r="P49" s="122">
        <v>54.7</v>
      </c>
      <c r="Q49" s="127" t="s">
        <v>21</v>
      </c>
      <c r="R49" s="121">
        <v>9.3000000000000007</v>
      </c>
      <c r="S49" s="22" t="s">
        <v>20</v>
      </c>
      <c r="T49" s="121">
        <v>13.5</v>
      </c>
      <c r="U49" s="127" t="s">
        <v>68</v>
      </c>
    </row>
    <row r="50" spans="1:21" ht="86.4" x14ac:dyDescent="0.25">
      <c r="A50" s="17" t="s">
        <v>156</v>
      </c>
      <c r="B50" s="22" t="s">
        <v>157</v>
      </c>
      <c r="C50" s="17" t="s">
        <v>19</v>
      </c>
      <c r="D50" s="121">
        <v>0</v>
      </c>
      <c r="E50" s="17" t="s">
        <v>19</v>
      </c>
      <c r="F50" s="121">
        <v>0</v>
      </c>
      <c r="G50" s="17" t="s">
        <v>19</v>
      </c>
      <c r="H50" s="121">
        <v>0</v>
      </c>
      <c r="I50" s="121"/>
      <c r="J50" s="121"/>
      <c r="K50" s="127" t="s">
        <v>74</v>
      </c>
      <c r="L50" s="122">
        <v>54.7</v>
      </c>
      <c r="M50" s="122"/>
      <c r="N50" s="122"/>
      <c r="O50" s="22" t="s">
        <v>20</v>
      </c>
      <c r="P50" s="122">
        <v>54.7</v>
      </c>
      <c r="Q50" s="127" t="s">
        <v>21</v>
      </c>
      <c r="R50" s="121">
        <v>9.6999999999999993</v>
      </c>
      <c r="S50" s="22" t="s">
        <v>20</v>
      </c>
      <c r="T50" s="121">
        <v>13.1</v>
      </c>
      <c r="U50" s="127" t="s">
        <v>68</v>
      </c>
    </row>
    <row r="51" spans="1:21" ht="86.4" x14ac:dyDescent="0.25">
      <c r="A51" s="17" t="s">
        <v>158</v>
      </c>
      <c r="B51" s="17" t="s">
        <v>159</v>
      </c>
      <c r="C51" s="127" t="s">
        <v>67</v>
      </c>
      <c r="D51" s="121">
        <v>10.6</v>
      </c>
      <c r="E51" s="17" t="s">
        <v>19</v>
      </c>
      <c r="F51" s="121">
        <v>0</v>
      </c>
      <c r="G51" s="127" t="s">
        <v>71</v>
      </c>
      <c r="H51" s="121">
        <v>8.5</v>
      </c>
      <c r="I51" s="121"/>
      <c r="J51" s="121"/>
      <c r="K51" s="127" t="s">
        <v>71</v>
      </c>
      <c r="L51" s="121">
        <v>22.5</v>
      </c>
      <c r="M51" s="121"/>
      <c r="N51" s="121"/>
      <c r="O51" s="22" t="s">
        <v>20</v>
      </c>
      <c r="P51" s="121">
        <v>41.6</v>
      </c>
      <c r="Q51" s="127" t="s">
        <v>21</v>
      </c>
      <c r="R51" s="121">
        <v>7.7</v>
      </c>
      <c r="S51" s="22" t="s">
        <v>20</v>
      </c>
      <c r="T51" s="121">
        <v>9.8000000000000007</v>
      </c>
      <c r="U51" s="127" t="s">
        <v>68</v>
      </c>
    </row>
    <row r="52" spans="1:21" ht="86.4" x14ac:dyDescent="0.25">
      <c r="A52" s="10" t="s">
        <v>160</v>
      </c>
      <c r="B52" s="8" t="s">
        <v>98</v>
      </c>
      <c r="C52" s="3" t="s">
        <v>94</v>
      </c>
      <c r="D52" s="9">
        <v>11.7</v>
      </c>
      <c r="E52" s="10" t="s">
        <v>19</v>
      </c>
      <c r="F52" s="9">
        <v>0</v>
      </c>
      <c r="G52" s="10" t="s">
        <v>19</v>
      </c>
      <c r="H52" s="9">
        <v>0</v>
      </c>
      <c r="I52" s="9"/>
      <c r="J52" s="9"/>
      <c r="K52" s="3" t="s">
        <v>74</v>
      </c>
      <c r="L52" s="9">
        <v>18.8</v>
      </c>
      <c r="M52" s="10" t="s">
        <v>19</v>
      </c>
      <c r="N52" s="9">
        <v>0</v>
      </c>
      <c r="O52" s="8" t="s">
        <v>20</v>
      </c>
      <c r="P52" s="9">
        <v>30.5</v>
      </c>
      <c r="Q52" s="3" t="s">
        <v>21</v>
      </c>
      <c r="R52" s="9">
        <v>3.3</v>
      </c>
      <c r="S52" s="8" t="s">
        <v>20</v>
      </c>
      <c r="T52" s="9">
        <v>7.2</v>
      </c>
      <c r="U52" s="3" t="s">
        <v>68</v>
      </c>
    </row>
    <row r="53" spans="1:21" ht="86.4" x14ac:dyDescent="0.25">
      <c r="A53" s="10" t="s">
        <v>161</v>
      </c>
      <c r="B53" s="8" t="s">
        <v>162</v>
      </c>
      <c r="C53" s="3" t="s">
        <v>94</v>
      </c>
      <c r="D53" s="9">
        <v>26.2</v>
      </c>
      <c r="E53" s="10" t="s">
        <v>19</v>
      </c>
      <c r="F53" s="9">
        <v>0</v>
      </c>
      <c r="G53" s="10" t="s">
        <v>19</v>
      </c>
      <c r="H53" s="9">
        <v>0</v>
      </c>
      <c r="I53" s="9"/>
      <c r="J53" s="9"/>
      <c r="K53" s="3" t="s">
        <v>74</v>
      </c>
      <c r="L53" s="9">
        <v>23.8</v>
      </c>
      <c r="M53" s="10" t="s">
        <v>19</v>
      </c>
      <c r="N53" s="9">
        <v>0</v>
      </c>
      <c r="O53" s="8" t="s">
        <v>20</v>
      </c>
      <c r="P53" s="9">
        <v>50</v>
      </c>
      <c r="Q53" s="3" t="s">
        <v>21</v>
      </c>
      <c r="R53" s="9">
        <v>8.6999999999999993</v>
      </c>
      <c r="S53" s="8" t="s">
        <v>20</v>
      </c>
      <c r="T53" s="9">
        <v>11.9</v>
      </c>
      <c r="U53" s="3" t="s">
        <v>68</v>
      </c>
    </row>
    <row r="54" spans="1:21" ht="86.4" x14ac:dyDescent="0.25">
      <c r="A54" s="10" t="s">
        <v>163</v>
      </c>
      <c r="B54" s="10" t="s">
        <v>164</v>
      </c>
      <c r="C54" s="10" t="s">
        <v>19</v>
      </c>
      <c r="D54" s="9">
        <v>0</v>
      </c>
      <c r="E54" s="10" t="s">
        <v>19</v>
      </c>
      <c r="F54" s="9">
        <v>0</v>
      </c>
      <c r="G54" s="10" t="s">
        <v>19</v>
      </c>
      <c r="H54" s="9">
        <v>0</v>
      </c>
      <c r="I54" s="9"/>
      <c r="J54" s="9"/>
      <c r="K54" s="10" t="s">
        <v>19</v>
      </c>
      <c r="L54" s="9">
        <v>0</v>
      </c>
      <c r="M54" s="3" t="s">
        <v>165</v>
      </c>
      <c r="N54" s="9">
        <v>42.1</v>
      </c>
      <c r="O54" s="8" t="s">
        <v>20</v>
      </c>
      <c r="P54" s="9">
        <v>42.1</v>
      </c>
      <c r="Q54" s="3" t="s">
        <v>21</v>
      </c>
      <c r="R54" s="9">
        <v>8.3000000000000007</v>
      </c>
      <c r="S54" s="8" t="s">
        <v>20</v>
      </c>
      <c r="T54" s="9">
        <v>10.7</v>
      </c>
      <c r="U54" s="3" t="s">
        <v>68</v>
      </c>
    </row>
    <row r="55" spans="1:21" ht="86.4" x14ac:dyDescent="0.25">
      <c r="A55" s="10" t="s">
        <v>166</v>
      </c>
      <c r="B55" s="10" t="s">
        <v>66</v>
      </c>
      <c r="C55" s="10" t="s">
        <v>19</v>
      </c>
      <c r="D55" s="9">
        <v>0</v>
      </c>
      <c r="E55" s="10" t="s">
        <v>19</v>
      </c>
      <c r="F55" s="9">
        <v>0</v>
      </c>
      <c r="G55" s="10" t="s">
        <v>19</v>
      </c>
      <c r="H55" s="9">
        <v>0</v>
      </c>
      <c r="I55" s="9"/>
      <c r="J55" s="9"/>
      <c r="K55" s="10" t="s">
        <v>19</v>
      </c>
      <c r="L55" s="9">
        <v>0</v>
      </c>
      <c r="M55" s="3" t="s">
        <v>165</v>
      </c>
      <c r="N55" s="9">
        <v>19.7</v>
      </c>
      <c r="O55" s="8" t="s">
        <v>20</v>
      </c>
      <c r="P55" s="9">
        <v>19.7</v>
      </c>
      <c r="Q55" s="3" t="s">
        <v>21</v>
      </c>
      <c r="R55" s="9">
        <v>2.2000000000000002</v>
      </c>
      <c r="S55" s="8" t="s">
        <v>20</v>
      </c>
      <c r="T55" s="9">
        <v>5.0999999999999996</v>
      </c>
      <c r="U55" s="10" t="s">
        <v>19</v>
      </c>
    </row>
    <row r="56" spans="1:21" ht="86.4" x14ac:dyDescent="0.25">
      <c r="A56" s="10" t="s">
        <v>167</v>
      </c>
      <c r="B56" s="8" t="s">
        <v>102</v>
      </c>
      <c r="C56" s="10" t="s">
        <v>19</v>
      </c>
      <c r="D56" s="9">
        <v>0</v>
      </c>
      <c r="E56" s="10" t="s">
        <v>19</v>
      </c>
      <c r="F56" s="9">
        <v>0</v>
      </c>
      <c r="G56" s="10" t="s">
        <v>19</v>
      </c>
      <c r="H56" s="9">
        <v>0</v>
      </c>
      <c r="I56" s="9"/>
      <c r="J56" s="9"/>
      <c r="K56" s="3" t="s">
        <v>74</v>
      </c>
      <c r="L56" s="9">
        <v>26.5</v>
      </c>
      <c r="M56" s="10" t="s">
        <v>19</v>
      </c>
      <c r="N56" s="9">
        <v>0</v>
      </c>
      <c r="O56" s="8" t="s">
        <v>20</v>
      </c>
      <c r="P56" s="9">
        <v>26.5</v>
      </c>
      <c r="Q56" s="3" t="s">
        <v>21</v>
      </c>
      <c r="R56" s="9">
        <v>3.3</v>
      </c>
      <c r="S56" s="8" t="s">
        <v>20</v>
      </c>
      <c r="T56" s="9">
        <v>6.3</v>
      </c>
      <c r="U56" s="3" t="s">
        <v>68</v>
      </c>
    </row>
    <row r="57" spans="1:21" ht="86.4" x14ac:dyDescent="0.25">
      <c r="A57" s="10" t="s">
        <v>168</v>
      </c>
      <c r="B57" s="8" t="s">
        <v>169</v>
      </c>
      <c r="C57" s="3" t="s">
        <v>67</v>
      </c>
      <c r="D57" s="9">
        <v>8.3000000000000007</v>
      </c>
      <c r="E57" s="10" t="s">
        <v>19</v>
      </c>
      <c r="F57" s="9">
        <v>0</v>
      </c>
      <c r="G57" s="10" t="s">
        <v>19</v>
      </c>
      <c r="H57" s="9">
        <v>0</v>
      </c>
      <c r="I57" s="9"/>
      <c r="J57" s="9"/>
      <c r="K57" s="3" t="s">
        <v>71</v>
      </c>
      <c r="L57" s="9">
        <v>40</v>
      </c>
      <c r="M57" s="10" t="s">
        <v>19</v>
      </c>
      <c r="N57" s="9">
        <v>0</v>
      </c>
      <c r="O57" s="8" t="s">
        <v>20</v>
      </c>
      <c r="P57" s="9">
        <v>48.4</v>
      </c>
      <c r="Q57" s="3" t="s">
        <v>21</v>
      </c>
      <c r="R57" s="9">
        <v>10.199999999999999</v>
      </c>
      <c r="S57" s="8" t="s">
        <v>20</v>
      </c>
      <c r="T57" s="9">
        <v>12.8</v>
      </c>
      <c r="U57" s="3" t="s">
        <v>68</v>
      </c>
    </row>
    <row r="58" spans="1:21" ht="86.4" x14ac:dyDescent="0.25">
      <c r="A58" s="10" t="s">
        <v>170</v>
      </c>
      <c r="B58" s="8" t="s">
        <v>171</v>
      </c>
      <c r="C58" s="3" t="s">
        <v>94</v>
      </c>
      <c r="D58" s="9">
        <v>10.6</v>
      </c>
      <c r="E58" s="10" t="s">
        <v>19</v>
      </c>
      <c r="F58" s="9">
        <v>0</v>
      </c>
      <c r="G58" s="10" t="s">
        <v>19</v>
      </c>
      <c r="H58" s="9">
        <v>0</v>
      </c>
      <c r="I58" s="9"/>
      <c r="J58" s="9"/>
      <c r="K58" s="3" t="s">
        <v>74</v>
      </c>
      <c r="L58" s="9">
        <v>35.299999999999997</v>
      </c>
      <c r="M58" s="10" t="s">
        <v>19</v>
      </c>
      <c r="N58" s="9">
        <v>0</v>
      </c>
      <c r="O58" s="8" t="s">
        <v>20</v>
      </c>
      <c r="P58" s="9">
        <v>45.9</v>
      </c>
      <c r="Q58" s="3" t="s">
        <v>21</v>
      </c>
      <c r="R58" s="9">
        <v>13.9</v>
      </c>
      <c r="S58" s="8" t="s">
        <v>20</v>
      </c>
      <c r="T58" s="9">
        <v>13.2</v>
      </c>
      <c r="U58" s="3" t="s">
        <v>68</v>
      </c>
    </row>
    <row r="59" spans="1:21" ht="86.4" x14ac:dyDescent="0.25">
      <c r="A59" s="17" t="s">
        <v>172</v>
      </c>
      <c r="B59" s="22" t="s">
        <v>173</v>
      </c>
      <c r="C59" s="127" t="s">
        <v>94</v>
      </c>
      <c r="D59" s="121">
        <v>10.8</v>
      </c>
      <c r="E59" s="17" t="s">
        <v>19</v>
      </c>
      <c r="F59" s="121">
        <v>0</v>
      </c>
      <c r="G59" s="17" t="s">
        <v>19</v>
      </c>
      <c r="H59" s="121">
        <v>0</v>
      </c>
      <c r="I59" s="121"/>
      <c r="J59" s="121"/>
      <c r="K59" s="127" t="s">
        <v>74</v>
      </c>
      <c r="L59" s="122">
        <v>34.200000000000003</v>
      </c>
      <c r="M59" s="17" t="s">
        <v>19</v>
      </c>
      <c r="N59" s="121">
        <v>0</v>
      </c>
      <c r="O59" s="22" t="s">
        <v>20</v>
      </c>
      <c r="P59" s="122">
        <v>45</v>
      </c>
      <c r="Q59" s="127" t="s">
        <v>21</v>
      </c>
      <c r="R59" s="121">
        <v>12.2</v>
      </c>
      <c r="S59" s="22" t="s">
        <v>20</v>
      </c>
      <c r="T59" s="121">
        <v>12.6</v>
      </c>
      <c r="U59" s="127" t="s">
        <v>68</v>
      </c>
    </row>
    <row r="60" spans="1:21" ht="86.4" x14ac:dyDescent="0.25">
      <c r="A60" s="37" t="s">
        <v>174</v>
      </c>
      <c r="B60" s="38" t="s">
        <v>175</v>
      </c>
      <c r="C60" s="127" t="s">
        <v>94</v>
      </c>
      <c r="D60" s="90">
        <v>15.4</v>
      </c>
      <c r="E60" s="37" t="s">
        <v>19</v>
      </c>
      <c r="F60" s="90">
        <v>0</v>
      </c>
      <c r="G60" s="37" t="s">
        <v>19</v>
      </c>
      <c r="H60" s="90">
        <v>0</v>
      </c>
      <c r="I60" s="90"/>
      <c r="J60" s="90"/>
      <c r="K60" s="127" t="s">
        <v>74</v>
      </c>
      <c r="L60" s="90">
        <v>51.8</v>
      </c>
      <c r="M60" s="37" t="s">
        <v>19</v>
      </c>
      <c r="N60" s="90">
        <v>0</v>
      </c>
      <c r="O60" s="38" t="s">
        <v>20</v>
      </c>
      <c r="P60" s="90">
        <v>67.2</v>
      </c>
      <c r="Q60" s="127" t="s">
        <v>21</v>
      </c>
      <c r="R60" s="90">
        <v>21.4</v>
      </c>
      <c r="S60" s="38" t="s">
        <v>20</v>
      </c>
      <c r="T60" s="90">
        <v>19.5</v>
      </c>
      <c r="U60" s="127" t="s">
        <v>68</v>
      </c>
    </row>
    <row r="61" spans="1:21" ht="144" x14ac:dyDescent="0.25">
      <c r="A61" s="17" t="s">
        <v>176</v>
      </c>
      <c r="B61" s="17" t="s">
        <v>32</v>
      </c>
      <c r="C61" s="127" t="s">
        <v>94</v>
      </c>
      <c r="D61" s="121">
        <v>41.9</v>
      </c>
      <c r="E61" s="127" t="s">
        <v>74</v>
      </c>
      <c r="F61" s="121">
        <v>7</v>
      </c>
      <c r="G61" s="127" t="s">
        <v>74</v>
      </c>
      <c r="H61" s="121">
        <v>4.2</v>
      </c>
      <c r="I61" s="121"/>
      <c r="J61" s="121"/>
      <c r="K61" s="127" t="s">
        <v>74</v>
      </c>
      <c r="L61" s="122">
        <v>150.69999999999999</v>
      </c>
      <c r="M61" s="17" t="s">
        <v>19</v>
      </c>
      <c r="N61" s="121">
        <v>0</v>
      </c>
      <c r="O61" s="22" t="s">
        <v>20</v>
      </c>
      <c r="P61" s="122">
        <v>203.8</v>
      </c>
      <c r="Q61" s="127" t="s">
        <v>21</v>
      </c>
      <c r="R61" s="121">
        <v>58.8</v>
      </c>
      <c r="S61" s="22" t="s">
        <v>20</v>
      </c>
      <c r="T61" s="121">
        <v>43.1</v>
      </c>
      <c r="U61" s="17" t="s">
        <v>19</v>
      </c>
    </row>
    <row r="62" spans="1:21" ht="86.4" x14ac:dyDescent="0.25">
      <c r="A62" s="10" t="s">
        <v>177</v>
      </c>
      <c r="B62" s="10" t="s">
        <v>66</v>
      </c>
      <c r="C62" s="3" t="s">
        <v>67</v>
      </c>
      <c r="D62" s="9">
        <v>0.1</v>
      </c>
      <c r="E62" s="9"/>
      <c r="F62" s="9"/>
      <c r="G62" s="10" t="s">
        <v>19</v>
      </c>
      <c r="H62" s="9">
        <v>0</v>
      </c>
      <c r="I62" s="9"/>
      <c r="J62" s="9"/>
      <c r="K62" s="10" t="s">
        <v>19</v>
      </c>
      <c r="L62" s="9">
        <v>0</v>
      </c>
      <c r="M62" s="3" t="s">
        <v>165</v>
      </c>
      <c r="N62" s="9">
        <v>37</v>
      </c>
      <c r="O62" s="8" t="s">
        <v>20</v>
      </c>
      <c r="P62" s="9">
        <v>37.1</v>
      </c>
      <c r="Q62" s="8" t="s">
        <v>178</v>
      </c>
      <c r="R62" s="9">
        <v>27.4</v>
      </c>
      <c r="S62" s="8" t="s">
        <v>20</v>
      </c>
      <c r="T62" s="9">
        <v>10.6</v>
      </c>
      <c r="U62" s="3" t="s">
        <v>68</v>
      </c>
    </row>
    <row r="63" spans="1:21" ht="115.2" x14ac:dyDescent="0.25">
      <c r="A63" s="10" t="s">
        <v>179</v>
      </c>
      <c r="B63" s="8" t="s">
        <v>180</v>
      </c>
      <c r="C63" s="3" t="s">
        <v>17</v>
      </c>
      <c r="D63" s="9">
        <v>62.4</v>
      </c>
      <c r="E63" s="9"/>
      <c r="F63" s="9"/>
      <c r="G63" s="3" t="s">
        <v>18</v>
      </c>
      <c r="H63" s="9">
        <v>43</v>
      </c>
      <c r="I63" s="9"/>
      <c r="J63" s="9"/>
      <c r="K63" s="3" t="s">
        <v>18</v>
      </c>
      <c r="L63" s="9">
        <v>6.7</v>
      </c>
      <c r="M63" s="10" t="s">
        <v>19</v>
      </c>
      <c r="N63" s="9">
        <v>0</v>
      </c>
      <c r="O63" s="8" t="s">
        <v>20</v>
      </c>
      <c r="P63" s="9">
        <v>112.1</v>
      </c>
      <c r="Q63" s="8" t="s">
        <v>178</v>
      </c>
      <c r="R63" s="9">
        <v>92.5</v>
      </c>
      <c r="S63" s="8" t="s">
        <v>20</v>
      </c>
      <c r="T63" s="9">
        <v>31.1</v>
      </c>
      <c r="U63" s="10" t="s">
        <v>19</v>
      </c>
    </row>
    <row r="64" spans="1:21" ht="115.2" x14ac:dyDescent="0.25">
      <c r="A64" s="10" t="s">
        <v>181</v>
      </c>
      <c r="B64" s="8" t="s">
        <v>182</v>
      </c>
      <c r="C64" s="3" t="s">
        <v>17</v>
      </c>
      <c r="D64" s="9">
        <v>25.4</v>
      </c>
      <c r="E64" s="9"/>
      <c r="F64" s="9"/>
      <c r="G64" s="3" t="s">
        <v>18</v>
      </c>
      <c r="H64" s="9">
        <v>29.6</v>
      </c>
      <c r="I64" s="9"/>
      <c r="J64" s="9"/>
      <c r="K64" s="10" t="s">
        <v>19</v>
      </c>
      <c r="L64" s="9">
        <v>0</v>
      </c>
      <c r="M64" s="10" t="s">
        <v>19</v>
      </c>
      <c r="N64" s="9">
        <v>0</v>
      </c>
      <c r="O64" s="8" t="s">
        <v>20</v>
      </c>
      <c r="P64" s="9">
        <v>55</v>
      </c>
      <c r="Q64" s="8" t="s">
        <v>178</v>
      </c>
      <c r="R64" s="9">
        <v>21.6</v>
      </c>
      <c r="S64" s="8" t="s">
        <v>20</v>
      </c>
      <c r="T64" s="9">
        <v>15.1</v>
      </c>
      <c r="U64" s="10" t="s">
        <v>19</v>
      </c>
    </row>
    <row r="65" spans="1:21" ht="86.4" x14ac:dyDescent="0.25">
      <c r="A65" s="10" t="s">
        <v>183</v>
      </c>
      <c r="B65" s="8" t="s">
        <v>184</v>
      </c>
      <c r="C65" s="10" t="s">
        <v>19</v>
      </c>
      <c r="D65" s="9">
        <v>0</v>
      </c>
      <c r="E65" s="9"/>
      <c r="F65" s="9"/>
      <c r="G65" s="3" t="s">
        <v>74</v>
      </c>
      <c r="H65" s="9">
        <v>8.8000000000000007</v>
      </c>
      <c r="I65" s="9"/>
      <c r="J65" s="9"/>
      <c r="K65" s="3" t="s">
        <v>74</v>
      </c>
      <c r="L65" s="9">
        <v>28.9</v>
      </c>
      <c r="M65" s="10" t="s">
        <v>19</v>
      </c>
      <c r="N65" s="9">
        <v>0</v>
      </c>
      <c r="O65" s="8" t="s">
        <v>20</v>
      </c>
      <c r="P65" s="9">
        <v>37.700000000000003</v>
      </c>
      <c r="Q65" s="8" t="s">
        <v>178</v>
      </c>
      <c r="R65" s="9">
        <v>6.2</v>
      </c>
      <c r="S65" s="8" t="s">
        <v>20</v>
      </c>
      <c r="T65" s="9">
        <v>8.9</v>
      </c>
      <c r="U65" s="3" t="s">
        <v>68</v>
      </c>
    </row>
    <row r="66" spans="1:21" ht="57.6" x14ac:dyDescent="0.25">
      <c r="A66" s="10" t="s">
        <v>185</v>
      </c>
      <c r="B66" s="10" t="s">
        <v>66</v>
      </c>
      <c r="C66" s="10" t="s">
        <v>19</v>
      </c>
      <c r="D66" s="9">
        <v>0</v>
      </c>
      <c r="E66" s="9"/>
      <c r="F66" s="9"/>
      <c r="G66" s="10" t="s">
        <v>19</v>
      </c>
      <c r="H66" s="9">
        <v>0</v>
      </c>
      <c r="I66" s="9"/>
      <c r="J66" s="9"/>
      <c r="K66" s="10" t="s">
        <v>19</v>
      </c>
      <c r="L66" s="9">
        <v>0</v>
      </c>
      <c r="M66" s="3" t="s">
        <v>165</v>
      </c>
      <c r="N66" s="9">
        <v>19.600000000000001</v>
      </c>
      <c r="O66" s="8" t="s">
        <v>20</v>
      </c>
      <c r="P66" s="9">
        <v>19.600000000000001</v>
      </c>
      <c r="Q66" s="8" t="s">
        <v>178</v>
      </c>
      <c r="R66" s="9">
        <v>10.9</v>
      </c>
      <c r="S66" s="8" t="s">
        <v>20</v>
      </c>
      <c r="T66" s="9">
        <v>8.6999999999999993</v>
      </c>
      <c r="U66" s="3" t="s">
        <v>68</v>
      </c>
    </row>
    <row r="67" spans="1:21" ht="115.2" x14ac:dyDescent="0.25">
      <c r="A67" s="10" t="s">
        <v>186</v>
      </c>
      <c r="B67" s="8" t="s">
        <v>187</v>
      </c>
      <c r="C67" s="3" t="s">
        <v>17</v>
      </c>
      <c r="D67" s="9">
        <v>45.4</v>
      </c>
      <c r="E67" s="9"/>
      <c r="F67" s="9"/>
      <c r="G67" s="3" t="s">
        <v>18</v>
      </c>
      <c r="H67" s="9">
        <v>6.4</v>
      </c>
      <c r="I67" s="9"/>
      <c r="J67" s="9"/>
      <c r="K67" s="3" t="s">
        <v>18</v>
      </c>
      <c r="L67" s="9">
        <v>38.299999999999997</v>
      </c>
      <c r="M67" s="10" t="s">
        <v>19</v>
      </c>
      <c r="N67" s="9">
        <v>0</v>
      </c>
      <c r="O67" s="8" t="s">
        <v>20</v>
      </c>
      <c r="P67" s="9">
        <v>90</v>
      </c>
      <c r="Q67" s="8" t="s">
        <v>178</v>
      </c>
      <c r="R67" s="9">
        <v>24</v>
      </c>
      <c r="S67" s="8" t="s">
        <v>20</v>
      </c>
      <c r="T67" s="9">
        <v>20.8</v>
      </c>
      <c r="U67" s="10" t="s">
        <v>19</v>
      </c>
    </row>
    <row r="68" spans="1:21" ht="115.2" x14ac:dyDescent="0.25">
      <c r="A68" s="17" t="s">
        <v>188</v>
      </c>
      <c r="B68" s="17" t="s">
        <v>189</v>
      </c>
      <c r="C68" s="127" t="s">
        <v>17</v>
      </c>
      <c r="D68" s="121">
        <v>0.1</v>
      </c>
      <c r="E68" s="121"/>
      <c r="F68" s="121"/>
      <c r="G68" s="127" t="s">
        <v>18</v>
      </c>
      <c r="H68" s="121">
        <v>5.2</v>
      </c>
      <c r="I68" s="121"/>
      <c r="J68" s="121"/>
      <c r="K68" s="127" t="s">
        <v>18</v>
      </c>
      <c r="L68" s="121">
        <v>35</v>
      </c>
      <c r="M68" s="17" t="s">
        <v>19</v>
      </c>
      <c r="N68" s="121">
        <v>0</v>
      </c>
      <c r="O68" s="22" t="s">
        <v>20</v>
      </c>
      <c r="P68" s="122">
        <v>40.200000000000003</v>
      </c>
      <c r="Q68" s="22" t="s">
        <v>178</v>
      </c>
      <c r="R68" s="121">
        <v>6.7</v>
      </c>
      <c r="S68" s="22" t="s">
        <v>20</v>
      </c>
      <c r="T68" s="121">
        <v>9</v>
      </c>
      <c r="U68" s="127" t="s">
        <v>190</v>
      </c>
    </row>
    <row r="69" spans="1:21" ht="86.4" x14ac:dyDescent="0.25">
      <c r="A69" s="17" t="s">
        <v>191</v>
      </c>
      <c r="B69" s="22" t="s">
        <v>192</v>
      </c>
      <c r="C69" s="127" t="s">
        <v>94</v>
      </c>
      <c r="D69" s="121">
        <v>8.6</v>
      </c>
      <c r="E69" s="121"/>
      <c r="F69" s="121"/>
      <c r="G69" s="17" t="s">
        <v>19</v>
      </c>
      <c r="H69" s="121">
        <v>0</v>
      </c>
      <c r="I69" s="121"/>
      <c r="J69" s="121"/>
      <c r="K69" s="127" t="s">
        <v>74</v>
      </c>
      <c r="L69" s="121">
        <v>79.900000000000006</v>
      </c>
      <c r="M69" s="17" t="s">
        <v>19</v>
      </c>
      <c r="N69" s="121">
        <v>0</v>
      </c>
      <c r="O69" s="22" t="s">
        <v>20</v>
      </c>
      <c r="P69" s="121">
        <v>88.5</v>
      </c>
      <c r="Q69" s="22" t="s">
        <v>178</v>
      </c>
      <c r="R69" s="121">
        <v>29.6</v>
      </c>
      <c r="S69" s="22" t="s">
        <v>20</v>
      </c>
      <c r="T69" s="121">
        <v>21.7</v>
      </c>
      <c r="U69" s="127" t="s">
        <v>68</v>
      </c>
    </row>
    <row r="70" spans="1:21" ht="115.2" x14ac:dyDescent="0.25">
      <c r="A70" s="17" t="s">
        <v>193</v>
      </c>
      <c r="B70" s="17" t="s">
        <v>194</v>
      </c>
      <c r="C70" s="127" t="s">
        <v>17</v>
      </c>
      <c r="D70" s="122">
        <v>49.4</v>
      </c>
      <c r="E70" s="122"/>
      <c r="F70" s="122"/>
      <c r="G70" s="17" t="s">
        <v>19</v>
      </c>
      <c r="H70" s="121">
        <v>0</v>
      </c>
      <c r="I70" s="121"/>
      <c r="J70" s="121"/>
      <c r="K70" s="127" t="s">
        <v>18</v>
      </c>
      <c r="L70" s="122">
        <v>34.799999999999997</v>
      </c>
      <c r="M70" s="17" t="s">
        <v>19</v>
      </c>
      <c r="N70" s="121">
        <v>0</v>
      </c>
      <c r="O70" s="22" t="s">
        <v>20</v>
      </c>
      <c r="P70" s="122">
        <v>84.2</v>
      </c>
      <c r="Q70" s="22" t="s">
        <v>178</v>
      </c>
      <c r="R70" s="121">
        <v>51.3</v>
      </c>
      <c r="S70" s="22" t="s">
        <v>20</v>
      </c>
      <c r="T70" s="121">
        <v>23.6</v>
      </c>
      <c r="U70" s="17" t="s">
        <v>19</v>
      </c>
    </row>
    <row r="71" spans="1:21" ht="115.2" x14ac:dyDescent="0.25">
      <c r="A71" s="10" t="s">
        <v>195</v>
      </c>
      <c r="B71" s="10" t="s">
        <v>196</v>
      </c>
      <c r="C71" s="3" t="s">
        <v>17</v>
      </c>
      <c r="D71" s="9">
        <v>44.5</v>
      </c>
      <c r="E71" s="9"/>
      <c r="F71" s="9"/>
      <c r="G71" s="3" t="s">
        <v>18</v>
      </c>
      <c r="H71" s="9">
        <v>28.3</v>
      </c>
      <c r="I71" s="9"/>
      <c r="J71" s="9"/>
      <c r="K71" s="3" t="s">
        <v>18</v>
      </c>
      <c r="L71" s="9">
        <v>20.100000000000001</v>
      </c>
      <c r="M71" s="10" t="s">
        <v>19</v>
      </c>
      <c r="N71" s="9">
        <v>0</v>
      </c>
      <c r="O71" s="8" t="s">
        <v>20</v>
      </c>
      <c r="P71" s="9">
        <v>92.9</v>
      </c>
      <c r="Q71" s="8" t="s">
        <v>178</v>
      </c>
      <c r="R71" s="9">
        <v>56.6</v>
      </c>
      <c r="S71" s="8" t="s">
        <v>20</v>
      </c>
      <c r="T71" s="9">
        <v>25</v>
      </c>
      <c r="U71" s="10" t="s">
        <v>19</v>
      </c>
    </row>
    <row r="72" spans="1:21" ht="115.2" x14ac:dyDescent="0.25">
      <c r="A72" s="10" t="s">
        <v>197</v>
      </c>
      <c r="B72" s="8" t="s">
        <v>187</v>
      </c>
      <c r="C72" s="3" t="s">
        <v>17</v>
      </c>
      <c r="D72" s="9">
        <v>32.1</v>
      </c>
      <c r="E72" s="9"/>
      <c r="F72" s="9"/>
      <c r="G72" s="3" t="s">
        <v>18</v>
      </c>
      <c r="H72" s="9">
        <v>6.3</v>
      </c>
      <c r="I72" s="9"/>
      <c r="J72" s="9"/>
      <c r="K72" s="3" t="s">
        <v>18</v>
      </c>
      <c r="L72" s="9">
        <v>29</v>
      </c>
      <c r="M72" s="10" t="s">
        <v>19</v>
      </c>
      <c r="N72" s="9">
        <v>0</v>
      </c>
      <c r="O72" s="8" t="s">
        <v>20</v>
      </c>
      <c r="P72" s="9">
        <v>67.400000000000006</v>
      </c>
      <c r="Q72" s="8" t="s">
        <v>178</v>
      </c>
      <c r="R72" s="9">
        <v>18.5</v>
      </c>
      <c r="S72" s="8" t="s">
        <v>20</v>
      </c>
      <c r="T72" s="9">
        <v>15.3</v>
      </c>
      <c r="U72" s="10" t="s">
        <v>19</v>
      </c>
    </row>
    <row r="73" spans="1:21" ht="57.6" x14ac:dyDescent="0.25">
      <c r="A73" s="10" t="s">
        <v>198</v>
      </c>
      <c r="B73" s="10" t="s">
        <v>66</v>
      </c>
      <c r="C73" s="10" t="s">
        <v>19</v>
      </c>
      <c r="D73" s="9">
        <v>0</v>
      </c>
      <c r="E73" s="9"/>
      <c r="F73" s="9"/>
      <c r="G73" s="10" t="s">
        <v>19</v>
      </c>
      <c r="H73" s="9">
        <v>0</v>
      </c>
      <c r="I73" s="9"/>
      <c r="J73" s="9"/>
      <c r="K73" s="10" t="s">
        <v>19</v>
      </c>
      <c r="L73" s="9">
        <v>0</v>
      </c>
      <c r="M73" s="3" t="s">
        <v>165</v>
      </c>
      <c r="N73" s="9">
        <v>21.5</v>
      </c>
      <c r="O73" s="8" t="s">
        <v>20</v>
      </c>
      <c r="P73" s="9">
        <v>21.5</v>
      </c>
      <c r="Q73" s="8" t="s">
        <v>178</v>
      </c>
      <c r="R73" s="9">
        <v>4.8</v>
      </c>
      <c r="S73" s="8" t="s">
        <v>20</v>
      </c>
      <c r="T73" s="9">
        <v>6.6</v>
      </c>
      <c r="U73" s="3" t="s">
        <v>68</v>
      </c>
    </row>
    <row r="74" spans="1:21" ht="115.2" x14ac:dyDescent="0.25">
      <c r="A74" s="10" t="s">
        <v>199</v>
      </c>
      <c r="B74" s="10" t="s">
        <v>189</v>
      </c>
      <c r="C74" s="3" t="s">
        <v>17</v>
      </c>
      <c r="D74" s="9">
        <v>0.1</v>
      </c>
      <c r="E74" s="9"/>
      <c r="F74" s="9"/>
      <c r="G74" s="3" t="s">
        <v>18</v>
      </c>
      <c r="H74" s="9">
        <v>5.0999999999999996</v>
      </c>
      <c r="I74" s="9"/>
      <c r="J74" s="9"/>
      <c r="K74" s="3" t="s">
        <v>18</v>
      </c>
      <c r="L74" s="9">
        <v>35</v>
      </c>
      <c r="M74" s="10" t="s">
        <v>19</v>
      </c>
      <c r="N74" s="9">
        <v>0</v>
      </c>
      <c r="O74" s="8" t="s">
        <v>20</v>
      </c>
      <c r="P74" s="9">
        <v>40.200000000000003</v>
      </c>
      <c r="Q74" s="8" t="s">
        <v>178</v>
      </c>
      <c r="R74" s="9">
        <v>6.7</v>
      </c>
      <c r="S74" s="8" t="s">
        <v>20</v>
      </c>
      <c r="T74" s="9">
        <v>9</v>
      </c>
      <c r="U74" s="3" t="s">
        <v>190</v>
      </c>
    </row>
    <row r="75" spans="1:21" ht="86.4" x14ac:dyDescent="0.25">
      <c r="A75" s="10" t="s">
        <v>200</v>
      </c>
      <c r="B75" s="8" t="s">
        <v>192</v>
      </c>
      <c r="C75" s="3" t="s">
        <v>94</v>
      </c>
      <c r="D75" s="9">
        <v>8.9</v>
      </c>
      <c r="E75" s="9"/>
      <c r="F75" s="9"/>
      <c r="G75" s="10" t="s">
        <v>19</v>
      </c>
      <c r="H75" s="9">
        <v>0</v>
      </c>
      <c r="I75" s="9"/>
      <c r="J75" s="9"/>
      <c r="K75" s="3" t="s">
        <v>74</v>
      </c>
      <c r="L75" s="9">
        <v>80.2</v>
      </c>
      <c r="M75" s="10" t="s">
        <v>19</v>
      </c>
      <c r="N75" s="9">
        <v>0</v>
      </c>
      <c r="O75" s="8" t="s">
        <v>20</v>
      </c>
      <c r="P75" s="9">
        <v>89.1</v>
      </c>
      <c r="Q75" s="8" t="s">
        <v>178</v>
      </c>
      <c r="R75" s="9">
        <v>29.9</v>
      </c>
      <c r="S75" s="8" t="s">
        <v>20</v>
      </c>
      <c r="T75" s="9">
        <v>21.9</v>
      </c>
      <c r="U75" s="3" t="s">
        <v>68</v>
      </c>
    </row>
    <row r="76" spans="1:21" ht="115.2" x14ac:dyDescent="0.25">
      <c r="A76" s="10" t="s">
        <v>201</v>
      </c>
      <c r="B76" s="10" t="s">
        <v>194</v>
      </c>
      <c r="C76" s="3" t="s">
        <v>17</v>
      </c>
      <c r="D76" s="9">
        <v>47.9</v>
      </c>
      <c r="E76" s="9"/>
      <c r="F76" s="9"/>
      <c r="G76" s="10" t="s">
        <v>19</v>
      </c>
      <c r="H76" s="9">
        <v>0</v>
      </c>
      <c r="I76" s="9"/>
      <c r="J76" s="9"/>
      <c r="K76" s="3" t="s">
        <v>18</v>
      </c>
      <c r="L76" s="9">
        <v>37.5</v>
      </c>
      <c r="M76" s="10" t="s">
        <v>19</v>
      </c>
      <c r="N76" s="9">
        <v>0</v>
      </c>
      <c r="O76" s="8" t="s">
        <v>20</v>
      </c>
      <c r="P76" s="9">
        <v>85.4</v>
      </c>
      <c r="Q76" s="8" t="s">
        <v>178</v>
      </c>
      <c r="R76" s="9">
        <v>51.2</v>
      </c>
      <c r="S76" s="8" t="s">
        <v>20</v>
      </c>
      <c r="T76" s="9">
        <v>23.8</v>
      </c>
      <c r="U76" s="10" t="s">
        <v>19</v>
      </c>
    </row>
    <row r="77" spans="1:21" ht="115.2" x14ac:dyDescent="0.25">
      <c r="A77" s="17" t="s">
        <v>202</v>
      </c>
      <c r="B77" s="17" t="s">
        <v>196</v>
      </c>
      <c r="C77" s="127" t="s">
        <v>17</v>
      </c>
      <c r="D77" s="121">
        <v>61.1</v>
      </c>
      <c r="E77" s="121"/>
      <c r="F77" s="121"/>
      <c r="G77" s="127" t="s">
        <v>18</v>
      </c>
      <c r="H77" s="121">
        <v>7.6</v>
      </c>
      <c r="I77" s="121"/>
      <c r="J77" s="121"/>
      <c r="K77" s="127" t="s">
        <v>18</v>
      </c>
      <c r="L77" s="121">
        <v>20.8</v>
      </c>
      <c r="M77" s="17" t="s">
        <v>19</v>
      </c>
      <c r="N77" s="121">
        <v>0</v>
      </c>
      <c r="O77" s="22" t="s">
        <v>20</v>
      </c>
      <c r="P77" s="121">
        <v>89.5</v>
      </c>
      <c r="Q77" s="22" t="s">
        <v>178</v>
      </c>
      <c r="R77" s="121">
        <v>56.3</v>
      </c>
      <c r="S77" s="22" t="s">
        <v>20</v>
      </c>
      <c r="T77" s="121">
        <v>25.2</v>
      </c>
      <c r="U77" s="17" t="s">
        <v>19</v>
      </c>
    </row>
    <row r="78" spans="1:21" ht="86.4" x14ac:dyDescent="0.25">
      <c r="A78" s="17" t="s">
        <v>203</v>
      </c>
      <c r="B78" s="22" t="s">
        <v>102</v>
      </c>
      <c r="C78" s="127" t="s">
        <v>94</v>
      </c>
      <c r="D78" s="121">
        <v>0.8</v>
      </c>
      <c r="E78" s="121"/>
      <c r="F78" s="121"/>
      <c r="G78" s="127" t="s">
        <v>74</v>
      </c>
      <c r="H78" s="121">
        <v>2.2000000000000002</v>
      </c>
      <c r="I78" s="121"/>
      <c r="J78" s="121"/>
      <c r="K78" s="127" t="s">
        <v>74</v>
      </c>
      <c r="L78" s="121">
        <v>36.5</v>
      </c>
      <c r="M78" s="17" t="s">
        <v>19</v>
      </c>
      <c r="N78" s="121">
        <v>0</v>
      </c>
      <c r="O78" s="22" t="s">
        <v>20</v>
      </c>
      <c r="P78" s="122">
        <v>39.4</v>
      </c>
      <c r="Q78" s="22" t="s">
        <v>178</v>
      </c>
      <c r="R78" s="121">
        <v>5.7</v>
      </c>
      <c r="S78" s="22" t="s">
        <v>20</v>
      </c>
      <c r="T78" s="121">
        <v>9.4</v>
      </c>
      <c r="U78" s="127" t="s">
        <v>68</v>
      </c>
    </row>
    <row r="79" spans="1:21" ht="115.2" x14ac:dyDescent="0.25">
      <c r="A79" s="7" t="s">
        <v>204</v>
      </c>
      <c r="B79" s="8" t="s">
        <v>205</v>
      </c>
      <c r="C79" s="3" t="s">
        <v>17</v>
      </c>
      <c r="D79" s="9">
        <v>36.1</v>
      </c>
      <c r="E79" s="10" t="s">
        <v>19</v>
      </c>
      <c r="F79" s="9">
        <v>0</v>
      </c>
      <c r="G79" s="10" t="s">
        <v>19</v>
      </c>
      <c r="H79" s="9">
        <v>0</v>
      </c>
      <c r="I79" s="9"/>
      <c r="J79" s="9"/>
      <c r="K79" s="3" t="s">
        <v>18</v>
      </c>
      <c r="L79" s="9">
        <v>32.1</v>
      </c>
      <c r="M79" s="9"/>
      <c r="N79" s="9"/>
      <c r="O79" s="8" t="s">
        <v>20</v>
      </c>
      <c r="P79" s="9">
        <v>68.2</v>
      </c>
      <c r="Q79" s="8" t="s">
        <v>178</v>
      </c>
      <c r="R79" s="9">
        <v>10.7</v>
      </c>
      <c r="S79" s="8" t="s">
        <v>20</v>
      </c>
      <c r="T79" s="9">
        <v>15.2</v>
      </c>
      <c r="U79" s="10" t="s">
        <v>19</v>
      </c>
    </row>
    <row r="80" spans="1:21" ht="115.2" x14ac:dyDescent="0.25">
      <c r="A80" s="7" t="s">
        <v>206</v>
      </c>
      <c r="B80" s="10" t="s">
        <v>32</v>
      </c>
      <c r="C80" s="3" t="s">
        <v>17</v>
      </c>
      <c r="D80" s="9">
        <v>41.8</v>
      </c>
      <c r="E80" s="10" t="s">
        <v>19</v>
      </c>
      <c r="F80" s="9">
        <v>0</v>
      </c>
      <c r="G80" s="3" t="s">
        <v>18</v>
      </c>
      <c r="H80" s="9">
        <v>47.6</v>
      </c>
      <c r="I80" s="9"/>
      <c r="J80" s="9"/>
      <c r="K80" s="3" t="s">
        <v>18</v>
      </c>
      <c r="L80" s="9">
        <v>14.6</v>
      </c>
      <c r="M80" s="9"/>
      <c r="N80" s="9"/>
      <c r="O80" s="8" t="s">
        <v>20</v>
      </c>
      <c r="P80" s="9">
        <v>104</v>
      </c>
      <c r="Q80" s="8" t="s">
        <v>178</v>
      </c>
      <c r="R80" s="9">
        <v>41.2</v>
      </c>
      <c r="S80" s="8" t="s">
        <v>20</v>
      </c>
      <c r="T80" s="9">
        <v>18.100000000000001</v>
      </c>
      <c r="U80" s="10" t="s">
        <v>19</v>
      </c>
    </row>
    <row r="81" spans="1:21" ht="115.2" x14ac:dyDescent="0.25">
      <c r="A81" s="7" t="s">
        <v>207</v>
      </c>
      <c r="B81" s="10" t="s">
        <v>32</v>
      </c>
      <c r="C81" s="3" t="s">
        <v>17</v>
      </c>
      <c r="D81" s="9">
        <v>56.7</v>
      </c>
      <c r="E81" s="10" t="s">
        <v>19</v>
      </c>
      <c r="F81" s="9">
        <v>0</v>
      </c>
      <c r="G81" s="3" t="s">
        <v>18</v>
      </c>
      <c r="H81" s="9">
        <v>74</v>
      </c>
      <c r="I81" s="9"/>
      <c r="J81" s="9"/>
      <c r="K81" s="3" t="s">
        <v>18</v>
      </c>
      <c r="L81" s="9">
        <v>7.2</v>
      </c>
      <c r="M81" s="9"/>
      <c r="N81" s="9"/>
      <c r="O81" s="8" t="s">
        <v>20</v>
      </c>
      <c r="P81" s="9">
        <v>137.9</v>
      </c>
      <c r="Q81" s="8" t="s">
        <v>178</v>
      </c>
      <c r="R81" s="9">
        <v>60.8</v>
      </c>
      <c r="S81" s="8" t="s">
        <v>20</v>
      </c>
      <c r="T81" s="9">
        <v>42.3</v>
      </c>
      <c r="U81" s="10" t="s">
        <v>19</v>
      </c>
    </row>
    <row r="82" spans="1:21" ht="187.2" x14ac:dyDescent="0.25">
      <c r="A82" s="7" t="s">
        <v>208</v>
      </c>
      <c r="B82" s="8" t="s">
        <v>209</v>
      </c>
      <c r="C82" s="3" t="s">
        <v>17</v>
      </c>
      <c r="D82" s="9">
        <v>105.7</v>
      </c>
      <c r="E82" s="3" t="s">
        <v>18</v>
      </c>
      <c r="F82" s="9">
        <v>38.299999999999997</v>
      </c>
      <c r="G82" s="10" t="s">
        <v>19</v>
      </c>
      <c r="H82" s="9">
        <v>0</v>
      </c>
      <c r="I82" s="9"/>
      <c r="J82" s="9"/>
      <c r="K82" s="10" t="s">
        <v>19</v>
      </c>
      <c r="L82" s="9">
        <v>0</v>
      </c>
      <c r="M82" s="9"/>
      <c r="N82" s="9"/>
      <c r="O82" s="8" t="s">
        <v>20</v>
      </c>
      <c r="P82" s="9">
        <v>144</v>
      </c>
      <c r="Q82" s="3" t="s">
        <v>210</v>
      </c>
      <c r="R82" s="9">
        <v>26</v>
      </c>
      <c r="S82" s="8" t="s">
        <v>20</v>
      </c>
      <c r="T82" s="9">
        <v>40.4</v>
      </c>
      <c r="U82" s="10" t="s">
        <v>19</v>
      </c>
    </row>
    <row r="83" spans="1:21" ht="187.2" x14ac:dyDescent="0.25">
      <c r="A83" s="7" t="s">
        <v>211</v>
      </c>
      <c r="B83" s="8" t="s">
        <v>212</v>
      </c>
      <c r="C83" s="3" t="s">
        <v>17</v>
      </c>
      <c r="D83" s="9">
        <v>78.8</v>
      </c>
      <c r="E83" s="3" t="s">
        <v>18</v>
      </c>
      <c r="F83" s="9">
        <v>36.5</v>
      </c>
      <c r="G83" s="10" t="s">
        <v>19</v>
      </c>
      <c r="H83" s="9">
        <v>0</v>
      </c>
      <c r="I83" s="9"/>
      <c r="J83" s="9"/>
      <c r="K83" s="10" t="s">
        <v>19</v>
      </c>
      <c r="L83" s="9">
        <v>0</v>
      </c>
      <c r="M83" s="9"/>
      <c r="N83" s="9"/>
      <c r="O83" s="8" t="s">
        <v>20</v>
      </c>
      <c r="P83" s="9">
        <v>115.3</v>
      </c>
      <c r="Q83" s="3" t="s">
        <v>210</v>
      </c>
      <c r="R83" s="9">
        <v>19.3</v>
      </c>
      <c r="S83" s="8" t="s">
        <v>20</v>
      </c>
      <c r="T83" s="9">
        <v>30</v>
      </c>
      <c r="U83" s="10" t="s">
        <v>19</v>
      </c>
    </row>
    <row r="84" spans="1:21" ht="115.2" x14ac:dyDescent="0.25">
      <c r="A84" s="17" t="s">
        <v>213</v>
      </c>
      <c r="B84" s="22" t="s">
        <v>134</v>
      </c>
      <c r="C84" s="127" t="s">
        <v>17</v>
      </c>
      <c r="D84" s="121">
        <v>26.2</v>
      </c>
      <c r="E84" s="17" t="s">
        <v>19</v>
      </c>
      <c r="F84" s="121">
        <v>0</v>
      </c>
      <c r="G84" s="127" t="s">
        <v>18</v>
      </c>
      <c r="H84" s="121">
        <v>4.8</v>
      </c>
      <c r="I84" s="121"/>
      <c r="J84" s="121"/>
      <c r="K84" s="127" t="s">
        <v>18</v>
      </c>
      <c r="L84" s="121">
        <v>9.1</v>
      </c>
      <c r="M84" s="121"/>
      <c r="N84" s="121"/>
      <c r="O84" s="22" t="s">
        <v>20</v>
      </c>
      <c r="P84" s="121">
        <v>40.1</v>
      </c>
      <c r="Q84" s="22" t="s">
        <v>178</v>
      </c>
      <c r="R84" s="121">
        <v>6.5</v>
      </c>
      <c r="S84" s="22" t="s">
        <v>20</v>
      </c>
      <c r="T84" s="121">
        <v>8.6</v>
      </c>
      <c r="U84" s="17" t="s">
        <v>19</v>
      </c>
    </row>
    <row r="85" spans="1:21" ht="86.4" x14ac:dyDescent="0.25">
      <c r="A85" s="17" t="s">
        <v>214</v>
      </c>
      <c r="B85" s="17" t="s">
        <v>32</v>
      </c>
      <c r="C85" s="127" t="s">
        <v>94</v>
      </c>
      <c r="D85" s="121">
        <v>18</v>
      </c>
      <c r="E85" s="17" t="s">
        <v>19</v>
      </c>
      <c r="F85" s="121">
        <v>0</v>
      </c>
      <c r="G85" s="127" t="s">
        <v>74</v>
      </c>
      <c r="H85" s="121">
        <v>73.900000000000006</v>
      </c>
      <c r="I85" s="121"/>
      <c r="J85" s="121"/>
      <c r="K85" s="127" t="s">
        <v>74</v>
      </c>
      <c r="L85" s="122">
        <v>36.4</v>
      </c>
      <c r="M85" s="122"/>
      <c r="N85" s="122"/>
      <c r="O85" s="22" t="s">
        <v>20</v>
      </c>
      <c r="P85" s="122">
        <v>128.30000000000001</v>
      </c>
      <c r="Q85" s="127" t="s">
        <v>21</v>
      </c>
      <c r="R85" s="121">
        <v>25.1</v>
      </c>
      <c r="S85" s="22" t="s">
        <v>20</v>
      </c>
      <c r="T85" s="121">
        <v>28</v>
      </c>
      <c r="U85" s="17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6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1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33"/>
      <c r="N2" s="133"/>
      <c r="O2" s="133"/>
      <c r="P2" s="133"/>
      <c r="Q2" s="164" t="s">
        <v>4</v>
      </c>
      <c r="R2" s="164"/>
      <c r="S2" s="167" t="s">
        <v>5</v>
      </c>
      <c r="T2" s="167"/>
      <c r="U2" s="134" t="s">
        <v>6</v>
      </c>
    </row>
    <row r="3" spans="1:21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35" t="s">
        <v>63</v>
      </c>
      <c r="J3" s="135"/>
      <c r="K3" s="135" t="s">
        <v>64</v>
      </c>
      <c r="L3" s="135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34"/>
    </row>
    <row r="4" spans="1:21" ht="34.799999999999997" x14ac:dyDescent="0.25">
      <c r="A4" s="165"/>
      <c r="B4" s="164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6" t="s">
        <v>12</v>
      </c>
      <c r="L4" s="132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164"/>
      <c r="R4" s="165"/>
      <c r="S4" s="164"/>
      <c r="T4" s="169"/>
      <c r="U4" s="134"/>
    </row>
    <row r="5" spans="1:21" ht="144" x14ac:dyDescent="0.25">
      <c r="A5" s="99" t="s">
        <v>75</v>
      </c>
      <c r="B5" s="132" t="s">
        <v>76</v>
      </c>
      <c r="C5" s="132" t="s">
        <v>67</v>
      </c>
      <c r="D5" s="101">
        <v>38.1</v>
      </c>
      <c r="E5" s="101"/>
      <c r="F5" s="101"/>
      <c r="G5" s="132" t="s">
        <v>71</v>
      </c>
      <c r="H5" s="101">
        <v>45.7</v>
      </c>
      <c r="I5" s="101"/>
      <c r="J5" s="101"/>
      <c r="K5" s="102" t="s">
        <v>19</v>
      </c>
      <c r="L5" s="101">
        <v>0</v>
      </c>
      <c r="M5" s="101"/>
      <c r="N5" s="101"/>
      <c r="O5" s="100" t="s">
        <v>20</v>
      </c>
      <c r="P5" s="101">
        <v>83.8</v>
      </c>
      <c r="Q5" s="132" t="s">
        <v>21</v>
      </c>
      <c r="R5" s="101">
        <v>43.1</v>
      </c>
      <c r="S5" s="100" t="s">
        <v>20</v>
      </c>
      <c r="T5" s="101">
        <v>22.2</v>
      </c>
      <c r="U5" s="132" t="s">
        <v>68</v>
      </c>
    </row>
    <row r="6" spans="1:21" ht="86.4" x14ac:dyDescent="0.25">
      <c r="A6" s="99" t="s">
        <v>217</v>
      </c>
      <c r="B6" s="100" t="s">
        <v>218</v>
      </c>
      <c r="C6" s="132" t="s">
        <v>67</v>
      </c>
      <c r="D6" s="101">
        <v>52.2</v>
      </c>
      <c r="E6" s="101"/>
      <c r="F6" s="101"/>
      <c r="G6" s="132" t="s">
        <v>71</v>
      </c>
      <c r="H6" s="101">
        <v>47.9</v>
      </c>
      <c r="I6" s="101"/>
      <c r="J6" s="101"/>
      <c r="K6" s="132" t="s">
        <v>71</v>
      </c>
      <c r="L6" s="101">
        <v>13.8</v>
      </c>
      <c r="M6" s="101"/>
      <c r="N6" s="101"/>
      <c r="O6" s="100" t="s">
        <v>20</v>
      </c>
      <c r="P6" s="101">
        <v>114</v>
      </c>
      <c r="Q6" s="110" t="s">
        <v>30</v>
      </c>
      <c r="R6" s="101">
        <v>63.7</v>
      </c>
      <c r="S6" s="100" t="s">
        <v>20</v>
      </c>
      <c r="T6" s="101">
        <v>34.1</v>
      </c>
      <c r="U6" s="132" t="s">
        <v>68</v>
      </c>
    </row>
    <row r="7" spans="1:21" ht="86.4" x14ac:dyDescent="0.25">
      <c r="A7" s="99" t="s">
        <v>221</v>
      </c>
      <c r="B7" s="132" t="s">
        <v>222</v>
      </c>
      <c r="C7" s="132" t="s">
        <v>67</v>
      </c>
      <c r="D7" s="101">
        <v>47.5</v>
      </c>
      <c r="E7" s="101"/>
      <c r="F7" s="101"/>
      <c r="G7" s="132" t="s">
        <v>71</v>
      </c>
      <c r="H7" s="101">
        <v>68.599999999999994</v>
      </c>
      <c r="I7" s="101"/>
      <c r="J7" s="101"/>
      <c r="K7" s="132" t="s">
        <v>71</v>
      </c>
      <c r="L7" s="101">
        <v>16.7</v>
      </c>
      <c r="M7" s="101"/>
      <c r="N7" s="101"/>
      <c r="O7" s="100" t="s">
        <v>20</v>
      </c>
      <c r="P7" s="101">
        <v>132.80000000000001</v>
      </c>
      <c r="Q7" s="110" t="s">
        <v>30</v>
      </c>
      <c r="R7" s="101">
        <v>90.2</v>
      </c>
      <c r="S7" s="100" t="s">
        <v>20</v>
      </c>
      <c r="T7" s="101">
        <v>40.299999999999997</v>
      </c>
      <c r="U7" s="132" t="s">
        <v>68</v>
      </c>
    </row>
    <row r="8" spans="1:21" ht="86.4" x14ac:dyDescent="0.25">
      <c r="A8" s="102" t="s">
        <v>225</v>
      </c>
      <c r="B8" s="100" t="s">
        <v>226</v>
      </c>
      <c r="C8" s="132" t="s">
        <v>67</v>
      </c>
      <c r="D8" s="101">
        <v>22.2</v>
      </c>
      <c r="E8" s="101"/>
      <c r="F8" s="101"/>
      <c r="G8" s="132" t="s">
        <v>71</v>
      </c>
      <c r="H8" s="111">
        <v>54.5</v>
      </c>
      <c r="I8" s="111"/>
      <c r="J8" s="111"/>
      <c r="K8" s="132" t="s">
        <v>71</v>
      </c>
      <c r="L8" s="101">
        <v>19.5</v>
      </c>
      <c r="M8" s="101"/>
      <c r="N8" s="101"/>
      <c r="O8" s="100" t="s">
        <v>20</v>
      </c>
      <c r="P8" s="101">
        <v>96.2</v>
      </c>
      <c r="Q8" s="100" t="s">
        <v>30</v>
      </c>
      <c r="R8" s="101">
        <v>39.799999999999997</v>
      </c>
      <c r="S8" s="100" t="s">
        <v>20</v>
      </c>
      <c r="T8" s="101">
        <v>26.9</v>
      </c>
      <c r="U8" s="132" t="s">
        <v>68</v>
      </c>
    </row>
    <row r="9" spans="1:21" ht="86.4" x14ac:dyDescent="0.25">
      <c r="A9" s="102" t="s">
        <v>229</v>
      </c>
      <c r="B9" s="100" t="s">
        <v>218</v>
      </c>
      <c r="C9" s="132" t="s">
        <v>67</v>
      </c>
      <c r="D9" s="101">
        <v>87.3</v>
      </c>
      <c r="E9" s="101"/>
      <c r="F9" s="101"/>
      <c r="G9" s="132" t="s">
        <v>71</v>
      </c>
      <c r="H9" s="101">
        <v>11.4</v>
      </c>
      <c r="I9" s="101"/>
      <c r="J9" s="101"/>
      <c r="K9" s="132" t="s">
        <v>71</v>
      </c>
      <c r="L9" s="101">
        <v>13.2</v>
      </c>
      <c r="M9" s="101"/>
      <c r="N9" s="101"/>
      <c r="O9" s="100" t="s">
        <v>20</v>
      </c>
      <c r="P9" s="111">
        <v>111.9</v>
      </c>
      <c r="Q9" s="100" t="s">
        <v>30</v>
      </c>
      <c r="R9" s="111">
        <v>64</v>
      </c>
      <c r="S9" s="100" t="s">
        <v>20</v>
      </c>
      <c r="T9" s="101">
        <v>32.6</v>
      </c>
      <c r="U9" s="132" t="s">
        <v>68</v>
      </c>
    </row>
    <row r="10" spans="1:21" ht="100.8" x14ac:dyDescent="0.25">
      <c r="A10" s="102" t="s">
        <v>232</v>
      </c>
      <c r="B10" s="132" t="s">
        <v>233</v>
      </c>
      <c r="C10" s="132" t="s">
        <v>67</v>
      </c>
      <c r="D10" s="101">
        <v>56.5</v>
      </c>
      <c r="E10" s="101"/>
      <c r="F10" s="101"/>
      <c r="G10" s="132" t="s">
        <v>71</v>
      </c>
      <c r="H10" s="101">
        <v>35.6</v>
      </c>
      <c r="I10" s="101"/>
      <c r="J10" s="101"/>
      <c r="K10" s="132" t="s">
        <v>71</v>
      </c>
      <c r="L10" s="101">
        <v>17.899999999999999</v>
      </c>
      <c r="M10" s="101"/>
      <c r="N10" s="101"/>
      <c r="O10" s="100" t="s">
        <v>20</v>
      </c>
      <c r="P10" s="111">
        <v>110</v>
      </c>
      <c r="Q10" s="132" t="s">
        <v>21</v>
      </c>
      <c r="R10" s="111">
        <v>65.400000000000006</v>
      </c>
      <c r="S10" s="100" t="s">
        <v>20</v>
      </c>
      <c r="T10" s="101">
        <v>33.1</v>
      </c>
      <c r="U10" s="132" t="s">
        <v>68</v>
      </c>
    </row>
    <row r="11" spans="1:21" ht="100.8" x14ac:dyDescent="0.25">
      <c r="A11" s="102" t="s">
        <v>235</v>
      </c>
      <c r="B11" s="132" t="s">
        <v>233</v>
      </c>
      <c r="C11" s="132" t="s">
        <v>67</v>
      </c>
      <c r="D11" s="101">
        <v>58.7</v>
      </c>
      <c r="E11" s="101"/>
      <c r="F11" s="101"/>
      <c r="G11" s="132" t="s">
        <v>71</v>
      </c>
      <c r="H11" s="101">
        <v>36.700000000000003</v>
      </c>
      <c r="I11" s="101"/>
      <c r="J11" s="101"/>
      <c r="K11" s="132" t="s">
        <v>71</v>
      </c>
      <c r="L11" s="101">
        <v>12.3</v>
      </c>
      <c r="M11" s="101"/>
      <c r="N11" s="101"/>
      <c r="O11" s="100" t="s">
        <v>20</v>
      </c>
      <c r="P11" s="111">
        <v>107.7</v>
      </c>
      <c r="Q11" s="132" t="s">
        <v>21</v>
      </c>
      <c r="R11" s="101">
        <v>64.099999999999994</v>
      </c>
      <c r="S11" s="100" t="s">
        <v>20</v>
      </c>
      <c r="T11" s="101">
        <v>32.6</v>
      </c>
      <c r="U11" s="132" t="s">
        <v>68</v>
      </c>
    </row>
    <row r="12" spans="1:21" ht="86.4" x14ac:dyDescent="0.25">
      <c r="A12" s="102" t="s">
        <v>238</v>
      </c>
      <c r="B12" s="100" t="s">
        <v>218</v>
      </c>
      <c r="C12" s="132" t="s">
        <v>67</v>
      </c>
      <c r="D12" s="101">
        <v>91</v>
      </c>
      <c r="E12" s="101"/>
      <c r="F12" s="101"/>
      <c r="G12" s="132" t="s">
        <v>71</v>
      </c>
      <c r="H12" s="101">
        <v>17.3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108.3</v>
      </c>
      <c r="Q12" s="100" t="s">
        <v>30</v>
      </c>
      <c r="R12" s="111">
        <v>64.3</v>
      </c>
      <c r="S12" s="100" t="s">
        <v>20</v>
      </c>
      <c r="T12" s="101">
        <v>33.299999999999997</v>
      </c>
      <c r="U12" s="132" t="s">
        <v>68</v>
      </c>
    </row>
    <row r="13" spans="1:21" ht="86.4" x14ac:dyDescent="0.25">
      <c r="A13" s="102" t="s">
        <v>241</v>
      </c>
      <c r="B13" s="102" t="s">
        <v>32</v>
      </c>
      <c r="C13" s="132" t="s">
        <v>67</v>
      </c>
      <c r="D13" s="101">
        <v>51.5</v>
      </c>
      <c r="E13" s="101"/>
      <c r="F13" s="101"/>
      <c r="G13" s="132" t="s">
        <v>71</v>
      </c>
      <c r="H13" s="101">
        <v>81.400000000000006</v>
      </c>
      <c r="I13" s="101"/>
      <c r="J13" s="101"/>
      <c r="K13" s="132" t="s">
        <v>71</v>
      </c>
      <c r="L13" s="111">
        <v>43.6</v>
      </c>
      <c r="M13" s="111"/>
      <c r="N13" s="111"/>
      <c r="O13" s="100" t="s">
        <v>20</v>
      </c>
      <c r="P13" s="111">
        <v>176.5</v>
      </c>
      <c r="Q13" s="132" t="s">
        <v>21</v>
      </c>
      <c r="R13" s="101">
        <v>91.5</v>
      </c>
      <c r="S13" s="100" t="s">
        <v>20</v>
      </c>
      <c r="T13" s="101">
        <v>41.9</v>
      </c>
      <c r="U13" s="132" t="s">
        <v>68</v>
      </c>
    </row>
    <row r="14" spans="1:21" ht="86.4" x14ac:dyDescent="0.25">
      <c r="A14" s="102" t="s">
        <v>244</v>
      </c>
      <c r="B14" s="100" t="s">
        <v>102</v>
      </c>
      <c r="C14" s="102" t="s">
        <v>19</v>
      </c>
      <c r="D14" s="101">
        <v>0</v>
      </c>
      <c r="E14" s="101"/>
      <c r="F14" s="101"/>
      <c r="G14" s="102" t="s">
        <v>19</v>
      </c>
      <c r="H14" s="101">
        <v>0</v>
      </c>
      <c r="I14" s="101"/>
      <c r="J14" s="101"/>
      <c r="K14" s="132" t="s">
        <v>74</v>
      </c>
      <c r="L14" s="101">
        <v>36.299999999999997</v>
      </c>
      <c r="M14" s="101"/>
      <c r="N14" s="101"/>
      <c r="O14" s="100" t="s">
        <v>20</v>
      </c>
      <c r="P14" s="101">
        <v>36.299999999999997</v>
      </c>
      <c r="Q14" s="132" t="s">
        <v>21</v>
      </c>
      <c r="R14" s="101">
        <v>5.0999999999999996</v>
      </c>
      <c r="S14" s="100" t="s">
        <v>20</v>
      </c>
      <c r="T14" s="101">
        <v>8.9</v>
      </c>
      <c r="U14" s="132" t="s">
        <v>68</v>
      </c>
    </row>
    <row r="15" spans="1:21" ht="86.4" x14ac:dyDescent="0.25">
      <c r="A15" s="99" t="s">
        <v>215</v>
      </c>
      <c r="B15" s="100" t="s">
        <v>216</v>
      </c>
      <c r="C15" s="132" t="s">
        <v>67</v>
      </c>
      <c r="D15" s="101">
        <v>16</v>
      </c>
      <c r="E15" s="101"/>
      <c r="F15" s="101"/>
      <c r="G15" s="102" t="s">
        <v>19</v>
      </c>
      <c r="H15" s="101">
        <v>0</v>
      </c>
      <c r="I15" s="101"/>
      <c r="J15" s="101"/>
      <c r="K15" s="132" t="s">
        <v>71</v>
      </c>
      <c r="L15" s="101">
        <v>37.5</v>
      </c>
      <c r="M15" s="101"/>
      <c r="N15" s="101"/>
      <c r="O15" s="100" t="s">
        <v>20</v>
      </c>
      <c r="P15" s="111">
        <v>53.5</v>
      </c>
      <c r="Q15" s="132" t="s">
        <v>21</v>
      </c>
      <c r="R15" s="101">
        <v>13.1</v>
      </c>
      <c r="S15" s="100" t="s">
        <v>20</v>
      </c>
      <c r="T15" s="111">
        <v>13.5</v>
      </c>
      <c r="U15" s="132" t="s">
        <v>68</v>
      </c>
    </row>
    <row r="16" spans="1:21" ht="86.4" x14ac:dyDescent="0.25">
      <c r="A16" s="99" t="s">
        <v>219</v>
      </c>
      <c r="B16" s="100" t="s">
        <v>220</v>
      </c>
      <c r="C16" s="132" t="s">
        <v>67</v>
      </c>
      <c r="D16" s="101">
        <v>16.3</v>
      </c>
      <c r="E16" s="101"/>
      <c r="F16" s="101"/>
      <c r="G16" s="132" t="s">
        <v>71</v>
      </c>
      <c r="H16" s="101">
        <v>8</v>
      </c>
      <c r="I16" s="101"/>
      <c r="J16" s="101"/>
      <c r="K16" s="132" t="s">
        <v>71</v>
      </c>
      <c r="L16" s="111">
        <v>54.6</v>
      </c>
      <c r="M16" s="111"/>
      <c r="N16" s="111"/>
      <c r="O16" s="100" t="s">
        <v>20</v>
      </c>
      <c r="P16" s="111">
        <v>78.900000000000006</v>
      </c>
      <c r="Q16" s="132" t="s">
        <v>21</v>
      </c>
      <c r="R16" s="101">
        <v>27</v>
      </c>
      <c r="S16" s="100" t="s">
        <v>20</v>
      </c>
      <c r="T16" s="101">
        <v>21.1</v>
      </c>
      <c r="U16" s="132" t="s">
        <v>68</v>
      </c>
    </row>
    <row r="17" spans="1:21" ht="86.4" x14ac:dyDescent="0.25">
      <c r="A17" s="102" t="s">
        <v>223</v>
      </c>
      <c r="B17" s="100" t="s">
        <v>224</v>
      </c>
      <c r="C17" s="132" t="s">
        <v>94</v>
      </c>
      <c r="D17" s="101">
        <v>1.7</v>
      </c>
      <c r="E17" s="101"/>
      <c r="F17" s="101"/>
      <c r="G17" s="132" t="s">
        <v>74</v>
      </c>
      <c r="H17" s="101">
        <v>10.5</v>
      </c>
      <c r="I17" s="101"/>
      <c r="J17" s="101"/>
      <c r="K17" s="132" t="s">
        <v>74</v>
      </c>
      <c r="L17" s="101">
        <v>41.4</v>
      </c>
      <c r="M17" s="101"/>
      <c r="N17" s="101"/>
      <c r="O17" s="100" t="s">
        <v>20</v>
      </c>
      <c r="P17" s="111">
        <v>53.6</v>
      </c>
      <c r="Q17" s="132" t="s">
        <v>21</v>
      </c>
      <c r="R17" s="101">
        <v>12.7</v>
      </c>
      <c r="S17" s="100" t="s">
        <v>20</v>
      </c>
      <c r="T17" s="111">
        <v>13.4</v>
      </c>
      <c r="U17" s="132" t="s">
        <v>68</v>
      </c>
    </row>
    <row r="18" spans="1:21" ht="86.4" x14ac:dyDescent="0.25">
      <c r="A18" s="102" t="s">
        <v>227</v>
      </c>
      <c r="B18" s="100" t="s">
        <v>228</v>
      </c>
      <c r="C18" s="132" t="s">
        <v>94</v>
      </c>
      <c r="D18" s="101">
        <v>5.5</v>
      </c>
      <c r="E18" s="101"/>
      <c r="F18" s="101"/>
      <c r="G18" s="102" t="s">
        <v>19</v>
      </c>
      <c r="H18" s="101">
        <v>0</v>
      </c>
      <c r="I18" s="101"/>
      <c r="J18" s="101"/>
      <c r="K18" s="132" t="s">
        <v>74</v>
      </c>
      <c r="L18" s="101">
        <v>33.299999999999997</v>
      </c>
      <c r="M18" s="101"/>
      <c r="N18" s="101"/>
      <c r="O18" s="100" t="s">
        <v>20</v>
      </c>
      <c r="P18" s="111">
        <v>38.799999999999997</v>
      </c>
      <c r="Q18" s="132" t="s">
        <v>21</v>
      </c>
      <c r="R18" s="101">
        <v>8.5</v>
      </c>
      <c r="S18" s="100" t="s">
        <v>20</v>
      </c>
      <c r="T18" s="101">
        <v>11.6</v>
      </c>
      <c r="U18" s="132" t="s">
        <v>68</v>
      </c>
    </row>
    <row r="19" spans="1:21" ht="86.4" x14ac:dyDescent="0.25">
      <c r="A19" s="102" t="s">
        <v>230</v>
      </c>
      <c r="B19" s="100" t="s">
        <v>231</v>
      </c>
      <c r="C19" s="132" t="s">
        <v>67</v>
      </c>
      <c r="D19" s="101">
        <v>16.8</v>
      </c>
      <c r="E19" s="101"/>
      <c r="F19" s="101"/>
      <c r="G19" s="132" t="s">
        <v>71</v>
      </c>
      <c r="H19" s="101">
        <v>10.3</v>
      </c>
      <c r="I19" s="101"/>
      <c r="J19" s="101"/>
      <c r="K19" s="132" t="s">
        <v>71</v>
      </c>
      <c r="L19" s="101">
        <v>55.5</v>
      </c>
      <c r="M19" s="101"/>
      <c r="N19" s="101"/>
      <c r="O19" s="100" t="s">
        <v>20</v>
      </c>
      <c r="P19" s="111">
        <v>82.6</v>
      </c>
      <c r="Q19" s="132" t="s">
        <v>21</v>
      </c>
      <c r="R19" s="101">
        <v>28</v>
      </c>
      <c r="S19" s="100" t="s">
        <v>20</v>
      </c>
      <c r="T19" s="111">
        <v>21.6</v>
      </c>
      <c r="U19" s="132" t="s">
        <v>68</v>
      </c>
    </row>
    <row r="20" spans="1:21" ht="86.4" x14ac:dyDescent="0.25">
      <c r="A20" s="102" t="s">
        <v>234</v>
      </c>
      <c r="B20" s="100" t="s">
        <v>100</v>
      </c>
      <c r="C20" s="132" t="s">
        <v>94</v>
      </c>
      <c r="D20" s="101">
        <v>7.8</v>
      </c>
      <c r="E20" s="101"/>
      <c r="F20" s="101"/>
      <c r="G20" s="102" t="s">
        <v>19</v>
      </c>
      <c r="H20" s="101">
        <v>0</v>
      </c>
      <c r="I20" s="101"/>
      <c r="J20" s="101"/>
      <c r="K20" s="132" t="s">
        <v>74</v>
      </c>
      <c r="L20" s="101">
        <v>33.1</v>
      </c>
      <c r="M20" s="101"/>
      <c r="N20" s="101"/>
      <c r="O20" s="100" t="s">
        <v>20</v>
      </c>
      <c r="P20" s="111">
        <v>40.799999999999997</v>
      </c>
      <c r="Q20" s="132" t="s">
        <v>21</v>
      </c>
      <c r="R20" s="101">
        <v>10.7</v>
      </c>
      <c r="S20" s="100" t="s">
        <v>20</v>
      </c>
      <c r="T20" s="111">
        <v>12</v>
      </c>
      <c r="U20" s="132" t="s">
        <v>68</v>
      </c>
    </row>
    <row r="21" spans="1:21" ht="86.4" x14ac:dyDescent="0.25">
      <c r="A21" s="102" t="s">
        <v>236</v>
      </c>
      <c r="B21" s="100" t="s">
        <v>237</v>
      </c>
      <c r="C21" s="132" t="s">
        <v>94</v>
      </c>
      <c r="D21" s="101">
        <v>4.5</v>
      </c>
      <c r="E21" s="101"/>
      <c r="F21" s="101"/>
      <c r="G21" s="132" t="s">
        <v>74</v>
      </c>
      <c r="H21" s="101">
        <v>10.8</v>
      </c>
      <c r="I21" s="101"/>
      <c r="J21" s="101"/>
      <c r="K21" s="132" t="s">
        <v>74</v>
      </c>
      <c r="L21" s="101">
        <v>37.5</v>
      </c>
      <c r="M21" s="101"/>
      <c r="N21" s="101"/>
      <c r="O21" s="100" t="s">
        <v>20</v>
      </c>
      <c r="P21" s="111">
        <v>52.9</v>
      </c>
      <c r="Q21" s="132" t="s">
        <v>21</v>
      </c>
      <c r="R21" s="101">
        <v>11.3</v>
      </c>
      <c r="S21" s="100" t="s">
        <v>20</v>
      </c>
      <c r="T21" s="111">
        <v>13</v>
      </c>
      <c r="U21" s="132" t="s">
        <v>68</v>
      </c>
    </row>
    <row r="22" spans="1:21" ht="86.4" x14ac:dyDescent="0.25">
      <c r="A22" s="102" t="s">
        <v>239</v>
      </c>
      <c r="B22" s="100" t="s">
        <v>240</v>
      </c>
      <c r="C22" s="132" t="s">
        <v>67</v>
      </c>
      <c r="D22" s="101">
        <v>22</v>
      </c>
      <c r="E22" s="101"/>
      <c r="F22" s="101"/>
      <c r="G22" s="132" t="s">
        <v>71</v>
      </c>
      <c r="H22" s="101">
        <v>37</v>
      </c>
      <c r="I22" s="101"/>
      <c r="J22" s="101"/>
      <c r="K22" s="132" t="s">
        <v>71</v>
      </c>
      <c r="L22" s="111">
        <v>24.8</v>
      </c>
      <c r="M22" s="111"/>
      <c r="N22" s="111"/>
      <c r="O22" s="100" t="s">
        <v>20</v>
      </c>
      <c r="P22" s="111">
        <v>83.8</v>
      </c>
      <c r="Q22" s="132" t="s">
        <v>21</v>
      </c>
      <c r="R22" s="101">
        <v>31.5</v>
      </c>
      <c r="S22" s="100" t="s">
        <v>20</v>
      </c>
      <c r="T22" s="111">
        <v>23.6</v>
      </c>
      <c r="U22" s="132" t="s">
        <v>68</v>
      </c>
    </row>
    <row r="23" spans="1:21" ht="86.4" x14ac:dyDescent="0.25">
      <c r="A23" s="102" t="s">
        <v>242</v>
      </c>
      <c r="B23" s="100" t="s">
        <v>243</v>
      </c>
      <c r="C23" s="132" t="s">
        <v>67</v>
      </c>
      <c r="D23" s="111">
        <v>532.70000000000005</v>
      </c>
      <c r="E23" s="111"/>
      <c r="F23" s="111"/>
      <c r="G23" s="132" t="s">
        <v>71</v>
      </c>
      <c r="H23" s="101">
        <v>63.7</v>
      </c>
      <c r="I23" s="101"/>
      <c r="J23" s="101"/>
      <c r="K23" s="102" t="s">
        <v>19</v>
      </c>
      <c r="L23" s="101">
        <v>0</v>
      </c>
      <c r="M23" s="101"/>
      <c r="N23" s="101"/>
      <c r="O23" s="100" t="s">
        <v>20</v>
      </c>
      <c r="P23" s="111">
        <v>596.4</v>
      </c>
      <c r="Q23" s="102" t="s">
        <v>19</v>
      </c>
      <c r="R23" s="111">
        <v>703.2</v>
      </c>
      <c r="S23" s="100" t="s">
        <v>20</v>
      </c>
      <c r="T23" s="111">
        <v>81</v>
      </c>
      <c r="U23" s="132" t="s">
        <v>68</v>
      </c>
    </row>
    <row r="24" spans="1:21" ht="86.4" x14ac:dyDescent="0.25">
      <c r="A24" s="99" t="s">
        <v>245</v>
      </c>
      <c r="B24" s="100" t="s">
        <v>246</v>
      </c>
      <c r="C24" s="132" t="s">
        <v>67</v>
      </c>
      <c r="D24" s="101">
        <v>57.1</v>
      </c>
      <c r="E24" s="101"/>
      <c r="F24" s="101"/>
      <c r="G24" s="102" t="s">
        <v>19</v>
      </c>
      <c r="H24" s="101">
        <v>0</v>
      </c>
      <c r="I24" s="101"/>
      <c r="J24" s="101"/>
      <c r="K24" s="132" t="s">
        <v>71</v>
      </c>
      <c r="L24" s="101">
        <v>50.3</v>
      </c>
      <c r="M24" s="101"/>
      <c r="N24" s="101"/>
      <c r="O24" s="100" t="s">
        <v>20</v>
      </c>
      <c r="P24" s="101">
        <v>107.3</v>
      </c>
      <c r="Q24" s="132" t="s">
        <v>21</v>
      </c>
      <c r="R24" s="101">
        <v>23.7</v>
      </c>
      <c r="S24" s="100" t="s">
        <v>20</v>
      </c>
      <c r="T24" s="101">
        <v>25</v>
      </c>
      <c r="U24" s="132" t="s">
        <v>68</v>
      </c>
    </row>
    <row r="25" spans="1:21" ht="86.4" x14ac:dyDescent="0.25">
      <c r="A25" s="99" t="s">
        <v>248</v>
      </c>
      <c r="B25" s="132" t="s">
        <v>249</v>
      </c>
      <c r="C25" s="132" t="s">
        <v>67</v>
      </c>
      <c r="D25" s="101">
        <v>21.2</v>
      </c>
      <c r="E25" s="101"/>
      <c r="F25" s="101"/>
      <c r="G25" s="132" t="s">
        <v>71</v>
      </c>
      <c r="H25" s="101">
        <v>17.8</v>
      </c>
      <c r="I25" s="101"/>
      <c r="J25" s="101"/>
      <c r="K25" s="132" t="s">
        <v>71</v>
      </c>
      <c r="L25" s="101">
        <v>12.8</v>
      </c>
      <c r="M25" s="101"/>
      <c r="N25" s="101"/>
      <c r="O25" s="100" t="s">
        <v>20</v>
      </c>
      <c r="P25" s="101">
        <v>51.7</v>
      </c>
      <c r="Q25" s="110" t="s">
        <v>30</v>
      </c>
      <c r="R25" s="101">
        <v>14</v>
      </c>
      <c r="S25" s="100" t="s">
        <v>20</v>
      </c>
      <c r="T25" s="101">
        <v>14</v>
      </c>
      <c r="U25" s="132" t="s">
        <v>68</v>
      </c>
    </row>
    <row r="26" spans="1:21" ht="86.4" x14ac:dyDescent="0.25">
      <c r="A26" s="102" t="s">
        <v>251</v>
      </c>
      <c r="B26" s="100" t="s">
        <v>98</v>
      </c>
      <c r="C26" s="132" t="s">
        <v>94</v>
      </c>
      <c r="D26" s="101">
        <v>13.7</v>
      </c>
      <c r="E26" s="101"/>
      <c r="F26" s="101"/>
      <c r="G26" s="132" t="s">
        <v>74</v>
      </c>
      <c r="H26" s="101">
        <v>16.3</v>
      </c>
      <c r="I26" s="101"/>
      <c r="J26" s="101"/>
      <c r="K26" s="132" t="s">
        <v>74</v>
      </c>
      <c r="L26" s="101">
        <v>6.7</v>
      </c>
      <c r="M26" s="101"/>
      <c r="N26" s="101"/>
      <c r="O26" s="100" t="s">
        <v>20</v>
      </c>
      <c r="P26" s="101">
        <v>36.700000000000003</v>
      </c>
      <c r="Q26" s="132" t="s">
        <v>21</v>
      </c>
      <c r="R26" s="101">
        <v>5.4</v>
      </c>
      <c r="S26" s="100" t="s">
        <v>20</v>
      </c>
      <c r="T26" s="101">
        <v>8.9</v>
      </c>
      <c r="U26" s="132" t="s">
        <v>68</v>
      </c>
    </row>
    <row r="27" spans="1:21" ht="86.4" x14ac:dyDescent="0.25">
      <c r="A27" s="102" t="s">
        <v>255</v>
      </c>
      <c r="B27" s="100" t="s">
        <v>102</v>
      </c>
      <c r="C27" s="132" t="s">
        <v>94</v>
      </c>
      <c r="D27" s="101">
        <v>8.8000000000000007</v>
      </c>
      <c r="E27" s="101"/>
      <c r="F27" s="101"/>
      <c r="G27" s="132" t="s">
        <v>74</v>
      </c>
      <c r="H27" s="101">
        <v>15</v>
      </c>
      <c r="I27" s="101"/>
      <c r="J27" s="101"/>
      <c r="K27" s="132" t="s">
        <v>74</v>
      </c>
      <c r="L27" s="101">
        <v>27.8</v>
      </c>
      <c r="M27" s="101"/>
      <c r="N27" s="101"/>
      <c r="O27" s="100" t="s">
        <v>20</v>
      </c>
      <c r="P27" s="101">
        <v>51.6</v>
      </c>
      <c r="Q27" s="132" t="s">
        <v>21</v>
      </c>
      <c r="R27" s="101">
        <v>9.8000000000000007</v>
      </c>
      <c r="S27" s="100" t="s">
        <v>20</v>
      </c>
      <c r="T27" s="101">
        <v>12.7</v>
      </c>
      <c r="U27" s="132" t="s">
        <v>68</v>
      </c>
    </row>
    <row r="28" spans="1:21" ht="86.4" x14ac:dyDescent="0.25">
      <c r="A28" s="102" t="s">
        <v>257</v>
      </c>
      <c r="B28" s="100" t="s">
        <v>100</v>
      </c>
      <c r="C28" s="132" t="s">
        <v>94</v>
      </c>
      <c r="D28" s="111">
        <v>49.7</v>
      </c>
      <c r="E28" s="111"/>
      <c r="F28" s="111"/>
      <c r="G28" s="102" t="s">
        <v>19</v>
      </c>
      <c r="H28" s="101">
        <v>0</v>
      </c>
      <c r="I28" s="101"/>
      <c r="J28" s="101"/>
      <c r="K28" s="132" t="s">
        <v>74</v>
      </c>
      <c r="L28" s="101">
        <v>29.9</v>
      </c>
      <c r="M28" s="101"/>
      <c r="N28" s="101"/>
      <c r="O28" s="100" t="s">
        <v>20</v>
      </c>
      <c r="P28" s="101">
        <v>79.599999999999994</v>
      </c>
      <c r="Q28" s="132" t="s">
        <v>21</v>
      </c>
      <c r="R28" s="101">
        <v>15.8</v>
      </c>
      <c r="S28" s="100" t="s">
        <v>20</v>
      </c>
      <c r="T28" s="101">
        <v>20.3</v>
      </c>
      <c r="U28" s="132" t="s">
        <v>68</v>
      </c>
    </row>
    <row r="29" spans="1:21" ht="86.4" x14ac:dyDescent="0.25">
      <c r="A29" s="102" t="s">
        <v>259</v>
      </c>
      <c r="B29" s="100" t="s">
        <v>107</v>
      </c>
      <c r="C29" s="132" t="s">
        <v>94</v>
      </c>
      <c r="D29" s="111">
        <v>49.3</v>
      </c>
      <c r="E29" s="111"/>
      <c r="F29" s="111"/>
      <c r="G29" s="102" t="s">
        <v>19</v>
      </c>
      <c r="H29" s="101">
        <v>0</v>
      </c>
      <c r="I29" s="101"/>
      <c r="J29" s="101"/>
      <c r="K29" s="132" t="s">
        <v>74</v>
      </c>
      <c r="L29" s="101">
        <v>30</v>
      </c>
      <c r="M29" s="101"/>
      <c r="N29" s="101"/>
      <c r="O29" s="100" t="s">
        <v>20</v>
      </c>
      <c r="P29" s="101">
        <v>79.3</v>
      </c>
      <c r="Q29" s="132" t="s">
        <v>21</v>
      </c>
      <c r="R29" s="101">
        <v>15.8</v>
      </c>
      <c r="S29" s="100" t="s">
        <v>20</v>
      </c>
      <c r="T29" s="101">
        <v>20.2</v>
      </c>
      <c r="U29" s="132" t="s">
        <v>68</v>
      </c>
    </row>
    <row r="30" spans="1:21" ht="86.4" x14ac:dyDescent="0.25">
      <c r="A30" s="99" t="s">
        <v>261</v>
      </c>
      <c r="B30" s="100" t="s">
        <v>81</v>
      </c>
      <c r="C30" s="132" t="s">
        <v>94</v>
      </c>
      <c r="D30" s="101">
        <v>7.1</v>
      </c>
      <c r="E30" s="101"/>
      <c r="F30" s="101"/>
      <c r="G30" s="102" t="s">
        <v>19</v>
      </c>
      <c r="H30" s="101">
        <v>0</v>
      </c>
      <c r="I30" s="101"/>
      <c r="J30" s="101"/>
      <c r="K30" s="132" t="s">
        <v>74</v>
      </c>
      <c r="L30" s="101">
        <v>27.3</v>
      </c>
      <c r="M30" s="101"/>
      <c r="N30" s="101"/>
      <c r="O30" s="100" t="s">
        <v>20</v>
      </c>
      <c r="P30" s="101">
        <v>34.4</v>
      </c>
      <c r="Q30" s="132" t="s">
        <v>21</v>
      </c>
      <c r="R30" s="101">
        <v>5.4</v>
      </c>
      <c r="S30" s="100" t="s">
        <v>20</v>
      </c>
      <c r="T30" s="101">
        <v>8.1999999999999993</v>
      </c>
      <c r="U30" s="132" t="s">
        <v>68</v>
      </c>
    </row>
    <row r="31" spans="1:21" ht="86.4" x14ac:dyDescent="0.25">
      <c r="A31" s="99" t="s">
        <v>262</v>
      </c>
      <c r="B31" s="99" t="s">
        <v>32</v>
      </c>
      <c r="C31" s="132" t="s">
        <v>67</v>
      </c>
      <c r="D31" s="101">
        <v>16.3</v>
      </c>
      <c r="E31" s="113"/>
      <c r="F31" s="113"/>
      <c r="G31" s="132" t="s">
        <v>71</v>
      </c>
      <c r="H31" s="101">
        <v>30.6</v>
      </c>
      <c r="I31" s="113"/>
      <c r="J31" s="113"/>
      <c r="K31" s="99" t="s">
        <v>19</v>
      </c>
      <c r="L31" s="101">
        <v>0</v>
      </c>
      <c r="M31" s="113"/>
      <c r="N31" s="113"/>
      <c r="O31" s="110" t="s">
        <v>20</v>
      </c>
      <c r="P31" s="101">
        <v>46.9</v>
      </c>
      <c r="Q31" s="132" t="s">
        <v>21</v>
      </c>
      <c r="R31" s="101">
        <v>19.100000000000001</v>
      </c>
      <c r="S31" s="110" t="s">
        <v>20</v>
      </c>
      <c r="T31" s="101">
        <v>4.7</v>
      </c>
      <c r="U31" s="132" t="s">
        <v>68</v>
      </c>
    </row>
    <row r="32" spans="1:21" ht="86.4" x14ac:dyDescent="0.25">
      <c r="A32" s="102" t="s">
        <v>264</v>
      </c>
      <c r="B32" s="102" t="s">
        <v>265</v>
      </c>
      <c r="C32" s="132" t="s">
        <v>67</v>
      </c>
      <c r="D32" s="111">
        <v>164.1</v>
      </c>
      <c r="E32" s="111"/>
      <c r="F32" s="111"/>
      <c r="G32" s="132" t="s">
        <v>71</v>
      </c>
      <c r="H32" s="101">
        <v>85.3</v>
      </c>
      <c r="I32" s="101"/>
      <c r="J32" s="101"/>
      <c r="K32" s="132" t="s">
        <v>71</v>
      </c>
      <c r="L32" s="111">
        <v>42.8</v>
      </c>
      <c r="M32" s="111"/>
      <c r="N32" s="111"/>
      <c r="O32" s="100" t="s">
        <v>20</v>
      </c>
      <c r="P32" s="111">
        <v>292.2</v>
      </c>
      <c r="Q32" s="132" t="s">
        <v>21</v>
      </c>
      <c r="R32" s="111">
        <v>377.8</v>
      </c>
      <c r="S32" s="100" t="s">
        <v>20</v>
      </c>
      <c r="T32" s="101">
        <v>70.5</v>
      </c>
      <c r="U32" s="132" t="s">
        <v>68</v>
      </c>
    </row>
    <row r="33" spans="1:21" ht="86.4" x14ac:dyDescent="0.25">
      <c r="A33" s="99" t="s">
        <v>247</v>
      </c>
      <c r="B33" s="102" t="s">
        <v>32</v>
      </c>
      <c r="C33" s="132" t="s">
        <v>67</v>
      </c>
      <c r="D33" s="101">
        <v>138.9</v>
      </c>
      <c r="E33" s="101"/>
      <c r="F33" s="101"/>
      <c r="G33" s="132" t="s">
        <v>71</v>
      </c>
      <c r="H33" s="101">
        <v>123.1</v>
      </c>
      <c r="I33" s="101"/>
      <c r="J33" s="101"/>
      <c r="K33" s="132" t="s">
        <v>71</v>
      </c>
      <c r="L33" s="101">
        <v>6.7</v>
      </c>
      <c r="M33" s="101"/>
      <c r="N33" s="101"/>
      <c r="O33" s="100" t="s">
        <v>20</v>
      </c>
      <c r="P33" s="111">
        <v>268.7</v>
      </c>
      <c r="Q33" s="132" t="s">
        <v>21</v>
      </c>
      <c r="R33" s="101">
        <v>115.5</v>
      </c>
      <c r="S33" s="100" t="s">
        <v>20</v>
      </c>
      <c r="T33" s="111">
        <v>52.7</v>
      </c>
      <c r="U33" s="132" t="s">
        <v>68</v>
      </c>
    </row>
    <row r="34" spans="1:21" ht="86.4" x14ac:dyDescent="0.25">
      <c r="A34" s="99" t="s">
        <v>250</v>
      </c>
      <c r="B34" s="100" t="s">
        <v>126</v>
      </c>
      <c r="C34" s="132" t="s">
        <v>67</v>
      </c>
      <c r="D34" s="101">
        <v>78.7</v>
      </c>
      <c r="E34" s="101"/>
      <c r="F34" s="101"/>
      <c r="G34" s="102" t="s">
        <v>19</v>
      </c>
      <c r="H34" s="101">
        <v>0</v>
      </c>
      <c r="I34" s="101"/>
      <c r="J34" s="101"/>
      <c r="K34" s="102" t="s">
        <v>19</v>
      </c>
      <c r="L34" s="101">
        <v>0</v>
      </c>
      <c r="M34" s="101"/>
      <c r="N34" s="101"/>
      <c r="O34" s="100" t="s">
        <v>20</v>
      </c>
      <c r="P34" s="111">
        <v>78.7</v>
      </c>
      <c r="Q34" s="132" t="s">
        <v>21</v>
      </c>
      <c r="R34" s="101">
        <v>13.5</v>
      </c>
      <c r="S34" s="100" t="s">
        <v>20</v>
      </c>
      <c r="T34" s="111">
        <v>20.5</v>
      </c>
      <c r="U34" s="132" t="s">
        <v>68</v>
      </c>
    </row>
    <row r="35" spans="1:21" ht="86.4" x14ac:dyDescent="0.25">
      <c r="A35" s="99" t="s">
        <v>252</v>
      </c>
      <c r="B35" s="100" t="s">
        <v>128</v>
      </c>
      <c r="C35" s="132" t="s">
        <v>67</v>
      </c>
      <c r="D35" s="101">
        <v>84</v>
      </c>
      <c r="E35" s="101"/>
      <c r="F35" s="101"/>
      <c r="G35" s="102" t="s">
        <v>19</v>
      </c>
      <c r="H35" s="101">
        <v>0</v>
      </c>
      <c r="I35" s="101"/>
      <c r="J35" s="101"/>
      <c r="K35" s="102" t="s">
        <v>19</v>
      </c>
      <c r="L35" s="101">
        <v>0</v>
      </c>
      <c r="M35" s="101"/>
      <c r="N35" s="101"/>
      <c r="O35" s="100" t="s">
        <v>20</v>
      </c>
      <c r="P35" s="111">
        <v>84</v>
      </c>
      <c r="Q35" s="132" t="s">
        <v>21</v>
      </c>
      <c r="R35" s="101">
        <v>27.9</v>
      </c>
      <c r="S35" s="100" t="s">
        <v>20</v>
      </c>
      <c r="T35" s="111">
        <v>21.7</v>
      </c>
      <c r="U35" s="132" t="s">
        <v>68</v>
      </c>
    </row>
    <row r="36" spans="1:21" ht="86.4" x14ac:dyDescent="0.25">
      <c r="A36" s="102" t="s">
        <v>253</v>
      </c>
      <c r="B36" s="100" t="s">
        <v>254</v>
      </c>
      <c r="C36" s="132" t="s">
        <v>67</v>
      </c>
      <c r="D36" s="101">
        <v>33.5</v>
      </c>
      <c r="E36" s="101"/>
      <c r="F36" s="101"/>
      <c r="G36" s="132" t="s">
        <v>71</v>
      </c>
      <c r="H36" s="101">
        <v>20.9</v>
      </c>
      <c r="I36" s="101"/>
      <c r="J36" s="101"/>
      <c r="K36" s="102" t="s">
        <v>19</v>
      </c>
      <c r="L36" s="101">
        <v>0</v>
      </c>
      <c r="M36" s="101"/>
      <c r="N36" s="101"/>
      <c r="O36" s="100" t="s">
        <v>20</v>
      </c>
      <c r="P36" s="111">
        <v>54.3</v>
      </c>
      <c r="Q36" s="100" t="s">
        <v>30</v>
      </c>
      <c r="R36" s="101">
        <v>25.9</v>
      </c>
      <c r="S36" s="100" t="s">
        <v>20</v>
      </c>
      <c r="T36" s="111">
        <v>14.5</v>
      </c>
      <c r="U36" s="132" t="s">
        <v>68</v>
      </c>
    </row>
    <row r="37" spans="1:21" ht="86.4" x14ac:dyDescent="0.25">
      <c r="A37" s="102" t="s">
        <v>256</v>
      </c>
      <c r="B37" s="100" t="s">
        <v>130</v>
      </c>
      <c r="C37" s="132" t="s">
        <v>67</v>
      </c>
      <c r="D37" s="101">
        <v>82.1</v>
      </c>
      <c r="E37" s="101"/>
      <c r="F37" s="101"/>
      <c r="G37" s="102" t="s">
        <v>19</v>
      </c>
      <c r="H37" s="101">
        <v>0</v>
      </c>
      <c r="I37" s="101"/>
      <c r="J37" s="101"/>
      <c r="K37" s="102" t="s">
        <v>19</v>
      </c>
      <c r="L37" s="101">
        <v>0</v>
      </c>
      <c r="M37" s="101"/>
      <c r="N37" s="101"/>
      <c r="O37" s="100" t="s">
        <v>20</v>
      </c>
      <c r="P37" s="101">
        <v>82.1</v>
      </c>
      <c r="Q37" s="132" t="s">
        <v>21</v>
      </c>
      <c r="R37" s="101">
        <v>13.6</v>
      </c>
      <c r="S37" s="100" t="s">
        <v>20</v>
      </c>
      <c r="T37" s="111">
        <v>20.5</v>
      </c>
      <c r="U37" s="132" t="s">
        <v>68</v>
      </c>
    </row>
    <row r="38" spans="1:21" ht="86.4" x14ac:dyDescent="0.25">
      <c r="A38" s="102" t="s">
        <v>258</v>
      </c>
      <c r="B38" s="100" t="s">
        <v>132</v>
      </c>
      <c r="C38" s="132" t="s">
        <v>67</v>
      </c>
      <c r="D38" s="101">
        <v>85.1</v>
      </c>
      <c r="E38" s="101"/>
      <c r="F38" s="101"/>
      <c r="G38" s="102" t="s">
        <v>19</v>
      </c>
      <c r="H38" s="101">
        <v>0</v>
      </c>
      <c r="I38" s="101"/>
      <c r="J38" s="101"/>
      <c r="K38" s="132" t="s">
        <v>71</v>
      </c>
      <c r="L38" s="101">
        <v>13.5</v>
      </c>
      <c r="M38" s="101"/>
      <c r="N38" s="101"/>
      <c r="O38" s="100" t="s">
        <v>20</v>
      </c>
      <c r="P38" s="111">
        <v>98.7</v>
      </c>
      <c r="Q38" s="132" t="s">
        <v>21</v>
      </c>
      <c r="R38" s="111">
        <v>23.4</v>
      </c>
      <c r="S38" s="100" t="s">
        <v>20</v>
      </c>
      <c r="T38" s="111">
        <v>24.8</v>
      </c>
      <c r="U38" s="132" t="s">
        <v>68</v>
      </c>
    </row>
    <row r="39" spans="1:21" ht="187.2" x14ac:dyDescent="0.25">
      <c r="A39" s="102" t="s">
        <v>260</v>
      </c>
      <c r="B39" s="102" t="s">
        <v>159</v>
      </c>
      <c r="C39" s="132" t="s">
        <v>94</v>
      </c>
      <c r="D39" s="101">
        <v>10.8</v>
      </c>
      <c r="E39" s="101"/>
      <c r="F39" s="101"/>
      <c r="G39" s="132" t="s">
        <v>74</v>
      </c>
      <c r="H39" s="101">
        <v>15.6</v>
      </c>
      <c r="I39" s="101"/>
      <c r="J39" s="101"/>
      <c r="K39" s="132" t="s">
        <v>74</v>
      </c>
      <c r="L39" s="101">
        <v>21.3</v>
      </c>
      <c r="M39" s="101"/>
      <c r="N39" s="101"/>
      <c r="O39" s="100" t="s">
        <v>20</v>
      </c>
      <c r="P39" s="111">
        <v>47.6</v>
      </c>
      <c r="Q39" s="132" t="s">
        <v>210</v>
      </c>
      <c r="R39" s="101">
        <v>8.3000000000000007</v>
      </c>
      <c r="S39" s="100" t="s">
        <v>20</v>
      </c>
      <c r="T39" s="111">
        <v>10.8</v>
      </c>
      <c r="U39" s="132" t="s">
        <v>68</v>
      </c>
    </row>
    <row r="40" spans="1:21" ht="115.2" x14ac:dyDescent="0.25">
      <c r="A40" s="102" t="s">
        <v>263</v>
      </c>
      <c r="B40" s="100" t="s">
        <v>187</v>
      </c>
      <c r="C40" s="132" t="s">
        <v>17</v>
      </c>
      <c r="D40" s="111">
        <v>43.8</v>
      </c>
      <c r="E40" s="111"/>
      <c r="F40" s="111"/>
      <c r="G40" s="132" t="s">
        <v>18</v>
      </c>
      <c r="H40" s="101">
        <v>6.3</v>
      </c>
      <c r="I40" s="101"/>
      <c r="J40" s="101"/>
      <c r="K40" s="132" t="s">
        <v>18</v>
      </c>
      <c r="L40" s="101">
        <v>33.799999999999997</v>
      </c>
      <c r="M40" s="101"/>
      <c r="N40" s="101"/>
      <c r="O40" s="100" t="s">
        <v>20</v>
      </c>
      <c r="P40" s="111">
        <v>83.9</v>
      </c>
      <c r="Q40" s="100" t="s">
        <v>178</v>
      </c>
      <c r="R40" s="101">
        <v>21.6</v>
      </c>
      <c r="S40" s="100" t="s">
        <v>20</v>
      </c>
      <c r="T40" s="111">
        <v>20.3</v>
      </c>
      <c r="U40" s="102" t="s">
        <v>19</v>
      </c>
    </row>
    <row r="41" spans="1:21" ht="115.2" x14ac:dyDescent="0.25">
      <c r="A41" s="17" t="s">
        <v>266</v>
      </c>
      <c r="B41" s="17" t="s">
        <v>189</v>
      </c>
      <c r="C41" s="127" t="s">
        <v>17</v>
      </c>
      <c r="D41" s="121">
        <v>0.1</v>
      </c>
      <c r="E41" s="121"/>
      <c r="F41" s="121"/>
      <c r="G41" s="127" t="s">
        <v>18</v>
      </c>
      <c r="H41" s="121">
        <v>5.0999999999999996</v>
      </c>
      <c r="I41" s="121"/>
      <c r="J41" s="121"/>
      <c r="K41" s="127" t="s">
        <v>18</v>
      </c>
      <c r="L41" s="122">
        <v>34.5</v>
      </c>
      <c r="M41" s="122"/>
      <c r="N41" s="122"/>
      <c r="O41" s="22" t="s">
        <v>20</v>
      </c>
      <c r="P41" s="121">
        <v>39.700000000000003</v>
      </c>
      <c r="Q41" s="22" t="s">
        <v>178</v>
      </c>
      <c r="R41" s="121">
        <v>6.7</v>
      </c>
      <c r="S41" s="22" t="s">
        <v>20</v>
      </c>
      <c r="T41" s="121">
        <v>9</v>
      </c>
      <c r="U41" s="127" t="s">
        <v>190</v>
      </c>
    </row>
    <row r="42" spans="1:21" ht="86.4" x14ac:dyDescent="0.25">
      <c r="A42" s="7" t="s">
        <v>270</v>
      </c>
      <c r="B42" s="8" t="s">
        <v>192</v>
      </c>
      <c r="C42" s="3" t="s">
        <v>94</v>
      </c>
      <c r="D42" s="9">
        <v>8.5</v>
      </c>
      <c r="E42" s="9"/>
      <c r="F42" s="82"/>
      <c r="G42" s="102" t="s">
        <v>19</v>
      </c>
      <c r="H42" s="101">
        <v>0</v>
      </c>
      <c r="I42" s="101"/>
      <c r="J42" s="101"/>
      <c r="K42" s="132" t="s">
        <v>74</v>
      </c>
      <c r="L42" s="101">
        <v>79.2</v>
      </c>
      <c r="M42" s="101"/>
      <c r="N42" s="101"/>
      <c r="O42" s="100" t="s">
        <v>20</v>
      </c>
      <c r="P42" s="101">
        <v>87.8</v>
      </c>
      <c r="Q42" s="100" t="s">
        <v>178</v>
      </c>
      <c r="R42" s="101">
        <v>29.6</v>
      </c>
      <c r="S42" s="100" t="s">
        <v>20</v>
      </c>
      <c r="T42" s="101">
        <v>21.7</v>
      </c>
      <c r="U42" s="132" t="s">
        <v>68</v>
      </c>
    </row>
    <row r="43" spans="1:21" ht="115.2" x14ac:dyDescent="0.25">
      <c r="A43" s="7" t="s">
        <v>271</v>
      </c>
      <c r="B43" s="10" t="s">
        <v>194</v>
      </c>
      <c r="C43" s="3" t="s">
        <v>17</v>
      </c>
      <c r="D43" s="9">
        <v>46.6</v>
      </c>
      <c r="E43" s="9"/>
      <c r="F43" s="82"/>
      <c r="G43" s="102" t="s">
        <v>19</v>
      </c>
      <c r="H43" s="101">
        <v>0</v>
      </c>
      <c r="I43" s="101"/>
      <c r="J43" s="101"/>
      <c r="K43" s="132" t="s">
        <v>18</v>
      </c>
      <c r="L43" s="101">
        <v>34.299999999999997</v>
      </c>
      <c r="M43" s="101"/>
      <c r="N43" s="101"/>
      <c r="O43" s="100" t="s">
        <v>20</v>
      </c>
      <c r="P43" s="101">
        <v>80.900000000000006</v>
      </c>
      <c r="Q43" s="100" t="s">
        <v>178</v>
      </c>
      <c r="R43" s="101">
        <v>51.3</v>
      </c>
      <c r="S43" s="100" t="s">
        <v>20</v>
      </c>
      <c r="T43" s="101">
        <v>23.6</v>
      </c>
      <c r="U43" s="102" t="s">
        <v>19</v>
      </c>
    </row>
    <row r="44" spans="1:21" ht="115.2" x14ac:dyDescent="0.25">
      <c r="A44" s="7" t="s">
        <v>274</v>
      </c>
      <c r="B44" s="10" t="s">
        <v>196</v>
      </c>
      <c r="C44" s="3" t="s">
        <v>17</v>
      </c>
      <c r="D44" s="9">
        <v>43.2</v>
      </c>
      <c r="E44" s="9"/>
      <c r="F44" s="82"/>
      <c r="G44" s="132" t="s">
        <v>18</v>
      </c>
      <c r="H44" s="101">
        <v>27.9</v>
      </c>
      <c r="I44" s="101"/>
      <c r="J44" s="101"/>
      <c r="K44" s="132" t="s">
        <v>18</v>
      </c>
      <c r="L44" s="101">
        <v>19.8</v>
      </c>
      <c r="M44" s="101"/>
      <c r="N44" s="101"/>
      <c r="O44" s="100" t="s">
        <v>20</v>
      </c>
      <c r="P44" s="101">
        <v>90.9</v>
      </c>
      <c r="Q44" s="100" t="s">
        <v>178</v>
      </c>
      <c r="R44" s="101">
        <v>56.6</v>
      </c>
      <c r="S44" s="100" t="s">
        <v>20</v>
      </c>
      <c r="T44" s="101">
        <v>25</v>
      </c>
      <c r="U44" s="102" t="s">
        <v>19</v>
      </c>
    </row>
    <row r="45" spans="1:21" ht="115.2" x14ac:dyDescent="0.25">
      <c r="A45" s="7" t="s">
        <v>277</v>
      </c>
      <c r="B45" s="8" t="s">
        <v>187</v>
      </c>
      <c r="C45" s="3" t="s">
        <v>17</v>
      </c>
      <c r="D45" s="9">
        <v>33.700000000000003</v>
      </c>
      <c r="E45" s="9"/>
      <c r="F45" s="82"/>
      <c r="G45" s="132" t="s">
        <v>18</v>
      </c>
      <c r="H45" s="101">
        <v>14.4</v>
      </c>
      <c r="I45" s="101"/>
      <c r="J45" s="101"/>
      <c r="K45" s="132" t="s">
        <v>18</v>
      </c>
      <c r="L45" s="101">
        <v>33.799999999999997</v>
      </c>
      <c r="M45" s="101"/>
      <c r="N45" s="101"/>
      <c r="O45" s="100" t="s">
        <v>20</v>
      </c>
      <c r="P45" s="101">
        <v>81.8</v>
      </c>
      <c r="Q45" s="100" t="s">
        <v>178</v>
      </c>
      <c r="R45" s="101">
        <v>21.5</v>
      </c>
      <c r="S45" s="100" t="s">
        <v>20</v>
      </c>
      <c r="T45" s="101">
        <v>20.3</v>
      </c>
      <c r="U45" s="102" t="s">
        <v>19</v>
      </c>
    </row>
    <row r="46" spans="1:21" ht="115.2" x14ac:dyDescent="0.25">
      <c r="A46" s="7" t="s">
        <v>280</v>
      </c>
      <c r="B46" s="10" t="s">
        <v>189</v>
      </c>
      <c r="C46" s="3" t="s">
        <v>17</v>
      </c>
      <c r="D46" s="9">
        <v>0.1</v>
      </c>
      <c r="E46" s="9"/>
      <c r="F46" s="82"/>
      <c r="G46" s="132" t="s">
        <v>18</v>
      </c>
      <c r="H46" s="101">
        <v>5.0999999999999996</v>
      </c>
      <c r="I46" s="101"/>
      <c r="J46" s="101"/>
      <c r="K46" s="132" t="s">
        <v>18</v>
      </c>
      <c r="L46" s="101">
        <v>34.5</v>
      </c>
      <c r="M46" s="101"/>
      <c r="N46" s="101"/>
      <c r="O46" s="100" t="s">
        <v>20</v>
      </c>
      <c r="P46" s="101">
        <v>39.700000000000003</v>
      </c>
      <c r="Q46" s="100" t="s">
        <v>178</v>
      </c>
      <c r="R46" s="101">
        <v>6.7</v>
      </c>
      <c r="S46" s="100" t="s">
        <v>20</v>
      </c>
      <c r="T46" s="101">
        <v>9</v>
      </c>
      <c r="U46" s="132" t="s">
        <v>190</v>
      </c>
    </row>
    <row r="47" spans="1:21" ht="115.2" x14ac:dyDescent="0.25">
      <c r="A47" s="57" t="s">
        <v>281</v>
      </c>
      <c r="B47" s="124" t="s">
        <v>194</v>
      </c>
      <c r="C47" s="127" t="s">
        <v>17</v>
      </c>
      <c r="D47" s="126">
        <v>46.6</v>
      </c>
      <c r="E47" s="126"/>
      <c r="F47" s="66"/>
      <c r="G47" s="112" t="s">
        <v>19</v>
      </c>
      <c r="H47" s="113">
        <v>0</v>
      </c>
      <c r="I47" s="113"/>
      <c r="J47" s="113"/>
      <c r="K47" s="132" t="s">
        <v>18</v>
      </c>
      <c r="L47" s="113">
        <v>34.299999999999997</v>
      </c>
      <c r="M47" s="113"/>
      <c r="N47" s="113"/>
      <c r="O47" s="132" t="s">
        <v>20</v>
      </c>
      <c r="P47" s="113">
        <v>80.8</v>
      </c>
      <c r="Q47" s="132" t="s">
        <v>178</v>
      </c>
      <c r="R47" s="113">
        <v>51.3</v>
      </c>
      <c r="S47" s="132" t="s">
        <v>20</v>
      </c>
      <c r="T47" s="113">
        <v>23.6</v>
      </c>
      <c r="U47" s="112" t="s">
        <v>19</v>
      </c>
    </row>
    <row r="48" spans="1:21" ht="115.2" x14ac:dyDescent="0.25">
      <c r="A48" s="124" t="s">
        <v>282</v>
      </c>
      <c r="B48" s="124" t="s">
        <v>196</v>
      </c>
      <c r="C48" s="127" t="s">
        <v>17</v>
      </c>
      <c r="D48" s="126">
        <v>59.5</v>
      </c>
      <c r="E48" s="126"/>
      <c r="F48" s="66"/>
      <c r="G48" s="132" t="s">
        <v>18</v>
      </c>
      <c r="H48" s="113">
        <v>7.5</v>
      </c>
      <c r="I48" s="113"/>
      <c r="J48" s="113"/>
      <c r="K48" s="132" t="s">
        <v>18</v>
      </c>
      <c r="L48" s="113">
        <v>19.8</v>
      </c>
      <c r="M48" s="113"/>
      <c r="N48" s="113"/>
      <c r="O48" s="132" t="s">
        <v>20</v>
      </c>
      <c r="P48" s="113">
        <v>86.8</v>
      </c>
      <c r="Q48" s="132" t="s">
        <v>178</v>
      </c>
      <c r="R48" s="113">
        <v>56.3</v>
      </c>
      <c r="S48" s="132" t="s">
        <v>20</v>
      </c>
      <c r="T48" s="114">
        <v>24.9</v>
      </c>
      <c r="U48" s="112" t="s">
        <v>19</v>
      </c>
    </row>
    <row r="49" spans="1:21" ht="86.4" x14ac:dyDescent="0.25">
      <c r="A49" s="7" t="s">
        <v>267</v>
      </c>
      <c r="B49" s="8" t="s">
        <v>192</v>
      </c>
      <c r="C49" s="3" t="s">
        <v>94</v>
      </c>
      <c r="D49" s="9">
        <v>8.5</v>
      </c>
      <c r="E49" s="9"/>
      <c r="F49" s="82"/>
      <c r="G49" s="102" t="s">
        <v>19</v>
      </c>
      <c r="H49" s="101">
        <v>0</v>
      </c>
      <c r="I49" s="101"/>
      <c r="J49" s="101"/>
      <c r="K49" s="132" t="s">
        <v>74</v>
      </c>
      <c r="L49" s="101">
        <v>79.2</v>
      </c>
      <c r="M49" s="101"/>
      <c r="N49" s="101"/>
      <c r="O49" s="100" t="s">
        <v>20</v>
      </c>
      <c r="P49" s="111">
        <v>87.7</v>
      </c>
      <c r="Q49" s="100" t="s">
        <v>178</v>
      </c>
      <c r="R49" s="115">
        <v>29.6</v>
      </c>
      <c r="S49" s="100" t="s">
        <v>20</v>
      </c>
      <c r="T49" s="111">
        <v>21.7</v>
      </c>
      <c r="U49" s="132" t="s">
        <v>68</v>
      </c>
    </row>
    <row r="50" spans="1:21" ht="115.2" x14ac:dyDescent="0.25">
      <c r="A50" s="17" t="s">
        <v>268</v>
      </c>
      <c r="B50" s="127" t="s">
        <v>269</v>
      </c>
      <c r="C50" s="127" t="s">
        <v>17</v>
      </c>
      <c r="D50" s="121">
        <v>60.7</v>
      </c>
      <c r="E50" s="121"/>
      <c r="F50" s="87"/>
      <c r="G50" s="132" t="s">
        <v>18</v>
      </c>
      <c r="H50" s="111">
        <v>42.3</v>
      </c>
      <c r="I50" s="111"/>
      <c r="J50" s="111"/>
      <c r="K50" s="132" t="s">
        <v>18</v>
      </c>
      <c r="L50" s="101">
        <v>9.1</v>
      </c>
      <c r="M50" s="101"/>
      <c r="N50" s="101"/>
      <c r="O50" s="100" t="s">
        <v>20</v>
      </c>
      <c r="P50" s="111">
        <v>112.1</v>
      </c>
      <c r="Q50" s="100" t="s">
        <v>178</v>
      </c>
      <c r="R50" s="101">
        <v>81.7</v>
      </c>
      <c r="S50" s="100" t="s">
        <v>20</v>
      </c>
      <c r="T50" s="111">
        <v>31</v>
      </c>
      <c r="U50" s="102" t="s">
        <v>19</v>
      </c>
    </row>
    <row r="51" spans="1:21" ht="115.2" x14ac:dyDescent="0.25">
      <c r="A51" s="7" t="s">
        <v>272</v>
      </c>
      <c r="B51" s="8" t="s">
        <v>273</v>
      </c>
      <c r="C51" s="3" t="s">
        <v>17</v>
      </c>
      <c r="D51" s="9">
        <v>35.4</v>
      </c>
      <c r="E51" s="9"/>
      <c r="F51" s="82"/>
      <c r="G51" s="132" t="s">
        <v>18</v>
      </c>
      <c r="H51" s="101">
        <v>6</v>
      </c>
      <c r="I51" s="101"/>
      <c r="J51" s="101"/>
      <c r="K51" s="102" t="s">
        <v>19</v>
      </c>
      <c r="L51" s="101">
        <v>0</v>
      </c>
      <c r="M51" s="101"/>
      <c r="N51" s="101"/>
      <c r="O51" s="100" t="s">
        <v>20</v>
      </c>
      <c r="P51" s="101">
        <v>41.3</v>
      </c>
      <c r="Q51" s="100" t="s">
        <v>178</v>
      </c>
      <c r="R51" s="116">
        <v>7</v>
      </c>
      <c r="S51" s="100" t="s">
        <v>20</v>
      </c>
      <c r="T51" s="101">
        <v>9.9</v>
      </c>
      <c r="U51" s="102" t="s">
        <v>19</v>
      </c>
    </row>
    <row r="52" spans="1:21" ht="115.2" x14ac:dyDescent="0.25">
      <c r="A52" s="7" t="s">
        <v>275</v>
      </c>
      <c r="B52" s="8" t="s">
        <v>276</v>
      </c>
      <c r="C52" s="3" t="s">
        <v>17</v>
      </c>
      <c r="D52" s="9">
        <v>47.7</v>
      </c>
      <c r="E52" s="9"/>
      <c r="F52" s="82"/>
      <c r="G52" s="132" t="s">
        <v>18</v>
      </c>
      <c r="H52" s="101">
        <v>36.700000000000003</v>
      </c>
      <c r="I52" s="101"/>
      <c r="J52" s="101"/>
      <c r="K52" s="132" t="s">
        <v>18</v>
      </c>
      <c r="L52" s="101">
        <v>17.5</v>
      </c>
      <c r="M52" s="101"/>
      <c r="N52" s="101"/>
      <c r="O52" s="100" t="s">
        <v>20</v>
      </c>
      <c r="P52" s="111">
        <v>102</v>
      </c>
      <c r="Q52" s="100" t="s">
        <v>178</v>
      </c>
      <c r="R52" s="115">
        <v>75.2</v>
      </c>
      <c r="S52" s="100" t="s">
        <v>20</v>
      </c>
      <c r="T52" s="111">
        <v>29.4</v>
      </c>
      <c r="U52" s="102" t="s">
        <v>19</v>
      </c>
    </row>
    <row r="53" spans="1:21" ht="115.2" x14ac:dyDescent="0.25">
      <c r="A53" s="7" t="s">
        <v>278</v>
      </c>
      <c r="B53" s="8" t="s">
        <v>279</v>
      </c>
      <c r="C53" s="3" t="s">
        <v>17</v>
      </c>
      <c r="D53" s="9">
        <v>12.5</v>
      </c>
      <c r="E53" s="9"/>
      <c r="F53" s="82"/>
      <c r="G53" s="132" t="s">
        <v>18</v>
      </c>
      <c r="H53" s="101">
        <v>4.5</v>
      </c>
      <c r="I53" s="101"/>
      <c r="J53" s="101"/>
      <c r="K53" s="132" t="s">
        <v>18</v>
      </c>
      <c r="L53" s="101">
        <v>23.2</v>
      </c>
      <c r="M53" s="101"/>
      <c r="N53" s="101"/>
      <c r="O53" s="100" t="s">
        <v>20</v>
      </c>
      <c r="P53" s="111">
        <v>40.200000000000003</v>
      </c>
      <c r="Q53" s="100" t="s">
        <v>178</v>
      </c>
      <c r="R53" s="116">
        <v>6.2</v>
      </c>
      <c r="S53" s="100" t="s">
        <v>20</v>
      </c>
      <c r="T53" s="101">
        <v>9.6</v>
      </c>
      <c r="U53" s="102" t="s">
        <v>19</v>
      </c>
    </row>
    <row r="54" spans="1:21" ht="187.2" x14ac:dyDescent="0.25">
      <c r="A54" s="7" t="s">
        <v>283</v>
      </c>
      <c r="B54" s="10" t="s">
        <v>32</v>
      </c>
      <c r="C54" s="3" t="s">
        <v>17</v>
      </c>
      <c r="D54" s="9">
        <v>40</v>
      </c>
      <c r="E54" s="3" t="s">
        <v>18</v>
      </c>
      <c r="F54" s="9">
        <v>3.7</v>
      </c>
      <c r="G54" s="3" t="s">
        <v>18</v>
      </c>
      <c r="H54" s="9">
        <v>39.9</v>
      </c>
      <c r="I54" s="9"/>
      <c r="J54" s="9"/>
      <c r="K54" s="3" t="s">
        <v>18</v>
      </c>
      <c r="L54" s="9">
        <v>4.9000000000000004</v>
      </c>
      <c r="M54" s="9"/>
      <c r="N54" s="9"/>
      <c r="O54" s="8" t="s">
        <v>20</v>
      </c>
      <c r="P54" s="9">
        <v>88.6</v>
      </c>
      <c r="Q54" s="8" t="s">
        <v>284</v>
      </c>
      <c r="R54" s="9">
        <v>38.700000000000003</v>
      </c>
      <c r="S54" s="8" t="s">
        <v>20</v>
      </c>
      <c r="T54" s="9">
        <v>14.8</v>
      </c>
      <c r="U54" s="10" t="s">
        <v>19</v>
      </c>
    </row>
    <row r="55" spans="1:21" ht="86.4" x14ac:dyDescent="0.25">
      <c r="A55" s="7" t="s">
        <v>285</v>
      </c>
      <c r="B55" s="8" t="s">
        <v>102</v>
      </c>
      <c r="C55" s="3" t="s">
        <v>94</v>
      </c>
      <c r="D55" s="9">
        <v>7.1</v>
      </c>
      <c r="E55" s="10" t="s">
        <v>19</v>
      </c>
      <c r="F55" s="9">
        <v>0</v>
      </c>
      <c r="G55" s="3" t="s">
        <v>74</v>
      </c>
      <c r="H55" s="9">
        <v>13.2</v>
      </c>
      <c r="I55" s="9"/>
      <c r="J55" s="9"/>
      <c r="K55" s="3" t="s">
        <v>74</v>
      </c>
      <c r="L55" s="9">
        <v>19.5</v>
      </c>
      <c r="M55" s="9"/>
      <c r="N55" s="9"/>
      <c r="O55" s="8" t="s">
        <v>20</v>
      </c>
      <c r="P55" s="9">
        <v>39.799999999999997</v>
      </c>
      <c r="Q55" s="8" t="s">
        <v>284</v>
      </c>
      <c r="R55" s="9">
        <v>5.8</v>
      </c>
      <c r="S55" s="8" t="s">
        <v>20</v>
      </c>
      <c r="T55" s="9">
        <v>9.6</v>
      </c>
      <c r="U55" s="3" t="s">
        <v>68</v>
      </c>
    </row>
    <row r="56" spans="1:21" ht="115.2" x14ac:dyDescent="0.25">
      <c r="A56" s="7" t="s">
        <v>286</v>
      </c>
      <c r="B56" s="8" t="s">
        <v>287</v>
      </c>
      <c r="C56" s="3" t="s">
        <v>17</v>
      </c>
      <c r="D56" s="9">
        <v>25.2</v>
      </c>
      <c r="E56" s="10" t="s">
        <v>19</v>
      </c>
      <c r="F56" s="9">
        <v>0</v>
      </c>
      <c r="G56" s="10" t="s">
        <v>19</v>
      </c>
      <c r="H56" s="9">
        <v>0</v>
      </c>
      <c r="I56" s="9"/>
      <c r="J56" s="9"/>
      <c r="K56" s="3" t="s">
        <v>18</v>
      </c>
      <c r="L56" s="9">
        <v>13.7</v>
      </c>
      <c r="M56" s="9"/>
      <c r="N56" s="9"/>
      <c r="O56" s="8" t="s">
        <v>20</v>
      </c>
      <c r="P56" s="9">
        <v>38.9</v>
      </c>
      <c r="Q56" s="8" t="s">
        <v>284</v>
      </c>
      <c r="R56" s="9">
        <v>6.2</v>
      </c>
      <c r="S56" s="8" t="s">
        <v>20</v>
      </c>
      <c r="T56" s="9">
        <v>9.5</v>
      </c>
      <c r="U56" s="10" t="s">
        <v>19</v>
      </c>
    </row>
    <row r="57" spans="1:21" ht="187.2" x14ac:dyDescent="0.25">
      <c r="A57" s="7" t="s">
        <v>288</v>
      </c>
      <c r="B57" s="8" t="s">
        <v>209</v>
      </c>
      <c r="C57" s="3" t="s">
        <v>17</v>
      </c>
      <c r="D57" s="9">
        <v>104</v>
      </c>
      <c r="E57" s="10" t="s">
        <v>19</v>
      </c>
      <c r="F57" s="9">
        <v>0</v>
      </c>
      <c r="G57" s="10" t="s">
        <v>19</v>
      </c>
      <c r="H57" s="9">
        <v>0</v>
      </c>
      <c r="I57" s="9"/>
      <c r="J57" s="9"/>
      <c r="K57" s="10" t="s">
        <v>19</v>
      </c>
      <c r="L57" s="9">
        <v>0</v>
      </c>
      <c r="M57" s="9"/>
      <c r="N57" s="9"/>
      <c r="O57" s="8" t="s">
        <v>20</v>
      </c>
      <c r="P57" s="9">
        <v>104</v>
      </c>
      <c r="Q57" s="3" t="s">
        <v>289</v>
      </c>
      <c r="R57" s="9">
        <v>26.3</v>
      </c>
      <c r="S57" s="8" t="s">
        <v>20</v>
      </c>
      <c r="T57" s="9">
        <v>28.7</v>
      </c>
      <c r="U57" s="10" t="s">
        <v>19</v>
      </c>
    </row>
    <row r="58" spans="1:21" ht="115.2" x14ac:dyDescent="0.25">
      <c r="A58" s="7" t="s">
        <v>290</v>
      </c>
      <c r="B58" s="8" t="s">
        <v>254</v>
      </c>
      <c r="C58" s="3" t="s">
        <v>17</v>
      </c>
      <c r="D58" s="9">
        <v>25.2</v>
      </c>
      <c r="E58" s="10" t="s">
        <v>19</v>
      </c>
      <c r="F58" s="9">
        <v>0</v>
      </c>
      <c r="G58" s="3" t="s">
        <v>18</v>
      </c>
      <c r="H58" s="9">
        <v>4.7</v>
      </c>
      <c r="I58" s="9"/>
      <c r="J58" s="9"/>
      <c r="K58" s="3" t="s">
        <v>18</v>
      </c>
      <c r="L58" s="9">
        <v>9.1</v>
      </c>
      <c r="M58" s="9"/>
      <c r="N58" s="9"/>
      <c r="O58" s="8" t="s">
        <v>20</v>
      </c>
      <c r="P58" s="9">
        <v>38.9</v>
      </c>
      <c r="Q58" s="8" t="s">
        <v>284</v>
      </c>
      <c r="R58" s="9">
        <v>6.5</v>
      </c>
      <c r="S58" s="8" t="s">
        <v>20</v>
      </c>
      <c r="T58" s="9">
        <v>8.6</v>
      </c>
      <c r="U58" s="10" t="s">
        <v>19</v>
      </c>
    </row>
    <row r="59" spans="1:21" ht="115.2" x14ac:dyDescent="0.25">
      <c r="A59" s="7" t="s">
        <v>291</v>
      </c>
      <c r="B59" s="10" t="s">
        <v>32</v>
      </c>
      <c r="C59" s="3" t="s">
        <v>17</v>
      </c>
      <c r="D59" s="9">
        <v>60.8</v>
      </c>
      <c r="E59" s="10" t="s">
        <v>19</v>
      </c>
      <c r="F59" s="9">
        <v>0</v>
      </c>
      <c r="G59" s="3" t="s">
        <v>18</v>
      </c>
      <c r="H59" s="9">
        <v>79.099999999999994</v>
      </c>
      <c r="I59" s="9"/>
      <c r="J59" s="9"/>
      <c r="K59" s="3" t="s">
        <v>18</v>
      </c>
      <c r="L59" s="9">
        <v>7.1</v>
      </c>
      <c r="M59" s="9"/>
      <c r="N59" s="9"/>
      <c r="O59" s="8" t="s">
        <v>20</v>
      </c>
      <c r="P59" s="9">
        <v>147</v>
      </c>
      <c r="Q59" s="8" t="s">
        <v>284</v>
      </c>
      <c r="R59" s="9">
        <v>63.1</v>
      </c>
      <c r="S59" s="8" t="s">
        <v>20</v>
      </c>
      <c r="T59" s="9">
        <v>31.5</v>
      </c>
      <c r="U59" s="10" t="s">
        <v>19</v>
      </c>
    </row>
    <row r="60" spans="1:21" ht="187.2" x14ac:dyDescent="0.25">
      <c r="A60" s="57" t="s">
        <v>292</v>
      </c>
      <c r="B60" s="136" t="s">
        <v>212</v>
      </c>
      <c r="C60" s="127" t="s">
        <v>17</v>
      </c>
      <c r="D60" s="126">
        <v>83.5</v>
      </c>
      <c r="E60" s="124" t="s">
        <v>19</v>
      </c>
      <c r="F60" s="126">
        <v>0</v>
      </c>
      <c r="G60" s="124" t="s">
        <v>19</v>
      </c>
      <c r="H60" s="126">
        <v>0</v>
      </c>
      <c r="I60" s="126"/>
      <c r="J60" s="126"/>
      <c r="K60" s="124" t="s">
        <v>19</v>
      </c>
      <c r="L60" s="126">
        <v>0</v>
      </c>
      <c r="M60" s="126"/>
      <c r="N60" s="126"/>
      <c r="O60" s="136" t="s">
        <v>20</v>
      </c>
      <c r="P60" s="126">
        <v>83.5</v>
      </c>
      <c r="Q60" s="127" t="s">
        <v>289</v>
      </c>
      <c r="R60" s="126">
        <v>18.399999999999999</v>
      </c>
      <c r="S60" s="136" t="s">
        <v>20</v>
      </c>
      <c r="T60" s="126">
        <v>20.399999999999999</v>
      </c>
      <c r="U60" s="124" t="s">
        <v>19</v>
      </c>
    </row>
    <row r="61" spans="1:21" ht="100.8" x14ac:dyDescent="0.25">
      <c r="A61" s="17" t="s">
        <v>293</v>
      </c>
      <c r="B61" s="17" t="s">
        <v>265</v>
      </c>
      <c r="C61" s="127" t="s">
        <v>67</v>
      </c>
      <c r="D61" s="121">
        <v>43.1</v>
      </c>
      <c r="E61" s="17" t="s">
        <v>19</v>
      </c>
      <c r="F61" s="121">
        <v>0</v>
      </c>
      <c r="G61" s="127" t="s">
        <v>71</v>
      </c>
      <c r="H61" s="121">
        <v>53.7</v>
      </c>
      <c r="I61" s="121"/>
      <c r="J61" s="121"/>
      <c r="K61" s="127" t="s">
        <v>71</v>
      </c>
      <c r="L61" s="121">
        <v>19.100000000000001</v>
      </c>
      <c r="M61" s="121"/>
      <c r="N61" s="121"/>
      <c r="O61" s="22" t="s">
        <v>20</v>
      </c>
      <c r="P61" s="122">
        <v>116</v>
      </c>
      <c r="Q61" s="127" t="s">
        <v>294</v>
      </c>
      <c r="R61" s="121">
        <v>79.599999999999994</v>
      </c>
      <c r="S61" s="22" t="s">
        <v>20</v>
      </c>
      <c r="T61" s="121">
        <v>27.6</v>
      </c>
      <c r="U61" s="12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39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ht="29.25" customHeight="1" x14ac:dyDescent="0.25">
      <c r="A1" s="176" t="s">
        <v>359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 spans="1:21" ht="17.399999999999999" x14ac:dyDescent="0.25">
      <c r="A2" s="165" t="s">
        <v>1</v>
      </c>
      <c r="B2" s="164" t="s">
        <v>2</v>
      </c>
      <c r="C2" s="166" t="s">
        <v>3</v>
      </c>
      <c r="D2" s="166"/>
      <c r="E2" s="166"/>
      <c r="F2" s="166"/>
      <c r="G2" s="166"/>
      <c r="H2" s="166"/>
      <c r="I2" s="166"/>
      <c r="J2" s="166"/>
      <c r="K2" s="166"/>
      <c r="L2" s="166"/>
      <c r="M2" s="133"/>
      <c r="N2" s="133"/>
      <c r="O2" s="133"/>
      <c r="P2" s="133"/>
      <c r="Q2" s="164" t="s">
        <v>4</v>
      </c>
      <c r="R2" s="164"/>
      <c r="S2" s="167" t="s">
        <v>5</v>
      </c>
      <c r="T2" s="167"/>
      <c r="U2" s="134" t="s">
        <v>6</v>
      </c>
    </row>
    <row r="3" spans="1:21" ht="17.399999999999999" x14ac:dyDescent="0.25">
      <c r="A3" s="165"/>
      <c r="B3" s="164"/>
      <c r="C3" s="167" t="s">
        <v>7</v>
      </c>
      <c r="D3" s="167"/>
      <c r="E3" s="170" t="s">
        <v>8</v>
      </c>
      <c r="F3" s="170"/>
      <c r="G3" s="171" t="s">
        <v>9</v>
      </c>
      <c r="H3" s="171"/>
      <c r="I3" s="135" t="s">
        <v>63</v>
      </c>
      <c r="J3" s="135"/>
      <c r="K3" s="135" t="s">
        <v>64</v>
      </c>
      <c r="L3" s="135"/>
      <c r="M3" s="175" t="s">
        <v>358</v>
      </c>
      <c r="N3" s="171"/>
      <c r="O3" s="172" t="s">
        <v>11</v>
      </c>
      <c r="P3" s="172"/>
      <c r="Q3" s="164" t="s">
        <v>12</v>
      </c>
      <c r="R3" s="165" t="s">
        <v>13</v>
      </c>
      <c r="S3" s="164" t="s">
        <v>12</v>
      </c>
      <c r="T3" s="169" t="s">
        <v>14</v>
      </c>
      <c r="U3" s="134"/>
    </row>
    <row r="4" spans="1:21" ht="34.799999999999997" x14ac:dyDescent="0.25">
      <c r="A4" s="165"/>
      <c r="B4" s="164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6" t="s">
        <v>12</v>
      </c>
      <c r="L4" s="132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164"/>
      <c r="R4" s="165"/>
      <c r="S4" s="164"/>
      <c r="T4" s="169"/>
      <c r="U4" s="134"/>
    </row>
    <row r="5" spans="1:21" ht="86.4" x14ac:dyDescent="0.25">
      <c r="A5" s="102" t="s">
        <v>295</v>
      </c>
      <c r="B5" s="100" t="s">
        <v>218</v>
      </c>
      <c r="C5" s="132" t="s">
        <v>67</v>
      </c>
      <c r="D5" s="111">
        <v>49.2</v>
      </c>
      <c r="E5" s="111"/>
      <c r="F5" s="111"/>
      <c r="G5" s="132" t="s">
        <v>71</v>
      </c>
      <c r="H5" s="111">
        <v>43.5</v>
      </c>
      <c r="I5" s="111"/>
      <c r="J5" s="111"/>
      <c r="K5" s="132" t="s">
        <v>71</v>
      </c>
      <c r="L5" s="101">
        <v>16.8</v>
      </c>
      <c r="M5" s="101"/>
      <c r="N5" s="101"/>
      <c r="O5" s="100" t="s">
        <v>20</v>
      </c>
      <c r="P5" s="111">
        <v>109.4</v>
      </c>
      <c r="Q5" s="100" t="s">
        <v>30</v>
      </c>
      <c r="R5" s="101">
        <v>62.8</v>
      </c>
      <c r="S5" s="100" t="s">
        <v>20</v>
      </c>
      <c r="T5" s="101">
        <v>25.1</v>
      </c>
      <c r="U5" s="132" t="s">
        <v>68</v>
      </c>
    </row>
    <row r="6" spans="1:21" ht="86.4" x14ac:dyDescent="0.25">
      <c r="A6" s="102" t="s">
        <v>297</v>
      </c>
      <c r="B6" s="132" t="s">
        <v>298</v>
      </c>
      <c r="C6" s="132" t="s">
        <v>67</v>
      </c>
      <c r="D6" s="101">
        <v>30.9</v>
      </c>
      <c r="E6" s="101"/>
      <c r="F6" s="101"/>
      <c r="G6" s="132" t="s">
        <v>71</v>
      </c>
      <c r="H6" s="101">
        <v>68.099999999999994</v>
      </c>
      <c r="I6" s="101"/>
      <c r="J6" s="101"/>
      <c r="K6" s="132" t="s">
        <v>71</v>
      </c>
      <c r="L6" s="111">
        <v>27.4</v>
      </c>
      <c r="M6" s="111"/>
      <c r="N6" s="111"/>
      <c r="O6" s="100" t="s">
        <v>20</v>
      </c>
      <c r="P6" s="111">
        <v>126.4</v>
      </c>
      <c r="Q6" s="100" t="s">
        <v>30</v>
      </c>
      <c r="R6" s="101">
        <v>89.1</v>
      </c>
      <c r="S6" s="100" t="s">
        <v>20</v>
      </c>
      <c r="T6" s="101">
        <v>22.7</v>
      </c>
      <c r="U6" s="132" t="s">
        <v>68</v>
      </c>
    </row>
    <row r="7" spans="1:21" ht="86.4" x14ac:dyDescent="0.25">
      <c r="A7" s="102" t="s">
        <v>301</v>
      </c>
      <c r="B7" s="100" t="s">
        <v>302</v>
      </c>
      <c r="C7" s="132" t="s">
        <v>67</v>
      </c>
      <c r="D7" s="101">
        <v>17.399999999999999</v>
      </c>
      <c r="E7" s="101"/>
      <c r="F7" s="101"/>
      <c r="G7" s="132" t="s">
        <v>71</v>
      </c>
      <c r="H7" s="111">
        <v>48.7</v>
      </c>
      <c r="I7" s="111"/>
      <c r="J7" s="111"/>
      <c r="K7" s="132" t="s">
        <v>71</v>
      </c>
      <c r="L7" s="101">
        <v>16</v>
      </c>
      <c r="M7" s="101"/>
      <c r="N7" s="101"/>
      <c r="O7" s="100" t="s">
        <v>20</v>
      </c>
      <c r="P7" s="101">
        <v>82.2</v>
      </c>
      <c r="Q7" s="100" t="s">
        <v>30</v>
      </c>
      <c r="R7" s="101">
        <v>29.7</v>
      </c>
      <c r="S7" s="100" t="s">
        <v>20</v>
      </c>
      <c r="T7" s="101">
        <v>19.8</v>
      </c>
      <c r="U7" s="132" t="s">
        <v>68</v>
      </c>
    </row>
    <row r="8" spans="1:21" ht="86.4" x14ac:dyDescent="0.25">
      <c r="A8" s="102" t="s">
        <v>305</v>
      </c>
      <c r="B8" s="100" t="s">
        <v>218</v>
      </c>
      <c r="C8" s="132" t="s">
        <v>67</v>
      </c>
      <c r="D8" s="101">
        <v>52.9</v>
      </c>
      <c r="E8" s="101"/>
      <c r="F8" s="101"/>
      <c r="G8" s="132" t="s">
        <v>71</v>
      </c>
      <c r="H8" s="111">
        <v>43.2</v>
      </c>
      <c r="I8" s="111"/>
      <c r="J8" s="111"/>
      <c r="K8" s="132" t="s">
        <v>71</v>
      </c>
      <c r="L8" s="101">
        <v>12.5</v>
      </c>
      <c r="M8" s="101"/>
      <c r="N8" s="101"/>
      <c r="O8" s="100" t="s">
        <v>20</v>
      </c>
      <c r="P8" s="111">
        <v>108.7</v>
      </c>
      <c r="Q8" s="100" t="s">
        <v>30</v>
      </c>
      <c r="R8" s="111">
        <v>64.599999999999994</v>
      </c>
      <c r="S8" s="100" t="s">
        <v>20</v>
      </c>
      <c r="T8" s="101">
        <v>25.1</v>
      </c>
      <c r="U8" s="132" t="s">
        <v>68</v>
      </c>
    </row>
    <row r="9" spans="1:21" ht="86.4" x14ac:dyDescent="0.25">
      <c r="A9" s="102" t="s">
        <v>307</v>
      </c>
      <c r="B9" s="100" t="s">
        <v>218</v>
      </c>
      <c r="C9" s="132" t="s">
        <v>67</v>
      </c>
      <c r="D9" s="101">
        <v>84.1</v>
      </c>
      <c r="E9" s="101"/>
      <c r="F9" s="101"/>
      <c r="G9" s="132" t="s">
        <v>71</v>
      </c>
      <c r="H9" s="101">
        <v>11.3</v>
      </c>
      <c r="I9" s="101"/>
      <c r="J9" s="101"/>
      <c r="K9" s="132" t="s">
        <v>71</v>
      </c>
      <c r="L9" s="101">
        <v>15.3</v>
      </c>
      <c r="M9" s="101"/>
      <c r="N9" s="101"/>
      <c r="O9" s="100" t="s">
        <v>20</v>
      </c>
      <c r="P9" s="111">
        <v>110.8</v>
      </c>
      <c r="Q9" s="100" t="s">
        <v>30</v>
      </c>
      <c r="R9" s="101">
        <v>69.5</v>
      </c>
      <c r="S9" s="100" t="s">
        <v>20</v>
      </c>
      <c r="T9" s="111">
        <v>24.8</v>
      </c>
      <c r="U9" s="132" t="s">
        <v>68</v>
      </c>
    </row>
    <row r="10" spans="1:21" ht="86.4" x14ac:dyDescent="0.25">
      <c r="A10" s="102" t="s">
        <v>309</v>
      </c>
      <c r="B10" s="100" t="s">
        <v>218</v>
      </c>
      <c r="C10" s="132" t="s">
        <v>67</v>
      </c>
      <c r="D10" s="101">
        <v>55.7</v>
      </c>
      <c r="E10" s="101"/>
      <c r="F10" s="101"/>
      <c r="G10" s="132" t="s">
        <v>71</v>
      </c>
      <c r="H10" s="101">
        <v>35.5</v>
      </c>
      <c r="I10" s="101"/>
      <c r="J10" s="101"/>
      <c r="K10" s="132" t="s">
        <v>71</v>
      </c>
      <c r="L10" s="101">
        <v>18.8</v>
      </c>
      <c r="M10" s="101"/>
      <c r="N10" s="101"/>
      <c r="O10" s="100" t="s">
        <v>20</v>
      </c>
      <c r="P10" s="111">
        <v>110</v>
      </c>
      <c r="Q10" s="100" t="s">
        <v>30</v>
      </c>
      <c r="R10" s="111">
        <v>65.400000000000006</v>
      </c>
      <c r="S10" s="100" t="s">
        <v>20</v>
      </c>
      <c r="T10" s="101">
        <v>25.2</v>
      </c>
      <c r="U10" s="132" t="s">
        <v>68</v>
      </c>
    </row>
    <row r="11" spans="1:21" ht="86.4" x14ac:dyDescent="0.25">
      <c r="A11" s="102" t="s">
        <v>311</v>
      </c>
      <c r="B11" s="100" t="s">
        <v>218</v>
      </c>
      <c r="C11" s="132" t="s">
        <v>67</v>
      </c>
      <c r="D11" s="101">
        <v>55.3</v>
      </c>
      <c r="E11" s="101"/>
      <c r="F11" s="101"/>
      <c r="G11" s="132" t="s">
        <v>71</v>
      </c>
      <c r="H11" s="101">
        <v>36.700000000000003</v>
      </c>
      <c r="I11" s="101"/>
      <c r="J11" s="101"/>
      <c r="K11" s="132" t="s">
        <v>71</v>
      </c>
      <c r="L11" s="101">
        <v>15.3</v>
      </c>
      <c r="M11" s="101"/>
      <c r="N11" s="101"/>
      <c r="O11" s="100" t="s">
        <v>20</v>
      </c>
      <c r="P11" s="111">
        <v>107.3</v>
      </c>
      <c r="Q11" s="100" t="s">
        <v>30</v>
      </c>
      <c r="R11" s="101">
        <v>63.7</v>
      </c>
      <c r="S11" s="100" t="s">
        <v>20</v>
      </c>
      <c r="T11" s="101">
        <v>32.6</v>
      </c>
      <c r="U11" s="132" t="s">
        <v>68</v>
      </c>
    </row>
    <row r="12" spans="1:21" ht="86.4" x14ac:dyDescent="0.25">
      <c r="A12" s="102" t="s">
        <v>313</v>
      </c>
      <c r="B12" s="100" t="s">
        <v>218</v>
      </c>
      <c r="C12" s="132" t="s">
        <v>67</v>
      </c>
      <c r="D12" s="101">
        <v>88.8</v>
      </c>
      <c r="E12" s="101"/>
      <c r="F12" s="101"/>
      <c r="G12" s="132" t="s">
        <v>71</v>
      </c>
      <c r="H12" s="101">
        <v>14.9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103.7</v>
      </c>
      <c r="Q12" s="100" t="s">
        <v>30</v>
      </c>
      <c r="R12" s="111">
        <v>123.1</v>
      </c>
      <c r="S12" s="100" t="s">
        <v>20</v>
      </c>
      <c r="T12" s="101">
        <v>33.299999999999997</v>
      </c>
      <c r="U12" s="132" t="s">
        <v>68</v>
      </c>
    </row>
    <row r="13" spans="1:21" ht="86.4" x14ac:dyDescent="0.25">
      <c r="A13" s="102" t="s">
        <v>315</v>
      </c>
      <c r="B13" s="100" t="s">
        <v>81</v>
      </c>
      <c r="C13" s="132" t="s">
        <v>94</v>
      </c>
      <c r="D13" s="101">
        <v>7.1</v>
      </c>
      <c r="E13" s="101"/>
      <c r="F13" s="101"/>
      <c r="G13" s="102" t="s">
        <v>19</v>
      </c>
      <c r="H13" s="101">
        <v>0</v>
      </c>
      <c r="I13" s="101"/>
      <c r="J13" s="101"/>
      <c r="K13" s="132" t="s">
        <v>74</v>
      </c>
      <c r="L13" s="101">
        <v>27.1</v>
      </c>
      <c r="M13" s="101"/>
      <c r="N13" s="101"/>
      <c r="O13" s="100" t="s">
        <v>20</v>
      </c>
      <c r="P13" s="111">
        <v>34.200000000000003</v>
      </c>
      <c r="Q13" s="132" t="s">
        <v>21</v>
      </c>
      <c r="R13" s="101">
        <v>5.4</v>
      </c>
      <c r="S13" s="100" t="s">
        <v>20</v>
      </c>
      <c r="T13" s="101">
        <v>8.1999999999999993</v>
      </c>
      <c r="U13" s="132" t="s">
        <v>68</v>
      </c>
    </row>
    <row r="14" spans="1:21" ht="86.4" x14ac:dyDescent="0.25">
      <c r="A14" s="102" t="s">
        <v>296</v>
      </c>
      <c r="B14" s="100" t="s">
        <v>228</v>
      </c>
      <c r="C14" s="132" t="s">
        <v>94</v>
      </c>
      <c r="D14" s="111">
        <v>49.2</v>
      </c>
      <c r="E14" s="111"/>
      <c r="F14" s="111"/>
      <c r="G14" s="102" t="s">
        <v>19</v>
      </c>
      <c r="H14" s="101">
        <v>0</v>
      </c>
      <c r="I14" s="101"/>
      <c r="J14" s="101"/>
      <c r="K14" s="132" t="s">
        <v>74</v>
      </c>
      <c r="L14" s="101">
        <v>29.9</v>
      </c>
      <c r="M14" s="101"/>
      <c r="N14" s="101"/>
      <c r="O14" s="100" t="s">
        <v>20</v>
      </c>
      <c r="P14" s="101">
        <v>79.099999999999994</v>
      </c>
      <c r="Q14" s="132" t="s">
        <v>21</v>
      </c>
      <c r="R14" s="101">
        <v>15.8</v>
      </c>
      <c r="S14" s="100" t="s">
        <v>20</v>
      </c>
      <c r="T14" s="111">
        <v>20.2</v>
      </c>
      <c r="U14" s="132" t="s">
        <v>68</v>
      </c>
    </row>
    <row r="15" spans="1:21" ht="129.6" x14ac:dyDescent="0.25">
      <c r="A15" s="102" t="s">
        <v>299</v>
      </c>
      <c r="B15" s="132" t="s">
        <v>300</v>
      </c>
      <c r="C15" s="132" t="s">
        <v>67</v>
      </c>
      <c r="D15" s="111">
        <v>316.89999999999998</v>
      </c>
      <c r="E15" s="111"/>
      <c r="F15" s="111"/>
      <c r="G15" s="132" t="s">
        <v>71</v>
      </c>
      <c r="H15" s="111">
        <v>124.2</v>
      </c>
      <c r="I15" s="111"/>
      <c r="J15" s="111"/>
      <c r="K15" s="132" t="s">
        <v>71</v>
      </c>
      <c r="L15" s="101">
        <v>26.1</v>
      </c>
      <c r="M15" s="101"/>
      <c r="N15" s="101"/>
      <c r="O15" s="100" t="s">
        <v>20</v>
      </c>
      <c r="P15" s="111">
        <v>467.2</v>
      </c>
      <c r="Q15" s="132" t="s">
        <v>21</v>
      </c>
      <c r="R15" s="111">
        <v>256.89999999999998</v>
      </c>
      <c r="S15" s="100" t="s">
        <v>20</v>
      </c>
      <c r="T15" s="111">
        <v>80.400000000000006</v>
      </c>
      <c r="U15" s="132" t="s">
        <v>68</v>
      </c>
    </row>
    <row r="16" spans="1:21" ht="86.4" x14ac:dyDescent="0.25">
      <c r="A16" s="102" t="s">
        <v>303</v>
      </c>
      <c r="B16" s="102" t="s">
        <v>304</v>
      </c>
      <c r="C16" s="132" t="s">
        <v>67</v>
      </c>
      <c r="D16" s="101">
        <v>78.7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78.7</v>
      </c>
      <c r="Q16" s="100" t="s">
        <v>30</v>
      </c>
      <c r="R16" s="101">
        <v>13.3</v>
      </c>
      <c r="S16" s="100" t="s">
        <v>20</v>
      </c>
      <c r="T16" s="111">
        <v>13.8</v>
      </c>
      <c r="U16" s="132" t="s">
        <v>68</v>
      </c>
    </row>
    <row r="17" spans="1:21" ht="86.4" x14ac:dyDescent="0.25">
      <c r="A17" s="102" t="s">
        <v>306</v>
      </c>
      <c r="B17" s="100" t="s">
        <v>98</v>
      </c>
      <c r="C17" s="132" t="s">
        <v>94</v>
      </c>
      <c r="D17" s="101">
        <v>13.6</v>
      </c>
      <c r="E17" s="101"/>
      <c r="F17" s="101"/>
      <c r="G17" s="132" t="s">
        <v>74</v>
      </c>
      <c r="H17" s="101">
        <v>16.3</v>
      </c>
      <c r="I17" s="101"/>
      <c r="J17" s="101"/>
      <c r="K17" s="132" t="s">
        <v>74</v>
      </c>
      <c r="L17" s="101">
        <v>6.7</v>
      </c>
      <c r="M17" s="101"/>
      <c r="N17" s="101"/>
      <c r="O17" s="100" t="s">
        <v>20</v>
      </c>
      <c r="P17" s="111">
        <v>36.6</v>
      </c>
      <c r="Q17" s="132" t="s">
        <v>21</v>
      </c>
      <c r="R17" s="101">
        <v>5.4</v>
      </c>
      <c r="S17" s="100" t="s">
        <v>20</v>
      </c>
      <c r="T17" s="101">
        <v>8.9</v>
      </c>
      <c r="U17" s="132" t="s">
        <v>68</v>
      </c>
    </row>
    <row r="18" spans="1:21" ht="86.4" x14ac:dyDescent="0.25">
      <c r="A18" s="102" t="s">
        <v>308</v>
      </c>
      <c r="B18" s="100" t="s">
        <v>102</v>
      </c>
      <c r="C18" s="132" t="s">
        <v>94</v>
      </c>
      <c r="D18" s="101">
        <v>16</v>
      </c>
      <c r="E18" s="101"/>
      <c r="F18" s="101"/>
      <c r="G18" s="132" t="s">
        <v>74</v>
      </c>
      <c r="H18" s="101">
        <v>15</v>
      </c>
      <c r="I18" s="101"/>
      <c r="J18" s="101"/>
      <c r="K18" s="132" t="s">
        <v>74</v>
      </c>
      <c r="L18" s="101">
        <v>30</v>
      </c>
      <c r="M18" s="101"/>
      <c r="N18" s="101"/>
      <c r="O18" s="100" t="s">
        <v>20</v>
      </c>
      <c r="P18" s="101">
        <v>61</v>
      </c>
      <c r="Q18" s="132" t="s">
        <v>21</v>
      </c>
      <c r="R18" s="101">
        <v>11.9</v>
      </c>
      <c r="S18" s="100" t="s">
        <v>20</v>
      </c>
      <c r="T18" s="111">
        <v>15</v>
      </c>
      <c r="U18" s="132" t="s">
        <v>68</v>
      </c>
    </row>
    <row r="19" spans="1:21" ht="86.4" x14ac:dyDescent="0.25">
      <c r="A19" s="102" t="s">
        <v>310</v>
      </c>
      <c r="B19" s="100" t="s">
        <v>254</v>
      </c>
      <c r="C19" s="132" t="s">
        <v>67</v>
      </c>
      <c r="D19" s="101">
        <v>31.8</v>
      </c>
      <c r="E19" s="101"/>
      <c r="F19" s="101"/>
      <c r="G19" s="132" t="s">
        <v>71</v>
      </c>
      <c r="H19" s="101">
        <v>16.2</v>
      </c>
      <c r="I19" s="101"/>
      <c r="J19" s="101"/>
      <c r="K19" s="132" t="s">
        <v>71</v>
      </c>
      <c r="L19" s="101">
        <v>1.2</v>
      </c>
      <c r="M19" s="101"/>
      <c r="N19" s="101"/>
      <c r="O19" s="100" t="s">
        <v>20</v>
      </c>
      <c r="P19" s="101">
        <v>49.1</v>
      </c>
      <c r="Q19" s="100" t="s">
        <v>30</v>
      </c>
      <c r="R19" s="101">
        <v>25.8</v>
      </c>
      <c r="S19" s="100" t="s">
        <v>20</v>
      </c>
      <c r="T19" s="111">
        <v>14.5</v>
      </c>
      <c r="U19" s="132" t="s">
        <v>68</v>
      </c>
    </row>
    <row r="20" spans="1:21" ht="86.4" x14ac:dyDescent="0.25">
      <c r="A20" s="102" t="s">
        <v>312</v>
      </c>
      <c r="B20" s="100" t="s">
        <v>126</v>
      </c>
      <c r="C20" s="132" t="s">
        <v>67</v>
      </c>
      <c r="D20" s="111">
        <v>78.400000000000006</v>
      </c>
      <c r="E20" s="111"/>
      <c r="F20" s="111"/>
      <c r="G20" s="102" t="s">
        <v>19</v>
      </c>
      <c r="H20" s="101">
        <v>0</v>
      </c>
      <c r="I20" s="101"/>
      <c r="J20" s="101"/>
      <c r="K20" s="102" t="s">
        <v>19</v>
      </c>
      <c r="L20" s="101">
        <v>0</v>
      </c>
      <c r="M20" s="101"/>
      <c r="N20" s="101"/>
      <c r="O20" s="100" t="s">
        <v>20</v>
      </c>
      <c r="P20" s="111">
        <v>78.400000000000006</v>
      </c>
      <c r="Q20" s="132" t="s">
        <v>21</v>
      </c>
      <c r="R20" s="111">
        <v>45</v>
      </c>
      <c r="S20" s="100" t="s">
        <v>20</v>
      </c>
      <c r="T20" s="101">
        <v>17.100000000000001</v>
      </c>
      <c r="U20" s="132" t="s">
        <v>68</v>
      </c>
    </row>
    <row r="21" spans="1:21" ht="86.4" x14ac:dyDescent="0.25">
      <c r="A21" s="102" t="s">
        <v>314</v>
      </c>
      <c r="B21" s="102" t="s">
        <v>265</v>
      </c>
      <c r="C21" s="132" t="s">
        <v>67</v>
      </c>
      <c r="D21" s="101">
        <v>94.1</v>
      </c>
      <c r="E21" s="101"/>
      <c r="F21" s="101"/>
      <c r="G21" s="132" t="s">
        <v>71</v>
      </c>
      <c r="H21" s="111">
        <v>54.2</v>
      </c>
      <c r="I21" s="111"/>
      <c r="J21" s="111"/>
      <c r="K21" s="132" t="s">
        <v>71</v>
      </c>
      <c r="L21" s="101">
        <v>8.8000000000000007</v>
      </c>
      <c r="M21" s="101"/>
      <c r="N21" s="101"/>
      <c r="O21" s="100" t="s">
        <v>20</v>
      </c>
      <c r="P21" s="111">
        <v>157.1</v>
      </c>
      <c r="Q21" s="132" t="s">
        <v>21</v>
      </c>
      <c r="R21" s="111">
        <v>207</v>
      </c>
      <c r="S21" s="100" t="s">
        <v>20</v>
      </c>
      <c r="T21" s="111">
        <v>34.200000000000003</v>
      </c>
      <c r="U21" s="132" t="s">
        <v>68</v>
      </c>
    </row>
    <row r="22" spans="1:21" ht="86.4" x14ac:dyDescent="0.25">
      <c r="A22" s="102" t="s">
        <v>316</v>
      </c>
      <c r="B22" s="102" t="s">
        <v>32</v>
      </c>
      <c r="C22" s="132" t="s">
        <v>67</v>
      </c>
      <c r="D22" s="111">
        <v>150.9</v>
      </c>
      <c r="E22" s="111"/>
      <c r="F22" s="111"/>
      <c r="G22" s="132" t="s">
        <v>71</v>
      </c>
      <c r="H22" s="111">
        <v>117.1</v>
      </c>
      <c r="I22" s="111"/>
      <c r="J22" s="111"/>
      <c r="K22" s="132" t="s">
        <v>71</v>
      </c>
      <c r="L22" s="101">
        <v>2.2000000000000002</v>
      </c>
      <c r="M22" s="101"/>
      <c r="N22" s="101"/>
      <c r="O22" s="100" t="s">
        <v>20</v>
      </c>
      <c r="P22" s="111">
        <v>270.2</v>
      </c>
      <c r="Q22" s="132" t="s">
        <v>21</v>
      </c>
      <c r="R22" s="111">
        <v>218.4</v>
      </c>
      <c r="S22" s="100" t="s">
        <v>20</v>
      </c>
      <c r="T22" s="111">
        <v>52.4</v>
      </c>
      <c r="U22" s="132" t="s">
        <v>68</v>
      </c>
    </row>
    <row r="23" spans="1:21" ht="115.2" x14ac:dyDescent="0.25">
      <c r="A23" s="60" t="s">
        <v>318</v>
      </c>
      <c r="B23" s="38" t="s">
        <v>187</v>
      </c>
      <c r="C23" s="3" t="s">
        <v>337</v>
      </c>
      <c r="D23" s="61">
        <v>27.9</v>
      </c>
      <c r="E23" s="61"/>
      <c r="F23" s="61"/>
      <c r="G23" s="3" t="s">
        <v>337</v>
      </c>
      <c r="H23" s="90">
        <v>15.1</v>
      </c>
      <c r="I23" s="90"/>
      <c r="J23" s="90"/>
      <c r="K23" s="3" t="s">
        <v>337</v>
      </c>
      <c r="L23" s="39">
        <v>33.700000000000003</v>
      </c>
      <c r="M23" s="141"/>
      <c r="N23" s="40"/>
      <c r="O23" s="44" t="s">
        <v>20</v>
      </c>
      <c r="P23" s="42">
        <v>76.8</v>
      </c>
      <c r="Q23" s="93" t="s">
        <v>178</v>
      </c>
      <c r="R23" s="61">
        <v>21.6</v>
      </c>
      <c r="S23" s="38" t="s">
        <v>20</v>
      </c>
      <c r="T23" s="39">
        <v>18.100000000000001</v>
      </c>
      <c r="U23" s="41" t="s">
        <v>19</v>
      </c>
    </row>
    <row r="24" spans="1:21" ht="115.2" x14ac:dyDescent="0.25">
      <c r="A24" s="124" t="s">
        <v>320</v>
      </c>
      <c r="B24" s="124" t="s">
        <v>194</v>
      </c>
      <c r="C24" s="3" t="s">
        <v>337</v>
      </c>
      <c r="D24" s="126">
        <v>27.8</v>
      </c>
      <c r="E24" s="126"/>
      <c r="F24" s="126"/>
      <c r="G24" s="124" t="s">
        <v>19</v>
      </c>
      <c r="H24" s="126">
        <v>0</v>
      </c>
      <c r="I24" s="126"/>
      <c r="J24" s="126"/>
      <c r="K24" s="136" t="s">
        <v>321</v>
      </c>
      <c r="L24" s="62">
        <v>34.200000000000003</v>
      </c>
      <c r="M24" s="142"/>
      <c r="N24" s="63"/>
      <c r="O24" s="93" t="s">
        <v>20</v>
      </c>
      <c r="P24" s="62">
        <v>62</v>
      </c>
      <c r="Q24" s="93" t="s">
        <v>178</v>
      </c>
      <c r="R24" s="126">
        <v>51.6</v>
      </c>
      <c r="S24" s="136" t="s">
        <v>20</v>
      </c>
      <c r="T24" s="62">
        <v>14.1</v>
      </c>
      <c r="U24" s="64" t="s">
        <v>19</v>
      </c>
    </row>
    <row r="25" spans="1:21" ht="115.2" x14ac:dyDescent="0.25">
      <c r="A25" s="60" t="s">
        <v>323</v>
      </c>
      <c r="B25" s="37" t="s">
        <v>189</v>
      </c>
      <c r="C25" s="3" t="s">
        <v>337</v>
      </c>
      <c r="D25" s="68">
        <v>0.1</v>
      </c>
      <c r="E25" s="68"/>
      <c r="F25" s="68"/>
      <c r="G25" s="3" t="s">
        <v>337</v>
      </c>
      <c r="H25" s="90">
        <v>5</v>
      </c>
      <c r="I25" s="90"/>
      <c r="J25" s="90"/>
      <c r="K25" s="3" t="s">
        <v>337</v>
      </c>
      <c r="L25" s="42">
        <v>34.4</v>
      </c>
      <c r="M25" s="143"/>
      <c r="N25" s="43"/>
      <c r="O25" s="44" t="s">
        <v>20</v>
      </c>
      <c r="P25" s="42">
        <v>39.5</v>
      </c>
      <c r="Q25" s="44" t="s">
        <v>178</v>
      </c>
      <c r="R25" s="68">
        <v>6.7</v>
      </c>
      <c r="S25" s="38" t="s">
        <v>20</v>
      </c>
      <c r="T25" s="39">
        <v>9</v>
      </c>
      <c r="U25" s="93" t="s">
        <v>324</v>
      </c>
    </row>
    <row r="26" spans="1:21" ht="115.2" x14ac:dyDescent="0.3">
      <c r="A26" s="69" t="s">
        <v>326</v>
      </c>
      <c r="B26" s="46" t="s">
        <v>192</v>
      </c>
      <c r="C26" s="3" t="s">
        <v>337</v>
      </c>
      <c r="D26" s="70">
        <v>8.5</v>
      </c>
      <c r="E26" s="70"/>
      <c r="F26" s="70"/>
      <c r="G26" s="71" t="s">
        <v>19</v>
      </c>
      <c r="H26" s="72">
        <v>0</v>
      </c>
      <c r="I26" s="72"/>
      <c r="J26" s="72"/>
      <c r="K26" s="3" t="s">
        <v>337</v>
      </c>
      <c r="L26" s="73">
        <v>78.5</v>
      </c>
      <c r="M26" s="144"/>
      <c r="N26" s="74"/>
      <c r="O26" s="47" t="s">
        <v>20</v>
      </c>
      <c r="P26" s="75">
        <v>87</v>
      </c>
      <c r="Q26" s="93" t="s">
        <v>178</v>
      </c>
      <c r="R26" s="76">
        <v>29.6</v>
      </c>
      <c r="S26" s="46" t="s">
        <v>20</v>
      </c>
      <c r="T26" s="75">
        <v>21.7</v>
      </c>
      <c r="U26" s="93" t="s">
        <v>327</v>
      </c>
    </row>
    <row r="27" spans="1:21" ht="115.2" x14ac:dyDescent="0.25">
      <c r="A27" s="60" t="s">
        <v>329</v>
      </c>
      <c r="B27" s="136" t="s">
        <v>330</v>
      </c>
      <c r="C27" s="3" t="s">
        <v>337</v>
      </c>
      <c r="D27" s="61">
        <v>56.3</v>
      </c>
      <c r="E27" s="61"/>
      <c r="F27" s="61"/>
      <c r="G27" s="3" t="s">
        <v>337</v>
      </c>
      <c r="H27" s="90">
        <v>59.7</v>
      </c>
      <c r="I27" s="90"/>
      <c r="J27" s="90"/>
      <c r="K27" s="3" t="s">
        <v>337</v>
      </c>
      <c r="L27" s="39">
        <v>9.1</v>
      </c>
      <c r="M27" s="141"/>
      <c r="N27" s="40"/>
      <c r="O27" s="44" t="s">
        <v>20</v>
      </c>
      <c r="P27" s="42">
        <v>125.1</v>
      </c>
      <c r="Q27" s="93" t="s">
        <v>178</v>
      </c>
      <c r="R27" s="61">
        <v>78.3</v>
      </c>
      <c r="S27" s="38" t="s">
        <v>20</v>
      </c>
      <c r="T27" s="42">
        <v>35.6</v>
      </c>
      <c r="U27" s="41" t="s">
        <v>19</v>
      </c>
    </row>
    <row r="28" spans="1:21" ht="115.2" x14ac:dyDescent="0.25">
      <c r="A28" s="57" t="s">
        <v>332</v>
      </c>
      <c r="B28" s="136" t="s">
        <v>333</v>
      </c>
      <c r="C28" s="127" t="s">
        <v>17</v>
      </c>
      <c r="D28" s="65">
        <v>33.799999999999997</v>
      </c>
      <c r="E28" s="65"/>
      <c r="F28" s="65"/>
      <c r="G28" s="127" t="s">
        <v>18</v>
      </c>
      <c r="H28" s="126">
        <v>4.8</v>
      </c>
      <c r="I28" s="126"/>
      <c r="J28" s="126"/>
      <c r="K28" s="127" t="s">
        <v>18</v>
      </c>
      <c r="L28" s="66">
        <v>2.6</v>
      </c>
      <c r="M28" s="145"/>
      <c r="N28" s="67"/>
      <c r="O28" s="93" t="s">
        <v>20</v>
      </c>
      <c r="P28" s="66">
        <v>41.2</v>
      </c>
      <c r="Q28" s="93" t="s">
        <v>178</v>
      </c>
      <c r="R28" s="77">
        <v>6.9</v>
      </c>
      <c r="S28" s="136" t="s">
        <v>20</v>
      </c>
      <c r="T28" s="62">
        <v>10</v>
      </c>
      <c r="U28" s="64" t="s">
        <v>19</v>
      </c>
    </row>
    <row r="29" spans="1:21" ht="115.2" x14ac:dyDescent="0.25">
      <c r="A29" s="7" t="s">
        <v>335</v>
      </c>
      <c r="B29" s="3" t="s">
        <v>336</v>
      </c>
      <c r="C29" s="3" t="s">
        <v>337</v>
      </c>
      <c r="D29" s="9">
        <v>44.1</v>
      </c>
      <c r="E29" s="10" t="s">
        <v>19</v>
      </c>
      <c r="F29" s="9">
        <v>0</v>
      </c>
      <c r="G29" s="3" t="s">
        <v>338</v>
      </c>
      <c r="H29" s="9">
        <v>64.400000000000006</v>
      </c>
      <c r="I29" s="9"/>
      <c r="J29" s="9"/>
      <c r="K29" s="3" t="s">
        <v>338</v>
      </c>
      <c r="L29" s="9">
        <v>5.7</v>
      </c>
      <c r="M29" s="9"/>
      <c r="N29" s="9"/>
      <c r="O29" s="8" t="s">
        <v>20</v>
      </c>
      <c r="P29" s="9">
        <v>114.2</v>
      </c>
      <c r="Q29" s="8" t="s">
        <v>339</v>
      </c>
      <c r="R29" s="9">
        <v>77.8</v>
      </c>
      <c r="S29" s="8" t="s">
        <v>20</v>
      </c>
      <c r="T29" s="9">
        <v>31.9</v>
      </c>
      <c r="U29" s="10" t="s">
        <v>19</v>
      </c>
    </row>
    <row r="30" spans="1:21" ht="86.4" x14ac:dyDescent="0.25">
      <c r="A30" s="7" t="s">
        <v>340</v>
      </c>
      <c r="B30" s="8" t="s">
        <v>341</v>
      </c>
      <c r="C30" s="3" t="s">
        <v>342</v>
      </c>
      <c r="D30" s="9">
        <v>9.1</v>
      </c>
      <c r="E30" s="10" t="s">
        <v>19</v>
      </c>
      <c r="F30" s="9">
        <v>0</v>
      </c>
      <c r="G30" s="3" t="s">
        <v>343</v>
      </c>
      <c r="H30" s="9">
        <v>16.399999999999999</v>
      </c>
      <c r="I30" s="9"/>
      <c r="J30" s="9"/>
      <c r="K30" s="3" t="s">
        <v>343</v>
      </c>
      <c r="L30" s="9">
        <v>13.6</v>
      </c>
      <c r="M30" s="9"/>
      <c r="N30" s="9"/>
      <c r="O30" s="8" t="s">
        <v>20</v>
      </c>
      <c r="P30" s="9">
        <v>39.1</v>
      </c>
      <c r="Q30" s="8" t="s">
        <v>339</v>
      </c>
      <c r="R30" s="9">
        <v>6</v>
      </c>
      <c r="S30" s="8" t="s">
        <v>20</v>
      </c>
      <c r="T30" s="9">
        <v>9.4</v>
      </c>
      <c r="U30" s="3" t="s">
        <v>68</v>
      </c>
    </row>
    <row r="31" spans="1:21" ht="86.4" x14ac:dyDescent="0.25">
      <c r="A31" s="7" t="s">
        <v>344</v>
      </c>
      <c r="B31" s="8" t="s">
        <v>345</v>
      </c>
      <c r="C31" s="3" t="s">
        <v>342</v>
      </c>
      <c r="D31" s="9">
        <v>24.8</v>
      </c>
      <c r="E31" s="10" t="s">
        <v>19</v>
      </c>
      <c r="F31" s="9">
        <v>0</v>
      </c>
      <c r="G31" s="10" t="s">
        <v>19</v>
      </c>
      <c r="H31" s="9">
        <v>0</v>
      </c>
      <c r="I31" s="9"/>
      <c r="J31" s="9"/>
      <c r="K31" s="3" t="s">
        <v>343</v>
      </c>
      <c r="L31" s="9">
        <v>13.6</v>
      </c>
      <c r="M31" s="9"/>
      <c r="N31" s="9"/>
      <c r="O31" s="8" t="s">
        <v>20</v>
      </c>
      <c r="P31" s="9">
        <v>38.5</v>
      </c>
      <c r="Q31" s="8" t="s">
        <v>339</v>
      </c>
      <c r="R31" s="9">
        <v>6.1</v>
      </c>
      <c r="S31" s="8" t="s">
        <v>20</v>
      </c>
      <c r="T31" s="9">
        <v>9.5</v>
      </c>
      <c r="U31" s="3" t="s">
        <v>68</v>
      </c>
    </row>
    <row r="32" spans="1:21" ht="187.2" x14ac:dyDescent="0.25">
      <c r="A32" s="7" t="s">
        <v>346</v>
      </c>
      <c r="B32" s="8" t="s">
        <v>209</v>
      </c>
      <c r="C32" s="3" t="s">
        <v>337</v>
      </c>
      <c r="D32" s="9">
        <v>103.5</v>
      </c>
      <c r="E32" s="10" t="s">
        <v>19</v>
      </c>
      <c r="F32" s="9">
        <v>0</v>
      </c>
      <c r="G32" s="10" t="s">
        <v>19</v>
      </c>
      <c r="H32" s="9">
        <v>0</v>
      </c>
      <c r="I32" s="9"/>
      <c r="J32" s="9"/>
      <c r="K32" s="10" t="s">
        <v>19</v>
      </c>
      <c r="L32" s="9">
        <v>0</v>
      </c>
      <c r="M32" s="9"/>
      <c r="N32" s="9"/>
      <c r="O32" s="8" t="s">
        <v>20</v>
      </c>
      <c r="P32" s="9">
        <v>103.5</v>
      </c>
      <c r="Q32" s="3" t="s">
        <v>347</v>
      </c>
      <c r="R32" s="9">
        <v>32.1</v>
      </c>
      <c r="S32" s="8" t="s">
        <v>20</v>
      </c>
      <c r="T32" s="9">
        <v>28.7</v>
      </c>
      <c r="U32" s="10" t="s">
        <v>19</v>
      </c>
    </row>
    <row r="33" spans="1:21" ht="115.2" x14ac:dyDescent="0.25">
      <c r="A33" s="7" t="s">
        <v>348</v>
      </c>
      <c r="B33" s="8" t="s">
        <v>254</v>
      </c>
      <c r="C33" s="3" t="s">
        <v>337</v>
      </c>
      <c r="D33" s="9">
        <v>19.3</v>
      </c>
      <c r="E33" s="10" t="s">
        <v>19</v>
      </c>
      <c r="F33" s="9">
        <v>0</v>
      </c>
      <c r="G33" s="3" t="s">
        <v>338</v>
      </c>
      <c r="H33" s="9">
        <v>4.5999999999999996</v>
      </c>
      <c r="I33" s="9"/>
      <c r="J33" s="9"/>
      <c r="K33" s="3" t="s">
        <v>338</v>
      </c>
      <c r="L33" s="9">
        <v>13.1</v>
      </c>
      <c r="M33" s="9"/>
      <c r="N33" s="9"/>
      <c r="O33" s="8" t="s">
        <v>20</v>
      </c>
      <c r="P33" s="9">
        <v>37</v>
      </c>
      <c r="Q33" s="8" t="s">
        <v>339</v>
      </c>
      <c r="R33" s="9">
        <v>5.9</v>
      </c>
      <c r="S33" s="8" t="s">
        <v>20</v>
      </c>
      <c r="T33" s="9">
        <v>7.9</v>
      </c>
      <c r="U33" s="10" t="s">
        <v>19</v>
      </c>
    </row>
    <row r="34" spans="1:21" ht="129.6" x14ac:dyDescent="0.25">
      <c r="A34" s="7" t="s">
        <v>349</v>
      </c>
      <c r="B34" s="8" t="s">
        <v>102</v>
      </c>
      <c r="C34" s="3" t="s">
        <v>342</v>
      </c>
      <c r="D34" s="9">
        <v>10.9</v>
      </c>
      <c r="E34" s="3" t="s">
        <v>343</v>
      </c>
      <c r="F34" s="9">
        <v>5.2</v>
      </c>
      <c r="G34" s="3" t="s">
        <v>343</v>
      </c>
      <c r="H34" s="9">
        <v>12.8</v>
      </c>
      <c r="I34" s="9"/>
      <c r="J34" s="9"/>
      <c r="K34" s="3" t="s">
        <v>343</v>
      </c>
      <c r="L34" s="9">
        <v>11.5</v>
      </c>
      <c r="M34" s="9"/>
      <c r="N34" s="9"/>
      <c r="O34" s="8" t="s">
        <v>20</v>
      </c>
      <c r="P34" s="9">
        <v>40.4</v>
      </c>
      <c r="Q34" s="8" t="s">
        <v>339</v>
      </c>
      <c r="R34" s="9">
        <v>6.3</v>
      </c>
      <c r="S34" s="8" t="s">
        <v>20</v>
      </c>
      <c r="T34" s="9">
        <v>9.8000000000000007</v>
      </c>
      <c r="U34" s="3" t="s">
        <v>68</v>
      </c>
    </row>
    <row r="35" spans="1:21" ht="172.8" x14ac:dyDescent="0.25">
      <c r="A35" s="7" t="s">
        <v>350</v>
      </c>
      <c r="B35" s="10" t="s">
        <v>32</v>
      </c>
      <c r="C35" s="3" t="s">
        <v>337</v>
      </c>
      <c r="D35" s="9">
        <v>40.799999999999997</v>
      </c>
      <c r="E35" s="3" t="s">
        <v>338</v>
      </c>
      <c r="F35" s="9">
        <v>3.7</v>
      </c>
      <c r="G35" s="3" t="s">
        <v>338</v>
      </c>
      <c r="H35" s="9">
        <v>43.9</v>
      </c>
      <c r="I35" s="9"/>
      <c r="J35" s="9"/>
      <c r="K35" s="3" t="s">
        <v>338</v>
      </c>
      <c r="L35" s="9">
        <v>4.9000000000000004</v>
      </c>
      <c r="M35" s="9"/>
      <c r="N35" s="9"/>
      <c r="O35" s="8" t="s">
        <v>20</v>
      </c>
      <c r="P35" s="9">
        <v>93.3</v>
      </c>
      <c r="Q35" s="8" t="s">
        <v>339</v>
      </c>
      <c r="R35" s="9">
        <v>38.700000000000003</v>
      </c>
      <c r="S35" s="8" t="s">
        <v>20</v>
      </c>
      <c r="T35" s="9">
        <v>16.899999999999999</v>
      </c>
      <c r="U35" s="10" t="s">
        <v>19</v>
      </c>
    </row>
    <row r="36" spans="1:21" ht="115.2" x14ac:dyDescent="0.25">
      <c r="A36" s="7" t="s">
        <v>351</v>
      </c>
      <c r="B36" s="10" t="s">
        <v>32</v>
      </c>
      <c r="C36" s="3" t="s">
        <v>337</v>
      </c>
      <c r="D36" s="9">
        <v>58</v>
      </c>
      <c r="E36" s="10" t="s">
        <v>19</v>
      </c>
      <c r="F36" s="9">
        <v>0</v>
      </c>
      <c r="G36" s="3" t="s">
        <v>338</v>
      </c>
      <c r="H36" s="9">
        <v>115.9</v>
      </c>
      <c r="I36" s="9"/>
      <c r="J36" s="9"/>
      <c r="K36" s="3" t="s">
        <v>338</v>
      </c>
      <c r="L36" s="9">
        <v>7</v>
      </c>
      <c r="M36" s="9"/>
      <c r="N36" s="9"/>
      <c r="O36" s="8" t="s">
        <v>20</v>
      </c>
      <c r="P36" s="9">
        <v>180.9</v>
      </c>
      <c r="Q36" s="8" t="s">
        <v>339</v>
      </c>
      <c r="R36" s="9">
        <v>62.9</v>
      </c>
      <c r="S36" s="8" t="s">
        <v>20</v>
      </c>
      <c r="T36" s="9">
        <v>40.1</v>
      </c>
      <c r="U36" s="10" t="s">
        <v>19</v>
      </c>
    </row>
    <row r="37" spans="1:21" ht="187.2" x14ac:dyDescent="0.25">
      <c r="A37" s="7" t="s">
        <v>352</v>
      </c>
      <c r="B37" s="8" t="s">
        <v>212</v>
      </c>
      <c r="C37" s="3" t="s">
        <v>337</v>
      </c>
      <c r="D37" s="9">
        <v>83.5</v>
      </c>
      <c r="E37" s="10" t="s">
        <v>19</v>
      </c>
      <c r="F37" s="9">
        <v>0</v>
      </c>
      <c r="G37" s="10" t="s">
        <v>19</v>
      </c>
      <c r="H37" s="9">
        <v>0</v>
      </c>
      <c r="I37" s="9"/>
      <c r="J37" s="9"/>
      <c r="K37" s="10" t="s">
        <v>19</v>
      </c>
      <c r="L37" s="9">
        <v>0</v>
      </c>
      <c r="M37" s="9"/>
      <c r="N37" s="9"/>
      <c r="O37" s="8" t="s">
        <v>20</v>
      </c>
      <c r="P37" s="9">
        <v>83.5</v>
      </c>
      <c r="Q37" s="3" t="s">
        <v>347</v>
      </c>
      <c r="R37" s="9">
        <v>28</v>
      </c>
      <c r="S37" s="8" t="s">
        <v>20</v>
      </c>
      <c r="T37" s="9">
        <v>20.399999999999999</v>
      </c>
      <c r="U37" s="10" t="s">
        <v>19</v>
      </c>
    </row>
    <row r="38" spans="1:21" ht="86.4" x14ac:dyDescent="0.25">
      <c r="A38" s="128" t="s">
        <v>353</v>
      </c>
      <c r="B38" s="128" t="s">
        <v>32</v>
      </c>
      <c r="C38" s="129" t="s">
        <v>354</v>
      </c>
      <c r="D38" s="130">
        <v>17.7</v>
      </c>
      <c r="E38" s="128" t="s">
        <v>19</v>
      </c>
      <c r="F38" s="130">
        <v>0</v>
      </c>
      <c r="G38" s="129" t="s">
        <v>355</v>
      </c>
      <c r="H38" s="130">
        <v>31.5</v>
      </c>
      <c r="I38" s="121"/>
      <c r="J38" s="121"/>
      <c r="K38" s="128" t="s">
        <v>19</v>
      </c>
      <c r="L38" s="130">
        <v>0</v>
      </c>
      <c r="M38" s="121"/>
      <c r="N38" s="121"/>
      <c r="O38" s="131" t="s">
        <v>20</v>
      </c>
      <c r="P38" s="130">
        <v>49.2</v>
      </c>
      <c r="Q38" s="129" t="s">
        <v>356</v>
      </c>
      <c r="R38" s="130">
        <v>21.8</v>
      </c>
      <c r="S38" s="131" t="s">
        <v>20</v>
      </c>
      <c r="T38" s="130">
        <v>9.4</v>
      </c>
      <c r="U38" s="129" t="s">
        <v>68</v>
      </c>
    </row>
    <row r="39" spans="1:21" ht="86.4" x14ac:dyDescent="0.25">
      <c r="A39" s="128" t="s">
        <v>357</v>
      </c>
      <c r="B39" s="128" t="s">
        <v>265</v>
      </c>
      <c r="C39" s="129" t="s">
        <v>354</v>
      </c>
      <c r="D39" s="130">
        <v>51.7</v>
      </c>
      <c r="E39" s="128" t="s">
        <v>19</v>
      </c>
      <c r="F39" s="130">
        <v>0</v>
      </c>
      <c r="G39" s="129" t="s">
        <v>355</v>
      </c>
      <c r="H39" s="130">
        <v>37.6</v>
      </c>
      <c r="I39" s="121"/>
      <c r="J39" s="121"/>
      <c r="K39" s="129" t="s">
        <v>355</v>
      </c>
      <c r="L39" s="130">
        <v>24.6</v>
      </c>
      <c r="M39" s="122"/>
      <c r="N39" s="122"/>
      <c r="O39" s="131" t="s">
        <v>20</v>
      </c>
      <c r="P39" s="130">
        <v>113.8</v>
      </c>
      <c r="Q39" s="129" t="s">
        <v>356</v>
      </c>
      <c r="R39" s="130">
        <v>87.4</v>
      </c>
      <c r="S39" s="131" t="s">
        <v>20</v>
      </c>
      <c r="T39" s="130">
        <v>32.700000000000003</v>
      </c>
      <c r="U39" s="129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186" t="s">
        <v>371</v>
      </c>
      <c r="B1" s="187"/>
      <c r="C1" s="188"/>
    </row>
    <row r="2" spans="1:4" ht="16.8" customHeight="1" x14ac:dyDescent="0.25">
      <c r="A2" s="146" t="s">
        <v>368</v>
      </c>
      <c r="B2" s="147" t="s">
        <v>372</v>
      </c>
      <c r="C2" s="148" t="s">
        <v>373</v>
      </c>
      <c r="D2" s="148" t="s">
        <v>375</v>
      </c>
    </row>
    <row r="3" spans="1:4" ht="16.8" customHeight="1" x14ac:dyDescent="0.25">
      <c r="A3" s="146">
        <v>1</v>
      </c>
      <c r="B3" s="149" t="s">
        <v>378</v>
      </c>
      <c r="C3" s="148">
        <v>18.5</v>
      </c>
      <c r="D3" s="148" t="s">
        <v>377</v>
      </c>
    </row>
    <row r="4" spans="1:4" ht="16.8" customHeight="1" x14ac:dyDescent="0.25">
      <c r="A4" s="146">
        <v>2</v>
      </c>
      <c r="B4" s="149" t="s">
        <v>379</v>
      </c>
      <c r="C4" s="148">
        <v>30</v>
      </c>
      <c r="D4" s="148" t="s">
        <v>377</v>
      </c>
    </row>
    <row r="5" spans="1:4" ht="16.8" customHeight="1" x14ac:dyDescent="0.25">
      <c r="A5" s="146">
        <v>3</v>
      </c>
      <c r="B5" s="149" t="s">
        <v>380</v>
      </c>
      <c r="C5" s="148">
        <v>9.5</v>
      </c>
      <c r="D5" s="148" t="s">
        <v>377</v>
      </c>
    </row>
    <row r="6" spans="1:4" ht="16.8" customHeight="1" x14ac:dyDescent="0.25">
      <c r="A6" s="146">
        <v>4</v>
      </c>
      <c r="B6" s="149" t="s">
        <v>381</v>
      </c>
      <c r="C6" s="148">
        <v>9.5</v>
      </c>
      <c r="D6" s="148" t="s">
        <v>377</v>
      </c>
    </row>
    <row r="7" spans="1:4" ht="16.8" customHeight="1" x14ac:dyDescent="0.25">
      <c r="A7" s="146">
        <v>5</v>
      </c>
      <c r="B7" s="149" t="s">
        <v>376</v>
      </c>
      <c r="C7" s="148">
        <v>80.2</v>
      </c>
      <c r="D7" s="148" t="s">
        <v>377</v>
      </c>
    </row>
    <row r="8" spans="1:4" ht="16.8" customHeight="1" x14ac:dyDescent="0.25">
      <c r="A8" s="146">
        <v>6</v>
      </c>
      <c r="B8" s="149" t="s">
        <v>382</v>
      </c>
      <c r="C8" s="148">
        <v>15.2</v>
      </c>
      <c r="D8" s="148" t="s">
        <v>377</v>
      </c>
    </row>
    <row r="9" spans="1:4" ht="16.8" customHeight="1" x14ac:dyDescent="0.25">
      <c r="A9" s="146">
        <v>7</v>
      </c>
      <c r="B9" s="149" t="s">
        <v>383</v>
      </c>
      <c r="C9" s="148">
        <v>15.2</v>
      </c>
      <c r="D9" s="148" t="s">
        <v>377</v>
      </c>
    </row>
    <row r="10" spans="1:4" ht="16.8" customHeight="1" x14ac:dyDescent="0.25">
      <c r="A10" s="146">
        <v>8</v>
      </c>
      <c r="B10" s="149" t="s">
        <v>384</v>
      </c>
      <c r="C10" s="148">
        <v>15</v>
      </c>
      <c r="D10" s="148" t="s">
        <v>377</v>
      </c>
    </row>
    <row r="11" spans="1:4" ht="16.8" customHeight="1" x14ac:dyDescent="0.25">
      <c r="A11" s="146">
        <v>9</v>
      </c>
      <c r="B11" s="149" t="s">
        <v>385</v>
      </c>
      <c r="C11" s="148">
        <v>15</v>
      </c>
      <c r="D11" s="148" t="s">
        <v>377</v>
      </c>
    </row>
    <row r="12" spans="1:4" ht="18" x14ac:dyDescent="0.25">
      <c r="A12" s="146"/>
      <c r="B12" s="150" t="s">
        <v>374</v>
      </c>
      <c r="C12" s="148">
        <f>SUM(C3:C11)</f>
        <v>208.09999999999997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6.2леса</vt:lpstr>
      <vt:lpstr>-1эт</vt:lpstr>
      <vt:lpstr>1эт</vt:lpstr>
      <vt:lpstr>2эт</vt:lpstr>
      <vt:lpstr>3эт</vt:lpstr>
      <vt:lpstr>1.2п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2025-11-27T09:06:46Z</dcterms:created>
  <dcterms:modified xsi:type="dcterms:W3CDTF">2026-09-22T09:11:01Z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2025-11-27T00:00:00Z</vt:filetime>
  </property>
  <property fmtid="{D5CDD505-2E9C-101B-9397-08002B2CF9AE}" pid="3" name="LastSaved">
    <vt:filetime>2025-11-27T00:00:00Z</vt:filetime>
  </property>
</Properties>
</file>