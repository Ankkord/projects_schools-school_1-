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Linux\Documents\schools\kronshtatsky\walls\"/>
    </mc:Choice>
  </mc:AlternateContent>
  <bookViews>
    <workbookView xWindow="120" yWindow="12" windowWidth="12096" windowHeight="6348" tabRatio="766" firstSheet="34" activeTab="39"/>
  </bookViews>
  <sheets>
    <sheet name="Table 1" sheetId="1" state="hidden" r:id="rId1"/>
    <sheet name="Table 2" sheetId="2" state="hidden" r:id="rId2"/>
    <sheet name="Table 3" sheetId="3" state="hidden" r:id="rId3"/>
    <sheet name="Table 4" sheetId="4" state="hidden" r:id="rId4"/>
    <sheet name="Table 5" sheetId="5" state="hidden" r:id="rId5"/>
    <sheet name="Table 6" sheetId="6" state="hidden" r:id="rId6"/>
    <sheet name="Table 7" sheetId="7" state="hidden" r:id="rId7"/>
    <sheet name="Table 8" sheetId="8" state="hidden" r:id="rId8"/>
    <sheet name="Table 9" sheetId="9" state="hidden" r:id="rId9"/>
    <sheet name="Table 10" sheetId="10" state="hidden" r:id="rId10"/>
    <sheet name="Table 11" sheetId="11" state="hidden" r:id="rId11"/>
    <sheet name="Table 12" sheetId="12" state="hidden" r:id="rId12"/>
    <sheet name="Table 13" sheetId="13" state="hidden" r:id="rId13"/>
    <sheet name="Table 14" sheetId="14" state="hidden" r:id="rId14"/>
    <sheet name="Table 15" sheetId="15" r:id="rId15"/>
    <sheet name="Table 16" sheetId="16" r:id="rId16"/>
    <sheet name="Table 17" sheetId="17" r:id="rId17"/>
    <sheet name="-1эт" sheetId="18" state="hidden" r:id="rId18"/>
    <sheet name="1эт" sheetId="19" state="hidden" r:id="rId19"/>
    <sheet name="2эт" sheetId="20" state="hidden" r:id="rId20"/>
    <sheet name="3эт" sheetId="21" state="hidden" r:id="rId21"/>
    <sheet name="-1этСтен" sheetId="22" r:id="rId22"/>
    <sheet name="1этСтен" sheetId="23" r:id="rId23"/>
    <sheet name="2этСтен" sheetId="24" r:id="rId24"/>
    <sheet name="3этСтен" sheetId="25" r:id="rId25"/>
    <sheet name="Типы стен" sheetId="26" r:id="rId26"/>
    <sheet name="Из КП" sheetId="27" r:id="rId27"/>
    <sheet name="1.1-Ст" sheetId="28" state="hidden" r:id="rId28"/>
    <sheet name="1.1п" sheetId="30" state="hidden" r:id="rId29"/>
    <sheet name="1.2-Ст" sheetId="32" state="hidden" r:id="rId30"/>
    <sheet name="1.2п" sheetId="31" state="hidden" r:id="rId31"/>
    <sheet name="1.3-Ст" sheetId="33" state="hidden" r:id="rId32"/>
    <sheet name="1.3п" sheetId="35" state="hidden" r:id="rId33"/>
    <sheet name="1.4-Ст" sheetId="34" state="hidden" r:id="rId34"/>
    <sheet name="2.1-Ст" sheetId="39" r:id="rId35"/>
    <sheet name="2.1п" sheetId="36" r:id="rId36"/>
    <sheet name="2.2-Ст" sheetId="40" r:id="rId37"/>
    <sheet name="2.2п" sheetId="37" r:id="rId38"/>
    <sheet name="2.3-Ст" sheetId="41" r:id="rId39"/>
    <sheet name="2.3п" sheetId="38" r:id="rId40"/>
    <sheet name="3.1-Ст" sheetId="45" r:id="rId41"/>
    <sheet name="3.1п" sheetId="42" r:id="rId42"/>
    <sheet name="3.2-Ст" sheetId="46" r:id="rId43"/>
    <sheet name="3.2п" sheetId="44" r:id="rId44"/>
    <sheet name="3.3п" sheetId="43" r:id="rId45"/>
  </sheets>
  <calcPr calcId="152511"/>
</workbook>
</file>

<file path=xl/calcChain.xml><?xml version="1.0" encoding="utf-8"?>
<calcChain xmlns="http://schemas.openxmlformats.org/spreadsheetml/2006/main">
  <c r="D3" i="45" l="1"/>
  <c r="D3" i="46"/>
  <c r="D6" i="44"/>
  <c r="D44" i="43"/>
  <c r="D80" i="42"/>
  <c r="D3" i="40"/>
  <c r="D3" i="41"/>
  <c r="D3" i="39"/>
  <c r="D21" i="38" l="1"/>
  <c r="D13" i="37"/>
  <c r="D51" i="36"/>
  <c r="I3" i="27" l="1"/>
  <c r="E3" i="32" l="1"/>
  <c r="E3" i="33"/>
  <c r="E3" i="34"/>
  <c r="C12" i="30"/>
  <c r="E3" i="28" s="1"/>
  <c r="C12" i="35"/>
  <c r="C12" i="31" l="1"/>
  <c r="K7" i="27" l="1"/>
  <c r="K6" i="27"/>
  <c r="I6" i="27"/>
  <c r="I5" i="27"/>
  <c r="I2" i="27"/>
  <c r="I7" i="27"/>
  <c r="E21" i="23" l="1"/>
  <c r="E13" i="23"/>
  <c r="E10" i="23"/>
  <c r="E9" i="24"/>
  <c r="E11" i="24"/>
  <c r="E12" i="24"/>
  <c r="E15" i="24"/>
  <c r="E20" i="24"/>
  <c r="E23" i="24"/>
  <c r="E26" i="24"/>
  <c r="E28" i="24"/>
  <c r="E33" i="24"/>
  <c r="E36" i="24"/>
  <c r="E39" i="24"/>
  <c r="E41" i="24"/>
  <c r="E42" i="24"/>
  <c r="E43" i="24"/>
  <c r="E44" i="24"/>
  <c r="E47" i="24"/>
  <c r="E50" i="24"/>
  <c r="E52" i="24"/>
  <c r="E57" i="24"/>
  <c r="E59" i="24"/>
  <c r="E60" i="24"/>
  <c r="E51" i="24"/>
  <c r="E35" i="24"/>
  <c r="E27" i="24"/>
  <c r="E24" i="24"/>
  <c r="E19" i="24"/>
  <c r="E16" i="24"/>
  <c r="E8" i="24"/>
  <c r="E6" i="24"/>
  <c r="E5" i="24"/>
  <c r="E7" i="24"/>
  <c r="E10" i="24"/>
  <c r="E13" i="24"/>
  <c r="E14" i="24"/>
  <c r="E17" i="24"/>
  <c r="E18" i="24"/>
  <c r="E21" i="24"/>
  <c r="E22" i="24"/>
  <c r="E25" i="24"/>
  <c r="E29" i="24"/>
  <c r="E30" i="24"/>
  <c r="E31" i="24"/>
  <c r="E32" i="24"/>
  <c r="E34" i="24"/>
  <c r="E37" i="24"/>
  <c r="E38" i="24"/>
  <c r="E40" i="24"/>
  <c r="E45" i="24"/>
  <c r="E46" i="24"/>
  <c r="E48" i="24"/>
  <c r="E49" i="24"/>
  <c r="E53" i="24"/>
  <c r="E54" i="24"/>
  <c r="E55" i="24"/>
  <c r="E56" i="24"/>
  <c r="E58" i="24"/>
  <c r="E61" i="24"/>
  <c r="E6" i="23"/>
  <c r="E7" i="23"/>
  <c r="E8" i="23"/>
  <c r="E9" i="23"/>
  <c r="E11" i="23"/>
  <c r="E12" i="23"/>
  <c r="E14" i="23"/>
  <c r="E15" i="23"/>
  <c r="E16" i="23"/>
  <c r="E17" i="23"/>
  <c r="E18" i="23"/>
  <c r="E19" i="23"/>
  <c r="E20" i="23"/>
  <c r="E22" i="23"/>
  <c r="E23" i="23"/>
  <c r="E24" i="23"/>
  <c r="E25" i="23"/>
  <c r="E26" i="23"/>
  <c r="E27" i="23"/>
  <c r="E28" i="23"/>
  <c r="E29" i="23"/>
  <c r="E30" i="23"/>
  <c r="E31" i="23"/>
  <c r="E32" i="23"/>
  <c r="E33" i="23"/>
  <c r="E34" i="23"/>
  <c r="E35" i="23"/>
  <c r="E36" i="23"/>
  <c r="E37" i="23"/>
  <c r="E38" i="23"/>
  <c r="E39" i="23"/>
  <c r="E40" i="23"/>
  <c r="E41" i="23"/>
  <c r="E42" i="23"/>
  <c r="E43" i="23"/>
  <c r="E44" i="23"/>
  <c r="E45" i="23"/>
  <c r="E46" i="23"/>
  <c r="E47" i="23"/>
  <c r="E48" i="23"/>
  <c r="E49" i="23"/>
  <c r="E50" i="23"/>
  <c r="E51" i="23"/>
  <c r="E52" i="23"/>
  <c r="E53" i="23"/>
  <c r="E54" i="23"/>
  <c r="E55" i="23"/>
  <c r="E56" i="23"/>
  <c r="E57" i="23"/>
  <c r="E58" i="23"/>
  <c r="E59" i="23"/>
  <c r="E60" i="23"/>
  <c r="E61" i="23"/>
  <c r="E62" i="23"/>
  <c r="E63" i="23"/>
  <c r="E64" i="23"/>
  <c r="E65" i="23"/>
  <c r="E66" i="23"/>
  <c r="E67" i="23"/>
  <c r="E68" i="23"/>
  <c r="E69" i="23"/>
  <c r="E70" i="23"/>
  <c r="E71" i="23"/>
  <c r="E72" i="23"/>
  <c r="E73" i="23"/>
  <c r="E74" i="23"/>
  <c r="E75" i="23"/>
  <c r="E76" i="23"/>
  <c r="E77" i="23"/>
  <c r="E78" i="23"/>
  <c r="E79" i="23"/>
  <c r="E80" i="23"/>
  <c r="E81" i="23"/>
  <c r="E82" i="23"/>
  <c r="E83" i="23"/>
  <c r="E84" i="23"/>
  <c r="E85" i="23"/>
  <c r="E5" i="23"/>
  <c r="E5" i="22"/>
  <c r="E6" i="22"/>
  <c r="E7" i="22"/>
  <c r="E8" i="22"/>
  <c r="E9" i="22"/>
  <c r="E10" i="22"/>
  <c r="E11" i="22"/>
  <c r="E12" i="22"/>
  <c r="E13" i="22"/>
  <c r="E14" i="22"/>
  <c r="E15" i="22"/>
  <c r="E16" i="22"/>
  <c r="E17" i="22"/>
  <c r="E18" i="22"/>
  <c r="E19" i="22"/>
  <c r="E20" i="22"/>
  <c r="E21" i="22"/>
  <c r="E22" i="22"/>
  <c r="E23" i="22"/>
  <c r="E24" i="22"/>
  <c r="E25" i="22"/>
  <c r="E26" i="22"/>
  <c r="E27" i="22"/>
  <c r="E28" i="22"/>
  <c r="E29" i="22"/>
  <c r="E30" i="22"/>
  <c r="E31" i="22"/>
  <c r="E4" i="22"/>
</calcChain>
</file>

<file path=xl/sharedStrings.xml><?xml version="1.0" encoding="utf-8"?>
<sst xmlns="http://schemas.openxmlformats.org/spreadsheetml/2006/main" count="5340" uniqueCount="703">
  <si>
    <r>
      <rPr>
        <i/>
        <sz val="15.5"/>
        <rFont val="ISOCPEUR"/>
        <family val="2"/>
      </rPr>
      <t>Ведомость</t>
    </r>
    <r>
      <rPr>
        <sz val="15.5"/>
        <rFont val="Times New Roman"/>
        <family val="1"/>
      </rPr>
      <t xml:space="preserve">  </t>
    </r>
    <r>
      <rPr>
        <i/>
        <sz val="15.5"/>
        <rFont val="ISOCPEUR"/>
        <family val="2"/>
      </rPr>
      <t>отделки</t>
    </r>
    <r>
      <rPr>
        <sz val="15.5"/>
        <rFont val="Times New Roman"/>
        <family val="1"/>
      </rPr>
      <t xml:space="preserve">  </t>
    </r>
    <r>
      <rPr>
        <i/>
        <sz val="15.5"/>
        <rFont val="ISOCPEUR"/>
        <family val="2"/>
      </rPr>
      <t>помещений</t>
    </r>
    <r>
      <rPr>
        <sz val="15.5"/>
        <rFont val="Times New Roman"/>
        <family val="1"/>
      </rPr>
      <t xml:space="preserve">  </t>
    </r>
    <r>
      <rPr>
        <i/>
        <sz val="15.5"/>
        <rFont val="ISOCPEUR"/>
        <family val="2"/>
      </rPr>
      <t>подвала</t>
    </r>
  </si>
  <si>
    <r>
      <rPr>
        <i/>
        <sz val="13"/>
        <rFont val="ISOCPEUR"/>
        <family val="2"/>
      </rPr>
      <t>Ном</t>
    </r>
    <r>
      <rPr>
        <sz val="13"/>
        <rFont val="Times New Roman"/>
        <family val="1"/>
      </rPr>
      <t xml:space="preserve"> </t>
    </r>
    <r>
      <rPr>
        <i/>
        <sz val="13"/>
        <rFont val="ISOCPEUR"/>
        <family val="2"/>
      </rPr>
      <t>ер</t>
    </r>
    <r>
      <rPr>
        <sz val="13"/>
        <rFont val="Times New Roman"/>
        <family val="1"/>
      </rPr>
      <t xml:space="preserve"> </t>
    </r>
    <r>
      <rPr>
        <i/>
        <sz val="13"/>
        <rFont val="ISOCPEUR"/>
        <family val="2"/>
      </rPr>
      <t>пом</t>
    </r>
    <r>
      <rPr>
        <sz val="13"/>
        <rFont val="Times New Roman"/>
        <family val="1"/>
      </rPr>
      <t xml:space="preserve"> </t>
    </r>
    <r>
      <rPr>
        <i/>
        <sz val="13"/>
        <rFont val="ISOCPEUR"/>
        <family val="2"/>
      </rPr>
      <t>еще</t>
    </r>
    <r>
      <rPr>
        <sz val="13"/>
        <rFont val="Times New Roman"/>
        <family val="1"/>
      </rPr>
      <t xml:space="preserve"> </t>
    </r>
    <r>
      <rPr>
        <i/>
        <sz val="13"/>
        <rFont val="ISOCPEUR"/>
        <family val="2"/>
      </rPr>
      <t>ния</t>
    </r>
  </si>
  <si>
    <r>
      <rPr>
        <i/>
        <sz val="13"/>
        <rFont val="ISOCPEUR"/>
        <family val="2"/>
      </rPr>
      <t>Наименование</t>
    </r>
    <r>
      <rPr>
        <sz val="13"/>
        <rFont val="Times New Roman"/>
        <family val="1"/>
      </rPr>
      <t xml:space="preserve"> </t>
    </r>
    <r>
      <rPr>
        <i/>
        <sz val="13"/>
        <rFont val="ISOCPEUR"/>
        <family val="2"/>
      </rPr>
      <t>помещения</t>
    </r>
  </si>
  <si>
    <r>
      <rPr>
        <i/>
        <sz val="13"/>
        <rFont val="ISOCPEUR"/>
        <family val="2"/>
      </rPr>
      <t>СТЕНЫ</t>
    </r>
    <r>
      <rPr>
        <sz val="13"/>
        <rFont val="Times New Roman"/>
        <family val="1"/>
      </rPr>
      <t xml:space="preserve">  </t>
    </r>
    <r>
      <rPr>
        <i/>
        <sz val="13"/>
        <rFont val="ISOCPEUR"/>
        <family val="2"/>
      </rPr>
      <t>ИЛИ</t>
    </r>
    <r>
      <rPr>
        <sz val="13"/>
        <rFont val="Times New Roman"/>
        <family val="1"/>
      </rPr>
      <t xml:space="preserve">  </t>
    </r>
    <r>
      <rPr>
        <i/>
        <sz val="13"/>
        <rFont val="ISOCPEUR"/>
        <family val="2"/>
      </rPr>
      <t>ПЕРЕГОРОДКИ</t>
    </r>
  </si>
  <si>
    <r>
      <rPr>
        <i/>
        <sz val="13"/>
        <rFont val="ISOCPEUR"/>
        <family val="2"/>
      </rPr>
      <t>Основной</t>
    </r>
    <r>
      <rPr>
        <sz val="13"/>
        <rFont val="Times New Roman"/>
        <family val="1"/>
      </rPr>
      <t xml:space="preserve">  </t>
    </r>
    <r>
      <rPr>
        <i/>
        <sz val="13"/>
        <rFont val="ISOCPEUR"/>
        <family val="2"/>
      </rPr>
      <t>тип</t>
    </r>
    <r>
      <rPr>
        <sz val="13"/>
        <rFont val="Times New Roman"/>
        <family val="1"/>
      </rPr>
      <t xml:space="preserve">  </t>
    </r>
    <r>
      <rPr>
        <i/>
        <sz val="13"/>
        <rFont val="ISOCPEUR"/>
        <family val="2"/>
      </rPr>
      <t>потолка</t>
    </r>
  </si>
  <si>
    <r>
      <rPr>
        <i/>
        <sz val="13"/>
        <rFont val="ISOCPEUR"/>
        <family val="2"/>
      </rPr>
      <t>ПЛИНТУС</t>
    </r>
  </si>
  <si>
    <r>
      <rPr>
        <i/>
        <sz val="13"/>
        <rFont val="ISOCPEUR"/>
        <family val="2"/>
      </rPr>
      <t>Примечание</t>
    </r>
  </si>
  <si>
    <r>
      <rPr>
        <i/>
        <sz val="13"/>
        <rFont val="ISOCPEUR"/>
        <family val="2"/>
      </rPr>
      <t>Железобетон</t>
    </r>
  </si>
  <si>
    <r>
      <rPr>
        <i/>
        <sz val="13"/>
        <rFont val="ISOCPEUR"/>
        <family val="2"/>
      </rPr>
      <t>Кирпич</t>
    </r>
  </si>
  <si>
    <r>
      <rPr>
        <i/>
        <sz val="13"/>
        <rFont val="ISOCPEUR"/>
        <family val="2"/>
      </rPr>
      <t>Газобетон</t>
    </r>
  </si>
  <si>
    <r>
      <rPr>
        <i/>
        <sz val="13"/>
        <rFont val="ISOCPEUR"/>
        <family val="2"/>
      </rPr>
      <t>Утеплитель</t>
    </r>
  </si>
  <si>
    <r>
      <rPr>
        <i/>
        <sz val="13"/>
        <rFont val="ISOCPEUR"/>
        <family val="2"/>
      </rPr>
      <t>Финишный</t>
    </r>
    <r>
      <rPr>
        <sz val="13"/>
        <rFont val="Times New Roman"/>
        <family val="1"/>
      </rPr>
      <t xml:space="preserve">  </t>
    </r>
    <r>
      <rPr>
        <i/>
        <sz val="13"/>
        <rFont val="ISOCPEUR"/>
        <family val="2"/>
      </rPr>
      <t>слой</t>
    </r>
  </si>
  <si>
    <r>
      <rPr>
        <i/>
        <sz val="13"/>
        <rFont val="ISOCPEUR"/>
        <family val="2"/>
      </rPr>
      <t>Вид</t>
    </r>
    <r>
      <rPr>
        <sz val="13"/>
        <rFont val="Times New Roman"/>
        <family val="1"/>
      </rPr>
      <t xml:space="preserve">  </t>
    </r>
    <r>
      <rPr>
        <i/>
        <sz val="13"/>
        <rFont val="ISOCPEUR"/>
        <family val="2"/>
      </rPr>
      <t>отделки</t>
    </r>
  </si>
  <si>
    <r>
      <rPr>
        <i/>
        <sz val="13"/>
        <rFont val="ISOCPEUR"/>
        <family val="2"/>
      </rPr>
      <t>Площадь,</t>
    </r>
    <r>
      <rPr>
        <sz val="13"/>
        <rFont val="Times New Roman"/>
        <family val="1"/>
      </rPr>
      <t xml:space="preserve"> </t>
    </r>
    <r>
      <rPr>
        <i/>
        <sz val="13"/>
        <rFont val="ISOCPEUR"/>
        <family val="2"/>
      </rPr>
      <t>м²</t>
    </r>
  </si>
  <si>
    <r>
      <rPr>
        <i/>
        <sz val="13"/>
        <rFont val="ISOCPEUR"/>
        <family val="2"/>
      </rPr>
      <t>м.п.</t>
    </r>
  </si>
  <si>
    <r>
      <rPr>
        <i/>
        <sz val="11"/>
        <rFont val="ISOCPEUR"/>
        <family val="2"/>
      </rPr>
      <t>0.01</t>
    </r>
  </si>
  <si>
    <r>
      <rPr>
        <i/>
        <sz val="11"/>
        <rFont val="ISOCPEUR"/>
        <family val="2"/>
      </rPr>
      <t>Лестничная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клетка
</t>
    </r>
    <r>
      <rPr>
        <i/>
        <sz val="11"/>
        <rFont val="ISOCPEUR"/>
        <family val="2"/>
      </rPr>
      <t>№1</t>
    </r>
  </si>
  <si>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"Бетоноконтакт";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штукатурка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цементно-песчаным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раствором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М100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(армированная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стекловолоконной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или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пластиковой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сеткой);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проникновения;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шпатлёвка;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проникновения
</t>
    </r>
    <r>
      <rPr>
        <i/>
        <sz val="11"/>
        <rFont val="ISOCPEUR"/>
        <family val="2"/>
      </rPr>
      <t>δ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=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25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мм</t>
    </r>
  </si>
  <si>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проникновения;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штукатурка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цементно-песчаным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раствором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М100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(армированная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стекловолоконной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или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пластиковой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сеткой);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проникновения;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шпатлёвка;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проникновения
</t>
    </r>
    <r>
      <rPr>
        <i/>
        <sz val="11"/>
        <rFont val="ISOCPEUR"/>
        <family val="2"/>
      </rPr>
      <t>δ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=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25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мм</t>
    </r>
  </si>
  <si>
    <r>
      <rPr>
        <i/>
        <sz val="11"/>
        <rFont val="ISOCPEUR"/>
        <family val="2"/>
      </rPr>
      <t>-</t>
    </r>
  </si>
  <si>
    <r>
      <rPr>
        <i/>
        <sz val="11"/>
        <rFont val="ISOCPEUR"/>
        <family val="2"/>
      </rPr>
      <t>см.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раздел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АИ</t>
    </r>
  </si>
  <si>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затирка;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"Бетоноконтакт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";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шпатлёвка;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проникновения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δ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=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5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мм</t>
    </r>
  </si>
  <si>
    <r>
      <rPr>
        <i/>
        <sz val="11"/>
        <rFont val="ISOCPEUR"/>
        <family val="2"/>
      </rPr>
      <t>0.08</t>
    </r>
  </si>
  <si>
    <r>
      <rPr>
        <i/>
        <sz val="11"/>
        <rFont val="ISOCPEUR"/>
        <family val="2"/>
      </rPr>
      <t>Помещение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CC1</t>
    </r>
  </si>
  <si>
    <r>
      <rPr>
        <i/>
        <sz val="11"/>
        <rFont val="ISOCPEUR"/>
        <family val="2"/>
      </rPr>
      <t>0.02</t>
    </r>
  </si>
  <si>
    <r>
      <rPr>
        <i/>
        <sz val="11"/>
        <rFont val="ISOCPEUR"/>
        <family val="2"/>
      </rPr>
      <t>Венткамера</t>
    </r>
  </si>
  <si>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штукатурка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цементно-песчаным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раствором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М100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(армированная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стекловолоконной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или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пластиковой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сеткой);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проникновения;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шпатлёвка;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проникновения
</t>
    </r>
    <r>
      <rPr>
        <i/>
        <sz val="11"/>
        <rFont val="ISOCPEUR"/>
        <family val="2"/>
      </rPr>
      <t>δ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=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25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мм</t>
    </r>
  </si>
  <si>
    <r>
      <rPr>
        <i/>
        <sz val="11"/>
        <rFont val="ISOCPEUR"/>
        <family val="2"/>
      </rPr>
      <t>0.09</t>
    </r>
  </si>
  <si>
    <r>
      <rPr>
        <i/>
        <sz val="11"/>
        <rFont val="ISOCPEUR"/>
        <family val="2"/>
      </rPr>
      <t>Помещение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для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прокладки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коммуникаций</t>
    </r>
  </si>
  <si>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обеспыливание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поверхности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ж/б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грунтовкой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проникновения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Политакс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88PU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2/50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(или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аналог)</t>
    </r>
  </si>
  <si>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обеспыливание</t>
    </r>
  </si>
  <si>
    <r>
      <rPr>
        <i/>
        <sz val="11"/>
        <rFont val="ISOCPEUR"/>
        <family val="2"/>
      </rPr>
      <t>0.03</t>
    </r>
  </si>
  <si>
    <r>
      <rPr>
        <i/>
        <sz val="11"/>
        <rFont val="ISOCPEUR"/>
        <family val="2"/>
      </rPr>
      <t>Коридор</t>
    </r>
  </si>
  <si>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пропитка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гидрофобизирующим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составом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BOSTIK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SMP;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проникновения;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штукатурка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цементно-песчаным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раствором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М100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(армированная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стекловолоконной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или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пластиковой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сеткой);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проникновения;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шпатлёвка;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проникновения
</t>
    </r>
    <r>
      <rPr>
        <i/>
        <sz val="11"/>
        <rFont val="ISOCPEUR"/>
        <family val="2"/>
      </rPr>
      <t>δ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=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25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мм</t>
    </r>
  </si>
  <si>
    <r>
      <rPr>
        <i/>
        <sz val="11"/>
        <rFont val="ISOCPEUR"/>
        <family val="2"/>
      </rPr>
      <t>0.10</t>
    </r>
  </si>
  <si>
    <r>
      <rPr>
        <i/>
        <sz val="11"/>
        <rFont val="ISOCPEUR"/>
        <family val="2"/>
      </rPr>
      <t>0.11</t>
    </r>
  </si>
  <si>
    <r>
      <rPr>
        <i/>
        <sz val="11"/>
        <rFont val="ISOCPEUR"/>
        <family val="2"/>
      </rPr>
      <t>0.04</t>
    </r>
  </si>
  <si>
    <r>
      <rPr>
        <i/>
        <sz val="11"/>
        <rFont val="ISOCPEUR"/>
        <family val="2"/>
      </rPr>
      <t>Насосная</t>
    </r>
  </si>
  <si>
    <r>
      <rPr>
        <i/>
        <sz val="11"/>
        <rFont val="ISOCPEUR"/>
        <family val="2"/>
      </rPr>
      <t>0.12</t>
    </r>
  </si>
  <si>
    <r>
      <rPr>
        <i/>
        <sz val="11"/>
        <rFont val="ISOCPEUR"/>
        <family val="2"/>
      </rPr>
      <t>Лестничная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клетка
</t>
    </r>
    <r>
      <rPr>
        <i/>
        <sz val="11"/>
        <rFont val="ISOCPEUR"/>
        <family val="2"/>
      </rPr>
      <t>№5</t>
    </r>
  </si>
  <si>
    <r>
      <rPr>
        <i/>
        <sz val="11"/>
        <rFont val="ISOCPEUR"/>
        <family val="2"/>
      </rPr>
      <t>0.05</t>
    </r>
  </si>
  <si>
    <r>
      <rPr>
        <i/>
        <sz val="11"/>
        <rFont val="ISOCPEUR"/>
        <family val="2"/>
      </rPr>
      <t>0.13</t>
    </r>
  </si>
  <si>
    <r>
      <rPr>
        <i/>
        <sz val="11"/>
        <rFont val="ISOCPEUR"/>
        <family val="2"/>
      </rPr>
      <t>0.06</t>
    </r>
  </si>
  <si>
    <r>
      <rPr>
        <i/>
        <sz val="11"/>
        <rFont val="ISOCPEUR"/>
        <family val="2"/>
      </rPr>
      <t>ИТП</t>
    </r>
  </si>
  <si>
    <r>
      <rPr>
        <i/>
        <sz val="11"/>
        <rFont val="ISOCPEUR"/>
        <family val="2"/>
      </rPr>
      <t>0.14</t>
    </r>
  </si>
  <si>
    <r>
      <rPr>
        <i/>
        <sz val="11"/>
        <rFont val="ISOCPEUR"/>
        <family val="2"/>
      </rPr>
      <t>0.07</t>
    </r>
  </si>
  <si>
    <r>
      <rPr>
        <i/>
        <sz val="11"/>
        <rFont val="ISOCPEUR"/>
        <family val="2"/>
      </rPr>
      <t>0.15</t>
    </r>
  </si>
  <si>
    <r>
      <rPr>
        <i/>
        <sz val="11"/>
        <rFont val="ISOCPEUR"/>
        <family val="2"/>
      </rPr>
      <t>Помещение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CC2</t>
    </r>
  </si>
  <si>
    <r>
      <rPr>
        <i/>
        <sz val="11"/>
        <rFont val="ISOCPEUR"/>
        <family val="2"/>
      </rPr>
      <t>0.23</t>
    </r>
  </si>
  <si>
    <r>
      <rPr>
        <i/>
        <sz val="11"/>
        <rFont val="ISOCPEUR"/>
        <family val="2"/>
      </rPr>
      <t>0.16</t>
    </r>
  </si>
  <si>
    <r>
      <rPr>
        <i/>
        <sz val="11"/>
        <rFont val="ISOCPEUR"/>
        <family val="2"/>
      </rPr>
      <t>Помещение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для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хранения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отработанных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ламп</t>
    </r>
  </si>
  <si>
    <r>
      <rPr>
        <i/>
        <sz val="11"/>
        <rFont val="ISOCPEUR"/>
        <family val="2"/>
      </rPr>
      <t>0.24</t>
    </r>
  </si>
  <si>
    <r>
      <rPr>
        <i/>
        <sz val="11"/>
        <rFont val="ISOCPEUR"/>
        <family val="2"/>
      </rPr>
      <t>0.17</t>
    </r>
  </si>
  <si>
    <r>
      <rPr>
        <i/>
        <sz val="11"/>
        <rFont val="ISOCPEUR"/>
        <family val="2"/>
      </rPr>
      <t>0.25</t>
    </r>
  </si>
  <si>
    <r>
      <rPr>
        <i/>
        <sz val="11"/>
        <rFont val="ISOCPEUR"/>
        <family val="2"/>
      </rPr>
      <t>0.18</t>
    </r>
  </si>
  <si>
    <r>
      <rPr>
        <i/>
        <sz val="11"/>
        <rFont val="ISOCPEUR"/>
        <family val="2"/>
      </rPr>
      <t>Лестничная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клетка
</t>
    </r>
    <r>
      <rPr>
        <i/>
        <sz val="11"/>
        <rFont val="ISOCPEUR"/>
        <family val="2"/>
      </rPr>
      <t>№6</t>
    </r>
  </si>
  <si>
    <r>
      <rPr>
        <i/>
        <sz val="11"/>
        <rFont val="ISOCPEUR"/>
        <family val="2"/>
      </rPr>
      <t>0.26</t>
    </r>
  </si>
  <si>
    <r>
      <rPr>
        <i/>
        <sz val="11"/>
        <rFont val="ISOCPEUR"/>
        <family val="2"/>
      </rPr>
      <t>0.19</t>
    </r>
  </si>
  <si>
    <r>
      <rPr>
        <i/>
        <sz val="11"/>
        <rFont val="ISOCPEUR"/>
        <family val="2"/>
      </rPr>
      <t>0.27</t>
    </r>
  </si>
  <si>
    <r>
      <rPr>
        <i/>
        <sz val="11"/>
        <rFont val="ISOCPEUR"/>
        <family val="2"/>
      </rPr>
      <t>0.20</t>
    </r>
  </si>
  <si>
    <r>
      <rPr>
        <i/>
        <sz val="11"/>
        <rFont val="ISOCPEUR"/>
        <family val="2"/>
      </rPr>
      <t>0.28</t>
    </r>
  </si>
  <si>
    <r>
      <rPr>
        <i/>
        <sz val="11"/>
        <rFont val="ISOCPEUR"/>
        <family val="2"/>
      </rPr>
      <t>0.21</t>
    </r>
  </si>
  <si>
    <r>
      <rPr>
        <i/>
        <sz val="11"/>
        <rFont val="ISOCPEUR"/>
        <family val="2"/>
      </rPr>
      <t>0.22</t>
    </r>
  </si>
  <si>
    <r>
      <rPr>
        <i/>
        <sz val="13"/>
        <rFont val="ISOCPEUR"/>
        <family val="2"/>
      </rPr>
      <t>ГСП</t>
    </r>
  </si>
  <si>
    <r>
      <rPr>
        <i/>
        <sz val="13"/>
        <rFont val="ISOCPEUR"/>
        <family val="2"/>
      </rPr>
      <t>ПГП</t>
    </r>
  </si>
  <si>
    <r>
      <rPr>
        <i/>
        <sz val="11"/>
        <rFont val="ISOCPEUR"/>
        <family val="2"/>
      </rPr>
      <t>1.01</t>
    </r>
  </si>
  <si>
    <r>
      <rPr>
        <i/>
        <sz val="11"/>
        <rFont val="ISOCPEUR"/>
        <family val="2"/>
      </rPr>
      <t>Тамбур</t>
    </r>
  </si>
  <si>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"Бетоноконтакт";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гипсовая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штукатурка;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проникновения;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шпатлёвка;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проникновения
</t>
    </r>
    <r>
      <rPr>
        <i/>
        <sz val="11"/>
        <rFont val="ISOCPEUR"/>
        <family val="2"/>
      </rPr>
      <t>δ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=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25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мм</t>
    </r>
  </si>
  <si>
    <r>
      <rPr>
        <i/>
        <sz val="11"/>
        <rFont val="ISOCPEUR"/>
        <family val="2"/>
      </rPr>
      <t>Работы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по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черновой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отделке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выполнять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при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необходимост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и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выравнивания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стен</t>
    </r>
  </si>
  <si>
    <r>
      <rPr>
        <i/>
        <sz val="11"/>
        <rFont val="ISOCPEUR"/>
        <family val="2"/>
      </rPr>
      <t>1.02</t>
    </r>
  </si>
  <si>
    <r>
      <rPr>
        <i/>
        <sz val="11"/>
        <rFont val="ISOCPEUR"/>
        <family val="2"/>
      </rPr>
      <t>Зона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ожидания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родителей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со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стойкой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для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зарядки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мобильных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устройств</t>
    </r>
  </si>
  <si>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проникновения;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гипсовая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штукатурка;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проникновения;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шпатлёвка;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проникновения
</t>
    </r>
    <r>
      <rPr>
        <i/>
        <sz val="11"/>
        <rFont val="ISOCPEUR"/>
        <family val="2"/>
      </rPr>
      <t>δ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=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25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мм</t>
    </r>
  </si>
  <si>
    <r>
      <rPr>
        <i/>
        <sz val="11"/>
        <rFont val="ISOCPEUR"/>
        <family val="2"/>
      </rPr>
      <t>1.03</t>
    </r>
  </si>
  <si>
    <r>
      <rPr>
        <i/>
        <sz val="11"/>
        <rFont val="ISOCPEUR"/>
        <family val="2"/>
      </rPr>
      <t>Санузел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для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посетителей</t>
    </r>
  </si>
  <si>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проникновения;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штукатурка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цементно-песчаным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раствором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М100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(армированная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стекловолоконной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или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пластиковой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сеткой);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проникновения
</t>
    </r>
    <r>
      <rPr>
        <i/>
        <sz val="11"/>
        <rFont val="ISOCPEUR"/>
        <family val="2"/>
      </rPr>
      <t>δ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=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20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мм</t>
    </r>
  </si>
  <si>
    <r>
      <rPr>
        <i/>
        <sz val="11"/>
        <rFont val="ISOCPEUR"/>
        <family val="2"/>
      </rPr>
      <t>1.04</t>
    </r>
  </si>
  <si>
    <r>
      <rPr>
        <i/>
        <sz val="11"/>
        <rFont val="ISOCPEUR"/>
        <family val="2"/>
      </rPr>
      <t>Вестибюль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с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многофункциональн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ым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двухсветным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пространством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с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возможностью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проведения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общественных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мероприятий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на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200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мест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(с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эстрадой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в
</t>
    </r>
    <r>
      <rPr>
        <i/>
        <sz val="11"/>
        <rFont val="ISOCPEUR"/>
        <family val="2"/>
      </rPr>
      <t>уровне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пола)</t>
    </r>
  </si>
  <si>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проникновения;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шпатлёвка;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проникновения
</t>
    </r>
    <r>
      <rPr>
        <i/>
        <sz val="11"/>
        <rFont val="ISOCPEUR"/>
        <family val="2"/>
      </rPr>
      <t>δ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=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5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мм</t>
    </r>
  </si>
  <si>
    <r>
      <rPr>
        <i/>
        <sz val="11"/>
        <rFont val="ISOCPEUR"/>
        <family val="2"/>
      </rPr>
      <t>1.05</t>
    </r>
  </si>
  <si>
    <r>
      <rPr>
        <i/>
        <sz val="11"/>
        <rFont val="ISOCPEUR"/>
        <family val="2"/>
      </rPr>
      <t>Комната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охраны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с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диспетчерским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пультом</t>
    </r>
  </si>
  <si>
    <r>
      <rPr>
        <i/>
        <sz val="11"/>
        <rFont val="ISOCPEUR"/>
        <family val="2"/>
      </rPr>
      <t>1.06</t>
    </r>
  </si>
  <si>
    <r>
      <rPr>
        <i/>
        <sz val="11"/>
        <rFont val="ISOCPEUR"/>
        <family val="2"/>
      </rPr>
      <t>Санузел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для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МГН</t>
    </r>
  </si>
  <si>
    <r>
      <rPr>
        <i/>
        <sz val="11"/>
        <rFont val="ISOCPEUR"/>
        <family val="2"/>
      </rPr>
      <t>1.07</t>
    </r>
  </si>
  <si>
    <r>
      <rPr>
        <i/>
        <sz val="11"/>
        <rFont val="ISOCPEUR"/>
        <family val="2"/>
      </rPr>
      <t>Гардероб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для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учителей</t>
    </r>
  </si>
  <si>
    <r>
      <rPr>
        <i/>
        <sz val="11"/>
        <rFont val="ISOCPEUR"/>
        <family val="2"/>
      </rPr>
      <t>1.08</t>
    </r>
  </si>
  <si>
    <r>
      <rPr>
        <i/>
        <sz val="11"/>
        <rFont val="ISOCPEUR"/>
        <family val="2"/>
      </rPr>
      <t>Гардероб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для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начальной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школы</t>
    </r>
  </si>
  <si>
    <r>
      <rPr>
        <i/>
        <sz val="11"/>
        <rFont val="ISOCPEUR"/>
        <family val="2"/>
      </rPr>
      <t>1.09</t>
    </r>
  </si>
  <si>
    <r>
      <rPr>
        <i/>
        <sz val="11"/>
        <rFont val="ISOCPEUR"/>
        <family val="2"/>
      </rPr>
      <t>Учебный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кабинет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1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класс</t>
    </r>
  </si>
  <si>
    <r>
      <rPr>
        <i/>
        <sz val="11"/>
        <rFont val="ISOCPEUR"/>
        <family val="2"/>
      </rPr>
      <t>1.10</t>
    </r>
  </si>
  <si>
    <r>
      <rPr>
        <i/>
        <sz val="11"/>
        <rFont val="ISOCPEUR"/>
        <family val="2"/>
      </rPr>
      <t>1.20</t>
    </r>
  </si>
  <si>
    <r>
      <rPr>
        <i/>
        <sz val="11"/>
        <rFont val="ISOCPEUR"/>
        <family val="2"/>
      </rPr>
      <t>Холл</t>
    </r>
  </si>
  <si>
    <r>
      <rPr>
        <i/>
        <sz val="11"/>
        <rFont val="ISOCPEUR"/>
        <family val="2"/>
      </rPr>
      <t>1.11</t>
    </r>
  </si>
  <si>
    <r>
      <rPr>
        <i/>
        <sz val="11"/>
        <rFont val="ISOCPEUR"/>
        <family val="2"/>
      </rPr>
      <t>1.21</t>
    </r>
  </si>
  <si>
    <r>
      <rPr>
        <i/>
        <sz val="11"/>
        <rFont val="ISOCPEUR"/>
        <family val="2"/>
      </rPr>
      <t>Помещение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для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приготовления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дезинфицирующих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растворов</t>
    </r>
  </si>
  <si>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"Бетоноконтакт";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штукатурка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цементно-песчаным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раствором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М100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(армированная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стекловолоконной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или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пластиковой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сеткой);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проникновения
</t>
    </r>
    <r>
      <rPr>
        <i/>
        <sz val="11"/>
        <rFont val="ISOCPEUR"/>
        <family val="2"/>
      </rPr>
      <t>δ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=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20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мм</t>
    </r>
  </si>
  <si>
    <r>
      <rPr>
        <i/>
        <sz val="11"/>
        <rFont val="ISOCPEUR"/>
        <family val="2"/>
      </rPr>
      <t>1.12</t>
    </r>
  </si>
  <si>
    <r>
      <rPr>
        <i/>
        <sz val="11"/>
        <rFont val="ISOCPEUR"/>
        <family val="2"/>
      </rPr>
      <t>Игровая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с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возможностью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организации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спальных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мест</t>
    </r>
  </si>
  <si>
    <r>
      <rPr>
        <i/>
        <sz val="11"/>
        <rFont val="ISOCPEUR"/>
        <family val="2"/>
      </rPr>
      <t>1.22</t>
    </r>
  </si>
  <si>
    <r>
      <rPr>
        <i/>
        <sz val="11"/>
        <rFont val="ISOCPEUR"/>
        <family val="2"/>
      </rPr>
      <t>Санузел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персонала</t>
    </r>
  </si>
  <si>
    <r>
      <rPr>
        <i/>
        <sz val="11"/>
        <rFont val="ISOCPEUR"/>
        <family val="2"/>
      </rPr>
      <t>1.13</t>
    </r>
  </si>
  <si>
    <r>
      <rPr>
        <i/>
        <sz val="11"/>
        <rFont val="ISOCPEUR"/>
        <family val="2"/>
      </rPr>
      <t>Санузел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для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девочек</t>
    </r>
  </si>
  <si>
    <r>
      <rPr>
        <i/>
        <sz val="11"/>
        <rFont val="ISOCPEUR"/>
        <family val="2"/>
      </rPr>
      <t>1.23</t>
    </r>
  </si>
  <si>
    <r>
      <rPr>
        <i/>
        <sz val="11"/>
        <rFont val="ISOCPEUR"/>
        <family val="2"/>
      </rPr>
      <t>Помещение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уборочного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инвентаря</t>
    </r>
  </si>
  <si>
    <r>
      <rPr>
        <i/>
        <sz val="11"/>
        <rFont val="ISOCPEUR"/>
        <family val="2"/>
      </rPr>
      <t>1.14</t>
    </r>
  </si>
  <si>
    <r>
      <rPr>
        <i/>
        <sz val="11"/>
        <rFont val="ISOCPEUR"/>
        <family val="2"/>
      </rPr>
      <t>1.24</t>
    </r>
  </si>
  <si>
    <r>
      <rPr>
        <i/>
        <sz val="11"/>
        <rFont val="ISOCPEUR"/>
        <family val="2"/>
      </rPr>
      <t>Кладовая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инвентаря</t>
    </r>
  </si>
  <si>
    <r>
      <rPr>
        <i/>
        <sz val="11"/>
        <rFont val="ISOCPEUR"/>
        <family val="2"/>
      </rPr>
      <t>1.15</t>
    </r>
  </si>
  <si>
    <r>
      <rPr>
        <i/>
        <sz val="11"/>
        <rFont val="ISOCPEUR"/>
        <family val="2"/>
      </rPr>
      <t>Санузел</t>
    </r>
    <r>
      <rPr>
        <sz val="11"/>
        <rFont val="Times New Roman"/>
        <family val="1"/>
      </rPr>
      <t xml:space="preserve">   </t>
    </r>
    <r>
      <rPr>
        <i/>
        <sz val="11"/>
        <rFont val="ISOCPEUR"/>
        <family val="2"/>
      </rPr>
      <t>для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мальчиков</t>
    </r>
  </si>
  <si>
    <r>
      <rPr>
        <i/>
        <sz val="11"/>
        <rFont val="ISOCPEUR"/>
        <family val="2"/>
      </rPr>
      <t>1.25</t>
    </r>
  </si>
  <si>
    <r>
      <rPr>
        <i/>
        <sz val="11"/>
        <rFont val="ISOCPEUR"/>
        <family val="2"/>
      </rPr>
      <t>Артистическая</t>
    </r>
  </si>
  <si>
    <r>
      <rPr>
        <i/>
        <sz val="11"/>
        <rFont val="ISOCPEUR"/>
        <family val="2"/>
      </rPr>
      <t>1.16</t>
    </r>
  </si>
  <si>
    <r>
      <rPr>
        <i/>
        <sz val="11"/>
        <rFont val="ISOCPEUR"/>
        <family val="2"/>
      </rPr>
      <t>С/у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(медблок)</t>
    </r>
  </si>
  <si>
    <r>
      <rPr>
        <i/>
        <sz val="11"/>
        <rFont val="ISOCPEUR"/>
        <family val="2"/>
      </rPr>
      <t>1.26</t>
    </r>
  </si>
  <si>
    <r>
      <rPr>
        <i/>
        <sz val="11"/>
        <rFont val="ISOCPEUR"/>
        <family val="2"/>
      </rPr>
      <t>1.27</t>
    </r>
  </si>
  <si>
    <r>
      <rPr>
        <i/>
        <sz val="11"/>
        <rFont val="ISOCPEUR"/>
        <family val="2"/>
      </rPr>
      <t>1.17</t>
    </r>
  </si>
  <si>
    <r>
      <rPr>
        <i/>
        <sz val="11"/>
        <rFont val="ISOCPEUR"/>
        <family val="2"/>
      </rPr>
      <t>Процедурный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кабинет</t>
    </r>
  </si>
  <si>
    <r>
      <rPr>
        <i/>
        <sz val="11"/>
        <rFont val="ISOCPEUR"/>
        <family val="2"/>
      </rPr>
      <t>1.28</t>
    </r>
  </si>
  <si>
    <r>
      <rPr>
        <i/>
        <sz val="11"/>
        <rFont val="ISOCPEUR"/>
        <family val="2"/>
      </rPr>
      <t>Серверная</t>
    </r>
  </si>
  <si>
    <r>
      <rPr>
        <i/>
        <sz val="11"/>
        <rFont val="ISOCPEUR"/>
        <family val="2"/>
      </rPr>
      <t>1.18</t>
    </r>
  </si>
  <si>
    <r>
      <rPr>
        <i/>
        <sz val="11"/>
        <rFont val="ISOCPEUR"/>
        <family val="2"/>
      </rPr>
      <t>Прививочный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кабинет</t>
    </r>
  </si>
  <si>
    <r>
      <rPr>
        <i/>
        <sz val="11"/>
        <rFont val="ISOCPEUR"/>
        <family val="2"/>
      </rPr>
      <t>1.29</t>
    </r>
  </si>
  <si>
    <r>
      <rPr>
        <i/>
        <sz val="11"/>
        <rFont val="ISOCPEUR"/>
        <family val="2"/>
      </rPr>
      <t>Электрощитовая</t>
    </r>
  </si>
  <si>
    <r>
      <rPr>
        <i/>
        <sz val="11"/>
        <rFont val="ISOCPEUR"/>
        <family val="2"/>
      </rPr>
      <t>1.30</t>
    </r>
  </si>
  <si>
    <r>
      <rPr>
        <i/>
        <sz val="11"/>
        <rFont val="ISOCPEUR"/>
        <family val="2"/>
      </rPr>
      <t>Рекреация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коридорного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типа</t>
    </r>
  </si>
  <si>
    <r>
      <rPr>
        <i/>
        <sz val="11"/>
        <rFont val="ISOCPEUR"/>
        <family val="2"/>
      </rPr>
      <t>1.31</t>
    </r>
  </si>
  <si>
    <r>
      <rPr>
        <i/>
        <sz val="11"/>
        <rFont val="ISOCPEUR"/>
        <family val="2"/>
      </rPr>
      <t>1.32</t>
    </r>
  </si>
  <si>
    <r>
      <rPr>
        <i/>
        <sz val="11"/>
        <rFont val="ISOCPEUR"/>
        <family val="2"/>
      </rPr>
      <t>Лестничная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клетка
</t>
    </r>
    <r>
      <rPr>
        <i/>
        <sz val="11"/>
        <rFont val="ISOCPEUR"/>
        <family val="2"/>
      </rPr>
      <t>№1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(Тип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Н2)</t>
    </r>
  </si>
  <si>
    <r>
      <rPr>
        <i/>
        <sz val="11"/>
        <rFont val="ISOCPEUR"/>
        <family val="2"/>
      </rPr>
      <t>1.33</t>
    </r>
  </si>
  <si>
    <r>
      <rPr>
        <i/>
        <sz val="11"/>
        <rFont val="ISOCPEUR"/>
        <family val="2"/>
      </rPr>
      <t>Лестничная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клетка
</t>
    </r>
    <r>
      <rPr>
        <i/>
        <sz val="11"/>
        <rFont val="ISOCPEUR"/>
        <family val="2"/>
      </rPr>
      <t>№2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(Тип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Н2)</t>
    </r>
  </si>
  <si>
    <r>
      <rPr>
        <i/>
        <sz val="11"/>
        <rFont val="ISOCPEUR"/>
        <family val="2"/>
      </rPr>
      <t>1.34</t>
    </r>
  </si>
  <si>
    <r>
      <rPr>
        <i/>
        <sz val="11"/>
        <rFont val="ISOCPEUR"/>
        <family val="2"/>
      </rPr>
      <t>Лестничная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клетка
</t>
    </r>
    <r>
      <rPr>
        <i/>
        <sz val="11"/>
        <rFont val="ISOCPEUR"/>
        <family val="2"/>
      </rPr>
      <t>№3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(Тип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Н2)</t>
    </r>
  </si>
  <si>
    <r>
      <rPr>
        <i/>
        <sz val="11"/>
        <rFont val="ISOCPEUR"/>
        <family val="2"/>
      </rPr>
      <t>1.35</t>
    </r>
  </si>
  <si>
    <r>
      <rPr>
        <i/>
        <sz val="11"/>
        <rFont val="ISOCPEUR"/>
        <family val="2"/>
      </rPr>
      <t>Лестничная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клетка
</t>
    </r>
    <r>
      <rPr>
        <i/>
        <sz val="11"/>
        <rFont val="ISOCPEUR"/>
        <family val="2"/>
      </rPr>
      <t>№4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(Тип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Н2)</t>
    </r>
  </si>
  <si>
    <r>
      <rPr>
        <i/>
        <sz val="11"/>
        <rFont val="ISOCPEUR"/>
        <family val="2"/>
      </rPr>
      <t>1.36</t>
    </r>
  </si>
  <si>
    <r>
      <rPr>
        <i/>
        <sz val="11"/>
        <rFont val="ISOCPEUR"/>
        <family val="2"/>
      </rPr>
      <t>Лифтовой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холл</t>
    </r>
  </si>
  <si>
    <r>
      <rPr>
        <i/>
        <sz val="11"/>
        <rFont val="ISOCPEUR"/>
        <family val="2"/>
      </rPr>
      <t>1.37</t>
    </r>
  </si>
  <si>
    <r>
      <rPr>
        <i/>
        <sz val="11"/>
        <rFont val="ISOCPEUR"/>
        <family val="2"/>
      </rPr>
      <t>Умывальная</t>
    </r>
  </si>
  <si>
    <r>
      <rPr>
        <i/>
        <sz val="11"/>
        <rFont val="ISOCPEUR"/>
        <family val="2"/>
      </rPr>
      <t>1.38</t>
    </r>
  </si>
  <si>
    <r>
      <rPr>
        <i/>
        <sz val="11"/>
        <rFont val="ISOCPEUR"/>
        <family val="2"/>
      </rPr>
      <t>Обеденный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зал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на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150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мест</t>
    </r>
  </si>
  <si>
    <r>
      <rPr>
        <i/>
        <sz val="13"/>
        <rFont val="ISOCPEUR"/>
        <family val="2"/>
      </rPr>
      <t>0,000</t>
    </r>
    <r>
      <rPr>
        <sz val="13"/>
        <rFont val="Times New Roman"/>
        <family val="1"/>
      </rPr>
      <t xml:space="preserve"> </t>
    </r>
    <r>
      <rPr>
        <i/>
        <sz val="13"/>
        <rFont val="ISOCPEUR"/>
        <family val="2"/>
      </rPr>
      <t>=</t>
    </r>
    <r>
      <rPr>
        <sz val="13"/>
        <rFont val="Times New Roman"/>
        <family val="1"/>
      </rPr>
      <t xml:space="preserve"> </t>
    </r>
    <r>
      <rPr>
        <i/>
        <sz val="13"/>
        <rFont val="ISOCPEUR"/>
        <family val="2"/>
      </rPr>
      <t>163,65</t>
    </r>
  </si>
  <si>
    <r>
      <rPr>
        <i/>
        <sz val="11"/>
        <rFont val="ISOCPEUR"/>
        <family val="2"/>
      </rPr>
      <t>1.39</t>
    </r>
  </si>
  <si>
    <r>
      <rPr>
        <i/>
        <sz val="11"/>
        <rFont val="ISOCPEUR"/>
        <family val="2"/>
      </rPr>
      <t>Моечная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столовой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посуды</t>
    </r>
  </si>
  <si>
    <r>
      <rPr>
        <i/>
        <sz val="11"/>
        <rFont val="ISOCPEUR"/>
        <family val="2"/>
      </rPr>
      <t>1.40</t>
    </r>
  </si>
  <si>
    <r>
      <rPr>
        <i/>
        <sz val="11"/>
        <rFont val="ISOCPEUR"/>
        <family val="2"/>
      </rPr>
      <t>Холодный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цех</t>
    </r>
  </si>
  <si>
    <r>
      <rPr>
        <i/>
        <sz val="11"/>
        <rFont val="ISOCPEUR"/>
        <family val="2"/>
      </rPr>
      <t>1.41</t>
    </r>
  </si>
  <si>
    <r>
      <rPr>
        <i/>
        <sz val="11"/>
        <rFont val="ISOCPEUR"/>
        <family val="2"/>
      </rPr>
      <t>Горячий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цех</t>
    </r>
  </si>
  <si>
    <r>
      <rPr>
        <i/>
        <sz val="11"/>
        <rFont val="ISOCPEUR"/>
        <family val="2"/>
      </rPr>
      <t>1.42</t>
    </r>
  </si>
  <si>
    <r>
      <rPr>
        <i/>
        <sz val="11"/>
        <rFont val="ISOCPEUR"/>
        <family val="2"/>
      </rPr>
      <t>Моечная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кухонной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посуды</t>
    </r>
  </si>
  <si>
    <r>
      <rPr>
        <i/>
        <sz val="11"/>
        <rFont val="ISOCPEUR"/>
        <family val="2"/>
      </rPr>
      <t>1.43</t>
    </r>
  </si>
  <si>
    <r>
      <rPr>
        <i/>
        <sz val="11"/>
        <rFont val="ISOCPEUR"/>
        <family val="2"/>
      </rPr>
      <t>Кладовая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сухих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продуктов</t>
    </r>
  </si>
  <si>
    <r>
      <rPr>
        <i/>
        <sz val="11"/>
        <rFont val="ISOCPEUR"/>
        <family val="2"/>
      </rPr>
      <t>1.44</t>
    </r>
  </si>
  <si>
    <r>
      <rPr>
        <i/>
        <sz val="11"/>
        <rFont val="ISOCPEUR"/>
        <family val="2"/>
      </rPr>
      <t>Помещение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с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холодильным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оборудованием</t>
    </r>
  </si>
  <si>
    <r>
      <rPr>
        <i/>
        <sz val="11"/>
        <rFont val="ISOCPEUR"/>
        <family val="2"/>
      </rPr>
      <t>1.45</t>
    </r>
  </si>
  <si>
    <r>
      <rPr>
        <i/>
        <sz val="11"/>
        <rFont val="ISOCPEUR"/>
        <family val="2"/>
      </rPr>
      <t>Кладовая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овощей</t>
    </r>
  </si>
  <si>
    <r>
      <rPr>
        <i/>
        <sz val="11"/>
        <rFont val="ISOCPEUR"/>
        <family val="2"/>
      </rPr>
      <t>1.46</t>
    </r>
  </si>
  <si>
    <r>
      <rPr>
        <i/>
        <sz val="11"/>
        <rFont val="ISOCPEUR"/>
        <family val="2"/>
      </rPr>
      <t>Помещение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персонала</t>
    </r>
  </si>
  <si>
    <r>
      <rPr>
        <i/>
        <sz val="11"/>
        <rFont val="ISOCPEUR"/>
        <family val="2"/>
      </rPr>
      <t>1.47</t>
    </r>
  </si>
  <si>
    <r>
      <rPr>
        <i/>
        <sz val="11"/>
        <rFont val="ISOCPEUR"/>
        <family val="2"/>
      </rPr>
      <t>Помещение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временного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хранения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отходов</t>
    </r>
  </si>
  <si>
    <r>
      <rPr>
        <i/>
        <sz val="11"/>
        <rFont val="ISOCPEUR"/>
        <family val="2"/>
      </rPr>
      <t>1.48</t>
    </r>
  </si>
  <si>
    <r>
      <rPr>
        <i/>
        <sz val="11"/>
        <rFont val="ISOCPEUR"/>
        <family val="2"/>
      </rPr>
      <t>Раздаточная</t>
    </r>
  </si>
  <si>
    <r>
      <rPr>
        <i/>
        <sz val="11"/>
        <rFont val="ISOCPEUR"/>
        <family val="2"/>
      </rPr>
      <t>1.49</t>
    </r>
  </si>
  <si>
    <r>
      <rPr>
        <i/>
        <sz val="11"/>
        <rFont val="ISOCPEUR"/>
        <family val="2"/>
      </rPr>
      <t>1.50</t>
    </r>
  </si>
  <si>
    <r>
      <rPr>
        <i/>
        <sz val="11"/>
        <rFont val="ISOCPEUR"/>
        <family val="2"/>
      </rPr>
      <t>Моечная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оборотной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тары</t>
    </r>
  </si>
  <si>
    <r>
      <rPr>
        <i/>
        <sz val="11"/>
        <rFont val="ISOCPEUR"/>
        <family val="2"/>
      </rPr>
      <t>1.51</t>
    </r>
  </si>
  <si>
    <r>
      <rPr>
        <i/>
        <sz val="11"/>
        <rFont val="ISOCPEUR"/>
        <family val="2"/>
      </rPr>
      <t>Загрузочная</t>
    </r>
  </si>
  <si>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штукатурка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цементно-песчаным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раствором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М100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по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сетке
</t>
    </r>
    <r>
      <rPr>
        <i/>
        <sz val="11"/>
        <rFont val="ISOCPEUR"/>
        <family val="2"/>
      </rPr>
      <t>δ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=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20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мм</t>
    </r>
  </si>
  <si>
    <r>
      <rPr>
        <i/>
        <sz val="11"/>
        <rFont val="ISOCPEUR"/>
        <family val="2"/>
      </rPr>
      <t>1.52</t>
    </r>
  </si>
  <si>
    <r>
      <rPr>
        <i/>
        <sz val="11"/>
        <rFont val="ISOCPEUR"/>
        <family val="2"/>
      </rPr>
      <t>1.53</t>
    </r>
  </si>
  <si>
    <r>
      <rPr>
        <i/>
        <sz val="11"/>
        <rFont val="ISOCPEUR"/>
        <family val="2"/>
      </rPr>
      <t>1.54</t>
    </r>
  </si>
  <si>
    <r>
      <rPr>
        <i/>
        <sz val="11"/>
        <rFont val="ISOCPEUR"/>
        <family val="2"/>
      </rPr>
      <t>Гардероб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персонала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с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душем</t>
    </r>
  </si>
  <si>
    <r>
      <rPr>
        <i/>
        <sz val="11"/>
        <rFont val="ISOCPEUR"/>
        <family val="2"/>
      </rPr>
      <t>1.55</t>
    </r>
  </si>
  <si>
    <r>
      <rPr>
        <i/>
        <sz val="11"/>
        <rFont val="ISOCPEUR"/>
        <family val="2"/>
      </rPr>
      <t>Цех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первичной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обработки</t>
    </r>
  </si>
  <si>
    <r>
      <rPr>
        <i/>
        <sz val="11"/>
        <rFont val="ISOCPEUR"/>
        <family val="2"/>
      </rPr>
      <t>1.56</t>
    </r>
  </si>
  <si>
    <r>
      <rPr>
        <i/>
        <sz val="11"/>
        <rFont val="ISOCPEUR"/>
        <family val="2"/>
      </rPr>
      <t>Цех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вторичной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обработки</t>
    </r>
  </si>
  <si>
    <r>
      <rPr>
        <i/>
        <sz val="11"/>
        <rFont val="ISOCPEUR"/>
        <family val="2"/>
      </rPr>
      <t>1.57</t>
    </r>
  </si>
  <si>
    <r>
      <rPr>
        <i/>
        <sz val="11"/>
        <rFont val="ISOCPEUR"/>
        <family val="2"/>
      </rPr>
      <t>Мясо-рыбный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цех</t>
    </r>
  </si>
  <si>
    <r>
      <rPr>
        <i/>
        <sz val="11"/>
        <rFont val="ISOCPEUR"/>
        <family val="2"/>
      </rPr>
      <t>1.58</t>
    </r>
  </si>
  <si>
    <r>
      <rPr>
        <i/>
        <sz val="11"/>
        <rFont val="ISOCPEUR"/>
        <family val="2"/>
      </rPr>
      <t>1.59</t>
    </r>
  </si>
  <si>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проникновения</t>
    </r>
  </si>
  <si>
    <r>
      <rPr>
        <i/>
        <sz val="11"/>
        <rFont val="ISOCPEUR"/>
        <family val="2"/>
      </rPr>
      <t>1.60</t>
    </r>
  </si>
  <si>
    <r>
      <rPr>
        <i/>
        <sz val="11"/>
        <rFont val="ISOCPEUR"/>
        <family val="2"/>
      </rPr>
      <t>Вестибюль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с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зоной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для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посетителей</t>
    </r>
  </si>
  <si>
    <r>
      <rPr>
        <i/>
        <sz val="11"/>
        <rFont val="ISOCPEUR"/>
        <family val="2"/>
      </rPr>
      <t>1.61</t>
    </r>
  </si>
  <si>
    <r>
      <rPr>
        <i/>
        <sz val="11"/>
        <rFont val="ISOCPEUR"/>
        <family val="2"/>
      </rPr>
      <t>Пост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охраны</t>
    </r>
  </si>
  <si>
    <r>
      <rPr>
        <i/>
        <sz val="11"/>
        <rFont val="ISOCPEUR"/>
        <family val="2"/>
      </rPr>
      <t>1.62</t>
    </r>
  </si>
  <si>
    <r>
      <rPr>
        <i/>
        <sz val="11"/>
        <rFont val="ISOCPEUR"/>
        <family val="2"/>
      </rPr>
      <t>Туалет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для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МГН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(для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посетителей)</t>
    </r>
  </si>
  <si>
    <r>
      <rPr>
        <i/>
        <sz val="11"/>
        <rFont val="ISOCPEUR"/>
        <family val="2"/>
      </rPr>
      <t>1.63</t>
    </r>
  </si>
  <si>
    <r>
      <rPr>
        <i/>
        <sz val="11"/>
        <rFont val="ISOCPEUR"/>
        <family val="2"/>
      </rPr>
      <t>1.64</t>
    </r>
  </si>
  <si>
    <r>
      <rPr>
        <i/>
        <sz val="11"/>
        <rFont val="ISOCPEUR"/>
        <family val="2"/>
      </rPr>
      <t>Раздевальная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комната</t>
    </r>
  </si>
  <si>
    <r>
      <rPr>
        <i/>
        <sz val="11"/>
        <rFont val="ISOCPEUR"/>
        <family val="2"/>
      </rPr>
      <t>1.65</t>
    </r>
  </si>
  <si>
    <r>
      <rPr>
        <i/>
        <sz val="11"/>
        <rFont val="ISOCPEUR"/>
        <family val="2"/>
      </rPr>
      <t>Буфет</t>
    </r>
  </si>
  <si>
    <r>
      <rPr>
        <i/>
        <sz val="11"/>
        <rFont val="ISOCPEUR"/>
        <family val="2"/>
      </rPr>
      <t>Шпатлевание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стен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выполнять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выше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отм.
</t>
    </r>
    <r>
      <rPr>
        <i/>
        <sz val="11"/>
        <rFont val="ISOCPEUR"/>
        <family val="2"/>
      </rPr>
      <t>+2,200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от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ур.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ч.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п.</t>
    </r>
  </si>
  <si>
    <r>
      <rPr>
        <i/>
        <sz val="11"/>
        <rFont val="ISOCPEUR"/>
        <family val="2"/>
      </rPr>
      <t>1.66</t>
    </r>
  </si>
  <si>
    <r>
      <rPr>
        <i/>
        <sz val="11"/>
        <rFont val="ISOCPEUR"/>
        <family val="2"/>
      </rPr>
      <t>Туалет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(в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т.ч.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МГН)</t>
    </r>
  </si>
  <si>
    <r>
      <rPr>
        <i/>
        <sz val="11"/>
        <rFont val="ISOCPEUR"/>
        <family val="2"/>
      </rPr>
      <t>1.67</t>
    </r>
  </si>
  <si>
    <r>
      <rPr>
        <i/>
        <sz val="11"/>
        <rFont val="ISOCPEUR"/>
        <family val="2"/>
      </rPr>
      <t>Групповая</t>
    </r>
  </si>
  <si>
    <r>
      <rPr>
        <i/>
        <sz val="11"/>
        <rFont val="ISOCPEUR"/>
        <family val="2"/>
      </rPr>
      <t>1.68</t>
    </r>
  </si>
  <si>
    <r>
      <rPr>
        <i/>
        <sz val="11"/>
        <rFont val="ISOCPEUR"/>
        <family val="2"/>
      </rPr>
      <t>Спальная</t>
    </r>
  </si>
  <si>
    <r>
      <rPr>
        <i/>
        <sz val="11"/>
        <rFont val="ISOCPEUR"/>
        <family val="2"/>
      </rPr>
      <t>1.69</t>
    </r>
  </si>
  <si>
    <r>
      <rPr>
        <i/>
        <sz val="11"/>
        <rFont val="ISOCPEUR"/>
        <family val="2"/>
      </rPr>
      <t>1.70</t>
    </r>
  </si>
  <si>
    <r>
      <rPr>
        <i/>
        <sz val="11"/>
        <rFont val="ISOCPEUR"/>
        <family val="2"/>
      </rPr>
      <t>1.71</t>
    </r>
  </si>
  <si>
    <r>
      <rPr>
        <i/>
        <sz val="11"/>
        <rFont val="ISOCPEUR"/>
        <family val="2"/>
      </rPr>
      <t>1.72</t>
    </r>
  </si>
  <si>
    <r>
      <rPr>
        <i/>
        <sz val="11"/>
        <rFont val="ISOCPEUR"/>
        <family val="2"/>
      </rPr>
      <t>1.73</t>
    </r>
  </si>
  <si>
    <r>
      <rPr>
        <i/>
        <sz val="11"/>
        <rFont val="ISOCPEUR"/>
        <family val="2"/>
      </rPr>
      <t>1.74</t>
    </r>
  </si>
  <si>
    <r>
      <rPr>
        <i/>
        <sz val="11"/>
        <rFont val="ISOCPEUR"/>
        <family val="2"/>
      </rPr>
      <t>1.75</t>
    </r>
  </si>
  <si>
    <r>
      <rPr>
        <i/>
        <sz val="11"/>
        <rFont val="ISOCPEUR"/>
        <family val="2"/>
      </rPr>
      <t>1.76</t>
    </r>
  </si>
  <si>
    <r>
      <rPr>
        <i/>
        <sz val="11"/>
        <rFont val="ISOCPEUR"/>
        <family val="2"/>
      </rPr>
      <t>Комната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персонала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с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гардеробом,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душем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и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туалетом</t>
    </r>
  </si>
  <si>
    <r>
      <rPr>
        <i/>
        <sz val="11"/>
        <rFont val="ISOCPEUR"/>
        <family val="2"/>
      </rPr>
      <t>1.77</t>
    </r>
  </si>
  <si>
    <r>
      <rPr>
        <i/>
        <sz val="11"/>
        <rFont val="ISOCPEUR"/>
        <family val="2"/>
      </rPr>
      <t>1.78</t>
    </r>
  </si>
  <si>
    <r>
      <rPr>
        <i/>
        <sz val="11"/>
        <rFont val="ISOCPEUR"/>
        <family val="2"/>
      </rPr>
      <t>1.79</t>
    </r>
  </si>
  <si>
    <r>
      <rPr>
        <i/>
        <sz val="11"/>
        <rFont val="ISOCPEUR"/>
        <family val="2"/>
      </rPr>
      <t>Лестничная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клетка
</t>
    </r>
    <r>
      <rPr>
        <i/>
        <sz val="11"/>
        <rFont val="ISOCPEUR"/>
        <family val="2"/>
      </rPr>
      <t>№5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(Тип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Н2)</t>
    </r>
  </si>
  <si>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"Бетоноконтакт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";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штукатурка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цементно-песчан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ым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раствором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М100
</t>
    </r>
    <r>
      <rPr>
        <i/>
        <sz val="11"/>
        <rFont val="ISOCPEUR"/>
        <family val="2"/>
      </rPr>
      <t>(армированная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стальной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оцинкованной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сеткой);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проникновения;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шпатлёвка;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проникновения
</t>
    </r>
    <r>
      <rPr>
        <i/>
        <sz val="11"/>
        <rFont val="ISOCPEUR"/>
        <family val="2"/>
      </rPr>
      <t>δ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=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25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мм</t>
    </r>
  </si>
  <si>
    <r>
      <rPr>
        <i/>
        <sz val="11"/>
        <rFont val="ISOCPEUR"/>
        <family val="2"/>
      </rPr>
      <t>1.80</t>
    </r>
  </si>
  <si>
    <r>
      <rPr>
        <i/>
        <sz val="11"/>
        <rFont val="ISOCPEUR"/>
        <family val="2"/>
      </rPr>
      <t>Лестничная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клетка
</t>
    </r>
    <r>
      <rPr>
        <i/>
        <sz val="11"/>
        <rFont val="ISOCPEUR"/>
        <family val="2"/>
      </rPr>
      <t>№6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(Тип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Л1)</t>
    </r>
  </si>
  <si>
    <r>
      <rPr>
        <i/>
        <sz val="11"/>
        <rFont val="ISOCPEUR"/>
        <family val="2"/>
      </rPr>
      <t>1.81</t>
    </r>
  </si>
  <si>
    <r>
      <rPr>
        <i/>
        <sz val="11"/>
        <rFont val="ISOCPEUR"/>
        <family val="2"/>
      </rPr>
      <t>1.82</t>
    </r>
  </si>
  <si>
    <r>
      <rPr>
        <i/>
        <sz val="11"/>
        <rFont val="ISOCPEUR"/>
        <family val="2"/>
      </rPr>
      <t>2.11</t>
    </r>
  </si>
  <si>
    <r>
      <rPr>
        <i/>
        <sz val="11"/>
        <rFont val="ISOCPEUR"/>
        <family val="2"/>
      </rPr>
      <t>Раздевальная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для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мальчиков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(МГН)</t>
    </r>
  </si>
  <si>
    <r>
      <rPr>
        <i/>
        <sz val="11"/>
        <rFont val="ISOCPEUR"/>
        <family val="2"/>
      </rPr>
      <t>2.01</t>
    </r>
  </si>
  <si>
    <r>
      <rPr>
        <i/>
        <sz val="11"/>
        <rFont val="ISOCPEUR"/>
        <family val="2"/>
      </rPr>
      <t>Учебный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кабинет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2-4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класс</t>
    </r>
  </si>
  <si>
    <r>
      <rPr>
        <i/>
        <sz val="11"/>
        <rFont val="ISOCPEUR"/>
        <family val="2"/>
      </rPr>
      <t>2.12</t>
    </r>
  </si>
  <si>
    <r>
      <rPr>
        <i/>
        <sz val="11"/>
        <rFont val="ISOCPEUR"/>
        <family val="2"/>
      </rPr>
      <t>Раздевальная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для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мальчиков</t>
    </r>
  </si>
  <si>
    <r>
      <rPr>
        <i/>
        <sz val="11"/>
        <rFont val="ISOCPEUR"/>
        <family val="2"/>
      </rPr>
      <t>2.02</t>
    </r>
  </si>
  <si>
    <r>
      <rPr>
        <i/>
        <sz val="11"/>
        <rFont val="ISOCPEUR"/>
        <family val="2"/>
      </rPr>
      <t>Лабораторно-исслед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овательский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комплекс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для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изучения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естествознания</t>
    </r>
  </si>
  <si>
    <r>
      <rPr>
        <i/>
        <sz val="11"/>
        <rFont val="ISOCPEUR"/>
        <family val="2"/>
      </rPr>
      <t>2.13</t>
    </r>
  </si>
  <si>
    <r>
      <rPr>
        <i/>
        <sz val="11"/>
        <rFont val="ISOCPEUR"/>
        <family val="2"/>
      </rPr>
      <t>Душевая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для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мальчиков</t>
    </r>
  </si>
  <si>
    <r>
      <rPr>
        <i/>
        <sz val="11"/>
        <rFont val="ISOCPEUR"/>
        <family val="2"/>
      </rPr>
      <t>2.03</t>
    </r>
  </si>
  <si>
    <r>
      <rPr>
        <i/>
        <sz val="11"/>
        <rFont val="ISOCPEUR"/>
        <family val="2"/>
      </rPr>
      <t>Кабинет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с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рабочим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местом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для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учителей</t>
    </r>
  </si>
  <si>
    <r>
      <rPr>
        <i/>
        <sz val="11"/>
        <rFont val="ISOCPEUR"/>
        <family val="2"/>
      </rPr>
      <t>2.14</t>
    </r>
  </si>
  <si>
    <r>
      <rPr>
        <i/>
        <sz val="11"/>
        <rFont val="ISOCPEUR"/>
        <family val="2"/>
      </rPr>
      <t>Санузел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для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мальчиков</t>
    </r>
  </si>
  <si>
    <r>
      <rPr>
        <i/>
        <sz val="11"/>
        <rFont val="ISOCPEUR"/>
        <family val="2"/>
      </rPr>
      <t>2.04</t>
    </r>
  </si>
  <si>
    <r>
      <rPr>
        <i/>
        <sz val="11"/>
        <rFont val="ISOCPEUR"/>
        <family val="2"/>
      </rPr>
      <t>2.15</t>
    </r>
  </si>
  <si>
    <r>
      <rPr>
        <i/>
        <sz val="11"/>
        <rFont val="ISOCPEUR"/>
        <family val="2"/>
      </rPr>
      <t>Раздевальная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для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девочек</t>
    </r>
  </si>
  <si>
    <r>
      <rPr>
        <i/>
        <sz val="11"/>
        <rFont val="ISOCPEUR"/>
        <family val="2"/>
      </rPr>
      <t>2.05</t>
    </r>
  </si>
  <si>
    <r>
      <rPr>
        <i/>
        <sz val="11"/>
        <rFont val="ISOCPEUR"/>
        <family val="2"/>
      </rPr>
      <t>Универсальное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помещение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с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возможностью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проведения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занятий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во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внеурочное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время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в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том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числе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для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групп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продленного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дня</t>
    </r>
  </si>
  <si>
    <r>
      <rPr>
        <i/>
        <sz val="11"/>
        <rFont val="ISOCPEUR"/>
        <family val="2"/>
      </rPr>
      <t>2.16</t>
    </r>
  </si>
  <si>
    <r>
      <rPr>
        <i/>
        <sz val="11"/>
        <rFont val="ISOCPEUR"/>
        <family val="2"/>
      </rPr>
      <t>2.06</t>
    </r>
  </si>
  <si>
    <r>
      <rPr>
        <i/>
        <sz val="11"/>
        <rFont val="ISOCPEUR"/>
        <family val="2"/>
      </rPr>
      <t>2.17</t>
    </r>
  </si>
  <si>
    <r>
      <rPr>
        <i/>
        <sz val="11"/>
        <rFont val="ISOCPEUR"/>
        <family val="2"/>
      </rPr>
      <t>Душевая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девочек</t>
    </r>
  </si>
  <si>
    <r>
      <rPr>
        <i/>
        <sz val="11"/>
        <rFont val="ISOCPEUR"/>
        <family val="2"/>
      </rPr>
      <t>2.07</t>
    </r>
  </si>
  <si>
    <r>
      <rPr>
        <i/>
        <sz val="11"/>
        <rFont val="ISOCPEUR"/>
        <family val="2"/>
      </rPr>
      <t>2.18</t>
    </r>
  </si>
  <si>
    <r>
      <rPr>
        <i/>
        <sz val="11"/>
        <rFont val="ISOCPEUR"/>
        <family val="2"/>
      </rPr>
      <t>Инвентарная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(снарядная)</t>
    </r>
  </si>
  <si>
    <r>
      <rPr>
        <i/>
        <sz val="11"/>
        <rFont val="ISOCPEUR"/>
        <family val="2"/>
      </rPr>
      <t>2.08</t>
    </r>
  </si>
  <si>
    <r>
      <rPr>
        <i/>
        <sz val="11"/>
        <rFont val="ISOCPEUR"/>
        <family val="2"/>
      </rPr>
      <t>2.19</t>
    </r>
  </si>
  <si>
    <r>
      <rPr>
        <i/>
        <sz val="11"/>
        <rFont val="ISOCPEUR"/>
        <family val="2"/>
      </rPr>
      <t>Спортивный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зал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15х24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м</t>
    </r>
  </si>
  <si>
    <r>
      <rPr>
        <i/>
        <sz val="11"/>
        <rFont val="ISOCPEUR"/>
        <family val="2"/>
      </rPr>
      <t>2.09</t>
    </r>
  </si>
  <si>
    <r>
      <rPr>
        <i/>
        <sz val="11"/>
        <rFont val="ISOCPEUR"/>
        <family val="2"/>
      </rPr>
      <t>2.20</t>
    </r>
  </si>
  <si>
    <r>
      <rPr>
        <i/>
        <sz val="11"/>
        <rFont val="ISOCPEUR"/>
        <family val="2"/>
      </rPr>
      <t>Комната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инструктора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(с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душем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и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туалетом)</t>
    </r>
  </si>
  <si>
    <r>
      <rPr>
        <i/>
        <sz val="11"/>
        <rFont val="ISOCPEUR"/>
        <family val="2"/>
      </rPr>
      <t>2.30</t>
    </r>
  </si>
  <si>
    <r>
      <rPr>
        <i/>
        <sz val="11"/>
        <rFont val="ISOCPEUR"/>
        <family val="2"/>
      </rPr>
      <t>2.21</t>
    </r>
  </si>
  <si>
    <r>
      <rPr>
        <i/>
        <sz val="11"/>
        <rFont val="ISOCPEUR"/>
        <family val="2"/>
      </rPr>
      <t>Кабинет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для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индивидуальных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занятий,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в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т.ч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с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учителем-логопедо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м</t>
    </r>
  </si>
  <si>
    <r>
      <rPr>
        <i/>
        <sz val="11"/>
        <rFont val="ISOCPEUR"/>
        <family val="2"/>
      </rPr>
      <t>2.31</t>
    </r>
  </si>
  <si>
    <r>
      <rPr>
        <i/>
        <sz val="11"/>
        <rFont val="ISOCPEUR"/>
        <family val="2"/>
      </rPr>
      <t>2.22</t>
    </r>
  </si>
  <si>
    <r>
      <rPr>
        <i/>
        <sz val="11"/>
        <rFont val="ISOCPEUR"/>
        <family val="2"/>
      </rPr>
      <t>2.32</t>
    </r>
  </si>
  <si>
    <r>
      <rPr>
        <i/>
        <sz val="11"/>
        <rFont val="ISOCPEUR"/>
        <family val="2"/>
      </rPr>
      <t>2.33</t>
    </r>
  </si>
  <si>
    <r>
      <rPr>
        <i/>
        <sz val="11"/>
        <rFont val="ISOCPEUR"/>
        <family val="2"/>
      </rPr>
      <t>Лифтовой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холл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(зона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безопасности)</t>
    </r>
  </si>
  <si>
    <r>
      <rPr>
        <i/>
        <sz val="11"/>
        <rFont val="ISOCPEUR"/>
        <family val="2"/>
      </rPr>
      <t>2.23</t>
    </r>
  </si>
  <si>
    <r>
      <rPr>
        <i/>
        <sz val="11"/>
        <rFont val="ISOCPEUR"/>
        <family val="2"/>
      </rPr>
      <t>2.34</t>
    </r>
  </si>
  <si>
    <r>
      <rPr>
        <i/>
        <sz val="11"/>
        <rFont val="ISOCPEUR"/>
        <family val="2"/>
      </rPr>
      <t>2.24</t>
    </r>
  </si>
  <si>
    <r>
      <rPr>
        <i/>
        <sz val="11"/>
        <rFont val="ISOCPEUR"/>
        <family val="2"/>
      </rPr>
      <t>2.35</t>
    </r>
  </si>
  <si>
    <r>
      <rPr>
        <i/>
        <sz val="11"/>
        <rFont val="ISOCPEUR"/>
        <family val="2"/>
      </rPr>
      <t>2.25</t>
    </r>
  </si>
  <si>
    <r>
      <rPr>
        <i/>
        <sz val="11"/>
        <rFont val="ISOCPEUR"/>
        <family val="2"/>
      </rPr>
      <t>2.36</t>
    </r>
  </si>
  <si>
    <r>
      <rPr>
        <i/>
        <sz val="11"/>
        <rFont val="ISOCPEUR"/>
        <family val="2"/>
      </rPr>
      <t>2.26</t>
    </r>
  </si>
  <si>
    <r>
      <rPr>
        <i/>
        <sz val="11"/>
        <rFont val="ISOCPEUR"/>
        <family val="2"/>
      </rPr>
      <t>2.27</t>
    </r>
  </si>
  <si>
    <r>
      <rPr>
        <i/>
        <sz val="11"/>
        <rFont val="ISOCPEUR"/>
        <family val="2"/>
      </rPr>
      <t>2.37</t>
    </r>
  </si>
  <si>
    <r>
      <rPr>
        <i/>
        <sz val="11"/>
        <rFont val="ISOCPEUR"/>
        <family val="2"/>
      </rPr>
      <t>2.28</t>
    </r>
  </si>
  <si>
    <r>
      <rPr>
        <i/>
        <sz val="11"/>
        <rFont val="ISOCPEUR"/>
        <family val="2"/>
      </rPr>
      <t>Рекреация</t>
    </r>
  </si>
  <si>
    <r>
      <rPr>
        <i/>
        <sz val="11"/>
        <rFont val="ISOCPEUR"/>
        <family val="2"/>
      </rPr>
      <t>2.38</t>
    </r>
  </si>
  <si>
    <r>
      <rPr>
        <i/>
        <sz val="11"/>
        <rFont val="ISOCPEUR"/>
        <family val="2"/>
      </rPr>
      <t>2.46</t>
    </r>
  </si>
  <si>
    <r>
      <rPr>
        <i/>
        <sz val="11"/>
        <rFont val="ISOCPEUR"/>
        <family val="2"/>
      </rPr>
      <t>2.47</t>
    </r>
  </si>
  <si>
    <r>
      <rPr>
        <i/>
        <sz val="11"/>
        <rFont val="ISOCPEUR"/>
        <family val="2"/>
      </rPr>
      <t>Многофункциональн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ый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физкультурный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зал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для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проведения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активных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игр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и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занятий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с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детьми</t>
    </r>
  </si>
  <si>
    <r>
      <rPr>
        <i/>
        <sz val="11"/>
        <rFont val="ISOCPEUR"/>
        <family val="2"/>
      </rPr>
      <t>2.39</t>
    </r>
  </si>
  <si>
    <r>
      <rPr>
        <i/>
        <sz val="11"/>
        <rFont val="ISOCPEUR"/>
        <family val="2"/>
      </rPr>
      <t>2.40</t>
    </r>
  </si>
  <si>
    <r>
      <rPr>
        <i/>
        <sz val="11"/>
        <rFont val="ISOCPEUR"/>
        <family val="2"/>
      </rPr>
      <t>2.48</t>
    </r>
  </si>
  <si>
    <r>
      <rPr>
        <i/>
        <sz val="11"/>
        <rFont val="ISOCPEUR"/>
        <family val="2"/>
      </rPr>
      <t>Помещение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хранения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для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физкультурного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зала</t>
    </r>
  </si>
  <si>
    <r>
      <rPr>
        <i/>
        <sz val="11"/>
        <rFont val="ISOCPEUR"/>
        <family val="2"/>
      </rPr>
      <t>2.41</t>
    </r>
  </si>
  <si>
    <r>
      <rPr>
        <i/>
        <sz val="11"/>
        <rFont val="ISOCPEUR"/>
        <family val="2"/>
      </rPr>
      <t>2.49</t>
    </r>
  </si>
  <si>
    <r>
      <rPr>
        <i/>
        <sz val="11"/>
        <rFont val="ISOCPEUR"/>
        <family val="2"/>
      </rPr>
      <t>Музыкальный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зал</t>
    </r>
  </si>
  <si>
    <r>
      <rPr>
        <i/>
        <sz val="11"/>
        <rFont val="ISOCPEUR"/>
        <family val="2"/>
      </rPr>
      <t>2.42</t>
    </r>
  </si>
  <si>
    <r>
      <rPr>
        <i/>
        <sz val="11"/>
        <rFont val="ISOCPEUR"/>
        <family val="2"/>
      </rPr>
      <t>2.50</t>
    </r>
  </si>
  <si>
    <r>
      <rPr>
        <i/>
        <sz val="11"/>
        <rFont val="ISOCPEUR"/>
        <family val="2"/>
      </rPr>
      <t>Помещение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хранения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для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музыкального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зала</t>
    </r>
  </si>
  <si>
    <r>
      <rPr>
        <i/>
        <sz val="11"/>
        <rFont val="ISOCPEUR"/>
        <family val="2"/>
      </rPr>
      <t>2.43</t>
    </r>
  </si>
  <si>
    <r>
      <rPr>
        <i/>
        <sz val="11"/>
        <rFont val="ISOCPEUR"/>
        <family val="2"/>
      </rPr>
      <t>2.44</t>
    </r>
  </si>
  <si>
    <r>
      <rPr>
        <i/>
        <sz val="11"/>
        <rFont val="ISOCPEUR"/>
        <family val="2"/>
      </rPr>
      <t>2.45</t>
    </r>
  </si>
  <si>
    <r>
      <rPr>
        <i/>
        <sz val="11"/>
        <rFont val="ISOCPEUR"/>
        <family val="2"/>
      </rPr>
      <t>2.51</t>
    </r>
  </si>
  <si>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проникновения</t>
    </r>
  </si>
  <si>
    <r>
      <rPr>
        <i/>
        <sz val="11"/>
        <rFont val="ISOCPEUR"/>
        <family val="2"/>
      </rPr>
      <t>2.52</t>
    </r>
  </si>
  <si>
    <r>
      <rPr>
        <i/>
        <sz val="11"/>
        <rFont val="ISOCPEUR"/>
        <family val="2"/>
      </rPr>
      <t>2.53</t>
    </r>
  </si>
  <si>
    <r>
      <rPr>
        <i/>
        <sz val="11"/>
        <rFont val="ISOCPEUR"/>
        <family val="2"/>
      </rPr>
      <t>Хозяйственная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кладовая</t>
    </r>
  </si>
  <si>
    <r>
      <rPr>
        <i/>
        <sz val="11"/>
        <rFont val="ISOCPEUR"/>
        <family val="2"/>
      </rPr>
      <t>2.54</t>
    </r>
  </si>
  <si>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"Бетоноконтакт";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штукатурка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цементно-песчаным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раствором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М100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(армированная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стальной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оцинкованной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сеткой);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проникновения;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шпатлёвка;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проникновения
</t>
    </r>
    <r>
      <rPr>
        <i/>
        <sz val="11"/>
        <rFont val="ISOCPEUR"/>
        <family val="2"/>
      </rPr>
      <t>δ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=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25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мм</t>
    </r>
  </si>
  <si>
    <r>
      <rPr>
        <i/>
        <sz val="11"/>
        <rFont val="ISOCPEUR"/>
        <family val="2"/>
      </rPr>
      <t>2.55</t>
    </r>
  </si>
  <si>
    <r>
      <rPr>
        <i/>
        <sz val="11"/>
        <rFont val="ISOCPEUR"/>
        <family val="2"/>
      </rPr>
      <t>2.56</t>
    </r>
  </si>
  <si>
    <r>
      <rPr>
        <i/>
        <sz val="11"/>
        <rFont val="ISOCPEUR"/>
        <family val="2"/>
      </rPr>
      <t>2.57</t>
    </r>
  </si>
  <si>
    <r>
      <rPr>
        <i/>
        <sz val="11"/>
        <rFont val="ISOCPEUR"/>
        <family val="2"/>
      </rPr>
      <t>2.58</t>
    </r>
  </si>
  <si>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затирка;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"Бетоноконтакт";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шпатлёвка;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проникновения
</t>
    </r>
    <r>
      <rPr>
        <i/>
        <sz val="11"/>
        <rFont val="ISOCPEUR"/>
        <family val="2"/>
      </rPr>
      <t>δ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=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5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мм</t>
    </r>
  </si>
  <si>
    <r>
      <rPr>
        <i/>
        <sz val="11"/>
        <rFont val="ISOCPEUR"/>
        <family val="2"/>
      </rPr>
      <t>3.01</t>
    </r>
  </si>
  <si>
    <r>
      <rPr>
        <i/>
        <sz val="11"/>
        <rFont val="ISOCPEUR"/>
        <family val="2"/>
      </rPr>
      <t>3.11</t>
    </r>
  </si>
  <si>
    <r>
      <rPr>
        <i/>
        <sz val="11"/>
        <rFont val="ISOCPEUR"/>
        <family val="2"/>
      </rPr>
      <t>3.02</t>
    </r>
  </si>
  <si>
    <r>
      <rPr>
        <i/>
        <sz val="11"/>
        <rFont val="ISOCPEUR"/>
        <family val="2"/>
      </rPr>
      <t>Кабинет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иностранного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языка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с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возможностью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деления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трансформируемой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перегородкой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на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два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помещения</t>
    </r>
  </si>
  <si>
    <r>
      <rPr>
        <i/>
        <sz val="11"/>
        <rFont val="ISOCPEUR"/>
        <family val="2"/>
      </rPr>
      <t>3.12</t>
    </r>
  </si>
  <si>
    <r>
      <rPr>
        <i/>
        <sz val="11"/>
        <rFont val="ISOCPEUR"/>
        <family val="2"/>
      </rPr>
      <t>Многофункциональн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ый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информационный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библиотечный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центр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с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зонами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для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индивидуальных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и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групповых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занятий,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медиатеки,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читательских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мест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и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выдачи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книг</t>
    </r>
  </si>
  <si>
    <r>
      <rPr>
        <i/>
        <sz val="11"/>
        <rFont val="ISOCPEUR"/>
        <family val="2"/>
      </rPr>
      <t>3.03</t>
    </r>
  </si>
  <si>
    <r>
      <rPr>
        <i/>
        <sz val="11"/>
        <rFont val="ISOCPEUR"/>
        <family val="2"/>
      </rPr>
      <t>Административный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кабинет</t>
    </r>
  </si>
  <si>
    <r>
      <rPr>
        <i/>
        <sz val="11"/>
        <rFont val="ISOCPEUR"/>
        <family val="2"/>
      </rPr>
      <t>3.13</t>
    </r>
  </si>
  <si>
    <r>
      <rPr>
        <i/>
        <sz val="11"/>
        <rFont val="ISOCPEUR"/>
        <family val="2"/>
      </rPr>
      <t>Книгохранилище</t>
    </r>
  </si>
  <si>
    <r>
      <rPr>
        <i/>
        <sz val="11"/>
        <rFont val="ISOCPEUR"/>
        <family val="2"/>
      </rPr>
      <t>3.04</t>
    </r>
  </si>
  <si>
    <r>
      <rPr>
        <i/>
        <sz val="11"/>
        <rFont val="ISOCPEUR"/>
        <family val="2"/>
      </rPr>
      <t>3.14</t>
    </r>
  </si>
  <si>
    <r>
      <rPr>
        <i/>
        <sz val="11"/>
        <rFont val="ISOCPEUR"/>
        <family val="2"/>
      </rPr>
      <t>3.05</t>
    </r>
  </si>
  <si>
    <r>
      <rPr>
        <i/>
        <sz val="11"/>
        <rFont val="ISOCPEUR"/>
        <family val="2"/>
      </rPr>
      <t>3.15</t>
    </r>
  </si>
  <si>
    <r>
      <rPr>
        <i/>
        <sz val="11"/>
        <rFont val="ISOCPEUR"/>
        <family val="2"/>
      </rPr>
      <t>3.06</t>
    </r>
  </si>
  <si>
    <r>
      <rPr>
        <i/>
        <sz val="11"/>
        <rFont val="ISOCPEUR"/>
        <family val="2"/>
      </rPr>
      <t>3.16</t>
    </r>
  </si>
  <si>
    <r>
      <rPr>
        <i/>
        <sz val="11"/>
        <rFont val="ISOCPEUR"/>
        <family val="2"/>
      </rPr>
      <t>3.07</t>
    </r>
  </si>
  <si>
    <r>
      <rPr>
        <i/>
        <sz val="11"/>
        <rFont val="ISOCPEUR"/>
        <family val="2"/>
      </rPr>
      <t>3.17</t>
    </r>
  </si>
  <si>
    <r>
      <rPr>
        <i/>
        <sz val="11"/>
        <rFont val="ISOCPEUR"/>
        <family val="2"/>
      </rPr>
      <t>3.08</t>
    </r>
  </si>
  <si>
    <r>
      <rPr>
        <i/>
        <sz val="11"/>
        <rFont val="ISOCPEUR"/>
        <family val="2"/>
      </rPr>
      <t>3.18</t>
    </r>
  </si>
  <si>
    <r>
      <rPr>
        <i/>
        <sz val="11"/>
        <rFont val="ISOCPEUR"/>
        <family val="2"/>
      </rPr>
      <t>3.09</t>
    </r>
  </si>
  <si>
    <r>
      <rPr>
        <i/>
        <sz val="11"/>
        <rFont val="ISOCPEUR"/>
        <family val="2"/>
      </rPr>
      <t>3.19</t>
    </r>
  </si>
  <si>
    <r>
      <rPr>
        <i/>
        <sz val="11"/>
        <rFont val="ISOCPEUR"/>
        <family val="2"/>
      </rPr>
      <t>3.20</t>
    </r>
  </si>
  <si>
    <r>
      <rPr>
        <i/>
        <sz val="11"/>
        <rFont val="ISOCPEUR"/>
        <family val="2"/>
      </rPr>
      <t>3.28</t>
    </r>
  </si>
  <si>
    <r>
      <rPr>
        <i/>
        <sz val="11"/>
        <rFont val="ISOCPEUR"/>
        <family val="2"/>
      </rPr>
      <t>3.21</t>
    </r>
  </si>
  <si>
    <r>
      <rPr>
        <i/>
        <sz val="11"/>
        <rFont val="ISOCPEUR"/>
        <family val="2"/>
      </rPr>
      <t>3.29</t>
    </r>
  </si>
  <si>
    <r>
      <rPr>
        <i/>
        <sz val="11"/>
        <rFont val="ISOCPEUR"/>
        <family val="2"/>
      </rPr>
      <t xml:space="preserve">(армированная
</t>
    </r>
    <r>
      <rPr>
        <i/>
        <sz val="11"/>
        <rFont val="ISOCPEUR"/>
        <family val="2"/>
      </rPr>
      <t>стекловолоконной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или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пластиковой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сеткой);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глубокого</t>
    </r>
  </si>
  <si>
    <r>
      <rPr>
        <i/>
        <sz val="11"/>
        <rFont val="ISOCPEUR"/>
        <family val="2"/>
      </rPr>
      <t>3.23</t>
    </r>
  </si>
  <si>
    <r>
      <rPr>
        <i/>
        <sz val="11"/>
        <rFont val="ISOCPEUR"/>
        <family val="2"/>
      </rPr>
      <t>3.31</t>
    </r>
  </si>
  <si>
    <r>
      <rPr>
        <i/>
        <sz val="11"/>
        <rFont val="ISOCPEUR"/>
        <family val="2"/>
      </rPr>
      <t>Шпатлевание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стен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выполнять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выше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отм.
</t>
    </r>
    <r>
      <rPr>
        <i/>
        <sz val="11"/>
        <rFont val="ISOCPEUR"/>
        <family val="2"/>
      </rPr>
      <t>+2,200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от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ур.</t>
    </r>
  </si>
  <si>
    <r>
      <rPr>
        <i/>
        <sz val="11"/>
        <rFont val="ISOCPEUR"/>
        <family val="2"/>
      </rPr>
      <t>3.24</t>
    </r>
  </si>
  <si>
    <r>
      <rPr>
        <i/>
        <sz val="11"/>
        <rFont val="ISOCPEUR"/>
        <family val="2"/>
      </rPr>
      <t>3.32</t>
    </r>
  </si>
  <si>
    <r>
      <rPr>
        <i/>
        <sz val="11"/>
        <rFont val="ISOCPEUR"/>
        <family val="2"/>
      </rPr>
      <t xml:space="preserve">черновой
</t>
    </r>
    <r>
      <rPr>
        <i/>
        <sz val="11"/>
        <rFont val="ISOCPEUR"/>
        <family val="2"/>
      </rPr>
      <t>отделке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выполнять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при</t>
    </r>
  </si>
  <si>
    <r>
      <rPr>
        <i/>
        <sz val="11"/>
        <rFont val="ISOCPEUR"/>
        <family val="2"/>
      </rPr>
      <t>3.25</t>
    </r>
  </si>
  <si>
    <r>
      <rPr>
        <i/>
        <sz val="11"/>
        <rFont val="ISOCPEUR"/>
        <family val="2"/>
      </rPr>
      <t>3.33</t>
    </r>
  </si>
  <si>
    <r>
      <rPr>
        <i/>
        <sz val="11"/>
        <rFont val="ISOCPEUR"/>
        <family val="2"/>
      </rPr>
      <t>Помещение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(open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space)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для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администрации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,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с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рабочими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местами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для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музыкального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руководителя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воспитателя</t>
    </r>
  </si>
  <si>
    <r>
      <rPr>
        <i/>
        <sz val="11"/>
        <rFont val="ISOCPEUR"/>
        <family val="2"/>
      </rPr>
      <t>3.26</t>
    </r>
  </si>
  <si>
    <r>
      <rPr>
        <i/>
        <sz val="11"/>
        <rFont val="ISOCPEUR"/>
        <family val="2"/>
      </rPr>
      <t>3.34</t>
    </r>
  </si>
  <si>
    <r>
      <rPr>
        <i/>
        <sz val="11"/>
        <rFont val="ISOCPEUR"/>
        <family val="2"/>
      </rPr>
      <t>Вспомогательное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помещение</t>
    </r>
  </si>
  <si>
    <r>
      <rPr>
        <i/>
        <sz val="11"/>
        <rFont val="ISOCPEUR"/>
        <family val="2"/>
      </rPr>
      <t>3.27</t>
    </r>
  </si>
  <si>
    <r>
      <rPr>
        <i/>
        <sz val="11"/>
        <rFont val="ISOCPEUR"/>
        <family val="2"/>
      </rPr>
      <t>3.35</t>
    </r>
  </si>
  <si>
    <r>
      <rPr>
        <i/>
        <sz val="11"/>
        <rFont val="ISOCPEUR"/>
        <family val="2"/>
      </rPr>
      <t>Кабинет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для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развивающих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занятий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с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возможностью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зонирования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раздвижной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трансформируемой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перегородкой</t>
    </r>
  </si>
  <si>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"Бетоноконтакт";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штукатурка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цементно-песчаным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раствором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М100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(армированная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стекловолоконной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или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пластиковой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сеткой);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проникновения;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шпатлёвка;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проникновения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δ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=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25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мм</t>
    </r>
  </si>
  <si>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проникновения;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штукатурка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цементно-песчаным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раствором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М100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(армированная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стекловолоконной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или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пластиковой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сеткой);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проникновения;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шпатлёвка;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проникновения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δ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=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25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мм</t>
    </r>
  </si>
  <si>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проникновения</t>
    </r>
  </si>
  <si>
    <r>
      <rPr>
        <i/>
        <sz val="11"/>
        <rFont val="ISOCPEUR"/>
        <family val="2"/>
      </rPr>
      <t>3.36</t>
    </r>
  </si>
  <si>
    <r>
      <rPr>
        <i/>
        <sz val="11"/>
        <rFont val="ISOCPEUR"/>
        <family val="2"/>
      </rPr>
      <t>Помещение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приёма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и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сортировки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грязного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белья</t>
    </r>
  </si>
  <si>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"Бетоноконтакт";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штукатурка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цементно-песчаным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раствором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М100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(армированная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стекловолоконной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или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пластиковой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сеткой);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проникновения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δ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=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20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мм</t>
    </r>
  </si>
  <si>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проникновения;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штукатурка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цементно-песчаным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раствором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М100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(армированная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стекловолоконной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или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пластиковой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сеткой);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проникновения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δ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=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20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мм</t>
    </r>
  </si>
  <si>
    <r>
      <rPr>
        <i/>
        <sz val="11"/>
        <rFont val="ISOCPEUR"/>
        <family val="2"/>
      </rPr>
      <t>3.37</t>
    </r>
  </si>
  <si>
    <r>
      <rPr>
        <i/>
        <sz val="11"/>
        <rFont val="ISOCPEUR"/>
        <family val="2"/>
      </rPr>
      <t>Комната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чистого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белья</t>
    </r>
  </si>
  <si>
    <r>
      <rPr>
        <i/>
        <sz val="11"/>
        <rFont val="ISOCPEUR"/>
        <family val="2"/>
      </rPr>
      <t>3.38</t>
    </r>
  </si>
  <si>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"Бетоноконтакт";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штукатурка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цементно-песчаным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раствором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М100
</t>
    </r>
    <r>
      <rPr>
        <i/>
        <sz val="11"/>
        <rFont val="ISOCPEUR"/>
        <family val="2"/>
      </rPr>
      <t>(армированная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стальной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оцинкованной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сеткой);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проникновения;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шпатлёвка;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проникновения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δ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=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25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мм</t>
    </r>
  </si>
  <si>
    <r>
      <rPr>
        <i/>
        <sz val="11"/>
        <rFont val="ISOCPEUR"/>
        <family val="2"/>
      </rPr>
      <t>3.39</t>
    </r>
  </si>
  <si>
    <r>
      <rPr>
        <i/>
        <sz val="11"/>
        <rFont val="ISOCPEUR"/>
        <family val="2"/>
      </rPr>
      <t>3.40</t>
    </r>
  </si>
  <si>
    <r>
      <rPr>
        <i/>
        <sz val="11"/>
        <rFont val="ISOCPEUR"/>
        <family val="2"/>
      </rPr>
      <t>3.41</t>
    </r>
  </si>
  <si>
    <r>
      <rPr>
        <i/>
        <sz val="11"/>
        <rFont val="ISOCPEUR"/>
        <family val="2"/>
      </rPr>
      <t>3.42</t>
    </r>
  </si>
  <si>
    <r>
      <rPr>
        <i/>
        <sz val="11"/>
        <rFont val="ISOCPEUR"/>
        <family val="2"/>
      </rPr>
      <t>3.43</t>
    </r>
  </si>
  <si>
    <r>
      <rPr>
        <i/>
        <sz val="11"/>
        <rFont val="ISOCPEUR"/>
        <family val="2"/>
      </rPr>
      <t>3.44</t>
    </r>
  </si>
  <si>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"Бетоноконтакт";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гипсовая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штукатурка;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проникновения;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шпатлёвка;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проникновения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δ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=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25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мм</t>
    </r>
  </si>
  <si>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проникновения;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гипсовая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штукатурка;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проникновения;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шпатлёвка;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проникновения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δ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=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25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мм</t>
    </r>
  </si>
  <si>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затирка;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"Бетоноконтакт";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шпатлёвка;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проникновения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δ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=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5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мм</t>
    </r>
  </si>
  <si>
    <r>
      <rPr>
        <i/>
        <sz val="11"/>
        <rFont val="ISOCPEUR"/>
        <family val="2"/>
      </rPr>
      <t>3.45</t>
    </r>
  </si>
  <si>
    <t>Утеплитель</t>
  </si>
  <si>
    <r>
      <rPr>
        <i/>
        <sz val="15.5"/>
        <rFont val="ISOCPEUR"/>
        <family val="2"/>
      </rPr>
      <t>Ведомость</t>
    </r>
    <r>
      <rPr>
        <sz val="15.5"/>
        <rFont val="Times New Roman"/>
        <family val="1"/>
      </rPr>
      <t xml:space="preserve">  </t>
    </r>
    <r>
      <rPr>
        <i/>
        <sz val="15.5"/>
        <rFont val="ISOCPEUR"/>
        <family val="2"/>
      </rPr>
      <t>отделки</t>
    </r>
    <r>
      <rPr>
        <sz val="15.5"/>
        <rFont val="Times New Roman"/>
        <family val="1"/>
      </rPr>
      <t xml:space="preserve">  </t>
    </r>
    <r>
      <rPr>
        <i/>
        <sz val="15.5"/>
        <rFont val="ISOCPEUR"/>
        <family val="2"/>
      </rPr>
      <t>помещений</t>
    </r>
    <r>
      <rPr>
        <sz val="15.5"/>
        <rFont val="Times New Roman"/>
        <family val="1"/>
      </rPr>
      <t xml:space="preserve">  </t>
    </r>
  </si>
  <si>
    <r>
      <rPr>
        <i/>
        <sz val="11"/>
        <rFont val="ISOCPEUR"/>
        <family val="2"/>
      </rPr>
      <t>Шпатлевание стен
выполнять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выше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отм.
+2,200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от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ур.</t>
    </r>
  </si>
  <si>
    <t>3.01</t>
  </si>
  <si>
    <t>3.02</t>
  </si>
  <si>
    <t>3.03</t>
  </si>
  <si>
    <t>3.04</t>
  </si>
  <si>
    <t>3.05</t>
  </si>
  <si>
    <t>3.06</t>
  </si>
  <si>
    <t>3.07</t>
  </si>
  <si>
    <t>3.08</t>
  </si>
  <si>
    <t>3.09</t>
  </si>
  <si>
    <t>3.11</t>
  </si>
  <si>
    <t>3.12</t>
  </si>
  <si>
    <t>3.13</t>
  </si>
  <si>
    <t>3.14</t>
  </si>
  <si>
    <t>3.15</t>
  </si>
  <si>
    <t>3.16</t>
  </si>
  <si>
    <t>3.17</t>
  </si>
  <si>
    <t>3.18</t>
  </si>
  <si>
    <t>3.19</t>
  </si>
  <si>
    <t>3.28</t>
  </si>
  <si>
    <t>3.29</t>
  </si>
  <si>
    <t>3.31</t>
  </si>
  <si>
    <t>3.32</t>
  </si>
  <si>
    <t>3.33</t>
  </si>
  <si>
    <t>3.34</t>
  </si>
  <si>
    <t>3.35</t>
  </si>
  <si>
    <t>3.36</t>
  </si>
  <si>
    <t>3.37</t>
  </si>
  <si>
    <t>3.38</t>
  </si>
  <si>
    <t>3.39</t>
  </si>
  <si>
    <t>3.40</t>
  </si>
  <si>
    <t>3.41</t>
  </si>
  <si>
    <t>3.42</t>
  </si>
  <si>
    <t>3.43</t>
  </si>
  <si>
    <t>3.44</t>
  </si>
  <si>
    <t>3.45</t>
  </si>
  <si>
    <t>0.01</t>
  </si>
  <si>
    <t>0.02</t>
  </si>
  <si>
    <t>0.03</t>
  </si>
  <si>
    <t>0.04</t>
  </si>
  <si>
    <t>0.05</t>
  </si>
  <si>
    <t>0.06</t>
  </si>
  <si>
    <t>0.07</t>
  </si>
  <si>
    <t>0.08</t>
  </si>
  <si>
    <t>0.09</t>
  </si>
  <si>
    <t>0.10</t>
  </si>
  <si>
    <t>0.11</t>
  </si>
  <si>
    <t>0.12</t>
  </si>
  <si>
    <t>0.13</t>
  </si>
  <si>
    <t>0.14</t>
  </si>
  <si>
    <t>0.15</t>
  </si>
  <si>
    <t>0.16</t>
  </si>
  <si>
    <t>0.17</t>
  </si>
  <si>
    <t>0.18</t>
  </si>
  <si>
    <t>0.19</t>
  </si>
  <si>
    <t>0.20</t>
  </si>
  <si>
    <t>0.21</t>
  </si>
  <si>
    <t>0.22</t>
  </si>
  <si>
    <t>0.23</t>
  </si>
  <si>
    <t>0.24</t>
  </si>
  <si>
    <t>0.25</t>
  </si>
  <si>
    <t>0.26</t>
  </si>
  <si>
    <t>0.27</t>
  </si>
  <si>
    <t>0.28</t>
  </si>
  <si>
    <t>1.04</t>
  </si>
  <si>
    <t>2.01</t>
  </si>
  <si>
    <t>2.02</t>
  </si>
  <si>
    <t>2.03</t>
  </si>
  <si>
    <t>2.04</t>
  </si>
  <si>
    <t>2.05</t>
  </si>
  <si>
    <t>2.06</t>
  </si>
  <si>
    <t>2.07</t>
  </si>
  <si>
    <t>2.08</t>
  </si>
  <si>
    <t>2.09</t>
  </si>
  <si>
    <t>2.11</t>
  </si>
  <si>
    <t>2.12</t>
  </si>
  <si>
    <t>2.13</t>
  </si>
  <si>
    <t>2.14</t>
  </si>
  <si>
    <t>2.15</t>
  </si>
  <si>
    <t>2.16</t>
  </si>
  <si>
    <t>2.17</t>
  </si>
  <si>
    <t>2.18</t>
  </si>
  <si>
    <t>2.19</t>
  </si>
  <si>
    <t>2.20</t>
  </si>
  <si>
    <t>2.21</t>
  </si>
  <si>
    <t>2.22</t>
  </si>
  <si>
    <t>2.23</t>
  </si>
  <si>
    <t>2.24</t>
  </si>
  <si>
    <t>2.25</t>
  </si>
  <si>
    <t>2.26</t>
  </si>
  <si>
    <t>2.27</t>
  </si>
  <si>
    <t>2.28</t>
  </si>
  <si>
    <t>2.30</t>
  </si>
  <si>
    <t>2.31</t>
  </si>
  <si>
    <t>2.32</t>
  </si>
  <si>
    <t>2.33</t>
  </si>
  <si>
    <t>2.34</t>
  </si>
  <si>
    <t>2.35</t>
  </si>
  <si>
    <t>2.36</t>
  </si>
  <si>
    <t>2.37</t>
  </si>
  <si>
    <t>2.38</t>
  </si>
  <si>
    <t>2.39</t>
  </si>
  <si>
    <t>2.40</t>
  </si>
  <si>
    <t>2.41</t>
  </si>
  <si>
    <t>2.42</t>
  </si>
  <si>
    <t>2.43</t>
  </si>
  <si>
    <t>2.44</t>
  </si>
  <si>
    <t>2.45</t>
  </si>
  <si>
    <t>2.46</t>
  </si>
  <si>
    <t>2.47</t>
  </si>
  <si>
    <t>2.48</t>
  </si>
  <si>
    <t>2.49</t>
  </si>
  <si>
    <t>2.50</t>
  </si>
  <si>
    <t>2.51</t>
  </si>
  <si>
    <t>2.52</t>
  </si>
  <si>
    <t>2.53</t>
  </si>
  <si>
    <t>2.54</t>
  </si>
  <si>
    <t>2.55</t>
  </si>
  <si>
    <t>2.56</t>
  </si>
  <si>
    <t>2.57</t>
  </si>
  <si>
    <t>2.58</t>
  </si>
  <si>
    <t>1.01</t>
  </si>
  <si>
    <t>1.02</t>
  </si>
  <si>
    <t>1.03</t>
  </si>
  <si>
    <t>1.05</t>
  </si>
  <si>
    <t>1.06</t>
  </si>
  <si>
    <t>1.07</t>
  </si>
  <si>
    <t>1.08</t>
  </si>
  <si>
    <t>1.09</t>
  </si>
  <si>
    <t>1.10</t>
  </si>
  <si>
    <t>1.11</t>
  </si>
  <si>
    <t>1.12</t>
  </si>
  <si>
    <t>1.13</t>
  </si>
  <si>
    <t>1.14</t>
  </si>
  <si>
    <t>1.15</t>
  </si>
  <si>
    <t>1.16</t>
  </si>
  <si>
    <t>1.17</t>
  </si>
  <si>
    <t>1.18</t>
  </si>
  <si>
    <t>1.20</t>
  </si>
  <si>
    <t>1.21</t>
  </si>
  <si>
    <t>1.22</t>
  </si>
  <si>
    <t>1.23</t>
  </si>
  <si>
    <t>1.24</t>
  </si>
  <si>
    <t>1.25</t>
  </si>
  <si>
    <t>1.26</t>
  </si>
  <si>
    <t>1.27</t>
  </si>
  <si>
    <t>1.28</t>
  </si>
  <si>
    <t>1.29</t>
  </si>
  <si>
    <t>1.30</t>
  </si>
  <si>
    <t>1.31</t>
  </si>
  <si>
    <t>1.32</t>
  </si>
  <si>
    <t>1.33</t>
  </si>
  <si>
    <t>1.34</t>
  </si>
  <si>
    <t>1.35</t>
  </si>
  <si>
    <t>1.36</t>
  </si>
  <si>
    <t>1.37</t>
  </si>
  <si>
    <t>1.38</t>
  </si>
  <si>
    <t>1.39</t>
  </si>
  <si>
    <t>1.40</t>
  </si>
  <si>
    <t>1.41</t>
  </si>
  <si>
    <t>1.42</t>
  </si>
  <si>
    <t>1.43</t>
  </si>
  <si>
    <t>1.44</t>
  </si>
  <si>
    <t>1.45</t>
  </si>
  <si>
    <t>1.46</t>
  </si>
  <si>
    <t>1.47</t>
  </si>
  <si>
    <t>1.48</t>
  </si>
  <si>
    <t>1.49</t>
  </si>
  <si>
    <t>1.50</t>
  </si>
  <si>
    <t>1.51</t>
  </si>
  <si>
    <t>1.52</t>
  </si>
  <si>
    <t>1.53</t>
  </si>
  <si>
    <t>1.54</t>
  </si>
  <si>
    <t>1.55</t>
  </si>
  <si>
    <t>1.56</t>
  </si>
  <si>
    <t>1.57</t>
  </si>
  <si>
    <t>1.58</t>
  </si>
  <si>
    <t>1.59</t>
  </si>
  <si>
    <t>1.60</t>
  </si>
  <si>
    <t>1.61</t>
  </si>
  <si>
    <t>1.62</t>
  </si>
  <si>
    <t>1.63</t>
  </si>
  <si>
    <t>1.64</t>
  </si>
  <si>
    <t>1.65</t>
  </si>
  <si>
    <t>1.66</t>
  </si>
  <si>
    <t>1.67</t>
  </si>
  <si>
    <t>1.68</t>
  </si>
  <si>
    <t>1.69</t>
  </si>
  <si>
    <t>1.70</t>
  </si>
  <si>
    <t>1.71</t>
  </si>
  <si>
    <t>1.72</t>
  </si>
  <si>
    <t>1.73</t>
  </si>
  <si>
    <t>1.74</t>
  </si>
  <si>
    <t>1.75</t>
  </si>
  <si>
    <t>1.76</t>
  </si>
  <si>
    <t>1.77</t>
  </si>
  <si>
    <t>1.78</t>
  </si>
  <si>
    <t>1.79</t>
  </si>
  <si>
    <t>1.80</t>
  </si>
  <si>
    <t>1.81</t>
  </si>
  <si>
    <t>1.82</t>
  </si>
  <si>
    <r>
      <rPr>
        <i/>
        <sz val="10"/>
        <rFont val="ГОСТ тип А"/>
        <family val="2"/>
        <charset val="204"/>
      </rPr>
      <t>Ведомость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отделки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помещений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подвала</t>
    </r>
  </si>
  <si>
    <r>
      <rPr>
        <i/>
        <sz val="10"/>
        <rFont val="ГОСТ тип А"/>
        <family val="2"/>
        <charset val="204"/>
      </rPr>
      <t>Ном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ер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пом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еще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ния</t>
    </r>
  </si>
  <si>
    <r>
      <rPr>
        <i/>
        <sz val="10"/>
        <rFont val="ГОСТ тип А"/>
        <family val="2"/>
        <charset val="204"/>
      </rPr>
      <t>Площадь,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м²</t>
    </r>
  </si>
  <si>
    <r>
      <rPr>
        <i/>
        <sz val="10"/>
        <rFont val="ГОСТ тип А"/>
        <family val="2"/>
        <charset val="204"/>
      </rPr>
      <t>Ведомость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отделки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помещений</t>
    </r>
    <r>
      <rPr>
        <sz val="10"/>
        <rFont val="ГОСТ тип А"/>
        <family val="2"/>
        <charset val="204"/>
      </rPr>
      <t xml:space="preserve">  </t>
    </r>
  </si>
  <si>
    <r>
      <rPr>
        <i/>
        <sz val="10"/>
        <rFont val="ГОСТ тип А"/>
        <family val="2"/>
        <charset val="204"/>
      </rPr>
      <t>Номер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помещения</t>
    </r>
  </si>
  <si>
    <t>3.22-3.27</t>
  </si>
  <si>
    <t>Пропущены</t>
  </si>
  <si>
    <t>FK12</t>
  </si>
  <si>
    <t>Облицовка поверхности стен СКБ с затиркой швов / керамической, керамогранитной плиткой до 0,2м2/шт</t>
  </si>
  <si>
    <t>1, 2, 3 этажи. Тип: FK9</t>
  </si>
  <si>
    <t>м2</t>
  </si>
  <si>
    <t>1, 2, 3 этажи. Тип: FK16</t>
  </si>
  <si>
    <t>1 этаж. Тип: FK31</t>
  </si>
  <si>
    <t>Облицовка поверхности стен СКБ с затиркой швов / керамической, керамогранитной плиткой от 0,2м2/шт</t>
  </si>
  <si>
    <t>1, 2, 3 этажи. Тип: FK4</t>
  </si>
  <si>
    <t>1, 2, 3 этажи. Тип: FK10</t>
  </si>
  <si>
    <t>1, 2, 3 этажи. Тип: FK12</t>
  </si>
  <si>
    <t>1, 2, 3 этажи. Тип: FK27</t>
  </si>
  <si>
    <t>Ведомость работ и используемых материалов</t>
  </si>
  <si>
    <t>№ п.п.</t>
  </si>
  <si>
    <t>Наименование затрат</t>
  </si>
  <si>
    <t>Описание</t>
  </si>
  <si>
    <t>Ед. изм.</t>
  </si>
  <si>
    <t>Объем</t>
  </si>
  <si>
    <t>Облицовка поверхности стен СКБ с затиркой швов / керамической, керамогранитной плиткой</t>
  </si>
  <si>
    <t>Спецификация выполненных работ</t>
  </si>
  <si>
    <t>Помещения:</t>
  </si>
  <si>
    <t>Объем, м²</t>
  </si>
  <si>
    <t>1.06 Санузел для МГН 5,6</t>
  </si>
  <si>
    <t>сумма:</t>
  </si>
  <si>
    <t>Тип</t>
  </si>
  <si>
    <t>1.13 Санузел для девочек 15,0</t>
  </si>
  <si>
    <t>2.14 Санузел для мальчиков 8,1</t>
  </si>
  <si>
    <t>2.18 Инвентарная (снарядная) 30,6</t>
  </si>
  <si>
    <t>2.24 Санузел для девочек 15,0</t>
  </si>
  <si>
    <t>2.25 Санузел для мальчиков 15,0</t>
  </si>
  <si>
    <t>3.10 Санузел для девочек 15,1</t>
  </si>
  <si>
    <t>3.11 Санузел для мальчиков 15,1</t>
  </si>
  <si>
    <t>2.39 Туалет (в т.ч. МГН) 28,9</t>
  </si>
  <si>
    <t>2.46 Туалет (в т.ч. МГН) 28,9</t>
  </si>
  <si>
    <t>3.27 Туалет (в т.ч. МГН) 28,9</t>
  </si>
  <si>
    <t>3.32 Туалет (в т.ч. МГН) 28,9</t>
  </si>
  <si>
    <t>FK4</t>
  </si>
  <si>
    <t>FK10</t>
  </si>
  <si>
    <t>1, 2, 3 этажи. 
Тип: FK4</t>
  </si>
  <si>
    <t>1, 2, 3 этажи. 
Тип: FK10</t>
  </si>
  <si>
    <t>1.37 Умывальная 11,4</t>
  </si>
  <si>
    <t>1.38 Обеденный зал на 150 мест 165,9</t>
  </si>
  <si>
    <t>1.65 Буфет 6,3</t>
  </si>
  <si>
    <t>1.71 Буфет 6,3</t>
  </si>
  <si>
    <t>2.38 Буфет 6,3</t>
  </si>
  <si>
    <t>2.43 Буфет 6,3</t>
  </si>
  <si>
    <t>3.24 Буфет 6,3</t>
  </si>
  <si>
    <t>3.31 Буфет 6,3</t>
  </si>
  <si>
    <t>2.11 Раздевальная для мальчиков (МГН) 12,7</t>
  </si>
  <si>
    <t>2.20 Комната инструктора (с душем и туалетом) 16,7</t>
  </si>
  <si>
    <t>1.62 Туалет для МГН (для посетителей)</t>
  </si>
  <si>
    <t>1.66 Туалет (в т.ч. МГН)</t>
  </si>
  <si>
    <t>1.72 Туалет (в т.ч. МГН)</t>
  </si>
  <si>
    <t>1.76 Комната персонала с гардеробом, душем и туалетом</t>
  </si>
  <si>
    <t>2.22 Санузел персонала</t>
  </si>
  <si>
    <t>Итог:</t>
  </si>
  <si>
    <t>1, 2, 3 этажи. 
Тип: FK12</t>
  </si>
  <si>
    <t>1, 2, 3 этажи. 
Тип: FK16</t>
  </si>
  <si>
    <t>Гардероб для начальной школы</t>
  </si>
  <si>
    <t>Учебный кабинет 1 класс</t>
  </si>
  <si>
    <t>Игровая с возможностью организации спальных мест</t>
  </si>
  <si>
    <t>Холл</t>
  </si>
  <si>
    <t>Коридор</t>
  </si>
  <si>
    <t>Рекреация коридорного типа</t>
  </si>
  <si>
    <t>ЛК №1 (тип Н2)</t>
  </si>
  <si>
    <t>ЛК №4 (тип Н2)</t>
  </si>
  <si>
    <t>Обеденный зал на 150 мест</t>
  </si>
  <si>
    <t>Вестибюль с зоной для посетителей</t>
  </si>
  <si>
    <t>Раздевальная комната</t>
  </si>
  <si>
    <t>Групповая</t>
  </si>
  <si>
    <t>Спальная</t>
  </si>
  <si>
    <t xml:space="preserve">Групповая </t>
  </si>
  <si>
    <t>ЛК №5 (тип Н2)</t>
  </si>
  <si>
    <t>ЛК №6 (тип Л2)</t>
  </si>
  <si>
    <t xml:space="preserve">Коридор </t>
  </si>
  <si>
    <t>Спортивный зал 15х24 м</t>
  </si>
  <si>
    <t>Рекреация</t>
  </si>
  <si>
    <t>ЛК №4 (Тип Н2)</t>
  </si>
  <si>
    <t>Многофункциональный информационный библиотечный центр с зонами для индивидуальных и групповых занятий, медиатеки, хранения (закрытый фонд) и выдачи книг</t>
  </si>
  <si>
    <t>3.21</t>
  </si>
  <si>
    <t>3.25</t>
  </si>
  <si>
    <t>3.26</t>
  </si>
  <si>
    <t>3.30</t>
  </si>
  <si>
    <t>Штукатурка стен</t>
  </si>
  <si>
    <t>Многофункциональный информационный библиотечный центр</t>
  </si>
  <si>
    <t>Пом.</t>
  </si>
  <si>
    <t>Гипсовыми смесями финишная + грунт глубокого проникновения (в том числе "зеркала" под приборы отопления), м2</t>
  </si>
  <si>
    <t xml:space="preserve">Шпаклевка стен </t>
  </si>
  <si>
    <t>Комната охраны с диспетчерским пультом</t>
  </si>
  <si>
    <t>Санузел для МГН</t>
  </si>
  <si>
    <t>Гардероб для учителей</t>
  </si>
  <si>
    <t>Санузел для девочек</t>
  </si>
  <si>
    <t>Санузел для мальчиков</t>
  </si>
  <si>
    <t>1.19</t>
  </si>
  <si>
    <t>Кабинет Врача</t>
  </si>
  <si>
    <t>санузел персонала</t>
  </si>
  <si>
    <t>Артистическая</t>
  </si>
  <si>
    <t>Серверная</t>
  </si>
  <si>
    <t>ЛК №3 (тип Н2)</t>
  </si>
  <si>
    <t>Пост охраны</t>
  </si>
  <si>
    <t>Учебный кабинет 2-4 класс</t>
  </si>
  <si>
    <t>Лабораторно-исследовательский комплекс для изучения естесствознания</t>
  </si>
  <si>
    <t>Кабинет с рабочим местом для учителей</t>
  </si>
  <si>
    <t>Универсальное помещение с возможностью проведения занятий во внеурочное время в том числе для групп продленного дня</t>
  </si>
  <si>
    <t>2.10</t>
  </si>
  <si>
    <t>Раздевальная для девочек (МГН)</t>
  </si>
  <si>
    <t>Раздевальная для мальчиков (МГН)</t>
  </si>
  <si>
    <t>Раздевальная для мальчиков</t>
  </si>
  <si>
    <t>Раздевальная для девочек</t>
  </si>
  <si>
    <t>Комната инструктора (с душем и туалетом)</t>
  </si>
  <si>
    <t>Кабинет для индивидуальных занятий, в т.ч. С учителем-логопедом</t>
  </si>
  <si>
    <t>2.29</t>
  </si>
  <si>
    <t>Технический центр</t>
  </si>
  <si>
    <t>ЛК №1 (Тип Н2)</t>
  </si>
  <si>
    <t>ЛК №2 (Тип Н2)</t>
  </si>
  <si>
    <t>ЛК №3 (Тип Н2)</t>
  </si>
  <si>
    <t>Раздевальная</t>
  </si>
  <si>
    <t>Многофункциональный физкультурный зал для проведения активных игр и занятий с детьми</t>
  </si>
  <si>
    <t>Помещение хранения для физкультурного зала</t>
  </si>
  <si>
    <t>Кабинет иностранного языка с возможностью деления трансформируемой перегородкой на два помещения</t>
  </si>
  <si>
    <t>Административный кабинет</t>
  </si>
  <si>
    <t>3.10</t>
  </si>
  <si>
    <t>3.20</t>
  </si>
  <si>
    <t>3.23</t>
  </si>
  <si>
    <t>Помещения:2</t>
  </si>
  <si>
    <t>Шпаклевка колонн и простенкров толщиной до 500мм.</t>
  </si>
  <si>
    <t>Пом.:</t>
  </si>
  <si>
    <t>Штукатурка стен. Гипсовая по бетону + Бетонконтакт, м2.</t>
  </si>
  <si>
    <t>Штукатурка стен. Цементная + Грунт глубокого проникновения (по бетону и блоку ячеистому под плитку), м2.</t>
  </si>
  <si>
    <t>Штукатурка стен. Гипсовая по Блоку ячеистому, кирпичу и ПГП + Грунт глубокого проникновения, м2.</t>
  </si>
  <si>
    <t>Шпаклевка стен. Цементными смесями финишная + грунт глубокого проникновения, м2</t>
  </si>
  <si>
    <t>Шпаклевка стен. Гипсовыми смесями финишная + грунт глубокого проникновения, м2</t>
  </si>
  <si>
    <t>Цементными смесями финишная + грунт глубокого проникновения, м2</t>
  </si>
  <si>
    <t>Гипсовая по Блоку ячеистому, кирпичу и ПГП + Грунт глубокого проникновения, м2. Высота от пола h = 1.5 м.</t>
  </si>
  <si>
    <t>Цементная + Грунт глубокого проникновения (по бетону и блоку ячеистому под плитку), м2. Высота от пола h = 1.5 м.</t>
  </si>
  <si>
    <t>Гипсовая по бетону + Бетонконтакт, м2. Высота от пола h = 1.5 м.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</si>
</sst>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0.0"/>
    <numFmt numFmtId="165" formatCode="#,##0.000"/>
  </numFmts>
  <fonts count="24" x14ac:knownFonts="1">
    <font>
      <sz val="10"/>
      <color rgb="FF000000"/>
      <name val="Times New Roman"/>
      <charset val="204"/>
    </font>
    <font>
      <i/>
      <sz val="13"/>
      <name val="ISOCPEUR"/>
      <family val="2"/>
      <charset val="204"/>
    </font>
    <font>
      <i/>
      <sz val="11"/>
      <name val="ISOCPEUR"/>
      <family val="2"/>
      <charset val="204"/>
    </font>
    <font>
      <i/>
      <sz val="11"/>
      <color rgb="FF000000"/>
      <name val="ISOCPEUR"/>
      <family val="2"/>
    </font>
    <font>
      <i/>
      <sz val="15.5"/>
      <name val="ISOCPEUR"/>
      <family val="2"/>
    </font>
    <font>
      <sz val="15.5"/>
      <name val="Times New Roman"/>
      <family val="1"/>
    </font>
    <font>
      <i/>
      <sz val="13"/>
      <name val="ISOCPEUR"/>
      <family val="2"/>
    </font>
    <font>
      <sz val="13"/>
      <name val="Times New Roman"/>
      <family val="1"/>
    </font>
    <font>
      <i/>
      <sz val="11"/>
      <name val="ISOCPEUR"/>
      <family val="2"/>
    </font>
    <font>
      <sz val="11"/>
      <name val="Times New Roman"/>
      <family val="1"/>
    </font>
    <font>
      <sz val="15.5"/>
      <name val="Times New Roman"/>
      <family val="1"/>
      <charset val="204"/>
    </font>
    <font>
      <sz val="11"/>
      <name val="Times New Roman"/>
      <family val="1"/>
      <charset val="204"/>
    </font>
    <font>
      <sz val="10"/>
      <color rgb="FF000000"/>
      <name val="ГОСТ тип А"/>
      <family val="2"/>
      <charset val="204"/>
    </font>
    <font>
      <i/>
      <sz val="10"/>
      <name val="ГОСТ тип А"/>
      <family val="2"/>
      <charset val="204"/>
    </font>
    <font>
      <sz val="10"/>
      <name val="ГОСТ тип А"/>
      <family val="2"/>
      <charset val="204"/>
    </font>
    <font>
      <i/>
      <sz val="10"/>
      <color rgb="FF000000"/>
      <name val="ГОСТ тип А"/>
      <family val="2"/>
      <charset val="204"/>
    </font>
    <font>
      <b/>
      <sz val="14"/>
      <color rgb="FF000000"/>
      <name val="ГОСТ тип А"/>
      <family val="2"/>
      <charset val="204"/>
    </font>
    <font>
      <sz val="14"/>
      <color rgb="FF000000"/>
      <name val="ГОСТ тип А"/>
      <family val="2"/>
      <charset val="204"/>
    </font>
    <font>
      <b/>
      <sz val="14"/>
      <color rgb="FFFF0000"/>
      <name val="ГОСТ тип А"/>
      <family val="2"/>
      <charset val="204"/>
    </font>
    <font>
      <b/>
      <sz val="14"/>
      <color theme="1"/>
      <name val="ГОСТ тип А"/>
      <family val="2"/>
      <charset val="204"/>
    </font>
    <font>
      <sz val="14"/>
      <color theme="1"/>
      <name val="ГОСТ тип А"/>
      <family val="2"/>
      <charset val="204"/>
    </font>
    <font>
      <sz val="14"/>
      <name val="ГОСТ тип А"/>
      <family val="2"/>
      <charset val="204"/>
    </font>
    <font>
      <sz val="11"/>
      <name val="Calibri"/>
      <family val="2"/>
      <scheme val="minor"/>
    </font>
    <font>
      <sz val="12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</fills>
  <borders count="33">
    <border>
      <left/>
      <right/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260">
    <xf numFmtId="0" fontId="0" fillId="0" borderId="0" xfId="0" applyFill="1" applyBorder="1" applyAlignment="1">
      <alignment horizontal="left" vertical="top"/>
    </xf>
    <xf numFmtId="0" fontId="0" fillId="0" borderId="8" xfId="0" applyFill="1" applyBorder="1" applyAlignment="1">
      <alignment horizontal="left" vertical="top" wrapText="1"/>
    </xf>
    <xf numFmtId="0" fontId="0" fillId="0" borderId="9" xfId="0" applyFill="1" applyBorder="1" applyAlignment="1">
      <alignment horizontal="left" vertical="top" wrapText="1"/>
    </xf>
    <xf numFmtId="0" fontId="0" fillId="0" borderId="4" xfId="0" applyFill="1" applyBorder="1" applyAlignment="1">
      <alignment horizontal="left" vertical="top" wrapText="1"/>
    </xf>
    <xf numFmtId="0" fontId="0" fillId="0" borderId="10" xfId="0" applyFill="1" applyBorder="1" applyAlignment="1">
      <alignment horizontal="left" vertical="top" wrapText="1"/>
    </xf>
    <xf numFmtId="0" fontId="0" fillId="0" borderId="4" xfId="0" applyFill="1" applyBorder="1" applyAlignment="1">
      <alignment horizontal="left" vertical="center" wrapText="1" indent="3"/>
    </xf>
    <xf numFmtId="0" fontId="0" fillId="0" borderId="5" xfId="0" applyFill="1" applyBorder="1" applyAlignment="1">
      <alignment horizontal="left" vertical="top" wrapText="1"/>
    </xf>
    <xf numFmtId="0" fontId="2" fillId="0" borderId="4" xfId="0" applyFont="1" applyFill="1" applyBorder="1" applyAlignment="1">
      <alignment horizontal="center" vertical="center" wrapText="1"/>
    </xf>
    <xf numFmtId="0" fontId="0" fillId="0" borderId="4" xfId="0" applyFill="1" applyBorder="1" applyAlignment="1">
      <alignment horizontal="left" vertical="center" wrapText="1"/>
    </xf>
    <xf numFmtId="164" fontId="3" fillId="0" borderId="4" xfId="0" applyNumberFormat="1" applyFont="1" applyFill="1" applyBorder="1" applyAlignment="1">
      <alignment horizontal="center" vertical="center" shrinkToFit="1"/>
    </xf>
    <xf numFmtId="0" fontId="2" fillId="0" borderId="4" xfId="0" applyFont="1" applyFill="1" applyBorder="1" applyAlignment="1">
      <alignment horizontal="left" vertical="center" wrapText="1"/>
    </xf>
    <xf numFmtId="164" fontId="3" fillId="0" borderId="5" xfId="0" applyNumberFormat="1" applyFont="1" applyFill="1" applyBorder="1" applyAlignment="1">
      <alignment horizontal="center" vertical="center" shrinkToFit="1"/>
    </xf>
    <xf numFmtId="164" fontId="3" fillId="0" borderId="7" xfId="0" applyNumberFormat="1" applyFont="1" applyFill="1" applyBorder="1" applyAlignment="1">
      <alignment horizontal="center" vertical="center" shrinkToFit="1"/>
    </xf>
    <xf numFmtId="0" fontId="0" fillId="0" borderId="5" xfId="0" applyFill="1" applyBorder="1" applyAlignment="1">
      <alignment horizontal="left" vertical="center" wrapText="1"/>
    </xf>
    <xf numFmtId="164" fontId="3" fillId="0" borderId="5" xfId="0" applyNumberFormat="1" applyFont="1" applyFill="1" applyBorder="1" applyAlignment="1">
      <alignment horizontal="left" vertical="center" indent="2" shrinkToFit="1"/>
    </xf>
    <xf numFmtId="164" fontId="3" fillId="0" borderId="7" xfId="0" applyNumberFormat="1" applyFont="1" applyFill="1" applyBorder="1" applyAlignment="1">
      <alignment horizontal="left" vertical="center" indent="2" shrinkToFit="1"/>
    </xf>
    <xf numFmtId="0" fontId="2" fillId="0" borderId="5" xfId="0" applyFont="1" applyFill="1" applyBorder="1" applyAlignment="1">
      <alignment horizontal="left" vertical="center" wrapText="1"/>
    </xf>
    <xf numFmtId="0" fontId="2" fillId="0" borderId="8" xfId="0" applyFont="1" applyFill="1" applyBorder="1" applyAlignment="1">
      <alignment horizontal="left" vertical="center" wrapText="1"/>
    </xf>
    <xf numFmtId="0" fontId="2" fillId="0" borderId="10" xfId="0" applyFont="1" applyFill="1" applyBorder="1" applyAlignment="1">
      <alignment horizontal="left" vertical="center" wrapText="1"/>
    </xf>
    <xf numFmtId="164" fontId="3" fillId="0" borderId="8" xfId="0" applyNumberFormat="1" applyFont="1" applyFill="1" applyBorder="1" applyAlignment="1">
      <alignment horizontal="left" vertical="center" indent="2" shrinkToFit="1"/>
    </xf>
    <xf numFmtId="164" fontId="3" fillId="0" borderId="10" xfId="0" applyNumberFormat="1" applyFont="1" applyFill="1" applyBorder="1" applyAlignment="1">
      <alignment horizontal="left" vertical="center" indent="2" shrinkToFit="1"/>
    </xf>
    <xf numFmtId="164" fontId="3" fillId="0" borderId="8" xfId="0" applyNumberFormat="1" applyFont="1" applyFill="1" applyBorder="1" applyAlignment="1">
      <alignment horizontal="center" vertical="center" shrinkToFit="1"/>
    </xf>
    <xf numFmtId="0" fontId="0" fillId="0" borderId="8" xfId="0" applyFill="1" applyBorder="1" applyAlignment="1">
      <alignment horizontal="left" vertical="center" wrapText="1"/>
    </xf>
    <xf numFmtId="0" fontId="0" fillId="0" borderId="10" xfId="0" applyFill="1" applyBorder="1" applyAlignment="1">
      <alignment horizontal="left" vertical="center" wrapText="1"/>
    </xf>
    <xf numFmtId="164" fontId="3" fillId="0" borderId="11" xfId="0" applyNumberFormat="1" applyFont="1" applyFill="1" applyBorder="1" applyAlignment="1">
      <alignment horizontal="center" vertical="center" shrinkToFit="1"/>
    </xf>
    <xf numFmtId="164" fontId="3" fillId="0" borderId="13" xfId="0" applyNumberFormat="1" applyFont="1" applyFill="1" applyBorder="1" applyAlignment="1">
      <alignment horizontal="center" vertical="center" shrinkToFit="1"/>
    </xf>
    <xf numFmtId="164" fontId="3" fillId="0" borderId="15" xfId="0" applyNumberFormat="1" applyFont="1" applyFill="1" applyBorder="1" applyAlignment="1">
      <alignment horizontal="center" vertical="center" shrinkToFit="1"/>
    </xf>
    <xf numFmtId="164" fontId="3" fillId="0" borderId="1" xfId="0" applyNumberFormat="1" applyFont="1" applyFill="1" applyBorder="1" applyAlignment="1">
      <alignment horizontal="center" vertical="center" shrinkToFit="1"/>
    </xf>
    <xf numFmtId="0" fontId="2" fillId="0" borderId="11" xfId="0" applyFont="1" applyFill="1" applyBorder="1" applyAlignment="1">
      <alignment horizontal="left" vertical="center" wrapText="1"/>
    </xf>
    <xf numFmtId="0" fontId="2" fillId="0" borderId="15" xfId="0" applyFont="1" applyFill="1" applyBorder="1" applyAlignment="1">
      <alignment horizontal="left" vertical="center" wrapText="1"/>
    </xf>
    <xf numFmtId="0" fontId="0" fillId="0" borderId="11" xfId="0" applyFill="1" applyBorder="1" applyAlignment="1">
      <alignment horizontal="left" vertical="center" wrapText="1"/>
    </xf>
    <xf numFmtId="0" fontId="0" fillId="0" borderId="15" xfId="0" applyFill="1" applyBorder="1" applyAlignment="1">
      <alignment horizontal="left" vertical="center" wrapText="1"/>
    </xf>
    <xf numFmtId="164" fontId="3" fillId="0" borderId="11" xfId="0" applyNumberFormat="1" applyFont="1" applyFill="1" applyBorder="1" applyAlignment="1">
      <alignment horizontal="left" vertical="center" indent="2" shrinkToFit="1"/>
    </xf>
    <xf numFmtId="164" fontId="3" fillId="0" borderId="15" xfId="0" applyNumberFormat="1" applyFont="1" applyFill="1" applyBorder="1" applyAlignment="1">
      <alignment horizontal="left" vertical="center" indent="2" shrinkToFit="1"/>
    </xf>
    <xf numFmtId="0" fontId="0" fillId="0" borderId="11" xfId="0" applyFill="1" applyBorder="1" applyAlignment="1">
      <alignment horizontal="left" vertical="top" wrapText="1"/>
    </xf>
    <xf numFmtId="0" fontId="0" fillId="0" borderId="13" xfId="0" applyFill="1" applyBorder="1" applyAlignment="1">
      <alignment horizontal="left" vertical="top" wrapText="1"/>
    </xf>
    <xf numFmtId="0" fontId="0" fillId="0" borderId="15" xfId="0" applyFill="1" applyBorder="1" applyAlignment="1">
      <alignment horizontal="left" vertical="top" wrapText="1"/>
    </xf>
    <xf numFmtId="0" fontId="2" fillId="0" borderId="9" xfId="0" applyFont="1" applyFill="1" applyBorder="1" applyAlignment="1">
      <alignment horizontal="left" vertical="center" wrapText="1"/>
    </xf>
    <xf numFmtId="0" fontId="0" fillId="0" borderId="9" xfId="0" applyFill="1" applyBorder="1" applyAlignment="1">
      <alignment horizontal="left" vertical="center" wrapText="1"/>
    </xf>
    <xf numFmtId="164" fontId="3" fillId="0" borderId="14" xfId="0" applyNumberFormat="1" applyFont="1" applyFill="1" applyBorder="1" applyAlignment="1">
      <alignment horizontal="center" vertical="center" shrinkToFit="1"/>
    </xf>
    <xf numFmtId="164" fontId="3" fillId="0" borderId="2" xfId="0" applyNumberFormat="1" applyFont="1" applyFill="1" applyBorder="1" applyAlignment="1">
      <alignment horizontal="center" vertical="center" shrinkToFit="1"/>
    </xf>
    <xf numFmtId="0" fontId="2" fillId="0" borderId="14" xfId="0" applyFont="1" applyFill="1" applyBorder="1" applyAlignment="1">
      <alignment horizontal="left" vertical="center" wrapText="1"/>
    </xf>
    <xf numFmtId="164" fontId="3" fillId="0" borderId="14" xfId="0" applyNumberFormat="1" applyFont="1" applyFill="1" applyBorder="1" applyAlignment="1">
      <alignment horizontal="left" vertical="center" indent="2" shrinkToFit="1"/>
    </xf>
    <xf numFmtId="164" fontId="3" fillId="0" borderId="2" xfId="0" applyNumberFormat="1" applyFont="1" applyFill="1" applyBorder="1" applyAlignment="1">
      <alignment horizontal="left" vertical="center" indent="2" shrinkToFit="1"/>
    </xf>
    <xf numFmtId="0" fontId="0" fillId="0" borderId="14" xfId="0" applyFill="1" applyBorder="1" applyAlignment="1">
      <alignment horizontal="left" vertical="center" wrapText="1"/>
    </xf>
    <xf numFmtId="164" fontId="3" fillId="0" borderId="9" xfId="0" applyNumberFormat="1" applyFont="1" applyFill="1" applyBorder="1" applyAlignment="1">
      <alignment horizontal="center" vertical="center" shrinkToFit="1"/>
    </xf>
    <xf numFmtId="0" fontId="0" fillId="0" borderId="9" xfId="0" applyFill="1" applyBorder="1" applyAlignment="1">
      <alignment horizontal="left" wrapText="1"/>
    </xf>
    <xf numFmtId="0" fontId="0" fillId="0" borderId="14" xfId="0" applyFill="1" applyBorder="1" applyAlignment="1">
      <alignment horizontal="left" wrapText="1"/>
    </xf>
    <xf numFmtId="0" fontId="0" fillId="0" borderId="0" xfId="0" applyFill="1" applyBorder="1" applyAlignment="1">
      <alignment horizontal="left" wrapText="1"/>
    </xf>
    <xf numFmtId="0" fontId="0" fillId="0" borderId="2" xfId="0" applyFill="1" applyBorder="1" applyAlignment="1">
      <alignment horizontal="left" wrapText="1"/>
    </xf>
    <xf numFmtId="0" fontId="0" fillId="0" borderId="14" xfId="0" applyFill="1" applyBorder="1" applyAlignment="1">
      <alignment horizontal="left" vertical="top" wrapText="1"/>
    </xf>
    <xf numFmtId="0" fontId="0" fillId="0" borderId="4" xfId="0" applyFill="1" applyBorder="1" applyAlignment="1">
      <alignment horizontal="center" vertical="center" wrapText="1"/>
    </xf>
    <xf numFmtId="164" fontId="3" fillId="0" borderId="4" xfId="0" applyNumberFormat="1" applyFont="1" applyFill="1" applyBorder="1" applyAlignment="1">
      <alignment horizontal="right" vertical="center" indent="3" shrinkToFit="1"/>
    </xf>
    <xf numFmtId="164" fontId="3" fillId="0" borderId="4" xfId="0" applyNumberFormat="1" applyFont="1" applyFill="1" applyBorder="1" applyAlignment="1">
      <alignment horizontal="right" vertical="center" indent="2" shrinkToFit="1"/>
    </xf>
    <xf numFmtId="0" fontId="0" fillId="0" borderId="14" xfId="0" applyFill="1" applyBorder="1" applyAlignment="1">
      <alignment horizontal="left" wrapText="1" indent="63"/>
    </xf>
    <xf numFmtId="0" fontId="0" fillId="0" borderId="0" xfId="0" applyFill="1" applyBorder="1" applyAlignment="1">
      <alignment horizontal="left" wrapText="1" indent="63"/>
    </xf>
    <xf numFmtId="0" fontId="0" fillId="0" borderId="2" xfId="0" applyFill="1" applyBorder="1" applyAlignment="1">
      <alignment horizontal="left" wrapText="1" indent="63"/>
    </xf>
    <xf numFmtId="0" fontId="2" fillId="0" borderId="9" xfId="0" applyFont="1" applyFill="1" applyBorder="1" applyAlignment="1">
      <alignment horizontal="center" vertical="top" wrapText="1"/>
    </xf>
    <xf numFmtId="0" fontId="2" fillId="0" borderId="9" xfId="0" applyFont="1" applyFill="1" applyBorder="1" applyAlignment="1">
      <alignment horizontal="left" vertical="top" wrapText="1"/>
    </xf>
    <xf numFmtId="164" fontId="3" fillId="0" borderId="9" xfId="0" applyNumberFormat="1" applyFont="1" applyFill="1" applyBorder="1" applyAlignment="1">
      <alignment horizontal="center" vertical="top" shrinkToFit="1"/>
    </xf>
    <xf numFmtId="0" fontId="2" fillId="0" borderId="9" xfId="0" applyFont="1" applyFill="1" applyBorder="1" applyAlignment="1">
      <alignment horizontal="center" vertical="center" wrapText="1"/>
    </xf>
    <xf numFmtId="164" fontId="3" fillId="0" borderId="9" xfId="0" applyNumberFormat="1" applyFont="1" applyFill="1" applyBorder="1" applyAlignment="1">
      <alignment horizontal="right" vertical="center" indent="2" shrinkToFit="1"/>
    </xf>
    <xf numFmtId="164" fontId="3" fillId="0" borderId="14" xfId="0" applyNumberFormat="1" applyFont="1" applyFill="1" applyBorder="1" applyAlignment="1">
      <alignment horizontal="left" vertical="top" indent="2" shrinkToFit="1"/>
    </xf>
    <xf numFmtId="164" fontId="3" fillId="0" borderId="2" xfId="0" applyNumberFormat="1" applyFont="1" applyFill="1" applyBorder="1" applyAlignment="1">
      <alignment horizontal="left" vertical="top" indent="2" shrinkToFit="1"/>
    </xf>
    <xf numFmtId="0" fontId="2" fillId="0" borderId="14" xfId="0" applyFont="1" applyFill="1" applyBorder="1" applyAlignment="1">
      <alignment horizontal="left" vertical="top" wrapText="1"/>
    </xf>
    <xf numFmtId="164" fontId="3" fillId="0" borderId="9" xfId="0" applyNumberFormat="1" applyFont="1" applyFill="1" applyBorder="1" applyAlignment="1">
      <alignment horizontal="right" vertical="top" indent="2" shrinkToFit="1"/>
    </xf>
    <xf numFmtId="164" fontId="3" fillId="0" borderId="14" xfId="0" applyNumberFormat="1" applyFont="1" applyFill="1" applyBorder="1" applyAlignment="1">
      <alignment horizontal="center" vertical="top" shrinkToFit="1"/>
    </xf>
    <xf numFmtId="164" fontId="3" fillId="0" borderId="2" xfId="0" applyNumberFormat="1" applyFont="1" applyFill="1" applyBorder="1" applyAlignment="1">
      <alignment horizontal="center" vertical="top" shrinkToFit="1"/>
    </xf>
    <xf numFmtId="164" fontId="3" fillId="0" borderId="9" xfId="0" applyNumberFormat="1" applyFont="1" applyFill="1" applyBorder="1" applyAlignment="1">
      <alignment horizontal="right" vertical="center" indent="3" shrinkToFit="1"/>
    </xf>
    <xf numFmtId="0" fontId="2" fillId="0" borderId="9" xfId="0" applyFont="1" applyFill="1" applyBorder="1" applyAlignment="1">
      <alignment horizontal="center" wrapText="1"/>
    </xf>
    <xf numFmtId="164" fontId="3" fillId="0" borderId="9" xfId="0" applyNumberFormat="1" applyFont="1" applyFill="1" applyBorder="1" applyAlignment="1">
      <alignment horizontal="right" indent="3" shrinkToFit="1"/>
    </xf>
    <xf numFmtId="0" fontId="2" fillId="0" borderId="9" xfId="0" applyFont="1" applyFill="1" applyBorder="1" applyAlignment="1">
      <alignment horizontal="left" wrapText="1"/>
    </xf>
    <xf numFmtId="164" fontId="3" fillId="0" borderId="9" xfId="0" applyNumberFormat="1" applyFont="1" applyFill="1" applyBorder="1" applyAlignment="1">
      <alignment horizontal="center" shrinkToFit="1"/>
    </xf>
    <xf numFmtId="164" fontId="3" fillId="0" borderId="14" xfId="0" applyNumberFormat="1" applyFont="1" applyFill="1" applyBorder="1" applyAlignment="1">
      <alignment horizontal="center" shrinkToFit="1"/>
    </xf>
    <xf numFmtId="164" fontId="3" fillId="0" borderId="2" xfId="0" applyNumberFormat="1" applyFont="1" applyFill="1" applyBorder="1" applyAlignment="1">
      <alignment horizontal="center" shrinkToFit="1"/>
    </xf>
    <xf numFmtId="164" fontId="3" fillId="0" borderId="14" xfId="0" applyNumberFormat="1" applyFont="1" applyFill="1" applyBorder="1" applyAlignment="1">
      <alignment horizontal="left" indent="2" shrinkToFit="1"/>
    </xf>
    <xf numFmtId="164" fontId="3" fillId="0" borderId="9" xfId="0" applyNumberFormat="1" applyFont="1" applyFill="1" applyBorder="1" applyAlignment="1">
      <alignment horizontal="right" indent="2" shrinkToFit="1"/>
    </xf>
    <xf numFmtId="164" fontId="3" fillId="0" borderId="9" xfId="0" applyNumberFormat="1" applyFont="1" applyFill="1" applyBorder="1" applyAlignment="1">
      <alignment horizontal="right" vertical="top" indent="3" shrinkToFit="1"/>
    </xf>
    <xf numFmtId="0" fontId="0" fillId="0" borderId="14" xfId="0" applyFill="1" applyBorder="1" applyAlignment="1">
      <alignment horizontal="left" wrapText="1" indent="2"/>
    </xf>
    <xf numFmtId="0" fontId="0" fillId="0" borderId="8" xfId="0" applyFill="1" applyBorder="1" applyAlignment="1">
      <alignment horizontal="left" vertical="top" wrapText="1"/>
    </xf>
    <xf numFmtId="0" fontId="1" fillId="0" borderId="5" xfId="0" applyFont="1" applyFill="1" applyBorder="1" applyAlignment="1">
      <alignment horizontal="center" vertical="top" wrapText="1"/>
    </xf>
    <xf numFmtId="0" fontId="1" fillId="0" borderId="7" xfId="0" applyFont="1" applyFill="1" applyBorder="1" applyAlignment="1">
      <alignment horizontal="center" vertical="top" wrapText="1"/>
    </xf>
    <xf numFmtId="164" fontId="3" fillId="0" borderId="5" xfId="0" applyNumberFormat="1" applyFont="1" applyFill="1" applyBorder="1" applyAlignment="1">
      <alignment horizontal="center" vertical="center" shrinkToFit="1"/>
    </xf>
    <xf numFmtId="164" fontId="3" fillId="0" borderId="6" xfId="0" applyNumberFormat="1" applyFont="1" applyFill="1" applyBorder="1" applyAlignment="1">
      <alignment horizontal="center" vertical="center" shrinkToFit="1"/>
    </xf>
    <xf numFmtId="164" fontId="3" fillId="0" borderId="8" xfId="0" applyNumberFormat="1" applyFont="1" applyFill="1" applyBorder="1" applyAlignment="1">
      <alignment horizontal="left" vertical="center" indent="2" shrinkToFit="1"/>
    </xf>
    <xf numFmtId="164" fontId="3" fillId="0" borderId="8" xfId="0" applyNumberFormat="1" applyFont="1" applyFill="1" applyBorder="1" applyAlignment="1">
      <alignment horizontal="center" vertical="center" shrinkToFit="1"/>
    </xf>
    <xf numFmtId="164" fontId="3" fillId="0" borderId="6" xfId="0" applyNumberFormat="1" applyFont="1" applyFill="1" applyBorder="1" applyAlignment="1">
      <alignment horizontal="left" vertical="center" indent="2" shrinkToFit="1"/>
    </xf>
    <xf numFmtId="164" fontId="3" fillId="0" borderId="11" xfId="0" applyNumberFormat="1" applyFont="1" applyFill="1" applyBorder="1" applyAlignment="1">
      <alignment horizontal="center" vertical="center" shrinkToFit="1"/>
    </xf>
    <xf numFmtId="164" fontId="3" fillId="0" borderId="12" xfId="0" applyNumberFormat="1" applyFont="1" applyFill="1" applyBorder="1" applyAlignment="1">
      <alignment horizontal="center" vertical="center" shrinkToFit="1"/>
    </xf>
    <xf numFmtId="164" fontId="3" fillId="0" borderId="3" xfId="0" applyNumberFormat="1" applyFont="1" applyFill="1" applyBorder="1" applyAlignment="1">
      <alignment horizontal="center" vertical="center" shrinkToFit="1"/>
    </xf>
    <xf numFmtId="164" fontId="3" fillId="0" borderId="9" xfId="0" applyNumberFormat="1" applyFont="1" applyFill="1" applyBorder="1" applyAlignment="1">
      <alignment horizontal="center" vertical="center" shrinkToFit="1"/>
    </xf>
    <xf numFmtId="0" fontId="0" fillId="0" borderId="15" xfId="0" applyFill="1" applyBorder="1" applyAlignment="1">
      <alignment horizontal="left" wrapText="1"/>
    </xf>
    <xf numFmtId="0" fontId="0" fillId="0" borderId="3" xfId="0" applyFill="1" applyBorder="1" applyAlignment="1">
      <alignment horizontal="left" wrapText="1"/>
    </xf>
    <xf numFmtId="0" fontId="0" fillId="0" borderId="14" xfId="0" applyFill="1" applyBorder="1" applyAlignment="1">
      <alignment horizontal="left" vertical="top" wrapText="1"/>
    </xf>
    <xf numFmtId="164" fontId="3" fillId="0" borderId="9" xfId="0" applyNumberFormat="1" applyFont="1" applyFill="1" applyBorder="1" applyAlignment="1">
      <alignment horizontal="center" vertical="top" shrinkToFit="1"/>
    </xf>
    <xf numFmtId="0" fontId="0" fillId="0" borderId="0" xfId="0" applyFill="1" applyBorder="1" applyAlignment="1">
      <alignment vertical="top"/>
    </xf>
    <xf numFmtId="0" fontId="0" fillId="0" borderId="16" xfId="0" applyFill="1" applyBorder="1" applyAlignment="1">
      <alignment horizontal="left" vertical="center" wrapText="1" indent="3"/>
    </xf>
    <xf numFmtId="0" fontId="0" fillId="0" borderId="16" xfId="0" applyFill="1" applyBorder="1" applyAlignment="1">
      <alignment horizontal="left" vertical="top" wrapText="1"/>
    </xf>
    <xf numFmtId="0" fontId="0" fillId="0" borderId="16" xfId="0" applyFill="1" applyBorder="1" applyAlignment="1">
      <alignment horizontal="left" vertical="center" wrapText="1" indent="1"/>
    </xf>
    <xf numFmtId="0" fontId="2" fillId="0" borderId="16" xfId="0" applyFont="1" applyFill="1" applyBorder="1" applyAlignment="1">
      <alignment horizontal="center" vertical="center" wrapText="1"/>
    </xf>
    <xf numFmtId="0" fontId="0" fillId="0" borderId="16" xfId="0" applyFill="1" applyBorder="1" applyAlignment="1">
      <alignment horizontal="left" vertical="center" wrapText="1"/>
    </xf>
    <xf numFmtId="164" fontId="3" fillId="0" borderId="16" xfId="0" applyNumberFormat="1" applyFont="1" applyFill="1" applyBorder="1" applyAlignment="1">
      <alignment horizontal="center" vertical="center" shrinkToFit="1"/>
    </xf>
    <xf numFmtId="0" fontId="2" fillId="0" borderId="16" xfId="0" applyFont="1" applyFill="1" applyBorder="1" applyAlignment="1">
      <alignment horizontal="left" vertical="center" wrapText="1"/>
    </xf>
    <xf numFmtId="164" fontId="3" fillId="0" borderId="16" xfId="0" applyNumberFormat="1" applyFont="1" applyFill="1" applyBorder="1" applyAlignment="1">
      <alignment vertical="center" shrinkToFit="1"/>
    </xf>
    <xf numFmtId="0" fontId="0" fillId="0" borderId="16" xfId="0" applyFill="1" applyBorder="1" applyAlignment="1">
      <alignment vertical="center" wrapText="1"/>
    </xf>
    <xf numFmtId="0" fontId="0" fillId="0" borderId="16" xfId="0" applyFill="1" applyBorder="1" applyAlignment="1">
      <alignment vertical="top" wrapText="1"/>
    </xf>
    <xf numFmtId="0" fontId="2" fillId="0" borderId="16" xfId="0" applyFont="1" applyFill="1" applyBorder="1" applyAlignment="1">
      <alignment vertical="center" wrapText="1"/>
    </xf>
    <xf numFmtId="0" fontId="0" fillId="0" borderId="16" xfId="0" applyFill="1" applyBorder="1" applyAlignment="1">
      <alignment horizontal="center" vertical="top" wrapText="1"/>
    </xf>
    <xf numFmtId="0" fontId="1" fillId="0" borderId="16" xfId="0" applyFont="1" applyFill="1" applyBorder="1" applyAlignment="1">
      <alignment horizontal="left" vertical="center" wrapText="1"/>
    </xf>
    <xf numFmtId="0" fontId="1" fillId="0" borderId="16" xfId="0" applyFont="1" applyFill="1" applyBorder="1" applyAlignment="1">
      <alignment horizontal="center" vertical="top" wrapText="1"/>
    </xf>
    <xf numFmtId="0" fontId="0" fillId="0" borderId="16" xfId="0" applyFill="1" applyBorder="1" applyAlignment="1">
      <alignment horizontal="center" vertical="center" wrapText="1"/>
    </xf>
    <xf numFmtId="164" fontId="3" fillId="0" borderId="16" xfId="0" applyNumberFormat="1" applyFont="1" applyFill="1" applyBorder="1" applyAlignment="1">
      <alignment horizontal="left" vertical="center" indent="2" shrinkToFit="1"/>
    </xf>
    <xf numFmtId="0" fontId="2" fillId="0" borderId="16" xfId="0" applyFont="1" applyFill="1" applyBorder="1" applyAlignment="1">
      <alignment horizontal="left" vertical="top" wrapText="1"/>
    </xf>
    <xf numFmtId="164" fontId="3" fillId="0" borderId="16" xfId="0" applyNumberFormat="1" applyFont="1" applyFill="1" applyBorder="1" applyAlignment="1">
      <alignment horizontal="center" vertical="top" shrinkToFit="1"/>
    </xf>
    <xf numFmtId="164" fontId="3" fillId="0" borderId="16" xfId="0" applyNumberFormat="1" applyFont="1" applyFill="1" applyBorder="1" applyAlignment="1">
      <alignment horizontal="left" vertical="top" indent="2" shrinkToFit="1"/>
    </xf>
    <xf numFmtId="164" fontId="3" fillId="0" borderId="16" xfId="0" applyNumberFormat="1" applyFont="1" applyFill="1" applyBorder="1" applyAlignment="1">
      <alignment horizontal="right" vertical="center" indent="2" shrinkToFit="1"/>
    </xf>
    <xf numFmtId="164" fontId="3" fillId="0" borderId="16" xfId="0" applyNumberFormat="1" applyFont="1" applyFill="1" applyBorder="1" applyAlignment="1">
      <alignment horizontal="right" vertical="center" indent="3" shrinkToFit="1"/>
    </xf>
    <xf numFmtId="0" fontId="1" fillId="0" borderId="16" xfId="0" applyFont="1" applyFill="1" applyBorder="1" applyAlignment="1">
      <alignment horizontal="center" vertical="top" wrapText="1"/>
    </xf>
    <xf numFmtId="0" fontId="0" fillId="0" borderId="16" xfId="0" applyFill="1" applyBorder="1" applyAlignment="1">
      <alignment horizontal="left" vertical="top" wrapText="1"/>
    </xf>
    <xf numFmtId="0" fontId="0" fillId="0" borderId="16" xfId="0" applyFill="1" applyBorder="1" applyAlignment="1">
      <alignment horizontal="center" vertical="top" wrapText="1"/>
    </xf>
    <xf numFmtId="0" fontId="1" fillId="0" borderId="16" xfId="0" applyFont="1" applyFill="1" applyBorder="1" applyAlignment="1">
      <alignment horizontal="left" vertical="center" wrapText="1"/>
    </xf>
    <xf numFmtId="164" fontId="3" fillId="0" borderId="8" xfId="0" applyNumberFormat="1" applyFont="1" applyFill="1" applyBorder="1" applyAlignment="1">
      <alignment horizontal="center" vertical="center" shrinkToFit="1"/>
    </xf>
    <xf numFmtId="164" fontId="3" fillId="0" borderId="8" xfId="0" applyNumberFormat="1" applyFont="1" applyFill="1" applyBorder="1" applyAlignment="1">
      <alignment horizontal="left" vertical="center" indent="2" shrinkToFit="1"/>
    </xf>
    <xf numFmtId="0" fontId="0" fillId="0" borderId="16" xfId="0" applyFill="1" applyBorder="1" applyAlignment="1">
      <alignment horizontal="left" vertical="top" wrapText="1"/>
    </xf>
    <xf numFmtId="0" fontId="2" fillId="0" borderId="9" xfId="0" applyFont="1" applyFill="1" applyBorder="1" applyAlignment="1">
      <alignment horizontal="left" vertical="top" wrapText="1"/>
    </xf>
    <xf numFmtId="0" fontId="0" fillId="0" borderId="9" xfId="0" applyFill="1" applyBorder="1" applyAlignment="1">
      <alignment horizontal="left" vertical="top" wrapText="1"/>
    </xf>
    <xf numFmtId="164" fontId="3" fillId="0" borderId="9" xfId="0" applyNumberFormat="1" applyFont="1" applyFill="1" applyBorder="1" applyAlignment="1">
      <alignment horizontal="center" vertical="top" shrinkToFit="1"/>
    </xf>
    <xf numFmtId="0" fontId="0" fillId="0" borderId="8" xfId="0" applyFill="1" applyBorder="1" applyAlignment="1">
      <alignment horizontal="left" vertical="top" wrapText="1"/>
    </xf>
    <xf numFmtId="0" fontId="2" fillId="0" borderId="8" xfId="0" applyFont="1" applyFill="1" applyBorder="1" applyAlignment="1">
      <alignment vertical="center" wrapText="1"/>
    </xf>
    <xf numFmtId="0" fontId="0" fillId="0" borderId="8" xfId="0" applyFill="1" applyBorder="1" applyAlignment="1">
      <alignment vertical="top" wrapText="1"/>
    </xf>
    <xf numFmtId="164" fontId="3" fillId="0" borderId="8" xfId="0" applyNumberFormat="1" applyFont="1" applyFill="1" applyBorder="1" applyAlignment="1">
      <alignment vertical="center" shrinkToFit="1"/>
    </xf>
    <xf numFmtId="0" fontId="0" fillId="0" borderId="8" xfId="0" applyFill="1" applyBorder="1" applyAlignment="1">
      <alignment vertical="center" wrapText="1"/>
    </xf>
    <xf numFmtId="0" fontId="0" fillId="0" borderId="16" xfId="0" applyFill="1" applyBorder="1" applyAlignment="1">
      <alignment horizontal="left" vertical="top" wrapText="1"/>
    </xf>
    <xf numFmtId="0" fontId="0" fillId="0" borderId="16" xfId="0" applyFill="1" applyBorder="1" applyAlignment="1">
      <alignment horizontal="center" vertical="top" wrapText="1"/>
    </xf>
    <xf numFmtId="0" fontId="1" fillId="0" borderId="16" xfId="0" applyFont="1" applyFill="1" applyBorder="1" applyAlignment="1">
      <alignment horizontal="left" vertical="center" wrapText="1"/>
    </xf>
    <xf numFmtId="0" fontId="1" fillId="0" borderId="16" xfId="0" applyFont="1" applyFill="1" applyBorder="1" applyAlignment="1">
      <alignment horizontal="center" vertical="top" wrapText="1"/>
    </xf>
    <xf numFmtId="0" fontId="0" fillId="0" borderId="9" xfId="0" applyFill="1" applyBorder="1" applyAlignment="1">
      <alignment horizontal="left" vertical="top" wrapText="1"/>
    </xf>
    <xf numFmtId="0" fontId="0" fillId="0" borderId="9" xfId="0" applyFill="1" applyBorder="1" applyAlignment="1">
      <alignment vertical="top" wrapText="1"/>
    </xf>
    <xf numFmtId="164" fontId="3" fillId="0" borderId="9" xfId="0" applyNumberFormat="1" applyFont="1" applyFill="1" applyBorder="1" applyAlignment="1">
      <alignment vertical="top" shrinkToFit="1"/>
    </xf>
    <xf numFmtId="0" fontId="2" fillId="0" borderId="9" xfId="0" applyFont="1" applyFill="1" applyBorder="1" applyAlignment="1">
      <alignment vertical="top" wrapText="1"/>
    </xf>
    <xf numFmtId="0" fontId="11" fillId="0" borderId="9" xfId="0" applyFont="1" applyFill="1" applyBorder="1" applyAlignment="1">
      <alignment horizontal="left" vertical="top" wrapText="1"/>
    </xf>
    <xf numFmtId="164" fontId="3" fillId="0" borderId="0" xfId="0" applyNumberFormat="1" applyFont="1" applyFill="1" applyBorder="1" applyAlignment="1">
      <alignment horizontal="center" vertical="center" shrinkToFit="1"/>
    </xf>
    <xf numFmtId="164" fontId="3" fillId="0" borderId="0" xfId="0" applyNumberFormat="1" applyFont="1" applyFill="1" applyBorder="1" applyAlignment="1">
      <alignment horizontal="left" vertical="top" indent="2" shrinkToFit="1"/>
    </xf>
    <xf numFmtId="164" fontId="3" fillId="0" borderId="0" xfId="0" applyNumberFormat="1" applyFont="1" applyFill="1" applyBorder="1" applyAlignment="1">
      <alignment horizontal="left" vertical="center" indent="2" shrinkToFit="1"/>
    </xf>
    <xf numFmtId="164" fontId="3" fillId="0" borderId="0" xfId="0" applyNumberFormat="1" applyFont="1" applyFill="1" applyBorder="1" applyAlignment="1">
      <alignment horizontal="center" shrinkToFit="1"/>
    </xf>
    <xf numFmtId="164" fontId="3" fillId="0" borderId="0" xfId="0" applyNumberFormat="1" applyFont="1" applyFill="1" applyBorder="1" applyAlignment="1">
      <alignment horizontal="center" vertical="top" shrinkToFit="1"/>
    </xf>
    <xf numFmtId="0" fontId="13" fillId="0" borderId="16" xfId="0" applyFont="1" applyFill="1" applyBorder="1" applyAlignment="1">
      <alignment horizontal="center" vertical="center" wrapText="1"/>
    </xf>
    <xf numFmtId="164" fontId="15" fillId="0" borderId="16" xfId="0" applyNumberFormat="1" applyFont="1" applyFill="1" applyBorder="1" applyAlignment="1">
      <alignment horizontal="center" vertical="center" shrinkToFit="1"/>
    </xf>
    <xf numFmtId="0" fontId="13" fillId="0" borderId="4" xfId="0" applyFont="1" applyFill="1" applyBorder="1" applyAlignment="1">
      <alignment horizontal="center" vertical="center" wrapText="1"/>
    </xf>
    <xf numFmtId="164" fontId="15" fillId="0" borderId="4" xfId="0" applyNumberFormat="1" applyFont="1" applyFill="1" applyBorder="1" applyAlignment="1">
      <alignment horizontal="center" vertical="center" shrinkToFit="1"/>
    </xf>
    <xf numFmtId="164" fontId="15" fillId="0" borderId="8" xfId="0" applyNumberFormat="1" applyFont="1" applyFill="1" applyBorder="1" applyAlignment="1">
      <alignment horizontal="center" vertical="center" shrinkToFit="1"/>
    </xf>
    <xf numFmtId="0" fontId="13" fillId="0" borderId="9" xfId="0" applyFont="1" applyFill="1" applyBorder="1" applyAlignment="1">
      <alignment horizontal="center" vertical="center" wrapText="1"/>
    </xf>
    <xf numFmtId="164" fontId="15" fillId="0" borderId="9" xfId="0" applyNumberFormat="1" applyFont="1" applyFill="1" applyBorder="1" applyAlignment="1">
      <alignment horizontal="center" vertical="center" shrinkToFit="1"/>
    </xf>
    <xf numFmtId="0" fontId="12" fillId="0" borderId="16" xfId="0" applyFont="1" applyFill="1" applyBorder="1" applyAlignment="1">
      <alignment horizontal="center" vertical="center" wrapText="1"/>
    </xf>
    <xf numFmtId="0" fontId="12" fillId="0" borderId="16" xfId="0" applyFont="1" applyFill="1" applyBorder="1" applyAlignment="1">
      <alignment vertical="center" wrapText="1"/>
    </xf>
    <xf numFmtId="0" fontId="12" fillId="0" borderId="0" xfId="0" applyFont="1" applyFill="1" applyBorder="1" applyAlignment="1">
      <alignment horizontal="center" vertical="center"/>
    </xf>
    <xf numFmtId="0" fontId="13" fillId="0" borderId="8" xfId="0" applyFont="1" applyFill="1" applyBorder="1" applyAlignment="1">
      <alignment horizontal="center" vertical="center" wrapText="1"/>
    </xf>
    <xf numFmtId="164" fontId="12" fillId="0" borderId="0" xfId="0" applyNumberFormat="1" applyFont="1" applyFill="1" applyBorder="1" applyAlignment="1">
      <alignment horizontal="center" vertical="center"/>
    </xf>
    <xf numFmtId="164" fontId="15" fillId="0" borderId="10" xfId="0" applyNumberFormat="1" applyFont="1" applyFill="1" applyBorder="1" applyAlignment="1">
      <alignment horizontal="center" vertical="center" shrinkToFit="1"/>
    </xf>
    <xf numFmtId="0" fontId="13" fillId="0" borderId="19" xfId="0" applyFont="1" applyFill="1" applyBorder="1" applyAlignment="1">
      <alignment horizontal="center" vertical="center" wrapText="1"/>
    </xf>
    <xf numFmtId="0" fontId="13" fillId="0" borderId="5" xfId="0" applyFont="1" applyFill="1" applyBorder="1" applyAlignment="1">
      <alignment horizontal="center" vertical="center" wrapText="1"/>
    </xf>
    <xf numFmtId="0" fontId="13" fillId="0" borderId="11" xfId="0" applyFont="1" applyFill="1" applyBorder="1" applyAlignment="1">
      <alignment horizontal="center" vertical="center" wrapText="1"/>
    </xf>
    <xf numFmtId="0" fontId="13" fillId="2" borderId="16" xfId="0" applyFont="1" applyFill="1" applyBorder="1" applyAlignment="1">
      <alignment horizontal="center" vertical="center" wrapText="1"/>
    </xf>
    <xf numFmtId="164" fontId="15" fillId="2" borderId="16" xfId="0" applyNumberFormat="1" applyFont="1" applyFill="1" applyBorder="1" applyAlignment="1">
      <alignment horizontal="center" vertical="center" shrinkToFit="1"/>
    </xf>
    <xf numFmtId="0" fontId="13" fillId="2" borderId="10" xfId="0" applyFont="1" applyFill="1" applyBorder="1" applyAlignment="1">
      <alignment horizontal="center" vertical="center" wrapText="1"/>
    </xf>
    <xf numFmtId="164" fontId="15" fillId="2" borderId="10" xfId="0" applyNumberFormat="1" applyFont="1" applyFill="1" applyBorder="1" applyAlignment="1">
      <alignment horizontal="center" vertical="center" shrinkToFit="1"/>
    </xf>
    <xf numFmtId="0" fontId="13" fillId="2" borderId="4" xfId="0" applyFont="1" applyFill="1" applyBorder="1" applyAlignment="1">
      <alignment horizontal="center" vertical="center" wrapText="1"/>
    </xf>
    <xf numFmtId="164" fontId="15" fillId="2" borderId="4" xfId="0" applyNumberFormat="1" applyFont="1" applyFill="1" applyBorder="1" applyAlignment="1">
      <alignment horizontal="center" vertical="center" shrinkToFit="1"/>
    </xf>
    <xf numFmtId="0" fontId="13" fillId="2" borderId="8" xfId="0" applyFont="1" applyFill="1" applyBorder="1" applyAlignment="1">
      <alignment horizontal="center" vertical="center" wrapText="1"/>
    </xf>
    <xf numFmtId="164" fontId="15" fillId="2" borderId="8" xfId="0" applyNumberFormat="1" applyFont="1" applyFill="1" applyBorder="1" applyAlignment="1">
      <alignment horizontal="center" vertical="center" shrinkToFit="1"/>
    </xf>
    <xf numFmtId="0" fontId="13" fillId="2" borderId="9" xfId="0" applyFont="1" applyFill="1" applyBorder="1" applyAlignment="1">
      <alignment horizontal="center" vertical="center" wrapText="1"/>
    </xf>
    <xf numFmtId="2" fontId="13" fillId="0" borderId="16" xfId="0" applyNumberFormat="1" applyFont="1" applyFill="1" applyBorder="1" applyAlignment="1">
      <alignment horizontal="center" vertical="center" wrapText="1"/>
    </xf>
    <xf numFmtId="0" fontId="12" fillId="0" borderId="19" xfId="0" applyFont="1" applyFill="1" applyBorder="1" applyAlignment="1">
      <alignment vertical="center" wrapText="1"/>
    </xf>
    <xf numFmtId="49" fontId="19" fillId="0" borderId="16" xfId="0" applyNumberFormat="1" applyFont="1" applyBorder="1" applyAlignment="1">
      <alignment horizontal="center" vertical="center"/>
    </xf>
    <xf numFmtId="0" fontId="19" fillId="0" borderId="16" xfId="0" applyFont="1" applyBorder="1" applyAlignment="1">
      <alignment horizontal="left" vertical="center"/>
    </xf>
    <xf numFmtId="2" fontId="19" fillId="0" borderId="16" xfId="0" applyNumberFormat="1" applyFont="1" applyBorder="1" applyAlignment="1">
      <alignment horizontal="center" vertical="center"/>
    </xf>
    <xf numFmtId="0" fontId="20" fillId="0" borderId="16" xfId="0" applyFont="1" applyBorder="1"/>
    <xf numFmtId="0" fontId="16" fillId="0" borderId="16" xfId="0" applyFont="1" applyBorder="1" applyAlignment="1">
      <alignment horizontal="center" vertical="center" wrapText="1"/>
    </xf>
    <xf numFmtId="0" fontId="19" fillId="0" borderId="16" xfId="0" applyFont="1" applyBorder="1" applyAlignment="1">
      <alignment horizontal="center" vertical="center"/>
    </xf>
    <xf numFmtId="164" fontId="19" fillId="0" borderId="16" xfId="0" applyNumberFormat="1" applyFont="1" applyBorder="1" applyAlignment="1">
      <alignment horizontal="right" vertical="center"/>
    </xf>
    <xf numFmtId="0" fontId="20" fillId="0" borderId="16" xfId="0" applyFont="1" applyBorder="1" applyAlignment="1">
      <alignment horizontal="center" vertical="center"/>
    </xf>
    <xf numFmtId="0" fontId="21" fillId="0" borderId="16" xfId="0" applyFont="1" applyBorder="1" applyAlignment="1">
      <alignment horizontal="center" vertical="center" wrapText="1"/>
    </xf>
    <xf numFmtId="164" fontId="20" fillId="0" borderId="16" xfId="0" applyNumberFormat="1" applyFont="1" applyBorder="1" applyAlignment="1">
      <alignment horizontal="center" vertical="center"/>
    </xf>
    <xf numFmtId="49" fontId="21" fillId="0" borderId="16" xfId="0" applyNumberFormat="1" applyFont="1" applyBorder="1" applyAlignment="1">
      <alignment horizontal="left" vertical="center" wrapText="1"/>
    </xf>
    <xf numFmtId="0" fontId="20" fillId="0" borderId="16" xfId="0" applyFont="1" applyBorder="1" applyAlignment="1">
      <alignment horizontal="right" vertical="center" wrapText="1"/>
    </xf>
    <xf numFmtId="0" fontId="17" fillId="0" borderId="5" xfId="0" applyFont="1" applyBorder="1" applyAlignment="1">
      <alignment horizontal="left" vertical="center" wrapText="1"/>
    </xf>
    <xf numFmtId="165" fontId="16" fillId="0" borderId="16" xfId="0" applyNumberFormat="1" applyFont="1" applyBorder="1" applyAlignment="1">
      <alignment horizontal="center" vertical="center" wrapText="1"/>
    </xf>
    <xf numFmtId="0" fontId="16" fillId="0" borderId="16" xfId="0" applyFont="1" applyFill="1" applyBorder="1" applyAlignment="1">
      <alignment horizontal="left" vertical="center" wrapText="1"/>
    </xf>
    <xf numFmtId="0" fontId="16" fillId="0" borderId="16" xfId="0" applyFont="1" applyFill="1" applyBorder="1" applyAlignment="1">
      <alignment horizontal="center" vertical="center" wrapText="1"/>
    </xf>
    <xf numFmtId="0" fontId="16" fillId="0" borderId="16" xfId="0" applyFont="1" applyFill="1" applyBorder="1" applyAlignment="1">
      <alignment horizontal="center" vertical="center"/>
    </xf>
    <xf numFmtId="0" fontId="16" fillId="0" borderId="0" xfId="0" applyFont="1" applyFill="1" applyBorder="1" applyAlignment="1">
      <alignment horizontal="center" vertical="center"/>
    </xf>
    <xf numFmtId="0" fontId="16" fillId="0" borderId="22" xfId="0" applyFont="1" applyBorder="1" applyAlignment="1">
      <alignment horizontal="center" vertical="center"/>
    </xf>
    <xf numFmtId="0" fontId="16" fillId="0" borderId="22" xfId="0" applyFont="1" applyFill="1" applyBorder="1" applyAlignment="1">
      <alignment horizontal="center" vertical="center"/>
    </xf>
    <xf numFmtId="0" fontId="16" fillId="0" borderId="16" xfId="0" applyFont="1" applyBorder="1" applyAlignment="1">
      <alignment horizontal="center" vertical="center"/>
    </xf>
    <xf numFmtId="0" fontId="18" fillId="0" borderId="16" xfId="0" applyFont="1" applyBorder="1" applyAlignment="1">
      <alignment horizontal="center" vertical="center"/>
    </xf>
    <xf numFmtId="0" fontId="18" fillId="0" borderId="16" xfId="0" applyFont="1" applyFill="1" applyBorder="1" applyAlignment="1">
      <alignment horizontal="center" vertical="center"/>
    </xf>
    <xf numFmtId="0" fontId="17" fillId="0" borderId="0" xfId="0" applyFont="1" applyFill="1" applyBorder="1" applyAlignment="1">
      <alignment horizontal="left" vertical="center"/>
    </xf>
    <xf numFmtId="0" fontId="0" fillId="0" borderId="0" xfId="0" applyFill="1" applyBorder="1" applyAlignment="1">
      <alignment horizontal="center" vertical="top"/>
    </xf>
    <xf numFmtId="0" fontId="0" fillId="0" borderId="0" xfId="0" applyFill="1" applyBorder="1" applyAlignment="1">
      <alignment horizontal="center" vertical="center"/>
    </xf>
    <xf numFmtId="49" fontId="19" fillId="0" borderId="16" xfId="0" applyNumberFormat="1" applyFont="1" applyFill="1" applyBorder="1" applyAlignment="1">
      <alignment horizontal="center" vertical="center"/>
    </xf>
    <xf numFmtId="0" fontId="19" fillId="0" borderId="16" xfId="0" applyFont="1" applyFill="1" applyBorder="1" applyAlignment="1">
      <alignment horizontal="left" vertical="center"/>
    </xf>
    <xf numFmtId="2" fontId="19" fillId="0" borderId="16" xfId="0" applyNumberFormat="1" applyFont="1" applyFill="1" applyBorder="1" applyAlignment="1">
      <alignment horizontal="center" vertical="center"/>
    </xf>
    <xf numFmtId="0" fontId="20" fillId="0" borderId="16" xfId="0" applyFont="1" applyFill="1" applyBorder="1"/>
    <xf numFmtId="0" fontId="19" fillId="0" borderId="16" xfId="0" applyFont="1" applyFill="1" applyBorder="1" applyAlignment="1">
      <alignment horizontal="center" vertical="center"/>
    </xf>
    <xf numFmtId="164" fontId="19" fillId="0" borderId="16" xfId="0" applyNumberFormat="1" applyFont="1" applyFill="1" applyBorder="1" applyAlignment="1">
      <alignment horizontal="right" vertical="center"/>
    </xf>
    <xf numFmtId="0" fontId="20" fillId="0" borderId="16" xfId="0" applyFont="1" applyFill="1" applyBorder="1" applyAlignment="1">
      <alignment horizontal="center" vertical="center"/>
    </xf>
    <xf numFmtId="0" fontId="21" fillId="0" borderId="16" xfId="0" applyFont="1" applyFill="1" applyBorder="1" applyAlignment="1">
      <alignment horizontal="center" vertical="center" wrapText="1"/>
    </xf>
    <xf numFmtId="164" fontId="20" fillId="0" borderId="16" xfId="0" applyNumberFormat="1" applyFont="1" applyFill="1" applyBorder="1" applyAlignment="1">
      <alignment horizontal="center" vertical="center"/>
    </xf>
    <xf numFmtId="49" fontId="22" fillId="0" borderId="16" xfId="0" applyNumberFormat="1" applyFont="1" applyFill="1" applyBorder="1" applyAlignment="1">
      <alignment horizontal="center" vertical="center" wrapText="1"/>
    </xf>
    <xf numFmtId="49" fontId="22" fillId="0" borderId="16" xfId="0" applyNumberFormat="1" applyFont="1" applyFill="1" applyBorder="1" applyAlignment="1">
      <alignment vertical="center" wrapText="1"/>
    </xf>
    <xf numFmtId="4" fontId="23" fillId="0" borderId="16" xfId="0" applyNumberFormat="1" applyFont="1" applyFill="1" applyBorder="1" applyAlignment="1">
      <alignment horizontal="center" vertical="center"/>
    </xf>
    <xf numFmtId="0" fontId="20" fillId="0" borderId="16" xfId="0" applyFont="1" applyFill="1" applyBorder="1" applyAlignment="1">
      <alignment horizontal="center" vertical="center" wrapText="1"/>
    </xf>
    <xf numFmtId="0" fontId="20" fillId="0" borderId="16" xfId="0" applyFont="1" applyFill="1" applyBorder="1" applyAlignment="1">
      <alignment horizontal="right" vertical="center" wrapText="1"/>
    </xf>
    <xf numFmtId="0" fontId="20" fillId="0" borderId="24" xfId="0" applyFont="1" applyFill="1" applyBorder="1" applyAlignment="1">
      <alignment horizontal="center" vertical="center"/>
    </xf>
    <xf numFmtId="164" fontId="20" fillId="0" borderId="28" xfId="0" applyNumberFormat="1" applyFont="1" applyFill="1" applyBorder="1" applyAlignment="1">
      <alignment horizontal="center" vertical="center"/>
    </xf>
    <xf numFmtId="4" fontId="23" fillId="0" borderId="28" xfId="0" applyNumberFormat="1" applyFont="1" applyFill="1" applyBorder="1" applyAlignment="1">
      <alignment horizontal="center" vertical="center"/>
    </xf>
    <xf numFmtId="0" fontId="20" fillId="0" borderId="29" xfId="0" applyFont="1" applyFill="1" applyBorder="1" applyAlignment="1">
      <alignment horizontal="center" vertical="center"/>
    </xf>
    <xf numFmtId="0" fontId="20" fillId="0" borderId="30" xfId="0" applyFont="1" applyFill="1" applyBorder="1" applyAlignment="1">
      <alignment horizontal="center" vertical="center" wrapText="1"/>
    </xf>
    <xf numFmtId="0" fontId="20" fillId="0" borderId="30" xfId="0" applyFont="1" applyFill="1" applyBorder="1" applyAlignment="1">
      <alignment horizontal="right" vertical="center" wrapText="1"/>
    </xf>
    <xf numFmtId="164" fontId="20" fillId="0" borderId="31" xfId="0" applyNumberFormat="1" applyFont="1" applyFill="1" applyBorder="1" applyAlignment="1">
      <alignment horizontal="center" vertical="center"/>
    </xf>
    <xf numFmtId="0" fontId="17" fillId="0" borderId="0" xfId="0" applyFont="1" applyFill="1" applyBorder="1" applyAlignment="1">
      <alignment horizontal="left" vertical="top"/>
    </xf>
    <xf numFmtId="49" fontId="21" fillId="0" borderId="16" xfId="0" applyNumberFormat="1" applyFont="1" applyFill="1" applyBorder="1" applyAlignment="1">
      <alignment horizontal="center" vertical="center" wrapText="1"/>
    </xf>
    <xf numFmtId="49" fontId="21" fillId="0" borderId="16" xfId="0" applyNumberFormat="1" applyFont="1" applyFill="1" applyBorder="1" applyAlignment="1">
      <alignment vertical="center" wrapText="1"/>
    </xf>
    <xf numFmtId="4" fontId="21" fillId="0" borderId="16" xfId="0" applyNumberFormat="1" applyFont="1" applyFill="1" applyBorder="1" applyAlignment="1">
      <alignment horizontal="center" vertical="center"/>
    </xf>
    <xf numFmtId="0" fontId="20" fillId="0" borderId="21" xfId="0" applyFont="1" applyFill="1" applyBorder="1" applyAlignment="1">
      <alignment horizontal="center" vertical="center"/>
    </xf>
    <xf numFmtId="4" fontId="21" fillId="0" borderId="19" xfId="0" applyNumberFormat="1" applyFont="1" applyFill="1" applyBorder="1" applyAlignment="1">
      <alignment horizontal="center" vertical="center"/>
    </xf>
    <xf numFmtId="0" fontId="20" fillId="0" borderId="32" xfId="0" applyFont="1" applyFill="1" applyBorder="1" applyAlignment="1">
      <alignment horizontal="center" vertical="center"/>
    </xf>
    <xf numFmtId="0" fontId="21" fillId="0" borderId="23" xfId="0" applyFont="1" applyFill="1" applyBorder="1" applyAlignment="1">
      <alignment horizontal="center" vertical="center" wrapText="1"/>
    </xf>
    <xf numFmtId="164" fontId="20" fillId="0" borderId="17" xfId="0" applyNumberFormat="1" applyFont="1" applyFill="1" applyBorder="1" applyAlignment="1">
      <alignment horizontal="center" vertical="center"/>
    </xf>
    <xf numFmtId="0" fontId="21" fillId="0" borderId="0" xfId="0" applyFont="1" applyFill="1" applyBorder="1" applyAlignment="1">
      <alignment horizontal="left" vertical="top"/>
    </xf>
    <xf numFmtId="2" fontId="19" fillId="0" borderId="16" xfId="0" applyNumberFormat="1" applyFont="1" applyFill="1" applyBorder="1" applyAlignment="1">
      <alignment horizontal="right" vertical="center"/>
    </xf>
    <xf numFmtId="2" fontId="20" fillId="0" borderId="16" xfId="0" applyNumberFormat="1" applyFont="1" applyFill="1" applyBorder="1" applyAlignment="1">
      <alignment horizontal="center" vertical="center"/>
    </xf>
    <xf numFmtId="0" fontId="0" fillId="0" borderId="16" xfId="0" applyFill="1" applyBorder="1" applyAlignment="1">
      <alignment horizontal="left" vertical="top" wrapText="1" indent="1"/>
    </xf>
    <xf numFmtId="0" fontId="0" fillId="0" borderId="16" xfId="0" applyFill="1" applyBorder="1" applyAlignment="1">
      <alignment horizontal="left" vertical="top" wrapText="1"/>
    </xf>
    <xf numFmtId="0" fontId="0" fillId="0" borderId="16" xfId="0" applyFill="1" applyBorder="1" applyAlignment="1">
      <alignment horizontal="center" vertical="top" wrapText="1"/>
    </xf>
    <xf numFmtId="0" fontId="1" fillId="0" borderId="16" xfId="0" applyFont="1" applyFill="1" applyBorder="1" applyAlignment="1">
      <alignment horizontal="left" vertical="top" wrapText="1" indent="6"/>
    </xf>
    <xf numFmtId="0" fontId="1" fillId="0" borderId="16" xfId="0" applyFont="1" applyFill="1" applyBorder="1" applyAlignment="1">
      <alignment horizontal="left" vertical="center" wrapText="1"/>
    </xf>
    <xf numFmtId="0" fontId="1" fillId="0" borderId="16" xfId="0" applyFont="1" applyFill="1" applyBorder="1" applyAlignment="1">
      <alignment horizontal="left" vertical="top" wrapText="1" indent="2"/>
    </xf>
    <xf numFmtId="0" fontId="1" fillId="0" borderId="16" xfId="0" applyFont="1" applyFill="1" applyBorder="1" applyAlignment="1">
      <alignment horizontal="center" vertical="top" wrapText="1"/>
    </xf>
    <xf numFmtId="0" fontId="1" fillId="0" borderId="16" xfId="0" applyFont="1" applyFill="1" applyBorder="1" applyAlignment="1">
      <alignment horizontal="left" vertical="top" wrapText="1" indent="7"/>
    </xf>
    <xf numFmtId="0" fontId="0" fillId="0" borderId="16" xfId="0" applyFill="1" applyBorder="1" applyAlignment="1">
      <alignment horizontal="left" vertical="top" wrapText="1" indent="4"/>
    </xf>
    <xf numFmtId="0" fontId="0" fillId="0" borderId="17" xfId="0" applyFill="1" applyBorder="1" applyAlignment="1">
      <alignment horizontal="center" vertical="top" wrapText="1"/>
    </xf>
    <xf numFmtId="0" fontId="0" fillId="0" borderId="18" xfId="0" applyFill="1" applyBorder="1" applyAlignment="1">
      <alignment horizontal="center" vertical="top" wrapText="1"/>
    </xf>
    <xf numFmtId="0" fontId="6" fillId="0" borderId="16" xfId="0" applyFont="1" applyFill="1" applyBorder="1" applyAlignment="1">
      <alignment horizontal="left" vertical="top" wrapText="1" indent="7"/>
    </xf>
    <xf numFmtId="0" fontId="10" fillId="0" borderId="16" xfId="0" applyFont="1" applyFill="1" applyBorder="1" applyAlignment="1">
      <alignment horizontal="center" vertical="top" wrapText="1"/>
    </xf>
    <xf numFmtId="0" fontId="0" fillId="0" borderId="9" xfId="0" applyFill="1" applyBorder="1" applyAlignment="1">
      <alignment horizontal="left" vertical="top" wrapText="1"/>
    </xf>
    <xf numFmtId="0" fontId="12" fillId="0" borderId="16" xfId="0" applyFont="1" applyFill="1" applyBorder="1" applyAlignment="1">
      <alignment horizontal="center" vertical="center" wrapText="1"/>
    </xf>
    <xf numFmtId="0" fontId="12" fillId="0" borderId="17" xfId="0" applyFont="1" applyFill="1" applyBorder="1" applyAlignment="1">
      <alignment horizontal="center" vertical="center" wrapText="1"/>
    </xf>
    <xf numFmtId="0" fontId="12" fillId="0" borderId="18" xfId="0" applyFont="1" applyFill="1" applyBorder="1" applyAlignment="1">
      <alignment horizontal="center" vertical="center" wrapText="1"/>
    </xf>
    <xf numFmtId="0" fontId="14" fillId="0" borderId="16" xfId="0" applyFont="1" applyFill="1" applyBorder="1" applyAlignment="1">
      <alignment horizontal="center" vertical="center" wrapText="1"/>
    </xf>
    <xf numFmtId="0" fontId="20" fillId="0" borderId="19" xfId="0" applyFont="1" applyBorder="1" applyAlignment="1">
      <alignment horizontal="center" vertical="center" wrapText="1"/>
    </xf>
    <xf numFmtId="0" fontId="20" fillId="0" borderId="20" xfId="0" applyFont="1" applyBorder="1" applyAlignment="1">
      <alignment horizontal="center" vertical="center" wrapText="1"/>
    </xf>
    <xf numFmtId="0" fontId="20" fillId="0" borderId="21" xfId="0" applyFont="1" applyBorder="1" applyAlignment="1">
      <alignment horizontal="center" vertical="center" wrapText="1"/>
    </xf>
    <xf numFmtId="0" fontId="20" fillId="0" borderId="25" xfId="0" applyFont="1" applyFill="1" applyBorder="1" applyAlignment="1">
      <alignment horizontal="center" vertical="center" wrapText="1"/>
    </xf>
    <xf numFmtId="0" fontId="20" fillId="0" borderId="26" xfId="0" applyFont="1" applyFill="1" applyBorder="1" applyAlignment="1">
      <alignment horizontal="center" vertical="center" wrapText="1"/>
    </xf>
    <xf numFmtId="0" fontId="20" fillId="0" borderId="27" xfId="0" applyFont="1" applyFill="1" applyBorder="1" applyAlignment="1">
      <alignment horizontal="center" vertical="center" wrapText="1"/>
    </xf>
    <xf numFmtId="0" fontId="20" fillId="0" borderId="16" xfId="0" applyFont="1" applyFill="1" applyBorder="1" applyAlignment="1">
      <alignment horizontal="center" vertical="center" wrapText="1"/>
    </xf>
    <xf numFmtId="0" fontId="20" fillId="0" borderId="19" xfId="0" applyFont="1" applyFill="1" applyBorder="1" applyAlignment="1">
      <alignment horizontal="center" vertical="center" wrapText="1"/>
    </xf>
    <xf numFmtId="0" fontId="20" fillId="0" borderId="20" xfId="0" applyFont="1" applyFill="1" applyBorder="1" applyAlignment="1">
      <alignment horizontal="center" vertical="center" wrapText="1"/>
    </xf>
    <xf numFmtId="0" fontId="20" fillId="0" borderId="21" xfId="0" applyFont="1" applyFill="1" applyBorder="1" applyAlignment="1">
      <alignment horizontal="center" vertical="center" wrapText="1"/>
    </xf>
  </cellXfs>
  <cellStyles count="1">
    <cellStyle name="Обычный" xfId="0" builtinId="0"/>
  </cellStyles>
  <dxfs count="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ГОСТ тип А"/>
        <scheme val="none"/>
      </font>
      <numFmt numFmtId="4" formatCode="#,##0.0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ГОСТ тип А"/>
        <scheme val="none"/>
      </font>
      <numFmt numFmtId="30" formatCode="@"/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ГОСТ тип А"/>
        <scheme val="none"/>
      </font>
      <numFmt numFmtId="30" formatCode="@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ГОСТ тип А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worksheet" Target="worksheets/sheet4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sharedStrings" Target="sharedStrings.xml"/><Relationship Id="rId8" Type="http://schemas.openxmlformats.org/officeDocument/2006/relationships/worksheet" Target="worksheets/sheet8.xml"/></Relationships>
</file>

<file path=xl/tables/table1.xml><?xml version="1.0" encoding="utf-8"?>
<table xmlns="http://schemas.openxmlformats.org/spreadsheetml/2006/main" id="1" name="Таблица1" displayName="Таблица1" ref="A4:D43" totalsRowShown="0" headerRowBorderDxfId="6" tableBorderDxfId="5" totalsRowBorderDxfId="4">
  <autoFilter ref="A4:D43"/>
  <tableColumns count="4">
    <tableColumn id="1" name="№ п.п." dataDxfId="3"/>
    <tableColumn id="2" name="Пом.:" dataDxfId="2"/>
    <tableColumn id="3" name="Помещения:2" dataDxfId="1"/>
    <tableColumn id="4" name="Объем, м²" dataDxfId="0"/>
  </tableColumns>
  <tableStyleInfo name="TableStyleLight2" showFirstColumn="0" showLastColumn="0" showRowStripes="1" showColumnStripes="0"/>
</table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4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9" tint="0.79998168889431442"/>
  </sheetPr>
  <dimension ref="A1:Q18"/>
  <sheetViews>
    <sheetView zoomScale="70" zoomScaleNormal="70" workbookViewId="0">
      <selection activeCell="A5" sqref="A5:Q19"/>
    </sheetView>
  </sheetViews>
  <sheetFormatPr defaultRowHeight="13.2" x14ac:dyDescent="0.25"/>
  <cols>
    <col min="1" max="1" width="6.44140625" customWidth="1"/>
    <col min="2" max="2" width="23.33203125" customWidth="1"/>
    <col min="3" max="3" width="26.109375" customWidth="1"/>
    <col min="4" max="4" width="13.109375" customWidth="1"/>
    <col min="5" max="5" width="26.109375" customWidth="1"/>
    <col min="6" max="6" width="13.109375" customWidth="1"/>
    <col min="7" max="7" width="26.109375" customWidth="1"/>
    <col min="8" max="8" width="13.109375" customWidth="1"/>
    <col min="9" max="9" width="26.109375" customWidth="1"/>
    <col min="10" max="10" width="13.109375" customWidth="1"/>
    <col min="11" max="11" width="19.77734375" customWidth="1"/>
    <col min="12" max="12" width="13.109375" customWidth="1"/>
    <col min="13" max="13" width="19.77734375" customWidth="1"/>
    <col min="14" max="14" width="13.109375" customWidth="1"/>
    <col min="15" max="15" width="19.77734375" customWidth="1"/>
    <col min="16" max="16" width="12.77734375" customWidth="1"/>
    <col min="17" max="17" width="16.44140625" customWidth="1"/>
  </cols>
  <sheetData>
    <row r="1" spans="1:17" ht="30" customHeight="1" x14ac:dyDescent="0.25">
      <c r="A1" s="234" t="s">
        <v>0</v>
      </c>
      <c r="B1" s="234"/>
      <c r="C1" s="234"/>
      <c r="D1" s="234"/>
      <c r="E1" s="234"/>
      <c r="F1" s="234"/>
      <c r="G1" s="234"/>
      <c r="H1" s="234"/>
      <c r="I1" s="234"/>
      <c r="J1" s="234"/>
      <c r="K1" s="234"/>
      <c r="L1" s="234"/>
      <c r="M1" s="234"/>
      <c r="N1" s="234"/>
      <c r="O1" s="234"/>
      <c r="P1" s="234"/>
      <c r="Q1" s="234"/>
    </row>
    <row r="2" spans="1:17" ht="19.5" customHeight="1" x14ac:dyDescent="0.25">
      <c r="A2" s="233" t="s">
        <v>1</v>
      </c>
      <c r="B2" s="232" t="s">
        <v>2</v>
      </c>
      <c r="C2" s="234" t="s">
        <v>3</v>
      </c>
      <c r="D2" s="234"/>
      <c r="E2" s="234"/>
      <c r="F2" s="234"/>
      <c r="G2" s="234"/>
      <c r="H2" s="234"/>
      <c r="I2" s="234"/>
      <c r="J2" s="234"/>
      <c r="K2" s="234"/>
      <c r="L2" s="234"/>
      <c r="M2" s="232" t="s">
        <v>4</v>
      </c>
      <c r="N2" s="232"/>
      <c r="O2" s="235" t="s">
        <v>5</v>
      </c>
      <c r="P2" s="235"/>
      <c r="Q2" s="236" t="s">
        <v>6</v>
      </c>
    </row>
    <row r="3" spans="1:17" ht="19.5" customHeight="1" x14ac:dyDescent="0.25">
      <c r="A3" s="233"/>
      <c r="B3" s="232"/>
      <c r="C3" s="235" t="s">
        <v>7</v>
      </c>
      <c r="D3" s="235"/>
      <c r="E3" s="238" t="s">
        <v>8</v>
      </c>
      <c r="F3" s="238"/>
      <c r="G3" s="239" t="s">
        <v>9</v>
      </c>
      <c r="H3" s="239"/>
      <c r="I3" s="239" t="s">
        <v>10</v>
      </c>
      <c r="J3" s="239"/>
      <c r="K3" s="240" t="s">
        <v>11</v>
      </c>
      <c r="L3" s="240"/>
      <c r="M3" s="232" t="s">
        <v>12</v>
      </c>
      <c r="N3" s="233" t="s">
        <v>13</v>
      </c>
      <c r="O3" s="232" t="s">
        <v>12</v>
      </c>
      <c r="P3" s="237" t="s">
        <v>14</v>
      </c>
      <c r="Q3" s="236"/>
    </row>
    <row r="4" spans="1:17" ht="46.35" customHeight="1" x14ac:dyDescent="0.25">
      <c r="A4" s="233"/>
      <c r="B4" s="232"/>
      <c r="C4" s="96" t="s">
        <v>12</v>
      </c>
      <c r="D4" s="97" t="s">
        <v>13</v>
      </c>
      <c r="E4" s="96" t="s">
        <v>12</v>
      </c>
      <c r="F4" s="97" t="s">
        <v>13</v>
      </c>
      <c r="G4" s="96" t="s">
        <v>12</v>
      </c>
      <c r="H4" s="97" t="s">
        <v>13</v>
      </c>
      <c r="I4" s="96" t="s">
        <v>12</v>
      </c>
      <c r="J4" s="97" t="s">
        <v>13</v>
      </c>
      <c r="K4" s="98" t="s">
        <v>12</v>
      </c>
      <c r="L4" s="97" t="s">
        <v>13</v>
      </c>
      <c r="M4" s="232"/>
      <c r="N4" s="233"/>
      <c r="O4" s="232"/>
      <c r="P4" s="237"/>
      <c r="Q4" s="236"/>
    </row>
    <row r="5" spans="1:17" ht="192" customHeight="1" x14ac:dyDescent="0.25">
      <c r="A5" s="99" t="s">
        <v>15</v>
      </c>
      <c r="B5" s="100" t="s">
        <v>16</v>
      </c>
      <c r="C5" s="97" t="s">
        <v>17</v>
      </c>
      <c r="D5" s="101">
        <v>64</v>
      </c>
      <c r="E5" s="97" t="s">
        <v>18</v>
      </c>
      <c r="F5" s="101">
        <v>25.4</v>
      </c>
      <c r="G5" s="102" t="s">
        <v>19</v>
      </c>
      <c r="H5" s="101">
        <v>0</v>
      </c>
      <c r="I5" s="102" t="s">
        <v>19</v>
      </c>
      <c r="J5" s="101">
        <v>0</v>
      </c>
      <c r="K5" s="100" t="s">
        <v>20</v>
      </c>
      <c r="L5" s="101">
        <v>89.4</v>
      </c>
      <c r="M5" s="97" t="s">
        <v>21</v>
      </c>
      <c r="N5" s="101">
        <v>10.7</v>
      </c>
      <c r="O5" s="100" t="s">
        <v>20</v>
      </c>
      <c r="P5" s="101">
        <v>28.8</v>
      </c>
      <c r="Q5" s="102" t="s">
        <v>19</v>
      </c>
    </row>
    <row r="6" spans="1:17" ht="192.15" customHeight="1" x14ac:dyDescent="0.25">
      <c r="A6" s="99" t="s">
        <v>24</v>
      </c>
      <c r="B6" s="102" t="s">
        <v>25</v>
      </c>
      <c r="C6" s="97" t="s">
        <v>17</v>
      </c>
      <c r="D6" s="101">
        <v>21.9</v>
      </c>
      <c r="E6" s="97" t="s">
        <v>18</v>
      </c>
      <c r="F6" s="101">
        <v>31.9</v>
      </c>
      <c r="G6" s="102" t="s">
        <v>19</v>
      </c>
      <c r="H6" s="101">
        <v>0</v>
      </c>
      <c r="I6" s="97" t="s">
        <v>26</v>
      </c>
      <c r="J6" s="101">
        <v>79.7</v>
      </c>
      <c r="K6" s="100" t="s">
        <v>20</v>
      </c>
      <c r="L6" s="101">
        <v>133.5</v>
      </c>
      <c r="M6" s="97" t="s">
        <v>21</v>
      </c>
      <c r="N6" s="101">
        <v>57.6</v>
      </c>
      <c r="O6" s="100" t="s">
        <v>20</v>
      </c>
      <c r="P6" s="101">
        <v>42.8</v>
      </c>
      <c r="Q6" s="102" t="s">
        <v>19</v>
      </c>
    </row>
    <row r="7" spans="1:17" ht="192" customHeight="1" x14ac:dyDescent="0.25">
      <c r="A7" s="106" t="s">
        <v>31</v>
      </c>
      <c r="B7" s="106" t="s">
        <v>32</v>
      </c>
      <c r="C7" s="105" t="s">
        <v>17</v>
      </c>
      <c r="D7" s="103">
        <v>140.9</v>
      </c>
      <c r="E7" s="105" t="s">
        <v>18</v>
      </c>
      <c r="F7" s="103">
        <v>221.4</v>
      </c>
      <c r="G7" s="105" t="s">
        <v>33</v>
      </c>
      <c r="H7" s="103">
        <v>5.2</v>
      </c>
      <c r="I7" s="106" t="s">
        <v>19</v>
      </c>
      <c r="J7" s="103">
        <v>0</v>
      </c>
      <c r="K7" s="104" t="s">
        <v>20</v>
      </c>
      <c r="L7" s="103">
        <v>367.5</v>
      </c>
      <c r="M7" s="105" t="s">
        <v>21</v>
      </c>
      <c r="N7" s="103">
        <v>164.4</v>
      </c>
      <c r="O7" s="104" t="s">
        <v>20</v>
      </c>
      <c r="P7" s="103">
        <v>116.4</v>
      </c>
      <c r="Q7" s="106" t="s">
        <v>19</v>
      </c>
    </row>
    <row r="8" spans="1:17" ht="151.5" customHeight="1" x14ac:dyDescent="0.25">
      <c r="A8" s="106" t="s">
        <v>36</v>
      </c>
      <c r="B8" s="106" t="s">
        <v>37</v>
      </c>
      <c r="C8" s="105" t="s">
        <v>17</v>
      </c>
      <c r="D8" s="103">
        <v>126.5</v>
      </c>
      <c r="E8" s="105" t="s">
        <v>18</v>
      </c>
      <c r="F8" s="103">
        <v>4.9000000000000004</v>
      </c>
      <c r="G8" s="106" t="s">
        <v>19</v>
      </c>
      <c r="H8" s="103">
        <v>0</v>
      </c>
      <c r="I8" s="106" t="s">
        <v>19</v>
      </c>
      <c r="J8" s="103">
        <v>0</v>
      </c>
      <c r="K8" s="104" t="s">
        <v>20</v>
      </c>
      <c r="L8" s="103">
        <v>131.30000000000001</v>
      </c>
      <c r="M8" s="105" t="s">
        <v>21</v>
      </c>
      <c r="N8" s="103">
        <v>58.2</v>
      </c>
      <c r="O8" s="104" t="s">
        <v>20</v>
      </c>
      <c r="P8" s="103">
        <v>42.1</v>
      </c>
      <c r="Q8" s="106" t="s">
        <v>19</v>
      </c>
    </row>
    <row r="9" spans="1:17" ht="151.5" customHeight="1" x14ac:dyDescent="0.25">
      <c r="A9" s="106" t="s">
        <v>40</v>
      </c>
      <c r="B9" s="106" t="s">
        <v>25</v>
      </c>
      <c r="C9" s="105" t="s">
        <v>17</v>
      </c>
      <c r="D9" s="103">
        <v>37.700000000000003</v>
      </c>
      <c r="E9" s="105" t="s">
        <v>18</v>
      </c>
      <c r="F9" s="103">
        <v>29.7</v>
      </c>
      <c r="G9" s="106" t="s">
        <v>19</v>
      </c>
      <c r="H9" s="103">
        <v>0</v>
      </c>
      <c r="I9" s="106" t="s">
        <v>19</v>
      </c>
      <c r="J9" s="103">
        <v>0</v>
      </c>
      <c r="K9" s="104" t="s">
        <v>20</v>
      </c>
      <c r="L9" s="103">
        <v>67.400000000000006</v>
      </c>
      <c r="M9" s="105" t="s">
        <v>21</v>
      </c>
      <c r="N9" s="103">
        <v>54.2</v>
      </c>
      <c r="O9" s="104" t="s">
        <v>20</v>
      </c>
      <c r="P9" s="103">
        <v>30.1</v>
      </c>
      <c r="Q9" s="106" t="s">
        <v>19</v>
      </c>
    </row>
    <row r="10" spans="1:17" ht="114.75" customHeight="1" x14ac:dyDescent="0.25">
      <c r="A10" s="106" t="s">
        <v>42</v>
      </c>
      <c r="B10" s="106" t="s">
        <v>43</v>
      </c>
      <c r="C10" s="105" t="s">
        <v>17</v>
      </c>
      <c r="D10" s="103">
        <v>57.5</v>
      </c>
      <c r="E10" s="105" t="s">
        <v>18</v>
      </c>
      <c r="F10" s="103">
        <v>72.2</v>
      </c>
      <c r="G10" s="106" t="s">
        <v>19</v>
      </c>
      <c r="H10" s="103">
        <v>0</v>
      </c>
      <c r="I10" s="106" t="s">
        <v>19</v>
      </c>
      <c r="J10" s="103">
        <v>0</v>
      </c>
      <c r="K10" s="104" t="s">
        <v>20</v>
      </c>
      <c r="L10" s="103">
        <v>129.69999999999999</v>
      </c>
      <c r="M10" s="105" t="s">
        <v>21</v>
      </c>
      <c r="N10" s="103">
        <v>99.5</v>
      </c>
      <c r="O10" s="104" t="s">
        <v>20</v>
      </c>
      <c r="P10" s="103">
        <v>41.7</v>
      </c>
      <c r="Q10" s="106" t="s">
        <v>19</v>
      </c>
    </row>
    <row r="11" spans="1:17" ht="50.25" customHeight="1" x14ac:dyDescent="0.25">
      <c r="A11" s="106" t="s">
        <v>45</v>
      </c>
      <c r="B11" s="106" t="s">
        <v>25</v>
      </c>
      <c r="C11" s="106" t="s">
        <v>19</v>
      </c>
      <c r="D11" s="103">
        <v>0</v>
      </c>
      <c r="E11" s="105" t="s">
        <v>18</v>
      </c>
      <c r="F11" s="103">
        <v>31.4</v>
      </c>
      <c r="G11" s="106" t="s">
        <v>19</v>
      </c>
      <c r="H11" s="103">
        <v>0</v>
      </c>
      <c r="I11" s="105" t="s">
        <v>26</v>
      </c>
      <c r="J11" s="103">
        <v>64.400000000000006</v>
      </c>
      <c r="K11" s="104" t="s">
        <v>20</v>
      </c>
      <c r="L11" s="103">
        <v>95.8</v>
      </c>
      <c r="M11" s="105" t="s">
        <v>21</v>
      </c>
      <c r="N11" s="103">
        <v>40.700000000000003</v>
      </c>
      <c r="O11" s="104" t="s">
        <v>20</v>
      </c>
      <c r="P11" s="103">
        <v>31.4</v>
      </c>
      <c r="Q11" s="106" t="s">
        <v>19</v>
      </c>
    </row>
    <row r="12" spans="1:17" ht="187.2" x14ac:dyDescent="0.25">
      <c r="A12" s="99" t="s">
        <v>22</v>
      </c>
      <c r="B12" s="100" t="s">
        <v>23</v>
      </c>
      <c r="C12" s="97" t="s">
        <v>17</v>
      </c>
      <c r="D12" s="101">
        <v>44.3</v>
      </c>
      <c r="E12" s="97" t="s">
        <v>18</v>
      </c>
      <c r="F12" s="103">
        <v>23.1</v>
      </c>
      <c r="G12" s="104" t="s">
        <v>20</v>
      </c>
      <c r="H12" s="103">
        <v>67.400000000000006</v>
      </c>
      <c r="I12" s="103"/>
      <c r="J12" s="103"/>
      <c r="K12" s="103"/>
      <c r="L12" s="103"/>
      <c r="M12" s="105" t="s">
        <v>21</v>
      </c>
      <c r="N12" s="101">
        <v>24.5</v>
      </c>
      <c r="O12" s="100" t="s">
        <v>20</v>
      </c>
      <c r="P12" s="103">
        <v>21.4</v>
      </c>
      <c r="Q12" s="106" t="s">
        <v>19</v>
      </c>
    </row>
    <row r="13" spans="1:17" ht="187.2" x14ac:dyDescent="0.25">
      <c r="A13" s="99" t="s">
        <v>27</v>
      </c>
      <c r="B13" s="100" t="s">
        <v>28</v>
      </c>
      <c r="C13" s="97" t="s">
        <v>29</v>
      </c>
      <c r="D13" s="101">
        <v>233.1</v>
      </c>
      <c r="E13" s="97" t="s">
        <v>18</v>
      </c>
      <c r="F13" s="103">
        <v>72.400000000000006</v>
      </c>
      <c r="G13" s="106" t="s">
        <v>19</v>
      </c>
      <c r="H13" s="103">
        <v>305.5</v>
      </c>
      <c r="I13" s="103"/>
      <c r="J13" s="103"/>
      <c r="K13" s="103"/>
      <c r="L13" s="103"/>
      <c r="M13" s="104" t="s">
        <v>30</v>
      </c>
      <c r="N13" s="101">
        <v>156.9</v>
      </c>
      <c r="O13" s="102" t="s">
        <v>19</v>
      </c>
      <c r="P13" s="103">
        <v>98.5</v>
      </c>
      <c r="Q13" s="106" t="s">
        <v>19</v>
      </c>
    </row>
    <row r="14" spans="1:17" ht="187.2" x14ac:dyDescent="0.25">
      <c r="A14" s="99" t="s">
        <v>34</v>
      </c>
      <c r="B14" s="100" t="s">
        <v>28</v>
      </c>
      <c r="C14" s="97" t="s">
        <v>29</v>
      </c>
      <c r="D14" s="101">
        <v>387.1</v>
      </c>
      <c r="E14" s="97" t="s">
        <v>18</v>
      </c>
      <c r="F14" s="103">
        <v>31.8</v>
      </c>
      <c r="G14" s="106" t="s">
        <v>19</v>
      </c>
      <c r="H14" s="103">
        <v>419</v>
      </c>
      <c r="I14" s="103"/>
      <c r="J14" s="103"/>
      <c r="K14" s="103"/>
      <c r="L14" s="103"/>
      <c r="M14" s="104" t="s">
        <v>30</v>
      </c>
      <c r="N14" s="101">
        <v>243.4</v>
      </c>
      <c r="O14" s="102" t="s">
        <v>19</v>
      </c>
      <c r="P14" s="103">
        <v>135.5</v>
      </c>
      <c r="Q14" s="106" t="s">
        <v>19</v>
      </c>
    </row>
    <row r="15" spans="1:17" ht="187.2" x14ac:dyDescent="0.25">
      <c r="A15" s="106" t="s">
        <v>35</v>
      </c>
      <c r="B15" s="104" t="s">
        <v>28</v>
      </c>
      <c r="C15" s="105" t="s">
        <v>29</v>
      </c>
      <c r="D15" s="103">
        <v>87.2</v>
      </c>
      <c r="E15" s="105" t="s">
        <v>18</v>
      </c>
      <c r="F15" s="103">
        <v>11.1</v>
      </c>
      <c r="G15" s="106" t="s">
        <v>19</v>
      </c>
      <c r="H15" s="103">
        <v>98.3</v>
      </c>
      <c r="I15" s="103"/>
      <c r="J15" s="103"/>
      <c r="K15" s="103"/>
      <c r="L15" s="103"/>
      <c r="M15" s="104" t="s">
        <v>30</v>
      </c>
      <c r="N15" s="103">
        <v>64.3</v>
      </c>
      <c r="O15" s="106" t="s">
        <v>19</v>
      </c>
      <c r="P15" s="103">
        <v>32.299999999999997</v>
      </c>
      <c r="Q15" s="106" t="s">
        <v>19</v>
      </c>
    </row>
    <row r="16" spans="1:17" ht="187.2" x14ac:dyDescent="0.25">
      <c r="A16" s="106" t="s">
        <v>38</v>
      </c>
      <c r="B16" s="104" t="s">
        <v>39</v>
      </c>
      <c r="C16" s="105" t="s">
        <v>17</v>
      </c>
      <c r="D16" s="103">
        <v>89.2</v>
      </c>
      <c r="E16" s="105" t="s">
        <v>18</v>
      </c>
      <c r="F16" s="103">
        <v>26.1</v>
      </c>
      <c r="G16" s="104" t="s">
        <v>20</v>
      </c>
      <c r="H16" s="103">
        <v>115.3</v>
      </c>
      <c r="I16" s="103"/>
      <c r="J16" s="103"/>
      <c r="K16" s="103"/>
      <c r="L16" s="103"/>
      <c r="M16" s="105" t="s">
        <v>21</v>
      </c>
      <c r="N16" s="103">
        <v>17</v>
      </c>
      <c r="O16" s="104" t="s">
        <v>20</v>
      </c>
      <c r="P16" s="103">
        <v>37.299999999999997</v>
      </c>
      <c r="Q16" s="106" t="s">
        <v>19</v>
      </c>
    </row>
    <row r="17" spans="1:17" ht="187.2" x14ac:dyDescent="0.25">
      <c r="A17" s="106" t="s">
        <v>41</v>
      </c>
      <c r="B17" s="104" t="s">
        <v>28</v>
      </c>
      <c r="C17" s="105" t="s">
        <v>29</v>
      </c>
      <c r="D17" s="103">
        <v>49.8</v>
      </c>
      <c r="E17" s="105" t="s">
        <v>18</v>
      </c>
      <c r="F17" s="103">
        <v>16.5</v>
      </c>
      <c r="G17" s="106" t="s">
        <v>19</v>
      </c>
      <c r="H17" s="103">
        <v>70.400000000000006</v>
      </c>
      <c r="I17" s="103"/>
      <c r="J17" s="103"/>
      <c r="K17" s="103"/>
      <c r="L17" s="103"/>
      <c r="M17" s="104" t="s">
        <v>30</v>
      </c>
      <c r="N17" s="103">
        <v>16.600000000000001</v>
      </c>
      <c r="O17" s="106" t="s">
        <v>19</v>
      </c>
      <c r="P17" s="103">
        <v>22.3</v>
      </c>
      <c r="Q17" s="106" t="s">
        <v>19</v>
      </c>
    </row>
    <row r="18" spans="1:17" ht="187.2" x14ac:dyDescent="0.25">
      <c r="A18" s="106" t="s">
        <v>44</v>
      </c>
      <c r="B18" s="104" t="s">
        <v>28</v>
      </c>
      <c r="C18" s="105" t="s">
        <v>29</v>
      </c>
      <c r="D18" s="103">
        <v>197.8</v>
      </c>
      <c r="E18" s="105" t="s">
        <v>18</v>
      </c>
      <c r="F18" s="103">
        <v>25.9</v>
      </c>
      <c r="G18" s="106" t="s">
        <v>19</v>
      </c>
      <c r="H18" s="103">
        <v>223.7</v>
      </c>
      <c r="I18" s="103"/>
      <c r="J18" s="103"/>
      <c r="K18" s="103"/>
      <c r="L18" s="103"/>
      <c r="M18" s="104" t="s">
        <v>30</v>
      </c>
      <c r="N18" s="103">
        <v>176.6</v>
      </c>
      <c r="O18" s="106" t="s">
        <v>19</v>
      </c>
      <c r="P18" s="103">
        <v>68.599999999999994</v>
      </c>
      <c r="Q18" s="106" t="s">
        <v>19</v>
      </c>
    </row>
  </sheetData>
  <mergeCells count="16">
    <mergeCell ref="M3:M4"/>
    <mergeCell ref="N3:N4"/>
    <mergeCell ref="A1:Q1"/>
    <mergeCell ref="A2:A4"/>
    <mergeCell ref="B2:B4"/>
    <mergeCell ref="C2:L2"/>
    <mergeCell ref="M2:N2"/>
    <mergeCell ref="O2:P2"/>
    <mergeCell ref="Q2:Q4"/>
    <mergeCell ref="O3:O4"/>
    <mergeCell ref="P3:P4"/>
    <mergeCell ref="C3:D3"/>
    <mergeCell ref="E3:F3"/>
    <mergeCell ref="G3:H3"/>
    <mergeCell ref="I3:J3"/>
    <mergeCell ref="K3:L3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9" tint="0.79998168889431442"/>
  </sheetPr>
  <dimension ref="A1:Q19"/>
  <sheetViews>
    <sheetView topLeftCell="A19" zoomScale="55" zoomScaleNormal="55" workbookViewId="0">
      <selection activeCell="A5" sqref="A5:Q19"/>
    </sheetView>
  </sheetViews>
  <sheetFormatPr defaultRowHeight="13.2" x14ac:dyDescent="0.25"/>
  <cols>
    <col min="1" max="1" width="6.44140625" customWidth="1"/>
    <col min="2" max="2" width="23.33203125" customWidth="1"/>
    <col min="3" max="3" width="26.109375" customWidth="1"/>
    <col min="4" max="4" width="13.109375" customWidth="1"/>
    <col min="5" max="5" width="26.109375" customWidth="1"/>
    <col min="6" max="6" width="13.109375" customWidth="1"/>
    <col min="7" max="7" width="26.109375" customWidth="1"/>
    <col min="8" max="8" width="13.109375" customWidth="1"/>
    <col min="9" max="9" width="26.109375" customWidth="1"/>
    <col min="10" max="10" width="13.109375" customWidth="1"/>
    <col min="11" max="11" width="19.77734375" customWidth="1"/>
    <col min="12" max="12" width="13.109375" customWidth="1"/>
    <col min="13" max="13" width="19.77734375" customWidth="1"/>
    <col min="14" max="14" width="13.109375" customWidth="1"/>
    <col min="15" max="15" width="19.77734375" customWidth="1"/>
    <col min="16" max="16" width="12.77734375" customWidth="1"/>
    <col min="17" max="17" width="16.44140625" customWidth="1"/>
  </cols>
  <sheetData>
    <row r="1" spans="1:17" x14ac:dyDescent="0.25">
      <c r="A1" s="234" t="s">
        <v>0</v>
      </c>
      <c r="B1" s="234"/>
      <c r="C1" s="234"/>
      <c r="D1" s="234"/>
      <c r="E1" s="234"/>
      <c r="F1" s="234"/>
      <c r="G1" s="234"/>
      <c r="H1" s="234"/>
      <c r="I1" s="234"/>
      <c r="J1" s="234"/>
      <c r="K1" s="234"/>
      <c r="L1" s="234"/>
      <c r="M1" s="234"/>
      <c r="N1" s="234"/>
      <c r="O1" s="234"/>
      <c r="P1" s="234"/>
      <c r="Q1" s="234"/>
    </row>
    <row r="2" spans="1:17" ht="17.399999999999999" x14ac:dyDescent="0.25">
      <c r="A2" s="233" t="s">
        <v>1</v>
      </c>
      <c r="B2" s="232" t="s">
        <v>2</v>
      </c>
      <c r="C2" s="234" t="s">
        <v>3</v>
      </c>
      <c r="D2" s="234"/>
      <c r="E2" s="234"/>
      <c r="F2" s="234"/>
      <c r="G2" s="234"/>
      <c r="H2" s="234"/>
      <c r="I2" s="234"/>
      <c r="J2" s="234"/>
      <c r="K2" s="234"/>
      <c r="L2" s="234"/>
      <c r="M2" s="232" t="s">
        <v>4</v>
      </c>
      <c r="N2" s="232"/>
      <c r="O2" s="235" t="s">
        <v>5</v>
      </c>
      <c r="P2" s="235"/>
      <c r="Q2" s="236" t="s">
        <v>6</v>
      </c>
    </row>
    <row r="3" spans="1:17" ht="17.399999999999999" x14ac:dyDescent="0.25">
      <c r="A3" s="233"/>
      <c r="B3" s="232"/>
      <c r="C3" s="235" t="s">
        <v>7</v>
      </c>
      <c r="D3" s="235"/>
      <c r="E3" s="238" t="s">
        <v>8</v>
      </c>
      <c r="F3" s="238"/>
      <c r="G3" s="239" t="s">
        <v>9</v>
      </c>
      <c r="H3" s="239"/>
      <c r="I3" s="239" t="s">
        <v>10</v>
      </c>
      <c r="J3" s="239"/>
      <c r="K3" s="240" t="s">
        <v>11</v>
      </c>
      <c r="L3" s="240"/>
      <c r="M3" s="232" t="s">
        <v>12</v>
      </c>
      <c r="N3" s="233" t="s">
        <v>13</v>
      </c>
      <c r="O3" s="232" t="s">
        <v>12</v>
      </c>
      <c r="P3" s="237" t="s">
        <v>14</v>
      </c>
      <c r="Q3" s="236"/>
    </row>
    <row r="4" spans="1:17" ht="34.799999999999997" x14ac:dyDescent="0.25">
      <c r="A4" s="233"/>
      <c r="B4" s="232"/>
      <c r="C4" s="96" t="s">
        <v>12</v>
      </c>
      <c r="D4" s="97" t="s">
        <v>13</v>
      </c>
      <c r="E4" s="96" t="s">
        <v>12</v>
      </c>
      <c r="F4" s="97" t="s">
        <v>13</v>
      </c>
      <c r="G4" s="96" t="s">
        <v>12</v>
      </c>
      <c r="H4" s="97" t="s">
        <v>13</v>
      </c>
      <c r="I4" s="96" t="s">
        <v>12</v>
      </c>
      <c r="J4" s="97" t="s">
        <v>13</v>
      </c>
      <c r="K4" s="98" t="s">
        <v>12</v>
      </c>
      <c r="L4" s="97" t="s">
        <v>13</v>
      </c>
      <c r="M4" s="232"/>
      <c r="N4" s="233"/>
      <c r="O4" s="232"/>
      <c r="P4" s="237"/>
      <c r="Q4" s="236"/>
    </row>
    <row r="5" spans="1:17" ht="187.2" x14ac:dyDescent="0.25">
      <c r="A5" s="7" t="s">
        <v>46</v>
      </c>
      <c r="B5" s="8" t="s">
        <v>47</v>
      </c>
      <c r="C5" s="3" t="s">
        <v>17</v>
      </c>
      <c r="D5" s="9">
        <v>26.3</v>
      </c>
      <c r="E5" s="3" t="s">
        <v>18</v>
      </c>
      <c r="F5" s="9">
        <v>18.899999999999999</v>
      </c>
      <c r="G5" s="10" t="s">
        <v>19</v>
      </c>
      <c r="H5" s="9">
        <v>0</v>
      </c>
      <c r="I5" s="9"/>
      <c r="J5" s="9"/>
      <c r="K5" s="8" t="s">
        <v>20</v>
      </c>
      <c r="L5" s="9">
        <v>45.2</v>
      </c>
      <c r="M5" s="3" t="s">
        <v>21</v>
      </c>
      <c r="N5" s="9">
        <v>11.8</v>
      </c>
      <c r="O5" s="8" t="s">
        <v>20</v>
      </c>
      <c r="P5" s="9">
        <v>14.3</v>
      </c>
      <c r="Q5" s="10" t="s">
        <v>19</v>
      </c>
    </row>
    <row r="6" spans="1:17" ht="187.2" x14ac:dyDescent="0.25">
      <c r="A6" s="7" t="s">
        <v>49</v>
      </c>
      <c r="B6" s="8" t="s">
        <v>50</v>
      </c>
      <c r="C6" s="3" t="s">
        <v>17</v>
      </c>
      <c r="D6" s="9">
        <v>30.7</v>
      </c>
      <c r="E6" s="3" t="s">
        <v>18</v>
      </c>
      <c r="F6" s="9">
        <v>11.7</v>
      </c>
      <c r="G6" s="10" t="s">
        <v>19</v>
      </c>
      <c r="H6" s="9">
        <v>0</v>
      </c>
      <c r="I6" s="9"/>
      <c r="J6" s="9"/>
      <c r="K6" s="8" t="s">
        <v>20</v>
      </c>
      <c r="L6" s="9">
        <v>42.4</v>
      </c>
      <c r="M6" s="3" t="s">
        <v>21</v>
      </c>
      <c r="N6" s="9">
        <v>12.4</v>
      </c>
      <c r="O6" s="8" t="s">
        <v>20</v>
      </c>
      <c r="P6" s="9">
        <v>13.4</v>
      </c>
      <c r="Q6" s="10" t="s">
        <v>19</v>
      </c>
    </row>
    <row r="7" spans="1:17" ht="187.2" x14ac:dyDescent="0.25">
      <c r="A7" s="7" t="s">
        <v>52</v>
      </c>
      <c r="B7" s="10" t="s">
        <v>32</v>
      </c>
      <c r="C7" s="3" t="s">
        <v>17</v>
      </c>
      <c r="D7" s="9">
        <v>33.700000000000003</v>
      </c>
      <c r="E7" s="3" t="s">
        <v>18</v>
      </c>
      <c r="F7" s="9">
        <v>45.4</v>
      </c>
      <c r="G7" s="10" t="s">
        <v>19</v>
      </c>
      <c r="H7" s="9">
        <v>0</v>
      </c>
      <c r="I7" s="9"/>
      <c r="J7" s="9"/>
      <c r="K7" s="8" t="s">
        <v>20</v>
      </c>
      <c r="L7" s="9">
        <v>79.099999999999994</v>
      </c>
      <c r="M7" s="3" t="s">
        <v>21</v>
      </c>
      <c r="N7" s="9">
        <v>30.4</v>
      </c>
      <c r="O7" s="8" t="s">
        <v>20</v>
      </c>
      <c r="P7" s="9">
        <v>24.3</v>
      </c>
      <c r="Q7" s="10" t="s">
        <v>19</v>
      </c>
    </row>
    <row r="8" spans="1:17" ht="187.2" x14ac:dyDescent="0.25">
      <c r="A8" s="7" t="s">
        <v>54</v>
      </c>
      <c r="B8" s="8" t="s">
        <v>55</v>
      </c>
      <c r="C8" s="3" t="s">
        <v>17</v>
      </c>
      <c r="D8" s="9">
        <v>69.900000000000006</v>
      </c>
      <c r="E8" s="3" t="s">
        <v>18</v>
      </c>
      <c r="F8" s="9">
        <v>24.3</v>
      </c>
      <c r="G8" s="10" t="s">
        <v>19</v>
      </c>
      <c r="H8" s="9">
        <v>0</v>
      </c>
      <c r="I8" s="9"/>
      <c r="J8" s="9"/>
      <c r="K8" s="8" t="s">
        <v>20</v>
      </c>
      <c r="L8" s="9">
        <v>94.2</v>
      </c>
      <c r="M8" s="3" t="s">
        <v>21</v>
      </c>
      <c r="N8" s="9">
        <v>13</v>
      </c>
      <c r="O8" s="8" t="s">
        <v>20</v>
      </c>
      <c r="P8" s="9">
        <v>29.8</v>
      </c>
      <c r="Q8" s="10" t="s">
        <v>19</v>
      </c>
    </row>
    <row r="9" spans="1:17" ht="187.2" x14ac:dyDescent="0.25">
      <c r="A9" s="17" t="s">
        <v>57</v>
      </c>
      <c r="B9" s="22" t="s">
        <v>28</v>
      </c>
      <c r="C9" s="1" t="s">
        <v>29</v>
      </c>
      <c r="D9" s="21">
        <v>60.3</v>
      </c>
      <c r="E9" s="1" t="s">
        <v>18</v>
      </c>
      <c r="F9" s="19">
        <v>29.4</v>
      </c>
      <c r="G9" s="17" t="s">
        <v>19</v>
      </c>
      <c r="H9" s="21">
        <v>0</v>
      </c>
      <c r="I9" s="85"/>
      <c r="J9" s="85"/>
      <c r="K9" s="17" t="s">
        <v>19</v>
      </c>
      <c r="L9" s="21">
        <v>89.7</v>
      </c>
      <c r="M9" s="22" t="s">
        <v>30</v>
      </c>
      <c r="N9" s="21">
        <v>31.4</v>
      </c>
      <c r="O9" s="17" t="s">
        <v>19</v>
      </c>
      <c r="P9" s="21">
        <v>28.9</v>
      </c>
      <c r="Q9" s="17" t="s">
        <v>19</v>
      </c>
    </row>
    <row r="10" spans="1:17" ht="187.2" x14ac:dyDescent="0.25">
      <c r="A10" s="17" t="s">
        <v>59</v>
      </c>
      <c r="B10" s="22" t="s">
        <v>28</v>
      </c>
      <c r="C10" s="1" t="s">
        <v>29</v>
      </c>
      <c r="D10" s="19">
        <v>337.9</v>
      </c>
      <c r="E10" s="1" t="s">
        <v>18</v>
      </c>
      <c r="F10" s="19">
        <v>126.9</v>
      </c>
      <c r="G10" s="17" t="s">
        <v>19</v>
      </c>
      <c r="H10" s="21">
        <v>0</v>
      </c>
      <c r="I10" s="85"/>
      <c r="J10" s="85"/>
      <c r="K10" s="17" t="s">
        <v>19</v>
      </c>
      <c r="L10" s="19">
        <v>464.7</v>
      </c>
      <c r="M10" s="22" t="s">
        <v>30</v>
      </c>
      <c r="N10" s="19">
        <v>289.10000000000002</v>
      </c>
      <c r="O10" s="17" t="s">
        <v>19</v>
      </c>
      <c r="P10" s="19">
        <v>162</v>
      </c>
      <c r="Q10" s="17" t="s">
        <v>19</v>
      </c>
    </row>
    <row r="11" spans="1:17" ht="187.2" x14ac:dyDescent="0.25">
      <c r="A11" s="17" t="s">
        <v>61</v>
      </c>
      <c r="B11" s="22" t="s">
        <v>28</v>
      </c>
      <c r="C11" s="1" t="s">
        <v>29</v>
      </c>
      <c r="D11" s="19">
        <v>278.8</v>
      </c>
      <c r="E11" s="1" t="s">
        <v>18</v>
      </c>
      <c r="F11" s="19">
        <v>64</v>
      </c>
      <c r="G11" s="17" t="s">
        <v>19</v>
      </c>
      <c r="H11" s="21">
        <v>0</v>
      </c>
      <c r="I11" s="85"/>
      <c r="J11" s="85"/>
      <c r="K11" s="17" t="s">
        <v>19</v>
      </c>
      <c r="L11" s="19">
        <v>342.8</v>
      </c>
      <c r="M11" s="22" t="s">
        <v>30</v>
      </c>
      <c r="N11" s="19">
        <v>259.2</v>
      </c>
      <c r="O11" s="17" t="s">
        <v>19</v>
      </c>
      <c r="P11" s="21">
        <v>111.1</v>
      </c>
      <c r="Q11" s="17" t="s">
        <v>19</v>
      </c>
    </row>
    <row r="12" spans="1:17" ht="187.2" x14ac:dyDescent="0.25">
      <c r="A12" s="17" t="s">
        <v>62</v>
      </c>
      <c r="B12" s="22" t="s">
        <v>28</v>
      </c>
      <c r="C12" s="1" t="s">
        <v>29</v>
      </c>
      <c r="D12" s="21">
        <v>32.799999999999997</v>
      </c>
      <c r="E12" s="1" t="s">
        <v>18</v>
      </c>
      <c r="F12" s="19">
        <v>40.700000000000003</v>
      </c>
      <c r="G12" s="17" t="s">
        <v>19</v>
      </c>
      <c r="H12" s="21">
        <v>0</v>
      </c>
      <c r="I12" s="85"/>
      <c r="J12" s="85"/>
      <c r="K12" s="17" t="s">
        <v>19</v>
      </c>
      <c r="L12" s="21">
        <v>73.5</v>
      </c>
      <c r="M12" s="22" t="s">
        <v>30</v>
      </c>
      <c r="N12" s="19">
        <v>26.4</v>
      </c>
      <c r="O12" s="17" t="s">
        <v>19</v>
      </c>
      <c r="P12" s="21">
        <v>24.1</v>
      </c>
      <c r="Q12" s="17" t="s">
        <v>19</v>
      </c>
    </row>
    <row r="13" spans="1:17" ht="187.2" x14ac:dyDescent="0.25">
      <c r="A13" s="7" t="s">
        <v>48</v>
      </c>
      <c r="B13" s="10" t="s">
        <v>25</v>
      </c>
      <c r="C13" s="3" t="s">
        <v>17</v>
      </c>
      <c r="D13" s="9">
        <v>89.7</v>
      </c>
      <c r="E13" s="3" t="s">
        <v>18</v>
      </c>
      <c r="F13" s="9">
        <v>52.7</v>
      </c>
      <c r="G13" s="10" t="s">
        <v>19</v>
      </c>
      <c r="H13" s="11">
        <v>0</v>
      </c>
      <c r="I13" s="12"/>
      <c r="J13" s="83"/>
      <c r="K13" s="13" t="s">
        <v>20</v>
      </c>
      <c r="L13" s="14">
        <v>142.30000000000001</v>
      </c>
      <c r="M13" s="6" t="s">
        <v>21</v>
      </c>
      <c r="N13" s="9">
        <v>126</v>
      </c>
      <c r="O13" s="8" t="s">
        <v>20</v>
      </c>
      <c r="P13" s="14">
        <v>56.4</v>
      </c>
      <c r="Q13" s="16" t="s">
        <v>19</v>
      </c>
    </row>
    <row r="14" spans="1:17" ht="187.2" x14ac:dyDescent="0.25">
      <c r="A14" s="7" t="s">
        <v>51</v>
      </c>
      <c r="B14" s="10" t="s">
        <v>25</v>
      </c>
      <c r="C14" s="3" t="s">
        <v>17</v>
      </c>
      <c r="D14" s="9">
        <v>26.4</v>
      </c>
      <c r="E14" s="3" t="s">
        <v>18</v>
      </c>
      <c r="F14" s="9">
        <v>92.5</v>
      </c>
      <c r="G14" s="10" t="s">
        <v>19</v>
      </c>
      <c r="H14" s="11">
        <v>0</v>
      </c>
      <c r="I14" s="12"/>
      <c r="J14" s="83"/>
      <c r="K14" s="13" t="s">
        <v>20</v>
      </c>
      <c r="L14" s="14">
        <v>118.9</v>
      </c>
      <c r="M14" s="6" t="s">
        <v>21</v>
      </c>
      <c r="N14" s="9">
        <v>70.7</v>
      </c>
      <c r="O14" s="8" t="s">
        <v>20</v>
      </c>
      <c r="P14" s="14">
        <v>38.799999999999997</v>
      </c>
      <c r="Q14" s="16" t="s">
        <v>19</v>
      </c>
    </row>
    <row r="15" spans="1:17" ht="187.2" x14ac:dyDescent="0.25">
      <c r="A15" s="7" t="s">
        <v>53</v>
      </c>
      <c r="B15" s="8" t="s">
        <v>28</v>
      </c>
      <c r="C15" s="3" t="s">
        <v>29</v>
      </c>
      <c r="D15" s="9">
        <v>210.2</v>
      </c>
      <c r="E15" s="3" t="s">
        <v>18</v>
      </c>
      <c r="F15" s="9">
        <v>94.2</v>
      </c>
      <c r="G15" s="10" t="s">
        <v>19</v>
      </c>
      <c r="H15" s="11">
        <v>0</v>
      </c>
      <c r="I15" s="12"/>
      <c r="J15" s="83"/>
      <c r="K15" s="16" t="s">
        <v>19</v>
      </c>
      <c r="L15" s="14">
        <v>304.3</v>
      </c>
      <c r="M15" s="13" t="s">
        <v>30</v>
      </c>
      <c r="N15" s="9">
        <v>242</v>
      </c>
      <c r="O15" s="10" t="s">
        <v>19</v>
      </c>
      <c r="P15" s="14">
        <v>99.1</v>
      </c>
      <c r="Q15" s="16" t="s">
        <v>19</v>
      </c>
    </row>
    <row r="16" spans="1:17" ht="230.4" x14ac:dyDescent="0.25">
      <c r="A16" s="17" t="s">
        <v>56</v>
      </c>
      <c r="B16" s="17" t="s">
        <v>32</v>
      </c>
      <c r="C16" s="1" t="s">
        <v>17</v>
      </c>
      <c r="D16" s="19">
        <v>261.60000000000002</v>
      </c>
      <c r="E16" s="1" t="s">
        <v>18</v>
      </c>
      <c r="F16" s="19">
        <v>130.30000000000001</v>
      </c>
      <c r="G16" s="1" t="s">
        <v>33</v>
      </c>
      <c r="H16" s="24">
        <v>3.8</v>
      </c>
      <c r="I16" s="25"/>
      <c r="J16" s="88"/>
      <c r="K16" s="30" t="s">
        <v>20</v>
      </c>
      <c r="L16" s="32">
        <v>395.7</v>
      </c>
      <c r="M16" s="34" t="s">
        <v>21</v>
      </c>
      <c r="N16" s="19">
        <v>180.7</v>
      </c>
      <c r="O16" s="22" t="s">
        <v>20</v>
      </c>
      <c r="P16" s="32">
        <v>123.9</v>
      </c>
      <c r="Q16" s="28" t="s">
        <v>19</v>
      </c>
    </row>
    <row r="17" spans="1:17" ht="14.4" x14ac:dyDescent="0.25">
      <c r="A17" s="18"/>
      <c r="B17" s="18"/>
      <c r="C17" s="4"/>
      <c r="D17" s="20"/>
      <c r="E17" s="4"/>
      <c r="F17" s="20"/>
      <c r="G17" s="4"/>
      <c r="H17" s="26"/>
      <c r="I17" s="27"/>
      <c r="J17" s="89"/>
      <c r="K17" s="31"/>
      <c r="L17" s="33"/>
      <c r="M17" s="36"/>
      <c r="N17" s="20"/>
      <c r="O17" s="23"/>
      <c r="P17" s="33"/>
      <c r="Q17" s="29"/>
    </row>
    <row r="18" spans="1:17" ht="187.2" x14ac:dyDescent="0.25">
      <c r="A18" s="17" t="s">
        <v>58</v>
      </c>
      <c r="B18" s="22" t="s">
        <v>28</v>
      </c>
      <c r="C18" s="1" t="s">
        <v>29</v>
      </c>
      <c r="D18" s="19">
        <v>114.6</v>
      </c>
      <c r="E18" s="1" t="s">
        <v>18</v>
      </c>
      <c r="F18" s="21">
        <v>76.2</v>
      </c>
      <c r="G18" s="17" t="s">
        <v>19</v>
      </c>
      <c r="H18" s="24">
        <v>0</v>
      </c>
      <c r="I18" s="25"/>
      <c r="J18" s="88"/>
      <c r="K18" s="28" t="s">
        <v>19</v>
      </c>
      <c r="L18" s="32">
        <v>190.8</v>
      </c>
      <c r="M18" s="30" t="s">
        <v>30</v>
      </c>
      <c r="N18" s="19">
        <v>103.5</v>
      </c>
      <c r="O18" s="17" t="s">
        <v>19</v>
      </c>
      <c r="P18" s="32">
        <v>62.1</v>
      </c>
      <c r="Q18" s="28" t="s">
        <v>19</v>
      </c>
    </row>
    <row r="19" spans="1:17" ht="187.2" x14ac:dyDescent="0.25">
      <c r="A19" s="17" t="s">
        <v>60</v>
      </c>
      <c r="B19" s="22" t="s">
        <v>28</v>
      </c>
      <c r="C19" s="1" t="s">
        <v>29</v>
      </c>
      <c r="D19" s="19">
        <v>185.8</v>
      </c>
      <c r="E19" s="1" t="s">
        <v>18</v>
      </c>
      <c r="F19" s="21">
        <v>41.3</v>
      </c>
      <c r="G19" s="17" t="s">
        <v>19</v>
      </c>
      <c r="H19" s="24">
        <v>0</v>
      </c>
      <c r="I19" s="25"/>
      <c r="J19" s="88"/>
      <c r="K19" s="28" t="s">
        <v>19</v>
      </c>
      <c r="L19" s="32">
        <v>227.1</v>
      </c>
      <c r="M19" s="30" t="s">
        <v>30</v>
      </c>
      <c r="N19" s="19">
        <v>181.1</v>
      </c>
      <c r="O19" s="17" t="s">
        <v>19</v>
      </c>
      <c r="P19" s="32">
        <v>71</v>
      </c>
      <c r="Q19" s="28" t="s">
        <v>19</v>
      </c>
    </row>
  </sheetData>
  <mergeCells count="16">
    <mergeCell ref="P3:P4"/>
    <mergeCell ref="A1:Q1"/>
    <mergeCell ref="A2:A4"/>
    <mergeCell ref="B2:B4"/>
    <mergeCell ref="C2:L2"/>
    <mergeCell ref="M2:N2"/>
    <mergeCell ref="O2:P2"/>
    <mergeCell ref="Q2:Q4"/>
    <mergeCell ref="C3:D3"/>
    <mergeCell ref="E3:F3"/>
    <mergeCell ref="G3:H3"/>
    <mergeCell ref="I3:J3"/>
    <mergeCell ref="K3:L3"/>
    <mergeCell ref="M3:M4"/>
    <mergeCell ref="N3:N4"/>
    <mergeCell ref="O3:O4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AC13"/>
  <sheetViews>
    <sheetView zoomScale="55" zoomScaleNormal="55" workbookViewId="0">
      <selection sqref="A1:U4"/>
    </sheetView>
  </sheetViews>
  <sheetFormatPr defaultRowHeight="13.2" x14ac:dyDescent="0.25"/>
  <cols>
    <col min="1" max="1" width="6.44140625" customWidth="1"/>
    <col min="2" max="2" width="23.33203125" customWidth="1"/>
    <col min="3" max="3" width="42.109375" customWidth="1"/>
    <col min="4" max="4" width="13.109375" customWidth="1"/>
    <col min="5" max="5" width="26.109375" customWidth="1"/>
    <col min="6" max="6" width="13.109375" customWidth="1"/>
    <col min="7" max="7" width="50.44140625" customWidth="1"/>
    <col min="8" max="8" width="13.109375" customWidth="1"/>
    <col min="9" max="9" width="26.109375" customWidth="1"/>
    <col min="10" max="10" width="13.109375" customWidth="1"/>
    <col min="11" max="11" width="48.44140625" customWidth="1"/>
    <col min="12" max="12" width="13.109375" customWidth="1"/>
    <col min="13" max="13" width="30.44140625" customWidth="1"/>
    <col min="14" max="14" width="13.109375" customWidth="1"/>
    <col min="15" max="15" width="19.77734375" customWidth="1"/>
    <col min="16" max="16" width="12.77734375" customWidth="1"/>
    <col min="17" max="17" width="24" customWidth="1"/>
    <col min="18" max="18" width="12.109375" customWidth="1"/>
    <col min="19" max="19" width="16.109375" customWidth="1"/>
    <col min="20" max="20" width="12.77734375" customWidth="1"/>
    <col min="21" max="21" width="26.6640625" customWidth="1"/>
  </cols>
  <sheetData>
    <row r="1" spans="1:29" ht="31.5" customHeight="1" x14ac:dyDescent="0.25">
      <c r="A1" s="241" t="s">
        <v>0</v>
      </c>
      <c r="B1" s="242"/>
      <c r="C1" s="242"/>
      <c r="D1" s="242"/>
      <c r="E1" s="242"/>
      <c r="F1" s="242"/>
      <c r="G1" s="242"/>
      <c r="H1" s="242"/>
      <c r="I1" s="242"/>
      <c r="J1" s="242"/>
      <c r="K1" s="242"/>
      <c r="L1" s="242"/>
      <c r="M1" s="242"/>
      <c r="N1" s="242"/>
      <c r="O1" s="242"/>
      <c r="P1" s="242"/>
      <c r="Q1" s="242"/>
      <c r="R1" s="242"/>
      <c r="S1" s="242"/>
      <c r="T1" s="242"/>
      <c r="U1" s="242"/>
    </row>
    <row r="2" spans="1:29" ht="17.399999999999999" x14ac:dyDescent="0.25">
      <c r="A2" s="233" t="s">
        <v>1</v>
      </c>
      <c r="B2" s="232" t="s">
        <v>2</v>
      </c>
      <c r="C2" s="234" t="s">
        <v>3</v>
      </c>
      <c r="D2" s="234"/>
      <c r="E2" s="234"/>
      <c r="F2" s="234"/>
      <c r="G2" s="234"/>
      <c r="H2" s="234"/>
      <c r="I2" s="234"/>
      <c r="J2" s="234"/>
      <c r="K2" s="234"/>
      <c r="L2" s="234"/>
      <c r="M2" s="107"/>
      <c r="N2" s="107"/>
      <c r="O2" s="107"/>
      <c r="P2" s="107"/>
      <c r="Q2" s="232" t="s">
        <v>4</v>
      </c>
      <c r="R2" s="232"/>
      <c r="S2" s="235" t="s">
        <v>5</v>
      </c>
      <c r="T2" s="235"/>
      <c r="U2" s="108" t="s">
        <v>6</v>
      </c>
    </row>
    <row r="3" spans="1:29" ht="17.399999999999999" x14ac:dyDescent="0.25">
      <c r="A3" s="233"/>
      <c r="B3" s="232"/>
      <c r="C3" s="235" t="s">
        <v>7</v>
      </c>
      <c r="D3" s="235"/>
      <c r="E3" s="238" t="s">
        <v>8</v>
      </c>
      <c r="F3" s="238"/>
      <c r="G3" s="239" t="s">
        <v>9</v>
      </c>
      <c r="H3" s="239"/>
      <c r="I3" s="80" t="s">
        <v>63</v>
      </c>
      <c r="J3" s="81"/>
      <c r="K3" s="80" t="s">
        <v>64</v>
      </c>
      <c r="L3" s="81"/>
      <c r="M3" s="239" t="s">
        <v>10</v>
      </c>
      <c r="N3" s="239"/>
      <c r="O3" s="240" t="s">
        <v>11</v>
      </c>
      <c r="P3" s="240"/>
      <c r="Q3" s="232" t="s">
        <v>12</v>
      </c>
      <c r="R3" s="233" t="s">
        <v>13</v>
      </c>
      <c r="S3" s="232" t="s">
        <v>12</v>
      </c>
      <c r="T3" s="237" t="s">
        <v>14</v>
      </c>
      <c r="U3" s="108"/>
    </row>
    <row r="4" spans="1:29" ht="34.799999999999997" x14ac:dyDescent="0.25">
      <c r="A4" s="233"/>
      <c r="B4" s="232"/>
      <c r="C4" s="96" t="s">
        <v>12</v>
      </c>
      <c r="D4" s="97" t="s">
        <v>13</v>
      </c>
      <c r="E4" s="96" t="s">
        <v>12</v>
      </c>
      <c r="F4" s="97" t="s">
        <v>13</v>
      </c>
      <c r="G4" s="96" t="s">
        <v>12</v>
      </c>
      <c r="H4" s="97" t="s">
        <v>13</v>
      </c>
      <c r="I4" s="5" t="s">
        <v>12</v>
      </c>
      <c r="J4" s="3" t="s">
        <v>13</v>
      </c>
      <c r="K4" s="5" t="s">
        <v>12</v>
      </c>
      <c r="L4" s="3" t="s">
        <v>13</v>
      </c>
      <c r="M4" s="96" t="s">
        <v>12</v>
      </c>
      <c r="N4" s="97" t="s">
        <v>13</v>
      </c>
      <c r="O4" s="98" t="s">
        <v>12</v>
      </c>
      <c r="P4" s="97" t="s">
        <v>13</v>
      </c>
      <c r="Q4" s="232"/>
      <c r="R4" s="233"/>
      <c r="S4" s="232"/>
      <c r="T4" s="237"/>
      <c r="U4" s="108"/>
    </row>
    <row r="5" spans="1:29" ht="144" x14ac:dyDescent="0.25">
      <c r="A5" s="102" t="s">
        <v>65</v>
      </c>
      <c r="B5" s="102" t="s">
        <v>66</v>
      </c>
      <c r="C5" s="97" t="s">
        <v>67</v>
      </c>
      <c r="D5" s="101">
        <v>5.6</v>
      </c>
      <c r="E5" s="101"/>
      <c r="F5" s="101"/>
      <c r="G5" s="102" t="s">
        <v>19</v>
      </c>
      <c r="H5" s="101">
        <v>0</v>
      </c>
      <c r="I5" s="102" t="s">
        <v>19</v>
      </c>
      <c r="J5" s="101">
        <v>0</v>
      </c>
      <c r="K5" s="102" t="s">
        <v>19</v>
      </c>
      <c r="L5" s="101">
        <v>0</v>
      </c>
      <c r="M5" s="97" t="s">
        <v>26</v>
      </c>
      <c r="N5" s="101">
        <v>5.4</v>
      </c>
      <c r="O5" s="100" t="s">
        <v>20</v>
      </c>
      <c r="P5" s="101">
        <v>11</v>
      </c>
      <c r="Q5" s="97" t="s">
        <v>21</v>
      </c>
      <c r="R5" s="101">
        <v>13.4</v>
      </c>
      <c r="S5" s="100" t="s">
        <v>20</v>
      </c>
      <c r="T5" s="101">
        <v>7.7</v>
      </c>
      <c r="U5" s="97" t="s">
        <v>68</v>
      </c>
      <c r="AC5" s="95"/>
    </row>
    <row r="6" spans="1:29" ht="86.4" x14ac:dyDescent="0.25">
      <c r="A6" s="102" t="s">
        <v>69</v>
      </c>
      <c r="B6" s="97" t="s">
        <v>70</v>
      </c>
      <c r="C6" s="97" t="s">
        <v>67</v>
      </c>
      <c r="D6" s="101">
        <v>11.6</v>
      </c>
      <c r="E6" s="101"/>
      <c r="F6" s="101"/>
      <c r="G6" s="97" t="s">
        <v>71</v>
      </c>
      <c r="H6" s="101">
        <v>6.3</v>
      </c>
      <c r="I6" s="102" t="s">
        <v>19</v>
      </c>
      <c r="J6" s="101">
        <v>0</v>
      </c>
      <c r="K6" s="97" t="s">
        <v>71</v>
      </c>
      <c r="L6" s="101">
        <v>15.1</v>
      </c>
      <c r="M6" s="102" t="s">
        <v>19</v>
      </c>
      <c r="N6" s="101">
        <v>0</v>
      </c>
      <c r="O6" s="100" t="s">
        <v>20</v>
      </c>
      <c r="P6" s="101">
        <v>32.9</v>
      </c>
      <c r="Q6" s="110" t="s">
        <v>30</v>
      </c>
      <c r="R6" s="101">
        <v>17.600000000000001</v>
      </c>
      <c r="S6" s="100" t="s">
        <v>20</v>
      </c>
      <c r="T6" s="101">
        <v>14</v>
      </c>
      <c r="U6" s="97" t="s">
        <v>68</v>
      </c>
      <c r="AC6" s="95"/>
    </row>
    <row r="7" spans="1:29" ht="86.4" x14ac:dyDescent="0.25">
      <c r="A7" s="102" t="s">
        <v>72</v>
      </c>
      <c r="B7" s="100" t="s">
        <v>73</v>
      </c>
      <c r="C7" s="102" t="s">
        <v>19</v>
      </c>
      <c r="D7" s="101">
        <v>0</v>
      </c>
      <c r="E7" s="101"/>
      <c r="F7" s="101"/>
      <c r="G7" s="102" t="s">
        <v>19</v>
      </c>
      <c r="H7" s="101">
        <v>0</v>
      </c>
      <c r="I7" s="102" t="s">
        <v>19</v>
      </c>
      <c r="J7" s="101">
        <v>0</v>
      </c>
      <c r="K7" s="97" t="s">
        <v>74</v>
      </c>
      <c r="L7" s="101">
        <v>27.1</v>
      </c>
      <c r="M7" s="102" t="s">
        <v>19</v>
      </c>
      <c r="N7" s="101">
        <v>0</v>
      </c>
      <c r="O7" s="100" t="s">
        <v>20</v>
      </c>
      <c r="P7" s="101">
        <v>27.1</v>
      </c>
      <c r="Q7" s="97" t="s">
        <v>21</v>
      </c>
      <c r="R7" s="101">
        <v>5.8</v>
      </c>
      <c r="S7" s="100" t="s">
        <v>20</v>
      </c>
      <c r="T7" s="101">
        <v>8.5</v>
      </c>
      <c r="U7" s="97" t="s">
        <v>68</v>
      </c>
      <c r="AC7" s="95"/>
    </row>
    <row r="8" spans="1:29" ht="129.6" x14ac:dyDescent="0.25">
      <c r="A8" s="102" t="s">
        <v>75</v>
      </c>
      <c r="B8" s="97" t="s">
        <v>76</v>
      </c>
      <c r="C8" s="97" t="s">
        <v>67</v>
      </c>
      <c r="D8" s="101">
        <v>266.7</v>
      </c>
      <c r="E8" s="101"/>
      <c r="F8" s="101"/>
      <c r="G8" s="97" t="s">
        <v>71</v>
      </c>
      <c r="H8" s="101">
        <v>166.5</v>
      </c>
      <c r="I8" s="97" t="s">
        <v>77</v>
      </c>
      <c r="J8" s="101">
        <v>4.3</v>
      </c>
      <c r="K8" s="97" t="s">
        <v>71</v>
      </c>
      <c r="L8" s="101">
        <v>7.1</v>
      </c>
      <c r="M8" s="102" t="s">
        <v>19</v>
      </c>
      <c r="N8" s="101">
        <v>0</v>
      </c>
      <c r="O8" s="100" t="s">
        <v>20</v>
      </c>
      <c r="P8" s="101">
        <v>444.7</v>
      </c>
      <c r="Q8" s="97" t="s">
        <v>21</v>
      </c>
      <c r="R8" s="101">
        <v>357.2</v>
      </c>
      <c r="S8" s="100" t="s">
        <v>20</v>
      </c>
      <c r="T8" s="101">
        <v>88.6</v>
      </c>
      <c r="U8" s="97" t="s">
        <v>68</v>
      </c>
      <c r="AC8" s="95"/>
    </row>
    <row r="9" spans="1:29" ht="86.4" x14ac:dyDescent="0.25">
      <c r="A9" s="102" t="s">
        <v>78</v>
      </c>
      <c r="B9" s="100" t="s">
        <v>79</v>
      </c>
      <c r="C9" s="97" t="s">
        <v>67</v>
      </c>
      <c r="D9" s="101">
        <v>26.5</v>
      </c>
      <c r="E9" s="101"/>
      <c r="F9" s="101"/>
      <c r="G9" s="97" t="s">
        <v>71</v>
      </c>
      <c r="H9" s="101">
        <v>28.2</v>
      </c>
      <c r="I9" s="102" t="s">
        <v>19</v>
      </c>
      <c r="J9" s="101">
        <v>0</v>
      </c>
      <c r="K9" s="97" t="s">
        <v>71</v>
      </c>
      <c r="L9" s="101">
        <v>14</v>
      </c>
      <c r="M9" s="102" t="s">
        <v>19</v>
      </c>
      <c r="N9" s="101">
        <v>0</v>
      </c>
      <c r="O9" s="100" t="s">
        <v>20</v>
      </c>
      <c r="P9" s="101">
        <v>68.7</v>
      </c>
      <c r="Q9" s="110" t="s">
        <v>30</v>
      </c>
      <c r="R9" s="101">
        <v>22.1</v>
      </c>
      <c r="S9" s="100" t="s">
        <v>20</v>
      </c>
      <c r="T9" s="101">
        <v>19</v>
      </c>
      <c r="U9" s="97" t="s">
        <v>68</v>
      </c>
      <c r="AC9" s="95"/>
    </row>
    <row r="10" spans="1:29" ht="86.4" x14ac:dyDescent="0.25">
      <c r="A10" s="102" t="s">
        <v>80</v>
      </c>
      <c r="B10" s="100" t="s">
        <v>81</v>
      </c>
      <c r="C10" s="102" t="s">
        <v>19</v>
      </c>
      <c r="D10" s="101">
        <v>0</v>
      </c>
      <c r="E10" s="101"/>
      <c r="F10" s="101"/>
      <c r="G10" s="97" t="s">
        <v>74</v>
      </c>
      <c r="H10" s="101">
        <v>15</v>
      </c>
      <c r="I10" s="102" t="s">
        <v>19</v>
      </c>
      <c r="J10" s="101">
        <v>0</v>
      </c>
      <c r="K10" s="97" t="s">
        <v>74</v>
      </c>
      <c r="L10" s="101">
        <v>21.5</v>
      </c>
      <c r="M10" s="102" t="s">
        <v>19</v>
      </c>
      <c r="N10" s="101">
        <v>0</v>
      </c>
      <c r="O10" s="100" t="s">
        <v>20</v>
      </c>
      <c r="P10" s="101">
        <v>36.5</v>
      </c>
      <c r="Q10" s="97" t="s">
        <v>21</v>
      </c>
      <c r="R10" s="101">
        <v>5.9</v>
      </c>
      <c r="S10" s="100" t="s">
        <v>20</v>
      </c>
      <c r="T10" s="101">
        <v>9</v>
      </c>
      <c r="U10" s="97" t="s">
        <v>68</v>
      </c>
      <c r="AC10" s="95"/>
    </row>
    <row r="11" spans="1:29" ht="86.4" x14ac:dyDescent="0.25">
      <c r="A11" s="102" t="s">
        <v>82</v>
      </c>
      <c r="B11" s="100" t="s">
        <v>83</v>
      </c>
      <c r="C11" s="97" t="s">
        <v>67</v>
      </c>
      <c r="D11" s="101">
        <v>12.4</v>
      </c>
      <c r="E11" s="101"/>
      <c r="F11" s="101"/>
      <c r="G11" s="97" t="s">
        <v>71</v>
      </c>
      <c r="H11" s="101">
        <v>34.299999999999997</v>
      </c>
      <c r="I11" s="102" t="s">
        <v>19</v>
      </c>
      <c r="J11" s="101">
        <v>0</v>
      </c>
      <c r="K11" s="102" t="s">
        <v>19</v>
      </c>
      <c r="L11" s="101">
        <v>0</v>
      </c>
      <c r="M11" s="102" t="s">
        <v>19</v>
      </c>
      <c r="N11" s="101">
        <v>0</v>
      </c>
      <c r="O11" s="100" t="s">
        <v>20</v>
      </c>
      <c r="P11" s="101">
        <v>46.7</v>
      </c>
      <c r="Q11" s="110" t="s">
        <v>30</v>
      </c>
      <c r="R11" s="101">
        <v>10</v>
      </c>
      <c r="S11" s="100" t="s">
        <v>20</v>
      </c>
      <c r="T11" s="101">
        <v>11.7</v>
      </c>
      <c r="U11" s="97" t="s">
        <v>68</v>
      </c>
      <c r="AC11" s="95"/>
    </row>
    <row r="12" spans="1:29" ht="86.4" x14ac:dyDescent="0.25">
      <c r="A12" s="102" t="s">
        <v>84</v>
      </c>
      <c r="B12" s="100" t="s">
        <v>85</v>
      </c>
      <c r="C12" s="97" t="s">
        <v>67</v>
      </c>
      <c r="D12" s="101">
        <v>72.900000000000006</v>
      </c>
      <c r="E12" s="101"/>
      <c r="F12" s="101"/>
      <c r="G12" s="97" t="s">
        <v>71</v>
      </c>
      <c r="H12" s="101">
        <v>66.099999999999994</v>
      </c>
      <c r="I12" s="102" t="s">
        <v>19</v>
      </c>
      <c r="J12" s="101">
        <v>0</v>
      </c>
      <c r="K12" s="97" t="s">
        <v>71</v>
      </c>
      <c r="L12" s="101">
        <v>16.5</v>
      </c>
      <c r="M12" s="102" t="s">
        <v>19</v>
      </c>
      <c r="N12" s="101">
        <v>0</v>
      </c>
      <c r="O12" s="100" t="s">
        <v>20</v>
      </c>
      <c r="P12" s="101">
        <v>155.5</v>
      </c>
      <c r="Q12" s="110" t="s">
        <v>30</v>
      </c>
      <c r="R12" s="101">
        <v>105.4</v>
      </c>
      <c r="S12" s="100" t="s">
        <v>20</v>
      </c>
      <c r="T12" s="101">
        <v>48.2</v>
      </c>
      <c r="U12" s="97" t="s">
        <v>68</v>
      </c>
      <c r="AC12" s="95"/>
    </row>
    <row r="13" spans="1:29" ht="86.4" x14ac:dyDescent="0.25">
      <c r="A13" s="102" t="s">
        <v>86</v>
      </c>
      <c r="B13" s="100" t="s">
        <v>87</v>
      </c>
      <c r="C13" s="97" t="s">
        <v>67</v>
      </c>
      <c r="D13" s="101">
        <v>40.1</v>
      </c>
      <c r="E13" s="101"/>
      <c r="F13" s="101"/>
      <c r="G13" s="97" t="s">
        <v>71</v>
      </c>
      <c r="H13" s="101">
        <v>70.099999999999994</v>
      </c>
      <c r="I13" s="102" t="s">
        <v>19</v>
      </c>
      <c r="J13" s="101">
        <v>0</v>
      </c>
      <c r="K13" s="97" t="s">
        <v>71</v>
      </c>
      <c r="L13" s="101">
        <v>8.4</v>
      </c>
      <c r="M13" s="102" t="s">
        <v>19</v>
      </c>
      <c r="N13" s="101">
        <v>0</v>
      </c>
      <c r="O13" s="100" t="s">
        <v>20</v>
      </c>
      <c r="P13" s="101">
        <v>118.6</v>
      </c>
      <c r="Q13" s="110" t="s">
        <v>30</v>
      </c>
      <c r="R13" s="101">
        <v>62.9</v>
      </c>
      <c r="S13" s="100" t="s">
        <v>20</v>
      </c>
      <c r="T13" s="101">
        <v>34.6</v>
      </c>
      <c r="U13" s="97" t="s">
        <v>68</v>
      </c>
      <c r="AC13" s="95"/>
    </row>
  </sheetData>
  <mergeCells count="15">
    <mergeCell ref="A1:U1"/>
    <mergeCell ref="M3:N3"/>
    <mergeCell ref="O3:P3"/>
    <mergeCell ref="Q3:Q4"/>
    <mergeCell ref="R3:R4"/>
    <mergeCell ref="S3:S4"/>
    <mergeCell ref="T3:T4"/>
    <mergeCell ref="A2:A4"/>
    <mergeCell ref="B2:B4"/>
    <mergeCell ref="C2:L2"/>
    <mergeCell ref="Q2:R2"/>
    <mergeCell ref="S2:T2"/>
    <mergeCell ref="C3:D3"/>
    <mergeCell ref="E3:F3"/>
    <mergeCell ref="G3:H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U22"/>
  <sheetViews>
    <sheetView topLeftCell="A15" zoomScale="40" zoomScaleNormal="40" workbookViewId="0">
      <selection sqref="A1:U4"/>
    </sheetView>
  </sheetViews>
  <sheetFormatPr defaultRowHeight="13.2" x14ac:dyDescent="0.25"/>
  <cols>
    <col min="1" max="1" width="6.44140625" customWidth="1"/>
    <col min="2" max="2" width="23.33203125" customWidth="1"/>
    <col min="3" max="3" width="42.109375" customWidth="1"/>
    <col min="4" max="4" width="13.109375" customWidth="1"/>
    <col min="5" max="5" width="26.109375" customWidth="1"/>
    <col min="6" max="6" width="13.109375" customWidth="1"/>
    <col min="7" max="7" width="50.44140625" customWidth="1"/>
    <col min="8" max="8" width="13.109375" customWidth="1"/>
    <col min="9" max="9" width="26.109375" customWidth="1"/>
    <col min="10" max="10" width="13.109375" customWidth="1"/>
    <col min="11" max="11" width="48.44140625" customWidth="1"/>
    <col min="12" max="12" width="13.109375" customWidth="1"/>
    <col min="13" max="13" width="30.44140625" customWidth="1"/>
    <col min="14" max="14" width="13.109375" customWidth="1"/>
    <col min="15" max="15" width="19.77734375" customWidth="1"/>
    <col min="16" max="16" width="12.77734375" customWidth="1"/>
    <col min="17" max="17" width="24" customWidth="1"/>
    <col min="18" max="18" width="12.109375" customWidth="1"/>
    <col min="19" max="19" width="16.109375" customWidth="1"/>
    <col min="20" max="20" width="12.77734375" customWidth="1"/>
    <col min="21" max="21" width="26.6640625" customWidth="1"/>
  </cols>
  <sheetData>
    <row r="1" spans="1:21" x14ac:dyDescent="0.25">
      <c r="A1" s="241" t="s">
        <v>0</v>
      </c>
      <c r="B1" s="242"/>
      <c r="C1" s="242"/>
      <c r="D1" s="242"/>
      <c r="E1" s="242"/>
      <c r="F1" s="242"/>
      <c r="G1" s="242"/>
      <c r="H1" s="242"/>
      <c r="I1" s="242"/>
      <c r="J1" s="242"/>
      <c r="K1" s="242"/>
      <c r="L1" s="242"/>
      <c r="M1" s="242"/>
      <c r="N1" s="242"/>
      <c r="O1" s="242"/>
      <c r="P1" s="242"/>
      <c r="Q1" s="242"/>
      <c r="R1" s="242"/>
      <c r="S1" s="242"/>
      <c r="T1" s="242"/>
      <c r="U1" s="242"/>
    </row>
    <row r="2" spans="1:21" ht="17.399999999999999" x14ac:dyDescent="0.25">
      <c r="A2" s="233" t="s">
        <v>1</v>
      </c>
      <c r="B2" s="232" t="s">
        <v>2</v>
      </c>
      <c r="C2" s="234" t="s">
        <v>3</v>
      </c>
      <c r="D2" s="234"/>
      <c r="E2" s="234"/>
      <c r="F2" s="234"/>
      <c r="G2" s="234"/>
      <c r="H2" s="234"/>
      <c r="I2" s="234"/>
      <c r="J2" s="234"/>
      <c r="K2" s="234"/>
      <c r="L2" s="234"/>
      <c r="M2" s="107"/>
      <c r="N2" s="107"/>
      <c r="O2" s="107"/>
      <c r="P2" s="107"/>
      <c r="Q2" s="232" t="s">
        <v>4</v>
      </c>
      <c r="R2" s="232"/>
      <c r="S2" s="235" t="s">
        <v>5</v>
      </c>
      <c r="T2" s="235"/>
      <c r="U2" s="108" t="s">
        <v>6</v>
      </c>
    </row>
    <row r="3" spans="1:21" ht="17.399999999999999" x14ac:dyDescent="0.25">
      <c r="A3" s="233"/>
      <c r="B3" s="232"/>
      <c r="C3" s="235" t="s">
        <v>7</v>
      </c>
      <c r="D3" s="235"/>
      <c r="E3" s="238" t="s">
        <v>8</v>
      </c>
      <c r="F3" s="238"/>
      <c r="G3" s="239" t="s">
        <v>9</v>
      </c>
      <c r="H3" s="239"/>
      <c r="I3" s="80" t="s">
        <v>63</v>
      </c>
      <c r="J3" s="81"/>
      <c r="K3" s="80" t="s">
        <v>64</v>
      </c>
      <c r="L3" s="81"/>
      <c r="M3" s="239" t="s">
        <v>10</v>
      </c>
      <c r="N3" s="239"/>
      <c r="O3" s="240" t="s">
        <v>11</v>
      </c>
      <c r="P3" s="240"/>
      <c r="Q3" s="232" t="s">
        <v>12</v>
      </c>
      <c r="R3" s="233" t="s">
        <v>13</v>
      </c>
      <c r="S3" s="232" t="s">
        <v>12</v>
      </c>
      <c r="T3" s="237" t="s">
        <v>14</v>
      </c>
      <c r="U3" s="108"/>
    </row>
    <row r="4" spans="1:21" ht="34.799999999999997" x14ac:dyDescent="0.25">
      <c r="A4" s="233"/>
      <c r="B4" s="232"/>
      <c r="C4" s="96" t="s">
        <v>12</v>
      </c>
      <c r="D4" s="97" t="s">
        <v>13</v>
      </c>
      <c r="E4" s="96" t="s">
        <v>12</v>
      </c>
      <c r="F4" s="97" t="s">
        <v>13</v>
      </c>
      <c r="G4" s="96" t="s">
        <v>12</v>
      </c>
      <c r="H4" s="97" t="s">
        <v>13</v>
      </c>
      <c r="I4" s="5" t="s">
        <v>12</v>
      </c>
      <c r="J4" s="3" t="s">
        <v>13</v>
      </c>
      <c r="K4" s="5" t="s">
        <v>12</v>
      </c>
      <c r="L4" s="3" t="s">
        <v>13</v>
      </c>
      <c r="M4" s="96" t="s">
        <v>12</v>
      </c>
      <c r="N4" s="97" t="s">
        <v>13</v>
      </c>
      <c r="O4" s="98" t="s">
        <v>12</v>
      </c>
      <c r="P4" s="97" t="s">
        <v>13</v>
      </c>
      <c r="Q4" s="232"/>
      <c r="R4" s="233"/>
      <c r="S4" s="232"/>
      <c r="T4" s="237"/>
      <c r="U4" s="108"/>
    </row>
    <row r="5" spans="1:21" ht="86.4" x14ac:dyDescent="0.25">
      <c r="A5" s="10" t="s">
        <v>88</v>
      </c>
      <c r="B5" s="8" t="s">
        <v>87</v>
      </c>
      <c r="C5" s="3" t="s">
        <v>67</v>
      </c>
      <c r="D5" s="9">
        <v>55.6</v>
      </c>
      <c r="E5" s="9"/>
      <c r="F5" s="9"/>
      <c r="G5" s="3" t="s">
        <v>71</v>
      </c>
      <c r="H5" s="9">
        <v>47.3</v>
      </c>
      <c r="I5" s="9"/>
      <c r="J5" s="9"/>
      <c r="K5" s="3" t="s">
        <v>71</v>
      </c>
      <c r="L5" s="9">
        <v>6.6</v>
      </c>
      <c r="M5" s="9"/>
      <c r="N5" s="9"/>
      <c r="O5" s="8" t="s">
        <v>20</v>
      </c>
      <c r="P5" s="9">
        <v>109.5</v>
      </c>
      <c r="Q5" s="51" t="s">
        <v>30</v>
      </c>
      <c r="R5" s="9">
        <v>64.3</v>
      </c>
      <c r="S5" s="8" t="s">
        <v>20</v>
      </c>
      <c r="T5" s="9">
        <v>32.4</v>
      </c>
      <c r="U5" s="3" t="s">
        <v>68</v>
      </c>
    </row>
    <row r="6" spans="1:21" ht="86.4" x14ac:dyDescent="0.25">
      <c r="A6" s="10" t="s">
        <v>91</v>
      </c>
      <c r="B6" s="8" t="s">
        <v>87</v>
      </c>
      <c r="C6" s="3" t="s">
        <v>67</v>
      </c>
      <c r="D6" s="9">
        <v>92.6</v>
      </c>
      <c r="E6" s="9"/>
      <c r="F6" s="9"/>
      <c r="G6" s="3" t="s">
        <v>71</v>
      </c>
      <c r="H6" s="9">
        <v>11.6</v>
      </c>
      <c r="I6" s="9"/>
      <c r="J6" s="9"/>
      <c r="K6" s="3" t="s">
        <v>71</v>
      </c>
      <c r="L6" s="9">
        <v>8.5</v>
      </c>
      <c r="M6" s="9"/>
      <c r="N6" s="9"/>
      <c r="O6" s="8" t="s">
        <v>20</v>
      </c>
      <c r="P6" s="9">
        <v>112.7</v>
      </c>
      <c r="Q6" s="51" t="s">
        <v>30</v>
      </c>
      <c r="R6" s="9">
        <v>64.400000000000006</v>
      </c>
      <c r="S6" s="8" t="s">
        <v>20</v>
      </c>
      <c r="T6" s="9">
        <v>32.6</v>
      </c>
      <c r="U6" s="3" t="s">
        <v>68</v>
      </c>
    </row>
    <row r="7" spans="1:21" ht="86.4" x14ac:dyDescent="0.25">
      <c r="A7" s="17" t="s">
        <v>95</v>
      </c>
      <c r="B7" s="22" t="s">
        <v>96</v>
      </c>
      <c r="C7" s="1" t="s">
        <v>67</v>
      </c>
      <c r="D7" s="19">
        <v>121.5</v>
      </c>
      <c r="E7" s="84"/>
      <c r="F7" s="84"/>
      <c r="G7" s="1" t="s">
        <v>71</v>
      </c>
      <c r="H7" s="19">
        <v>24.2</v>
      </c>
      <c r="I7" s="84"/>
      <c r="J7" s="84"/>
      <c r="K7" s="1" t="s">
        <v>71</v>
      </c>
      <c r="L7" s="21">
        <v>28.6</v>
      </c>
      <c r="M7" s="85"/>
      <c r="N7" s="85"/>
      <c r="O7" s="22" t="s">
        <v>20</v>
      </c>
      <c r="P7" s="19">
        <v>174.2</v>
      </c>
      <c r="Q7" s="22" t="s">
        <v>30</v>
      </c>
      <c r="R7" s="19">
        <v>131.19999999999999</v>
      </c>
      <c r="S7" s="22" t="s">
        <v>20</v>
      </c>
      <c r="T7" s="19">
        <v>46</v>
      </c>
      <c r="U7" s="1" t="s">
        <v>68</v>
      </c>
    </row>
    <row r="8" spans="1:21" ht="86.4" x14ac:dyDescent="0.25">
      <c r="A8" s="17" t="s">
        <v>99</v>
      </c>
      <c r="B8" s="22" t="s">
        <v>100</v>
      </c>
      <c r="C8" s="1" t="s">
        <v>94</v>
      </c>
      <c r="D8" s="21">
        <v>50.1</v>
      </c>
      <c r="E8" s="85"/>
      <c r="F8" s="85"/>
      <c r="G8" s="17" t="s">
        <v>19</v>
      </c>
      <c r="H8" s="21">
        <v>0</v>
      </c>
      <c r="I8" s="85"/>
      <c r="J8" s="85"/>
      <c r="K8" s="1" t="s">
        <v>74</v>
      </c>
      <c r="L8" s="21">
        <v>30.1</v>
      </c>
      <c r="M8" s="85"/>
      <c r="N8" s="85"/>
      <c r="O8" s="22" t="s">
        <v>20</v>
      </c>
      <c r="P8" s="21">
        <v>80.2</v>
      </c>
      <c r="Q8" s="1" t="s">
        <v>21</v>
      </c>
      <c r="R8" s="21">
        <v>15.8</v>
      </c>
      <c r="S8" s="22" t="s">
        <v>20</v>
      </c>
      <c r="T8" s="21">
        <v>20.3</v>
      </c>
      <c r="U8" s="1" t="s">
        <v>68</v>
      </c>
    </row>
    <row r="9" spans="1:21" ht="86.4" x14ac:dyDescent="0.25">
      <c r="A9" s="17" t="s">
        <v>103</v>
      </c>
      <c r="B9" s="22" t="s">
        <v>81</v>
      </c>
      <c r="C9" s="1" t="s">
        <v>94</v>
      </c>
      <c r="D9" s="21">
        <v>7.2</v>
      </c>
      <c r="E9" s="85"/>
      <c r="F9" s="85"/>
      <c r="G9" s="17" t="s">
        <v>19</v>
      </c>
      <c r="H9" s="21">
        <v>0</v>
      </c>
      <c r="I9" s="85"/>
      <c r="J9" s="85"/>
      <c r="K9" s="1" t="s">
        <v>74</v>
      </c>
      <c r="L9" s="21">
        <v>27.6</v>
      </c>
      <c r="M9" s="85"/>
      <c r="N9" s="85"/>
      <c r="O9" s="22" t="s">
        <v>20</v>
      </c>
      <c r="P9" s="19">
        <v>34.799999999999997</v>
      </c>
      <c r="Q9" s="1" t="s">
        <v>21</v>
      </c>
      <c r="R9" s="21">
        <v>5.4</v>
      </c>
      <c r="S9" s="22" t="s">
        <v>20</v>
      </c>
      <c r="T9" s="21">
        <v>8.1999999999999993</v>
      </c>
      <c r="U9" s="1" t="s">
        <v>68</v>
      </c>
    </row>
    <row r="10" spans="1:21" ht="86.4" x14ac:dyDescent="0.25">
      <c r="A10" s="17" t="s">
        <v>106</v>
      </c>
      <c r="B10" s="22" t="s">
        <v>107</v>
      </c>
      <c r="C10" s="1" t="s">
        <v>94</v>
      </c>
      <c r="D10" s="19">
        <v>49.9</v>
      </c>
      <c r="E10" s="84"/>
      <c r="F10" s="84"/>
      <c r="G10" s="17" t="s">
        <v>19</v>
      </c>
      <c r="H10" s="21">
        <v>0</v>
      </c>
      <c r="I10" s="85"/>
      <c r="J10" s="85"/>
      <c r="K10" s="1" t="s">
        <v>74</v>
      </c>
      <c r="L10" s="19">
        <v>30.4</v>
      </c>
      <c r="M10" s="84"/>
      <c r="N10" s="84"/>
      <c r="O10" s="22" t="s">
        <v>20</v>
      </c>
      <c r="P10" s="21">
        <v>80.3</v>
      </c>
      <c r="Q10" s="1" t="s">
        <v>21</v>
      </c>
      <c r="R10" s="21">
        <v>15.8</v>
      </c>
      <c r="S10" s="22" t="s">
        <v>20</v>
      </c>
      <c r="T10" s="21">
        <v>20.2</v>
      </c>
      <c r="U10" s="1" t="s">
        <v>68</v>
      </c>
    </row>
    <row r="11" spans="1:21" ht="86.4" x14ac:dyDescent="0.25">
      <c r="A11" s="17" t="s">
        <v>110</v>
      </c>
      <c r="B11" s="22" t="s">
        <v>111</v>
      </c>
      <c r="C11" s="1" t="s">
        <v>94</v>
      </c>
      <c r="D11" s="21">
        <v>1.1000000000000001</v>
      </c>
      <c r="E11" s="85"/>
      <c r="F11" s="85"/>
      <c r="G11" s="1" t="s">
        <v>74</v>
      </c>
      <c r="H11" s="21">
        <v>4.8</v>
      </c>
      <c r="I11" s="85"/>
      <c r="J11" s="85"/>
      <c r="K11" s="1" t="s">
        <v>74</v>
      </c>
      <c r="L11" s="21">
        <v>16.7</v>
      </c>
      <c r="M11" s="85"/>
      <c r="N11" s="85"/>
      <c r="O11" s="22" t="s">
        <v>20</v>
      </c>
      <c r="P11" s="21">
        <v>22.7</v>
      </c>
      <c r="Q11" s="22" t="s">
        <v>30</v>
      </c>
      <c r="R11" s="21">
        <v>2.4</v>
      </c>
      <c r="S11" s="22" t="s">
        <v>20</v>
      </c>
      <c r="T11" s="21">
        <v>5.3</v>
      </c>
      <c r="U11" s="1" t="s">
        <v>68</v>
      </c>
    </row>
    <row r="12" spans="1:21" ht="86.4" x14ac:dyDescent="0.25">
      <c r="A12" s="17" t="s">
        <v>114</v>
      </c>
      <c r="B12" s="22" t="s">
        <v>115</v>
      </c>
      <c r="C12" s="1" t="s">
        <v>94</v>
      </c>
      <c r="D12" s="21">
        <v>18.600000000000001</v>
      </c>
      <c r="E12" s="85"/>
      <c r="F12" s="85"/>
      <c r="G12" s="17" t="s">
        <v>19</v>
      </c>
      <c r="H12" s="21">
        <v>0</v>
      </c>
      <c r="I12" s="85"/>
      <c r="J12" s="85"/>
      <c r="K12" s="1" t="s">
        <v>74</v>
      </c>
      <c r="L12" s="19">
        <v>40.799999999999997</v>
      </c>
      <c r="M12" s="84"/>
      <c r="N12" s="84"/>
      <c r="O12" s="22" t="s">
        <v>20</v>
      </c>
      <c r="P12" s="19">
        <v>59.4</v>
      </c>
      <c r="Q12" s="1" t="s">
        <v>21</v>
      </c>
      <c r="R12" s="21">
        <v>13.9</v>
      </c>
      <c r="S12" s="22" t="s">
        <v>20</v>
      </c>
      <c r="T12" s="21">
        <v>16.2</v>
      </c>
      <c r="U12" s="1" t="s">
        <v>68</v>
      </c>
    </row>
    <row r="13" spans="1:21" ht="86.4" x14ac:dyDescent="0.25">
      <c r="A13" s="17" t="s">
        <v>118</v>
      </c>
      <c r="B13" s="22" t="s">
        <v>119</v>
      </c>
      <c r="C13" s="1" t="s">
        <v>94</v>
      </c>
      <c r="D13" s="21">
        <v>7.2</v>
      </c>
      <c r="E13" s="85"/>
      <c r="F13" s="85"/>
      <c r="G13" s="17" t="s">
        <v>19</v>
      </c>
      <c r="H13" s="21">
        <v>0</v>
      </c>
      <c r="I13" s="85"/>
      <c r="J13" s="85"/>
      <c r="K13" s="1" t="s">
        <v>74</v>
      </c>
      <c r="L13" s="21">
        <v>50.8</v>
      </c>
      <c r="M13" s="85"/>
      <c r="N13" s="85"/>
      <c r="O13" s="22" t="s">
        <v>20</v>
      </c>
      <c r="P13" s="21">
        <v>58</v>
      </c>
      <c r="Q13" s="1" t="s">
        <v>21</v>
      </c>
      <c r="R13" s="21">
        <v>13.9</v>
      </c>
      <c r="S13" s="22" t="s">
        <v>20</v>
      </c>
      <c r="T13" s="21">
        <v>15.4</v>
      </c>
      <c r="U13" s="1" t="s">
        <v>68</v>
      </c>
    </row>
    <row r="14" spans="1:21" ht="86.4" x14ac:dyDescent="0.25">
      <c r="A14" s="7" t="s">
        <v>89</v>
      </c>
      <c r="B14" s="10" t="s">
        <v>90</v>
      </c>
      <c r="C14" s="3" t="s">
        <v>67</v>
      </c>
      <c r="D14" s="52">
        <v>7.4</v>
      </c>
      <c r="E14" s="52"/>
      <c r="F14" s="52"/>
      <c r="G14" s="3" t="s">
        <v>71</v>
      </c>
      <c r="H14" s="9">
        <v>24.1</v>
      </c>
      <c r="I14" s="9"/>
      <c r="J14" s="9"/>
      <c r="K14" s="3" t="s">
        <v>71</v>
      </c>
      <c r="L14" s="11">
        <v>35.700000000000003</v>
      </c>
      <c r="M14" s="83"/>
      <c r="N14" s="12"/>
      <c r="O14" s="13" t="s">
        <v>20</v>
      </c>
      <c r="P14" s="14">
        <v>67.2</v>
      </c>
      <c r="Q14" s="13" t="s">
        <v>30</v>
      </c>
      <c r="R14" s="9">
        <v>20.399999999999999</v>
      </c>
      <c r="S14" s="8" t="s">
        <v>20</v>
      </c>
      <c r="T14" s="14">
        <v>15.9</v>
      </c>
      <c r="U14" s="6" t="s">
        <v>68</v>
      </c>
    </row>
    <row r="15" spans="1:21" ht="86.4" x14ac:dyDescent="0.25">
      <c r="A15" s="17" t="s">
        <v>92</v>
      </c>
      <c r="B15" s="1" t="s">
        <v>93</v>
      </c>
      <c r="C15" s="1" t="s">
        <v>94</v>
      </c>
      <c r="D15" s="21">
        <v>7.7</v>
      </c>
      <c r="E15" s="85"/>
      <c r="F15" s="85"/>
      <c r="G15" s="1" t="s">
        <v>74</v>
      </c>
      <c r="H15" s="21">
        <v>14.3</v>
      </c>
      <c r="I15" s="85"/>
      <c r="J15" s="85"/>
      <c r="K15" s="1" t="s">
        <v>74</v>
      </c>
      <c r="L15" s="24">
        <v>21.7</v>
      </c>
      <c r="M15" s="88"/>
      <c r="N15" s="25"/>
      <c r="O15" s="30" t="s">
        <v>20</v>
      </c>
      <c r="P15" s="32">
        <v>43.7</v>
      </c>
      <c r="Q15" s="34" t="s">
        <v>21</v>
      </c>
      <c r="R15" s="21">
        <v>6</v>
      </c>
      <c r="S15" s="22" t="s">
        <v>20</v>
      </c>
      <c r="T15" s="32">
        <v>10.7</v>
      </c>
      <c r="U15" s="34" t="s">
        <v>68</v>
      </c>
    </row>
    <row r="16" spans="1:21" ht="86.4" x14ac:dyDescent="0.25">
      <c r="A16" s="17" t="s">
        <v>97</v>
      </c>
      <c r="B16" s="22" t="s">
        <v>98</v>
      </c>
      <c r="C16" s="1" t="s">
        <v>94</v>
      </c>
      <c r="D16" s="21">
        <v>3.2</v>
      </c>
      <c r="E16" s="85"/>
      <c r="F16" s="85"/>
      <c r="G16" s="1" t="s">
        <v>74</v>
      </c>
      <c r="H16" s="21">
        <v>9</v>
      </c>
      <c r="I16" s="85"/>
      <c r="J16" s="85"/>
      <c r="K16" s="1" t="s">
        <v>74</v>
      </c>
      <c r="L16" s="24">
        <v>20.9</v>
      </c>
      <c r="M16" s="88"/>
      <c r="N16" s="25"/>
      <c r="O16" s="30" t="s">
        <v>20</v>
      </c>
      <c r="P16" s="32">
        <v>33</v>
      </c>
      <c r="Q16" s="34" t="s">
        <v>21</v>
      </c>
      <c r="R16" s="21">
        <v>4.7</v>
      </c>
      <c r="S16" s="22" t="s">
        <v>20</v>
      </c>
      <c r="T16" s="24">
        <v>8</v>
      </c>
      <c r="U16" s="34" t="s">
        <v>68</v>
      </c>
    </row>
    <row r="17" spans="1:21" ht="86.4" x14ac:dyDescent="0.25">
      <c r="A17" s="17" t="s">
        <v>101</v>
      </c>
      <c r="B17" s="22" t="s">
        <v>102</v>
      </c>
      <c r="C17" s="1" t="s">
        <v>94</v>
      </c>
      <c r="D17" s="21">
        <v>18.100000000000001</v>
      </c>
      <c r="E17" s="85"/>
      <c r="F17" s="85"/>
      <c r="G17" s="1" t="s">
        <v>74</v>
      </c>
      <c r="H17" s="21">
        <v>12.2</v>
      </c>
      <c r="I17" s="85"/>
      <c r="J17" s="85"/>
      <c r="K17" s="1" t="s">
        <v>74</v>
      </c>
      <c r="L17" s="24">
        <v>12.6</v>
      </c>
      <c r="M17" s="88"/>
      <c r="N17" s="25"/>
      <c r="O17" s="30" t="s">
        <v>20</v>
      </c>
      <c r="P17" s="32">
        <v>42.9</v>
      </c>
      <c r="Q17" s="34" t="s">
        <v>21</v>
      </c>
      <c r="R17" s="21">
        <v>4.7</v>
      </c>
      <c r="S17" s="22" t="s">
        <v>20</v>
      </c>
      <c r="T17" s="32">
        <v>10.4</v>
      </c>
      <c r="U17" s="34" t="s">
        <v>68</v>
      </c>
    </row>
    <row r="18" spans="1:21" ht="86.4" x14ac:dyDescent="0.25">
      <c r="A18" s="17" t="s">
        <v>104</v>
      </c>
      <c r="B18" s="22" t="s">
        <v>105</v>
      </c>
      <c r="C18" s="1" t="s">
        <v>67</v>
      </c>
      <c r="D18" s="21">
        <v>17</v>
      </c>
      <c r="E18" s="85"/>
      <c r="F18" s="85"/>
      <c r="G18" s="1" t="s">
        <v>71</v>
      </c>
      <c r="H18" s="21">
        <v>10.4</v>
      </c>
      <c r="I18" s="85"/>
      <c r="J18" s="85"/>
      <c r="K18" s="1" t="s">
        <v>71</v>
      </c>
      <c r="L18" s="24">
        <v>23.9</v>
      </c>
      <c r="M18" s="88"/>
      <c r="N18" s="25"/>
      <c r="O18" s="30" t="s">
        <v>20</v>
      </c>
      <c r="P18" s="24">
        <v>51.3</v>
      </c>
      <c r="Q18" s="34" t="s">
        <v>21</v>
      </c>
      <c r="R18" s="21">
        <v>10.1</v>
      </c>
      <c r="S18" s="22" t="s">
        <v>20</v>
      </c>
      <c r="T18" s="32">
        <v>12.4</v>
      </c>
      <c r="U18" s="34" t="s">
        <v>68</v>
      </c>
    </row>
    <row r="19" spans="1:21" ht="86.4" x14ac:dyDescent="0.25">
      <c r="A19" s="7" t="s">
        <v>108</v>
      </c>
      <c r="B19" s="10" t="s">
        <v>109</v>
      </c>
      <c r="C19" s="3" t="s">
        <v>67</v>
      </c>
      <c r="D19" s="53">
        <v>13</v>
      </c>
      <c r="E19" s="53"/>
      <c r="F19" s="53"/>
      <c r="G19" s="3" t="s">
        <v>71</v>
      </c>
      <c r="H19" s="9">
        <v>11.3</v>
      </c>
      <c r="I19" s="9"/>
      <c r="J19" s="9"/>
      <c r="K19" s="3" t="s">
        <v>71</v>
      </c>
      <c r="L19" s="14">
        <v>26.4</v>
      </c>
      <c r="M19" s="86"/>
      <c r="N19" s="15"/>
      <c r="O19" s="13" t="s">
        <v>20</v>
      </c>
      <c r="P19" s="14">
        <v>50.7</v>
      </c>
      <c r="Q19" s="6" t="s">
        <v>21</v>
      </c>
      <c r="R19" s="9">
        <v>10.3</v>
      </c>
      <c r="S19" s="8" t="s">
        <v>20</v>
      </c>
      <c r="T19" s="11">
        <v>12.1</v>
      </c>
      <c r="U19" s="6" t="s">
        <v>68</v>
      </c>
    </row>
    <row r="20" spans="1:21" ht="86.4" x14ac:dyDescent="0.25">
      <c r="A20" s="7" t="s">
        <v>112</v>
      </c>
      <c r="B20" s="10" t="s">
        <v>109</v>
      </c>
      <c r="C20" s="3" t="s">
        <v>67</v>
      </c>
      <c r="D20" s="53">
        <v>20.3</v>
      </c>
      <c r="E20" s="53"/>
      <c r="F20" s="53"/>
      <c r="G20" s="3" t="s">
        <v>71</v>
      </c>
      <c r="H20" s="9">
        <v>39.4</v>
      </c>
      <c r="I20" s="9"/>
      <c r="J20" s="9"/>
      <c r="K20" s="10" t="s">
        <v>19</v>
      </c>
      <c r="L20" s="11">
        <v>0</v>
      </c>
      <c r="M20" s="83"/>
      <c r="N20" s="12"/>
      <c r="O20" s="13" t="s">
        <v>20</v>
      </c>
      <c r="P20" s="14">
        <v>59.7</v>
      </c>
      <c r="Q20" s="6" t="s">
        <v>21</v>
      </c>
      <c r="R20" s="9">
        <v>10.7</v>
      </c>
      <c r="S20" s="8" t="s">
        <v>20</v>
      </c>
      <c r="T20" s="14">
        <v>14.4</v>
      </c>
      <c r="U20" s="6" t="s">
        <v>68</v>
      </c>
    </row>
    <row r="21" spans="1:21" ht="86.4" x14ac:dyDescent="0.25">
      <c r="A21" s="17" t="s">
        <v>113</v>
      </c>
      <c r="B21" s="17" t="s">
        <v>32</v>
      </c>
      <c r="C21" s="1" t="s">
        <v>67</v>
      </c>
      <c r="D21" s="21">
        <v>22.6</v>
      </c>
      <c r="E21" s="85"/>
      <c r="F21" s="85"/>
      <c r="G21" s="1" t="s">
        <v>71</v>
      </c>
      <c r="H21" s="19">
        <v>40.799999999999997</v>
      </c>
      <c r="I21" s="84"/>
      <c r="J21" s="84"/>
      <c r="K21" s="17" t="s">
        <v>19</v>
      </c>
      <c r="L21" s="24">
        <v>0</v>
      </c>
      <c r="M21" s="88"/>
      <c r="N21" s="25"/>
      <c r="O21" s="30" t="s">
        <v>20</v>
      </c>
      <c r="P21" s="32">
        <v>63.5</v>
      </c>
      <c r="Q21" s="34" t="s">
        <v>21</v>
      </c>
      <c r="R21" s="21">
        <v>25.9</v>
      </c>
      <c r="S21" s="22" t="s">
        <v>20</v>
      </c>
      <c r="T21" s="32">
        <v>10.9</v>
      </c>
      <c r="U21" s="34" t="s">
        <v>68</v>
      </c>
    </row>
    <row r="22" spans="1:21" ht="86.4" x14ac:dyDescent="0.25">
      <c r="A22" s="17" t="s">
        <v>116</v>
      </c>
      <c r="B22" s="17" t="s">
        <v>117</v>
      </c>
      <c r="C22" s="1" t="s">
        <v>67</v>
      </c>
      <c r="D22" s="19">
        <v>42.4</v>
      </c>
      <c r="E22" s="84"/>
      <c r="F22" s="84"/>
      <c r="G22" s="1" t="s">
        <v>71</v>
      </c>
      <c r="H22" s="21">
        <v>39.299999999999997</v>
      </c>
      <c r="I22" s="85"/>
      <c r="J22" s="85"/>
      <c r="K22" s="17" t="s">
        <v>19</v>
      </c>
      <c r="L22" s="24">
        <v>0</v>
      </c>
      <c r="M22" s="88"/>
      <c r="N22" s="25"/>
      <c r="O22" s="30" t="s">
        <v>20</v>
      </c>
      <c r="P22" s="24">
        <v>81.7</v>
      </c>
      <c r="Q22" s="30" t="s">
        <v>30</v>
      </c>
      <c r="R22" s="21">
        <v>35.799999999999997</v>
      </c>
      <c r="S22" s="22" t="s">
        <v>20</v>
      </c>
      <c r="T22" s="32">
        <v>22</v>
      </c>
      <c r="U22" s="34" t="s">
        <v>68</v>
      </c>
    </row>
  </sheetData>
  <mergeCells count="15">
    <mergeCell ref="A1:U1"/>
    <mergeCell ref="A2:A4"/>
    <mergeCell ref="B2:B4"/>
    <mergeCell ref="C2:L2"/>
    <mergeCell ref="Q2:R2"/>
    <mergeCell ref="S2:T2"/>
    <mergeCell ref="C3:D3"/>
    <mergeCell ref="E3:F3"/>
    <mergeCell ref="G3:H3"/>
    <mergeCell ref="M3:N3"/>
    <mergeCell ref="O3:P3"/>
    <mergeCell ref="Q3:Q4"/>
    <mergeCell ref="R3:R4"/>
    <mergeCell ref="S3:S4"/>
    <mergeCell ref="T3:T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AK14"/>
  <sheetViews>
    <sheetView topLeftCell="A11" zoomScale="55" zoomScaleNormal="55" workbookViewId="0">
      <selection sqref="A1:U4"/>
    </sheetView>
  </sheetViews>
  <sheetFormatPr defaultRowHeight="13.2" x14ac:dyDescent="0.25"/>
  <cols>
    <col min="1" max="1" width="6.44140625" customWidth="1"/>
    <col min="2" max="2" width="23.33203125" customWidth="1"/>
    <col min="3" max="3" width="42.109375" customWidth="1"/>
    <col min="4" max="4" width="13.109375" customWidth="1"/>
    <col min="5" max="5" width="26.109375" customWidth="1"/>
    <col min="6" max="6" width="13.109375" customWidth="1"/>
    <col min="7" max="7" width="50.44140625" customWidth="1"/>
    <col min="8" max="8" width="13.109375" customWidth="1"/>
    <col min="9" max="9" width="26.109375" customWidth="1"/>
    <col min="10" max="10" width="13.109375" customWidth="1"/>
    <col min="11" max="11" width="48.44140625" customWidth="1"/>
    <col min="12" max="12" width="13.109375" customWidth="1"/>
    <col min="13" max="13" width="30.44140625" customWidth="1"/>
    <col min="14" max="14" width="13.109375" customWidth="1"/>
    <col min="15" max="15" width="19.77734375" customWidth="1"/>
    <col min="16" max="16" width="12.77734375" customWidth="1"/>
    <col min="17" max="17" width="24" customWidth="1"/>
    <col min="18" max="18" width="12.109375" customWidth="1"/>
    <col min="19" max="19" width="16.109375" customWidth="1"/>
    <col min="20" max="20" width="12.77734375" customWidth="1"/>
    <col min="21" max="21" width="26.6640625" customWidth="1"/>
  </cols>
  <sheetData>
    <row r="1" spans="1:37" ht="29.25" customHeight="1" x14ac:dyDescent="0.25">
      <c r="A1" s="241" t="s">
        <v>0</v>
      </c>
      <c r="B1" s="242"/>
      <c r="C1" s="242"/>
      <c r="D1" s="242"/>
      <c r="E1" s="242"/>
      <c r="F1" s="242"/>
      <c r="G1" s="242"/>
      <c r="H1" s="242"/>
      <c r="I1" s="242"/>
      <c r="J1" s="242"/>
      <c r="K1" s="242"/>
      <c r="L1" s="242"/>
      <c r="M1" s="242"/>
      <c r="N1" s="242"/>
      <c r="O1" s="242"/>
      <c r="P1" s="242"/>
      <c r="Q1" s="242"/>
      <c r="R1" s="242"/>
      <c r="S1" s="242"/>
      <c r="T1" s="242"/>
      <c r="U1" s="242"/>
    </row>
    <row r="2" spans="1:37" ht="17.399999999999999" x14ac:dyDescent="0.25">
      <c r="A2" s="233" t="s">
        <v>1</v>
      </c>
      <c r="B2" s="232" t="s">
        <v>2</v>
      </c>
      <c r="C2" s="234" t="s">
        <v>3</v>
      </c>
      <c r="D2" s="234"/>
      <c r="E2" s="234"/>
      <c r="F2" s="234"/>
      <c r="G2" s="234"/>
      <c r="H2" s="234"/>
      <c r="I2" s="234"/>
      <c r="J2" s="234"/>
      <c r="K2" s="234"/>
      <c r="L2" s="234"/>
      <c r="M2" s="107"/>
      <c r="N2" s="107"/>
      <c r="O2" s="107"/>
      <c r="P2" s="107"/>
      <c r="Q2" s="232" t="s">
        <v>4</v>
      </c>
      <c r="R2" s="232"/>
      <c r="S2" s="235" t="s">
        <v>5</v>
      </c>
      <c r="T2" s="235"/>
      <c r="U2" s="108" t="s">
        <v>6</v>
      </c>
    </row>
    <row r="3" spans="1:37" ht="17.399999999999999" x14ac:dyDescent="0.25">
      <c r="A3" s="233"/>
      <c r="B3" s="232"/>
      <c r="C3" s="235" t="s">
        <v>7</v>
      </c>
      <c r="D3" s="235"/>
      <c r="E3" s="238" t="s">
        <v>8</v>
      </c>
      <c r="F3" s="238"/>
      <c r="G3" s="239" t="s">
        <v>9</v>
      </c>
      <c r="H3" s="239"/>
      <c r="I3" s="80" t="s">
        <v>63</v>
      </c>
      <c r="J3" s="81"/>
      <c r="K3" s="80" t="s">
        <v>64</v>
      </c>
      <c r="L3" s="81"/>
      <c r="M3" s="239" t="s">
        <v>10</v>
      </c>
      <c r="N3" s="239"/>
      <c r="O3" s="240" t="s">
        <v>11</v>
      </c>
      <c r="P3" s="240"/>
      <c r="Q3" s="232" t="s">
        <v>12</v>
      </c>
      <c r="R3" s="233" t="s">
        <v>13</v>
      </c>
      <c r="S3" s="232" t="s">
        <v>12</v>
      </c>
      <c r="T3" s="237" t="s">
        <v>14</v>
      </c>
      <c r="U3" s="108"/>
    </row>
    <row r="4" spans="1:37" ht="34.799999999999997" x14ac:dyDescent="0.25">
      <c r="A4" s="233"/>
      <c r="B4" s="232"/>
      <c r="C4" s="96" t="s">
        <v>12</v>
      </c>
      <c r="D4" s="97" t="s">
        <v>13</v>
      </c>
      <c r="E4" s="96" t="s">
        <v>12</v>
      </c>
      <c r="F4" s="97" t="s">
        <v>13</v>
      </c>
      <c r="G4" s="96" t="s">
        <v>12</v>
      </c>
      <c r="H4" s="97" t="s">
        <v>13</v>
      </c>
      <c r="I4" s="5" t="s">
        <v>12</v>
      </c>
      <c r="J4" s="3" t="s">
        <v>13</v>
      </c>
      <c r="K4" s="5" t="s">
        <v>12</v>
      </c>
      <c r="L4" s="3" t="s">
        <v>13</v>
      </c>
      <c r="M4" s="96" t="s">
        <v>12</v>
      </c>
      <c r="N4" s="97" t="s">
        <v>13</v>
      </c>
      <c r="O4" s="98" t="s">
        <v>12</v>
      </c>
      <c r="P4" s="97" t="s">
        <v>13</v>
      </c>
      <c r="Q4" s="232"/>
      <c r="R4" s="233"/>
      <c r="S4" s="232"/>
      <c r="T4" s="237"/>
      <c r="U4" s="108"/>
    </row>
    <row r="5" spans="1:37" ht="86.4" x14ac:dyDescent="0.25">
      <c r="A5" s="10" t="s">
        <v>120</v>
      </c>
      <c r="B5" s="10" t="s">
        <v>121</v>
      </c>
      <c r="C5" s="3" t="s">
        <v>67</v>
      </c>
      <c r="D5" s="9">
        <v>31.2</v>
      </c>
      <c r="E5" s="10" t="s">
        <v>19</v>
      </c>
      <c r="F5" s="9">
        <v>0</v>
      </c>
      <c r="G5" s="3" t="s">
        <v>71</v>
      </c>
      <c r="H5" s="9">
        <v>59.7</v>
      </c>
      <c r="I5" s="9"/>
      <c r="J5" s="9"/>
      <c r="K5" s="10" t="s">
        <v>19</v>
      </c>
      <c r="L5" s="9">
        <v>0</v>
      </c>
      <c r="M5" s="9"/>
      <c r="N5" s="9"/>
      <c r="O5" s="8" t="s">
        <v>20</v>
      </c>
      <c r="P5" s="9">
        <v>90.9</v>
      </c>
      <c r="Q5" s="3" t="s">
        <v>21</v>
      </c>
      <c r="R5" s="9">
        <v>45.9</v>
      </c>
      <c r="S5" s="8" t="s">
        <v>20</v>
      </c>
      <c r="T5" s="9">
        <v>24.9</v>
      </c>
      <c r="U5" s="3" t="s">
        <v>68</v>
      </c>
      <c r="AK5" s="95"/>
    </row>
    <row r="6" spans="1:37" ht="86.4" x14ac:dyDescent="0.25">
      <c r="A6" s="10" t="s">
        <v>122</v>
      </c>
      <c r="B6" s="8" t="s">
        <v>123</v>
      </c>
      <c r="C6" s="3" t="s">
        <v>67</v>
      </c>
      <c r="D6" s="9">
        <v>64.900000000000006</v>
      </c>
      <c r="E6" s="10" t="s">
        <v>19</v>
      </c>
      <c r="F6" s="9">
        <v>0</v>
      </c>
      <c r="G6" s="3" t="s">
        <v>71</v>
      </c>
      <c r="H6" s="9">
        <v>88.7</v>
      </c>
      <c r="I6" s="9"/>
      <c r="J6" s="9"/>
      <c r="K6" s="3" t="s">
        <v>71</v>
      </c>
      <c r="L6" s="9">
        <v>23.7</v>
      </c>
      <c r="M6" s="9"/>
      <c r="N6" s="9"/>
      <c r="O6" s="8" t="s">
        <v>20</v>
      </c>
      <c r="P6" s="9">
        <v>177.2</v>
      </c>
      <c r="Q6" s="3" t="s">
        <v>21</v>
      </c>
      <c r="R6" s="9">
        <v>180.7</v>
      </c>
      <c r="S6" s="8" t="s">
        <v>20</v>
      </c>
      <c r="T6" s="9">
        <v>38.299999999999997</v>
      </c>
      <c r="U6" s="3" t="s">
        <v>68</v>
      </c>
      <c r="AK6" s="95"/>
    </row>
    <row r="7" spans="1:37" ht="86.4" x14ac:dyDescent="0.25">
      <c r="A7" s="10" t="s">
        <v>124</v>
      </c>
      <c r="B7" s="10" t="s">
        <v>32</v>
      </c>
      <c r="C7" s="3" t="s">
        <v>67</v>
      </c>
      <c r="D7" s="9">
        <v>130.19999999999999</v>
      </c>
      <c r="E7" s="10" t="s">
        <v>19</v>
      </c>
      <c r="F7" s="9">
        <v>0</v>
      </c>
      <c r="G7" s="3" t="s">
        <v>71</v>
      </c>
      <c r="H7" s="9">
        <v>128.19999999999999</v>
      </c>
      <c r="I7" s="9"/>
      <c r="J7" s="9"/>
      <c r="K7" s="3" t="s">
        <v>71</v>
      </c>
      <c r="L7" s="9">
        <v>4.5999999999999996</v>
      </c>
      <c r="M7" s="9"/>
      <c r="N7" s="9"/>
      <c r="O7" s="8" t="s">
        <v>20</v>
      </c>
      <c r="P7" s="9">
        <v>263.10000000000002</v>
      </c>
      <c r="Q7" s="3" t="s">
        <v>21</v>
      </c>
      <c r="R7" s="9">
        <v>113</v>
      </c>
      <c r="S7" s="8" t="s">
        <v>20</v>
      </c>
      <c r="T7" s="9">
        <v>51.4</v>
      </c>
      <c r="U7" s="3" t="s">
        <v>68</v>
      </c>
      <c r="AK7" s="95"/>
    </row>
    <row r="8" spans="1:37" ht="129.6" x14ac:dyDescent="0.25">
      <c r="A8" s="10" t="s">
        <v>125</v>
      </c>
      <c r="B8" s="8" t="s">
        <v>126</v>
      </c>
      <c r="C8" s="3" t="s">
        <v>67</v>
      </c>
      <c r="D8" s="9">
        <v>73.900000000000006</v>
      </c>
      <c r="E8" s="3" t="s">
        <v>71</v>
      </c>
      <c r="F8" s="9">
        <v>36.799999999999997</v>
      </c>
      <c r="G8" s="10" t="s">
        <v>19</v>
      </c>
      <c r="H8" s="9">
        <v>0</v>
      </c>
      <c r="I8" s="9"/>
      <c r="J8" s="9"/>
      <c r="K8" s="10" t="s">
        <v>19</v>
      </c>
      <c r="L8" s="9">
        <v>0</v>
      </c>
      <c r="M8" s="9"/>
      <c r="N8" s="9"/>
      <c r="O8" s="8" t="s">
        <v>20</v>
      </c>
      <c r="P8" s="9">
        <v>110.6</v>
      </c>
      <c r="Q8" s="3" t="s">
        <v>21</v>
      </c>
      <c r="R8" s="9">
        <v>14.4</v>
      </c>
      <c r="S8" s="8" t="s">
        <v>20</v>
      </c>
      <c r="T8" s="9">
        <v>26.9</v>
      </c>
      <c r="U8" s="3" t="s">
        <v>68</v>
      </c>
      <c r="AK8" s="95"/>
    </row>
    <row r="9" spans="1:37" ht="86.4" x14ac:dyDescent="0.25">
      <c r="A9" s="10" t="s">
        <v>127</v>
      </c>
      <c r="B9" s="8" t="s">
        <v>128</v>
      </c>
      <c r="C9" s="3" t="s">
        <v>67</v>
      </c>
      <c r="D9" s="9">
        <v>82.3</v>
      </c>
      <c r="E9" s="10" t="s">
        <v>19</v>
      </c>
      <c r="F9" s="9">
        <v>0</v>
      </c>
      <c r="G9" s="10" t="s">
        <v>19</v>
      </c>
      <c r="H9" s="9">
        <v>0</v>
      </c>
      <c r="I9" s="9"/>
      <c r="J9" s="9"/>
      <c r="K9" s="10" t="s">
        <v>19</v>
      </c>
      <c r="L9" s="9">
        <v>0</v>
      </c>
      <c r="M9" s="9"/>
      <c r="N9" s="9"/>
      <c r="O9" s="8" t="s">
        <v>20</v>
      </c>
      <c r="P9" s="9">
        <v>82.3</v>
      </c>
      <c r="Q9" s="3" t="s">
        <v>21</v>
      </c>
      <c r="R9" s="9">
        <v>17.899999999999999</v>
      </c>
      <c r="S9" s="8" t="s">
        <v>20</v>
      </c>
      <c r="T9" s="9">
        <v>20</v>
      </c>
      <c r="U9" s="3" t="s">
        <v>68</v>
      </c>
      <c r="AK9" s="95"/>
    </row>
    <row r="10" spans="1:37" ht="86.4" x14ac:dyDescent="0.25">
      <c r="A10" s="10" t="s">
        <v>129</v>
      </c>
      <c r="B10" s="8" t="s">
        <v>130</v>
      </c>
      <c r="C10" s="3" t="s">
        <v>67</v>
      </c>
      <c r="D10" s="9">
        <v>78.400000000000006</v>
      </c>
      <c r="E10" s="10" t="s">
        <v>19</v>
      </c>
      <c r="F10" s="9">
        <v>0</v>
      </c>
      <c r="G10" s="10" t="s">
        <v>19</v>
      </c>
      <c r="H10" s="9">
        <v>0</v>
      </c>
      <c r="I10" s="9"/>
      <c r="J10" s="9"/>
      <c r="K10" s="10" t="s">
        <v>19</v>
      </c>
      <c r="L10" s="9">
        <v>0</v>
      </c>
      <c r="M10" s="9"/>
      <c r="N10" s="9"/>
      <c r="O10" s="8" t="s">
        <v>20</v>
      </c>
      <c r="P10" s="9">
        <v>78.400000000000006</v>
      </c>
      <c r="Q10" s="3" t="s">
        <v>21</v>
      </c>
      <c r="R10" s="9">
        <v>15.5</v>
      </c>
      <c r="S10" s="8" t="s">
        <v>20</v>
      </c>
      <c r="T10" s="9">
        <v>18.8</v>
      </c>
      <c r="U10" s="3" t="s">
        <v>68</v>
      </c>
      <c r="AK10" s="95"/>
    </row>
    <row r="11" spans="1:37" ht="86.4" x14ac:dyDescent="0.25">
      <c r="A11" s="10" t="s">
        <v>131</v>
      </c>
      <c r="B11" s="8" t="s">
        <v>132</v>
      </c>
      <c r="C11" s="3" t="s">
        <v>67</v>
      </c>
      <c r="D11" s="9">
        <v>82.6</v>
      </c>
      <c r="E11" s="10" t="s">
        <v>19</v>
      </c>
      <c r="F11" s="9">
        <v>0</v>
      </c>
      <c r="G11" s="10" t="s">
        <v>19</v>
      </c>
      <c r="H11" s="9">
        <v>0</v>
      </c>
      <c r="I11" s="9"/>
      <c r="J11" s="9"/>
      <c r="K11" s="3" t="s">
        <v>71</v>
      </c>
      <c r="L11" s="9">
        <v>13.7</v>
      </c>
      <c r="M11" s="9"/>
      <c r="N11" s="9"/>
      <c r="O11" s="8" t="s">
        <v>20</v>
      </c>
      <c r="P11" s="9">
        <v>96.3</v>
      </c>
      <c r="Q11" s="3" t="s">
        <v>21</v>
      </c>
      <c r="R11" s="9">
        <v>23.4</v>
      </c>
      <c r="S11" s="8" t="s">
        <v>20</v>
      </c>
      <c r="T11" s="9">
        <v>23.1</v>
      </c>
      <c r="U11" s="3" t="s">
        <v>68</v>
      </c>
      <c r="AK11" s="95"/>
    </row>
    <row r="12" spans="1:37" ht="86.4" x14ac:dyDescent="0.25">
      <c r="A12" s="10" t="s">
        <v>133</v>
      </c>
      <c r="B12" s="8" t="s">
        <v>134</v>
      </c>
      <c r="C12" s="3" t="s">
        <v>67</v>
      </c>
      <c r="D12" s="9">
        <v>32.799999999999997</v>
      </c>
      <c r="E12" s="10" t="s">
        <v>19</v>
      </c>
      <c r="F12" s="9">
        <v>0</v>
      </c>
      <c r="G12" s="3" t="s">
        <v>71</v>
      </c>
      <c r="H12" s="9">
        <v>22</v>
      </c>
      <c r="I12" s="9"/>
      <c r="J12" s="9"/>
      <c r="K12" s="10" t="s">
        <v>19</v>
      </c>
      <c r="L12" s="9">
        <v>0</v>
      </c>
      <c r="M12" s="9"/>
      <c r="N12" s="9"/>
      <c r="O12" s="8" t="s">
        <v>20</v>
      </c>
      <c r="P12" s="9">
        <v>54.8</v>
      </c>
      <c r="Q12" s="3" t="s">
        <v>21</v>
      </c>
      <c r="R12" s="9">
        <v>25.9</v>
      </c>
      <c r="S12" s="8" t="s">
        <v>20</v>
      </c>
      <c r="T12" s="9">
        <v>15.2</v>
      </c>
      <c r="U12" s="3" t="s">
        <v>68</v>
      </c>
      <c r="AK12" s="95"/>
    </row>
    <row r="13" spans="1:37" ht="86.4" x14ac:dyDescent="0.25">
      <c r="A13" s="17" t="s">
        <v>135</v>
      </c>
      <c r="B13" s="17" t="s">
        <v>136</v>
      </c>
      <c r="C13" s="1" t="s">
        <v>94</v>
      </c>
      <c r="D13" s="21">
        <v>11</v>
      </c>
      <c r="E13" s="17" t="s">
        <v>19</v>
      </c>
      <c r="F13" s="21">
        <v>0</v>
      </c>
      <c r="G13" s="17" t="s">
        <v>19</v>
      </c>
      <c r="H13" s="21">
        <v>0</v>
      </c>
      <c r="I13" s="85"/>
      <c r="J13" s="85"/>
      <c r="K13" s="1" t="s">
        <v>74</v>
      </c>
      <c r="L13" s="21">
        <v>38.9</v>
      </c>
      <c r="M13" s="85"/>
      <c r="N13" s="85"/>
      <c r="O13" s="22" t="s">
        <v>20</v>
      </c>
      <c r="P13" s="19">
        <v>49.9</v>
      </c>
      <c r="Q13" s="1" t="s">
        <v>21</v>
      </c>
      <c r="R13" s="21">
        <v>11.8</v>
      </c>
      <c r="S13" s="22" t="s">
        <v>20</v>
      </c>
      <c r="T13" s="21">
        <v>12.2</v>
      </c>
      <c r="U13" s="1" t="s">
        <v>68</v>
      </c>
      <c r="AK13" s="95"/>
    </row>
    <row r="14" spans="1:37" ht="86.4" x14ac:dyDescent="0.25">
      <c r="A14" s="17" t="s">
        <v>137</v>
      </c>
      <c r="B14" s="22" t="s">
        <v>138</v>
      </c>
      <c r="C14" s="1" t="s">
        <v>67</v>
      </c>
      <c r="D14" s="19">
        <v>116.4</v>
      </c>
      <c r="E14" s="17" t="s">
        <v>19</v>
      </c>
      <c r="F14" s="21">
        <v>0</v>
      </c>
      <c r="G14" s="1" t="s">
        <v>71</v>
      </c>
      <c r="H14" s="21">
        <v>87.3</v>
      </c>
      <c r="I14" s="85"/>
      <c r="J14" s="85"/>
      <c r="K14" s="1" t="s">
        <v>71</v>
      </c>
      <c r="L14" s="21">
        <v>22.5</v>
      </c>
      <c r="M14" s="85"/>
      <c r="N14" s="85"/>
      <c r="O14" s="22" t="s">
        <v>20</v>
      </c>
      <c r="P14" s="19">
        <v>226.1</v>
      </c>
      <c r="Q14" s="1" t="s">
        <v>21</v>
      </c>
      <c r="R14" s="19">
        <v>170.4</v>
      </c>
      <c r="S14" s="22" t="s">
        <v>20</v>
      </c>
      <c r="T14" s="21">
        <v>62.7</v>
      </c>
      <c r="U14" s="1" t="s">
        <v>68</v>
      </c>
      <c r="AK14" s="95"/>
    </row>
  </sheetData>
  <mergeCells count="15">
    <mergeCell ref="A1:U1"/>
    <mergeCell ref="A2:A4"/>
    <mergeCell ref="B2:B4"/>
    <mergeCell ref="C2:L2"/>
    <mergeCell ref="Q2:R2"/>
    <mergeCell ref="S2:T2"/>
    <mergeCell ref="C3:D3"/>
    <mergeCell ref="E3:F3"/>
    <mergeCell ref="G3:H3"/>
    <mergeCell ref="M3:N3"/>
    <mergeCell ref="O3:P3"/>
    <mergeCell ref="Q3:Q4"/>
    <mergeCell ref="R3:R4"/>
    <mergeCell ref="S3:S4"/>
    <mergeCell ref="T3:T4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AW14"/>
  <sheetViews>
    <sheetView topLeftCell="A12" zoomScale="55" zoomScaleNormal="55" workbookViewId="0">
      <selection sqref="A1:U4"/>
    </sheetView>
  </sheetViews>
  <sheetFormatPr defaultRowHeight="13.2" x14ac:dyDescent="0.25"/>
  <cols>
    <col min="1" max="1" width="6.44140625" customWidth="1"/>
    <col min="2" max="2" width="23.33203125" customWidth="1"/>
    <col min="3" max="3" width="42.109375" customWidth="1"/>
    <col min="4" max="4" width="13.109375" customWidth="1"/>
    <col min="5" max="5" width="26.109375" customWidth="1"/>
    <col min="6" max="6" width="13.109375" customWidth="1"/>
    <col min="7" max="7" width="50.44140625" customWidth="1"/>
    <col min="8" max="8" width="13.109375" customWidth="1"/>
    <col min="9" max="9" width="26.109375" customWidth="1"/>
    <col min="10" max="10" width="13.109375" customWidth="1"/>
    <col min="11" max="11" width="48.44140625" customWidth="1"/>
    <col min="12" max="12" width="13.109375" customWidth="1"/>
    <col min="13" max="13" width="30.44140625" customWidth="1"/>
    <col min="14" max="14" width="13.109375" customWidth="1"/>
    <col min="15" max="15" width="19.77734375" customWidth="1"/>
    <col min="16" max="16" width="12.77734375" customWidth="1"/>
    <col min="17" max="17" width="24" customWidth="1"/>
    <col min="18" max="18" width="12.109375" customWidth="1"/>
    <col min="19" max="19" width="16.109375" customWidth="1"/>
    <col min="20" max="20" width="12.77734375" customWidth="1"/>
    <col min="21" max="21" width="26.6640625" customWidth="1"/>
    <col min="22" max="22" width="6.6640625" customWidth="1"/>
    <col min="23" max="23" width="9.77734375" customWidth="1"/>
    <col min="24" max="24" width="6.6640625" customWidth="1"/>
    <col min="25" max="25" width="46" customWidth="1"/>
    <col min="26" max="26" width="10" customWidth="1"/>
    <col min="27" max="27" width="6.6640625" customWidth="1"/>
    <col min="28" max="28" width="2.77734375" customWidth="1"/>
    <col min="29" max="29" width="13.109375" customWidth="1"/>
  </cols>
  <sheetData>
    <row r="1" spans="1:49" ht="24.75" customHeight="1" x14ac:dyDescent="0.25">
      <c r="A1" s="241" t="s">
        <v>0</v>
      </c>
      <c r="B1" s="242"/>
      <c r="C1" s="242"/>
      <c r="D1" s="242"/>
      <c r="E1" s="242"/>
      <c r="F1" s="242"/>
      <c r="G1" s="242"/>
      <c r="H1" s="242"/>
      <c r="I1" s="242"/>
      <c r="J1" s="242"/>
      <c r="K1" s="242"/>
      <c r="L1" s="242"/>
      <c r="M1" s="242"/>
      <c r="N1" s="242"/>
      <c r="O1" s="242"/>
      <c r="P1" s="242"/>
      <c r="Q1" s="242"/>
      <c r="R1" s="242"/>
      <c r="S1" s="242"/>
      <c r="T1" s="242"/>
      <c r="U1" s="242"/>
    </row>
    <row r="2" spans="1:49" ht="17.399999999999999" x14ac:dyDescent="0.25">
      <c r="A2" s="233" t="s">
        <v>1</v>
      </c>
      <c r="B2" s="232" t="s">
        <v>2</v>
      </c>
      <c r="C2" s="234" t="s">
        <v>3</v>
      </c>
      <c r="D2" s="234"/>
      <c r="E2" s="234"/>
      <c r="F2" s="234"/>
      <c r="G2" s="234"/>
      <c r="H2" s="234"/>
      <c r="I2" s="234"/>
      <c r="J2" s="234"/>
      <c r="K2" s="234"/>
      <c r="L2" s="234"/>
      <c r="M2" s="107"/>
      <c r="N2" s="107"/>
      <c r="O2" s="107"/>
      <c r="P2" s="107"/>
      <c r="Q2" s="232" t="s">
        <v>4</v>
      </c>
      <c r="R2" s="232"/>
      <c r="S2" s="235" t="s">
        <v>5</v>
      </c>
      <c r="T2" s="235"/>
      <c r="U2" s="108" t="s">
        <v>6</v>
      </c>
    </row>
    <row r="3" spans="1:49" ht="17.399999999999999" x14ac:dyDescent="0.25">
      <c r="A3" s="233"/>
      <c r="B3" s="232"/>
      <c r="C3" s="235" t="s">
        <v>7</v>
      </c>
      <c r="D3" s="235"/>
      <c r="E3" s="238" t="s">
        <v>8</v>
      </c>
      <c r="F3" s="238"/>
      <c r="G3" s="239" t="s">
        <v>9</v>
      </c>
      <c r="H3" s="239"/>
      <c r="I3" s="80" t="s">
        <v>63</v>
      </c>
      <c r="J3" s="81"/>
      <c r="K3" s="80" t="s">
        <v>64</v>
      </c>
      <c r="L3" s="81"/>
      <c r="M3" s="243" t="s">
        <v>358</v>
      </c>
      <c r="N3" s="239"/>
      <c r="O3" s="240" t="s">
        <v>11</v>
      </c>
      <c r="P3" s="240"/>
      <c r="Q3" s="232" t="s">
        <v>12</v>
      </c>
      <c r="R3" s="233" t="s">
        <v>13</v>
      </c>
      <c r="S3" s="232" t="s">
        <v>12</v>
      </c>
      <c r="T3" s="237" t="s">
        <v>14</v>
      </c>
      <c r="U3" s="108"/>
    </row>
    <row r="4" spans="1:49" ht="34.799999999999997" x14ac:dyDescent="0.25">
      <c r="A4" s="233"/>
      <c r="B4" s="232"/>
      <c r="C4" s="96" t="s">
        <v>12</v>
      </c>
      <c r="D4" s="97" t="s">
        <v>13</v>
      </c>
      <c r="E4" s="96" t="s">
        <v>12</v>
      </c>
      <c r="F4" s="97" t="s">
        <v>13</v>
      </c>
      <c r="G4" s="96" t="s">
        <v>12</v>
      </c>
      <c r="H4" s="97" t="s">
        <v>13</v>
      </c>
      <c r="I4" s="5" t="s">
        <v>12</v>
      </c>
      <c r="J4" s="3" t="s">
        <v>13</v>
      </c>
      <c r="K4" s="5" t="s">
        <v>12</v>
      </c>
      <c r="L4" s="3" t="s">
        <v>13</v>
      </c>
      <c r="M4" s="96" t="s">
        <v>12</v>
      </c>
      <c r="N4" s="97" t="s">
        <v>13</v>
      </c>
      <c r="O4" s="98" t="s">
        <v>12</v>
      </c>
      <c r="P4" s="97" t="s">
        <v>13</v>
      </c>
      <c r="Q4" s="232"/>
      <c r="R4" s="233"/>
      <c r="S4" s="232"/>
      <c r="T4" s="237"/>
      <c r="U4" s="108"/>
    </row>
    <row r="5" spans="1:49" ht="86.4" x14ac:dyDescent="0.25">
      <c r="A5" s="7" t="s">
        <v>140</v>
      </c>
      <c r="B5" s="8" t="s">
        <v>141</v>
      </c>
      <c r="C5" s="3" t="s">
        <v>94</v>
      </c>
      <c r="D5" s="9">
        <v>20.5</v>
      </c>
      <c r="E5" s="10" t="s">
        <v>19</v>
      </c>
      <c r="F5" s="9">
        <v>0</v>
      </c>
      <c r="G5" s="3" t="s">
        <v>74</v>
      </c>
      <c r="H5" s="9">
        <v>102.4</v>
      </c>
      <c r="I5" s="9"/>
      <c r="J5" s="9"/>
      <c r="K5" s="3" t="s">
        <v>74</v>
      </c>
      <c r="L5" s="9">
        <v>2</v>
      </c>
      <c r="M5" s="9"/>
      <c r="N5" s="9"/>
      <c r="O5" s="8" t="s">
        <v>20</v>
      </c>
      <c r="P5" s="9">
        <v>125</v>
      </c>
      <c r="Q5" s="3" t="s">
        <v>21</v>
      </c>
      <c r="R5" s="9">
        <v>36.4</v>
      </c>
      <c r="S5" s="8" t="s">
        <v>20</v>
      </c>
      <c r="T5" s="9">
        <v>32.200000000000003</v>
      </c>
      <c r="U5" s="3" t="s">
        <v>68</v>
      </c>
      <c r="V5" s="54"/>
      <c r="W5" s="55"/>
      <c r="X5" s="55"/>
      <c r="Y5" s="55"/>
      <c r="Z5" s="55"/>
      <c r="AA5" s="55"/>
      <c r="AB5" s="55"/>
      <c r="AC5" s="55"/>
      <c r="AD5" s="55"/>
      <c r="AE5" s="55"/>
      <c r="AF5" s="55"/>
      <c r="AG5" s="56"/>
      <c r="AW5" s="95"/>
    </row>
    <row r="6" spans="1:49" ht="144" x14ac:dyDescent="0.25">
      <c r="A6" s="7" t="s">
        <v>142</v>
      </c>
      <c r="B6" s="8" t="s">
        <v>143</v>
      </c>
      <c r="C6" s="3" t="s">
        <v>94</v>
      </c>
      <c r="D6" s="9">
        <v>5</v>
      </c>
      <c r="E6" s="3" t="s">
        <v>74</v>
      </c>
      <c r="F6" s="9">
        <v>1.4</v>
      </c>
      <c r="G6" s="3" t="s">
        <v>74</v>
      </c>
      <c r="H6" s="9">
        <v>22.3</v>
      </c>
      <c r="I6" s="9"/>
      <c r="J6" s="9"/>
      <c r="K6" s="3" t="s">
        <v>74</v>
      </c>
      <c r="L6" s="9">
        <v>27.9</v>
      </c>
      <c r="M6" s="9"/>
      <c r="N6" s="9"/>
      <c r="O6" s="8" t="s">
        <v>20</v>
      </c>
      <c r="P6" s="9">
        <v>56.7</v>
      </c>
      <c r="Q6" s="3" t="s">
        <v>21</v>
      </c>
      <c r="R6" s="9">
        <v>15</v>
      </c>
      <c r="S6" s="8" t="s">
        <v>20</v>
      </c>
      <c r="T6" s="9">
        <v>12.6</v>
      </c>
      <c r="U6" s="3" t="s">
        <v>68</v>
      </c>
      <c r="V6" s="54"/>
      <c r="W6" s="55"/>
      <c r="X6" s="55"/>
      <c r="Y6" s="55"/>
      <c r="Z6" s="55"/>
      <c r="AA6" s="55"/>
      <c r="AB6" s="55"/>
      <c r="AC6" s="55"/>
      <c r="AD6" s="55"/>
      <c r="AE6" s="55"/>
      <c r="AF6" s="55"/>
      <c r="AG6" s="56"/>
      <c r="AW6" s="95"/>
    </row>
    <row r="7" spans="1:49" ht="144" x14ac:dyDescent="0.25">
      <c r="A7" s="7" t="s">
        <v>144</v>
      </c>
      <c r="B7" s="8" t="s">
        <v>145</v>
      </c>
      <c r="C7" s="3" t="s">
        <v>94</v>
      </c>
      <c r="D7" s="9">
        <v>53.6</v>
      </c>
      <c r="E7" s="3" t="s">
        <v>74</v>
      </c>
      <c r="F7" s="9">
        <v>5.5</v>
      </c>
      <c r="G7" s="3" t="s">
        <v>74</v>
      </c>
      <c r="H7" s="9">
        <v>62.9</v>
      </c>
      <c r="I7" s="9"/>
      <c r="J7" s="9"/>
      <c r="K7" s="3" t="s">
        <v>74</v>
      </c>
      <c r="L7" s="9">
        <v>69.3</v>
      </c>
      <c r="M7" s="9"/>
      <c r="N7" s="9"/>
      <c r="O7" s="8" t="s">
        <v>20</v>
      </c>
      <c r="P7" s="9">
        <v>191.3</v>
      </c>
      <c r="Q7" s="3" t="s">
        <v>21</v>
      </c>
      <c r="R7" s="9">
        <v>89.2</v>
      </c>
      <c r="S7" s="8" t="s">
        <v>20</v>
      </c>
      <c r="T7" s="9">
        <v>44</v>
      </c>
      <c r="U7" s="3" t="s">
        <v>68</v>
      </c>
      <c r="V7" s="54"/>
      <c r="W7" s="55"/>
      <c r="X7" s="55"/>
      <c r="Y7" s="55"/>
      <c r="Z7" s="55"/>
      <c r="AA7" s="55"/>
      <c r="AB7" s="55"/>
      <c r="AC7" s="55"/>
      <c r="AD7" s="55"/>
      <c r="AE7" s="55"/>
      <c r="AF7" s="55"/>
      <c r="AG7" s="56"/>
      <c r="AW7" s="95"/>
    </row>
    <row r="8" spans="1:49" ht="86.4" x14ac:dyDescent="0.25">
      <c r="A8" s="7" t="s">
        <v>146</v>
      </c>
      <c r="B8" s="8" t="s">
        <v>147</v>
      </c>
      <c r="C8" s="3" t="s">
        <v>94</v>
      </c>
      <c r="D8" s="9">
        <v>6.7</v>
      </c>
      <c r="E8" s="10" t="s">
        <v>19</v>
      </c>
      <c r="F8" s="9">
        <v>0</v>
      </c>
      <c r="G8" s="10" t="s">
        <v>19</v>
      </c>
      <c r="H8" s="9">
        <v>0</v>
      </c>
      <c r="I8" s="9"/>
      <c r="J8" s="9"/>
      <c r="K8" s="3" t="s">
        <v>74</v>
      </c>
      <c r="L8" s="9">
        <v>61.5</v>
      </c>
      <c r="M8" s="9"/>
      <c r="N8" s="9"/>
      <c r="O8" s="8" t="s">
        <v>20</v>
      </c>
      <c r="P8" s="9">
        <v>68.2</v>
      </c>
      <c r="Q8" s="3" t="s">
        <v>21</v>
      </c>
      <c r="R8" s="9">
        <v>13.6</v>
      </c>
      <c r="S8" s="8" t="s">
        <v>20</v>
      </c>
      <c r="T8" s="9">
        <v>16.2</v>
      </c>
      <c r="U8" s="3" t="s">
        <v>68</v>
      </c>
      <c r="V8" s="54"/>
      <c r="W8" s="55"/>
      <c r="X8" s="55"/>
      <c r="Y8" s="55"/>
      <c r="Z8" s="55"/>
      <c r="AA8" s="55"/>
      <c r="AB8" s="55"/>
      <c r="AC8" s="55"/>
      <c r="AD8" s="55"/>
      <c r="AE8" s="55"/>
      <c r="AF8" s="55"/>
      <c r="AG8" s="56"/>
      <c r="AW8" s="95"/>
    </row>
    <row r="9" spans="1:49" ht="86.4" x14ac:dyDescent="0.25">
      <c r="A9" s="7" t="s">
        <v>148</v>
      </c>
      <c r="B9" s="8" t="s">
        <v>149</v>
      </c>
      <c r="C9" s="3" t="s">
        <v>94</v>
      </c>
      <c r="D9" s="9">
        <v>5.2</v>
      </c>
      <c r="E9" s="10" t="s">
        <v>19</v>
      </c>
      <c r="F9" s="9">
        <v>0</v>
      </c>
      <c r="G9" s="10" t="s">
        <v>19</v>
      </c>
      <c r="H9" s="9">
        <v>0</v>
      </c>
      <c r="I9" s="9"/>
      <c r="J9" s="9"/>
      <c r="K9" s="3" t="s">
        <v>74</v>
      </c>
      <c r="L9" s="9">
        <v>51.6</v>
      </c>
      <c r="M9" s="9"/>
      <c r="N9" s="9"/>
      <c r="O9" s="8" t="s">
        <v>20</v>
      </c>
      <c r="P9" s="9">
        <v>56.8</v>
      </c>
      <c r="Q9" s="3" t="s">
        <v>21</v>
      </c>
      <c r="R9" s="9">
        <v>12.1</v>
      </c>
      <c r="S9" s="8" t="s">
        <v>20</v>
      </c>
      <c r="T9" s="9">
        <v>14.2</v>
      </c>
      <c r="U9" s="3" t="s">
        <v>68</v>
      </c>
      <c r="V9" s="54"/>
      <c r="W9" s="55"/>
      <c r="X9" s="55"/>
      <c r="Y9" s="55"/>
      <c r="Z9" s="55"/>
      <c r="AA9" s="55"/>
      <c r="AB9" s="55"/>
      <c r="AC9" s="55"/>
      <c r="AD9" s="55"/>
      <c r="AE9" s="55"/>
      <c r="AF9" s="55"/>
      <c r="AG9" s="56"/>
      <c r="AW9" s="95"/>
    </row>
    <row r="10" spans="1:49" ht="86.4" x14ac:dyDescent="0.25">
      <c r="A10" s="7" t="s">
        <v>150</v>
      </c>
      <c r="B10" s="8" t="s">
        <v>151</v>
      </c>
      <c r="C10" s="3" t="s">
        <v>94</v>
      </c>
      <c r="D10" s="9">
        <v>11.2</v>
      </c>
      <c r="E10" s="10" t="s">
        <v>19</v>
      </c>
      <c r="F10" s="9">
        <v>0</v>
      </c>
      <c r="G10" s="10" t="s">
        <v>19</v>
      </c>
      <c r="H10" s="9">
        <v>0</v>
      </c>
      <c r="I10" s="9"/>
      <c r="J10" s="9"/>
      <c r="K10" s="3" t="s">
        <v>74</v>
      </c>
      <c r="L10" s="9">
        <v>86.5</v>
      </c>
      <c r="M10" s="9"/>
      <c r="N10" s="9"/>
      <c r="O10" s="8" t="s">
        <v>20</v>
      </c>
      <c r="P10" s="9">
        <v>97.6</v>
      </c>
      <c r="Q10" s="3" t="s">
        <v>21</v>
      </c>
      <c r="R10" s="9">
        <v>29.7</v>
      </c>
      <c r="S10" s="8" t="s">
        <v>20</v>
      </c>
      <c r="T10" s="9">
        <v>23.8</v>
      </c>
      <c r="U10" s="3" t="s">
        <v>68</v>
      </c>
      <c r="V10" s="54"/>
      <c r="W10" s="55"/>
      <c r="X10" s="55"/>
      <c r="Y10" s="55"/>
      <c r="Z10" s="55"/>
      <c r="AA10" s="55"/>
      <c r="AB10" s="55"/>
      <c r="AC10" s="55"/>
      <c r="AD10" s="55"/>
      <c r="AE10" s="55"/>
      <c r="AF10" s="55"/>
      <c r="AG10" s="56"/>
      <c r="AW10" s="95"/>
    </row>
    <row r="11" spans="1:49" ht="86.4" x14ac:dyDescent="0.25">
      <c r="A11" s="7" t="s">
        <v>152</v>
      </c>
      <c r="B11" s="8" t="s">
        <v>153</v>
      </c>
      <c r="C11" s="3" t="s">
        <v>94</v>
      </c>
      <c r="D11" s="9">
        <v>2</v>
      </c>
      <c r="E11" s="10" t="s">
        <v>19</v>
      </c>
      <c r="F11" s="9">
        <v>0</v>
      </c>
      <c r="G11" s="10" t="s">
        <v>19</v>
      </c>
      <c r="H11" s="9">
        <v>0</v>
      </c>
      <c r="I11" s="9"/>
      <c r="J11" s="9"/>
      <c r="K11" s="3" t="s">
        <v>74</v>
      </c>
      <c r="L11" s="9">
        <v>52.8</v>
      </c>
      <c r="M11" s="9"/>
      <c r="N11" s="9"/>
      <c r="O11" s="8" t="s">
        <v>20</v>
      </c>
      <c r="P11" s="9">
        <v>54.8</v>
      </c>
      <c r="Q11" s="3" t="s">
        <v>21</v>
      </c>
      <c r="R11" s="9">
        <v>10.8</v>
      </c>
      <c r="S11" s="8" t="s">
        <v>20</v>
      </c>
      <c r="T11" s="9">
        <v>13.4</v>
      </c>
      <c r="U11" s="3" t="s">
        <v>68</v>
      </c>
      <c r="V11" s="54"/>
      <c r="W11" s="55"/>
      <c r="X11" s="55"/>
      <c r="Y11" s="55"/>
      <c r="Z11" s="55"/>
      <c r="AA11" s="55"/>
      <c r="AB11" s="55"/>
      <c r="AC11" s="55"/>
      <c r="AD11" s="55"/>
      <c r="AE11" s="55"/>
      <c r="AF11" s="55"/>
      <c r="AG11" s="56"/>
      <c r="AW11" s="95"/>
    </row>
    <row r="12" spans="1:49" ht="86.4" x14ac:dyDescent="0.25">
      <c r="A12" s="17" t="s">
        <v>154</v>
      </c>
      <c r="B12" s="22" t="s">
        <v>155</v>
      </c>
      <c r="C12" s="1" t="s">
        <v>94</v>
      </c>
      <c r="D12" s="21">
        <v>6.5</v>
      </c>
      <c r="E12" s="17" t="s">
        <v>19</v>
      </c>
      <c r="F12" s="21">
        <v>0</v>
      </c>
      <c r="G12" s="17" t="s">
        <v>19</v>
      </c>
      <c r="H12" s="21">
        <v>0</v>
      </c>
      <c r="I12" s="85"/>
      <c r="J12" s="85"/>
      <c r="K12" s="1" t="s">
        <v>74</v>
      </c>
      <c r="L12" s="19">
        <v>48.2</v>
      </c>
      <c r="M12" s="84"/>
      <c r="N12" s="84"/>
      <c r="O12" s="22" t="s">
        <v>20</v>
      </c>
      <c r="P12" s="19">
        <v>54.7</v>
      </c>
      <c r="Q12" s="1" t="s">
        <v>21</v>
      </c>
      <c r="R12" s="21">
        <v>9.3000000000000007</v>
      </c>
      <c r="S12" s="22" t="s">
        <v>20</v>
      </c>
      <c r="T12" s="21">
        <v>13.5</v>
      </c>
      <c r="U12" s="1" t="s">
        <v>68</v>
      </c>
      <c r="V12" s="54"/>
      <c r="W12" s="55"/>
      <c r="X12" s="55"/>
      <c r="Y12" s="55"/>
      <c r="Z12" s="55"/>
      <c r="AA12" s="55"/>
      <c r="AB12" s="55"/>
      <c r="AC12" s="55"/>
      <c r="AD12" s="55"/>
      <c r="AE12" s="55"/>
      <c r="AF12" s="55"/>
      <c r="AG12" s="56"/>
      <c r="AW12" s="95"/>
    </row>
    <row r="13" spans="1:49" ht="86.4" x14ac:dyDescent="0.25">
      <c r="A13" s="17" t="s">
        <v>156</v>
      </c>
      <c r="B13" s="22" t="s">
        <v>157</v>
      </c>
      <c r="C13" s="17" t="s">
        <v>19</v>
      </c>
      <c r="D13" s="21">
        <v>0</v>
      </c>
      <c r="E13" s="17" t="s">
        <v>19</v>
      </c>
      <c r="F13" s="21">
        <v>0</v>
      </c>
      <c r="G13" s="17" t="s">
        <v>19</v>
      </c>
      <c r="H13" s="21">
        <v>0</v>
      </c>
      <c r="I13" s="85"/>
      <c r="J13" s="85"/>
      <c r="K13" s="1" t="s">
        <v>74</v>
      </c>
      <c r="L13" s="19">
        <v>54.7</v>
      </c>
      <c r="M13" s="84"/>
      <c r="N13" s="84"/>
      <c r="O13" s="22" t="s">
        <v>20</v>
      </c>
      <c r="P13" s="19">
        <v>54.7</v>
      </c>
      <c r="Q13" s="1" t="s">
        <v>21</v>
      </c>
      <c r="R13" s="21">
        <v>9.6999999999999993</v>
      </c>
      <c r="S13" s="22" t="s">
        <v>20</v>
      </c>
      <c r="T13" s="21">
        <v>13.1</v>
      </c>
      <c r="U13" s="1" t="s">
        <v>68</v>
      </c>
      <c r="V13" s="54"/>
      <c r="W13" s="55"/>
      <c r="X13" s="55"/>
      <c r="Y13" s="55"/>
      <c r="Z13" s="55"/>
      <c r="AA13" s="55"/>
      <c r="AB13" s="55"/>
      <c r="AC13" s="55"/>
      <c r="AD13" s="55"/>
      <c r="AE13" s="55"/>
      <c r="AF13" s="55"/>
      <c r="AG13" s="56"/>
      <c r="AW13" s="95"/>
    </row>
    <row r="14" spans="1:49" ht="86.4" x14ac:dyDescent="0.25">
      <c r="A14" s="17" t="s">
        <v>158</v>
      </c>
      <c r="B14" s="17" t="s">
        <v>159</v>
      </c>
      <c r="C14" s="1" t="s">
        <v>67</v>
      </c>
      <c r="D14" s="21">
        <v>10.6</v>
      </c>
      <c r="E14" s="17" t="s">
        <v>19</v>
      </c>
      <c r="F14" s="21">
        <v>0</v>
      </c>
      <c r="G14" s="1" t="s">
        <v>71</v>
      </c>
      <c r="H14" s="21">
        <v>8.5</v>
      </c>
      <c r="I14" s="85"/>
      <c r="J14" s="85"/>
      <c r="K14" s="1" t="s">
        <v>71</v>
      </c>
      <c r="L14" s="21">
        <v>22.5</v>
      </c>
      <c r="M14" s="85"/>
      <c r="N14" s="85"/>
      <c r="O14" s="22" t="s">
        <v>20</v>
      </c>
      <c r="P14" s="21">
        <v>41.6</v>
      </c>
      <c r="Q14" s="1" t="s">
        <v>21</v>
      </c>
      <c r="R14" s="21">
        <v>7.7</v>
      </c>
      <c r="S14" s="22" t="s">
        <v>20</v>
      </c>
      <c r="T14" s="21">
        <v>9.8000000000000007</v>
      </c>
      <c r="U14" s="1" t="s">
        <v>68</v>
      </c>
      <c r="V14" s="47"/>
      <c r="W14" s="48"/>
      <c r="X14" s="48"/>
      <c r="Y14" s="48"/>
      <c r="Z14" s="48"/>
      <c r="AA14" s="48"/>
      <c r="AB14" s="48"/>
      <c r="AC14" s="48"/>
      <c r="AD14" s="48"/>
      <c r="AE14" s="49"/>
      <c r="AF14" s="34" t="s">
        <v>139</v>
      </c>
      <c r="AG14" s="35"/>
      <c r="AW14" s="95"/>
    </row>
  </sheetData>
  <mergeCells count="15">
    <mergeCell ref="A1:U1"/>
    <mergeCell ref="A2:A4"/>
    <mergeCell ref="B2:B4"/>
    <mergeCell ref="C2:L2"/>
    <mergeCell ref="Q2:R2"/>
    <mergeCell ref="S2:T2"/>
    <mergeCell ref="C3:D3"/>
    <mergeCell ref="E3:F3"/>
    <mergeCell ref="G3:H3"/>
    <mergeCell ref="M3:N3"/>
    <mergeCell ref="O3:P3"/>
    <mergeCell ref="Q3:Q4"/>
    <mergeCell ref="R3:R4"/>
    <mergeCell ref="S3:S4"/>
    <mergeCell ref="T3:T4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AA14"/>
  <sheetViews>
    <sheetView topLeftCell="A11" zoomScale="55" zoomScaleNormal="55" workbookViewId="0">
      <selection sqref="A1:U4"/>
    </sheetView>
  </sheetViews>
  <sheetFormatPr defaultRowHeight="13.2" x14ac:dyDescent="0.25"/>
  <cols>
    <col min="1" max="1" width="6.44140625" customWidth="1"/>
    <col min="2" max="2" width="23.33203125" customWidth="1"/>
    <col min="3" max="3" width="42.109375" customWidth="1"/>
    <col min="4" max="4" width="13.109375" customWidth="1"/>
    <col min="5" max="5" width="26.109375" customWidth="1"/>
    <col min="6" max="6" width="13.109375" customWidth="1"/>
    <col min="7" max="7" width="50.44140625" customWidth="1"/>
    <col min="8" max="8" width="13.109375" customWidth="1"/>
    <col min="9" max="9" width="26.109375" customWidth="1"/>
    <col min="10" max="10" width="13.109375" customWidth="1"/>
    <col min="11" max="11" width="48.44140625" customWidth="1"/>
    <col min="12" max="12" width="13.109375" customWidth="1"/>
    <col min="13" max="13" width="30.44140625" customWidth="1"/>
    <col min="14" max="14" width="13.109375" customWidth="1"/>
    <col min="15" max="15" width="19.77734375" customWidth="1"/>
    <col min="16" max="16" width="12.77734375" customWidth="1"/>
    <col min="17" max="17" width="24" customWidth="1"/>
    <col min="18" max="18" width="12.109375" customWidth="1"/>
    <col min="19" max="19" width="16.109375" customWidth="1"/>
    <col min="20" max="20" width="12.77734375" customWidth="1"/>
    <col min="21" max="21" width="26.6640625" customWidth="1"/>
  </cols>
  <sheetData>
    <row r="1" spans="1:27" ht="29.25" customHeight="1" x14ac:dyDescent="0.25">
      <c r="A1" s="241" t="s">
        <v>0</v>
      </c>
      <c r="B1" s="242"/>
      <c r="C1" s="242"/>
      <c r="D1" s="242"/>
      <c r="E1" s="242"/>
      <c r="F1" s="242"/>
      <c r="G1" s="242"/>
      <c r="H1" s="242"/>
      <c r="I1" s="242"/>
      <c r="J1" s="242"/>
      <c r="K1" s="242"/>
      <c r="L1" s="242"/>
      <c r="M1" s="242"/>
      <c r="N1" s="242"/>
      <c r="O1" s="242"/>
      <c r="P1" s="242"/>
      <c r="Q1" s="242"/>
      <c r="R1" s="242"/>
      <c r="S1" s="242"/>
      <c r="T1" s="242"/>
      <c r="U1" s="242"/>
    </row>
    <row r="2" spans="1:27" ht="17.399999999999999" x14ac:dyDescent="0.25">
      <c r="A2" s="233" t="s">
        <v>1</v>
      </c>
      <c r="B2" s="232" t="s">
        <v>2</v>
      </c>
      <c r="C2" s="234" t="s">
        <v>3</v>
      </c>
      <c r="D2" s="234"/>
      <c r="E2" s="234"/>
      <c r="F2" s="234"/>
      <c r="G2" s="234"/>
      <c r="H2" s="234"/>
      <c r="I2" s="234"/>
      <c r="J2" s="234"/>
      <c r="K2" s="234"/>
      <c r="L2" s="234"/>
      <c r="M2" s="107"/>
      <c r="N2" s="107"/>
      <c r="O2" s="107"/>
      <c r="P2" s="107"/>
      <c r="Q2" s="232" t="s">
        <v>4</v>
      </c>
      <c r="R2" s="232"/>
      <c r="S2" s="235" t="s">
        <v>5</v>
      </c>
      <c r="T2" s="235"/>
      <c r="U2" s="108" t="s">
        <v>6</v>
      </c>
    </row>
    <row r="3" spans="1:27" ht="17.399999999999999" x14ac:dyDescent="0.25">
      <c r="A3" s="233"/>
      <c r="B3" s="232"/>
      <c r="C3" s="235" t="s">
        <v>7</v>
      </c>
      <c r="D3" s="235"/>
      <c r="E3" s="238" t="s">
        <v>8</v>
      </c>
      <c r="F3" s="238"/>
      <c r="G3" s="239" t="s">
        <v>9</v>
      </c>
      <c r="H3" s="239"/>
      <c r="I3" s="80" t="s">
        <v>63</v>
      </c>
      <c r="J3" s="81"/>
      <c r="K3" s="80" t="s">
        <v>64</v>
      </c>
      <c r="L3" s="81"/>
      <c r="M3" s="243" t="s">
        <v>358</v>
      </c>
      <c r="N3" s="239"/>
      <c r="O3" s="240" t="s">
        <v>11</v>
      </c>
      <c r="P3" s="240"/>
      <c r="Q3" s="232" t="s">
        <v>12</v>
      </c>
      <c r="R3" s="233" t="s">
        <v>13</v>
      </c>
      <c r="S3" s="232" t="s">
        <v>12</v>
      </c>
      <c r="T3" s="237" t="s">
        <v>14</v>
      </c>
      <c r="U3" s="108"/>
    </row>
    <row r="4" spans="1:27" ht="34.799999999999997" x14ac:dyDescent="0.25">
      <c r="A4" s="233"/>
      <c r="B4" s="232"/>
      <c r="C4" s="96" t="s">
        <v>12</v>
      </c>
      <c r="D4" s="97" t="s">
        <v>13</v>
      </c>
      <c r="E4" s="96" t="s">
        <v>12</v>
      </c>
      <c r="F4" s="97" t="s">
        <v>13</v>
      </c>
      <c r="G4" s="96" t="s">
        <v>12</v>
      </c>
      <c r="H4" s="97" t="s">
        <v>13</v>
      </c>
      <c r="I4" s="5" t="s">
        <v>12</v>
      </c>
      <c r="J4" s="3" t="s">
        <v>13</v>
      </c>
      <c r="K4" s="5" t="s">
        <v>12</v>
      </c>
      <c r="L4" s="3" t="s">
        <v>13</v>
      </c>
      <c r="M4" s="96" t="s">
        <v>12</v>
      </c>
      <c r="N4" s="97" t="s">
        <v>13</v>
      </c>
      <c r="O4" s="98" t="s">
        <v>12</v>
      </c>
      <c r="P4" s="97" t="s">
        <v>13</v>
      </c>
      <c r="Q4" s="232"/>
      <c r="R4" s="233"/>
      <c r="S4" s="232"/>
      <c r="T4" s="237"/>
      <c r="U4" s="108"/>
    </row>
    <row r="5" spans="1:27" ht="86.4" x14ac:dyDescent="0.25">
      <c r="A5" s="10" t="s">
        <v>160</v>
      </c>
      <c r="B5" s="8" t="s">
        <v>98</v>
      </c>
      <c r="C5" s="3" t="s">
        <v>94</v>
      </c>
      <c r="D5" s="9">
        <v>11.7</v>
      </c>
      <c r="E5" s="10" t="s">
        <v>19</v>
      </c>
      <c r="F5" s="9">
        <v>0</v>
      </c>
      <c r="G5" s="10" t="s">
        <v>19</v>
      </c>
      <c r="H5" s="9">
        <v>0</v>
      </c>
      <c r="I5" s="9"/>
      <c r="J5" s="9"/>
      <c r="K5" s="3" t="s">
        <v>74</v>
      </c>
      <c r="L5" s="9">
        <v>18.8</v>
      </c>
      <c r="M5" s="10" t="s">
        <v>19</v>
      </c>
      <c r="N5" s="9">
        <v>0</v>
      </c>
      <c r="O5" s="8" t="s">
        <v>20</v>
      </c>
      <c r="P5" s="9">
        <v>30.5</v>
      </c>
      <c r="Q5" s="3" t="s">
        <v>21</v>
      </c>
      <c r="R5" s="9">
        <v>3.3</v>
      </c>
      <c r="S5" s="8" t="s">
        <v>20</v>
      </c>
      <c r="T5" s="9">
        <v>7.2</v>
      </c>
      <c r="U5" s="3" t="s">
        <v>68</v>
      </c>
      <c r="AA5" s="95"/>
    </row>
    <row r="6" spans="1:27" ht="86.4" x14ac:dyDescent="0.25">
      <c r="A6" s="10" t="s">
        <v>161</v>
      </c>
      <c r="B6" s="8" t="s">
        <v>162</v>
      </c>
      <c r="C6" s="3" t="s">
        <v>94</v>
      </c>
      <c r="D6" s="9">
        <v>26.2</v>
      </c>
      <c r="E6" s="10" t="s">
        <v>19</v>
      </c>
      <c r="F6" s="9">
        <v>0</v>
      </c>
      <c r="G6" s="10" t="s">
        <v>19</v>
      </c>
      <c r="H6" s="9">
        <v>0</v>
      </c>
      <c r="I6" s="9"/>
      <c r="J6" s="9"/>
      <c r="K6" s="3" t="s">
        <v>74</v>
      </c>
      <c r="L6" s="9">
        <v>23.8</v>
      </c>
      <c r="M6" s="10" t="s">
        <v>19</v>
      </c>
      <c r="N6" s="9">
        <v>0</v>
      </c>
      <c r="O6" s="8" t="s">
        <v>20</v>
      </c>
      <c r="P6" s="9">
        <v>50</v>
      </c>
      <c r="Q6" s="3" t="s">
        <v>21</v>
      </c>
      <c r="R6" s="9">
        <v>8.6999999999999993</v>
      </c>
      <c r="S6" s="8" t="s">
        <v>20</v>
      </c>
      <c r="T6" s="9">
        <v>11.9</v>
      </c>
      <c r="U6" s="3" t="s">
        <v>68</v>
      </c>
      <c r="AA6" s="95"/>
    </row>
    <row r="7" spans="1:27" ht="86.4" x14ac:dyDescent="0.25">
      <c r="A7" s="10" t="s">
        <v>163</v>
      </c>
      <c r="B7" s="10" t="s">
        <v>164</v>
      </c>
      <c r="C7" s="10" t="s">
        <v>19</v>
      </c>
      <c r="D7" s="9">
        <v>0</v>
      </c>
      <c r="E7" s="10" t="s">
        <v>19</v>
      </c>
      <c r="F7" s="9">
        <v>0</v>
      </c>
      <c r="G7" s="10" t="s">
        <v>19</v>
      </c>
      <c r="H7" s="9">
        <v>0</v>
      </c>
      <c r="I7" s="9"/>
      <c r="J7" s="9"/>
      <c r="K7" s="10" t="s">
        <v>19</v>
      </c>
      <c r="L7" s="9">
        <v>0</v>
      </c>
      <c r="M7" s="3" t="s">
        <v>165</v>
      </c>
      <c r="N7" s="9">
        <v>42.1</v>
      </c>
      <c r="O7" s="8" t="s">
        <v>20</v>
      </c>
      <c r="P7" s="9">
        <v>42.1</v>
      </c>
      <c r="Q7" s="3" t="s">
        <v>21</v>
      </c>
      <c r="R7" s="9">
        <v>8.3000000000000007</v>
      </c>
      <c r="S7" s="8" t="s">
        <v>20</v>
      </c>
      <c r="T7" s="9">
        <v>10.7</v>
      </c>
      <c r="U7" s="3" t="s">
        <v>68</v>
      </c>
      <c r="AA7" s="95"/>
    </row>
    <row r="8" spans="1:27" ht="86.4" x14ac:dyDescent="0.25">
      <c r="A8" s="10" t="s">
        <v>166</v>
      </c>
      <c r="B8" s="10" t="s">
        <v>66</v>
      </c>
      <c r="C8" s="10" t="s">
        <v>19</v>
      </c>
      <c r="D8" s="9">
        <v>0</v>
      </c>
      <c r="E8" s="10" t="s">
        <v>19</v>
      </c>
      <c r="F8" s="9">
        <v>0</v>
      </c>
      <c r="G8" s="10" t="s">
        <v>19</v>
      </c>
      <c r="H8" s="9">
        <v>0</v>
      </c>
      <c r="I8" s="9"/>
      <c r="J8" s="9"/>
      <c r="K8" s="10" t="s">
        <v>19</v>
      </c>
      <c r="L8" s="9">
        <v>0</v>
      </c>
      <c r="M8" s="3" t="s">
        <v>165</v>
      </c>
      <c r="N8" s="9">
        <v>19.7</v>
      </c>
      <c r="O8" s="8" t="s">
        <v>20</v>
      </c>
      <c r="P8" s="9">
        <v>19.7</v>
      </c>
      <c r="Q8" s="3" t="s">
        <v>21</v>
      </c>
      <c r="R8" s="9">
        <v>2.2000000000000002</v>
      </c>
      <c r="S8" s="8" t="s">
        <v>20</v>
      </c>
      <c r="T8" s="9">
        <v>5.0999999999999996</v>
      </c>
      <c r="U8" s="10" t="s">
        <v>19</v>
      </c>
      <c r="AA8" s="95"/>
    </row>
    <row r="9" spans="1:27" ht="86.4" x14ac:dyDescent="0.25">
      <c r="A9" s="10" t="s">
        <v>167</v>
      </c>
      <c r="B9" s="8" t="s">
        <v>102</v>
      </c>
      <c r="C9" s="10" t="s">
        <v>19</v>
      </c>
      <c r="D9" s="9">
        <v>0</v>
      </c>
      <c r="E9" s="10" t="s">
        <v>19</v>
      </c>
      <c r="F9" s="9">
        <v>0</v>
      </c>
      <c r="G9" s="10" t="s">
        <v>19</v>
      </c>
      <c r="H9" s="9">
        <v>0</v>
      </c>
      <c r="I9" s="9"/>
      <c r="J9" s="9"/>
      <c r="K9" s="3" t="s">
        <v>74</v>
      </c>
      <c r="L9" s="9">
        <v>26.5</v>
      </c>
      <c r="M9" s="10" t="s">
        <v>19</v>
      </c>
      <c r="N9" s="9">
        <v>0</v>
      </c>
      <c r="O9" s="8" t="s">
        <v>20</v>
      </c>
      <c r="P9" s="9">
        <v>26.5</v>
      </c>
      <c r="Q9" s="3" t="s">
        <v>21</v>
      </c>
      <c r="R9" s="9">
        <v>3.3</v>
      </c>
      <c r="S9" s="8" t="s">
        <v>20</v>
      </c>
      <c r="T9" s="9">
        <v>6.3</v>
      </c>
      <c r="U9" s="3" t="s">
        <v>68</v>
      </c>
      <c r="AA9" s="95"/>
    </row>
    <row r="10" spans="1:27" ht="86.4" x14ac:dyDescent="0.25">
      <c r="A10" s="10" t="s">
        <v>168</v>
      </c>
      <c r="B10" s="8" t="s">
        <v>169</v>
      </c>
      <c r="C10" s="3" t="s">
        <v>67</v>
      </c>
      <c r="D10" s="9">
        <v>8.3000000000000007</v>
      </c>
      <c r="E10" s="10" t="s">
        <v>19</v>
      </c>
      <c r="F10" s="9">
        <v>0</v>
      </c>
      <c r="G10" s="10" t="s">
        <v>19</v>
      </c>
      <c r="H10" s="9">
        <v>0</v>
      </c>
      <c r="I10" s="9"/>
      <c r="J10" s="9"/>
      <c r="K10" s="3" t="s">
        <v>71</v>
      </c>
      <c r="L10" s="9">
        <v>40</v>
      </c>
      <c r="M10" s="10" t="s">
        <v>19</v>
      </c>
      <c r="N10" s="9">
        <v>0</v>
      </c>
      <c r="O10" s="8" t="s">
        <v>20</v>
      </c>
      <c r="P10" s="9">
        <v>48.4</v>
      </c>
      <c r="Q10" s="3" t="s">
        <v>21</v>
      </c>
      <c r="R10" s="9">
        <v>10.199999999999999</v>
      </c>
      <c r="S10" s="8" t="s">
        <v>20</v>
      </c>
      <c r="T10" s="9">
        <v>12.8</v>
      </c>
      <c r="U10" s="3" t="s">
        <v>68</v>
      </c>
      <c r="AA10" s="95"/>
    </row>
    <row r="11" spans="1:27" ht="86.4" x14ac:dyDescent="0.25">
      <c r="A11" s="10" t="s">
        <v>170</v>
      </c>
      <c r="B11" s="8" t="s">
        <v>171</v>
      </c>
      <c r="C11" s="3" t="s">
        <v>94</v>
      </c>
      <c r="D11" s="9">
        <v>10.6</v>
      </c>
      <c r="E11" s="10" t="s">
        <v>19</v>
      </c>
      <c r="F11" s="9">
        <v>0</v>
      </c>
      <c r="G11" s="10" t="s">
        <v>19</v>
      </c>
      <c r="H11" s="9">
        <v>0</v>
      </c>
      <c r="I11" s="9"/>
      <c r="J11" s="9"/>
      <c r="K11" s="3" t="s">
        <v>74</v>
      </c>
      <c r="L11" s="9">
        <v>35.299999999999997</v>
      </c>
      <c r="M11" s="10" t="s">
        <v>19</v>
      </c>
      <c r="N11" s="9">
        <v>0</v>
      </c>
      <c r="O11" s="8" t="s">
        <v>20</v>
      </c>
      <c r="P11" s="9">
        <v>45.9</v>
      </c>
      <c r="Q11" s="3" t="s">
        <v>21</v>
      </c>
      <c r="R11" s="9">
        <v>13.9</v>
      </c>
      <c r="S11" s="8" t="s">
        <v>20</v>
      </c>
      <c r="T11" s="9">
        <v>13.2</v>
      </c>
      <c r="U11" s="3" t="s">
        <v>68</v>
      </c>
      <c r="AA11" s="95"/>
    </row>
    <row r="12" spans="1:27" ht="86.4" x14ac:dyDescent="0.25">
      <c r="A12" s="17" t="s">
        <v>172</v>
      </c>
      <c r="B12" s="22" t="s">
        <v>173</v>
      </c>
      <c r="C12" s="1" t="s">
        <v>94</v>
      </c>
      <c r="D12" s="21">
        <v>10.8</v>
      </c>
      <c r="E12" s="17" t="s">
        <v>19</v>
      </c>
      <c r="F12" s="21">
        <v>0</v>
      </c>
      <c r="G12" s="17" t="s">
        <v>19</v>
      </c>
      <c r="H12" s="21">
        <v>0</v>
      </c>
      <c r="I12" s="85"/>
      <c r="J12" s="85"/>
      <c r="K12" s="1" t="s">
        <v>74</v>
      </c>
      <c r="L12" s="19">
        <v>34.200000000000003</v>
      </c>
      <c r="M12" s="17" t="s">
        <v>19</v>
      </c>
      <c r="N12" s="21">
        <v>0</v>
      </c>
      <c r="O12" s="22" t="s">
        <v>20</v>
      </c>
      <c r="P12" s="19">
        <v>45</v>
      </c>
      <c r="Q12" s="1" t="s">
        <v>21</v>
      </c>
      <c r="R12" s="21">
        <v>12.2</v>
      </c>
      <c r="S12" s="22" t="s">
        <v>20</v>
      </c>
      <c r="T12" s="21">
        <v>12.6</v>
      </c>
      <c r="U12" s="1" t="s">
        <v>68</v>
      </c>
      <c r="AA12" s="95"/>
    </row>
    <row r="13" spans="1:27" ht="86.4" x14ac:dyDescent="0.25">
      <c r="A13" s="37" t="s">
        <v>174</v>
      </c>
      <c r="B13" s="38" t="s">
        <v>175</v>
      </c>
      <c r="C13" s="1" t="s">
        <v>94</v>
      </c>
      <c r="D13" s="45">
        <v>15.4</v>
      </c>
      <c r="E13" s="37" t="s">
        <v>19</v>
      </c>
      <c r="F13" s="45">
        <v>0</v>
      </c>
      <c r="G13" s="37" t="s">
        <v>19</v>
      </c>
      <c r="H13" s="45">
        <v>0</v>
      </c>
      <c r="I13" s="90"/>
      <c r="J13" s="90"/>
      <c r="K13" s="1" t="s">
        <v>74</v>
      </c>
      <c r="L13" s="45">
        <v>51.8</v>
      </c>
      <c r="M13" s="37" t="s">
        <v>19</v>
      </c>
      <c r="N13" s="45">
        <v>0</v>
      </c>
      <c r="O13" s="38" t="s">
        <v>20</v>
      </c>
      <c r="P13" s="45">
        <v>67.2</v>
      </c>
      <c r="Q13" s="1" t="s">
        <v>21</v>
      </c>
      <c r="R13" s="45">
        <v>21.4</v>
      </c>
      <c r="S13" s="38" t="s">
        <v>20</v>
      </c>
      <c r="T13" s="45">
        <v>19.5</v>
      </c>
      <c r="U13" s="1" t="s">
        <v>68</v>
      </c>
      <c r="AA13" s="95"/>
    </row>
    <row r="14" spans="1:27" ht="144" x14ac:dyDescent="0.25">
      <c r="A14" s="17" t="s">
        <v>176</v>
      </c>
      <c r="B14" s="17" t="s">
        <v>32</v>
      </c>
      <c r="C14" s="1" t="s">
        <v>94</v>
      </c>
      <c r="D14" s="21">
        <v>41.9</v>
      </c>
      <c r="E14" s="1" t="s">
        <v>74</v>
      </c>
      <c r="F14" s="21">
        <v>7</v>
      </c>
      <c r="G14" s="1" t="s">
        <v>74</v>
      </c>
      <c r="H14" s="21">
        <v>4.2</v>
      </c>
      <c r="I14" s="85"/>
      <c r="J14" s="85"/>
      <c r="K14" s="1" t="s">
        <v>74</v>
      </c>
      <c r="L14" s="19">
        <v>150.69999999999999</v>
      </c>
      <c r="M14" s="17" t="s">
        <v>19</v>
      </c>
      <c r="N14" s="21">
        <v>0</v>
      </c>
      <c r="O14" s="22" t="s">
        <v>20</v>
      </c>
      <c r="P14" s="19">
        <v>203.8</v>
      </c>
      <c r="Q14" s="1" t="s">
        <v>21</v>
      </c>
      <c r="R14" s="21">
        <v>58.8</v>
      </c>
      <c r="S14" s="22" t="s">
        <v>20</v>
      </c>
      <c r="T14" s="21">
        <v>43.1</v>
      </c>
      <c r="U14" s="17" t="s">
        <v>19</v>
      </c>
      <c r="AA14" s="95"/>
    </row>
  </sheetData>
  <mergeCells count="15">
    <mergeCell ref="A1:U1"/>
    <mergeCell ref="A2:A4"/>
    <mergeCell ref="B2:B4"/>
    <mergeCell ref="C2:L2"/>
    <mergeCell ref="Q2:R2"/>
    <mergeCell ref="S2:T2"/>
    <mergeCell ref="C3:D3"/>
    <mergeCell ref="E3:F3"/>
    <mergeCell ref="G3:H3"/>
    <mergeCell ref="M3:N3"/>
    <mergeCell ref="O3:P3"/>
    <mergeCell ref="Q3:Q4"/>
    <mergeCell ref="R3:R4"/>
    <mergeCell ref="S3:S4"/>
    <mergeCell ref="T3:T4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AB13"/>
  <sheetViews>
    <sheetView topLeftCell="A13" zoomScale="55" zoomScaleNormal="55" workbookViewId="0">
      <selection sqref="A1:U4"/>
    </sheetView>
  </sheetViews>
  <sheetFormatPr defaultRowHeight="13.2" x14ac:dyDescent="0.25"/>
  <cols>
    <col min="1" max="1" width="6.44140625" customWidth="1"/>
    <col min="2" max="2" width="23.33203125" customWidth="1"/>
    <col min="3" max="3" width="42.109375" customWidth="1"/>
    <col min="4" max="4" width="13.109375" customWidth="1"/>
    <col min="5" max="5" width="26.109375" customWidth="1"/>
    <col min="6" max="6" width="13.109375" customWidth="1"/>
    <col min="7" max="7" width="50.44140625" customWidth="1"/>
    <col min="8" max="8" width="13.109375" customWidth="1"/>
    <col min="9" max="9" width="26.109375" customWidth="1"/>
    <col min="10" max="10" width="13.109375" customWidth="1"/>
    <col min="11" max="11" width="48.44140625" customWidth="1"/>
    <col min="12" max="12" width="13.109375" customWidth="1"/>
    <col min="13" max="13" width="30.44140625" customWidth="1"/>
    <col min="14" max="14" width="13.109375" customWidth="1"/>
    <col min="15" max="15" width="19.77734375" customWidth="1"/>
    <col min="16" max="16" width="12.77734375" customWidth="1"/>
    <col min="17" max="17" width="24" customWidth="1"/>
    <col min="18" max="18" width="12.109375" customWidth="1"/>
    <col min="19" max="19" width="16.109375" customWidth="1"/>
    <col min="20" max="20" width="12.77734375" customWidth="1"/>
    <col min="21" max="21" width="26.6640625" customWidth="1"/>
  </cols>
  <sheetData>
    <row r="1" spans="1:28" ht="19.5" customHeight="1" x14ac:dyDescent="0.25">
      <c r="A1" s="241" t="s">
        <v>0</v>
      </c>
      <c r="B1" s="242"/>
      <c r="C1" s="242"/>
      <c r="D1" s="242"/>
      <c r="E1" s="242"/>
      <c r="F1" s="242"/>
      <c r="G1" s="242"/>
      <c r="H1" s="242"/>
      <c r="I1" s="242"/>
      <c r="J1" s="242"/>
      <c r="K1" s="242"/>
      <c r="L1" s="242"/>
      <c r="M1" s="242"/>
      <c r="N1" s="242"/>
      <c r="O1" s="242"/>
      <c r="P1" s="242"/>
      <c r="Q1" s="242"/>
      <c r="R1" s="242"/>
      <c r="S1" s="242"/>
      <c r="T1" s="242"/>
      <c r="U1" s="242"/>
    </row>
    <row r="2" spans="1:28" ht="17.399999999999999" x14ac:dyDescent="0.25">
      <c r="A2" s="233" t="s">
        <v>1</v>
      </c>
      <c r="B2" s="232" t="s">
        <v>2</v>
      </c>
      <c r="C2" s="234" t="s">
        <v>3</v>
      </c>
      <c r="D2" s="234"/>
      <c r="E2" s="234"/>
      <c r="F2" s="234"/>
      <c r="G2" s="234"/>
      <c r="H2" s="234"/>
      <c r="I2" s="234"/>
      <c r="J2" s="234"/>
      <c r="K2" s="234"/>
      <c r="L2" s="234"/>
      <c r="M2" s="107"/>
      <c r="N2" s="107"/>
      <c r="O2" s="107"/>
      <c r="P2" s="107"/>
      <c r="Q2" s="232" t="s">
        <v>4</v>
      </c>
      <c r="R2" s="232"/>
      <c r="S2" s="235" t="s">
        <v>5</v>
      </c>
      <c r="T2" s="235"/>
      <c r="U2" s="108" t="s">
        <v>6</v>
      </c>
    </row>
    <row r="3" spans="1:28" ht="17.399999999999999" x14ac:dyDescent="0.25">
      <c r="A3" s="233"/>
      <c r="B3" s="232"/>
      <c r="C3" s="235" t="s">
        <v>7</v>
      </c>
      <c r="D3" s="235"/>
      <c r="E3" s="238" t="s">
        <v>8</v>
      </c>
      <c r="F3" s="238"/>
      <c r="G3" s="239" t="s">
        <v>9</v>
      </c>
      <c r="H3" s="239"/>
      <c r="I3" s="80" t="s">
        <v>63</v>
      </c>
      <c r="J3" s="81"/>
      <c r="K3" s="80" t="s">
        <v>64</v>
      </c>
      <c r="L3" s="81"/>
      <c r="M3" s="243" t="s">
        <v>358</v>
      </c>
      <c r="N3" s="239"/>
      <c r="O3" s="240" t="s">
        <v>11</v>
      </c>
      <c r="P3" s="240"/>
      <c r="Q3" s="232" t="s">
        <v>12</v>
      </c>
      <c r="R3" s="233" t="s">
        <v>13</v>
      </c>
      <c r="S3" s="232" t="s">
        <v>12</v>
      </c>
      <c r="T3" s="237" t="s">
        <v>14</v>
      </c>
      <c r="U3" s="108"/>
    </row>
    <row r="4" spans="1:28" ht="34.799999999999997" x14ac:dyDescent="0.25">
      <c r="A4" s="233"/>
      <c r="B4" s="232"/>
      <c r="C4" s="96" t="s">
        <v>12</v>
      </c>
      <c r="D4" s="97" t="s">
        <v>13</v>
      </c>
      <c r="E4" s="96" t="s">
        <v>12</v>
      </c>
      <c r="F4" s="97" t="s">
        <v>13</v>
      </c>
      <c r="G4" s="96" t="s">
        <v>12</v>
      </c>
      <c r="H4" s="97" t="s">
        <v>13</v>
      </c>
      <c r="I4" s="5" t="s">
        <v>12</v>
      </c>
      <c r="J4" s="3" t="s">
        <v>13</v>
      </c>
      <c r="K4" s="5" t="s">
        <v>12</v>
      </c>
      <c r="L4" s="3" t="s">
        <v>13</v>
      </c>
      <c r="M4" s="96" t="s">
        <v>12</v>
      </c>
      <c r="N4" s="97" t="s">
        <v>13</v>
      </c>
      <c r="O4" s="98" t="s">
        <v>12</v>
      </c>
      <c r="P4" s="97" t="s">
        <v>13</v>
      </c>
      <c r="Q4" s="232"/>
      <c r="R4" s="233"/>
      <c r="S4" s="232"/>
      <c r="T4" s="237"/>
      <c r="U4" s="108"/>
    </row>
    <row r="5" spans="1:28" ht="86.4" x14ac:dyDescent="0.25">
      <c r="A5" s="10" t="s">
        <v>177</v>
      </c>
      <c r="B5" s="10" t="s">
        <v>66</v>
      </c>
      <c r="C5" s="3" t="s">
        <v>67</v>
      </c>
      <c r="D5" s="9">
        <v>0.1</v>
      </c>
      <c r="E5" s="9"/>
      <c r="F5" s="9"/>
      <c r="G5" s="10" t="s">
        <v>19</v>
      </c>
      <c r="H5" s="9">
        <v>0</v>
      </c>
      <c r="I5" s="9"/>
      <c r="J5" s="9"/>
      <c r="K5" s="10" t="s">
        <v>19</v>
      </c>
      <c r="L5" s="9">
        <v>0</v>
      </c>
      <c r="M5" s="3" t="s">
        <v>165</v>
      </c>
      <c r="N5" s="9">
        <v>37</v>
      </c>
      <c r="O5" s="8" t="s">
        <v>20</v>
      </c>
      <c r="P5" s="9">
        <v>37.1</v>
      </c>
      <c r="Q5" s="8" t="s">
        <v>178</v>
      </c>
      <c r="R5" s="9">
        <v>27.4</v>
      </c>
      <c r="S5" s="8" t="s">
        <v>20</v>
      </c>
      <c r="T5" s="9">
        <v>10.6</v>
      </c>
      <c r="U5" s="3" t="s">
        <v>68</v>
      </c>
      <c r="AB5" s="95"/>
    </row>
    <row r="6" spans="1:28" ht="115.2" x14ac:dyDescent="0.25">
      <c r="A6" s="10" t="s">
        <v>179</v>
      </c>
      <c r="B6" s="8" t="s">
        <v>180</v>
      </c>
      <c r="C6" s="3" t="s">
        <v>17</v>
      </c>
      <c r="D6" s="9">
        <v>62.4</v>
      </c>
      <c r="E6" s="9"/>
      <c r="F6" s="9"/>
      <c r="G6" s="3" t="s">
        <v>18</v>
      </c>
      <c r="H6" s="9">
        <v>43</v>
      </c>
      <c r="I6" s="9"/>
      <c r="J6" s="9"/>
      <c r="K6" s="3" t="s">
        <v>18</v>
      </c>
      <c r="L6" s="9">
        <v>6.7</v>
      </c>
      <c r="M6" s="10" t="s">
        <v>19</v>
      </c>
      <c r="N6" s="9">
        <v>0</v>
      </c>
      <c r="O6" s="8" t="s">
        <v>20</v>
      </c>
      <c r="P6" s="9">
        <v>112.1</v>
      </c>
      <c r="Q6" s="8" t="s">
        <v>178</v>
      </c>
      <c r="R6" s="9">
        <v>92.5</v>
      </c>
      <c r="S6" s="8" t="s">
        <v>20</v>
      </c>
      <c r="T6" s="9">
        <v>31.1</v>
      </c>
      <c r="U6" s="10" t="s">
        <v>19</v>
      </c>
      <c r="AB6" s="95"/>
    </row>
    <row r="7" spans="1:28" ht="115.2" x14ac:dyDescent="0.25">
      <c r="A7" s="10" t="s">
        <v>181</v>
      </c>
      <c r="B7" s="8" t="s">
        <v>182</v>
      </c>
      <c r="C7" s="3" t="s">
        <v>17</v>
      </c>
      <c r="D7" s="9">
        <v>25.4</v>
      </c>
      <c r="E7" s="9"/>
      <c r="F7" s="9"/>
      <c r="G7" s="3" t="s">
        <v>18</v>
      </c>
      <c r="H7" s="9">
        <v>29.6</v>
      </c>
      <c r="I7" s="9"/>
      <c r="J7" s="9"/>
      <c r="K7" s="10" t="s">
        <v>19</v>
      </c>
      <c r="L7" s="9">
        <v>0</v>
      </c>
      <c r="M7" s="10" t="s">
        <v>19</v>
      </c>
      <c r="N7" s="9">
        <v>0</v>
      </c>
      <c r="O7" s="8" t="s">
        <v>20</v>
      </c>
      <c r="P7" s="9">
        <v>55</v>
      </c>
      <c r="Q7" s="8" t="s">
        <v>178</v>
      </c>
      <c r="R7" s="9">
        <v>21.6</v>
      </c>
      <c r="S7" s="8" t="s">
        <v>20</v>
      </c>
      <c r="T7" s="9">
        <v>15.1</v>
      </c>
      <c r="U7" s="10" t="s">
        <v>19</v>
      </c>
      <c r="AB7" s="95"/>
    </row>
    <row r="8" spans="1:28" ht="86.4" x14ac:dyDescent="0.25">
      <c r="A8" s="10" t="s">
        <v>183</v>
      </c>
      <c r="B8" s="8" t="s">
        <v>184</v>
      </c>
      <c r="C8" s="10" t="s">
        <v>19</v>
      </c>
      <c r="D8" s="9">
        <v>0</v>
      </c>
      <c r="E8" s="9"/>
      <c r="F8" s="9"/>
      <c r="G8" s="3" t="s">
        <v>74</v>
      </c>
      <c r="H8" s="9">
        <v>8.8000000000000007</v>
      </c>
      <c r="I8" s="9"/>
      <c r="J8" s="9"/>
      <c r="K8" s="3" t="s">
        <v>74</v>
      </c>
      <c r="L8" s="9">
        <v>28.9</v>
      </c>
      <c r="M8" s="10" t="s">
        <v>19</v>
      </c>
      <c r="N8" s="9">
        <v>0</v>
      </c>
      <c r="O8" s="8" t="s">
        <v>20</v>
      </c>
      <c r="P8" s="9">
        <v>37.700000000000003</v>
      </c>
      <c r="Q8" s="8" t="s">
        <v>178</v>
      </c>
      <c r="R8" s="9">
        <v>6.2</v>
      </c>
      <c r="S8" s="8" t="s">
        <v>20</v>
      </c>
      <c r="T8" s="9">
        <v>8.9</v>
      </c>
      <c r="U8" s="3" t="s">
        <v>68</v>
      </c>
      <c r="AB8" s="95"/>
    </row>
    <row r="9" spans="1:28" ht="57.6" x14ac:dyDescent="0.25">
      <c r="A9" s="10" t="s">
        <v>185</v>
      </c>
      <c r="B9" s="10" t="s">
        <v>66</v>
      </c>
      <c r="C9" s="10" t="s">
        <v>19</v>
      </c>
      <c r="D9" s="9">
        <v>0</v>
      </c>
      <c r="E9" s="9"/>
      <c r="F9" s="9"/>
      <c r="G9" s="10" t="s">
        <v>19</v>
      </c>
      <c r="H9" s="9">
        <v>0</v>
      </c>
      <c r="I9" s="9"/>
      <c r="J9" s="9"/>
      <c r="K9" s="10" t="s">
        <v>19</v>
      </c>
      <c r="L9" s="9">
        <v>0</v>
      </c>
      <c r="M9" s="3" t="s">
        <v>165</v>
      </c>
      <c r="N9" s="9">
        <v>19.600000000000001</v>
      </c>
      <c r="O9" s="8" t="s">
        <v>20</v>
      </c>
      <c r="P9" s="9">
        <v>19.600000000000001</v>
      </c>
      <c r="Q9" s="8" t="s">
        <v>178</v>
      </c>
      <c r="R9" s="9">
        <v>10.9</v>
      </c>
      <c r="S9" s="8" t="s">
        <v>20</v>
      </c>
      <c r="T9" s="9">
        <v>8.6999999999999993</v>
      </c>
      <c r="U9" s="3" t="s">
        <v>68</v>
      </c>
      <c r="AB9" s="95"/>
    </row>
    <row r="10" spans="1:28" ht="115.2" x14ac:dyDescent="0.25">
      <c r="A10" s="10" t="s">
        <v>186</v>
      </c>
      <c r="B10" s="8" t="s">
        <v>187</v>
      </c>
      <c r="C10" s="3" t="s">
        <v>17</v>
      </c>
      <c r="D10" s="9">
        <v>45.4</v>
      </c>
      <c r="E10" s="9"/>
      <c r="F10" s="9"/>
      <c r="G10" s="3" t="s">
        <v>18</v>
      </c>
      <c r="H10" s="9">
        <v>6.4</v>
      </c>
      <c r="I10" s="9"/>
      <c r="J10" s="9"/>
      <c r="K10" s="3" t="s">
        <v>18</v>
      </c>
      <c r="L10" s="9">
        <v>38.299999999999997</v>
      </c>
      <c r="M10" s="10" t="s">
        <v>19</v>
      </c>
      <c r="N10" s="9">
        <v>0</v>
      </c>
      <c r="O10" s="8" t="s">
        <v>20</v>
      </c>
      <c r="P10" s="9">
        <v>90</v>
      </c>
      <c r="Q10" s="8" t="s">
        <v>178</v>
      </c>
      <c r="R10" s="9">
        <v>24</v>
      </c>
      <c r="S10" s="8" t="s">
        <v>20</v>
      </c>
      <c r="T10" s="9">
        <v>20.8</v>
      </c>
      <c r="U10" s="10" t="s">
        <v>19</v>
      </c>
      <c r="AB10" s="95"/>
    </row>
    <row r="11" spans="1:28" ht="115.2" x14ac:dyDescent="0.25">
      <c r="A11" s="17" t="s">
        <v>188</v>
      </c>
      <c r="B11" s="17" t="s">
        <v>189</v>
      </c>
      <c r="C11" s="1" t="s">
        <v>17</v>
      </c>
      <c r="D11" s="21">
        <v>0.1</v>
      </c>
      <c r="E11" s="85"/>
      <c r="F11" s="85"/>
      <c r="G11" s="1" t="s">
        <v>18</v>
      </c>
      <c r="H11" s="21">
        <v>5.2</v>
      </c>
      <c r="I11" s="85"/>
      <c r="J11" s="85"/>
      <c r="K11" s="1" t="s">
        <v>18</v>
      </c>
      <c r="L11" s="21">
        <v>35</v>
      </c>
      <c r="M11" s="17" t="s">
        <v>19</v>
      </c>
      <c r="N11" s="21">
        <v>0</v>
      </c>
      <c r="O11" s="22" t="s">
        <v>20</v>
      </c>
      <c r="P11" s="19">
        <v>40.200000000000003</v>
      </c>
      <c r="Q11" s="22" t="s">
        <v>178</v>
      </c>
      <c r="R11" s="21">
        <v>6.7</v>
      </c>
      <c r="S11" s="22" t="s">
        <v>20</v>
      </c>
      <c r="T11" s="21">
        <v>9</v>
      </c>
      <c r="U11" s="1" t="s">
        <v>190</v>
      </c>
      <c r="AB11" s="95"/>
    </row>
    <row r="12" spans="1:28" ht="86.4" x14ac:dyDescent="0.25">
      <c r="A12" s="17" t="s">
        <v>191</v>
      </c>
      <c r="B12" s="22" t="s">
        <v>192</v>
      </c>
      <c r="C12" s="1" t="s">
        <v>94</v>
      </c>
      <c r="D12" s="21">
        <v>8.6</v>
      </c>
      <c r="E12" s="85"/>
      <c r="F12" s="85"/>
      <c r="G12" s="17" t="s">
        <v>19</v>
      </c>
      <c r="H12" s="21">
        <v>0</v>
      </c>
      <c r="I12" s="85"/>
      <c r="J12" s="85"/>
      <c r="K12" s="1" t="s">
        <v>74</v>
      </c>
      <c r="L12" s="21">
        <v>79.900000000000006</v>
      </c>
      <c r="M12" s="17" t="s">
        <v>19</v>
      </c>
      <c r="N12" s="21">
        <v>0</v>
      </c>
      <c r="O12" s="22" t="s">
        <v>20</v>
      </c>
      <c r="P12" s="21">
        <v>88.5</v>
      </c>
      <c r="Q12" s="22" t="s">
        <v>178</v>
      </c>
      <c r="R12" s="21">
        <v>29.6</v>
      </c>
      <c r="S12" s="22" t="s">
        <v>20</v>
      </c>
      <c r="T12" s="21">
        <v>21.7</v>
      </c>
      <c r="U12" s="1" t="s">
        <v>68</v>
      </c>
      <c r="AB12" s="95"/>
    </row>
    <row r="13" spans="1:28" ht="115.2" x14ac:dyDescent="0.25">
      <c r="A13" s="17" t="s">
        <v>193</v>
      </c>
      <c r="B13" s="17" t="s">
        <v>194</v>
      </c>
      <c r="C13" s="1" t="s">
        <v>17</v>
      </c>
      <c r="D13" s="19">
        <v>49.4</v>
      </c>
      <c r="E13" s="84"/>
      <c r="F13" s="84"/>
      <c r="G13" s="17" t="s">
        <v>19</v>
      </c>
      <c r="H13" s="21">
        <v>0</v>
      </c>
      <c r="I13" s="85"/>
      <c r="J13" s="85"/>
      <c r="K13" s="1" t="s">
        <v>18</v>
      </c>
      <c r="L13" s="19">
        <v>34.799999999999997</v>
      </c>
      <c r="M13" s="17" t="s">
        <v>19</v>
      </c>
      <c r="N13" s="21">
        <v>0</v>
      </c>
      <c r="O13" s="22" t="s">
        <v>20</v>
      </c>
      <c r="P13" s="19">
        <v>84.2</v>
      </c>
      <c r="Q13" s="22" t="s">
        <v>178</v>
      </c>
      <c r="R13" s="21">
        <v>51.3</v>
      </c>
      <c r="S13" s="22" t="s">
        <v>20</v>
      </c>
      <c r="T13" s="21">
        <v>23.6</v>
      </c>
      <c r="U13" s="17" t="s">
        <v>19</v>
      </c>
      <c r="AB13" s="95"/>
    </row>
  </sheetData>
  <mergeCells count="15">
    <mergeCell ref="A1:U1"/>
    <mergeCell ref="A2:A4"/>
    <mergeCell ref="B2:B4"/>
    <mergeCell ref="C2:L2"/>
    <mergeCell ref="Q2:R2"/>
    <mergeCell ref="S2:T2"/>
    <mergeCell ref="C3:D3"/>
    <mergeCell ref="E3:F3"/>
    <mergeCell ref="G3:H3"/>
    <mergeCell ref="M3:N3"/>
    <mergeCell ref="O3:P3"/>
    <mergeCell ref="Q3:Q4"/>
    <mergeCell ref="R3:R4"/>
    <mergeCell ref="S3:S4"/>
    <mergeCell ref="T3:T4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AJ12"/>
  <sheetViews>
    <sheetView topLeftCell="A10" zoomScale="55" zoomScaleNormal="55" workbookViewId="0">
      <selection sqref="A1:U4"/>
    </sheetView>
  </sheetViews>
  <sheetFormatPr defaultRowHeight="13.2" x14ac:dyDescent="0.25"/>
  <cols>
    <col min="1" max="1" width="6.44140625" customWidth="1"/>
    <col min="2" max="2" width="23.33203125" customWidth="1"/>
    <col min="3" max="3" width="42.109375" customWidth="1"/>
    <col min="4" max="4" width="13.109375" customWidth="1"/>
    <col min="5" max="5" width="26.109375" customWidth="1"/>
    <col min="6" max="6" width="13.109375" customWidth="1"/>
    <col min="7" max="7" width="50.44140625" customWidth="1"/>
    <col min="8" max="8" width="13.109375" customWidth="1"/>
    <col min="9" max="9" width="26.109375" customWidth="1"/>
    <col min="10" max="10" width="13.109375" customWidth="1"/>
    <col min="11" max="11" width="48.44140625" customWidth="1"/>
    <col min="12" max="12" width="13.109375" customWidth="1"/>
    <col min="13" max="13" width="30.44140625" customWidth="1"/>
    <col min="14" max="14" width="13.109375" customWidth="1"/>
    <col min="15" max="15" width="19.77734375" customWidth="1"/>
    <col min="16" max="16" width="12.77734375" customWidth="1"/>
    <col min="17" max="17" width="24" customWidth="1"/>
    <col min="18" max="18" width="12.109375" customWidth="1"/>
    <col min="19" max="19" width="16.109375" customWidth="1"/>
    <col min="20" max="20" width="12.77734375" customWidth="1"/>
    <col min="21" max="21" width="26.6640625" customWidth="1"/>
  </cols>
  <sheetData>
    <row r="1" spans="1:36" x14ac:dyDescent="0.25">
      <c r="A1" s="241" t="s">
        <v>0</v>
      </c>
      <c r="B1" s="242"/>
      <c r="C1" s="242"/>
      <c r="D1" s="242"/>
      <c r="E1" s="242"/>
      <c r="F1" s="242"/>
      <c r="G1" s="242"/>
      <c r="H1" s="242"/>
      <c r="I1" s="242"/>
      <c r="J1" s="242"/>
      <c r="K1" s="242"/>
      <c r="L1" s="242"/>
      <c r="M1" s="242"/>
      <c r="N1" s="242"/>
      <c r="O1" s="242"/>
      <c r="P1" s="242"/>
      <c r="Q1" s="242"/>
      <c r="R1" s="242"/>
      <c r="S1" s="242"/>
      <c r="T1" s="242"/>
      <c r="U1" s="242"/>
    </row>
    <row r="2" spans="1:36" ht="17.399999999999999" x14ac:dyDescent="0.25">
      <c r="A2" s="233" t="s">
        <v>1</v>
      </c>
      <c r="B2" s="232" t="s">
        <v>2</v>
      </c>
      <c r="C2" s="234" t="s">
        <v>3</v>
      </c>
      <c r="D2" s="234"/>
      <c r="E2" s="234"/>
      <c r="F2" s="234"/>
      <c r="G2" s="234"/>
      <c r="H2" s="234"/>
      <c r="I2" s="234"/>
      <c r="J2" s="234"/>
      <c r="K2" s="234"/>
      <c r="L2" s="234"/>
      <c r="M2" s="107"/>
      <c r="N2" s="107"/>
      <c r="O2" s="107"/>
      <c r="P2" s="107"/>
      <c r="Q2" s="232" t="s">
        <v>4</v>
      </c>
      <c r="R2" s="232"/>
      <c r="S2" s="235" t="s">
        <v>5</v>
      </c>
      <c r="T2" s="235"/>
      <c r="U2" s="108" t="s">
        <v>6</v>
      </c>
    </row>
    <row r="3" spans="1:36" ht="17.399999999999999" x14ac:dyDescent="0.25">
      <c r="A3" s="233"/>
      <c r="B3" s="232"/>
      <c r="C3" s="235" t="s">
        <v>7</v>
      </c>
      <c r="D3" s="235"/>
      <c r="E3" s="238" t="s">
        <v>8</v>
      </c>
      <c r="F3" s="238"/>
      <c r="G3" s="239" t="s">
        <v>9</v>
      </c>
      <c r="H3" s="239"/>
      <c r="I3" s="80" t="s">
        <v>63</v>
      </c>
      <c r="J3" s="81"/>
      <c r="K3" s="80" t="s">
        <v>64</v>
      </c>
      <c r="L3" s="81"/>
      <c r="M3" s="243" t="s">
        <v>358</v>
      </c>
      <c r="N3" s="239"/>
      <c r="O3" s="240" t="s">
        <v>11</v>
      </c>
      <c r="P3" s="240"/>
      <c r="Q3" s="232" t="s">
        <v>12</v>
      </c>
      <c r="R3" s="233" t="s">
        <v>13</v>
      </c>
      <c r="S3" s="232" t="s">
        <v>12</v>
      </c>
      <c r="T3" s="237" t="s">
        <v>14</v>
      </c>
      <c r="U3" s="108"/>
    </row>
    <row r="4" spans="1:36" ht="34.799999999999997" x14ac:dyDescent="0.25">
      <c r="A4" s="233"/>
      <c r="B4" s="232"/>
      <c r="C4" s="96" t="s">
        <v>12</v>
      </c>
      <c r="D4" s="97" t="s">
        <v>13</v>
      </c>
      <c r="E4" s="96" t="s">
        <v>12</v>
      </c>
      <c r="F4" s="97" t="s">
        <v>13</v>
      </c>
      <c r="G4" s="96" t="s">
        <v>12</v>
      </c>
      <c r="H4" s="97" t="s">
        <v>13</v>
      </c>
      <c r="I4" s="5" t="s">
        <v>12</v>
      </c>
      <c r="J4" s="3" t="s">
        <v>13</v>
      </c>
      <c r="K4" s="5" t="s">
        <v>12</v>
      </c>
      <c r="L4" s="3" t="s">
        <v>13</v>
      </c>
      <c r="M4" s="96" t="s">
        <v>12</v>
      </c>
      <c r="N4" s="97" t="s">
        <v>13</v>
      </c>
      <c r="O4" s="98" t="s">
        <v>12</v>
      </c>
      <c r="P4" s="97" t="s">
        <v>13</v>
      </c>
      <c r="Q4" s="232"/>
      <c r="R4" s="233"/>
      <c r="S4" s="232"/>
      <c r="T4" s="237"/>
      <c r="U4" s="108"/>
    </row>
    <row r="5" spans="1:36" ht="115.2" x14ac:dyDescent="0.25">
      <c r="A5" s="10" t="s">
        <v>195</v>
      </c>
      <c r="B5" s="10" t="s">
        <v>196</v>
      </c>
      <c r="C5" s="3" t="s">
        <v>17</v>
      </c>
      <c r="D5" s="9">
        <v>44.5</v>
      </c>
      <c r="E5" s="9"/>
      <c r="F5" s="9"/>
      <c r="G5" s="3" t="s">
        <v>18</v>
      </c>
      <c r="H5" s="9">
        <v>28.3</v>
      </c>
      <c r="I5" s="9"/>
      <c r="J5" s="9"/>
      <c r="K5" s="3" t="s">
        <v>18</v>
      </c>
      <c r="L5" s="9">
        <v>20.100000000000001</v>
      </c>
      <c r="M5" s="10" t="s">
        <v>19</v>
      </c>
      <c r="N5" s="9">
        <v>0</v>
      </c>
      <c r="O5" s="8" t="s">
        <v>20</v>
      </c>
      <c r="P5" s="9">
        <v>92.9</v>
      </c>
      <c r="Q5" s="8" t="s">
        <v>178</v>
      </c>
      <c r="R5" s="9">
        <v>56.6</v>
      </c>
      <c r="S5" s="8" t="s">
        <v>20</v>
      </c>
      <c r="T5" s="9">
        <v>25</v>
      </c>
      <c r="U5" s="10" t="s">
        <v>19</v>
      </c>
      <c r="AJ5" s="95"/>
    </row>
    <row r="6" spans="1:36" ht="115.2" x14ac:dyDescent="0.25">
      <c r="A6" s="10" t="s">
        <v>197</v>
      </c>
      <c r="B6" s="8" t="s">
        <v>187</v>
      </c>
      <c r="C6" s="3" t="s">
        <v>17</v>
      </c>
      <c r="D6" s="9">
        <v>32.1</v>
      </c>
      <c r="E6" s="9"/>
      <c r="F6" s="9"/>
      <c r="G6" s="3" t="s">
        <v>18</v>
      </c>
      <c r="H6" s="9">
        <v>6.3</v>
      </c>
      <c r="I6" s="9"/>
      <c r="J6" s="9"/>
      <c r="K6" s="3" t="s">
        <v>18</v>
      </c>
      <c r="L6" s="9">
        <v>29</v>
      </c>
      <c r="M6" s="10" t="s">
        <v>19</v>
      </c>
      <c r="N6" s="9">
        <v>0</v>
      </c>
      <c r="O6" s="8" t="s">
        <v>20</v>
      </c>
      <c r="P6" s="9">
        <v>67.400000000000006</v>
      </c>
      <c r="Q6" s="8" t="s">
        <v>178</v>
      </c>
      <c r="R6" s="9">
        <v>18.5</v>
      </c>
      <c r="S6" s="8" t="s">
        <v>20</v>
      </c>
      <c r="T6" s="9">
        <v>15.3</v>
      </c>
      <c r="U6" s="10" t="s">
        <v>19</v>
      </c>
      <c r="AJ6" s="95"/>
    </row>
    <row r="7" spans="1:36" ht="57.6" x14ac:dyDescent="0.25">
      <c r="A7" s="10" t="s">
        <v>198</v>
      </c>
      <c r="B7" s="10" t="s">
        <v>66</v>
      </c>
      <c r="C7" s="10" t="s">
        <v>19</v>
      </c>
      <c r="D7" s="9">
        <v>0</v>
      </c>
      <c r="E7" s="9"/>
      <c r="F7" s="9"/>
      <c r="G7" s="10" t="s">
        <v>19</v>
      </c>
      <c r="H7" s="9">
        <v>0</v>
      </c>
      <c r="I7" s="9"/>
      <c r="J7" s="9"/>
      <c r="K7" s="10" t="s">
        <v>19</v>
      </c>
      <c r="L7" s="9">
        <v>0</v>
      </c>
      <c r="M7" s="3" t="s">
        <v>165</v>
      </c>
      <c r="N7" s="9">
        <v>21.5</v>
      </c>
      <c r="O7" s="8" t="s">
        <v>20</v>
      </c>
      <c r="P7" s="9">
        <v>21.5</v>
      </c>
      <c r="Q7" s="8" t="s">
        <v>178</v>
      </c>
      <c r="R7" s="9">
        <v>4.8</v>
      </c>
      <c r="S7" s="8" t="s">
        <v>20</v>
      </c>
      <c r="T7" s="9">
        <v>6.6</v>
      </c>
      <c r="U7" s="3" t="s">
        <v>68</v>
      </c>
      <c r="AJ7" s="95"/>
    </row>
    <row r="8" spans="1:36" ht="115.2" x14ac:dyDescent="0.25">
      <c r="A8" s="10" t="s">
        <v>199</v>
      </c>
      <c r="B8" s="10" t="s">
        <v>189</v>
      </c>
      <c r="C8" s="3" t="s">
        <v>17</v>
      </c>
      <c r="D8" s="9">
        <v>0.1</v>
      </c>
      <c r="E8" s="9"/>
      <c r="F8" s="9"/>
      <c r="G8" s="3" t="s">
        <v>18</v>
      </c>
      <c r="H8" s="9">
        <v>5.0999999999999996</v>
      </c>
      <c r="I8" s="9"/>
      <c r="J8" s="9"/>
      <c r="K8" s="3" t="s">
        <v>18</v>
      </c>
      <c r="L8" s="9">
        <v>35</v>
      </c>
      <c r="M8" s="10" t="s">
        <v>19</v>
      </c>
      <c r="N8" s="9">
        <v>0</v>
      </c>
      <c r="O8" s="8" t="s">
        <v>20</v>
      </c>
      <c r="P8" s="9">
        <v>40.200000000000003</v>
      </c>
      <c r="Q8" s="8" t="s">
        <v>178</v>
      </c>
      <c r="R8" s="9">
        <v>6.7</v>
      </c>
      <c r="S8" s="8" t="s">
        <v>20</v>
      </c>
      <c r="T8" s="9">
        <v>9</v>
      </c>
      <c r="U8" s="3" t="s">
        <v>190</v>
      </c>
      <c r="AJ8" s="95"/>
    </row>
    <row r="9" spans="1:36" ht="86.4" x14ac:dyDescent="0.25">
      <c r="A9" s="10" t="s">
        <v>200</v>
      </c>
      <c r="B9" s="8" t="s">
        <v>192</v>
      </c>
      <c r="C9" s="3" t="s">
        <v>94</v>
      </c>
      <c r="D9" s="9">
        <v>8.9</v>
      </c>
      <c r="E9" s="9"/>
      <c r="F9" s="9"/>
      <c r="G9" s="10" t="s">
        <v>19</v>
      </c>
      <c r="H9" s="9">
        <v>0</v>
      </c>
      <c r="I9" s="9"/>
      <c r="J9" s="9"/>
      <c r="K9" s="3" t="s">
        <v>74</v>
      </c>
      <c r="L9" s="9">
        <v>80.2</v>
      </c>
      <c r="M9" s="10" t="s">
        <v>19</v>
      </c>
      <c r="N9" s="9">
        <v>0</v>
      </c>
      <c r="O9" s="8" t="s">
        <v>20</v>
      </c>
      <c r="P9" s="9">
        <v>89.1</v>
      </c>
      <c r="Q9" s="8" t="s">
        <v>178</v>
      </c>
      <c r="R9" s="9">
        <v>29.9</v>
      </c>
      <c r="S9" s="8" t="s">
        <v>20</v>
      </c>
      <c r="T9" s="9">
        <v>21.9</v>
      </c>
      <c r="U9" s="3" t="s">
        <v>68</v>
      </c>
      <c r="AJ9" s="95"/>
    </row>
    <row r="10" spans="1:36" ht="115.2" x14ac:dyDescent="0.25">
      <c r="A10" s="10" t="s">
        <v>201</v>
      </c>
      <c r="B10" s="10" t="s">
        <v>194</v>
      </c>
      <c r="C10" s="3" t="s">
        <v>17</v>
      </c>
      <c r="D10" s="9">
        <v>47.9</v>
      </c>
      <c r="E10" s="9"/>
      <c r="F10" s="9"/>
      <c r="G10" s="10" t="s">
        <v>19</v>
      </c>
      <c r="H10" s="9">
        <v>0</v>
      </c>
      <c r="I10" s="9"/>
      <c r="J10" s="9"/>
      <c r="K10" s="3" t="s">
        <v>18</v>
      </c>
      <c r="L10" s="9">
        <v>37.5</v>
      </c>
      <c r="M10" s="10" t="s">
        <v>19</v>
      </c>
      <c r="N10" s="9">
        <v>0</v>
      </c>
      <c r="O10" s="8" t="s">
        <v>20</v>
      </c>
      <c r="P10" s="9">
        <v>85.4</v>
      </c>
      <c r="Q10" s="8" t="s">
        <v>178</v>
      </c>
      <c r="R10" s="9">
        <v>51.2</v>
      </c>
      <c r="S10" s="8" t="s">
        <v>20</v>
      </c>
      <c r="T10" s="9">
        <v>23.8</v>
      </c>
      <c r="U10" s="10" t="s">
        <v>19</v>
      </c>
      <c r="AJ10" s="95"/>
    </row>
    <row r="11" spans="1:36" ht="115.2" x14ac:dyDescent="0.25">
      <c r="A11" s="17" t="s">
        <v>202</v>
      </c>
      <c r="B11" s="17" t="s">
        <v>196</v>
      </c>
      <c r="C11" s="1" t="s">
        <v>17</v>
      </c>
      <c r="D11" s="21">
        <v>61.1</v>
      </c>
      <c r="E11" s="85"/>
      <c r="F11" s="85"/>
      <c r="G11" s="1" t="s">
        <v>18</v>
      </c>
      <c r="H11" s="21">
        <v>7.6</v>
      </c>
      <c r="I11" s="85"/>
      <c r="J11" s="85"/>
      <c r="K11" s="1" t="s">
        <v>18</v>
      </c>
      <c r="L11" s="21">
        <v>20.8</v>
      </c>
      <c r="M11" s="17" t="s">
        <v>19</v>
      </c>
      <c r="N11" s="21">
        <v>0</v>
      </c>
      <c r="O11" s="22" t="s">
        <v>20</v>
      </c>
      <c r="P11" s="21">
        <v>89.5</v>
      </c>
      <c r="Q11" s="22" t="s">
        <v>178</v>
      </c>
      <c r="R11" s="21">
        <v>56.3</v>
      </c>
      <c r="S11" s="22" t="s">
        <v>20</v>
      </c>
      <c r="T11" s="21">
        <v>25.2</v>
      </c>
      <c r="U11" s="17" t="s">
        <v>19</v>
      </c>
      <c r="AJ11" s="95"/>
    </row>
    <row r="12" spans="1:36" ht="86.4" x14ac:dyDescent="0.25">
      <c r="A12" s="17" t="s">
        <v>203</v>
      </c>
      <c r="B12" s="22" t="s">
        <v>102</v>
      </c>
      <c r="C12" s="1" t="s">
        <v>94</v>
      </c>
      <c r="D12" s="21">
        <v>0.8</v>
      </c>
      <c r="E12" s="85"/>
      <c r="F12" s="85"/>
      <c r="G12" s="1" t="s">
        <v>74</v>
      </c>
      <c r="H12" s="21">
        <v>2.2000000000000002</v>
      </c>
      <c r="I12" s="85"/>
      <c r="J12" s="85"/>
      <c r="K12" s="1" t="s">
        <v>74</v>
      </c>
      <c r="L12" s="21">
        <v>36.5</v>
      </c>
      <c r="M12" s="17" t="s">
        <v>19</v>
      </c>
      <c r="N12" s="21">
        <v>0</v>
      </c>
      <c r="O12" s="22" t="s">
        <v>20</v>
      </c>
      <c r="P12" s="19">
        <v>39.4</v>
      </c>
      <c r="Q12" s="22" t="s">
        <v>178</v>
      </c>
      <c r="R12" s="21">
        <v>5.7</v>
      </c>
      <c r="S12" s="22" t="s">
        <v>20</v>
      </c>
      <c r="T12" s="21">
        <v>9.4</v>
      </c>
      <c r="U12" s="1" t="s">
        <v>68</v>
      </c>
      <c r="AJ12" s="95"/>
    </row>
  </sheetData>
  <mergeCells count="15">
    <mergeCell ref="A1:U1"/>
    <mergeCell ref="A2:A4"/>
    <mergeCell ref="B2:B4"/>
    <mergeCell ref="C2:L2"/>
    <mergeCell ref="Q2:R2"/>
    <mergeCell ref="S2:T2"/>
    <mergeCell ref="C3:D3"/>
    <mergeCell ref="E3:F3"/>
    <mergeCell ref="G3:H3"/>
    <mergeCell ref="M3:N3"/>
    <mergeCell ref="O3:P3"/>
    <mergeCell ref="Q3:Q4"/>
    <mergeCell ref="R3:R4"/>
    <mergeCell ref="S3:S4"/>
    <mergeCell ref="T3:T4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AI11"/>
  <sheetViews>
    <sheetView topLeftCell="A11" zoomScale="55" zoomScaleNormal="55" workbookViewId="0">
      <selection sqref="A1:U4"/>
    </sheetView>
  </sheetViews>
  <sheetFormatPr defaultRowHeight="13.2" x14ac:dyDescent="0.25"/>
  <cols>
    <col min="1" max="1" width="6.44140625" customWidth="1"/>
    <col min="2" max="2" width="23.33203125" customWidth="1"/>
    <col min="3" max="3" width="42.109375" customWidth="1"/>
    <col min="4" max="4" width="13.109375" customWidth="1"/>
    <col min="5" max="5" width="26.109375" customWidth="1"/>
    <col min="6" max="6" width="13.109375" customWidth="1"/>
    <col min="7" max="7" width="50.44140625" customWidth="1"/>
    <col min="8" max="8" width="13.109375" customWidth="1"/>
    <col min="9" max="9" width="26.109375" customWidth="1"/>
    <col min="10" max="10" width="13.109375" customWidth="1"/>
    <col min="11" max="11" width="48.44140625" customWidth="1"/>
    <col min="12" max="12" width="13.109375" customWidth="1"/>
    <col min="13" max="13" width="30.44140625" customWidth="1"/>
    <col min="14" max="14" width="13.109375" customWidth="1"/>
    <col min="15" max="15" width="19.77734375" customWidth="1"/>
    <col min="16" max="16" width="12.77734375" customWidth="1"/>
    <col min="17" max="17" width="24" customWidth="1"/>
    <col min="18" max="18" width="12.109375" customWidth="1"/>
    <col min="19" max="19" width="16.109375" customWidth="1"/>
    <col min="20" max="20" width="12.77734375" customWidth="1"/>
    <col min="21" max="21" width="26.6640625" customWidth="1"/>
  </cols>
  <sheetData>
    <row r="1" spans="1:35" ht="24" customHeight="1" x14ac:dyDescent="0.25">
      <c r="A1" s="241" t="s">
        <v>0</v>
      </c>
      <c r="B1" s="242"/>
      <c r="C1" s="242"/>
      <c r="D1" s="242"/>
      <c r="E1" s="242"/>
      <c r="F1" s="242"/>
      <c r="G1" s="242"/>
      <c r="H1" s="242"/>
      <c r="I1" s="242"/>
      <c r="J1" s="242"/>
      <c r="K1" s="242"/>
      <c r="L1" s="242"/>
      <c r="M1" s="242"/>
      <c r="N1" s="242"/>
      <c r="O1" s="242"/>
      <c r="P1" s="242"/>
      <c r="Q1" s="242"/>
      <c r="R1" s="242"/>
      <c r="S1" s="242"/>
      <c r="T1" s="242"/>
      <c r="U1" s="242"/>
    </row>
    <row r="2" spans="1:35" ht="17.399999999999999" x14ac:dyDescent="0.25">
      <c r="A2" s="233" t="s">
        <v>1</v>
      </c>
      <c r="B2" s="232" t="s">
        <v>2</v>
      </c>
      <c r="C2" s="234" t="s">
        <v>3</v>
      </c>
      <c r="D2" s="234"/>
      <c r="E2" s="234"/>
      <c r="F2" s="234"/>
      <c r="G2" s="234"/>
      <c r="H2" s="234"/>
      <c r="I2" s="234"/>
      <c r="J2" s="234"/>
      <c r="K2" s="234"/>
      <c r="L2" s="234"/>
      <c r="M2" s="107"/>
      <c r="N2" s="107"/>
      <c r="O2" s="107"/>
      <c r="P2" s="107"/>
      <c r="Q2" s="232" t="s">
        <v>4</v>
      </c>
      <c r="R2" s="232"/>
      <c r="S2" s="235" t="s">
        <v>5</v>
      </c>
      <c r="T2" s="235"/>
      <c r="U2" s="108" t="s">
        <v>6</v>
      </c>
    </row>
    <row r="3" spans="1:35" ht="17.399999999999999" x14ac:dyDescent="0.25">
      <c r="A3" s="233"/>
      <c r="B3" s="232"/>
      <c r="C3" s="235" t="s">
        <v>7</v>
      </c>
      <c r="D3" s="235"/>
      <c r="E3" s="238" t="s">
        <v>8</v>
      </c>
      <c r="F3" s="238"/>
      <c r="G3" s="239" t="s">
        <v>9</v>
      </c>
      <c r="H3" s="239"/>
      <c r="I3" s="80" t="s">
        <v>63</v>
      </c>
      <c r="J3" s="81"/>
      <c r="K3" s="80" t="s">
        <v>64</v>
      </c>
      <c r="L3" s="81"/>
      <c r="M3" s="243" t="s">
        <v>358</v>
      </c>
      <c r="N3" s="239"/>
      <c r="O3" s="240" t="s">
        <v>11</v>
      </c>
      <c r="P3" s="240"/>
      <c r="Q3" s="232" t="s">
        <v>12</v>
      </c>
      <c r="R3" s="233" t="s">
        <v>13</v>
      </c>
      <c r="S3" s="232" t="s">
        <v>12</v>
      </c>
      <c r="T3" s="237" t="s">
        <v>14</v>
      </c>
      <c r="U3" s="108"/>
    </row>
    <row r="4" spans="1:35" ht="34.799999999999997" x14ac:dyDescent="0.25">
      <c r="A4" s="233"/>
      <c r="B4" s="232"/>
      <c r="C4" s="96" t="s">
        <v>12</v>
      </c>
      <c r="D4" s="97" t="s">
        <v>13</v>
      </c>
      <c r="E4" s="96" t="s">
        <v>12</v>
      </c>
      <c r="F4" s="97" t="s">
        <v>13</v>
      </c>
      <c r="G4" s="96" t="s">
        <v>12</v>
      </c>
      <c r="H4" s="97" t="s">
        <v>13</v>
      </c>
      <c r="I4" s="5" t="s">
        <v>12</v>
      </c>
      <c r="J4" s="3" t="s">
        <v>13</v>
      </c>
      <c r="K4" s="5" t="s">
        <v>12</v>
      </c>
      <c r="L4" s="3" t="s">
        <v>13</v>
      </c>
      <c r="M4" s="96" t="s">
        <v>12</v>
      </c>
      <c r="N4" s="97" t="s">
        <v>13</v>
      </c>
      <c r="O4" s="98" t="s">
        <v>12</v>
      </c>
      <c r="P4" s="97" t="s">
        <v>13</v>
      </c>
      <c r="Q4" s="232"/>
      <c r="R4" s="233"/>
      <c r="S4" s="232"/>
      <c r="T4" s="237"/>
      <c r="U4" s="108"/>
    </row>
    <row r="5" spans="1:35" ht="115.2" x14ac:dyDescent="0.25">
      <c r="A5" s="7" t="s">
        <v>204</v>
      </c>
      <c r="B5" s="8" t="s">
        <v>205</v>
      </c>
      <c r="C5" s="3" t="s">
        <v>17</v>
      </c>
      <c r="D5" s="9">
        <v>36.1</v>
      </c>
      <c r="E5" s="10" t="s">
        <v>19</v>
      </c>
      <c r="F5" s="9">
        <v>0</v>
      </c>
      <c r="G5" s="10" t="s">
        <v>19</v>
      </c>
      <c r="H5" s="9">
        <v>0</v>
      </c>
      <c r="I5" s="9"/>
      <c r="J5" s="9"/>
      <c r="K5" s="3" t="s">
        <v>18</v>
      </c>
      <c r="L5" s="9">
        <v>32.1</v>
      </c>
      <c r="M5" s="9"/>
      <c r="N5" s="9"/>
      <c r="O5" s="8" t="s">
        <v>20</v>
      </c>
      <c r="P5" s="9">
        <v>68.2</v>
      </c>
      <c r="Q5" s="8" t="s">
        <v>178</v>
      </c>
      <c r="R5" s="9">
        <v>10.7</v>
      </c>
      <c r="S5" s="8" t="s">
        <v>20</v>
      </c>
      <c r="T5" s="9">
        <v>15.2</v>
      </c>
      <c r="U5" s="10" t="s">
        <v>19</v>
      </c>
      <c r="AI5" s="95"/>
    </row>
    <row r="6" spans="1:35" ht="115.2" x14ac:dyDescent="0.25">
      <c r="A6" s="7" t="s">
        <v>206</v>
      </c>
      <c r="B6" s="10" t="s">
        <v>32</v>
      </c>
      <c r="C6" s="3" t="s">
        <v>17</v>
      </c>
      <c r="D6" s="9">
        <v>41.8</v>
      </c>
      <c r="E6" s="10" t="s">
        <v>19</v>
      </c>
      <c r="F6" s="9">
        <v>0</v>
      </c>
      <c r="G6" s="3" t="s">
        <v>18</v>
      </c>
      <c r="H6" s="9">
        <v>47.6</v>
      </c>
      <c r="I6" s="9"/>
      <c r="J6" s="9"/>
      <c r="K6" s="3" t="s">
        <v>18</v>
      </c>
      <c r="L6" s="9">
        <v>14.6</v>
      </c>
      <c r="M6" s="9"/>
      <c r="N6" s="9"/>
      <c r="O6" s="8" t="s">
        <v>20</v>
      </c>
      <c r="P6" s="9">
        <v>104</v>
      </c>
      <c r="Q6" s="8" t="s">
        <v>178</v>
      </c>
      <c r="R6" s="9">
        <v>41.2</v>
      </c>
      <c r="S6" s="8" t="s">
        <v>20</v>
      </c>
      <c r="T6" s="9">
        <v>18.100000000000001</v>
      </c>
      <c r="U6" s="10" t="s">
        <v>19</v>
      </c>
      <c r="AI6" s="95"/>
    </row>
    <row r="7" spans="1:35" ht="115.2" x14ac:dyDescent="0.25">
      <c r="A7" s="7" t="s">
        <v>207</v>
      </c>
      <c r="B7" s="10" t="s">
        <v>32</v>
      </c>
      <c r="C7" s="3" t="s">
        <v>17</v>
      </c>
      <c r="D7" s="9">
        <v>56.7</v>
      </c>
      <c r="E7" s="10" t="s">
        <v>19</v>
      </c>
      <c r="F7" s="9">
        <v>0</v>
      </c>
      <c r="G7" s="3" t="s">
        <v>18</v>
      </c>
      <c r="H7" s="9">
        <v>74</v>
      </c>
      <c r="I7" s="9"/>
      <c r="J7" s="9"/>
      <c r="K7" s="3" t="s">
        <v>18</v>
      </c>
      <c r="L7" s="9">
        <v>7.2</v>
      </c>
      <c r="M7" s="9"/>
      <c r="N7" s="9"/>
      <c r="O7" s="8" t="s">
        <v>20</v>
      </c>
      <c r="P7" s="9">
        <v>137.9</v>
      </c>
      <c r="Q7" s="8" t="s">
        <v>178</v>
      </c>
      <c r="R7" s="9">
        <v>60.8</v>
      </c>
      <c r="S7" s="8" t="s">
        <v>20</v>
      </c>
      <c r="T7" s="9">
        <v>42.3</v>
      </c>
      <c r="U7" s="10" t="s">
        <v>19</v>
      </c>
      <c r="AI7" s="95"/>
    </row>
    <row r="8" spans="1:35" ht="187.2" x14ac:dyDescent="0.25">
      <c r="A8" s="7" t="s">
        <v>208</v>
      </c>
      <c r="B8" s="8" t="s">
        <v>209</v>
      </c>
      <c r="C8" s="3" t="s">
        <v>17</v>
      </c>
      <c r="D8" s="9">
        <v>105.7</v>
      </c>
      <c r="E8" s="3" t="s">
        <v>18</v>
      </c>
      <c r="F8" s="9">
        <v>38.299999999999997</v>
      </c>
      <c r="G8" s="10" t="s">
        <v>19</v>
      </c>
      <c r="H8" s="9">
        <v>0</v>
      </c>
      <c r="I8" s="9"/>
      <c r="J8" s="9"/>
      <c r="K8" s="10" t="s">
        <v>19</v>
      </c>
      <c r="L8" s="9">
        <v>0</v>
      </c>
      <c r="M8" s="9"/>
      <c r="N8" s="9"/>
      <c r="O8" s="8" t="s">
        <v>20</v>
      </c>
      <c r="P8" s="9">
        <v>144</v>
      </c>
      <c r="Q8" s="3" t="s">
        <v>210</v>
      </c>
      <c r="R8" s="9">
        <v>26</v>
      </c>
      <c r="S8" s="8" t="s">
        <v>20</v>
      </c>
      <c r="T8" s="9">
        <v>40.4</v>
      </c>
      <c r="U8" s="10" t="s">
        <v>19</v>
      </c>
      <c r="AI8" s="95"/>
    </row>
    <row r="9" spans="1:35" ht="187.2" x14ac:dyDescent="0.25">
      <c r="A9" s="7" t="s">
        <v>211</v>
      </c>
      <c r="B9" s="8" t="s">
        <v>212</v>
      </c>
      <c r="C9" s="3" t="s">
        <v>17</v>
      </c>
      <c r="D9" s="9">
        <v>78.8</v>
      </c>
      <c r="E9" s="3" t="s">
        <v>18</v>
      </c>
      <c r="F9" s="9">
        <v>36.5</v>
      </c>
      <c r="G9" s="10" t="s">
        <v>19</v>
      </c>
      <c r="H9" s="9">
        <v>0</v>
      </c>
      <c r="I9" s="9"/>
      <c r="J9" s="9"/>
      <c r="K9" s="10" t="s">
        <v>19</v>
      </c>
      <c r="L9" s="9">
        <v>0</v>
      </c>
      <c r="M9" s="9"/>
      <c r="N9" s="9"/>
      <c r="O9" s="8" t="s">
        <v>20</v>
      </c>
      <c r="P9" s="9">
        <v>115.3</v>
      </c>
      <c r="Q9" s="3" t="s">
        <v>210</v>
      </c>
      <c r="R9" s="9">
        <v>19.3</v>
      </c>
      <c r="S9" s="8" t="s">
        <v>20</v>
      </c>
      <c r="T9" s="9">
        <v>30</v>
      </c>
      <c r="U9" s="10" t="s">
        <v>19</v>
      </c>
      <c r="AI9" s="95"/>
    </row>
    <row r="10" spans="1:35" ht="115.2" x14ac:dyDescent="0.25">
      <c r="A10" s="17" t="s">
        <v>213</v>
      </c>
      <c r="B10" s="22" t="s">
        <v>134</v>
      </c>
      <c r="C10" s="1" t="s">
        <v>17</v>
      </c>
      <c r="D10" s="21">
        <v>26.2</v>
      </c>
      <c r="E10" s="17" t="s">
        <v>19</v>
      </c>
      <c r="F10" s="21">
        <v>0</v>
      </c>
      <c r="G10" s="1" t="s">
        <v>18</v>
      </c>
      <c r="H10" s="21">
        <v>4.8</v>
      </c>
      <c r="I10" s="85"/>
      <c r="J10" s="85"/>
      <c r="K10" s="1" t="s">
        <v>18</v>
      </c>
      <c r="L10" s="21">
        <v>9.1</v>
      </c>
      <c r="M10" s="85"/>
      <c r="N10" s="85"/>
      <c r="O10" s="22" t="s">
        <v>20</v>
      </c>
      <c r="P10" s="21">
        <v>40.1</v>
      </c>
      <c r="Q10" s="22" t="s">
        <v>178</v>
      </c>
      <c r="R10" s="21">
        <v>6.5</v>
      </c>
      <c r="S10" s="22" t="s">
        <v>20</v>
      </c>
      <c r="T10" s="21">
        <v>8.6</v>
      </c>
      <c r="U10" s="17" t="s">
        <v>19</v>
      </c>
      <c r="AI10" s="95"/>
    </row>
    <row r="11" spans="1:35" ht="86.4" x14ac:dyDescent="0.25">
      <c r="A11" s="17" t="s">
        <v>214</v>
      </c>
      <c r="B11" s="17" t="s">
        <v>32</v>
      </c>
      <c r="C11" s="1" t="s">
        <v>94</v>
      </c>
      <c r="D11" s="21">
        <v>18</v>
      </c>
      <c r="E11" s="17" t="s">
        <v>19</v>
      </c>
      <c r="F11" s="21">
        <v>0</v>
      </c>
      <c r="G11" s="1" t="s">
        <v>74</v>
      </c>
      <c r="H11" s="21">
        <v>73.900000000000006</v>
      </c>
      <c r="I11" s="85"/>
      <c r="J11" s="85"/>
      <c r="K11" s="1" t="s">
        <v>74</v>
      </c>
      <c r="L11" s="19">
        <v>36.4</v>
      </c>
      <c r="M11" s="84"/>
      <c r="N11" s="84"/>
      <c r="O11" s="22" t="s">
        <v>20</v>
      </c>
      <c r="P11" s="19">
        <v>128.30000000000001</v>
      </c>
      <c r="Q11" s="1" t="s">
        <v>21</v>
      </c>
      <c r="R11" s="21">
        <v>25.1</v>
      </c>
      <c r="S11" s="22" t="s">
        <v>20</v>
      </c>
      <c r="T11" s="21">
        <v>28</v>
      </c>
      <c r="U11" s="17" t="s">
        <v>19</v>
      </c>
      <c r="AI11" s="95"/>
    </row>
  </sheetData>
  <mergeCells count="15">
    <mergeCell ref="A1:U1"/>
    <mergeCell ref="A2:A4"/>
    <mergeCell ref="B2:B4"/>
    <mergeCell ref="C2:L2"/>
    <mergeCell ref="Q2:R2"/>
    <mergeCell ref="S2:T2"/>
    <mergeCell ref="C3:D3"/>
    <mergeCell ref="E3:F3"/>
    <mergeCell ref="G3:H3"/>
    <mergeCell ref="M3:N3"/>
    <mergeCell ref="O3:P3"/>
    <mergeCell ref="Q3:Q4"/>
    <mergeCell ref="R3:R4"/>
    <mergeCell ref="S3:S4"/>
    <mergeCell ref="T3:T4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7" tint="0.79998168889431442"/>
  </sheetPr>
  <dimension ref="A1:U23"/>
  <sheetViews>
    <sheetView zoomScale="70" zoomScaleNormal="70" workbookViewId="0">
      <selection activeCell="A54" sqref="A54:U61"/>
    </sheetView>
  </sheetViews>
  <sheetFormatPr defaultRowHeight="13.2" x14ac:dyDescent="0.25"/>
  <cols>
    <col min="1" max="1" width="6.44140625" customWidth="1"/>
    <col min="2" max="2" width="23.33203125" customWidth="1"/>
    <col min="3" max="3" width="42.109375" customWidth="1"/>
    <col min="4" max="4" width="13.109375" customWidth="1"/>
    <col min="5" max="5" width="26.109375" customWidth="1"/>
    <col min="6" max="6" width="13.109375" customWidth="1"/>
    <col min="7" max="7" width="50.44140625" customWidth="1"/>
    <col min="8" max="8" width="13.109375" customWidth="1"/>
    <col min="9" max="9" width="26.109375" customWidth="1"/>
    <col min="10" max="10" width="13.109375" customWidth="1"/>
    <col min="11" max="11" width="48.44140625" customWidth="1"/>
    <col min="12" max="12" width="13.109375" customWidth="1"/>
    <col min="13" max="13" width="30.44140625" customWidth="1"/>
    <col min="14" max="14" width="13.109375" customWidth="1"/>
    <col min="15" max="15" width="19.77734375" customWidth="1"/>
    <col min="16" max="16" width="12.77734375" customWidth="1"/>
    <col min="17" max="17" width="24" customWidth="1"/>
    <col min="18" max="18" width="12.109375" customWidth="1"/>
    <col min="19" max="19" width="16.109375" customWidth="1"/>
    <col min="20" max="20" width="12.77734375" customWidth="1"/>
    <col min="21" max="21" width="26.6640625" customWidth="1"/>
  </cols>
  <sheetData>
    <row r="1" spans="1:21" x14ac:dyDescent="0.25">
      <c r="A1" s="244" t="s">
        <v>359</v>
      </c>
      <c r="B1" s="234"/>
      <c r="C1" s="234"/>
      <c r="D1" s="234"/>
      <c r="E1" s="234"/>
      <c r="F1" s="234"/>
      <c r="G1" s="234"/>
      <c r="H1" s="234"/>
      <c r="I1" s="234"/>
      <c r="J1" s="234"/>
      <c r="K1" s="234"/>
      <c r="L1" s="234"/>
      <c r="M1" s="234"/>
      <c r="N1" s="234"/>
      <c r="O1" s="234"/>
      <c r="P1" s="234"/>
      <c r="Q1" s="234"/>
      <c r="R1" s="234"/>
      <c r="S1" s="234"/>
      <c r="T1" s="234"/>
      <c r="U1" s="234"/>
    </row>
    <row r="2" spans="1:21" ht="17.399999999999999" x14ac:dyDescent="0.25">
      <c r="A2" s="233" t="s">
        <v>1</v>
      </c>
      <c r="B2" s="232" t="s">
        <v>2</v>
      </c>
      <c r="C2" s="234" t="s">
        <v>3</v>
      </c>
      <c r="D2" s="234"/>
      <c r="E2" s="234"/>
      <c r="F2" s="234"/>
      <c r="G2" s="234"/>
      <c r="H2" s="234"/>
      <c r="I2" s="234"/>
      <c r="J2" s="234"/>
      <c r="K2" s="234"/>
      <c r="L2" s="234"/>
      <c r="M2" s="107"/>
      <c r="N2" s="107"/>
      <c r="O2" s="107"/>
      <c r="P2" s="107"/>
      <c r="Q2" s="232" t="s">
        <v>4</v>
      </c>
      <c r="R2" s="232"/>
      <c r="S2" s="235" t="s">
        <v>5</v>
      </c>
      <c r="T2" s="235"/>
      <c r="U2" s="108" t="s">
        <v>6</v>
      </c>
    </row>
    <row r="3" spans="1:21" ht="17.399999999999999" x14ac:dyDescent="0.25">
      <c r="A3" s="233"/>
      <c r="B3" s="232"/>
      <c r="C3" s="235" t="s">
        <v>7</v>
      </c>
      <c r="D3" s="235"/>
      <c r="E3" s="238" t="s">
        <v>8</v>
      </c>
      <c r="F3" s="238"/>
      <c r="G3" s="239" t="s">
        <v>9</v>
      </c>
      <c r="H3" s="239"/>
      <c r="I3" s="109" t="s">
        <v>63</v>
      </c>
      <c r="J3" s="109"/>
      <c r="K3" s="109" t="s">
        <v>64</v>
      </c>
      <c r="L3" s="109"/>
      <c r="M3" s="243" t="s">
        <v>358</v>
      </c>
      <c r="N3" s="239"/>
      <c r="O3" s="240" t="s">
        <v>11</v>
      </c>
      <c r="P3" s="240"/>
      <c r="Q3" s="232" t="s">
        <v>12</v>
      </c>
      <c r="R3" s="233" t="s">
        <v>13</v>
      </c>
      <c r="S3" s="232" t="s">
        <v>12</v>
      </c>
      <c r="T3" s="237" t="s">
        <v>14</v>
      </c>
      <c r="U3" s="108"/>
    </row>
    <row r="4" spans="1:21" ht="34.799999999999997" x14ac:dyDescent="0.25">
      <c r="A4" s="233"/>
      <c r="B4" s="232"/>
      <c r="C4" s="96" t="s">
        <v>12</v>
      </c>
      <c r="D4" s="97" t="s">
        <v>13</v>
      </c>
      <c r="E4" s="96" t="s">
        <v>12</v>
      </c>
      <c r="F4" s="97" t="s">
        <v>13</v>
      </c>
      <c r="G4" s="96" t="s">
        <v>12</v>
      </c>
      <c r="H4" s="97" t="s">
        <v>13</v>
      </c>
      <c r="I4" s="96" t="s">
        <v>12</v>
      </c>
      <c r="J4" s="97" t="s">
        <v>13</v>
      </c>
      <c r="K4" s="96" t="s">
        <v>12</v>
      </c>
      <c r="L4" s="97" t="s">
        <v>13</v>
      </c>
      <c r="M4" s="96" t="s">
        <v>12</v>
      </c>
      <c r="N4" s="97" t="s">
        <v>13</v>
      </c>
      <c r="O4" s="98" t="s">
        <v>12</v>
      </c>
      <c r="P4" s="97" t="s">
        <v>13</v>
      </c>
      <c r="Q4" s="232"/>
      <c r="R4" s="233"/>
      <c r="S4" s="232"/>
      <c r="T4" s="237"/>
      <c r="U4" s="108"/>
    </row>
    <row r="5" spans="1:21" ht="129.6" x14ac:dyDescent="0.25">
      <c r="A5" s="99" t="s">
        <v>75</v>
      </c>
      <c r="B5" s="97" t="s">
        <v>76</v>
      </c>
      <c r="C5" s="97" t="s">
        <v>67</v>
      </c>
      <c r="D5" s="101">
        <v>38.1</v>
      </c>
      <c r="E5" s="101"/>
      <c r="F5" s="101"/>
      <c r="G5" s="97" t="s">
        <v>71</v>
      </c>
      <c r="H5" s="101">
        <v>45.7</v>
      </c>
      <c r="I5" s="101"/>
      <c r="J5" s="101"/>
      <c r="K5" s="102" t="s">
        <v>19</v>
      </c>
      <c r="L5" s="101">
        <v>0</v>
      </c>
      <c r="M5" s="101"/>
      <c r="N5" s="101"/>
      <c r="O5" s="100" t="s">
        <v>20</v>
      </c>
      <c r="P5" s="101">
        <v>83.8</v>
      </c>
      <c r="Q5" s="97" t="s">
        <v>21</v>
      </c>
      <c r="R5" s="101">
        <v>43.1</v>
      </c>
      <c r="S5" s="100" t="s">
        <v>20</v>
      </c>
      <c r="T5" s="101">
        <v>22.2</v>
      </c>
      <c r="U5" s="97" t="s">
        <v>68</v>
      </c>
    </row>
    <row r="6" spans="1:21" ht="86.4" x14ac:dyDescent="0.25">
      <c r="A6" s="99" t="s">
        <v>217</v>
      </c>
      <c r="B6" s="100" t="s">
        <v>218</v>
      </c>
      <c r="C6" s="97" t="s">
        <v>67</v>
      </c>
      <c r="D6" s="101">
        <v>52.2</v>
      </c>
      <c r="E6" s="101"/>
      <c r="F6" s="101"/>
      <c r="G6" s="97" t="s">
        <v>71</v>
      </c>
      <c r="H6" s="101">
        <v>47.9</v>
      </c>
      <c r="I6" s="101"/>
      <c r="J6" s="101"/>
      <c r="K6" s="97" t="s">
        <v>71</v>
      </c>
      <c r="L6" s="101">
        <v>13.8</v>
      </c>
      <c r="M6" s="101"/>
      <c r="N6" s="101"/>
      <c r="O6" s="100" t="s">
        <v>20</v>
      </c>
      <c r="P6" s="101">
        <v>114</v>
      </c>
      <c r="Q6" s="110" t="s">
        <v>30</v>
      </c>
      <c r="R6" s="101">
        <v>63.7</v>
      </c>
      <c r="S6" s="100" t="s">
        <v>20</v>
      </c>
      <c r="T6" s="101">
        <v>34.1</v>
      </c>
      <c r="U6" s="97" t="s">
        <v>68</v>
      </c>
    </row>
    <row r="7" spans="1:21" ht="86.4" x14ac:dyDescent="0.25">
      <c r="A7" s="99" t="s">
        <v>221</v>
      </c>
      <c r="B7" s="97" t="s">
        <v>222</v>
      </c>
      <c r="C7" s="97" t="s">
        <v>67</v>
      </c>
      <c r="D7" s="101">
        <v>47.5</v>
      </c>
      <c r="E7" s="101"/>
      <c r="F7" s="101"/>
      <c r="G7" s="97" t="s">
        <v>71</v>
      </c>
      <c r="H7" s="101">
        <v>68.599999999999994</v>
      </c>
      <c r="I7" s="101"/>
      <c r="J7" s="101"/>
      <c r="K7" s="97" t="s">
        <v>71</v>
      </c>
      <c r="L7" s="101">
        <v>16.7</v>
      </c>
      <c r="M7" s="101"/>
      <c r="N7" s="101"/>
      <c r="O7" s="100" t="s">
        <v>20</v>
      </c>
      <c r="P7" s="101">
        <v>132.80000000000001</v>
      </c>
      <c r="Q7" s="110" t="s">
        <v>30</v>
      </c>
      <c r="R7" s="101">
        <v>90.2</v>
      </c>
      <c r="S7" s="100" t="s">
        <v>20</v>
      </c>
      <c r="T7" s="101">
        <v>40.299999999999997</v>
      </c>
      <c r="U7" s="97" t="s">
        <v>68</v>
      </c>
    </row>
    <row r="8" spans="1:21" ht="86.4" x14ac:dyDescent="0.25">
      <c r="A8" s="102" t="s">
        <v>225</v>
      </c>
      <c r="B8" s="100" t="s">
        <v>226</v>
      </c>
      <c r="C8" s="97" t="s">
        <v>67</v>
      </c>
      <c r="D8" s="101">
        <v>22.2</v>
      </c>
      <c r="E8" s="101"/>
      <c r="F8" s="101"/>
      <c r="G8" s="97" t="s">
        <v>71</v>
      </c>
      <c r="H8" s="111">
        <v>54.5</v>
      </c>
      <c r="I8" s="111"/>
      <c r="J8" s="111"/>
      <c r="K8" s="97" t="s">
        <v>71</v>
      </c>
      <c r="L8" s="101">
        <v>19.5</v>
      </c>
      <c r="M8" s="101"/>
      <c r="N8" s="101"/>
      <c r="O8" s="100" t="s">
        <v>20</v>
      </c>
      <c r="P8" s="101">
        <v>96.2</v>
      </c>
      <c r="Q8" s="100" t="s">
        <v>30</v>
      </c>
      <c r="R8" s="101">
        <v>39.799999999999997</v>
      </c>
      <c r="S8" s="100" t="s">
        <v>20</v>
      </c>
      <c r="T8" s="101">
        <v>26.9</v>
      </c>
      <c r="U8" s="97" t="s">
        <v>68</v>
      </c>
    </row>
    <row r="9" spans="1:21" ht="86.4" x14ac:dyDescent="0.25">
      <c r="A9" s="102" t="s">
        <v>229</v>
      </c>
      <c r="B9" s="100" t="s">
        <v>218</v>
      </c>
      <c r="C9" s="97" t="s">
        <v>67</v>
      </c>
      <c r="D9" s="101">
        <v>87.3</v>
      </c>
      <c r="E9" s="101"/>
      <c r="F9" s="101"/>
      <c r="G9" s="97" t="s">
        <v>71</v>
      </c>
      <c r="H9" s="101">
        <v>11.4</v>
      </c>
      <c r="I9" s="101"/>
      <c r="J9" s="101"/>
      <c r="K9" s="97" t="s">
        <v>71</v>
      </c>
      <c r="L9" s="101">
        <v>13.2</v>
      </c>
      <c r="M9" s="101"/>
      <c r="N9" s="101"/>
      <c r="O9" s="100" t="s">
        <v>20</v>
      </c>
      <c r="P9" s="111">
        <v>111.9</v>
      </c>
      <c r="Q9" s="100" t="s">
        <v>30</v>
      </c>
      <c r="R9" s="111">
        <v>64</v>
      </c>
      <c r="S9" s="100" t="s">
        <v>20</v>
      </c>
      <c r="T9" s="101">
        <v>32.6</v>
      </c>
      <c r="U9" s="97" t="s">
        <v>68</v>
      </c>
    </row>
    <row r="10" spans="1:21" ht="86.4" x14ac:dyDescent="0.25">
      <c r="A10" s="102" t="s">
        <v>232</v>
      </c>
      <c r="B10" s="97" t="s">
        <v>233</v>
      </c>
      <c r="C10" s="97" t="s">
        <v>67</v>
      </c>
      <c r="D10" s="101">
        <v>56.5</v>
      </c>
      <c r="E10" s="101"/>
      <c r="F10" s="101"/>
      <c r="G10" s="97" t="s">
        <v>71</v>
      </c>
      <c r="H10" s="101">
        <v>35.6</v>
      </c>
      <c r="I10" s="101"/>
      <c r="J10" s="101"/>
      <c r="K10" s="97" t="s">
        <v>71</v>
      </c>
      <c r="L10" s="101">
        <v>17.899999999999999</v>
      </c>
      <c r="M10" s="101"/>
      <c r="N10" s="101"/>
      <c r="O10" s="100" t="s">
        <v>20</v>
      </c>
      <c r="P10" s="111">
        <v>110</v>
      </c>
      <c r="Q10" s="97" t="s">
        <v>21</v>
      </c>
      <c r="R10" s="111">
        <v>65.400000000000006</v>
      </c>
      <c r="S10" s="100" t="s">
        <v>20</v>
      </c>
      <c r="T10" s="101">
        <v>33.1</v>
      </c>
      <c r="U10" s="97" t="s">
        <v>68</v>
      </c>
    </row>
    <row r="11" spans="1:21" ht="86.4" x14ac:dyDescent="0.25">
      <c r="A11" s="102" t="s">
        <v>235</v>
      </c>
      <c r="B11" s="97" t="s">
        <v>233</v>
      </c>
      <c r="C11" s="97" t="s">
        <v>67</v>
      </c>
      <c r="D11" s="101">
        <v>58.7</v>
      </c>
      <c r="E11" s="101"/>
      <c r="F11" s="101"/>
      <c r="G11" s="97" t="s">
        <v>71</v>
      </c>
      <c r="H11" s="101">
        <v>36.700000000000003</v>
      </c>
      <c r="I11" s="101"/>
      <c r="J11" s="101"/>
      <c r="K11" s="97" t="s">
        <v>71</v>
      </c>
      <c r="L11" s="101">
        <v>12.3</v>
      </c>
      <c r="M11" s="101"/>
      <c r="N11" s="101"/>
      <c r="O11" s="100" t="s">
        <v>20</v>
      </c>
      <c r="P11" s="111">
        <v>107.7</v>
      </c>
      <c r="Q11" s="97" t="s">
        <v>21</v>
      </c>
      <c r="R11" s="101">
        <v>64.099999999999994</v>
      </c>
      <c r="S11" s="100" t="s">
        <v>20</v>
      </c>
      <c r="T11" s="101">
        <v>32.6</v>
      </c>
      <c r="U11" s="97" t="s">
        <v>68</v>
      </c>
    </row>
    <row r="12" spans="1:21" ht="86.4" x14ac:dyDescent="0.25">
      <c r="A12" s="102" t="s">
        <v>238</v>
      </c>
      <c r="B12" s="100" t="s">
        <v>218</v>
      </c>
      <c r="C12" s="97" t="s">
        <v>67</v>
      </c>
      <c r="D12" s="101">
        <v>91</v>
      </c>
      <c r="E12" s="101"/>
      <c r="F12" s="101"/>
      <c r="G12" s="97" t="s">
        <v>71</v>
      </c>
      <c r="H12" s="101">
        <v>17.3</v>
      </c>
      <c r="I12" s="101"/>
      <c r="J12" s="101"/>
      <c r="K12" s="102" t="s">
        <v>19</v>
      </c>
      <c r="L12" s="101">
        <v>0</v>
      </c>
      <c r="M12" s="101"/>
      <c r="N12" s="101"/>
      <c r="O12" s="100" t="s">
        <v>20</v>
      </c>
      <c r="P12" s="111">
        <v>108.3</v>
      </c>
      <c r="Q12" s="100" t="s">
        <v>30</v>
      </c>
      <c r="R12" s="111">
        <v>64.3</v>
      </c>
      <c r="S12" s="100" t="s">
        <v>20</v>
      </c>
      <c r="T12" s="101">
        <v>33.299999999999997</v>
      </c>
      <c r="U12" s="97" t="s">
        <v>68</v>
      </c>
    </row>
    <row r="13" spans="1:21" ht="86.4" x14ac:dyDescent="0.25">
      <c r="A13" s="102" t="s">
        <v>241</v>
      </c>
      <c r="B13" s="102" t="s">
        <v>32</v>
      </c>
      <c r="C13" s="97" t="s">
        <v>67</v>
      </c>
      <c r="D13" s="101">
        <v>51.5</v>
      </c>
      <c r="E13" s="101"/>
      <c r="F13" s="101"/>
      <c r="G13" s="97" t="s">
        <v>71</v>
      </c>
      <c r="H13" s="101">
        <v>81.400000000000006</v>
      </c>
      <c r="I13" s="101"/>
      <c r="J13" s="101"/>
      <c r="K13" s="97" t="s">
        <v>71</v>
      </c>
      <c r="L13" s="111">
        <v>43.6</v>
      </c>
      <c r="M13" s="111"/>
      <c r="N13" s="111"/>
      <c r="O13" s="100" t="s">
        <v>20</v>
      </c>
      <c r="P13" s="111">
        <v>176.5</v>
      </c>
      <c r="Q13" s="97" t="s">
        <v>21</v>
      </c>
      <c r="R13" s="101">
        <v>91.5</v>
      </c>
      <c r="S13" s="100" t="s">
        <v>20</v>
      </c>
      <c r="T13" s="101">
        <v>41.9</v>
      </c>
      <c r="U13" s="97" t="s">
        <v>68</v>
      </c>
    </row>
    <row r="14" spans="1:21" ht="86.4" x14ac:dyDescent="0.25">
      <c r="A14" s="102" t="s">
        <v>244</v>
      </c>
      <c r="B14" s="100" t="s">
        <v>102</v>
      </c>
      <c r="C14" s="102" t="s">
        <v>19</v>
      </c>
      <c r="D14" s="101">
        <v>0</v>
      </c>
      <c r="E14" s="101"/>
      <c r="F14" s="101"/>
      <c r="G14" s="102" t="s">
        <v>19</v>
      </c>
      <c r="H14" s="101">
        <v>0</v>
      </c>
      <c r="I14" s="101"/>
      <c r="J14" s="101"/>
      <c r="K14" s="97" t="s">
        <v>74</v>
      </c>
      <c r="L14" s="101">
        <v>36.299999999999997</v>
      </c>
      <c r="M14" s="101"/>
      <c r="N14" s="101"/>
      <c r="O14" s="100" t="s">
        <v>20</v>
      </c>
      <c r="P14" s="101">
        <v>36.299999999999997</v>
      </c>
      <c r="Q14" s="97" t="s">
        <v>21</v>
      </c>
      <c r="R14" s="101">
        <v>5.0999999999999996</v>
      </c>
      <c r="S14" s="100" t="s">
        <v>20</v>
      </c>
      <c r="T14" s="101">
        <v>8.9</v>
      </c>
      <c r="U14" s="97" t="s">
        <v>68</v>
      </c>
    </row>
    <row r="15" spans="1:21" ht="86.4" x14ac:dyDescent="0.25">
      <c r="A15" s="99" t="s">
        <v>215</v>
      </c>
      <c r="B15" s="100" t="s">
        <v>216</v>
      </c>
      <c r="C15" s="97" t="s">
        <v>67</v>
      </c>
      <c r="D15" s="101">
        <v>16</v>
      </c>
      <c r="E15" s="101"/>
      <c r="F15" s="101"/>
      <c r="G15" s="102" t="s">
        <v>19</v>
      </c>
      <c r="H15" s="101">
        <v>0</v>
      </c>
      <c r="I15" s="101"/>
      <c r="J15" s="101"/>
      <c r="K15" s="97" t="s">
        <v>71</v>
      </c>
      <c r="L15" s="101">
        <v>37.5</v>
      </c>
      <c r="M15" s="101"/>
      <c r="N15" s="101"/>
      <c r="O15" s="100" t="s">
        <v>20</v>
      </c>
      <c r="P15" s="111">
        <v>53.5</v>
      </c>
      <c r="Q15" s="97" t="s">
        <v>21</v>
      </c>
      <c r="R15" s="101">
        <v>13.1</v>
      </c>
      <c r="S15" s="100" t="s">
        <v>20</v>
      </c>
      <c r="T15" s="111">
        <v>13.5</v>
      </c>
      <c r="U15" s="97" t="s">
        <v>68</v>
      </c>
    </row>
    <row r="16" spans="1:21" ht="86.4" x14ac:dyDescent="0.25">
      <c r="A16" s="99" t="s">
        <v>219</v>
      </c>
      <c r="B16" s="100" t="s">
        <v>220</v>
      </c>
      <c r="C16" s="97" t="s">
        <v>67</v>
      </c>
      <c r="D16" s="101">
        <v>16.3</v>
      </c>
      <c r="E16" s="101"/>
      <c r="F16" s="101"/>
      <c r="G16" s="97" t="s">
        <v>71</v>
      </c>
      <c r="H16" s="101">
        <v>8</v>
      </c>
      <c r="I16" s="101"/>
      <c r="J16" s="101"/>
      <c r="K16" s="97" t="s">
        <v>71</v>
      </c>
      <c r="L16" s="111">
        <v>54.6</v>
      </c>
      <c r="M16" s="111"/>
      <c r="N16" s="111"/>
      <c r="O16" s="100" t="s">
        <v>20</v>
      </c>
      <c r="P16" s="111">
        <v>78.900000000000006</v>
      </c>
      <c r="Q16" s="97" t="s">
        <v>21</v>
      </c>
      <c r="R16" s="101">
        <v>27</v>
      </c>
      <c r="S16" s="100" t="s">
        <v>20</v>
      </c>
      <c r="T16" s="101">
        <v>21.1</v>
      </c>
      <c r="U16" s="97" t="s">
        <v>68</v>
      </c>
    </row>
    <row r="17" spans="1:21" ht="86.4" x14ac:dyDescent="0.25">
      <c r="A17" s="102" t="s">
        <v>223</v>
      </c>
      <c r="B17" s="100" t="s">
        <v>224</v>
      </c>
      <c r="C17" s="97" t="s">
        <v>94</v>
      </c>
      <c r="D17" s="101">
        <v>1.7</v>
      </c>
      <c r="E17" s="101"/>
      <c r="F17" s="101"/>
      <c r="G17" s="97" t="s">
        <v>74</v>
      </c>
      <c r="H17" s="101">
        <v>10.5</v>
      </c>
      <c r="I17" s="101"/>
      <c r="J17" s="101"/>
      <c r="K17" s="97" t="s">
        <v>74</v>
      </c>
      <c r="L17" s="101">
        <v>41.4</v>
      </c>
      <c r="M17" s="101"/>
      <c r="N17" s="101"/>
      <c r="O17" s="100" t="s">
        <v>20</v>
      </c>
      <c r="P17" s="111">
        <v>53.6</v>
      </c>
      <c r="Q17" s="97" t="s">
        <v>21</v>
      </c>
      <c r="R17" s="101">
        <v>12.7</v>
      </c>
      <c r="S17" s="100" t="s">
        <v>20</v>
      </c>
      <c r="T17" s="111">
        <v>13.4</v>
      </c>
      <c r="U17" s="97" t="s">
        <v>68</v>
      </c>
    </row>
    <row r="18" spans="1:21" ht="86.4" x14ac:dyDescent="0.25">
      <c r="A18" s="102" t="s">
        <v>227</v>
      </c>
      <c r="B18" s="100" t="s">
        <v>228</v>
      </c>
      <c r="C18" s="97" t="s">
        <v>94</v>
      </c>
      <c r="D18" s="101">
        <v>5.5</v>
      </c>
      <c r="E18" s="101"/>
      <c r="F18" s="101"/>
      <c r="G18" s="102" t="s">
        <v>19</v>
      </c>
      <c r="H18" s="101">
        <v>0</v>
      </c>
      <c r="I18" s="101"/>
      <c r="J18" s="101"/>
      <c r="K18" s="97" t="s">
        <v>74</v>
      </c>
      <c r="L18" s="101">
        <v>33.299999999999997</v>
      </c>
      <c r="M18" s="101"/>
      <c r="N18" s="101"/>
      <c r="O18" s="100" t="s">
        <v>20</v>
      </c>
      <c r="P18" s="111">
        <v>38.799999999999997</v>
      </c>
      <c r="Q18" s="97" t="s">
        <v>21</v>
      </c>
      <c r="R18" s="101">
        <v>8.5</v>
      </c>
      <c r="S18" s="100" t="s">
        <v>20</v>
      </c>
      <c r="T18" s="101">
        <v>11.6</v>
      </c>
      <c r="U18" s="97" t="s">
        <v>68</v>
      </c>
    </row>
    <row r="19" spans="1:21" ht="86.4" x14ac:dyDescent="0.25">
      <c r="A19" s="102" t="s">
        <v>230</v>
      </c>
      <c r="B19" s="100" t="s">
        <v>231</v>
      </c>
      <c r="C19" s="97" t="s">
        <v>67</v>
      </c>
      <c r="D19" s="101">
        <v>16.8</v>
      </c>
      <c r="E19" s="101"/>
      <c r="F19" s="101"/>
      <c r="G19" s="97" t="s">
        <v>71</v>
      </c>
      <c r="H19" s="101">
        <v>10.3</v>
      </c>
      <c r="I19" s="101"/>
      <c r="J19" s="101"/>
      <c r="K19" s="97" t="s">
        <v>71</v>
      </c>
      <c r="L19" s="101">
        <v>55.5</v>
      </c>
      <c r="M19" s="101"/>
      <c r="N19" s="101"/>
      <c r="O19" s="100" t="s">
        <v>20</v>
      </c>
      <c r="P19" s="111">
        <v>82.6</v>
      </c>
      <c r="Q19" s="97" t="s">
        <v>21</v>
      </c>
      <c r="R19" s="101">
        <v>28</v>
      </c>
      <c r="S19" s="100" t="s">
        <v>20</v>
      </c>
      <c r="T19" s="111">
        <v>21.6</v>
      </c>
      <c r="U19" s="97" t="s">
        <v>68</v>
      </c>
    </row>
    <row r="20" spans="1:21" ht="86.4" x14ac:dyDescent="0.25">
      <c r="A20" s="102" t="s">
        <v>234</v>
      </c>
      <c r="B20" s="100" t="s">
        <v>100</v>
      </c>
      <c r="C20" s="97" t="s">
        <v>94</v>
      </c>
      <c r="D20" s="101">
        <v>7.8</v>
      </c>
      <c r="E20" s="101"/>
      <c r="F20" s="101"/>
      <c r="G20" s="102" t="s">
        <v>19</v>
      </c>
      <c r="H20" s="101">
        <v>0</v>
      </c>
      <c r="I20" s="101"/>
      <c r="J20" s="101"/>
      <c r="K20" s="97" t="s">
        <v>74</v>
      </c>
      <c r="L20" s="101">
        <v>33.1</v>
      </c>
      <c r="M20" s="101"/>
      <c r="N20" s="101"/>
      <c r="O20" s="100" t="s">
        <v>20</v>
      </c>
      <c r="P20" s="111">
        <v>40.799999999999997</v>
      </c>
      <c r="Q20" s="97" t="s">
        <v>21</v>
      </c>
      <c r="R20" s="101">
        <v>10.7</v>
      </c>
      <c r="S20" s="100" t="s">
        <v>20</v>
      </c>
      <c r="T20" s="111">
        <v>12</v>
      </c>
      <c r="U20" s="97" t="s">
        <v>68</v>
      </c>
    </row>
    <row r="21" spans="1:21" ht="86.4" x14ac:dyDescent="0.25">
      <c r="A21" s="102" t="s">
        <v>236</v>
      </c>
      <c r="B21" s="100" t="s">
        <v>237</v>
      </c>
      <c r="C21" s="97" t="s">
        <v>94</v>
      </c>
      <c r="D21" s="101">
        <v>4.5</v>
      </c>
      <c r="E21" s="101"/>
      <c r="F21" s="101"/>
      <c r="G21" s="97" t="s">
        <v>74</v>
      </c>
      <c r="H21" s="101">
        <v>10.8</v>
      </c>
      <c r="I21" s="101"/>
      <c r="J21" s="101"/>
      <c r="K21" s="97" t="s">
        <v>74</v>
      </c>
      <c r="L21" s="101">
        <v>37.5</v>
      </c>
      <c r="M21" s="101"/>
      <c r="N21" s="101"/>
      <c r="O21" s="100" t="s">
        <v>20</v>
      </c>
      <c r="P21" s="111">
        <v>52.9</v>
      </c>
      <c r="Q21" s="97" t="s">
        <v>21</v>
      </c>
      <c r="R21" s="101">
        <v>11.3</v>
      </c>
      <c r="S21" s="100" t="s">
        <v>20</v>
      </c>
      <c r="T21" s="111">
        <v>13</v>
      </c>
      <c r="U21" s="97" t="s">
        <v>68</v>
      </c>
    </row>
    <row r="22" spans="1:21" ht="86.4" x14ac:dyDescent="0.25">
      <c r="A22" s="102" t="s">
        <v>239</v>
      </c>
      <c r="B22" s="100" t="s">
        <v>240</v>
      </c>
      <c r="C22" s="97" t="s">
        <v>67</v>
      </c>
      <c r="D22" s="101">
        <v>22</v>
      </c>
      <c r="E22" s="101"/>
      <c r="F22" s="101"/>
      <c r="G22" s="97" t="s">
        <v>71</v>
      </c>
      <c r="H22" s="101">
        <v>37</v>
      </c>
      <c r="I22" s="101"/>
      <c r="J22" s="101"/>
      <c r="K22" s="97" t="s">
        <v>71</v>
      </c>
      <c r="L22" s="111">
        <v>24.8</v>
      </c>
      <c r="M22" s="111"/>
      <c r="N22" s="111"/>
      <c r="O22" s="100" t="s">
        <v>20</v>
      </c>
      <c r="P22" s="111">
        <v>83.8</v>
      </c>
      <c r="Q22" s="97" t="s">
        <v>21</v>
      </c>
      <c r="R22" s="101">
        <v>31.5</v>
      </c>
      <c r="S22" s="100" t="s">
        <v>20</v>
      </c>
      <c r="T22" s="111">
        <v>23.6</v>
      </c>
      <c r="U22" s="97" t="s">
        <v>68</v>
      </c>
    </row>
    <row r="23" spans="1:21" ht="86.4" x14ac:dyDescent="0.25">
      <c r="A23" s="102" t="s">
        <v>242</v>
      </c>
      <c r="B23" s="100" t="s">
        <v>243</v>
      </c>
      <c r="C23" s="97" t="s">
        <v>67</v>
      </c>
      <c r="D23" s="111">
        <v>532.70000000000005</v>
      </c>
      <c r="E23" s="111"/>
      <c r="F23" s="111"/>
      <c r="G23" s="97" t="s">
        <v>71</v>
      </c>
      <c r="H23" s="101">
        <v>63.7</v>
      </c>
      <c r="I23" s="101"/>
      <c r="J23" s="101"/>
      <c r="K23" s="102" t="s">
        <v>19</v>
      </c>
      <c r="L23" s="101">
        <v>0</v>
      </c>
      <c r="M23" s="101"/>
      <c r="N23" s="101"/>
      <c r="O23" s="100" t="s">
        <v>20</v>
      </c>
      <c r="P23" s="111">
        <v>596.4</v>
      </c>
      <c r="Q23" s="102" t="s">
        <v>19</v>
      </c>
      <c r="R23" s="111">
        <v>703.2</v>
      </c>
      <c r="S23" s="100" t="s">
        <v>20</v>
      </c>
      <c r="T23" s="111">
        <v>81</v>
      </c>
      <c r="U23" s="97" t="s">
        <v>68</v>
      </c>
    </row>
  </sheetData>
  <mergeCells count="15">
    <mergeCell ref="A1:U1"/>
    <mergeCell ref="A2:A4"/>
    <mergeCell ref="B2:B4"/>
    <mergeCell ref="C2:L2"/>
    <mergeCell ref="Q2:R2"/>
    <mergeCell ref="S2:T2"/>
    <mergeCell ref="C3:D3"/>
    <mergeCell ref="E3:F3"/>
    <mergeCell ref="G3:H3"/>
    <mergeCell ref="M3:N3"/>
    <mergeCell ref="O3:P3"/>
    <mergeCell ref="Q3:Q4"/>
    <mergeCell ref="R3:R4"/>
    <mergeCell ref="S3:S4"/>
    <mergeCell ref="T3:T4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7" tint="0.79998168889431442"/>
  </sheetPr>
  <dimension ref="A1:V21"/>
  <sheetViews>
    <sheetView topLeftCell="A19" zoomScale="55" zoomScaleNormal="55" workbookViewId="0">
      <selection activeCell="A54" sqref="A54:U61"/>
    </sheetView>
  </sheetViews>
  <sheetFormatPr defaultRowHeight="13.2" x14ac:dyDescent="0.25"/>
  <cols>
    <col min="1" max="1" width="6.44140625" customWidth="1"/>
    <col min="2" max="2" width="23.33203125" customWidth="1"/>
    <col min="3" max="3" width="42.109375" customWidth="1"/>
    <col min="4" max="4" width="13.109375" customWidth="1"/>
    <col min="5" max="5" width="26.109375" customWidth="1"/>
    <col min="6" max="6" width="13.109375" customWidth="1"/>
    <col min="7" max="7" width="50.44140625" customWidth="1"/>
    <col min="8" max="8" width="13.109375" customWidth="1"/>
    <col min="9" max="9" width="26.109375" customWidth="1"/>
    <col min="10" max="10" width="13.109375" customWidth="1"/>
    <col min="11" max="11" width="48.44140625" customWidth="1"/>
    <col min="12" max="12" width="13.109375" customWidth="1"/>
    <col min="13" max="13" width="30.44140625" customWidth="1"/>
    <col min="14" max="14" width="13.109375" customWidth="1"/>
    <col min="15" max="15" width="19.77734375" customWidth="1"/>
    <col min="16" max="16" width="12.77734375" customWidth="1"/>
    <col min="17" max="17" width="24" customWidth="1"/>
    <col min="18" max="18" width="12.109375" customWidth="1"/>
    <col min="19" max="19" width="16.109375" customWidth="1"/>
    <col min="20" max="20" width="12.77734375" customWidth="1"/>
    <col min="21" max="21" width="26.6640625" customWidth="1"/>
  </cols>
  <sheetData>
    <row r="1" spans="1:22" x14ac:dyDescent="0.25">
      <c r="A1" s="244" t="s">
        <v>359</v>
      </c>
      <c r="B1" s="234"/>
      <c r="C1" s="234"/>
      <c r="D1" s="234"/>
      <c r="E1" s="234"/>
      <c r="F1" s="234"/>
      <c r="G1" s="234"/>
      <c r="H1" s="234"/>
      <c r="I1" s="234"/>
      <c r="J1" s="234"/>
      <c r="K1" s="234"/>
      <c r="L1" s="234"/>
      <c r="M1" s="234"/>
      <c r="N1" s="234"/>
      <c r="O1" s="234"/>
      <c r="P1" s="234"/>
      <c r="Q1" s="234"/>
      <c r="R1" s="234"/>
      <c r="S1" s="234"/>
      <c r="T1" s="234"/>
      <c r="U1" s="234"/>
    </row>
    <row r="2" spans="1:22" ht="17.399999999999999" x14ac:dyDescent="0.25">
      <c r="A2" s="233" t="s">
        <v>1</v>
      </c>
      <c r="B2" s="232" t="s">
        <v>2</v>
      </c>
      <c r="C2" s="234" t="s">
        <v>3</v>
      </c>
      <c r="D2" s="234"/>
      <c r="E2" s="234"/>
      <c r="F2" s="234"/>
      <c r="G2" s="234"/>
      <c r="H2" s="234"/>
      <c r="I2" s="234"/>
      <c r="J2" s="234"/>
      <c r="K2" s="234"/>
      <c r="L2" s="234"/>
      <c r="M2" s="107"/>
      <c r="N2" s="107"/>
      <c r="O2" s="107"/>
      <c r="P2" s="107"/>
      <c r="Q2" s="232" t="s">
        <v>4</v>
      </c>
      <c r="R2" s="232"/>
      <c r="S2" s="235" t="s">
        <v>5</v>
      </c>
      <c r="T2" s="235"/>
      <c r="U2" s="108" t="s">
        <v>6</v>
      </c>
    </row>
    <row r="3" spans="1:22" ht="17.399999999999999" x14ac:dyDescent="0.25">
      <c r="A3" s="233"/>
      <c r="B3" s="232"/>
      <c r="C3" s="235" t="s">
        <v>7</v>
      </c>
      <c r="D3" s="235"/>
      <c r="E3" s="238" t="s">
        <v>8</v>
      </c>
      <c r="F3" s="238"/>
      <c r="G3" s="239" t="s">
        <v>9</v>
      </c>
      <c r="H3" s="239"/>
      <c r="I3" s="109" t="s">
        <v>63</v>
      </c>
      <c r="J3" s="109"/>
      <c r="K3" s="109" t="s">
        <v>64</v>
      </c>
      <c r="L3" s="109"/>
      <c r="M3" s="243" t="s">
        <v>358</v>
      </c>
      <c r="N3" s="239"/>
      <c r="O3" s="240" t="s">
        <v>11</v>
      </c>
      <c r="P3" s="240"/>
      <c r="Q3" s="232" t="s">
        <v>12</v>
      </c>
      <c r="R3" s="233" t="s">
        <v>13</v>
      </c>
      <c r="S3" s="232" t="s">
        <v>12</v>
      </c>
      <c r="T3" s="237" t="s">
        <v>14</v>
      </c>
      <c r="U3" s="108"/>
    </row>
    <row r="4" spans="1:22" ht="34.799999999999997" x14ac:dyDescent="0.25">
      <c r="A4" s="233"/>
      <c r="B4" s="232"/>
      <c r="C4" s="96" t="s">
        <v>12</v>
      </c>
      <c r="D4" s="97" t="s">
        <v>13</v>
      </c>
      <c r="E4" s="96" t="s">
        <v>12</v>
      </c>
      <c r="F4" s="97" t="s">
        <v>13</v>
      </c>
      <c r="G4" s="96" t="s">
        <v>12</v>
      </c>
      <c r="H4" s="97" t="s">
        <v>13</v>
      </c>
      <c r="I4" s="96" t="s">
        <v>12</v>
      </c>
      <c r="J4" s="97" t="s">
        <v>13</v>
      </c>
      <c r="K4" s="96" t="s">
        <v>12</v>
      </c>
      <c r="L4" s="97" t="s">
        <v>13</v>
      </c>
      <c r="M4" s="96" t="s">
        <v>12</v>
      </c>
      <c r="N4" s="97" t="s">
        <v>13</v>
      </c>
      <c r="O4" s="98" t="s">
        <v>12</v>
      </c>
      <c r="P4" s="97" t="s">
        <v>13</v>
      </c>
      <c r="Q4" s="232"/>
      <c r="R4" s="233"/>
      <c r="S4" s="232"/>
      <c r="T4" s="237"/>
      <c r="U4" s="108"/>
    </row>
    <row r="5" spans="1:22" ht="86.4" x14ac:dyDescent="0.25">
      <c r="A5" s="99" t="s">
        <v>245</v>
      </c>
      <c r="B5" s="100" t="s">
        <v>246</v>
      </c>
      <c r="C5" s="97" t="s">
        <v>67</v>
      </c>
      <c r="D5" s="101">
        <v>57.1</v>
      </c>
      <c r="E5" s="101"/>
      <c r="F5" s="101"/>
      <c r="G5" s="102" t="s">
        <v>19</v>
      </c>
      <c r="H5" s="101">
        <v>0</v>
      </c>
      <c r="I5" s="101"/>
      <c r="J5" s="101"/>
      <c r="K5" s="97" t="s">
        <v>71</v>
      </c>
      <c r="L5" s="101">
        <v>50.3</v>
      </c>
      <c r="M5" s="101"/>
      <c r="N5" s="101"/>
      <c r="O5" s="100" t="s">
        <v>20</v>
      </c>
      <c r="P5" s="101">
        <v>107.3</v>
      </c>
      <c r="Q5" s="97" t="s">
        <v>21</v>
      </c>
      <c r="R5" s="101">
        <v>23.7</v>
      </c>
      <c r="S5" s="100" t="s">
        <v>20</v>
      </c>
      <c r="T5" s="101">
        <v>25</v>
      </c>
      <c r="U5" s="97" t="s">
        <v>68</v>
      </c>
      <c r="V5" s="95"/>
    </row>
    <row r="6" spans="1:22" ht="86.4" x14ac:dyDescent="0.25">
      <c r="A6" s="99" t="s">
        <v>248</v>
      </c>
      <c r="B6" s="97" t="s">
        <v>249</v>
      </c>
      <c r="C6" s="97" t="s">
        <v>67</v>
      </c>
      <c r="D6" s="101">
        <v>21.2</v>
      </c>
      <c r="E6" s="101"/>
      <c r="F6" s="101"/>
      <c r="G6" s="97" t="s">
        <v>71</v>
      </c>
      <c r="H6" s="101">
        <v>17.8</v>
      </c>
      <c r="I6" s="101"/>
      <c r="J6" s="101"/>
      <c r="K6" s="97" t="s">
        <v>71</v>
      </c>
      <c r="L6" s="101">
        <v>12.8</v>
      </c>
      <c r="M6" s="101"/>
      <c r="N6" s="101"/>
      <c r="O6" s="100" t="s">
        <v>20</v>
      </c>
      <c r="P6" s="101">
        <v>51.7</v>
      </c>
      <c r="Q6" s="110" t="s">
        <v>30</v>
      </c>
      <c r="R6" s="101">
        <v>14</v>
      </c>
      <c r="S6" s="100" t="s">
        <v>20</v>
      </c>
      <c r="T6" s="101">
        <v>14</v>
      </c>
      <c r="U6" s="97" t="s">
        <v>68</v>
      </c>
      <c r="V6" s="95"/>
    </row>
    <row r="7" spans="1:22" ht="86.4" x14ac:dyDescent="0.25">
      <c r="A7" s="102" t="s">
        <v>251</v>
      </c>
      <c r="B7" s="100" t="s">
        <v>98</v>
      </c>
      <c r="C7" s="97" t="s">
        <v>94</v>
      </c>
      <c r="D7" s="101">
        <v>13.7</v>
      </c>
      <c r="E7" s="101"/>
      <c r="F7" s="101"/>
      <c r="G7" s="97" t="s">
        <v>74</v>
      </c>
      <c r="H7" s="101">
        <v>16.3</v>
      </c>
      <c r="I7" s="101"/>
      <c r="J7" s="101"/>
      <c r="K7" s="97" t="s">
        <v>74</v>
      </c>
      <c r="L7" s="101">
        <v>6.7</v>
      </c>
      <c r="M7" s="101"/>
      <c r="N7" s="101"/>
      <c r="O7" s="100" t="s">
        <v>20</v>
      </c>
      <c r="P7" s="101">
        <v>36.700000000000003</v>
      </c>
      <c r="Q7" s="97" t="s">
        <v>21</v>
      </c>
      <c r="R7" s="101">
        <v>5.4</v>
      </c>
      <c r="S7" s="100" t="s">
        <v>20</v>
      </c>
      <c r="T7" s="101">
        <v>8.9</v>
      </c>
      <c r="U7" s="97" t="s">
        <v>68</v>
      </c>
      <c r="V7" s="95"/>
    </row>
    <row r="8" spans="1:22" ht="86.4" x14ac:dyDescent="0.25">
      <c r="A8" s="102" t="s">
        <v>255</v>
      </c>
      <c r="B8" s="100" t="s">
        <v>102</v>
      </c>
      <c r="C8" s="97" t="s">
        <v>94</v>
      </c>
      <c r="D8" s="101">
        <v>8.8000000000000007</v>
      </c>
      <c r="E8" s="101"/>
      <c r="F8" s="101"/>
      <c r="G8" s="97" t="s">
        <v>74</v>
      </c>
      <c r="H8" s="101">
        <v>15</v>
      </c>
      <c r="I8" s="101"/>
      <c r="J8" s="101"/>
      <c r="K8" s="97" t="s">
        <v>74</v>
      </c>
      <c r="L8" s="101">
        <v>27.8</v>
      </c>
      <c r="M8" s="101"/>
      <c r="N8" s="101"/>
      <c r="O8" s="100" t="s">
        <v>20</v>
      </c>
      <c r="P8" s="101">
        <v>51.6</v>
      </c>
      <c r="Q8" s="97" t="s">
        <v>21</v>
      </c>
      <c r="R8" s="101">
        <v>9.8000000000000007</v>
      </c>
      <c r="S8" s="100" t="s">
        <v>20</v>
      </c>
      <c r="T8" s="101">
        <v>12.7</v>
      </c>
      <c r="U8" s="97" t="s">
        <v>68</v>
      </c>
      <c r="V8" s="95"/>
    </row>
    <row r="9" spans="1:22" ht="86.4" x14ac:dyDescent="0.25">
      <c r="A9" s="102" t="s">
        <v>257</v>
      </c>
      <c r="B9" s="100" t="s">
        <v>100</v>
      </c>
      <c r="C9" s="97" t="s">
        <v>94</v>
      </c>
      <c r="D9" s="111">
        <v>49.7</v>
      </c>
      <c r="E9" s="111"/>
      <c r="F9" s="111"/>
      <c r="G9" s="102" t="s">
        <v>19</v>
      </c>
      <c r="H9" s="101">
        <v>0</v>
      </c>
      <c r="I9" s="101"/>
      <c r="J9" s="101"/>
      <c r="K9" s="97" t="s">
        <v>74</v>
      </c>
      <c r="L9" s="101">
        <v>29.9</v>
      </c>
      <c r="M9" s="101"/>
      <c r="N9" s="101"/>
      <c r="O9" s="100" t="s">
        <v>20</v>
      </c>
      <c r="P9" s="101">
        <v>79.599999999999994</v>
      </c>
      <c r="Q9" s="97" t="s">
        <v>21</v>
      </c>
      <c r="R9" s="101">
        <v>15.8</v>
      </c>
      <c r="S9" s="100" t="s">
        <v>20</v>
      </c>
      <c r="T9" s="101">
        <v>20.3</v>
      </c>
      <c r="U9" s="97" t="s">
        <v>68</v>
      </c>
      <c r="V9" s="95"/>
    </row>
    <row r="10" spans="1:22" ht="86.4" x14ac:dyDescent="0.25">
      <c r="A10" s="102" t="s">
        <v>259</v>
      </c>
      <c r="B10" s="100" t="s">
        <v>107</v>
      </c>
      <c r="C10" s="97" t="s">
        <v>94</v>
      </c>
      <c r="D10" s="111">
        <v>49.3</v>
      </c>
      <c r="E10" s="111"/>
      <c r="F10" s="111"/>
      <c r="G10" s="102" t="s">
        <v>19</v>
      </c>
      <c r="H10" s="101">
        <v>0</v>
      </c>
      <c r="I10" s="101"/>
      <c r="J10" s="101"/>
      <c r="K10" s="97" t="s">
        <v>74</v>
      </c>
      <c r="L10" s="101">
        <v>30</v>
      </c>
      <c r="M10" s="101"/>
      <c r="N10" s="101"/>
      <c r="O10" s="100" t="s">
        <v>20</v>
      </c>
      <c r="P10" s="101">
        <v>79.3</v>
      </c>
      <c r="Q10" s="97" t="s">
        <v>21</v>
      </c>
      <c r="R10" s="101">
        <v>15.8</v>
      </c>
      <c r="S10" s="100" t="s">
        <v>20</v>
      </c>
      <c r="T10" s="101">
        <v>20.2</v>
      </c>
      <c r="U10" s="97" t="s">
        <v>68</v>
      </c>
      <c r="V10" s="95"/>
    </row>
    <row r="11" spans="1:22" ht="86.4" x14ac:dyDescent="0.25">
      <c r="A11" s="99" t="s">
        <v>261</v>
      </c>
      <c r="B11" s="100" t="s">
        <v>81</v>
      </c>
      <c r="C11" s="97" t="s">
        <v>94</v>
      </c>
      <c r="D11" s="101">
        <v>7.1</v>
      </c>
      <c r="E11" s="101"/>
      <c r="F11" s="101"/>
      <c r="G11" s="102" t="s">
        <v>19</v>
      </c>
      <c r="H11" s="101">
        <v>0</v>
      </c>
      <c r="I11" s="101"/>
      <c r="J11" s="101"/>
      <c r="K11" s="97" t="s">
        <v>74</v>
      </c>
      <c r="L11" s="101">
        <v>27.3</v>
      </c>
      <c r="M11" s="101"/>
      <c r="N11" s="101"/>
      <c r="O11" s="100" t="s">
        <v>20</v>
      </c>
      <c r="P11" s="101">
        <v>34.4</v>
      </c>
      <c r="Q11" s="97" t="s">
        <v>21</v>
      </c>
      <c r="R11" s="101">
        <v>5.4</v>
      </c>
      <c r="S11" s="100" t="s">
        <v>20</v>
      </c>
      <c r="T11" s="101">
        <v>8.1999999999999993</v>
      </c>
      <c r="U11" s="97" t="s">
        <v>68</v>
      </c>
      <c r="V11" s="95"/>
    </row>
    <row r="12" spans="1:22" ht="86.4" x14ac:dyDescent="0.25">
      <c r="A12" s="99" t="s">
        <v>262</v>
      </c>
      <c r="B12" s="99" t="s">
        <v>32</v>
      </c>
      <c r="C12" s="97" t="s">
        <v>67</v>
      </c>
      <c r="D12" s="101">
        <v>16.3</v>
      </c>
      <c r="E12" s="113"/>
      <c r="F12" s="113"/>
      <c r="G12" s="97" t="s">
        <v>71</v>
      </c>
      <c r="H12" s="101">
        <v>30.6</v>
      </c>
      <c r="I12" s="113"/>
      <c r="J12" s="113"/>
      <c r="K12" s="99" t="s">
        <v>19</v>
      </c>
      <c r="L12" s="101">
        <v>0</v>
      </c>
      <c r="M12" s="113"/>
      <c r="N12" s="113"/>
      <c r="O12" s="110" t="s">
        <v>20</v>
      </c>
      <c r="P12" s="101">
        <v>46.9</v>
      </c>
      <c r="Q12" s="97" t="s">
        <v>21</v>
      </c>
      <c r="R12" s="101">
        <v>19.100000000000001</v>
      </c>
      <c r="S12" s="110" t="s">
        <v>20</v>
      </c>
      <c r="T12" s="101">
        <v>4.7</v>
      </c>
      <c r="U12" s="97" t="s">
        <v>68</v>
      </c>
      <c r="V12" s="95"/>
    </row>
    <row r="13" spans="1:22" ht="86.4" x14ac:dyDescent="0.25">
      <c r="A13" s="102" t="s">
        <v>264</v>
      </c>
      <c r="B13" s="102" t="s">
        <v>265</v>
      </c>
      <c r="C13" s="97" t="s">
        <v>67</v>
      </c>
      <c r="D13" s="111">
        <v>164.1</v>
      </c>
      <c r="E13" s="111"/>
      <c r="F13" s="111"/>
      <c r="G13" s="97" t="s">
        <v>71</v>
      </c>
      <c r="H13" s="101">
        <v>85.3</v>
      </c>
      <c r="I13" s="101"/>
      <c r="J13" s="101"/>
      <c r="K13" s="97" t="s">
        <v>71</v>
      </c>
      <c r="L13" s="111">
        <v>42.8</v>
      </c>
      <c r="M13" s="111"/>
      <c r="N13" s="111"/>
      <c r="O13" s="100" t="s">
        <v>20</v>
      </c>
      <c r="P13" s="111">
        <v>292.2</v>
      </c>
      <c r="Q13" s="97" t="s">
        <v>21</v>
      </c>
      <c r="R13" s="111">
        <v>377.8</v>
      </c>
      <c r="S13" s="100" t="s">
        <v>20</v>
      </c>
      <c r="T13" s="101">
        <v>70.5</v>
      </c>
      <c r="U13" s="97" t="s">
        <v>68</v>
      </c>
      <c r="V13" s="95"/>
    </row>
    <row r="14" spans="1:22" ht="86.4" x14ac:dyDescent="0.25">
      <c r="A14" s="99" t="s">
        <v>247</v>
      </c>
      <c r="B14" s="102" t="s">
        <v>32</v>
      </c>
      <c r="C14" s="97" t="s">
        <v>67</v>
      </c>
      <c r="D14" s="101">
        <v>138.9</v>
      </c>
      <c r="E14" s="101"/>
      <c r="F14" s="101"/>
      <c r="G14" s="97" t="s">
        <v>71</v>
      </c>
      <c r="H14" s="101">
        <v>123.1</v>
      </c>
      <c r="I14" s="101"/>
      <c r="J14" s="101"/>
      <c r="K14" s="97" t="s">
        <v>71</v>
      </c>
      <c r="L14" s="101">
        <v>6.7</v>
      </c>
      <c r="M14" s="101"/>
      <c r="N14" s="101"/>
      <c r="O14" s="100" t="s">
        <v>20</v>
      </c>
      <c r="P14" s="111">
        <v>268.7</v>
      </c>
      <c r="Q14" s="97" t="s">
        <v>21</v>
      </c>
      <c r="R14" s="101">
        <v>115.5</v>
      </c>
      <c r="S14" s="100" t="s">
        <v>20</v>
      </c>
      <c r="T14" s="111">
        <v>52.7</v>
      </c>
      <c r="U14" s="97" t="s">
        <v>68</v>
      </c>
    </row>
    <row r="15" spans="1:22" ht="86.4" x14ac:dyDescent="0.25">
      <c r="A15" s="99" t="s">
        <v>250</v>
      </c>
      <c r="B15" s="100" t="s">
        <v>126</v>
      </c>
      <c r="C15" s="97" t="s">
        <v>67</v>
      </c>
      <c r="D15" s="101">
        <v>78.7</v>
      </c>
      <c r="E15" s="101"/>
      <c r="F15" s="101"/>
      <c r="G15" s="102" t="s">
        <v>19</v>
      </c>
      <c r="H15" s="101">
        <v>0</v>
      </c>
      <c r="I15" s="101"/>
      <c r="J15" s="101"/>
      <c r="K15" s="102" t="s">
        <v>19</v>
      </c>
      <c r="L15" s="101">
        <v>0</v>
      </c>
      <c r="M15" s="101"/>
      <c r="N15" s="101"/>
      <c r="O15" s="100" t="s">
        <v>20</v>
      </c>
      <c r="P15" s="111">
        <v>78.7</v>
      </c>
      <c r="Q15" s="97" t="s">
        <v>21</v>
      </c>
      <c r="R15" s="101">
        <v>13.5</v>
      </c>
      <c r="S15" s="100" t="s">
        <v>20</v>
      </c>
      <c r="T15" s="111">
        <v>20.5</v>
      </c>
      <c r="U15" s="97" t="s">
        <v>68</v>
      </c>
    </row>
    <row r="16" spans="1:22" ht="86.4" x14ac:dyDescent="0.25">
      <c r="A16" s="99" t="s">
        <v>252</v>
      </c>
      <c r="B16" s="100" t="s">
        <v>128</v>
      </c>
      <c r="C16" s="97" t="s">
        <v>67</v>
      </c>
      <c r="D16" s="101">
        <v>84</v>
      </c>
      <c r="E16" s="101"/>
      <c r="F16" s="101"/>
      <c r="G16" s="102" t="s">
        <v>19</v>
      </c>
      <c r="H16" s="101">
        <v>0</v>
      </c>
      <c r="I16" s="101"/>
      <c r="J16" s="101"/>
      <c r="K16" s="102" t="s">
        <v>19</v>
      </c>
      <c r="L16" s="101">
        <v>0</v>
      </c>
      <c r="M16" s="101"/>
      <c r="N16" s="101"/>
      <c r="O16" s="100" t="s">
        <v>20</v>
      </c>
      <c r="P16" s="111">
        <v>84</v>
      </c>
      <c r="Q16" s="97" t="s">
        <v>21</v>
      </c>
      <c r="R16" s="101">
        <v>27.9</v>
      </c>
      <c r="S16" s="100" t="s">
        <v>20</v>
      </c>
      <c r="T16" s="111">
        <v>21.7</v>
      </c>
      <c r="U16" s="97" t="s">
        <v>68</v>
      </c>
    </row>
    <row r="17" spans="1:21" ht="86.4" x14ac:dyDescent="0.25">
      <c r="A17" s="102" t="s">
        <v>253</v>
      </c>
      <c r="B17" s="100" t="s">
        <v>254</v>
      </c>
      <c r="C17" s="97" t="s">
        <v>67</v>
      </c>
      <c r="D17" s="101">
        <v>33.5</v>
      </c>
      <c r="E17" s="101"/>
      <c r="F17" s="101"/>
      <c r="G17" s="97" t="s">
        <v>71</v>
      </c>
      <c r="H17" s="101">
        <v>20.9</v>
      </c>
      <c r="I17" s="101"/>
      <c r="J17" s="101"/>
      <c r="K17" s="102" t="s">
        <v>19</v>
      </c>
      <c r="L17" s="101">
        <v>0</v>
      </c>
      <c r="M17" s="101"/>
      <c r="N17" s="101"/>
      <c r="O17" s="100" t="s">
        <v>20</v>
      </c>
      <c r="P17" s="111">
        <v>54.3</v>
      </c>
      <c r="Q17" s="100" t="s">
        <v>30</v>
      </c>
      <c r="R17" s="101">
        <v>25.9</v>
      </c>
      <c r="S17" s="100" t="s">
        <v>20</v>
      </c>
      <c r="T17" s="111">
        <v>14.5</v>
      </c>
      <c r="U17" s="97" t="s">
        <v>68</v>
      </c>
    </row>
    <row r="18" spans="1:21" ht="86.4" x14ac:dyDescent="0.25">
      <c r="A18" s="102" t="s">
        <v>256</v>
      </c>
      <c r="B18" s="100" t="s">
        <v>130</v>
      </c>
      <c r="C18" s="97" t="s">
        <v>67</v>
      </c>
      <c r="D18" s="101">
        <v>82.1</v>
      </c>
      <c r="E18" s="101"/>
      <c r="F18" s="101"/>
      <c r="G18" s="102" t="s">
        <v>19</v>
      </c>
      <c r="H18" s="101">
        <v>0</v>
      </c>
      <c r="I18" s="101"/>
      <c r="J18" s="101"/>
      <c r="K18" s="102" t="s">
        <v>19</v>
      </c>
      <c r="L18" s="101">
        <v>0</v>
      </c>
      <c r="M18" s="101"/>
      <c r="N18" s="101"/>
      <c r="O18" s="100" t="s">
        <v>20</v>
      </c>
      <c r="P18" s="101">
        <v>82.1</v>
      </c>
      <c r="Q18" s="97" t="s">
        <v>21</v>
      </c>
      <c r="R18" s="101">
        <v>13.6</v>
      </c>
      <c r="S18" s="100" t="s">
        <v>20</v>
      </c>
      <c r="T18" s="111">
        <v>20.5</v>
      </c>
      <c r="U18" s="97" t="s">
        <v>68</v>
      </c>
    </row>
    <row r="19" spans="1:21" ht="86.4" x14ac:dyDescent="0.25">
      <c r="A19" s="102" t="s">
        <v>258</v>
      </c>
      <c r="B19" s="100" t="s">
        <v>132</v>
      </c>
      <c r="C19" s="97" t="s">
        <v>67</v>
      </c>
      <c r="D19" s="101">
        <v>85.1</v>
      </c>
      <c r="E19" s="101"/>
      <c r="F19" s="101"/>
      <c r="G19" s="102" t="s">
        <v>19</v>
      </c>
      <c r="H19" s="101">
        <v>0</v>
      </c>
      <c r="I19" s="101"/>
      <c r="J19" s="101"/>
      <c r="K19" s="97" t="s">
        <v>71</v>
      </c>
      <c r="L19" s="101">
        <v>13.5</v>
      </c>
      <c r="M19" s="101"/>
      <c r="N19" s="101"/>
      <c r="O19" s="100" t="s">
        <v>20</v>
      </c>
      <c r="P19" s="111">
        <v>98.7</v>
      </c>
      <c r="Q19" s="97" t="s">
        <v>21</v>
      </c>
      <c r="R19" s="111">
        <v>23.4</v>
      </c>
      <c r="S19" s="100" t="s">
        <v>20</v>
      </c>
      <c r="T19" s="111">
        <v>24.8</v>
      </c>
      <c r="U19" s="97" t="s">
        <v>68</v>
      </c>
    </row>
    <row r="20" spans="1:21" ht="187.2" x14ac:dyDescent="0.25">
      <c r="A20" s="102" t="s">
        <v>260</v>
      </c>
      <c r="B20" s="102" t="s">
        <v>159</v>
      </c>
      <c r="C20" s="97" t="s">
        <v>94</v>
      </c>
      <c r="D20" s="101">
        <v>10.8</v>
      </c>
      <c r="E20" s="101"/>
      <c r="F20" s="101"/>
      <c r="G20" s="97" t="s">
        <v>74</v>
      </c>
      <c r="H20" s="101">
        <v>15.6</v>
      </c>
      <c r="I20" s="101"/>
      <c r="J20" s="101"/>
      <c r="K20" s="97" t="s">
        <v>74</v>
      </c>
      <c r="L20" s="101">
        <v>21.3</v>
      </c>
      <c r="M20" s="101"/>
      <c r="N20" s="101"/>
      <c r="O20" s="100" t="s">
        <v>20</v>
      </c>
      <c r="P20" s="111">
        <v>47.6</v>
      </c>
      <c r="Q20" s="97" t="s">
        <v>210</v>
      </c>
      <c r="R20" s="101">
        <v>8.3000000000000007</v>
      </c>
      <c r="S20" s="100" t="s">
        <v>20</v>
      </c>
      <c r="T20" s="111">
        <v>10.8</v>
      </c>
      <c r="U20" s="97" t="s">
        <v>68</v>
      </c>
    </row>
    <row r="21" spans="1:21" ht="115.2" x14ac:dyDescent="0.25">
      <c r="A21" s="102" t="s">
        <v>263</v>
      </c>
      <c r="B21" s="100" t="s">
        <v>187</v>
      </c>
      <c r="C21" s="97" t="s">
        <v>17</v>
      </c>
      <c r="D21" s="111">
        <v>43.8</v>
      </c>
      <c r="E21" s="111"/>
      <c r="F21" s="111"/>
      <c r="G21" s="97" t="s">
        <v>18</v>
      </c>
      <c r="H21" s="101">
        <v>6.3</v>
      </c>
      <c r="I21" s="101"/>
      <c r="J21" s="101"/>
      <c r="K21" s="97" t="s">
        <v>18</v>
      </c>
      <c r="L21" s="101">
        <v>33.799999999999997</v>
      </c>
      <c r="M21" s="101"/>
      <c r="N21" s="101"/>
      <c r="O21" s="100" t="s">
        <v>20</v>
      </c>
      <c r="P21" s="111">
        <v>83.9</v>
      </c>
      <c r="Q21" s="100" t="s">
        <v>178</v>
      </c>
      <c r="R21" s="101">
        <v>21.6</v>
      </c>
      <c r="S21" s="100" t="s">
        <v>20</v>
      </c>
      <c r="T21" s="111">
        <v>20.3</v>
      </c>
      <c r="U21" s="102" t="s">
        <v>19</v>
      </c>
    </row>
  </sheetData>
  <mergeCells count="15">
    <mergeCell ref="A1:U1"/>
    <mergeCell ref="A2:A4"/>
    <mergeCell ref="B2:B4"/>
    <mergeCell ref="C2:L2"/>
    <mergeCell ref="Q2:R2"/>
    <mergeCell ref="S2:T2"/>
    <mergeCell ref="C3:D3"/>
    <mergeCell ref="E3:F3"/>
    <mergeCell ref="G3:H3"/>
    <mergeCell ref="M3:N3"/>
    <mergeCell ref="O3:P3"/>
    <mergeCell ref="Q3:Q4"/>
    <mergeCell ref="R3:R4"/>
    <mergeCell ref="S3:S4"/>
    <mergeCell ref="T3:T4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7" tint="0.79998168889431442"/>
  </sheetPr>
  <dimension ref="A1:U17"/>
  <sheetViews>
    <sheetView topLeftCell="A11" zoomScale="40" zoomScaleNormal="40" workbookViewId="0">
      <selection activeCell="A54" sqref="A54:U61"/>
    </sheetView>
  </sheetViews>
  <sheetFormatPr defaultRowHeight="13.2" x14ac:dyDescent="0.25"/>
  <cols>
    <col min="1" max="1" width="6.44140625" customWidth="1"/>
    <col min="2" max="2" width="23.33203125" customWidth="1"/>
    <col min="3" max="3" width="42.109375" customWidth="1"/>
    <col min="4" max="4" width="13.109375" customWidth="1"/>
    <col min="5" max="5" width="26.109375" customWidth="1"/>
    <col min="6" max="6" width="13.109375" customWidth="1"/>
    <col min="7" max="7" width="50.44140625" customWidth="1"/>
    <col min="8" max="8" width="13.109375" customWidth="1"/>
    <col min="9" max="9" width="26.109375" customWidth="1"/>
    <col min="10" max="10" width="13.109375" customWidth="1"/>
    <col min="11" max="11" width="48.44140625" customWidth="1"/>
    <col min="12" max="12" width="13.109375" customWidth="1"/>
    <col min="13" max="13" width="30.44140625" customWidth="1"/>
    <col min="14" max="14" width="13.109375" customWidth="1"/>
    <col min="15" max="15" width="19.77734375" customWidth="1"/>
    <col min="16" max="16" width="12.77734375" customWidth="1"/>
    <col min="17" max="17" width="24" customWidth="1"/>
    <col min="18" max="18" width="12.109375" customWidth="1"/>
    <col min="19" max="19" width="16.109375" customWidth="1"/>
    <col min="20" max="20" width="12.77734375" customWidth="1"/>
    <col min="21" max="21" width="26.6640625" customWidth="1"/>
  </cols>
  <sheetData>
    <row r="1" spans="1:21" x14ac:dyDescent="0.25">
      <c r="A1" s="244" t="s">
        <v>359</v>
      </c>
      <c r="B1" s="234"/>
      <c r="C1" s="234"/>
      <c r="D1" s="234"/>
      <c r="E1" s="234"/>
      <c r="F1" s="234"/>
      <c r="G1" s="234"/>
      <c r="H1" s="234"/>
      <c r="I1" s="234"/>
      <c r="J1" s="234"/>
      <c r="K1" s="234"/>
      <c r="L1" s="234"/>
      <c r="M1" s="234"/>
      <c r="N1" s="234"/>
      <c r="O1" s="234"/>
      <c r="P1" s="234"/>
      <c r="Q1" s="234"/>
      <c r="R1" s="234"/>
      <c r="S1" s="234"/>
      <c r="T1" s="234"/>
      <c r="U1" s="234"/>
    </row>
    <row r="2" spans="1:21" ht="17.399999999999999" x14ac:dyDescent="0.25">
      <c r="A2" s="233" t="s">
        <v>1</v>
      </c>
      <c r="B2" s="232" t="s">
        <v>2</v>
      </c>
      <c r="C2" s="234" t="s">
        <v>3</v>
      </c>
      <c r="D2" s="234"/>
      <c r="E2" s="234"/>
      <c r="F2" s="234"/>
      <c r="G2" s="234"/>
      <c r="H2" s="234"/>
      <c r="I2" s="234"/>
      <c r="J2" s="234"/>
      <c r="K2" s="234"/>
      <c r="L2" s="234"/>
      <c r="M2" s="107"/>
      <c r="N2" s="107"/>
      <c r="O2" s="107"/>
      <c r="P2" s="107"/>
      <c r="Q2" s="232" t="s">
        <v>4</v>
      </c>
      <c r="R2" s="232"/>
      <c r="S2" s="235" t="s">
        <v>5</v>
      </c>
      <c r="T2" s="235"/>
      <c r="U2" s="108" t="s">
        <v>6</v>
      </c>
    </row>
    <row r="3" spans="1:21" ht="17.399999999999999" x14ac:dyDescent="0.25">
      <c r="A3" s="233"/>
      <c r="B3" s="232"/>
      <c r="C3" s="235" t="s">
        <v>7</v>
      </c>
      <c r="D3" s="235"/>
      <c r="E3" s="238" t="s">
        <v>8</v>
      </c>
      <c r="F3" s="238"/>
      <c r="G3" s="239" t="s">
        <v>9</v>
      </c>
      <c r="H3" s="239"/>
      <c r="I3" s="109" t="s">
        <v>63</v>
      </c>
      <c r="J3" s="109"/>
      <c r="K3" s="109" t="s">
        <v>64</v>
      </c>
      <c r="L3" s="109"/>
      <c r="M3" s="243" t="s">
        <v>358</v>
      </c>
      <c r="N3" s="239"/>
      <c r="O3" s="240" t="s">
        <v>11</v>
      </c>
      <c r="P3" s="240"/>
      <c r="Q3" s="232" t="s">
        <v>12</v>
      </c>
      <c r="R3" s="233" t="s">
        <v>13</v>
      </c>
      <c r="S3" s="232" t="s">
        <v>12</v>
      </c>
      <c r="T3" s="237" t="s">
        <v>14</v>
      </c>
      <c r="U3" s="108"/>
    </row>
    <row r="4" spans="1:21" ht="34.799999999999997" x14ac:dyDescent="0.25">
      <c r="A4" s="233"/>
      <c r="B4" s="232"/>
      <c r="C4" s="96" t="s">
        <v>12</v>
      </c>
      <c r="D4" s="97" t="s">
        <v>13</v>
      </c>
      <c r="E4" s="96" t="s">
        <v>12</v>
      </c>
      <c r="F4" s="97" t="s">
        <v>13</v>
      </c>
      <c r="G4" s="96" t="s">
        <v>12</v>
      </c>
      <c r="H4" s="97" t="s">
        <v>13</v>
      </c>
      <c r="I4" s="96" t="s">
        <v>12</v>
      </c>
      <c r="J4" s="97" t="s">
        <v>13</v>
      </c>
      <c r="K4" s="96" t="s">
        <v>12</v>
      </c>
      <c r="L4" s="97" t="s">
        <v>13</v>
      </c>
      <c r="M4" s="96" t="s">
        <v>12</v>
      </c>
      <c r="N4" s="97" t="s">
        <v>13</v>
      </c>
      <c r="O4" s="98" t="s">
        <v>12</v>
      </c>
      <c r="P4" s="97" t="s">
        <v>13</v>
      </c>
      <c r="Q4" s="232"/>
      <c r="R4" s="233"/>
      <c r="S4" s="232"/>
      <c r="T4" s="237"/>
      <c r="U4" s="108"/>
    </row>
    <row r="5" spans="1:21" ht="115.2" x14ac:dyDescent="0.25">
      <c r="A5" s="17" t="s">
        <v>266</v>
      </c>
      <c r="B5" s="17" t="s">
        <v>189</v>
      </c>
      <c r="C5" s="1" t="s">
        <v>17</v>
      </c>
      <c r="D5" s="21">
        <v>0.1</v>
      </c>
      <c r="E5" s="85"/>
      <c r="F5" s="85"/>
      <c r="G5" s="1" t="s">
        <v>18</v>
      </c>
      <c r="H5" s="21">
        <v>5.0999999999999996</v>
      </c>
      <c r="I5" s="85"/>
      <c r="J5" s="85"/>
      <c r="K5" s="1" t="s">
        <v>18</v>
      </c>
      <c r="L5" s="19">
        <v>34.5</v>
      </c>
      <c r="M5" s="84"/>
      <c r="N5" s="84"/>
      <c r="O5" s="22" t="s">
        <v>20</v>
      </c>
      <c r="P5" s="21">
        <v>39.700000000000003</v>
      </c>
      <c r="Q5" s="22" t="s">
        <v>178</v>
      </c>
      <c r="R5" s="21">
        <v>6.7</v>
      </c>
      <c r="S5" s="22" t="s">
        <v>20</v>
      </c>
      <c r="T5" s="21">
        <v>9</v>
      </c>
      <c r="U5" s="1" t="s">
        <v>190</v>
      </c>
    </row>
    <row r="6" spans="1:21" ht="86.4" x14ac:dyDescent="0.25">
      <c r="A6" s="7" t="s">
        <v>270</v>
      </c>
      <c r="B6" s="8" t="s">
        <v>192</v>
      </c>
      <c r="C6" s="3" t="s">
        <v>94</v>
      </c>
      <c r="D6" s="9">
        <v>8.5</v>
      </c>
      <c r="E6" s="9"/>
      <c r="F6" s="82"/>
      <c r="G6" s="102" t="s">
        <v>19</v>
      </c>
      <c r="H6" s="101">
        <v>0</v>
      </c>
      <c r="I6" s="101"/>
      <c r="J6" s="101"/>
      <c r="K6" s="97" t="s">
        <v>74</v>
      </c>
      <c r="L6" s="101">
        <v>79.2</v>
      </c>
      <c r="M6" s="101"/>
      <c r="N6" s="101"/>
      <c r="O6" s="100" t="s">
        <v>20</v>
      </c>
      <c r="P6" s="101">
        <v>87.8</v>
      </c>
      <c r="Q6" s="100" t="s">
        <v>178</v>
      </c>
      <c r="R6" s="101">
        <v>29.6</v>
      </c>
      <c r="S6" s="100" t="s">
        <v>20</v>
      </c>
      <c r="T6" s="101">
        <v>21.7</v>
      </c>
      <c r="U6" s="97" t="s">
        <v>68</v>
      </c>
    </row>
    <row r="7" spans="1:21" ht="115.2" x14ac:dyDescent="0.25">
      <c r="A7" s="7" t="s">
        <v>271</v>
      </c>
      <c r="B7" s="10" t="s">
        <v>194</v>
      </c>
      <c r="C7" s="3" t="s">
        <v>17</v>
      </c>
      <c r="D7" s="9">
        <v>46.6</v>
      </c>
      <c r="E7" s="9"/>
      <c r="F7" s="82"/>
      <c r="G7" s="102" t="s">
        <v>19</v>
      </c>
      <c r="H7" s="101">
        <v>0</v>
      </c>
      <c r="I7" s="101"/>
      <c r="J7" s="101"/>
      <c r="K7" s="97" t="s">
        <v>18</v>
      </c>
      <c r="L7" s="101">
        <v>34.299999999999997</v>
      </c>
      <c r="M7" s="101"/>
      <c r="N7" s="101"/>
      <c r="O7" s="100" t="s">
        <v>20</v>
      </c>
      <c r="P7" s="101">
        <v>80.900000000000006</v>
      </c>
      <c r="Q7" s="100" t="s">
        <v>178</v>
      </c>
      <c r="R7" s="101">
        <v>51.3</v>
      </c>
      <c r="S7" s="100" t="s">
        <v>20</v>
      </c>
      <c r="T7" s="101">
        <v>23.6</v>
      </c>
      <c r="U7" s="102" t="s">
        <v>19</v>
      </c>
    </row>
    <row r="8" spans="1:21" ht="115.2" x14ac:dyDescent="0.25">
      <c r="A8" s="7" t="s">
        <v>274</v>
      </c>
      <c r="B8" s="10" t="s">
        <v>196</v>
      </c>
      <c r="C8" s="3" t="s">
        <v>17</v>
      </c>
      <c r="D8" s="9">
        <v>43.2</v>
      </c>
      <c r="E8" s="9"/>
      <c r="F8" s="82"/>
      <c r="G8" s="97" t="s">
        <v>18</v>
      </c>
      <c r="H8" s="101">
        <v>27.9</v>
      </c>
      <c r="I8" s="101"/>
      <c r="J8" s="101"/>
      <c r="K8" s="97" t="s">
        <v>18</v>
      </c>
      <c r="L8" s="101">
        <v>19.8</v>
      </c>
      <c r="M8" s="101"/>
      <c r="N8" s="101"/>
      <c r="O8" s="100" t="s">
        <v>20</v>
      </c>
      <c r="P8" s="101">
        <v>90.9</v>
      </c>
      <c r="Q8" s="100" t="s">
        <v>178</v>
      </c>
      <c r="R8" s="101">
        <v>56.6</v>
      </c>
      <c r="S8" s="100" t="s">
        <v>20</v>
      </c>
      <c r="T8" s="101">
        <v>25</v>
      </c>
      <c r="U8" s="102" t="s">
        <v>19</v>
      </c>
    </row>
    <row r="9" spans="1:21" ht="115.2" x14ac:dyDescent="0.25">
      <c r="A9" s="7" t="s">
        <v>277</v>
      </c>
      <c r="B9" s="8" t="s">
        <v>187</v>
      </c>
      <c r="C9" s="3" t="s">
        <v>17</v>
      </c>
      <c r="D9" s="9">
        <v>33.700000000000003</v>
      </c>
      <c r="E9" s="9"/>
      <c r="F9" s="82"/>
      <c r="G9" s="97" t="s">
        <v>18</v>
      </c>
      <c r="H9" s="101">
        <v>14.4</v>
      </c>
      <c r="I9" s="101"/>
      <c r="J9" s="101"/>
      <c r="K9" s="97" t="s">
        <v>18</v>
      </c>
      <c r="L9" s="101">
        <v>33.799999999999997</v>
      </c>
      <c r="M9" s="101"/>
      <c r="N9" s="101"/>
      <c r="O9" s="100" t="s">
        <v>20</v>
      </c>
      <c r="P9" s="101">
        <v>81.8</v>
      </c>
      <c r="Q9" s="100" t="s">
        <v>178</v>
      </c>
      <c r="R9" s="101">
        <v>21.5</v>
      </c>
      <c r="S9" s="100" t="s">
        <v>20</v>
      </c>
      <c r="T9" s="101">
        <v>20.3</v>
      </c>
      <c r="U9" s="102" t="s">
        <v>19</v>
      </c>
    </row>
    <row r="10" spans="1:21" ht="115.2" x14ac:dyDescent="0.25">
      <c r="A10" s="7" t="s">
        <v>280</v>
      </c>
      <c r="B10" s="10" t="s">
        <v>189</v>
      </c>
      <c r="C10" s="3" t="s">
        <v>17</v>
      </c>
      <c r="D10" s="9">
        <v>0.1</v>
      </c>
      <c r="E10" s="9"/>
      <c r="F10" s="82"/>
      <c r="G10" s="97" t="s">
        <v>18</v>
      </c>
      <c r="H10" s="101">
        <v>5.0999999999999996</v>
      </c>
      <c r="I10" s="101"/>
      <c r="J10" s="101"/>
      <c r="K10" s="97" t="s">
        <v>18</v>
      </c>
      <c r="L10" s="101">
        <v>34.5</v>
      </c>
      <c r="M10" s="101"/>
      <c r="N10" s="101"/>
      <c r="O10" s="100" t="s">
        <v>20</v>
      </c>
      <c r="P10" s="101">
        <v>39.700000000000003</v>
      </c>
      <c r="Q10" s="100" t="s">
        <v>178</v>
      </c>
      <c r="R10" s="101">
        <v>6.7</v>
      </c>
      <c r="S10" s="100" t="s">
        <v>20</v>
      </c>
      <c r="T10" s="101">
        <v>9</v>
      </c>
      <c r="U10" s="97" t="s">
        <v>190</v>
      </c>
    </row>
    <row r="11" spans="1:21" ht="115.2" x14ac:dyDescent="0.25">
      <c r="A11" s="57" t="s">
        <v>281</v>
      </c>
      <c r="B11" s="58" t="s">
        <v>194</v>
      </c>
      <c r="C11" s="79" t="s">
        <v>17</v>
      </c>
      <c r="D11" s="59">
        <v>46.6</v>
      </c>
      <c r="E11" s="94"/>
      <c r="F11" s="66"/>
      <c r="G11" s="112" t="s">
        <v>19</v>
      </c>
      <c r="H11" s="113">
        <v>0</v>
      </c>
      <c r="I11" s="113"/>
      <c r="J11" s="113"/>
      <c r="K11" s="97" t="s">
        <v>18</v>
      </c>
      <c r="L11" s="113">
        <v>34.299999999999997</v>
      </c>
      <c r="M11" s="113"/>
      <c r="N11" s="113"/>
      <c r="O11" s="97" t="s">
        <v>20</v>
      </c>
      <c r="P11" s="113">
        <v>80.8</v>
      </c>
      <c r="Q11" s="97" t="s">
        <v>178</v>
      </c>
      <c r="R11" s="113">
        <v>51.3</v>
      </c>
      <c r="S11" s="97" t="s">
        <v>20</v>
      </c>
      <c r="T11" s="113">
        <v>23.6</v>
      </c>
      <c r="U11" s="112" t="s">
        <v>19</v>
      </c>
    </row>
    <row r="12" spans="1:21" ht="115.2" x14ac:dyDescent="0.25">
      <c r="A12" s="58" t="s">
        <v>282</v>
      </c>
      <c r="B12" s="58" t="s">
        <v>196</v>
      </c>
      <c r="C12" s="79" t="s">
        <v>17</v>
      </c>
      <c r="D12" s="59">
        <v>59.5</v>
      </c>
      <c r="E12" s="94"/>
      <c r="F12" s="66"/>
      <c r="G12" s="97" t="s">
        <v>18</v>
      </c>
      <c r="H12" s="113">
        <v>7.5</v>
      </c>
      <c r="I12" s="113"/>
      <c r="J12" s="113"/>
      <c r="K12" s="97" t="s">
        <v>18</v>
      </c>
      <c r="L12" s="113">
        <v>19.8</v>
      </c>
      <c r="M12" s="113"/>
      <c r="N12" s="113"/>
      <c r="O12" s="97" t="s">
        <v>20</v>
      </c>
      <c r="P12" s="113">
        <v>86.8</v>
      </c>
      <c r="Q12" s="97" t="s">
        <v>178</v>
      </c>
      <c r="R12" s="113">
        <v>56.3</v>
      </c>
      <c r="S12" s="97" t="s">
        <v>20</v>
      </c>
      <c r="T12" s="114">
        <v>24.9</v>
      </c>
      <c r="U12" s="112" t="s">
        <v>19</v>
      </c>
    </row>
    <row r="13" spans="1:21" ht="86.4" x14ac:dyDescent="0.25">
      <c r="A13" s="7" t="s">
        <v>267</v>
      </c>
      <c r="B13" s="8" t="s">
        <v>192</v>
      </c>
      <c r="C13" s="3" t="s">
        <v>94</v>
      </c>
      <c r="D13" s="9">
        <v>8.5</v>
      </c>
      <c r="E13" s="9"/>
      <c r="F13" s="82"/>
      <c r="G13" s="102" t="s">
        <v>19</v>
      </c>
      <c r="H13" s="101">
        <v>0</v>
      </c>
      <c r="I13" s="101"/>
      <c r="J13" s="101"/>
      <c r="K13" s="97" t="s">
        <v>74</v>
      </c>
      <c r="L13" s="101">
        <v>79.2</v>
      </c>
      <c r="M13" s="101"/>
      <c r="N13" s="101"/>
      <c r="O13" s="100" t="s">
        <v>20</v>
      </c>
      <c r="P13" s="111">
        <v>87.7</v>
      </c>
      <c r="Q13" s="100" t="s">
        <v>178</v>
      </c>
      <c r="R13" s="115">
        <v>29.6</v>
      </c>
      <c r="S13" s="100" t="s">
        <v>20</v>
      </c>
      <c r="T13" s="111">
        <v>21.7</v>
      </c>
      <c r="U13" s="97" t="s">
        <v>68</v>
      </c>
    </row>
    <row r="14" spans="1:21" ht="115.2" x14ac:dyDescent="0.25">
      <c r="A14" s="17" t="s">
        <v>268</v>
      </c>
      <c r="B14" s="1" t="s">
        <v>269</v>
      </c>
      <c r="C14" s="1" t="s">
        <v>17</v>
      </c>
      <c r="D14" s="21">
        <v>60.7</v>
      </c>
      <c r="E14" s="85"/>
      <c r="F14" s="87"/>
      <c r="G14" s="97" t="s">
        <v>18</v>
      </c>
      <c r="H14" s="111">
        <v>42.3</v>
      </c>
      <c r="I14" s="111"/>
      <c r="J14" s="111"/>
      <c r="K14" s="97" t="s">
        <v>18</v>
      </c>
      <c r="L14" s="101">
        <v>9.1</v>
      </c>
      <c r="M14" s="101"/>
      <c r="N14" s="101"/>
      <c r="O14" s="100" t="s">
        <v>20</v>
      </c>
      <c r="P14" s="111">
        <v>112.1</v>
      </c>
      <c r="Q14" s="100" t="s">
        <v>178</v>
      </c>
      <c r="R14" s="101">
        <v>81.7</v>
      </c>
      <c r="S14" s="100" t="s">
        <v>20</v>
      </c>
      <c r="T14" s="111">
        <v>31</v>
      </c>
      <c r="U14" s="102" t="s">
        <v>19</v>
      </c>
    </row>
    <row r="15" spans="1:21" ht="115.2" x14ac:dyDescent="0.25">
      <c r="A15" s="7" t="s">
        <v>272</v>
      </c>
      <c r="B15" s="8" t="s">
        <v>273</v>
      </c>
      <c r="C15" s="3" t="s">
        <v>17</v>
      </c>
      <c r="D15" s="9">
        <v>35.4</v>
      </c>
      <c r="E15" s="9"/>
      <c r="F15" s="82"/>
      <c r="G15" s="97" t="s">
        <v>18</v>
      </c>
      <c r="H15" s="101">
        <v>6</v>
      </c>
      <c r="I15" s="101"/>
      <c r="J15" s="101"/>
      <c r="K15" s="102" t="s">
        <v>19</v>
      </c>
      <c r="L15" s="101">
        <v>0</v>
      </c>
      <c r="M15" s="101"/>
      <c r="N15" s="101"/>
      <c r="O15" s="100" t="s">
        <v>20</v>
      </c>
      <c r="P15" s="101">
        <v>41.3</v>
      </c>
      <c r="Q15" s="100" t="s">
        <v>178</v>
      </c>
      <c r="R15" s="116">
        <v>7</v>
      </c>
      <c r="S15" s="100" t="s">
        <v>20</v>
      </c>
      <c r="T15" s="101">
        <v>9.9</v>
      </c>
      <c r="U15" s="102" t="s">
        <v>19</v>
      </c>
    </row>
    <row r="16" spans="1:21" ht="115.2" x14ac:dyDescent="0.25">
      <c r="A16" s="7" t="s">
        <v>275</v>
      </c>
      <c r="B16" s="8" t="s">
        <v>276</v>
      </c>
      <c r="C16" s="3" t="s">
        <v>17</v>
      </c>
      <c r="D16" s="9">
        <v>47.7</v>
      </c>
      <c r="E16" s="9"/>
      <c r="F16" s="82"/>
      <c r="G16" s="97" t="s">
        <v>18</v>
      </c>
      <c r="H16" s="101">
        <v>36.700000000000003</v>
      </c>
      <c r="I16" s="101"/>
      <c r="J16" s="101"/>
      <c r="K16" s="97" t="s">
        <v>18</v>
      </c>
      <c r="L16" s="101">
        <v>17.5</v>
      </c>
      <c r="M16" s="101"/>
      <c r="N16" s="101"/>
      <c r="O16" s="100" t="s">
        <v>20</v>
      </c>
      <c r="P16" s="111">
        <v>102</v>
      </c>
      <c r="Q16" s="100" t="s">
        <v>178</v>
      </c>
      <c r="R16" s="115">
        <v>75.2</v>
      </c>
      <c r="S16" s="100" t="s">
        <v>20</v>
      </c>
      <c r="T16" s="111">
        <v>29.4</v>
      </c>
      <c r="U16" s="102" t="s">
        <v>19</v>
      </c>
    </row>
    <row r="17" spans="1:21" ht="115.2" x14ac:dyDescent="0.25">
      <c r="A17" s="7" t="s">
        <v>278</v>
      </c>
      <c r="B17" s="8" t="s">
        <v>279</v>
      </c>
      <c r="C17" s="3" t="s">
        <v>17</v>
      </c>
      <c r="D17" s="9">
        <v>12.5</v>
      </c>
      <c r="E17" s="9"/>
      <c r="F17" s="82"/>
      <c r="G17" s="97" t="s">
        <v>18</v>
      </c>
      <c r="H17" s="101">
        <v>4.5</v>
      </c>
      <c r="I17" s="101"/>
      <c r="J17" s="101"/>
      <c r="K17" s="97" t="s">
        <v>18</v>
      </c>
      <c r="L17" s="101">
        <v>23.2</v>
      </c>
      <c r="M17" s="101"/>
      <c r="N17" s="101"/>
      <c r="O17" s="100" t="s">
        <v>20</v>
      </c>
      <c r="P17" s="111">
        <v>40.200000000000003</v>
      </c>
      <c r="Q17" s="100" t="s">
        <v>178</v>
      </c>
      <c r="R17" s="116">
        <v>6.2</v>
      </c>
      <c r="S17" s="100" t="s">
        <v>20</v>
      </c>
      <c r="T17" s="101">
        <v>9.6</v>
      </c>
      <c r="U17" s="102" t="s">
        <v>19</v>
      </c>
    </row>
  </sheetData>
  <mergeCells count="15">
    <mergeCell ref="A1:U1"/>
    <mergeCell ref="A2:A4"/>
    <mergeCell ref="B2:B4"/>
    <mergeCell ref="C2:L2"/>
    <mergeCell ref="Q2:R2"/>
    <mergeCell ref="S2:T2"/>
    <mergeCell ref="C3:D3"/>
    <mergeCell ref="E3:F3"/>
    <mergeCell ref="G3:H3"/>
    <mergeCell ref="M3:N3"/>
    <mergeCell ref="O3:P3"/>
    <mergeCell ref="Q3:Q4"/>
    <mergeCell ref="R3:R4"/>
    <mergeCell ref="S3:S4"/>
    <mergeCell ref="T3:T4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7" tint="0.79998168889431442"/>
  </sheetPr>
  <dimension ref="A1:AH12"/>
  <sheetViews>
    <sheetView topLeftCell="A9" zoomScale="40" zoomScaleNormal="40" workbookViewId="0">
      <selection activeCell="A54" sqref="A54:U61"/>
    </sheetView>
  </sheetViews>
  <sheetFormatPr defaultRowHeight="13.2" x14ac:dyDescent="0.25"/>
  <cols>
    <col min="1" max="1" width="6.44140625" customWidth="1"/>
    <col min="2" max="2" width="23.33203125" customWidth="1"/>
    <col min="3" max="3" width="42.109375" customWidth="1"/>
    <col min="4" max="4" width="13.109375" customWidth="1"/>
    <col min="5" max="5" width="26.109375" customWidth="1"/>
    <col min="6" max="6" width="13.109375" customWidth="1"/>
    <col min="7" max="7" width="50.44140625" customWidth="1"/>
    <col min="8" max="8" width="13.109375" customWidth="1"/>
    <col min="9" max="9" width="26.109375" customWidth="1"/>
    <col min="10" max="10" width="13.109375" customWidth="1"/>
    <col min="11" max="11" width="48.44140625" customWidth="1"/>
    <col min="12" max="12" width="13.109375" customWidth="1"/>
    <col min="13" max="13" width="30.44140625" customWidth="1"/>
    <col min="14" max="14" width="13.109375" customWidth="1"/>
    <col min="15" max="15" width="19.77734375" customWidth="1"/>
    <col min="16" max="16" width="12.77734375" customWidth="1"/>
    <col min="17" max="17" width="24" customWidth="1"/>
    <col min="18" max="18" width="12.109375" customWidth="1"/>
    <col min="19" max="19" width="16.109375" customWidth="1"/>
    <col min="20" max="20" width="12.77734375" customWidth="1"/>
    <col min="21" max="21" width="26.6640625" customWidth="1"/>
  </cols>
  <sheetData>
    <row r="1" spans="1:34" x14ac:dyDescent="0.25">
      <c r="A1" s="244" t="s">
        <v>359</v>
      </c>
      <c r="B1" s="234"/>
      <c r="C1" s="234"/>
      <c r="D1" s="234"/>
      <c r="E1" s="234"/>
      <c r="F1" s="234"/>
      <c r="G1" s="234"/>
      <c r="H1" s="234"/>
      <c r="I1" s="234"/>
      <c r="J1" s="234"/>
      <c r="K1" s="234"/>
      <c r="L1" s="234"/>
      <c r="M1" s="234"/>
      <c r="N1" s="234"/>
      <c r="O1" s="234"/>
      <c r="P1" s="234"/>
      <c r="Q1" s="234"/>
      <c r="R1" s="234"/>
      <c r="S1" s="234"/>
      <c r="T1" s="234"/>
      <c r="U1" s="234"/>
    </row>
    <row r="2" spans="1:34" ht="17.399999999999999" x14ac:dyDescent="0.25">
      <c r="A2" s="233" t="s">
        <v>1</v>
      </c>
      <c r="B2" s="232" t="s">
        <v>2</v>
      </c>
      <c r="C2" s="234" t="s">
        <v>3</v>
      </c>
      <c r="D2" s="234"/>
      <c r="E2" s="234"/>
      <c r="F2" s="234"/>
      <c r="G2" s="234"/>
      <c r="H2" s="234"/>
      <c r="I2" s="234"/>
      <c r="J2" s="234"/>
      <c r="K2" s="234"/>
      <c r="L2" s="234"/>
      <c r="M2" s="107"/>
      <c r="N2" s="107"/>
      <c r="O2" s="107"/>
      <c r="P2" s="107"/>
      <c r="Q2" s="232" t="s">
        <v>4</v>
      </c>
      <c r="R2" s="232"/>
      <c r="S2" s="235" t="s">
        <v>5</v>
      </c>
      <c r="T2" s="235"/>
      <c r="U2" s="108" t="s">
        <v>6</v>
      </c>
    </row>
    <row r="3" spans="1:34" ht="17.399999999999999" x14ac:dyDescent="0.25">
      <c r="A3" s="233"/>
      <c r="B3" s="232"/>
      <c r="C3" s="235" t="s">
        <v>7</v>
      </c>
      <c r="D3" s="235"/>
      <c r="E3" s="238" t="s">
        <v>8</v>
      </c>
      <c r="F3" s="238"/>
      <c r="G3" s="239" t="s">
        <v>9</v>
      </c>
      <c r="H3" s="239"/>
      <c r="I3" s="109" t="s">
        <v>63</v>
      </c>
      <c r="J3" s="109"/>
      <c r="K3" s="109" t="s">
        <v>64</v>
      </c>
      <c r="L3" s="109"/>
      <c r="M3" s="243" t="s">
        <v>358</v>
      </c>
      <c r="N3" s="239"/>
      <c r="O3" s="240" t="s">
        <v>11</v>
      </c>
      <c r="P3" s="240"/>
      <c r="Q3" s="232" t="s">
        <v>12</v>
      </c>
      <c r="R3" s="233" t="s">
        <v>13</v>
      </c>
      <c r="S3" s="232" t="s">
        <v>12</v>
      </c>
      <c r="T3" s="237" t="s">
        <v>14</v>
      </c>
      <c r="U3" s="108"/>
    </row>
    <row r="4" spans="1:34" ht="34.799999999999997" x14ac:dyDescent="0.25">
      <c r="A4" s="233"/>
      <c r="B4" s="232"/>
      <c r="C4" s="96" t="s">
        <v>12</v>
      </c>
      <c r="D4" s="97" t="s">
        <v>13</v>
      </c>
      <c r="E4" s="96" t="s">
        <v>12</v>
      </c>
      <c r="F4" s="97" t="s">
        <v>13</v>
      </c>
      <c r="G4" s="96" t="s">
        <v>12</v>
      </c>
      <c r="H4" s="97" t="s">
        <v>13</v>
      </c>
      <c r="I4" s="96" t="s">
        <v>12</v>
      </c>
      <c r="J4" s="97" t="s">
        <v>13</v>
      </c>
      <c r="K4" s="96" t="s">
        <v>12</v>
      </c>
      <c r="L4" s="97" t="s">
        <v>13</v>
      </c>
      <c r="M4" s="96" t="s">
        <v>12</v>
      </c>
      <c r="N4" s="97" t="s">
        <v>13</v>
      </c>
      <c r="O4" s="98" t="s">
        <v>12</v>
      </c>
      <c r="P4" s="97" t="s">
        <v>13</v>
      </c>
      <c r="Q4" s="232"/>
      <c r="R4" s="233"/>
      <c r="S4" s="232"/>
      <c r="T4" s="237"/>
      <c r="U4" s="108"/>
    </row>
    <row r="5" spans="1:34" ht="187.2" x14ac:dyDescent="0.25">
      <c r="A5" s="7" t="s">
        <v>283</v>
      </c>
      <c r="B5" s="10" t="s">
        <v>32</v>
      </c>
      <c r="C5" s="3" t="s">
        <v>17</v>
      </c>
      <c r="D5" s="9">
        <v>40</v>
      </c>
      <c r="E5" s="3" t="s">
        <v>18</v>
      </c>
      <c r="F5" s="9">
        <v>3.7</v>
      </c>
      <c r="G5" s="3" t="s">
        <v>18</v>
      </c>
      <c r="H5" s="9">
        <v>39.9</v>
      </c>
      <c r="I5" s="9"/>
      <c r="J5" s="9"/>
      <c r="K5" s="3" t="s">
        <v>18</v>
      </c>
      <c r="L5" s="9">
        <v>4.9000000000000004</v>
      </c>
      <c r="M5" s="9"/>
      <c r="N5" s="9"/>
      <c r="O5" s="8" t="s">
        <v>20</v>
      </c>
      <c r="P5" s="9">
        <v>88.6</v>
      </c>
      <c r="Q5" s="8" t="s">
        <v>284</v>
      </c>
      <c r="R5" s="9">
        <v>38.700000000000003</v>
      </c>
      <c r="S5" s="8" t="s">
        <v>20</v>
      </c>
      <c r="T5" s="9">
        <v>14.8</v>
      </c>
      <c r="U5" s="10" t="s">
        <v>19</v>
      </c>
      <c r="AH5" s="95"/>
    </row>
    <row r="6" spans="1:34" ht="86.4" x14ac:dyDescent="0.25">
      <c r="A6" s="7" t="s">
        <v>285</v>
      </c>
      <c r="B6" s="8" t="s">
        <v>102</v>
      </c>
      <c r="C6" s="3" t="s">
        <v>94</v>
      </c>
      <c r="D6" s="9">
        <v>7.1</v>
      </c>
      <c r="E6" s="10" t="s">
        <v>19</v>
      </c>
      <c r="F6" s="9">
        <v>0</v>
      </c>
      <c r="G6" s="3" t="s">
        <v>74</v>
      </c>
      <c r="H6" s="9">
        <v>13.2</v>
      </c>
      <c r="I6" s="9"/>
      <c r="J6" s="9"/>
      <c r="K6" s="3" t="s">
        <v>74</v>
      </c>
      <c r="L6" s="9">
        <v>19.5</v>
      </c>
      <c r="M6" s="9"/>
      <c r="N6" s="9"/>
      <c r="O6" s="8" t="s">
        <v>20</v>
      </c>
      <c r="P6" s="9">
        <v>39.799999999999997</v>
      </c>
      <c r="Q6" s="8" t="s">
        <v>284</v>
      </c>
      <c r="R6" s="9">
        <v>5.8</v>
      </c>
      <c r="S6" s="8" t="s">
        <v>20</v>
      </c>
      <c r="T6" s="9">
        <v>9.6</v>
      </c>
      <c r="U6" s="3" t="s">
        <v>68</v>
      </c>
      <c r="AH6" s="95"/>
    </row>
    <row r="7" spans="1:34" ht="115.2" x14ac:dyDescent="0.25">
      <c r="A7" s="7" t="s">
        <v>286</v>
      </c>
      <c r="B7" s="8" t="s">
        <v>287</v>
      </c>
      <c r="C7" s="3" t="s">
        <v>17</v>
      </c>
      <c r="D7" s="9">
        <v>25.2</v>
      </c>
      <c r="E7" s="10" t="s">
        <v>19</v>
      </c>
      <c r="F7" s="9">
        <v>0</v>
      </c>
      <c r="G7" s="10" t="s">
        <v>19</v>
      </c>
      <c r="H7" s="9">
        <v>0</v>
      </c>
      <c r="I7" s="9"/>
      <c r="J7" s="9"/>
      <c r="K7" s="3" t="s">
        <v>18</v>
      </c>
      <c r="L7" s="9">
        <v>13.7</v>
      </c>
      <c r="M7" s="9"/>
      <c r="N7" s="9"/>
      <c r="O7" s="8" t="s">
        <v>20</v>
      </c>
      <c r="P7" s="9">
        <v>38.9</v>
      </c>
      <c r="Q7" s="8" t="s">
        <v>284</v>
      </c>
      <c r="R7" s="9">
        <v>6.2</v>
      </c>
      <c r="S7" s="8" t="s">
        <v>20</v>
      </c>
      <c r="T7" s="9">
        <v>9.5</v>
      </c>
      <c r="U7" s="10" t="s">
        <v>19</v>
      </c>
      <c r="AH7" s="95"/>
    </row>
    <row r="8" spans="1:34" ht="172.8" x14ac:dyDescent="0.25">
      <c r="A8" s="7" t="s">
        <v>288</v>
      </c>
      <c r="B8" s="8" t="s">
        <v>209</v>
      </c>
      <c r="C8" s="3" t="s">
        <v>17</v>
      </c>
      <c r="D8" s="9">
        <v>104</v>
      </c>
      <c r="E8" s="10" t="s">
        <v>19</v>
      </c>
      <c r="F8" s="9">
        <v>0</v>
      </c>
      <c r="G8" s="10" t="s">
        <v>19</v>
      </c>
      <c r="H8" s="9">
        <v>0</v>
      </c>
      <c r="I8" s="9"/>
      <c r="J8" s="9"/>
      <c r="K8" s="10" t="s">
        <v>19</v>
      </c>
      <c r="L8" s="9">
        <v>0</v>
      </c>
      <c r="M8" s="9"/>
      <c r="N8" s="9"/>
      <c r="O8" s="8" t="s">
        <v>20</v>
      </c>
      <c r="P8" s="9">
        <v>104</v>
      </c>
      <c r="Q8" s="3" t="s">
        <v>289</v>
      </c>
      <c r="R8" s="9">
        <v>26.3</v>
      </c>
      <c r="S8" s="8" t="s">
        <v>20</v>
      </c>
      <c r="T8" s="9">
        <v>28.7</v>
      </c>
      <c r="U8" s="10" t="s">
        <v>19</v>
      </c>
      <c r="AH8" s="95"/>
    </row>
    <row r="9" spans="1:34" ht="115.2" x14ac:dyDescent="0.25">
      <c r="A9" s="7" t="s">
        <v>290</v>
      </c>
      <c r="B9" s="8" t="s">
        <v>254</v>
      </c>
      <c r="C9" s="3" t="s">
        <v>17</v>
      </c>
      <c r="D9" s="9">
        <v>25.2</v>
      </c>
      <c r="E9" s="10" t="s">
        <v>19</v>
      </c>
      <c r="F9" s="9">
        <v>0</v>
      </c>
      <c r="G9" s="3" t="s">
        <v>18</v>
      </c>
      <c r="H9" s="9">
        <v>4.7</v>
      </c>
      <c r="I9" s="9"/>
      <c r="J9" s="9"/>
      <c r="K9" s="3" t="s">
        <v>18</v>
      </c>
      <c r="L9" s="9">
        <v>9.1</v>
      </c>
      <c r="M9" s="9"/>
      <c r="N9" s="9"/>
      <c r="O9" s="8" t="s">
        <v>20</v>
      </c>
      <c r="P9" s="9">
        <v>38.9</v>
      </c>
      <c r="Q9" s="8" t="s">
        <v>284</v>
      </c>
      <c r="R9" s="9">
        <v>6.5</v>
      </c>
      <c r="S9" s="8" t="s">
        <v>20</v>
      </c>
      <c r="T9" s="9">
        <v>8.6</v>
      </c>
      <c r="U9" s="10" t="s">
        <v>19</v>
      </c>
      <c r="AH9" s="95"/>
    </row>
    <row r="10" spans="1:34" ht="115.2" x14ac:dyDescent="0.25">
      <c r="A10" s="7" t="s">
        <v>291</v>
      </c>
      <c r="B10" s="10" t="s">
        <v>32</v>
      </c>
      <c r="C10" s="3" t="s">
        <v>17</v>
      </c>
      <c r="D10" s="9">
        <v>60.8</v>
      </c>
      <c r="E10" s="10" t="s">
        <v>19</v>
      </c>
      <c r="F10" s="9">
        <v>0</v>
      </c>
      <c r="G10" s="3" t="s">
        <v>18</v>
      </c>
      <c r="H10" s="9">
        <v>79.099999999999994</v>
      </c>
      <c r="I10" s="9"/>
      <c r="J10" s="9"/>
      <c r="K10" s="3" t="s">
        <v>18</v>
      </c>
      <c r="L10" s="9">
        <v>7.1</v>
      </c>
      <c r="M10" s="9"/>
      <c r="N10" s="9"/>
      <c r="O10" s="8" t="s">
        <v>20</v>
      </c>
      <c r="P10" s="9">
        <v>147</v>
      </c>
      <c r="Q10" s="8" t="s">
        <v>284</v>
      </c>
      <c r="R10" s="9">
        <v>63.1</v>
      </c>
      <c r="S10" s="8" t="s">
        <v>20</v>
      </c>
      <c r="T10" s="9">
        <v>31.5</v>
      </c>
      <c r="U10" s="10" t="s">
        <v>19</v>
      </c>
      <c r="AH10" s="95"/>
    </row>
    <row r="11" spans="1:34" ht="172.8" x14ac:dyDescent="0.25">
      <c r="A11" s="57" t="s">
        <v>292</v>
      </c>
      <c r="B11" s="2" t="s">
        <v>212</v>
      </c>
      <c r="C11" s="79" t="s">
        <v>17</v>
      </c>
      <c r="D11" s="59">
        <v>83.5</v>
      </c>
      <c r="E11" s="58" t="s">
        <v>19</v>
      </c>
      <c r="F11" s="59">
        <v>0</v>
      </c>
      <c r="G11" s="58" t="s">
        <v>19</v>
      </c>
      <c r="H11" s="59">
        <v>0</v>
      </c>
      <c r="I11" s="94"/>
      <c r="J11" s="94"/>
      <c r="K11" s="58" t="s">
        <v>19</v>
      </c>
      <c r="L11" s="59">
        <v>0</v>
      </c>
      <c r="M11" s="94"/>
      <c r="N11" s="94"/>
      <c r="O11" s="2" t="s">
        <v>20</v>
      </c>
      <c r="P11" s="59">
        <v>83.5</v>
      </c>
      <c r="Q11" s="79" t="s">
        <v>289</v>
      </c>
      <c r="R11" s="59">
        <v>18.399999999999999</v>
      </c>
      <c r="S11" s="2" t="s">
        <v>20</v>
      </c>
      <c r="T11" s="59">
        <v>20.399999999999999</v>
      </c>
      <c r="U11" s="58" t="s">
        <v>19</v>
      </c>
      <c r="AH11" s="95"/>
    </row>
    <row r="12" spans="1:34" ht="100.8" x14ac:dyDescent="0.25">
      <c r="A12" s="17" t="s">
        <v>293</v>
      </c>
      <c r="B12" s="17" t="s">
        <v>265</v>
      </c>
      <c r="C12" s="1" t="s">
        <v>67</v>
      </c>
      <c r="D12" s="21">
        <v>43.1</v>
      </c>
      <c r="E12" s="17" t="s">
        <v>19</v>
      </c>
      <c r="F12" s="21">
        <v>0</v>
      </c>
      <c r="G12" s="1" t="s">
        <v>71</v>
      </c>
      <c r="H12" s="21">
        <v>53.7</v>
      </c>
      <c r="I12" s="85"/>
      <c r="J12" s="85"/>
      <c r="K12" s="1" t="s">
        <v>71</v>
      </c>
      <c r="L12" s="21">
        <v>19.100000000000001</v>
      </c>
      <c r="M12" s="85"/>
      <c r="N12" s="85"/>
      <c r="O12" s="22" t="s">
        <v>20</v>
      </c>
      <c r="P12" s="19">
        <v>116</v>
      </c>
      <c r="Q12" s="1" t="s">
        <v>294</v>
      </c>
      <c r="R12" s="21">
        <v>79.599999999999994</v>
      </c>
      <c r="S12" s="22" t="s">
        <v>20</v>
      </c>
      <c r="T12" s="21">
        <v>27.6</v>
      </c>
      <c r="U12" s="1" t="s">
        <v>68</v>
      </c>
      <c r="AH12" s="95"/>
    </row>
  </sheetData>
  <mergeCells count="15">
    <mergeCell ref="A1:U1"/>
    <mergeCell ref="A2:A4"/>
    <mergeCell ref="B2:B4"/>
    <mergeCell ref="C2:L2"/>
    <mergeCell ref="Q2:R2"/>
    <mergeCell ref="S2:T2"/>
    <mergeCell ref="C3:D3"/>
    <mergeCell ref="E3:F3"/>
    <mergeCell ref="G3:H3"/>
    <mergeCell ref="M3:N3"/>
    <mergeCell ref="O3:P3"/>
    <mergeCell ref="Q3:Q4"/>
    <mergeCell ref="R3:R4"/>
    <mergeCell ref="S3:S4"/>
    <mergeCell ref="T3:T4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8" tint="0.79998168889431442"/>
  </sheetPr>
  <dimension ref="A1:U22"/>
  <sheetViews>
    <sheetView topLeftCell="A18" zoomScale="55" zoomScaleNormal="55" workbookViewId="0">
      <selection activeCell="A29" sqref="A29:U39"/>
    </sheetView>
  </sheetViews>
  <sheetFormatPr defaultRowHeight="13.2" x14ac:dyDescent="0.25"/>
  <cols>
    <col min="1" max="1" width="6.44140625" customWidth="1"/>
    <col min="2" max="2" width="23.33203125" customWidth="1"/>
    <col min="3" max="3" width="42.109375" customWidth="1"/>
    <col min="4" max="4" width="13.109375" customWidth="1"/>
    <col min="5" max="5" width="26.109375" customWidth="1"/>
    <col min="6" max="6" width="13.109375" customWidth="1"/>
    <col min="7" max="7" width="50.44140625" customWidth="1"/>
    <col min="8" max="8" width="13.109375" customWidth="1"/>
    <col min="9" max="9" width="26.109375" customWidth="1"/>
    <col min="10" max="10" width="13.109375" customWidth="1"/>
    <col min="11" max="11" width="48.44140625" customWidth="1"/>
    <col min="12" max="12" width="13.109375" customWidth="1"/>
    <col min="13" max="13" width="30.44140625" customWidth="1"/>
    <col min="14" max="14" width="13.109375" customWidth="1"/>
    <col min="15" max="15" width="19.77734375" customWidth="1"/>
    <col min="16" max="16" width="12.77734375" customWidth="1"/>
    <col min="17" max="17" width="24" customWidth="1"/>
    <col min="18" max="18" width="12.109375" customWidth="1"/>
    <col min="19" max="19" width="16.109375" customWidth="1"/>
    <col min="20" max="20" width="12.77734375" customWidth="1"/>
    <col min="21" max="21" width="26.6640625" customWidth="1"/>
  </cols>
  <sheetData>
    <row r="1" spans="1:21" ht="29.25" customHeight="1" x14ac:dyDescent="0.25">
      <c r="A1" s="244" t="s">
        <v>359</v>
      </c>
      <c r="B1" s="234"/>
      <c r="C1" s="234"/>
      <c r="D1" s="234"/>
      <c r="E1" s="234"/>
      <c r="F1" s="234"/>
      <c r="G1" s="234"/>
      <c r="H1" s="234"/>
      <c r="I1" s="234"/>
      <c r="J1" s="234"/>
      <c r="K1" s="234"/>
      <c r="L1" s="234"/>
      <c r="M1" s="234"/>
      <c r="N1" s="234"/>
      <c r="O1" s="234"/>
      <c r="P1" s="234"/>
      <c r="Q1" s="234"/>
      <c r="R1" s="234"/>
      <c r="S1" s="234"/>
      <c r="T1" s="234"/>
      <c r="U1" s="234"/>
    </row>
    <row r="2" spans="1:21" ht="17.399999999999999" x14ac:dyDescent="0.25">
      <c r="A2" s="233" t="s">
        <v>1</v>
      </c>
      <c r="B2" s="232" t="s">
        <v>2</v>
      </c>
      <c r="C2" s="234" t="s">
        <v>3</v>
      </c>
      <c r="D2" s="234"/>
      <c r="E2" s="234"/>
      <c r="F2" s="234"/>
      <c r="G2" s="234"/>
      <c r="H2" s="234"/>
      <c r="I2" s="234"/>
      <c r="J2" s="234"/>
      <c r="K2" s="234"/>
      <c r="L2" s="234"/>
      <c r="M2" s="107"/>
      <c r="N2" s="107"/>
      <c r="O2" s="107"/>
      <c r="P2" s="107"/>
      <c r="Q2" s="232" t="s">
        <v>4</v>
      </c>
      <c r="R2" s="232"/>
      <c r="S2" s="235" t="s">
        <v>5</v>
      </c>
      <c r="T2" s="235"/>
      <c r="U2" s="108" t="s">
        <v>6</v>
      </c>
    </row>
    <row r="3" spans="1:21" ht="17.399999999999999" x14ac:dyDescent="0.25">
      <c r="A3" s="233"/>
      <c r="B3" s="232"/>
      <c r="C3" s="235" t="s">
        <v>7</v>
      </c>
      <c r="D3" s="235"/>
      <c r="E3" s="238" t="s">
        <v>8</v>
      </c>
      <c r="F3" s="238"/>
      <c r="G3" s="239" t="s">
        <v>9</v>
      </c>
      <c r="H3" s="239"/>
      <c r="I3" s="109" t="s">
        <v>63</v>
      </c>
      <c r="J3" s="109"/>
      <c r="K3" s="109" t="s">
        <v>64</v>
      </c>
      <c r="L3" s="109"/>
      <c r="M3" s="243" t="s">
        <v>358</v>
      </c>
      <c r="N3" s="239"/>
      <c r="O3" s="240" t="s">
        <v>11</v>
      </c>
      <c r="P3" s="240"/>
      <c r="Q3" s="232" t="s">
        <v>12</v>
      </c>
      <c r="R3" s="233" t="s">
        <v>13</v>
      </c>
      <c r="S3" s="232" t="s">
        <v>12</v>
      </c>
      <c r="T3" s="237" t="s">
        <v>14</v>
      </c>
      <c r="U3" s="108"/>
    </row>
    <row r="4" spans="1:21" ht="34.799999999999997" x14ac:dyDescent="0.25">
      <c r="A4" s="233"/>
      <c r="B4" s="232"/>
      <c r="C4" s="96" t="s">
        <v>12</v>
      </c>
      <c r="D4" s="97" t="s">
        <v>13</v>
      </c>
      <c r="E4" s="96" t="s">
        <v>12</v>
      </c>
      <c r="F4" s="97" t="s">
        <v>13</v>
      </c>
      <c r="G4" s="96" t="s">
        <v>12</v>
      </c>
      <c r="H4" s="97" t="s">
        <v>13</v>
      </c>
      <c r="I4" s="96" t="s">
        <v>12</v>
      </c>
      <c r="J4" s="97" t="s">
        <v>13</v>
      </c>
      <c r="K4" s="96" t="s">
        <v>12</v>
      </c>
      <c r="L4" s="97" t="s">
        <v>13</v>
      </c>
      <c r="M4" s="96" t="s">
        <v>12</v>
      </c>
      <c r="N4" s="97" t="s">
        <v>13</v>
      </c>
      <c r="O4" s="98" t="s">
        <v>12</v>
      </c>
      <c r="P4" s="97" t="s">
        <v>13</v>
      </c>
      <c r="Q4" s="232"/>
      <c r="R4" s="233"/>
      <c r="S4" s="232"/>
      <c r="T4" s="237"/>
      <c r="U4" s="108"/>
    </row>
    <row r="5" spans="1:21" ht="86.4" x14ac:dyDescent="0.25">
      <c r="A5" s="102" t="s">
        <v>295</v>
      </c>
      <c r="B5" s="100" t="s">
        <v>218</v>
      </c>
      <c r="C5" s="97" t="s">
        <v>67</v>
      </c>
      <c r="D5" s="111">
        <v>49.2</v>
      </c>
      <c r="E5" s="111"/>
      <c r="F5" s="111"/>
      <c r="G5" s="97" t="s">
        <v>71</v>
      </c>
      <c r="H5" s="111">
        <v>43.5</v>
      </c>
      <c r="I5" s="111"/>
      <c r="J5" s="111"/>
      <c r="K5" s="97" t="s">
        <v>71</v>
      </c>
      <c r="L5" s="101">
        <v>16.8</v>
      </c>
      <c r="M5" s="101"/>
      <c r="N5" s="101"/>
      <c r="O5" s="100" t="s">
        <v>20</v>
      </c>
      <c r="P5" s="111">
        <v>109.4</v>
      </c>
      <c r="Q5" s="100" t="s">
        <v>30</v>
      </c>
      <c r="R5" s="101">
        <v>62.8</v>
      </c>
      <c r="S5" s="100" t="s">
        <v>20</v>
      </c>
      <c r="T5" s="101">
        <v>25.1</v>
      </c>
      <c r="U5" s="97" t="s">
        <v>68</v>
      </c>
    </row>
    <row r="6" spans="1:21" ht="86.4" x14ac:dyDescent="0.25">
      <c r="A6" s="102" t="s">
        <v>297</v>
      </c>
      <c r="B6" s="97" t="s">
        <v>298</v>
      </c>
      <c r="C6" s="97" t="s">
        <v>67</v>
      </c>
      <c r="D6" s="101">
        <v>30.9</v>
      </c>
      <c r="E6" s="101"/>
      <c r="F6" s="101"/>
      <c r="G6" s="97" t="s">
        <v>71</v>
      </c>
      <c r="H6" s="101">
        <v>68.099999999999994</v>
      </c>
      <c r="I6" s="101"/>
      <c r="J6" s="101"/>
      <c r="K6" s="97" t="s">
        <v>71</v>
      </c>
      <c r="L6" s="111">
        <v>27.4</v>
      </c>
      <c r="M6" s="111"/>
      <c r="N6" s="111"/>
      <c r="O6" s="100" t="s">
        <v>20</v>
      </c>
      <c r="P6" s="111">
        <v>126.4</v>
      </c>
      <c r="Q6" s="100" t="s">
        <v>30</v>
      </c>
      <c r="R6" s="101">
        <v>89.1</v>
      </c>
      <c r="S6" s="100" t="s">
        <v>20</v>
      </c>
      <c r="T6" s="101">
        <v>22.7</v>
      </c>
      <c r="U6" s="97" t="s">
        <v>68</v>
      </c>
    </row>
    <row r="7" spans="1:21" ht="86.4" x14ac:dyDescent="0.25">
      <c r="A7" s="102" t="s">
        <v>301</v>
      </c>
      <c r="B7" s="100" t="s">
        <v>302</v>
      </c>
      <c r="C7" s="97" t="s">
        <v>67</v>
      </c>
      <c r="D7" s="101">
        <v>17.399999999999999</v>
      </c>
      <c r="E7" s="101"/>
      <c r="F7" s="101"/>
      <c r="G7" s="97" t="s">
        <v>71</v>
      </c>
      <c r="H7" s="111">
        <v>48.7</v>
      </c>
      <c r="I7" s="111"/>
      <c r="J7" s="111"/>
      <c r="K7" s="97" t="s">
        <v>71</v>
      </c>
      <c r="L7" s="101">
        <v>16</v>
      </c>
      <c r="M7" s="101"/>
      <c r="N7" s="101"/>
      <c r="O7" s="100" t="s">
        <v>20</v>
      </c>
      <c r="P7" s="101">
        <v>82.2</v>
      </c>
      <c r="Q7" s="100" t="s">
        <v>30</v>
      </c>
      <c r="R7" s="101">
        <v>29.7</v>
      </c>
      <c r="S7" s="100" t="s">
        <v>20</v>
      </c>
      <c r="T7" s="101">
        <v>19.8</v>
      </c>
      <c r="U7" s="97" t="s">
        <v>68</v>
      </c>
    </row>
    <row r="8" spans="1:21" ht="86.4" x14ac:dyDescent="0.25">
      <c r="A8" s="102" t="s">
        <v>305</v>
      </c>
      <c r="B8" s="100" t="s">
        <v>218</v>
      </c>
      <c r="C8" s="97" t="s">
        <v>67</v>
      </c>
      <c r="D8" s="101">
        <v>52.9</v>
      </c>
      <c r="E8" s="101"/>
      <c r="F8" s="101"/>
      <c r="G8" s="97" t="s">
        <v>71</v>
      </c>
      <c r="H8" s="111">
        <v>43.2</v>
      </c>
      <c r="I8" s="111"/>
      <c r="J8" s="111"/>
      <c r="K8" s="97" t="s">
        <v>71</v>
      </c>
      <c r="L8" s="101">
        <v>12.5</v>
      </c>
      <c r="M8" s="101"/>
      <c r="N8" s="101"/>
      <c r="O8" s="100" t="s">
        <v>20</v>
      </c>
      <c r="P8" s="111">
        <v>108.7</v>
      </c>
      <c r="Q8" s="100" t="s">
        <v>30</v>
      </c>
      <c r="R8" s="111">
        <v>64.599999999999994</v>
      </c>
      <c r="S8" s="100" t="s">
        <v>20</v>
      </c>
      <c r="T8" s="101">
        <v>25.1</v>
      </c>
      <c r="U8" s="97" t="s">
        <v>68</v>
      </c>
    </row>
    <row r="9" spans="1:21" ht="86.4" x14ac:dyDescent="0.25">
      <c r="A9" s="102" t="s">
        <v>307</v>
      </c>
      <c r="B9" s="100" t="s">
        <v>218</v>
      </c>
      <c r="C9" s="97" t="s">
        <v>67</v>
      </c>
      <c r="D9" s="101">
        <v>84.1</v>
      </c>
      <c r="E9" s="101"/>
      <c r="F9" s="101"/>
      <c r="G9" s="97" t="s">
        <v>71</v>
      </c>
      <c r="H9" s="101">
        <v>11.3</v>
      </c>
      <c r="I9" s="101"/>
      <c r="J9" s="101"/>
      <c r="K9" s="97" t="s">
        <v>71</v>
      </c>
      <c r="L9" s="101">
        <v>15.3</v>
      </c>
      <c r="M9" s="101"/>
      <c r="N9" s="101"/>
      <c r="O9" s="100" t="s">
        <v>20</v>
      </c>
      <c r="P9" s="111">
        <v>110.8</v>
      </c>
      <c r="Q9" s="100" t="s">
        <v>30</v>
      </c>
      <c r="R9" s="101">
        <v>69.5</v>
      </c>
      <c r="S9" s="100" t="s">
        <v>20</v>
      </c>
      <c r="T9" s="111">
        <v>24.8</v>
      </c>
      <c r="U9" s="97" t="s">
        <v>68</v>
      </c>
    </row>
    <row r="10" spans="1:21" ht="86.4" x14ac:dyDescent="0.25">
      <c r="A10" s="102" t="s">
        <v>309</v>
      </c>
      <c r="B10" s="100" t="s">
        <v>218</v>
      </c>
      <c r="C10" s="97" t="s">
        <v>67</v>
      </c>
      <c r="D10" s="101">
        <v>55.7</v>
      </c>
      <c r="E10" s="101"/>
      <c r="F10" s="101"/>
      <c r="G10" s="97" t="s">
        <v>71</v>
      </c>
      <c r="H10" s="101">
        <v>35.5</v>
      </c>
      <c r="I10" s="101"/>
      <c r="J10" s="101"/>
      <c r="K10" s="97" t="s">
        <v>71</v>
      </c>
      <c r="L10" s="101">
        <v>18.8</v>
      </c>
      <c r="M10" s="101"/>
      <c r="N10" s="101"/>
      <c r="O10" s="100" t="s">
        <v>20</v>
      </c>
      <c r="P10" s="111">
        <v>110</v>
      </c>
      <c r="Q10" s="100" t="s">
        <v>30</v>
      </c>
      <c r="R10" s="111">
        <v>65.400000000000006</v>
      </c>
      <c r="S10" s="100" t="s">
        <v>20</v>
      </c>
      <c r="T10" s="101">
        <v>25.2</v>
      </c>
      <c r="U10" s="97" t="s">
        <v>68</v>
      </c>
    </row>
    <row r="11" spans="1:21" ht="86.4" x14ac:dyDescent="0.25">
      <c r="A11" s="102" t="s">
        <v>311</v>
      </c>
      <c r="B11" s="100" t="s">
        <v>218</v>
      </c>
      <c r="C11" s="97" t="s">
        <v>67</v>
      </c>
      <c r="D11" s="101">
        <v>55.3</v>
      </c>
      <c r="E11" s="101"/>
      <c r="F11" s="101"/>
      <c r="G11" s="97" t="s">
        <v>71</v>
      </c>
      <c r="H11" s="101">
        <v>36.700000000000003</v>
      </c>
      <c r="I11" s="101"/>
      <c r="J11" s="101"/>
      <c r="K11" s="97" t="s">
        <v>71</v>
      </c>
      <c r="L11" s="101">
        <v>15.3</v>
      </c>
      <c r="M11" s="101"/>
      <c r="N11" s="101"/>
      <c r="O11" s="100" t="s">
        <v>20</v>
      </c>
      <c r="P11" s="111">
        <v>107.3</v>
      </c>
      <c r="Q11" s="100" t="s">
        <v>30</v>
      </c>
      <c r="R11" s="101">
        <v>63.7</v>
      </c>
      <c r="S11" s="100" t="s">
        <v>20</v>
      </c>
      <c r="T11" s="101">
        <v>32.6</v>
      </c>
      <c r="U11" s="97" t="s">
        <v>68</v>
      </c>
    </row>
    <row r="12" spans="1:21" ht="86.4" x14ac:dyDescent="0.25">
      <c r="A12" s="102" t="s">
        <v>313</v>
      </c>
      <c r="B12" s="100" t="s">
        <v>218</v>
      </c>
      <c r="C12" s="97" t="s">
        <v>67</v>
      </c>
      <c r="D12" s="101">
        <v>88.8</v>
      </c>
      <c r="E12" s="101"/>
      <c r="F12" s="101"/>
      <c r="G12" s="97" t="s">
        <v>71</v>
      </c>
      <c r="H12" s="101">
        <v>14.9</v>
      </c>
      <c r="I12" s="101"/>
      <c r="J12" s="101"/>
      <c r="K12" s="102" t="s">
        <v>19</v>
      </c>
      <c r="L12" s="101">
        <v>0</v>
      </c>
      <c r="M12" s="101"/>
      <c r="N12" s="101"/>
      <c r="O12" s="100" t="s">
        <v>20</v>
      </c>
      <c r="P12" s="111">
        <v>103.7</v>
      </c>
      <c r="Q12" s="100" t="s">
        <v>30</v>
      </c>
      <c r="R12" s="111">
        <v>123.1</v>
      </c>
      <c r="S12" s="100" t="s">
        <v>20</v>
      </c>
      <c r="T12" s="101">
        <v>33.299999999999997</v>
      </c>
      <c r="U12" s="97" t="s">
        <v>68</v>
      </c>
    </row>
    <row r="13" spans="1:21" ht="86.4" x14ac:dyDescent="0.25">
      <c r="A13" s="102" t="s">
        <v>315</v>
      </c>
      <c r="B13" s="100" t="s">
        <v>81</v>
      </c>
      <c r="C13" s="97" t="s">
        <v>94</v>
      </c>
      <c r="D13" s="101">
        <v>7.1</v>
      </c>
      <c r="E13" s="101"/>
      <c r="F13" s="101"/>
      <c r="G13" s="102" t="s">
        <v>19</v>
      </c>
      <c r="H13" s="101">
        <v>0</v>
      </c>
      <c r="I13" s="101"/>
      <c r="J13" s="101"/>
      <c r="K13" s="97" t="s">
        <v>74</v>
      </c>
      <c r="L13" s="101">
        <v>27.1</v>
      </c>
      <c r="M13" s="101"/>
      <c r="N13" s="101"/>
      <c r="O13" s="100" t="s">
        <v>20</v>
      </c>
      <c r="P13" s="111">
        <v>34.200000000000003</v>
      </c>
      <c r="Q13" s="97" t="s">
        <v>21</v>
      </c>
      <c r="R13" s="101">
        <v>5.4</v>
      </c>
      <c r="S13" s="100" t="s">
        <v>20</v>
      </c>
      <c r="T13" s="101">
        <v>8.1999999999999993</v>
      </c>
      <c r="U13" s="97" t="s">
        <v>68</v>
      </c>
    </row>
    <row r="14" spans="1:21" ht="86.4" x14ac:dyDescent="0.25">
      <c r="A14" s="102" t="s">
        <v>296</v>
      </c>
      <c r="B14" s="100" t="s">
        <v>228</v>
      </c>
      <c r="C14" s="97" t="s">
        <v>94</v>
      </c>
      <c r="D14" s="111">
        <v>49.2</v>
      </c>
      <c r="E14" s="111"/>
      <c r="F14" s="111"/>
      <c r="G14" s="102" t="s">
        <v>19</v>
      </c>
      <c r="H14" s="101">
        <v>0</v>
      </c>
      <c r="I14" s="101"/>
      <c r="J14" s="101"/>
      <c r="K14" s="97" t="s">
        <v>74</v>
      </c>
      <c r="L14" s="101">
        <v>29.9</v>
      </c>
      <c r="M14" s="101"/>
      <c r="N14" s="101"/>
      <c r="O14" s="100" t="s">
        <v>20</v>
      </c>
      <c r="P14" s="101">
        <v>79.099999999999994</v>
      </c>
      <c r="Q14" s="97" t="s">
        <v>21</v>
      </c>
      <c r="R14" s="101">
        <v>15.8</v>
      </c>
      <c r="S14" s="100" t="s">
        <v>20</v>
      </c>
      <c r="T14" s="111">
        <v>20.2</v>
      </c>
      <c r="U14" s="97" t="s">
        <v>68</v>
      </c>
    </row>
    <row r="15" spans="1:21" ht="115.2" x14ac:dyDescent="0.25">
      <c r="A15" s="102" t="s">
        <v>299</v>
      </c>
      <c r="B15" s="97" t="s">
        <v>300</v>
      </c>
      <c r="C15" s="97" t="s">
        <v>67</v>
      </c>
      <c r="D15" s="111">
        <v>316.89999999999998</v>
      </c>
      <c r="E15" s="111"/>
      <c r="F15" s="111"/>
      <c r="G15" s="97" t="s">
        <v>71</v>
      </c>
      <c r="H15" s="111">
        <v>124.2</v>
      </c>
      <c r="I15" s="111"/>
      <c r="J15" s="111"/>
      <c r="K15" s="97" t="s">
        <v>71</v>
      </c>
      <c r="L15" s="101">
        <v>26.1</v>
      </c>
      <c r="M15" s="101"/>
      <c r="N15" s="101"/>
      <c r="O15" s="100" t="s">
        <v>20</v>
      </c>
      <c r="P15" s="111">
        <v>467.2</v>
      </c>
      <c r="Q15" s="97" t="s">
        <v>21</v>
      </c>
      <c r="R15" s="111">
        <v>256.89999999999998</v>
      </c>
      <c r="S15" s="100" t="s">
        <v>20</v>
      </c>
      <c r="T15" s="111">
        <v>80.400000000000006</v>
      </c>
      <c r="U15" s="97" t="s">
        <v>68</v>
      </c>
    </row>
    <row r="16" spans="1:21" ht="86.4" x14ac:dyDescent="0.25">
      <c r="A16" s="102" t="s">
        <v>303</v>
      </c>
      <c r="B16" s="102" t="s">
        <v>304</v>
      </c>
      <c r="C16" s="97" t="s">
        <v>67</v>
      </c>
      <c r="D16" s="101">
        <v>78.7</v>
      </c>
      <c r="E16" s="101"/>
      <c r="F16" s="101"/>
      <c r="G16" s="102" t="s">
        <v>19</v>
      </c>
      <c r="H16" s="101">
        <v>0</v>
      </c>
      <c r="I16" s="101"/>
      <c r="J16" s="101"/>
      <c r="K16" s="102" t="s">
        <v>19</v>
      </c>
      <c r="L16" s="101">
        <v>0</v>
      </c>
      <c r="M16" s="101"/>
      <c r="N16" s="101"/>
      <c r="O16" s="100" t="s">
        <v>20</v>
      </c>
      <c r="P16" s="111">
        <v>78.7</v>
      </c>
      <c r="Q16" s="100" t="s">
        <v>30</v>
      </c>
      <c r="R16" s="101">
        <v>13.3</v>
      </c>
      <c r="S16" s="100" t="s">
        <v>20</v>
      </c>
      <c r="T16" s="111">
        <v>13.8</v>
      </c>
      <c r="U16" s="97" t="s">
        <v>68</v>
      </c>
    </row>
    <row r="17" spans="1:21" ht="86.4" x14ac:dyDescent="0.25">
      <c r="A17" s="102" t="s">
        <v>306</v>
      </c>
      <c r="B17" s="100" t="s">
        <v>98</v>
      </c>
      <c r="C17" s="97" t="s">
        <v>94</v>
      </c>
      <c r="D17" s="101">
        <v>13.6</v>
      </c>
      <c r="E17" s="101"/>
      <c r="F17" s="101"/>
      <c r="G17" s="97" t="s">
        <v>74</v>
      </c>
      <c r="H17" s="101">
        <v>16.3</v>
      </c>
      <c r="I17" s="101"/>
      <c r="J17" s="101"/>
      <c r="K17" s="97" t="s">
        <v>74</v>
      </c>
      <c r="L17" s="101">
        <v>6.7</v>
      </c>
      <c r="M17" s="101"/>
      <c r="N17" s="101"/>
      <c r="O17" s="100" t="s">
        <v>20</v>
      </c>
      <c r="P17" s="111">
        <v>36.6</v>
      </c>
      <c r="Q17" s="97" t="s">
        <v>21</v>
      </c>
      <c r="R17" s="101">
        <v>5.4</v>
      </c>
      <c r="S17" s="100" t="s">
        <v>20</v>
      </c>
      <c r="T17" s="101">
        <v>8.9</v>
      </c>
      <c r="U17" s="97" t="s">
        <v>68</v>
      </c>
    </row>
    <row r="18" spans="1:21" ht="86.4" x14ac:dyDescent="0.25">
      <c r="A18" s="102" t="s">
        <v>308</v>
      </c>
      <c r="B18" s="100" t="s">
        <v>102</v>
      </c>
      <c r="C18" s="97" t="s">
        <v>94</v>
      </c>
      <c r="D18" s="101">
        <v>16</v>
      </c>
      <c r="E18" s="101"/>
      <c r="F18" s="101"/>
      <c r="G18" s="97" t="s">
        <v>74</v>
      </c>
      <c r="H18" s="101">
        <v>15</v>
      </c>
      <c r="I18" s="101"/>
      <c r="J18" s="101"/>
      <c r="K18" s="97" t="s">
        <v>74</v>
      </c>
      <c r="L18" s="101">
        <v>30</v>
      </c>
      <c r="M18" s="101"/>
      <c r="N18" s="101"/>
      <c r="O18" s="100" t="s">
        <v>20</v>
      </c>
      <c r="P18" s="101">
        <v>61</v>
      </c>
      <c r="Q18" s="97" t="s">
        <v>21</v>
      </c>
      <c r="R18" s="101">
        <v>11.9</v>
      </c>
      <c r="S18" s="100" t="s">
        <v>20</v>
      </c>
      <c r="T18" s="111">
        <v>15</v>
      </c>
      <c r="U18" s="97" t="s">
        <v>68</v>
      </c>
    </row>
    <row r="19" spans="1:21" ht="86.4" x14ac:dyDescent="0.25">
      <c r="A19" s="102" t="s">
        <v>310</v>
      </c>
      <c r="B19" s="100" t="s">
        <v>254</v>
      </c>
      <c r="C19" s="97" t="s">
        <v>67</v>
      </c>
      <c r="D19" s="101">
        <v>31.8</v>
      </c>
      <c r="E19" s="101"/>
      <c r="F19" s="101"/>
      <c r="G19" s="97" t="s">
        <v>71</v>
      </c>
      <c r="H19" s="101">
        <v>16.2</v>
      </c>
      <c r="I19" s="101"/>
      <c r="J19" s="101"/>
      <c r="K19" s="97" t="s">
        <v>71</v>
      </c>
      <c r="L19" s="101">
        <v>1.2</v>
      </c>
      <c r="M19" s="101"/>
      <c r="N19" s="101"/>
      <c r="O19" s="100" t="s">
        <v>20</v>
      </c>
      <c r="P19" s="101">
        <v>49.1</v>
      </c>
      <c r="Q19" s="100" t="s">
        <v>30</v>
      </c>
      <c r="R19" s="101">
        <v>25.8</v>
      </c>
      <c r="S19" s="100" t="s">
        <v>20</v>
      </c>
      <c r="T19" s="111">
        <v>14.5</v>
      </c>
      <c r="U19" s="97" t="s">
        <v>68</v>
      </c>
    </row>
    <row r="20" spans="1:21" ht="86.4" x14ac:dyDescent="0.25">
      <c r="A20" s="102" t="s">
        <v>312</v>
      </c>
      <c r="B20" s="100" t="s">
        <v>126</v>
      </c>
      <c r="C20" s="97" t="s">
        <v>67</v>
      </c>
      <c r="D20" s="111">
        <v>78.400000000000006</v>
      </c>
      <c r="E20" s="111"/>
      <c r="F20" s="111"/>
      <c r="G20" s="102" t="s">
        <v>19</v>
      </c>
      <c r="H20" s="101">
        <v>0</v>
      </c>
      <c r="I20" s="101"/>
      <c r="J20" s="101"/>
      <c r="K20" s="102" t="s">
        <v>19</v>
      </c>
      <c r="L20" s="101">
        <v>0</v>
      </c>
      <c r="M20" s="101"/>
      <c r="N20" s="101"/>
      <c r="O20" s="100" t="s">
        <v>20</v>
      </c>
      <c r="P20" s="111">
        <v>78.400000000000006</v>
      </c>
      <c r="Q20" s="97" t="s">
        <v>21</v>
      </c>
      <c r="R20" s="111">
        <v>45</v>
      </c>
      <c r="S20" s="100" t="s">
        <v>20</v>
      </c>
      <c r="T20" s="101">
        <v>17.100000000000001</v>
      </c>
      <c r="U20" s="97" t="s">
        <v>68</v>
      </c>
    </row>
    <row r="21" spans="1:21" ht="86.4" x14ac:dyDescent="0.25">
      <c r="A21" s="102" t="s">
        <v>314</v>
      </c>
      <c r="B21" s="102" t="s">
        <v>265</v>
      </c>
      <c r="C21" s="97" t="s">
        <v>67</v>
      </c>
      <c r="D21" s="101">
        <v>94.1</v>
      </c>
      <c r="E21" s="101"/>
      <c r="F21" s="101"/>
      <c r="G21" s="97" t="s">
        <v>71</v>
      </c>
      <c r="H21" s="111">
        <v>54.2</v>
      </c>
      <c r="I21" s="111"/>
      <c r="J21" s="111"/>
      <c r="K21" s="97" t="s">
        <v>71</v>
      </c>
      <c r="L21" s="101">
        <v>8.8000000000000007</v>
      </c>
      <c r="M21" s="101"/>
      <c r="N21" s="101"/>
      <c r="O21" s="100" t="s">
        <v>20</v>
      </c>
      <c r="P21" s="111">
        <v>157.1</v>
      </c>
      <c r="Q21" s="97" t="s">
        <v>21</v>
      </c>
      <c r="R21" s="111">
        <v>207</v>
      </c>
      <c r="S21" s="100" t="s">
        <v>20</v>
      </c>
      <c r="T21" s="111">
        <v>34.200000000000003</v>
      </c>
      <c r="U21" s="97" t="s">
        <v>68</v>
      </c>
    </row>
    <row r="22" spans="1:21" ht="86.4" x14ac:dyDescent="0.25">
      <c r="A22" s="102" t="s">
        <v>316</v>
      </c>
      <c r="B22" s="102" t="s">
        <v>32</v>
      </c>
      <c r="C22" s="97" t="s">
        <v>67</v>
      </c>
      <c r="D22" s="111">
        <v>150.9</v>
      </c>
      <c r="E22" s="111"/>
      <c r="F22" s="111"/>
      <c r="G22" s="97" t="s">
        <v>71</v>
      </c>
      <c r="H22" s="111">
        <v>117.1</v>
      </c>
      <c r="I22" s="111"/>
      <c r="J22" s="111"/>
      <c r="K22" s="97" t="s">
        <v>71</v>
      </c>
      <c r="L22" s="101">
        <v>2.2000000000000002</v>
      </c>
      <c r="M22" s="101"/>
      <c r="N22" s="101"/>
      <c r="O22" s="100" t="s">
        <v>20</v>
      </c>
      <c r="P22" s="111">
        <v>270.2</v>
      </c>
      <c r="Q22" s="97" t="s">
        <v>21</v>
      </c>
      <c r="R22" s="111">
        <v>218.4</v>
      </c>
      <c r="S22" s="100" t="s">
        <v>20</v>
      </c>
      <c r="T22" s="111">
        <v>52.4</v>
      </c>
      <c r="U22" s="97" t="s">
        <v>68</v>
      </c>
    </row>
  </sheetData>
  <mergeCells count="15">
    <mergeCell ref="A1:U1"/>
    <mergeCell ref="A2:A4"/>
    <mergeCell ref="B2:B4"/>
    <mergeCell ref="C2:L2"/>
    <mergeCell ref="Q2:R2"/>
    <mergeCell ref="S2:T2"/>
    <mergeCell ref="C3:D3"/>
    <mergeCell ref="E3:F3"/>
    <mergeCell ref="G3:H3"/>
    <mergeCell ref="M3:N3"/>
    <mergeCell ref="O3:P3"/>
    <mergeCell ref="Q3:Q4"/>
    <mergeCell ref="R3:R4"/>
    <mergeCell ref="S3:S4"/>
    <mergeCell ref="T3:T4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8" tint="0.79998168889431442"/>
  </sheetPr>
  <dimension ref="A1:AB17"/>
  <sheetViews>
    <sheetView zoomScale="55" zoomScaleNormal="55" workbookViewId="0">
      <selection activeCell="A29" sqref="A29:U39"/>
    </sheetView>
  </sheetViews>
  <sheetFormatPr defaultRowHeight="13.2" x14ac:dyDescent="0.25"/>
  <cols>
    <col min="1" max="1" width="6.44140625" customWidth="1"/>
    <col min="2" max="2" width="23.33203125" customWidth="1"/>
    <col min="3" max="3" width="42.109375" customWidth="1"/>
    <col min="4" max="4" width="13.109375" customWidth="1"/>
    <col min="5" max="5" width="26.109375" customWidth="1"/>
    <col min="6" max="6" width="13.109375" customWidth="1"/>
    <col min="7" max="7" width="50.44140625" customWidth="1"/>
    <col min="8" max="8" width="13.109375" customWidth="1"/>
    <col min="9" max="9" width="26.109375" customWidth="1"/>
    <col min="10" max="10" width="13.109375" customWidth="1"/>
    <col min="11" max="11" width="48.44140625" customWidth="1"/>
    <col min="12" max="12" width="13.109375" customWidth="1"/>
    <col min="13" max="13" width="30.44140625" customWidth="1"/>
    <col min="14" max="14" width="13.109375" customWidth="1"/>
    <col min="15" max="15" width="19.77734375" customWidth="1"/>
    <col min="16" max="16" width="12.77734375" customWidth="1"/>
    <col min="17" max="17" width="24" customWidth="1"/>
    <col min="18" max="18" width="12.109375" customWidth="1"/>
    <col min="19" max="19" width="16.109375" customWidth="1"/>
    <col min="20" max="20" width="12.77734375" customWidth="1"/>
    <col min="21" max="21" width="26.6640625" customWidth="1"/>
    <col min="22" max="22" width="12.77734375" customWidth="1"/>
  </cols>
  <sheetData>
    <row r="1" spans="1:28" ht="41.25" customHeight="1" x14ac:dyDescent="0.25">
      <c r="A1" s="244" t="s">
        <v>359</v>
      </c>
      <c r="B1" s="234"/>
      <c r="C1" s="234"/>
      <c r="D1" s="234"/>
      <c r="E1" s="234"/>
      <c r="F1" s="234"/>
      <c r="G1" s="234"/>
      <c r="H1" s="234"/>
      <c r="I1" s="234"/>
      <c r="J1" s="234"/>
      <c r="K1" s="234"/>
      <c r="L1" s="234"/>
      <c r="M1" s="234"/>
      <c r="N1" s="234"/>
      <c r="O1" s="234"/>
      <c r="P1" s="234"/>
      <c r="Q1" s="234"/>
      <c r="R1" s="234"/>
      <c r="S1" s="234"/>
      <c r="T1" s="234"/>
      <c r="U1" s="234"/>
    </row>
    <row r="2" spans="1:28" ht="17.399999999999999" x14ac:dyDescent="0.25">
      <c r="A2" s="233" t="s">
        <v>1</v>
      </c>
      <c r="B2" s="232" t="s">
        <v>2</v>
      </c>
      <c r="C2" s="234" t="s">
        <v>3</v>
      </c>
      <c r="D2" s="234"/>
      <c r="E2" s="234"/>
      <c r="F2" s="234"/>
      <c r="G2" s="234"/>
      <c r="H2" s="234"/>
      <c r="I2" s="234"/>
      <c r="J2" s="234"/>
      <c r="K2" s="234"/>
      <c r="L2" s="234"/>
      <c r="M2" s="107"/>
      <c r="N2" s="107"/>
      <c r="O2" s="107"/>
      <c r="P2" s="107"/>
      <c r="Q2" s="232" t="s">
        <v>4</v>
      </c>
      <c r="R2" s="232"/>
      <c r="S2" s="235" t="s">
        <v>5</v>
      </c>
      <c r="T2" s="235"/>
      <c r="U2" s="108" t="s">
        <v>6</v>
      </c>
    </row>
    <row r="3" spans="1:28" ht="17.399999999999999" x14ac:dyDescent="0.25">
      <c r="A3" s="233"/>
      <c r="B3" s="232"/>
      <c r="C3" s="235" t="s">
        <v>7</v>
      </c>
      <c r="D3" s="235"/>
      <c r="E3" s="238" t="s">
        <v>8</v>
      </c>
      <c r="F3" s="238"/>
      <c r="G3" s="239" t="s">
        <v>9</v>
      </c>
      <c r="H3" s="239"/>
      <c r="I3" s="109" t="s">
        <v>63</v>
      </c>
      <c r="J3" s="109"/>
      <c r="K3" s="109" t="s">
        <v>64</v>
      </c>
      <c r="L3" s="109"/>
      <c r="M3" s="243" t="s">
        <v>358</v>
      </c>
      <c r="N3" s="239"/>
      <c r="O3" s="240" t="s">
        <v>11</v>
      </c>
      <c r="P3" s="240"/>
      <c r="Q3" s="232" t="s">
        <v>12</v>
      </c>
      <c r="R3" s="233" t="s">
        <v>13</v>
      </c>
      <c r="S3" s="232" t="s">
        <v>12</v>
      </c>
      <c r="T3" s="237" t="s">
        <v>14</v>
      </c>
      <c r="U3" s="108"/>
    </row>
    <row r="4" spans="1:28" ht="34.799999999999997" x14ac:dyDescent="0.25">
      <c r="A4" s="233"/>
      <c r="B4" s="232"/>
      <c r="C4" s="96" t="s">
        <v>12</v>
      </c>
      <c r="D4" s="97" t="s">
        <v>13</v>
      </c>
      <c r="E4" s="96" t="s">
        <v>12</v>
      </c>
      <c r="F4" s="97" t="s">
        <v>13</v>
      </c>
      <c r="G4" s="96" t="s">
        <v>12</v>
      </c>
      <c r="H4" s="97" t="s">
        <v>13</v>
      </c>
      <c r="I4" s="96" t="s">
        <v>12</v>
      </c>
      <c r="J4" s="97" t="s">
        <v>13</v>
      </c>
      <c r="K4" s="96" t="s">
        <v>12</v>
      </c>
      <c r="L4" s="97" t="s">
        <v>13</v>
      </c>
      <c r="M4" s="96" t="s">
        <v>12</v>
      </c>
      <c r="N4" s="97" t="s">
        <v>13</v>
      </c>
      <c r="O4" s="98" t="s">
        <v>12</v>
      </c>
      <c r="P4" s="97" t="s">
        <v>13</v>
      </c>
      <c r="Q4" s="232"/>
      <c r="R4" s="233"/>
      <c r="S4" s="232"/>
      <c r="T4" s="237"/>
      <c r="U4" s="108"/>
    </row>
    <row r="5" spans="1:28" ht="86.4" hidden="1" x14ac:dyDescent="0.25">
      <c r="A5" s="58" t="s">
        <v>317</v>
      </c>
      <c r="B5" s="2" t="s">
        <v>130</v>
      </c>
      <c r="C5" s="123" t="s">
        <v>67</v>
      </c>
      <c r="D5" s="59">
        <v>84.5</v>
      </c>
      <c r="E5" s="94"/>
      <c r="F5" s="94"/>
      <c r="G5" s="58" t="s">
        <v>19</v>
      </c>
      <c r="H5" s="59">
        <v>0</v>
      </c>
      <c r="I5" s="94"/>
      <c r="J5" s="94"/>
      <c r="K5" s="58" t="s">
        <v>19</v>
      </c>
      <c r="L5" s="59">
        <v>0</v>
      </c>
      <c r="M5" s="94"/>
      <c r="N5" s="94"/>
      <c r="O5" s="2" t="s">
        <v>20</v>
      </c>
      <c r="P5" s="59">
        <v>84.5</v>
      </c>
      <c r="Q5" s="129" t="s">
        <v>21</v>
      </c>
      <c r="R5" s="59">
        <v>48.5</v>
      </c>
      <c r="S5" s="2" t="s">
        <v>20</v>
      </c>
      <c r="T5" s="59">
        <v>20.5</v>
      </c>
      <c r="U5" s="129" t="s">
        <v>68</v>
      </c>
      <c r="V5" s="245"/>
    </row>
    <row r="6" spans="1:28" ht="86.4" hidden="1" x14ac:dyDescent="0.25">
      <c r="A6" s="139" t="s">
        <v>319</v>
      </c>
      <c r="B6" s="137" t="s">
        <v>132</v>
      </c>
      <c r="C6" s="123" t="s">
        <v>67</v>
      </c>
      <c r="D6" s="59">
        <v>114.2</v>
      </c>
      <c r="E6" s="94"/>
      <c r="F6" s="94"/>
      <c r="G6" s="58" t="s">
        <v>19</v>
      </c>
      <c r="H6" s="59">
        <v>0</v>
      </c>
      <c r="I6" s="94"/>
      <c r="J6" s="94"/>
      <c r="K6" s="123" t="s">
        <v>67</v>
      </c>
      <c r="L6" s="59">
        <v>18.600000000000001</v>
      </c>
      <c r="M6" s="94"/>
      <c r="N6" s="94"/>
      <c r="O6" s="2" t="s">
        <v>20</v>
      </c>
      <c r="P6" s="59">
        <v>132.80000000000001</v>
      </c>
      <c r="Q6" s="129" t="s">
        <v>21</v>
      </c>
      <c r="R6" s="59">
        <v>29.4</v>
      </c>
      <c r="S6" s="2" t="s">
        <v>20</v>
      </c>
      <c r="T6" s="59">
        <v>23.3</v>
      </c>
      <c r="U6" s="129" t="s">
        <v>68</v>
      </c>
      <c r="V6" s="245"/>
    </row>
    <row r="7" spans="1:28" ht="115.2" hidden="1" x14ac:dyDescent="0.25">
      <c r="A7" s="58" t="s">
        <v>322</v>
      </c>
      <c r="B7" s="2" t="s">
        <v>187</v>
      </c>
      <c r="C7" s="3" t="s">
        <v>337</v>
      </c>
      <c r="D7" s="59">
        <v>43.6</v>
      </c>
      <c r="E7" s="94"/>
      <c r="F7" s="94"/>
      <c r="G7" s="3" t="s">
        <v>337</v>
      </c>
      <c r="H7" s="59">
        <v>6.3</v>
      </c>
      <c r="I7" s="94"/>
      <c r="J7" s="94"/>
      <c r="K7" s="3" t="s">
        <v>337</v>
      </c>
      <c r="L7" s="59">
        <v>33.6</v>
      </c>
      <c r="M7" s="94"/>
      <c r="N7" s="94"/>
      <c r="O7" s="2" t="s">
        <v>20</v>
      </c>
      <c r="P7" s="59">
        <v>83.5</v>
      </c>
      <c r="Q7" s="2" t="s">
        <v>178</v>
      </c>
      <c r="R7" s="59">
        <v>21.6</v>
      </c>
      <c r="S7" s="2" t="s">
        <v>20</v>
      </c>
      <c r="T7" s="59">
        <v>20.3</v>
      </c>
      <c r="U7" s="58" t="s">
        <v>19</v>
      </c>
      <c r="V7" s="245"/>
    </row>
    <row r="8" spans="1:28" ht="115.2" hidden="1" x14ac:dyDescent="0.25">
      <c r="A8" s="58" t="s">
        <v>325</v>
      </c>
      <c r="B8" s="58" t="s">
        <v>189</v>
      </c>
      <c r="C8" s="3" t="s">
        <v>337</v>
      </c>
      <c r="D8" s="59">
        <v>0.1</v>
      </c>
      <c r="E8" s="94"/>
      <c r="F8" s="94"/>
      <c r="G8" s="3" t="s">
        <v>337</v>
      </c>
      <c r="H8" s="59">
        <v>5</v>
      </c>
      <c r="I8" s="94"/>
      <c r="J8" s="94"/>
      <c r="K8" s="3" t="s">
        <v>337</v>
      </c>
      <c r="L8" s="59">
        <v>34.299999999999997</v>
      </c>
      <c r="M8" s="94"/>
      <c r="N8" s="94"/>
      <c r="O8" s="2" t="s">
        <v>20</v>
      </c>
      <c r="P8" s="59">
        <v>39.5</v>
      </c>
      <c r="Q8" s="2" t="s">
        <v>178</v>
      </c>
      <c r="R8" s="59">
        <v>6.7</v>
      </c>
      <c r="S8" s="2" t="s">
        <v>20</v>
      </c>
      <c r="T8" s="59">
        <v>9</v>
      </c>
      <c r="U8" s="140" t="s">
        <v>360</v>
      </c>
      <c r="V8" s="245"/>
    </row>
    <row r="9" spans="1:28" ht="115.2" hidden="1" x14ac:dyDescent="0.25">
      <c r="A9" s="37" t="s">
        <v>328</v>
      </c>
      <c r="B9" s="37" t="s">
        <v>194</v>
      </c>
      <c r="C9" s="3" t="s">
        <v>337</v>
      </c>
      <c r="D9" s="45">
        <v>45.2</v>
      </c>
      <c r="E9" s="90"/>
      <c r="F9" s="90"/>
      <c r="G9" s="37" t="s">
        <v>19</v>
      </c>
      <c r="H9" s="45">
        <v>0</v>
      </c>
      <c r="I9" s="90"/>
      <c r="J9" s="90"/>
      <c r="K9" s="3" t="s">
        <v>337</v>
      </c>
      <c r="L9" s="45">
        <v>34.1</v>
      </c>
      <c r="M9" s="90"/>
      <c r="N9" s="90"/>
      <c r="O9" s="38" t="s">
        <v>20</v>
      </c>
      <c r="P9" s="45">
        <v>79.3</v>
      </c>
      <c r="Q9" s="2" t="s">
        <v>178</v>
      </c>
      <c r="R9" s="45">
        <v>52.1</v>
      </c>
      <c r="S9" s="38" t="s">
        <v>20</v>
      </c>
      <c r="T9" s="45">
        <v>16.5</v>
      </c>
      <c r="U9" s="37" t="s">
        <v>19</v>
      </c>
      <c r="V9" s="245"/>
    </row>
    <row r="10" spans="1:28" ht="115.2" hidden="1" x14ac:dyDescent="0.25">
      <c r="A10" s="58" t="s">
        <v>331</v>
      </c>
      <c r="B10" s="58" t="s">
        <v>196</v>
      </c>
      <c r="C10" s="129" t="s">
        <v>17</v>
      </c>
      <c r="D10" s="126">
        <v>32.9</v>
      </c>
      <c r="E10" s="126"/>
      <c r="F10" s="126"/>
      <c r="G10" s="129" t="s">
        <v>18</v>
      </c>
      <c r="H10" s="126">
        <v>27.7</v>
      </c>
      <c r="I10" s="126"/>
      <c r="J10" s="126"/>
      <c r="K10" s="129" t="s">
        <v>18</v>
      </c>
      <c r="L10" s="126">
        <v>19.7</v>
      </c>
      <c r="M10" s="126"/>
      <c r="N10" s="126"/>
      <c r="O10" s="125" t="s">
        <v>20</v>
      </c>
      <c r="P10" s="126">
        <v>80.400000000000006</v>
      </c>
      <c r="Q10" s="125" t="s">
        <v>178</v>
      </c>
      <c r="R10" s="126">
        <v>57</v>
      </c>
      <c r="S10" s="2" t="s">
        <v>20</v>
      </c>
      <c r="T10" s="59">
        <v>19.5</v>
      </c>
      <c r="U10" s="58" t="s">
        <v>19</v>
      </c>
      <c r="V10" s="245"/>
    </row>
    <row r="11" spans="1:28" ht="86.4" hidden="1" x14ac:dyDescent="0.25">
      <c r="A11" s="124" t="s">
        <v>334</v>
      </c>
      <c r="B11" s="137" t="s">
        <v>192</v>
      </c>
      <c r="C11" s="129" t="s">
        <v>94</v>
      </c>
      <c r="D11" s="138">
        <v>8.3000000000000007</v>
      </c>
      <c r="E11" s="126"/>
      <c r="F11" s="126"/>
      <c r="G11" s="139" t="s">
        <v>19</v>
      </c>
      <c r="H11" s="138">
        <v>0</v>
      </c>
      <c r="I11" s="126"/>
      <c r="J11" s="126"/>
      <c r="K11" s="129" t="s">
        <v>74</v>
      </c>
      <c r="L11" s="138">
        <v>78.5</v>
      </c>
      <c r="M11" s="126"/>
      <c r="N11" s="126"/>
      <c r="O11" s="137" t="s">
        <v>20</v>
      </c>
      <c r="P11" s="138">
        <v>86.7</v>
      </c>
      <c r="Q11" s="131" t="s">
        <v>178</v>
      </c>
      <c r="R11" s="138">
        <v>29.6</v>
      </c>
      <c r="S11" s="137" t="s">
        <v>20</v>
      </c>
      <c r="T11" s="138">
        <v>21.7</v>
      </c>
      <c r="U11" s="129" t="s">
        <v>68</v>
      </c>
      <c r="V11" s="91"/>
      <c r="W11" s="92"/>
      <c r="X11" s="92"/>
      <c r="Y11" s="92"/>
      <c r="Z11" s="92"/>
      <c r="AA11" s="92"/>
      <c r="AB11" s="92"/>
    </row>
    <row r="12" spans="1:28" ht="115.2" x14ac:dyDescent="0.25">
      <c r="A12" s="60" t="s">
        <v>318</v>
      </c>
      <c r="B12" s="38" t="s">
        <v>187</v>
      </c>
      <c r="C12" s="3" t="s">
        <v>337</v>
      </c>
      <c r="D12" s="61">
        <v>27.9</v>
      </c>
      <c r="E12" s="61"/>
      <c r="F12" s="61"/>
      <c r="G12" s="3" t="s">
        <v>337</v>
      </c>
      <c r="H12" s="45">
        <v>15.1</v>
      </c>
      <c r="I12" s="90"/>
      <c r="J12" s="90"/>
      <c r="K12" s="3" t="s">
        <v>337</v>
      </c>
      <c r="L12" s="39">
        <v>33.700000000000003</v>
      </c>
      <c r="M12" s="141"/>
      <c r="N12" s="40"/>
      <c r="O12" s="44" t="s">
        <v>20</v>
      </c>
      <c r="P12" s="42">
        <v>76.8</v>
      </c>
      <c r="Q12" s="50" t="s">
        <v>178</v>
      </c>
      <c r="R12" s="61">
        <v>21.6</v>
      </c>
      <c r="S12" s="38" t="s">
        <v>20</v>
      </c>
      <c r="T12" s="39">
        <v>18.100000000000001</v>
      </c>
      <c r="U12" s="41" t="s">
        <v>19</v>
      </c>
    </row>
    <row r="13" spans="1:28" ht="115.2" x14ac:dyDescent="0.25">
      <c r="A13" s="58" t="s">
        <v>320</v>
      </c>
      <c r="B13" s="58" t="s">
        <v>194</v>
      </c>
      <c r="C13" s="3" t="s">
        <v>337</v>
      </c>
      <c r="D13" s="59">
        <v>27.8</v>
      </c>
      <c r="E13" s="126"/>
      <c r="F13" s="126"/>
      <c r="G13" s="58" t="s">
        <v>19</v>
      </c>
      <c r="H13" s="59">
        <v>0</v>
      </c>
      <c r="I13" s="126"/>
      <c r="J13" s="126"/>
      <c r="K13" s="2" t="s">
        <v>321</v>
      </c>
      <c r="L13" s="62">
        <v>34.200000000000003</v>
      </c>
      <c r="M13" s="142"/>
      <c r="N13" s="63"/>
      <c r="O13" s="50" t="s">
        <v>20</v>
      </c>
      <c r="P13" s="62">
        <v>62</v>
      </c>
      <c r="Q13" s="50" t="s">
        <v>178</v>
      </c>
      <c r="R13" s="59">
        <v>51.6</v>
      </c>
      <c r="S13" s="2" t="s">
        <v>20</v>
      </c>
      <c r="T13" s="62">
        <v>14.1</v>
      </c>
      <c r="U13" s="64" t="s">
        <v>19</v>
      </c>
    </row>
    <row r="14" spans="1:28" ht="115.2" x14ac:dyDescent="0.25">
      <c r="A14" s="60" t="s">
        <v>323</v>
      </c>
      <c r="B14" s="37" t="s">
        <v>189</v>
      </c>
      <c r="C14" s="3" t="s">
        <v>337</v>
      </c>
      <c r="D14" s="68">
        <v>0.1</v>
      </c>
      <c r="E14" s="68"/>
      <c r="F14" s="68"/>
      <c r="G14" s="3" t="s">
        <v>337</v>
      </c>
      <c r="H14" s="45">
        <v>5</v>
      </c>
      <c r="I14" s="90"/>
      <c r="J14" s="90"/>
      <c r="K14" s="3" t="s">
        <v>337</v>
      </c>
      <c r="L14" s="42">
        <v>34.4</v>
      </c>
      <c r="M14" s="143"/>
      <c r="N14" s="43"/>
      <c r="O14" s="44" t="s">
        <v>20</v>
      </c>
      <c r="P14" s="42">
        <v>39.5</v>
      </c>
      <c r="Q14" s="44" t="s">
        <v>178</v>
      </c>
      <c r="R14" s="68">
        <v>6.7</v>
      </c>
      <c r="S14" s="38" t="s">
        <v>20</v>
      </c>
      <c r="T14" s="39">
        <v>9</v>
      </c>
      <c r="U14" s="50" t="s">
        <v>324</v>
      </c>
    </row>
    <row r="15" spans="1:28" ht="115.2" x14ac:dyDescent="0.3">
      <c r="A15" s="69" t="s">
        <v>326</v>
      </c>
      <c r="B15" s="46" t="s">
        <v>192</v>
      </c>
      <c r="C15" s="3" t="s">
        <v>337</v>
      </c>
      <c r="D15" s="70">
        <v>8.5</v>
      </c>
      <c r="E15" s="70"/>
      <c r="F15" s="70"/>
      <c r="G15" s="71" t="s">
        <v>19</v>
      </c>
      <c r="H15" s="72">
        <v>0</v>
      </c>
      <c r="I15" s="72"/>
      <c r="J15" s="72"/>
      <c r="K15" s="3" t="s">
        <v>337</v>
      </c>
      <c r="L15" s="73">
        <v>78.5</v>
      </c>
      <c r="M15" s="144"/>
      <c r="N15" s="74"/>
      <c r="O15" s="47" t="s">
        <v>20</v>
      </c>
      <c r="P15" s="75">
        <v>87</v>
      </c>
      <c r="Q15" s="93" t="s">
        <v>178</v>
      </c>
      <c r="R15" s="76">
        <v>29.6</v>
      </c>
      <c r="S15" s="46" t="s">
        <v>20</v>
      </c>
      <c r="T15" s="75">
        <v>21.7</v>
      </c>
      <c r="U15" s="50" t="s">
        <v>327</v>
      </c>
    </row>
    <row r="16" spans="1:28" ht="115.2" x14ac:dyDescent="0.25">
      <c r="A16" s="60" t="s">
        <v>329</v>
      </c>
      <c r="B16" s="2" t="s">
        <v>330</v>
      </c>
      <c r="C16" s="3" t="s">
        <v>337</v>
      </c>
      <c r="D16" s="61">
        <v>56.3</v>
      </c>
      <c r="E16" s="61"/>
      <c r="F16" s="61"/>
      <c r="G16" s="3" t="s">
        <v>337</v>
      </c>
      <c r="H16" s="45">
        <v>59.7</v>
      </c>
      <c r="I16" s="90"/>
      <c r="J16" s="90"/>
      <c r="K16" s="3" t="s">
        <v>337</v>
      </c>
      <c r="L16" s="39">
        <v>9.1</v>
      </c>
      <c r="M16" s="141"/>
      <c r="N16" s="40"/>
      <c r="O16" s="44" t="s">
        <v>20</v>
      </c>
      <c r="P16" s="42">
        <v>125.1</v>
      </c>
      <c r="Q16" s="50" t="s">
        <v>178</v>
      </c>
      <c r="R16" s="61">
        <v>78.3</v>
      </c>
      <c r="S16" s="38" t="s">
        <v>20</v>
      </c>
      <c r="T16" s="42">
        <v>35.6</v>
      </c>
      <c r="U16" s="41" t="s">
        <v>19</v>
      </c>
    </row>
    <row r="17" spans="1:21" ht="115.2" x14ac:dyDescent="0.25">
      <c r="A17" s="57" t="s">
        <v>332</v>
      </c>
      <c r="B17" s="2" t="s">
        <v>333</v>
      </c>
      <c r="C17" s="127" t="s">
        <v>17</v>
      </c>
      <c r="D17" s="65">
        <v>33.799999999999997</v>
      </c>
      <c r="E17" s="65"/>
      <c r="F17" s="65"/>
      <c r="G17" s="127" t="s">
        <v>18</v>
      </c>
      <c r="H17" s="59">
        <v>4.8</v>
      </c>
      <c r="I17" s="126"/>
      <c r="J17" s="126"/>
      <c r="K17" s="127" t="s">
        <v>18</v>
      </c>
      <c r="L17" s="66">
        <v>2.6</v>
      </c>
      <c r="M17" s="145"/>
      <c r="N17" s="67"/>
      <c r="O17" s="50" t="s">
        <v>20</v>
      </c>
      <c r="P17" s="66">
        <v>41.2</v>
      </c>
      <c r="Q17" s="50" t="s">
        <v>178</v>
      </c>
      <c r="R17" s="77">
        <v>6.9</v>
      </c>
      <c r="S17" s="2" t="s">
        <v>20</v>
      </c>
      <c r="T17" s="62">
        <v>10</v>
      </c>
      <c r="U17" s="64" t="s">
        <v>19</v>
      </c>
    </row>
  </sheetData>
  <mergeCells count="16">
    <mergeCell ref="V5:V10"/>
    <mergeCell ref="A1:U1"/>
    <mergeCell ref="A2:A4"/>
    <mergeCell ref="B2:B4"/>
    <mergeCell ref="C2:L2"/>
    <mergeCell ref="Q2:R2"/>
    <mergeCell ref="S2:T2"/>
    <mergeCell ref="C3:D3"/>
    <mergeCell ref="E3:F3"/>
    <mergeCell ref="G3:H3"/>
    <mergeCell ref="M3:N3"/>
    <mergeCell ref="O3:P3"/>
    <mergeCell ref="Q3:Q4"/>
    <mergeCell ref="R3:R4"/>
    <mergeCell ref="S3:S4"/>
    <mergeCell ref="T3:T4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8" tint="0.79998168889431442"/>
  </sheetPr>
  <dimension ref="A1:AK15"/>
  <sheetViews>
    <sheetView zoomScale="55" zoomScaleNormal="55" workbookViewId="0">
      <selection activeCell="A29" sqref="A29:U39"/>
    </sheetView>
  </sheetViews>
  <sheetFormatPr defaultRowHeight="13.2" x14ac:dyDescent="0.25"/>
  <cols>
    <col min="1" max="1" width="6.44140625" customWidth="1"/>
    <col min="2" max="2" width="23.33203125" customWidth="1"/>
    <col min="3" max="3" width="42.109375" customWidth="1"/>
    <col min="4" max="4" width="13.109375" customWidth="1"/>
    <col min="5" max="5" width="26.109375" customWidth="1"/>
    <col min="6" max="6" width="13.109375" customWidth="1"/>
    <col min="7" max="7" width="50.44140625" customWidth="1"/>
    <col min="8" max="8" width="13.109375" customWidth="1"/>
    <col min="9" max="9" width="26.109375" customWidth="1"/>
    <col min="10" max="10" width="13.109375" customWidth="1"/>
    <col min="11" max="11" width="48.44140625" customWidth="1"/>
    <col min="12" max="12" width="13.109375" customWidth="1"/>
    <col min="13" max="13" width="30.44140625" customWidth="1"/>
    <col min="14" max="14" width="13.109375" customWidth="1"/>
    <col min="15" max="15" width="19.77734375" customWidth="1"/>
    <col min="16" max="16" width="12.77734375" customWidth="1"/>
    <col min="17" max="17" width="24" customWidth="1"/>
    <col min="18" max="18" width="12.109375" customWidth="1"/>
    <col min="19" max="19" width="16.109375" customWidth="1"/>
    <col min="20" max="20" width="12.77734375" customWidth="1"/>
    <col min="21" max="21" width="26.6640625" customWidth="1"/>
  </cols>
  <sheetData>
    <row r="1" spans="1:37" x14ac:dyDescent="0.25">
      <c r="A1" s="244" t="s">
        <v>359</v>
      </c>
      <c r="B1" s="234"/>
      <c r="C1" s="234"/>
      <c r="D1" s="234"/>
      <c r="E1" s="234"/>
      <c r="F1" s="234"/>
      <c r="G1" s="234"/>
      <c r="H1" s="234"/>
      <c r="I1" s="234"/>
      <c r="J1" s="234"/>
      <c r="K1" s="234"/>
      <c r="L1" s="234"/>
      <c r="M1" s="234"/>
      <c r="N1" s="234"/>
      <c r="O1" s="234"/>
      <c r="P1" s="234"/>
      <c r="Q1" s="234"/>
      <c r="R1" s="234"/>
      <c r="S1" s="234"/>
      <c r="T1" s="234"/>
      <c r="U1" s="234"/>
    </row>
    <row r="2" spans="1:37" ht="17.399999999999999" x14ac:dyDescent="0.25">
      <c r="A2" s="233" t="s">
        <v>1</v>
      </c>
      <c r="B2" s="232" t="s">
        <v>2</v>
      </c>
      <c r="C2" s="234" t="s">
        <v>3</v>
      </c>
      <c r="D2" s="234"/>
      <c r="E2" s="234"/>
      <c r="F2" s="234"/>
      <c r="G2" s="234"/>
      <c r="H2" s="234"/>
      <c r="I2" s="234"/>
      <c r="J2" s="234"/>
      <c r="K2" s="234"/>
      <c r="L2" s="234"/>
      <c r="M2" s="119"/>
      <c r="N2" s="119"/>
      <c r="O2" s="119"/>
      <c r="P2" s="119"/>
      <c r="Q2" s="232" t="s">
        <v>4</v>
      </c>
      <c r="R2" s="232"/>
      <c r="S2" s="235" t="s">
        <v>5</v>
      </c>
      <c r="T2" s="235"/>
      <c r="U2" s="120" t="s">
        <v>6</v>
      </c>
    </row>
    <row r="3" spans="1:37" ht="17.399999999999999" x14ac:dyDescent="0.25">
      <c r="A3" s="233"/>
      <c r="B3" s="232"/>
      <c r="C3" s="235" t="s">
        <v>7</v>
      </c>
      <c r="D3" s="235"/>
      <c r="E3" s="238" t="s">
        <v>8</v>
      </c>
      <c r="F3" s="238"/>
      <c r="G3" s="239" t="s">
        <v>9</v>
      </c>
      <c r="H3" s="239"/>
      <c r="I3" s="117" t="s">
        <v>63</v>
      </c>
      <c r="J3" s="117"/>
      <c r="K3" s="117" t="s">
        <v>64</v>
      </c>
      <c r="L3" s="117"/>
      <c r="M3" s="243" t="s">
        <v>358</v>
      </c>
      <c r="N3" s="239"/>
      <c r="O3" s="240" t="s">
        <v>11</v>
      </c>
      <c r="P3" s="240"/>
      <c r="Q3" s="232" t="s">
        <v>12</v>
      </c>
      <c r="R3" s="233" t="s">
        <v>13</v>
      </c>
      <c r="S3" s="232" t="s">
        <v>12</v>
      </c>
      <c r="T3" s="237" t="s">
        <v>14</v>
      </c>
      <c r="U3" s="120"/>
    </row>
    <row r="4" spans="1:37" ht="34.799999999999997" x14ac:dyDescent="0.25">
      <c r="A4" s="233"/>
      <c r="B4" s="232"/>
      <c r="C4" s="96" t="s">
        <v>12</v>
      </c>
      <c r="D4" s="118" t="s">
        <v>13</v>
      </c>
      <c r="E4" s="96" t="s">
        <v>12</v>
      </c>
      <c r="F4" s="118" t="s">
        <v>13</v>
      </c>
      <c r="G4" s="96" t="s">
        <v>12</v>
      </c>
      <c r="H4" s="118" t="s">
        <v>13</v>
      </c>
      <c r="I4" s="96" t="s">
        <v>12</v>
      </c>
      <c r="J4" s="118" t="s">
        <v>13</v>
      </c>
      <c r="K4" s="96" t="s">
        <v>12</v>
      </c>
      <c r="L4" s="118" t="s">
        <v>13</v>
      </c>
      <c r="M4" s="96" t="s">
        <v>12</v>
      </c>
      <c r="N4" s="118" t="s">
        <v>13</v>
      </c>
      <c r="O4" s="98" t="s">
        <v>12</v>
      </c>
      <c r="P4" s="118" t="s">
        <v>13</v>
      </c>
      <c r="Q4" s="232"/>
      <c r="R4" s="233"/>
      <c r="S4" s="232"/>
      <c r="T4" s="237"/>
      <c r="U4" s="120"/>
    </row>
    <row r="5" spans="1:37" ht="115.2" x14ac:dyDescent="0.25">
      <c r="A5" s="7" t="s">
        <v>335</v>
      </c>
      <c r="B5" s="3" t="s">
        <v>336</v>
      </c>
      <c r="C5" s="3" t="s">
        <v>337</v>
      </c>
      <c r="D5" s="9">
        <v>44.1</v>
      </c>
      <c r="E5" s="10" t="s">
        <v>19</v>
      </c>
      <c r="F5" s="9">
        <v>0</v>
      </c>
      <c r="G5" s="3" t="s">
        <v>338</v>
      </c>
      <c r="H5" s="9">
        <v>64.400000000000006</v>
      </c>
      <c r="I5" s="9"/>
      <c r="J5" s="9"/>
      <c r="K5" s="3" t="s">
        <v>338</v>
      </c>
      <c r="L5" s="9">
        <v>5.7</v>
      </c>
      <c r="M5" s="9"/>
      <c r="N5" s="9"/>
      <c r="O5" s="8" t="s">
        <v>20</v>
      </c>
      <c r="P5" s="9">
        <v>114.2</v>
      </c>
      <c r="Q5" s="8" t="s">
        <v>339</v>
      </c>
      <c r="R5" s="9">
        <v>77.8</v>
      </c>
      <c r="S5" s="8" t="s">
        <v>20</v>
      </c>
      <c r="T5" s="9">
        <v>31.9</v>
      </c>
      <c r="U5" s="10" t="s">
        <v>19</v>
      </c>
      <c r="V5" s="78"/>
      <c r="AK5" s="95"/>
    </row>
    <row r="6" spans="1:37" ht="86.4" x14ac:dyDescent="0.25">
      <c r="A6" s="7" t="s">
        <v>340</v>
      </c>
      <c r="B6" s="8" t="s">
        <v>341</v>
      </c>
      <c r="C6" s="3" t="s">
        <v>342</v>
      </c>
      <c r="D6" s="9">
        <v>9.1</v>
      </c>
      <c r="E6" s="10" t="s">
        <v>19</v>
      </c>
      <c r="F6" s="9">
        <v>0</v>
      </c>
      <c r="G6" s="3" t="s">
        <v>343</v>
      </c>
      <c r="H6" s="9">
        <v>16.399999999999999</v>
      </c>
      <c r="I6" s="9"/>
      <c r="J6" s="9"/>
      <c r="K6" s="3" t="s">
        <v>343</v>
      </c>
      <c r="L6" s="9">
        <v>13.6</v>
      </c>
      <c r="M6" s="9"/>
      <c r="N6" s="9"/>
      <c r="O6" s="8" t="s">
        <v>20</v>
      </c>
      <c r="P6" s="9">
        <v>39.1</v>
      </c>
      <c r="Q6" s="8" t="s">
        <v>339</v>
      </c>
      <c r="R6" s="9">
        <v>6</v>
      </c>
      <c r="S6" s="8" t="s">
        <v>20</v>
      </c>
      <c r="T6" s="9">
        <v>9.4</v>
      </c>
      <c r="U6" s="3" t="s">
        <v>68</v>
      </c>
      <c r="V6" s="78"/>
      <c r="AK6" s="95"/>
    </row>
    <row r="7" spans="1:37" ht="86.4" x14ac:dyDescent="0.25">
      <c r="A7" s="7" t="s">
        <v>344</v>
      </c>
      <c r="B7" s="8" t="s">
        <v>345</v>
      </c>
      <c r="C7" s="3" t="s">
        <v>342</v>
      </c>
      <c r="D7" s="9">
        <v>24.8</v>
      </c>
      <c r="E7" s="10" t="s">
        <v>19</v>
      </c>
      <c r="F7" s="9">
        <v>0</v>
      </c>
      <c r="G7" s="10" t="s">
        <v>19</v>
      </c>
      <c r="H7" s="9">
        <v>0</v>
      </c>
      <c r="I7" s="9"/>
      <c r="J7" s="9"/>
      <c r="K7" s="3" t="s">
        <v>343</v>
      </c>
      <c r="L7" s="9">
        <v>13.6</v>
      </c>
      <c r="M7" s="9"/>
      <c r="N7" s="9"/>
      <c r="O7" s="8" t="s">
        <v>20</v>
      </c>
      <c r="P7" s="9">
        <v>38.5</v>
      </c>
      <c r="Q7" s="8" t="s">
        <v>339</v>
      </c>
      <c r="R7" s="9">
        <v>6.1</v>
      </c>
      <c r="S7" s="8" t="s">
        <v>20</v>
      </c>
      <c r="T7" s="9">
        <v>9.5</v>
      </c>
      <c r="U7" s="3" t="s">
        <v>68</v>
      </c>
      <c r="V7" s="78"/>
      <c r="AK7" s="95"/>
    </row>
    <row r="8" spans="1:37" ht="172.8" x14ac:dyDescent="0.25">
      <c r="A8" s="7" t="s">
        <v>346</v>
      </c>
      <c r="B8" s="8" t="s">
        <v>209</v>
      </c>
      <c r="C8" s="3" t="s">
        <v>337</v>
      </c>
      <c r="D8" s="9">
        <v>103.5</v>
      </c>
      <c r="E8" s="10" t="s">
        <v>19</v>
      </c>
      <c r="F8" s="9">
        <v>0</v>
      </c>
      <c r="G8" s="10" t="s">
        <v>19</v>
      </c>
      <c r="H8" s="9">
        <v>0</v>
      </c>
      <c r="I8" s="9"/>
      <c r="J8" s="9"/>
      <c r="K8" s="10" t="s">
        <v>19</v>
      </c>
      <c r="L8" s="9">
        <v>0</v>
      </c>
      <c r="M8" s="9"/>
      <c r="N8" s="9"/>
      <c r="O8" s="8" t="s">
        <v>20</v>
      </c>
      <c r="P8" s="9">
        <v>103.5</v>
      </c>
      <c r="Q8" s="3" t="s">
        <v>347</v>
      </c>
      <c r="R8" s="9">
        <v>32.1</v>
      </c>
      <c r="S8" s="8" t="s">
        <v>20</v>
      </c>
      <c r="T8" s="9">
        <v>28.7</v>
      </c>
      <c r="U8" s="10" t="s">
        <v>19</v>
      </c>
      <c r="V8" s="78"/>
      <c r="AK8" s="95"/>
    </row>
    <row r="9" spans="1:37" ht="115.2" x14ac:dyDescent="0.25">
      <c r="A9" s="7" t="s">
        <v>348</v>
      </c>
      <c r="B9" s="8" t="s">
        <v>254</v>
      </c>
      <c r="C9" s="3" t="s">
        <v>337</v>
      </c>
      <c r="D9" s="9">
        <v>19.3</v>
      </c>
      <c r="E9" s="10" t="s">
        <v>19</v>
      </c>
      <c r="F9" s="9">
        <v>0</v>
      </c>
      <c r="G9" s="3" t="s">
        <v>338</v>
      </c>
      <c r="H9" s="9">
        <v>4.5999999999999996</v>
      </c>
      <c r="I9" s="9"/>
      <c r="J9" s="9"/>
      <c r="K9" s="3" t="s">
        <v>338</v>
      </c>
      <c r="L9" s="9">
        <v>13.1</v>
      </c>
      <c r="M9" s="9"/>
      <c r="N9" s="9"/>
      <c r="O9" s="8" t="s">
        <v>20</v>
      </c>
      <c r="P9" s="9">
        <v>37</v>
      </c>
      <c r="Q9" s="8" t="s">
        <v>339</v>
      </c>
      <c r="R9" s="9">
        <v>5.9</v>
      </c>
      <c r="S9" s="8" t="s">
        <v>20</v>
      </c>
      <c r="T9" s="9">
        <v>7.9</v>
      </c>
      <c r="U9" s="10" t="s">
        <v>19</v>
      </c>
      <c r="V9" s="78"/>
      <c r="AK9" s="95"/>
    </row>
    <row r="10" spans="1:37" ht="129.6" x14ac:dyDescent="0.25">
      <c r="A10" s="7" t="s">
        <v>349</v>
      </c>
      <c r="B10" s="8" t="s">
        <v>102</v>
      </c>
      <c r="C10" s="3" t="s">
        <v>342</v>
      </c>
      <c r="D10" s="9">
        <v>10.9</v>
      </c>
      <c r="E10" s="3" t="s">
        <v>343</v>
      </c>
      <c r="F10" s="9">
        <v>5.2</v>
      </c>
      <c r="G10" s="3" t="s">
        <v>343</v>
      </c>
      <c r="H10" s="9">
        <v>12.8</v>
      </c>
      <c r="I10" s="9"/>
      <c r="J10" s="9"/>
      <c r="K10" s="3" t="s">
        <v>343</v>
      </c>
      <c r="L10" s="9">
        <v>11.5</v>
      </c>
      <c r="M10" s="9"/>
      <c r="N10" s="9"/>
      <c r="O10" s="8" t="s">
        <v>20</v>
      </c>
      <c r="P10" s="9">
        <v>40.4</v>
      </c>
      <c r="Q10" s="8" t="s">
        <v>339</v>
      </c>
      <c r="R10" s="9">
        <v>6.3</v>
      </c>
      <c r="S10" s="8" t="s">
        <v>20</v>
      </c>
      <c r="T10" s="9">
        <v>9.8000000000000007</v>
      </c>
      <c r="U10" s="3" t="s">
        <v>68</v>
      </c>
      <c r="V10" s="78"/>
      <c r="AK10" s="95"/>
    </row>
    <row r="11" spans="1:37" ht="172.8" x14ac:dyDescent="0.25">
      <c r="A11" s="7" t="s">
        <v>350</v>
      </c>
      <c r="B11" s="10" t="s">
        <v>32</v>
      </c>
      <c r="C11" s="3" t="s">
        <v>337</v>
      </c>
      <c r="D11" s="9">
        <v>40.799999999999997</v>
      </c>
      <c r="E11" s="3" t="s">
        <v>338</v>
      </c>
      <c r="F11" s="9">
        <v>3.7</v>
      </c>
      <c r="G11" s="3" t="s">
        <v>338</v>
      </c>
      <c r="H11" s="9">
        <v>43.9</v>
      </c>
      <c r="I11" s="9"/>
      <c r="J11" s="9"/>
      <c r="K11" s="3" t="s">
        <v>338</v>
      </c>
      <c r="L11" s="9">
        <v>4.9000000000000004</v>
      </c>
      <c r="M11" s="9"/>
      <c r="N11" s="9"/>
      <c r="O11" s="8" t="s">
        <v>20</v>
      </c>
      <c r="P11" s="9">
        <v>93.3</v>
      </c>
      <c r="Q11" s="8" t="s">
        <v>339</v>
      </c>
      <c r="R11" s="9">
        <v>38.700000000000003</v>
      </c>
      <c r="S11" s="8" t="s">
        <v>20</v>
      </c>
      <c r="T11" s="9">
        <v>16.899999999999999</v>
      </c>
      <c r="U11" s="10" t="s">
        <v>19</v>
      </c>
      <c r="V11" s="78"/>
      <c r="AK11" s="95"/>
    </row>
    <row r="12" spans="1:37" ht="115.2" x14ac:dyDescent="0.25">
      <c r="A12" s="7" t="s">
        <v>351</v>
      </c>
      <c r="B12" s="10" t="s">
        <v>32</v>
      </c>
      <c r="C12" s="3" t="s">
        <v>337</v>
      </c>
      <c r="D12" s="9">
        <v>58</v>
      </c>
      <c r="E12" s="10" t="s">
        <v>19</v>
      </c>
      <c r="F12" s="9">
        <v>0</v>
      </c>
      <c r="G12" s="3" t="s">
        <v>338</v>
      </c>
      <c r="H12" s="9">
        <v>115.9</v>
      </c>
      <c r="I12" s="9"/>
      <c r="J12" s="9"/>
      <c r="K12" s="3" t="s">
        <v>338</v>
      </c>
      <c r="L12" s="9">
        <v>7</v>
      </c>
      <c r="M12" s="9"/>
      <c r="N12" s="9"/>
      <c r="O12" s="8" t="s">
        <v>20</v>
      </c>
      <c r="P12" s="9">
        <v>180.9</v>
      </c>
      <c r="Q12" s="8" t="s">
        <v>339</v>
      </c>
      <c r="R12" s="9">
        <v>62.9</v>
      </c>
      <c r="S12" s="8" t="s">
        <v>20</v>
      </c>
      <c r="T12" s="9">
        <v>40.1</v>
      </c>
      <c r="U12" s="10" t="s">
        <v>19</v>
      </c>
      <c r="V12" s="78"/>
      <c r="AK12" s="95"/>
    </row>
    <row r="13" spans="1:37" ht="172.8" x14ac:dyDescent="0.25">
      <c r="A13" s="7" t="s">
        <v>352</v>
      </c>
      <c r="B13" s="8" t="s">
        <v>212</v>
      </c>
      <c r="C13" s="3" t="s">
        <v>337</v>
      </c>
      <c r="D13" s="9">
        <v>83.5</v>
      </c>
      <c r="E13" s="10" t="s">
        <v>19</v>
      </c>
      <c r="F13" s="9">
        <v>0</v>
      </c>
      <c r="G13" s="10" t="s">
        <v>19</v>
      </c>
      <c r="H13" s="9">
        <v>0</v>
      </c>
      <c r="I13" s="9"/>
      <c r="J13" s="9"/>
      <c r="K13" s="10" t="s">
        <v>19</v>
      </c>
      <c r="L13" s="9">
        <v>0</v>
      </c>
      <c r="M13" s="9"/>
      <c r="N13" s="9"/>
      <c r="O13" s="8" t="s">
        <v>20</v>
      </c>
      <c r="P13" s="9">
        <v>83.5</v>
      </c>
      <c r="Q13" s="3" t="s">
        <v>347</v>
      </c>
      <c r="R13" s="9">
        <v>28</v>
      </c>
      <c r="S13" s="8" t="s">
        <v>20</v>
      </c>
      <c r="T13" s="9">
        <v>20.399999999999999</v>
      </c>
      <c r="U13" s="10" t="s">
        <v>19</v>
      </c>
      <c r="V13" s="78"/>
      <c r="AK13" s="95"/>
    </row>
    <row r="14" spans="1:37" ht="86.4" x14ac:dyDescent="0.25">
      <c r="A14" s="128" t="s">
        <v>353</v>
      </c>
      <c r="B14" s="128" t="s">
        <v>32</v>
      </c>
      <c r="C14" s="129" t="s">
        <v>354</v>
      </c>
      <c r="D14" s="130">
        <v>17.7</v>
      </c>
      <c r="E14" s="128" t="s">
        <v>19</v>
      </c>
      <c r="F14" s="130">
        <v>0</v>
      </c>
      <c r="G14" s="129" t="s">
        <v>355</v>
      </c>
      <c r="H14" s="130">
        <v>31.5</v>
      </c>
      <c r="I14" s="121"/>
      <c r="J14" s="121"/>
      <c r="K14" s="128" t="s">
        <v>19</v>
      </c>
      <c r="L14" s="130">
        <v>0</v>
      </c>
      <c r="M14" s="121"/>
      <c r="N14" s="121"/>
      <c r="O14" s="131" t="s">
        <v>20</v>
      </c>
      <c r="P14" s="130">
        <v>49.2</v>
      </c>
      <c r="Q14" s="129" t="s">
        <v>356</v>
      </c>
      <c r="R14" s="130">
        <v>21.8</v>
      </c>
      <c r="S14" s="131" t="s">
        <v>20</v>
      </c>
      <c r="T14" s="130">
        <v>9.4</v>
      </c>
      <c r="U14" s="129" t="s">
        <v>68</v>
      </c>
      <c r="V14" s="78"/>
      <c r="AK14" s="95"/>
    </row>
    <row r="15" spans="1:37" ht="86.4" x14ac:dyDescent="0.25">
      <c r="A15" s="128" t="s">
        <v>357</v>
      </c>
      <c r="B15" s="128" t="s">
        <v>265</v>
      </c>
      <c r="C15" s="129" t="s">
        <v>354</v>
      </c>
      <c r="D15" s="130">
        <v>51.7</v>
      </c>
      <c r="E15" s="128" t="s">
        <v>19</v>
      </c>
      <c r="F15" s="130">
        <v>0</v>
      </c>
      <c r="G15" s="129" t="s">
        <v>355</v>
      </c>
      <c r="H15" s="130">
        <v>37.6</v>
      </c>
      <c r="I15" s="121"/>
      <c r="J15" s="121"/>
      <c r="K15" s="129" t="s">
        <v>355</v>
      </c>
      <c r="L15" s="130">
        <v>24.6</v>
      </c>
      <c r="M15" s="122"/>
      <c r="N15" s="122"/>
      <c r="O15" s="131" t="s">
        <v>20</v>
      </c>
      <c r="P15" s="130">
        <v>113.8</v>
      </c>
      <c r="Q15" s="129" t="s">
        <v>356</v>
      </c>
      <c r="R15" s="130">
        <v>87.4</v>
      </c>
      <c r="S15" s="131" t="s">
        <v>20</v>
      </c>
      <c r="T15" s="130">
        <v>32.700000000000003</v>
      </c>
      <c r="U15" s="129" t="s">
        <v>68</v>
      </c>
      <c r="V15" s="78"/>
      <c r="AK15" s="95"/>
    </row>
  </sheetData>
  <mergeCells count="15">
    <mergeCell ref="A1:U1"/>
    <mergeCell ref="A2:A4"/>
    <mergeCell ref="B2:B4"/>
    <mergeCell ref="C2:L2"/>
    <mergeCell ref="Q2:R2"/>
    <mergeCell ref="S2:T2"/>
    <mergeCell ref="C3:D3"/>
    <mergeCell ref="E3:F3"/>
    <mergeCell ref="G3:H3"/>
    <mergeCell ref="M3:N3"/>
    <mergeCell ref="O3:P3"/>
    <mergeCell ref="Q3:Q4"/>
    <mergeCell ref="R3:R4"/>
    <mergeCell ref="S3:S4"/>
    <mergeCell ref="T3:T4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9" tint="0.79998168889431442"/>
  </sheetPr>
  <dimension ref="A1:Q33"/>
  <sheetViews>
    <sheetView topLeftCell="A11" zoomScale="70" zoomScaleNormal="70" workbookViewId="0">
      <selection activeCell="A29" sqref="A29:U39"/>
    </sheetView>
  </sheetViews>
  <sheetFormatPr defaultRowHeight="13.2" x14ac:dyDescent="0.25"/>
  <cols>
    <col min="1" max="1" width="6.44140625" customWidth="1"/>
    <col min="2" max="2" width="23.33203125" customWidth="1"/>
    <col min="3" max="3" width="26.109375" customWidth="1"/>
    <col min="4" max="4" width="13.109375" customWidth="1"/>
    <col min="5" max="5" width="26.109375" customWidth="1"/>
    <col min="6" max="6" width="13.109375" customWidth="1"/>
    <col min="7" max="7" width="26.109375" customWidth="1"/>
    <col min="8" max="8" width="13.109375" customWidth="1"/>
    <col min="9" max="9" width="26.109375" customWidth="1"/>
    <col min="10" max="10" width="13.109375" customWidth="1"/>
    <col min="11" max="11" width="19.77734375" customWidth="1"/>
    <col min="12" max="12" width="13.109375" customWidth="1"/>
    <col min="13" max="13" width="19.77734375" customWidth="1"/>
    <col min="14" max="14" width="13.109375" customWidth="1"/>
    <col min="15" max="15" width="19.77734375" customWidth="1"/>
    <col min="16" max="16" width="12.77734375" customWidth="1"/>
    <col min="17" max="17" width="16.44140625" customWidth="1"/>
  </cols>
  <sheetData>
    <row r="1" spans="1:17" ht="30" customHeight="1" x14ac:dyDescent="0.25">
      <c r="A1" s="234" t="s">
        <v>0</v>
      </c>
      <c r="B1" s="234"/>
      <c r="C1" s="234"/>
      <c r="D1" s="234"/>
      <c r="E1" s="234"/>
      <c r="F1" s="234"/>
      <c r="G1" s="234"/>
      <c r="H1" s="234"/>
      <c r="I1" s="234"/>
      <c r="J1" s="234"/>
      <c r="K1" s="234"/>
      <c r="L1" s="234"/>
      <c r="M1" s="234"/>
      <c r="N1" s="234"/>
      <c r="O1" s="234"/>
      <c r="P1" s="234"/>
      <c r="Q1" s="234"/>
    </row>
    <row r="2" spans="1:17" ht="19.5" customHeight="1" x14ac:dyDescent="0.25">
      <c r="A2" s="233" t="s">
        <v>1</v>
      </c>
      <c r="B2" s="232" t="s">
        <v>2</v>
      </c>
      <c r="C2" s="234" t="s">
        <v>3</v>
      </c>
      <c r="D2" s="234"/>
      <c r="E2" s="234"/>
      <c r="F2" s="234"/>
      <c r="G2" s="234"/>
      <c r="H2" s="234"/>
      <c r="I2" s="234"/>
      <c r="J2" s="234"/>
      <c r="K2" s="234"/>
      <c r="L2" s="234"/>
      <c r="M2" s="232" t="s">
        <v>4</v>
      </c>
      <c r="N2" s="232"/>
      <c r="O2" s="235" t="s">
        <v>5</v>
      </c>
      <c r="P2" s="235"/>
      <c r="Q2" s="236" t="s">
        <v>6</v>
      </c>
    </row>
    <row r="3" spans="1:17" ht="19.5" customHeight="1" x14ac:dyDescent="0.25">
      <c r="A3" s="233"/>
      <c r="B3" s="232"/>
      <c r="C3" s="235" t="s">
        <v>7</v>
      </c>
      <c r="D3" s="235"/>
      <c r="E3" s="238" t="s">
        <v>8</v>
      </c>
      <c r="F3" s="238"/>
      <c r="G3" s="239" t="s">
        <v>9</v>
      </c>
      <c r="H3" s="239"/>
      <c r="I3" s="239" t="s">
        <v>10</v>
      </c>
      <c r="J3" s="239"/>
      <c r="K3" s="240" t="s">
        <v>11</v>
      </c>
      <c r="L3" s="240"/>
      <c r="M3" s="232" t="s">
        <v>12</v>
      </c>
      <c r="N3" s="233" t="s">
        <v>13</v>
      </c>
      <c r="O3" s="232" t="s">
        <v>12</v>
      </c>
      <c r="P3" s="237" t="s">
        <v>14</v>
      </c>
      <c r="Q3" s="236"/>
    </row>
    <row r="4" spans="1:17" ht="46.35" customHeight="1" x14ac:dyDescent="0.25">
      <c r="A4" s="233"/>
      <c r="B4" s="232"/>
      <c r="C4" s="96" t="s">
        <v>12</v>
      </c>
      <c r="D4" s="132" t="s">
        <v>13</v>
      </c>
      <c r="E4" s="96" t="s">
        <v>12</v>
      </c>
      <c r="F4" s="132" t="s">
        <v>13</v>
      </c>
      <c r="G4" s="96" t="s">
        <v>12</v>
      </c>
      <c r="H4" s="132" t="s">
        <v>13</v>
      </c>
      <c r="I4" s="96" t="s">
        <v>12</v>
      </c>
      <c r="J4" s="132" t="s">
        <v>13</v>
      </c>
      <c r="K4" s="98" t="s">
        <v>12</v>
      </c>
      <c r="L4" s="132" t="s">
        <v>13</v>
      </c>
      <c r="M4" s="232"/>
      <c r="N4" s="233"/>
      <c r="O4" s="232"/>
      <c r="P4" s="237"/>
      <c r="Q4" s="236"/>
    </row>
    <row r="5" spans="1:17" ht="192" customHeight="1" x14ac:dyDescent="0.25">
      <c r="A5" s="99" t="s">
        <v>15</v>
      </c>
      <c r="B5" s="100" t="s">
        <v>16</v>
      </c>
      <c r="C5" s="132" t="s">
        <v>17</v>
      </c>
      <c r="D5" s="101">
        <v>64</v>
      </c>
      <c r="E5" s="132" t="s">
        <v>18</v>
      </c>
      <c r="F5" s="101">
        <v>25.4</v>
      </c>
      <c r="G5" s="102" t="s">
        <v>19</v>
      </c>
      <c r="H5" s="101">
        <v>0</v>
      </c>
      <c r="I5" s="102" t="s">
        <v>19</v>
      </c>
      <c r="J5" s="101">
        <v>0</v>
      </c>
      <c r="K5" s="100" t="s">
        <v>20</v>
      </c>
      <c r="L5" s="101">
        <v>89.4</v>
      </c>
      <c r="M5" s="132" t="s">
        <v>21</v>
      </c>
      <c r="N5" s="101">
        <v>10.7</v>
      </c>
      <c r="O5" s="100" t="s">
        <v>20</v>
      </c>
      <c r="P5" s="101">
        <v>28.8</v>
      </c>
      <c r="Q5" s="102" t="s">
        <v>19</v>
      </c>
    </row>
    <row r="6" spans="1:17" ht="192.15" customHeight="1" x14ac:dyDescent="0.25">
      <c r="A6" s="99" t="s">
        <v>24</v>
      </c>
      <c r="B6" s="102" t="s">
        <v>25</v>
      </c>
      <c r="C6" s="132" t="s">
        <v>17</v>
      </c>
      <c r="D6" s="101">
        <v>21.9</v>
      </c>
      <c r="E6" s="132" t="s">
        <v>18</v>
      </c>
      <c r="F6" s="101">
        <v>31.9</v>
      </c>
      <c r="G6" s="102" t="s">
        <v>19</v>
      </c>
      <c r="H6" s="101">
        <v>0</v>
      </c>
      <c r="I6" s="132" t="s">
        <v>26</v>
      </c>
      <c r="J6" s="101">
        <v>79.7</v>
      </c>
      <c r="K6" s="100" t="s">
        <v>20</v>
      </c>
      <c r="L6" s="101">
        <v>133.5</v>
      </c>
      <c r="M6" s="132" t="s">
        <v>21</v>
      </c>
      <c r="N6" s="101">
        <v>57.6</v>
      </c>
      <c r="O6" s="100" t="s">
        <v>20</v>
      </c>
      <c r="P6" s="101">
        <v>42.8</v>
      </c>
      <c r="Q6" s="102" t="s">
        <v>19</v>
      </c>
    </row>
    <row r="7" spans="1:17" ht="192" customHeight="1" x14ac:dyDescent="0.25">
      <c r="A7" s="106" t="s">
        <v>31</v>
      </c>
      <c r="B7" s="106" t="s">
        <v>32</v>
      </c>
      <c r="C7" s="105" t="s">
        <v>17</v>
      </c>
      <c r="D7" s="103">
        <v>140.9</v>
      </c>
      <c r="E7" s="105" t="s">
        <v>18</v>
      </c>
      <c r="F7" s="103">
        <v>221.4</v>
      </c>
      <c r="G7" s="105" t="s">
        <v>33</v>
      </c>
      <c r="H7" s="103">
        <v>5.2</v>
      </c>
      <c r="I7" s="106" t="s">
        <v>19</v>
      </c>
      <c r="J7" s="103">
        <v>0</v>
      </c>
      <c r="K7" s="104" t="s">
        <v>20</v>
      </c>
      <c r="L7" s="103">
        <v>367.5</v>
      </c>
      <c r="M7" s="105" t="s">
        <v>21</v>
      </c>
      <c r="N7" s="103">
        <v>164.4</v>
      </c>
      <c r="O7" s="104" t="s">
        <v>20</v>
      </c>
      <c r="P7" s="103">
        <v>116.4</v>
      </c>
      <c r="Q7" s="106" t="s">
        <v>19</v>
      </c>
    </row>
    <row r="8" spans="1:17" ht="151.5" customHeight="1" x14ac:dyDescent="0.25">
      <c r="A8" s="106" t="s">
        <v>36</v>
      </c>
      <c r="B8" s="106" t="s">
        <v>37</v>
      </c>
      <c r="C8" s="105" t="s">
        <v>17</v>
      </c>
      <c r="D8" s="103">
        <v>126.5</v>
      </c>
      <c r="E8" s="105" t="s">
        <v>18</v>
      </c>
      <c r="F8" s="103">
        <v>4.9000000000000004</v>
      </c>
      <c r="G8" s="106" t="s">
        <v>19</v>
      </c>
      <c r="H8" s="103">
        <v>0</v>
      </c>
      <c r="I8" s="106" t="s">
        <v>19</v>
      </c>
      <c r="J8" s="103">
        <v>0</v>
      </c>
      <c r="K8" s="104" t="s">
        <v>20</v>
      </c>
      <c r="L8" s="103">
        <v>131.30000000000001</v>
      </c>
      <c r="M8" s="105" t="s">
        <v>21</v>
      </c>
      <c r="N8" s="103">
        <v>58.2</v>
      </c>
      <c r="O8" s="104" t="s">
        <v>20</v>
      </c>
      <c r="P8" s="103">
        <v>42.1</v>
      </c>
      <c r="Q8" s="106" t="s">
        <v>19</v>
      </c>
    </row>
    <row r="9" spans="1:17" ht="151.5" customHeight="1" x14ac:dyDescent="0.25">
      <c r="A9" s="106" t="s">
        <v>40</v>
      </c>
      <c r="B9" s="106" t="s">
        <v>25</v>
      </c>
      <c r="C9" s="105" t="s">
        <v>17</v>
      </c>
      <c r="D9" s="103">
        <v>37.700000000000003</v>
      </c>
      <c r="E9" s="105" t="s">
        <v>18</v>
      </c>
      <c r="F9" s="103">
        <v>29.7</v>
      </c>
      <c r="G9" s="106" t="s">
        <v>19</v>
      </c>
      <c r="H9" s="103">
        <v>0</v>
      </c>
      <c r="I9" s="106" t="s">
        <v>19</v>
      </c>
      <c r="J9" s="103">
        <v>0</v>
      </c>
      <c r="K9" s="104" t="s">
        <v>20</v>
      </c>
      <c r="L9" s="103">
        <v>67.400000000000006</v>
      </c>
      <c r="M9" s="105" t="s">
        <v>21</v>
      </c>
      <c r="N9" s="103">
        <v>54.2</v>
      </c>
      <c r="O9" s="104" t="s">
        <v>20</v>
      </c>
      <c r="P9" s="103">
        <v>30.1</v>
      </c>
      <c r="Q9" s="106" t="s">
        <v>19</v>
      </c>
    </row>
    <row r="10" spans="1:17" ht="114.75" customHeight="1" x14ac:dyDescent="0.25">
      <c r="A10" s="106" t="s">
        <v>42</v>
      </c>
      <c r="B10" s="106" t="s">
        <v>43</v>
      </c>
      <c r="C10" s="105" t="s">
        <v>17</v>
      </c>
      <c r="D10" s="103">
        <v>57.5</v>
      </c>
      <c r="E10" s="105" t="s">
        <v>18</v>
      </c>
      <c r="F10" s="103">
        <v>72.2</v>
      </c>
      <c r="G10" s="106" t="s">
        <v>19</v>
      </c>
      <c r="H10" s="103">
        <v>0</v>
      </c>
      <c r="I10" s="106" t="s">
        <v>19</v>
      </c>
      <c r="J10" s="103">
        <v>0</v>
      </c>
      <c r="K10" s="104" t="s">
        <v>20</v>
      </c>
      <c r="L10" s="103">
        <v>129.69999999999999</v>
      </c>
      <c r="M10" s="105" t="s">
        <v>21</v>
      </c>
      <c r="N10" s="103">
        <v>99.5</v>
      </c>
      <c r="O10" s="104" t="s">
        <v>20</v>
      </c>
      <c r="P10" s="103">
        <v>41.7</v>
      </c>
      <c r="Q10" s="106" t="s">
        <v>19</v>
      </c>
    </row>
    <row r="11" spans="1:17" ht="50.25" customHeight="1" x14ac:dyDescent="0.25">
      <c r="A11" s="106" t="s">
        <v>45</v>
      </c>
      <c r="B11" s="106" t="s">
        <v>25</v>
      </c>
      <c r="C11" s="106" t="s">
        <v>19</v>
      </c>
      <c r="D11" s="103">
        <v>0</v>
      </c>
      <c r="E11" s="105" t="s">
        <v>18</v>
      </c>
      <c r="F11" s="103">
        <v>31.4</v>
      </c>
      <c r="G11" s="106" t="s">
        <v>19</v>
      </c>
      <c r="H11" s="103">
        <v>0</v>
      </c>
      <c r="I11" s="105" t="s">
        <v>26</v>
      </c>
      <c r="J11" s="103">
        <v>64.400000000000006</v>
      </c>
      <c r="K11" s="104" t="s">
        <v>20</v>
      </c>
      <c r="L11" s="103">
        <v>95.8</v>
      </c>
      <c r="M11" s="105" t="s">
        <v>21</v>
      </c>
      <c r="N11" s="103">
        <v>40.700000000000003</v>
      </c>
      <c r="O11" s="104" t="s">
        <v>20</v>
      </c>
      <c r="P11" s="103">
        <v>31.4</v>
      </c>
      <c r="Q11" s="106" t="s">
        <v>19</v>
      </c>
    </row>
    <row r="12" spans="1:17" ht="187.2" x14ac:dyDescent="0.25">
      <c r="A12" s="99" t="s">
        <v>22</v>
      </c>
      <c r="B12" s="100" t="s">
        <v>23</v>
      </c>
      <c r="C12" s="132" t="s">
        <v>17</v>
      </c>
      <c r="D12" s="101">
        <v>44.3</v>
      </c>
      <c r="E12" s="132" t="s">
        <v>18</v>
      </c>
      <c r="F12" s="103">
        <v>23.1</v>
      </c>
      <c r="G12" s="104" t="s">
        <v>20</v>
      </c>
      <c r="H12" s="103">
        <v>67.400000000000006</v>
      </c>
      <c r="I12" s="103"/>
      <c r="J12" s="103"/>
      <c r="K12" s="103"/>
      <c r="L12" s="103"/>
      <c r="M12" s="105" t="s">
        <v>21</v>
      </c>
      <c r="N12" s="101">
        <v>24.5</v>
      </c>
      <c r="O12" s="100" t="s">
        <v>20</v>
      </c>
      <c r="P12" s="103">
        <v>21.4</v>
      </c>
      <c r="Q12" s="106" t="s">
        <v>19</v>
      </c>
    </row>
    <row r="13" spans="1:17" ht="187.2" x14ac:dyDescent="0.25">
      <c r="A13" s="99" t="s">
        <v>27</v>
      </c>
      <c r="B13" s="100" t="s">
        <v>28</v>
      </c>
      <c r="C13" s="132" t="s">
        <v>29</v>
      </c>
      <c r="D13" s="101">
        <v>233.1</v>
      </c>
      <c r="E13" s="132" t="s">
        <v>18</v>
      </c>
      <c r="F13" s="103">
        <v>72.400000000000006</v>
      </c>
      <c r="G13" s="106" t="s">
        <v>19</v>
      </c>
      <c r="H13" s="103">
        <v>305.5</v>
      </c>
      <c r="I13" s="103"/>
      <c r="J13" s="103"/>
      <c r="K13" s="103"/>
      <c r="L13" s="103"/>
      <c r="M13" s="104" t="s">
        <v>30</v>
      </c>
      <c r="N13" s="101">
        <v>156.9</v>
      </c>
      <c r="O13" s="102" t="s">
        <v>19</v>
      </c>
      <c r="P13" s="103">
        <v>98.5</v>
      </c>
      <c r="Q13" s="106" t="s">
        <v>19</v>
      </c>
    </row>
    <row r="14" spans="1:17" ht="187.2" x14ac:dyDescent="0.25">
      <c r="A14" s="99" t="s">
        <v>34</v>
      </c>
      <c r="B14" s="100" t="s">
        <v>28</v>
      </c>
      <c r="C14" s="132" t="s">
        <v>29</v>
      </c>
      <c r="D14" s="101">
        <v>387.1</v>
      </c>
      <c r="E14" s="132" t="s">
        <v>18</v>
      </c>
      <c r="F14" s="103">
        <v>31.8</v>
      </c>
      <c r="G14" s="106" t="s">
        <v>19</v>
      </c>
      <c r="H14" s="103">
        <v>419</v>
      </c>
      <c r="I14" s="103"/>
      <c r="J14" s="103"/>
      <c r="K14" s="103"/>
      <c r="L14" s="103"/>
      <c r="M14" s="104" t="s">
        <v>30</v>
      </c>
      <c r="N14" s="101">
        <v>243.4</v>
      </c>
      <c r="O14" s="102" t="s">
        <v>19</v>
      </c>
      <c r="P14" s="103">
        <v>135.5</v>
      </c>
      <c r="Q14" s="106" t="s">
        <v>19</v>
      </c>
    </row>
    <row r="15" spans="1:17" ht="187.2" x14ac:dyDescent="0.25">
      <c r="A15" s="106" t="s">
        <v>35</v>
      </c>
      <c r="B15" s="104" t="s">
        <v>28</v>
      </c>
      <c r="C15" s="105" t="s">
        <v>29</v>
      </c>
      <c r="D15" s="103">
        <v>87.2</v>
      </c>
      <c r="E15" s="105" t="s">
        <v>18</v>
      </c>
      <c r="F15" s="103">
        <v>11.1</v>
      </c>
      <c r="G15" s="106" t="s">
        <v>19</v>
      </c>
      <c r="H15" s="103">
        <v>98.3</v>
      </c>
      <c r="I15" s="103"/>
      <c r="J15" s="103"/>
      <c r="K15" s="103"/>
      <c r="L15" s="103"/>
      <c r="M15" s="104" t="s">
        <v>30</v>
      </c>
      <c r="N15" s="103">
        <v>64.3</v>
      </c>
      <c r="O15" s="106" t="s">
        <v>19</v>
      </c>
      <c r="P15" s="103">
        <v>32.299999999999997</v>
      </c>
      <c r="Q15" s="106" t="s">
        <v>19</v>
      </c>
    </row>
    <row r="16" spans="1:17" ht="187.2" x14ac:dyDescent="0.25">
      <c r="A16" s="106" t="s">
        <v>38</v>
      </c>
      <c r="B16" s="104" t="s">
        <v>39</v>
      </c>
      <c r="C16" s="105" t="s">
        <v>17</v>
      </c>
      <c r="D16" s="103">
        <v>89.2</v>
      </c>
      <c r="E16" s="105" t="s">
        <v>18</v>
      </c>
      <c r="F16" s="103">
        <v>26.1</v>
      </c>
      <c r="G16" s="104" t="s">
        <v>20</v>
      </c>
      <c r="H16" s="103">
        <v>115.3</v>
      </c>
      <c r="I16" s="103"/>
      <c r="J16" s="103"/>
      <c r="K16" s="103"/>
      <c r="L16" s="103"/>
      <c r="M16" s="105" t="s">
        <v>21</v>
      </c>
      <c r="N16" s="103">
        <v>17</v>
      </c>
      <c r="O16" s="104" t="s">
        <v>20</v>
      </c>
      <c r="P16" s="103">
        <v>37.299999999999997</v>
      </c>
      <c r="Q16" s="106" t="s">
        <v>19</v>
      </c>
    </row>
    <row r="17" spans="1:17" ht="187.2" x14ac:dyDescent="0.25">
      <c r="A17" s="106" t="s">
        <v>41</v>
      </c>
      <c r="B17" s="104" t="s">
        <v>28</v>
      </c>
      <c r="C17" s="105" t="s">
        <v>29</v>
      </c>
      <c r="D17" s="103">
        <v>49.8</v>
      </c>
      <c r="E17" s="105" t="s">
        <v>18</v>
      </c>
      <c r="F17" s="103">
        <v>16.5</v>
      </c>
      <c r="G17" s="106" t="s">
        <v>19</v>
      </c>
      <c r="H17" s="103">
        <v>70.400000000000006</v>
      </c>
      <c r="I17" s="103"/>
      <c r="J17" s="103"/>
      <c r="K17" s="103"/>
      <c r="L17" s="103"/>
      <c r="M17" s="104" t="s">
        <v>30</v>
      </c>
      <c r="N17" s="103">
        <v>16.600000000000001</v>
      </c>
      <c r="O17" s="106" t="s">
        <v>19</v>
      </c>
      <c r="P17" s="103">
        <v>22.3</v>
      </c>
      <c r="Q17" s="106" t="s">
        <v>19</v>
      </c>
    </row>
    <row r="18" spans="1:17" ht="187.2" x14ac:dyDescent="0.25">
      <c r="A18" s="106" t="s">
        <v>44</v>
      </c>
      <c r="B18" s="104" t="s">
        <v>28</v>
      </c>
      <c r="C18" s="105" t="s">
        <v>29</v>
      </c>
      <c r="D18" s="103">
        <v>197.8</v>
      </c>
      <c r="E18" s="105" t="s">
        <v>18</v>
      </c>
      <c r="F18" s="103">
        <v>25.9</v>
      </c>
      <c r="G18" s="106" t="s">
        <v>19</v>
      </c>
      <c r="H18" s="103">
        <v>223.7</v>
      </c>
      <c r="I18" s="103"/>
      <c r="J18" s="103"/>
      <c r="K18" s="103"/>
      <c r="L18" s="103"/>
      <c r="M18" s="104" t="s">
        <v>30</v>
      </c>
      <c r="N18" s="103">
        <v>176.6</v>
      </c>
      <c r="O18" s="106" t="s">
        <v>19</v>
      </c>
      <c r="P18" s="103">
        <v>68.599999999999994</v>
      </c>
      <c r="Q18" s="106" t="s">
        <v>19</v>
      </c>
    </row>
    <row r="19" spans="1:17" ht="187.2" x14ac:dyDescent="0.25">
      <c r="A19" s="7" t="s">
        <v>46</v>
      </c>
      <c r="B19" s="8" t="s">
        <v>47</v>
      </c>
      <c r="C19" s="3" t="s">
        <v>17</v>
      </c>
      <c r="D19" s="9">
        <v>26.3</v>
      </c>
      <c r="E19" s="3" t="s">
        <v>18</v>
      </c>
      <c r="F19" s="9">
        <v>18.899999999999999</v>
      </c>
      <c r="G19" s="10" t="s">
        <v>19</v>
      </c>
      <c r="H19" s="9">
        <v>0</v>
      </c>
      <c r="I19" s="9"/>
      <c r="J19" s="9"/>
      <c r="K19" s="8" t="s">
        <v>20</v>
      </c>
      <c r="L19" s="9">
        <v>45.2</v>
      </c>
      <c r="M19" s="3" t="s">
        <v>21</v>
      </c>
      <c r="N19" s="9">
        <v>11.8</v>
      </c>
      <c r="O19" s="8" t="s">
        <v>20</v>
      </c>
      <c r="P19" s="9">
        <v>14.3</v>
      </c>
      <c r="Q19" s="10" t="s">
        <v>19</v>
      </c>
    </row>
    <row r="20" spans="1:17" ht="187.2" x14ac:dyDescent="0.25">
      <c r="A20" s="7" t="s">
        <v>49</v>
      </c>
      <c r="B20" s="8" t="s">
        <v>50</v>
      </c>
      <c r="C20" s="3" t="s">
        <v>17</v>
      </c>
      <c r="D20" s="9">
        <v>30.7</v>
      </c>
      <c r="E20" s="3" t="s">
        <v>18</v>
      </c>
      <c r="F20" s="9">
        <v>11.7</v>
      </c>
      <c r="G20" s="10" t="s">
        <v>19</v>
      </c>
      <c r="H20" s="9">
        <v>0</v>
      </c>
      <c r="I20" s="9"/>
      <c r="J20" s="9"/>
      <c r="K20" s="8" t="s">
        <v>20</v>
      </c>
      <c r="L20" s="9">
        <v>42.4</v>
      </c>
      <c r="M20" s="3" t="s">
        <v>21</v>
      </c>
      <c r="N20" s="9">
        <v>12.4</v>
      </c>
      <c r="O20" s="8" t="s">
        <v>20</v>
      </c>
      <c r="P20" s="9">
        <v>13.4</v>
      </c>
      <c r="Q20" s="10" t="s">
        <v>19</v>
      </c>
    </row>
    <row r="21" spans="1:17" ht="187.2" x14ac:dyDescent="0.25">
      <c r="A21" s="7" t="s">
        <v>52</v>
      </c>
      <c r="B21" s="10" t="s">
        <v>32</v>
      </c>
      <c r="C21" s="3" t="s">
        <v>17</v>
      </c>
      <c r="D21" s="9">
        <v>33.700000000000003</v>
      </c>
      <c r="E21" s="3" t="s">
        <v>18</v>
      </c>
      <c r="F21" s="9">
        <v>45.4</v>
      </c>
      <c r="G21" s="10" t="s">
        <v>19</v>
      </c>
      <c r="H21" s="9">
        <v>0</v>
      </c>
      <c r="I21" s="9"/>
      <c r="J21" s="9"/>
      <c r="K21" s="8" t="s">
        <v>20</v>
      </c>
      <c r="L21" s="9">
        <v>79.099999999999994</v>
      </c>
      <c r="M21" s="3" t="s">
        <v>21</v>
      </c>
      <c r="N21" s="9">
        <v>30.4</v>
      </c>
      <c r="O21" s="8" t="s">
        <v>20</v>
      </c>
      <c r="P21" s="9">
        <v>24.3</v>
      </c>
      <c r="Q21" s="10" t="s">
        <v>19</v>
      </c>
    </row>
    <row r="22" spans="1:17" ht="187.2" x14ac:dyDescent="0.25">
      <c r="A22" s="7" t="s">
        <v>54</v>
      </c>
      <c r="B22" s="8" t="s">
        <v>55</v>
      </c>
      <c r="C22" s="3" t="s">
        <v>17</v>
      </c>
      <c r="D22" s="9">
        <v>69.900000000000006</v>
      </c>
      <c r="E22" s="3" t="s">
        <v>18</v>
      </c>
      <c r="F22" s="9">
        <v>24.3</v>
      </c>
      <c r="G22" s="10" t="s">
        <v>19</v>
      </c>
      <c r="H22" s="9">
        <v>0</v>
      </c>
      <c r="I22" s="9"/>
      <c r="J22" s="9"/>
      <c r="K22" s="8" t="s">
        <v>20</v>
      </c>
      <c r="L22" s="9">
        <v>94.2</v>
      </c>
      <c r="M22" s="3" t="s">
        <v>21</v>
      </c>
      <c r="N22" s="9">
        <v>13</v>
      </c>
      <c r="O22" s="8" t="s">
        <v>20</v>
      </c>
      <c r="P22" s="9">
        <v>29.8</v>
      </c>
      <c r="Q22" s="10" t="s">
        <v>19</v>
      </c>
    </row>
    <row r="23" spans="1:17" ht="187.2" x14ac:dyDescent="0.25">
      <c r="A23" s="17" t="s">
        <v>57</v>
      </c>
      <c r="B23" s="22" t="s">
        <v>28</v>
      </c>
      <c r="C23" s="127" t="s">
        <v>29</v>
      </c>
      <c r="D23" s="121">
        <v>60.3</v>
      </c>
      <c r="E23" s="127" t="s">
        <v>18</v>
      </c>
      <c r="F23" s="122">
        <v>29.4</v>
      </c>
      <c r="G23" s="17" t="s">
        <v>19</v>
      </c>
      <c r="H23" s="121">
        <v>0</v>
      </c>
      <c r="I23" s="121"/>
      <c r="J23" s="121"/>
      <c r="K23" s="17" t="s">
        <v>19</v>
      </c>
      <c r="L23" s="121">
        <v>89.7</v>
      </c>
      <c r="M23" s="22" t="s">
        <v>30</v>
      </c>
      <c r="N23" s="121">
        <v>31.4</v>
      </c>
      <c r="O23" s="17" t="s">
        <v>19</v>
      </c>
      <c r="P23" s="121">
        <v>28.9</v>
      </c>
      <c r="Q23" s="17" t="s">
        <v>19</v>
      </c>
    </row>
    <row r="24" spans="1:17" ht="187.2" x14ac:dyDescent="0.25">
      <c r="A24" s="17" t="s">
        <v>59</v>
      </c>
      <c r="B24" s="22" t="s">
        <v>28</v>
      </c>
      <c r="C24" s="127" t="s">
        <v>29</v>
      </c>
      <c r="D24" s="122">
        <v>337.9</v>
      </c>
      <c r="E24" s="127" t="s">
        <v>18</v>
      </c>
      <c r="F24" s="122">
        <v>126.9</v>
      </c>
      <c r="G24" s="17" t="s">
        <v>19</v>
      </c>
      <c r="H24" s="121">
        <v>0</v>
      </c>
      <c r="I24" s="121"/>
      <c r="J24" s="121"/>
      <c r="K24" s="17" t="s">
        <v>19</v>
      </c>
      <c r="L24" s="122">
        <v>464.7</v>
      </c>
      <c r="M24" s="22" t="s">
        <v>30</v>
      </c>
      <c r="N24" s="122">
        <v>289.10000000000002</v>
      </c>
      <c r="O24" s="17" t="s">
        <v>19</v>
      </c>
      <c r="P24" s="122">
        <v>162</v>
      </c>
      <c r="Q24" s="17" t="s">
        <v>19</v>
      </c>
    </row>
    <row r="25" spans="1:17" ht="187.2" x14ac:dyDescent="0.25">
      <c r="A25" s="17" t="s">
        <v>61</v>
      </c>
      <c r="B25" s="22" t="s">
        <v>28</v>
      </c>
      <c r="C25" s="127" t="s">
        <v>29</v>
      </c>
      <c r="D25" s="122">
        <v>278.8</v>
      </c>
      <c r="E25" s="127" t="s">
        <v>18</v>
      </c>
      <c r="F25" s="122">
        <v>64</v>
      </c>
      <c r="G25" s="17" t="s">
        <v>19</v>
      </c>
      <c r="H25" s="121">
        <v>0</v>
      </c>
      <c r="I25" s="121"/>
      <c r="J25" s="121"/>
      <c r="K25" s="17" t="s">
        <v>19</v>
      </c>
      <c r="L25" s="122">
        <v>342.8</v>
      </c>
      <c r="M25" s="22" t="s">
        <v>30</v>
      </c>
      <c r="N25" s="122">
        <v>259.2</v>
      </c>
      <c r="O25" s="17" t="s">
        <v>19</v>
      </c>
      <c r="P25" s="121">
        <v>111.1</v>
      </c>
      <c r="Q25" s="17" t="s">
        <v>19</v>
      </c>
    </row>
    <row r="26" spans="1:17" ht="187.2" x14ac:dyDescent="0.25">
      <c r="A26" s="17" t="s">
        <v>62</v>
      </c>
      <c r="B26" s="22" t="s">
        <v>28</v>
      </c>
      <c r="C26" s="127" t="s">
        <v>29</v>
      </c>
      <c r="D26" s="121">
        <v>32.799999999999997</v>
      </c>
      <c r="E26" s="127" t="s">
        <v>18</v>
      </c>
      <c r="F26" s="122">
        <v>40.700000000000003</v>
      </c>
      <c r="G26" s="17" t="s">
        <v>19</v>
      </c>
      <c r="H26" s="121">
        <v>0</v>
      </c>
      <c r="I26" s="121"/>
      <c r="J26" s="121"/>
      <c r="K26" s="17" t="s">
        <v>19</v>
      </c>
      <c r="L26" s="121">
        <v>73.5</v>
      </c>
      <c r="M26" s="22" t="s">
        <v>30</v>
      </c>
      <c r="N26" s="122">
        <v>26.4</v>
      </c>
      <c r="O26" s="17" t="s">
        <v>19</v>
      </c>
      <c r="P26" s="121">
        <v>24.1</v>
      </c>
      <c r="Q26" s="17" t="s">
        <v>19</v>
      </c>
    </row>
    <row r="27" spans="1:17" ht="187.2" x14ac:dyDescent="0.25">
      <c r="A27" s="7" t="s">
        <v>48</v>
      </c>
      <c r="B27" s="10" t="s">
        <v>25</v>
      </c>
      <c r="C27" s="3" t="s">
        <v>17</v>
      </c>
      <c r="D27" s="9">
        <v>89.7</v>
      </c>
      <c r="E27" s="3" t="s">
        <v>18</v>
      </c>
      <c r="F27" s="9">
        <v>52.7</v>
      </c>
      <c r="G27" s="10" t="s">
        <v>19</v>
      </c>
      <c r="H27" s="82">
        <v>0</v>
      </c>
      <c r="I27" s="12"/>
      <c r="J27" s="83"/>
      <c r="K27" s="13" t="s">
        <v>20</v>
      </c>
      <c r="L27" s="14">
        <v>142.30000000000001</v>
      </c>
      <c r="M27" s="6" t="s">
        <v>21</v>
      </c>
      <c r="N27" s="9">
        <v>126</v>
      </c>
      <c r="O27" s="8" t="s">
        <v>20</v>
      </c>
      <c r="P27" s="14">
        <v>56.4</v>
      </c>
      <c r="Q27" s="16" t="s">
        <v>19</v>
      </c>
    </row>
    <row r="28" spans="1:17" ht="187.2" x14ac:dyDescent="0.25">
      <c r="A28" s="7" t="s">
        <v>51</v>
      </c>
      <c r="B28" s="10" t="s">
        <v>25</v>
      </c>
      <c r="C28" s="3" t="s">
        <v>17</v>
      </c>
      <c r="D28" s="9">
        <v>26.4</v>
      </c>
      <c r="E28" s="3" t="s">
        <v>18</v>
      </c>
      <c r="F28" s="9">
        <v>92.5</v>
      </c>
      <c r="G28" s="10" t="s">
        <v>19</v>
      </c>
      <c r="H28" s="82">
        <v>0</v>
      </c>
      <c r="I28" s="12"/>
      <c r="J28" s="83"/>
      <c r="K28" s="13" t="s">
        <v>20</v>
      </c>
      <c r="L28" s="14">
        <v>118.9</v>
      </c>
      <c r="M28" s="6" t="s">
        <v>21</v>
      </c>
      <c r="N28" s="9">
        <v>70.7</v>
      </c>
      <c r="O28" s="8" t="s">
        <v>20</v>
      </c>
      <c r="P28" s="14">
        <v>38.799999999999997</v>
      </c>
      <c r="Q28" s="16" t="s">
        <v>19</v>
      </c>
    </row>
    <row r="29" spans="1:17" ht="187.2" x14ac:dyDescent="0.25">
      <c r="A29" s="7" t="s">
        <v>53</v>
      </c>
      <c r="B29" s="8" t="s">
        <v>28</v>
      </c>
      <c r="C29" s="3" t="s">
        <v>29</v>
      </c>
      <c r="D29" s="9">
        <v>210.2</v>
      </c>
      <c r="E29" s="3" t="s">
        <v>18</v>
      </c>
      <c r="F29" s="9">
        <v>94.2</v>
      </c>
      <c r="G29" s="10" t="s">
        <v>19</v>
      </c>
      <c r="H29" s="82">
        <v>0</v>
      </c>
      <c r="I29" s="12"/>
      <c r="J29" s="83"/>
      <c r="K29" s="16" t="s">
        <v>19</v>
      </c>
      <c r="L29" s="14">
        <v>304.3</v>
      </c>
      <c r="M29" s="13" t="s">
        <v>30</v>
      </c>
      <c r="N29" s="9">
        <v>242</v>
      </c>
      <c r="O29" s="10" t="s">
        <v>19</v>
      </c>
      <c r="P29" s="14">
        <v>99.1</v>
      </c>
      <c r="Q29" s="16" t="s">
        <v>19</v>
      </c>
    </row>
    <row r="30" spans="1:17" ht="230.4" x14ac:dyDescent="0.25">
      <c r="A30" s="17" t="s">
        <v>56</v>
      </c>
      <c r="B30" s="17" t="s">
        <v>32</v>
      </c>
      <c r="C30" s="127" t="s">
        <v>17</v>
      </c>
      <c r="D30" s="122">
        <v>261.60000000000002</v>
      </c>
      <c r="E30" s="127" t="s">
        <v>18</v>
      </c>
      <c r="F30" s="122">
        <v>130.30000000000001</v>
      </c>
      <c r="G30" s="127" t="s">
        <v>33</v>
      </c>
      <c r="H30" s="87">
        <v>3.8</v>
      </c>
      <c r="I30" s="25"/>
      <c r="J30" s="88"/>
      <c r="K30" s="30" t="s">
        <v>20</v>
      </c>
      <c r="L30" s="32">
        <v>395.7</v>
      </c>
      <c r="M30" s="34" t="s">
        <v>21</v>
      </c>
      <c r="N30" s="122">
        <v>180.7</v>
      </c>
      <c r="O30" s="22" t="s">
        <v>20</v>
      </c>
      <c r="P30" s="32">
        <v>123.9</v>
      </c>
      <c r="Q30" s="28" t="s">
        <v>19</v>
      </c>
    </row>
    <row r="31" spans="1:17" ht="14.4" x14ac:dyDescent="0.25">
      <c r="A31" s="18"/>
      <c r="B31" s="18"/>
      <c r="C31" s="4"/>
      <c r="D31" s="20"/>
      <c r="E31" s="4"/>
      <c r="F31" s="20"/>
      <c r="G31" s="4"/>
      <c r="H31" s="26"/>
      <c r="I31" s="27"/>
      <c r="J31" s="89"/>
      <c r="K31" s="31"/>
      <c r="L31" s="33"/>
      <c r="M31" s="36"/>
      <c r="N31" s="20"/>
      <c r="O31" s="23"/>
      <c r="P31" s="33"/>
      <c r="Q31" s="29"/>
    </row>
    <row r="32" spans="1:17" ht="187.2" x14ac:dyDescent="0.25">
      <c r="A32" s="17" t="s">
        <v>58</v>
      </c>
      <c r="B32" s="22" t="s">
        <v>28</v>
      </c>
      <c r="C32" s="127" t="s">
        <v>29</v>
      </c>
      <c r="D32" s="122">
        <v>114.6</v>
      </c>
      <c r="E32" s="127" t="s">
        <v>18</v>
      </c>
      <c r="F32" s="121">
        <v>76.2</v>
      </c>
      <c r="G32" s="17" t="s">
        <v>19</v>
      </c>
      <c r="H32" s="87">
        <v>0</v>
      </c>
      <c r="I32" s="25"/>
      <c r="J32" s="88"/>
      <c r="K32" s="28" t="s">
        <v>19</v>
      </c>
      <c r="L32" s="32">
        <v>190.8</v>
      </c>
      <c r="M32" s="30" t="s">
        <v>30</v>
      </c>
      <c r="N32" s="122">
        <v>103.5</v>
      </c>
      <c r="O32" s="17" t="s">
        <v>19</v>
      </c>
      <c r="P32" s="32">
        <v>62.1</v>
      </c>
      <c r="Q32" s="28" t="s">
        <v>19</v>
      </c>
    </row>
    <row r="33" spans="1:17" ht="187.2" x14ac:dyDescent="0.25">
      <c r="A33" s="17" t="s">
        <v>60</v>
      </c>
      <c r="B33" s="22" t="s">
        <v>28</v>
      </c>
      <c r="C33" s="127" t="s">
        <v>29</v>
      </c>
      <c r="D33" s="122">
        <v>185.8</v>
      </c>
      <c r="E33" s="127" t="s">
        <v>18</v>
      </c>
      <c r="F33" s="121">
        <v>41.3</v>
      </c>
      <c r="G33" s="17" t="s">
        <v>19</v>
      </c>
      <c r="H33" s="87">
        <v>0</v>
      </c>
      <c r="I33" s="25"/>
      <c r="J33" s="88"/>
      <c r="K33" s="28" t="s">
        <v>19</v>
      </c>
      <c r="L33" s="32">
        <v>227.1</v>
      </c>
      <c r="M33" s="30" t="s">
        <v>30</v>
      </c>
      <c r="N33" s="122">
        <v>181.1</v>
      </c>
      <c r="O33" s="17" t="s">
        <v>19</v>
      </c>
      <c r="P33" s="32">
        <v>71</v>
      </c>
      <c r="Q33" s="28" t="s">
        <v>19</v>
      </c>
    </row>
  </sheetData>
  <mergeCells count="16">
    <mergeCell ref="P3:P4"/>
    <mergeCell ref="A1:Q1"/>
    <mergeCell ref="A2:A4"/>
    <mergeCell ref="B2:B4"/>
    <mergeCell ref="C2:L2"/>
    <mergeCell ref="M2:N2"/>
    <mergeCell ref="O2:P2"/>
    <mergeCell ref="Q2:Q4"/>
    <mergeCell ref="C3:D3"/>
    <mergeCell ref="E3:F3"/>
    <mergeCell ref="G3:H3"/>
    <mergeCell ref="I3:J3"/>
    <mergeCell ref="K3:L3"/>
    <mergeCell ref="M3:M4"/>
    <mergeCell ref="N3:N4"/>
    <mergeCell ref="O3:O4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AC85"/>
  <sheetViews>
    <sheetView zoomScale="55" zoomScaleNormal="55" workbookViewId="0">
      <selection activeCell="A29" sqref="A29:U39"/>
    </sheetView>
  </sheetViews>
  <sheetFormatPr defaultRowHeight="13.2" x14ac:dyDescent="0.25"/>
  <cols>
    <col min="1" max="1" width="6.44140625" customWidth="1"/>
    <col min="2" max="2" width="23.33203125" customWidth="1"/>
    <col min="3" max="3" width="42.109375" customWidth="1"/>
    <col min="4" max="4" width="13.109375" customWidth="1"/>
    <col min="5" max="5" width="26.109375" customWidth="1"/>
    <col min="6" max="6" width="13.109375" customWidth="1"/>
    <col min="7" max="7" width="50.44140625" customWidth="1"/>
    <col min="8" max="8" width="13.109375" customWidth="1"/>
    <col min="9" max="9" width="26.109375" customWidth="1"/>
    <col min="10" max="10" width="13.109375" customWidth="1"/>
    <col min="11" max="11" width="48.44140625" customWidth="1"/>
    <col min="12" max="12" width="13.109375" customWidth="1"/>
    <col min="13" max="13" width="30.44140625" customWidth="1"/>
    <col min="14" max="14" width="13.109375" customWidth="1"/>
    <col min="15" max="15" width="19.77734375" customWidth="1"/>
    <col min="16" max="16" width="12.77734375" customWidth="1"/>
    <col min="17" max="17" width="24" customWidth="1"/>
    <col min="18" max="18" width="12.109375" customWidth="1"/>
    <col min="19" max="19" width="16.109375" customWidth="1"/>
    <col min="20" max="20" width="12.77734375" customWidth="1"/>
    <col min="21" max="21" width="26.6640625" customWidth="1"/>
  </cols>
  <sheetData>
    <row r="1" spans="1:29" ht="31.5" customHeight="1" x14ac:dyDescent="0.25">
      <c r="A1" s="241" t="s">
        <v>0</v>
      </c>
      <c r="B1" s="242"/>
      <c r="C1" s="242"/>
      <c r="D1" s="242"/>
      <c r="E1" s="242"/>
      <c r="F1" s="242"/>
      <c r="G1" s="242"/>
      <c r="H1" s="242"/>
      <c r="I1" s="242"/>
      <c r="J1" s="242"/>
      <c r="K1" s="242"/>
      <c r="L1" s="242"/>
      <c r="M1" s="242"/>
      <c r="N1" s="242"/>
      <c r="O1" s="242"/>
      <c r="P1" s="242"/>
      <c r="Q1" s="242"/>
      <c r="R1" s="242"/>
      <c r="S1" s="242"/>
      <c r="T1" s="242"/>
      <c r="U1" s="242"/>
    </row>
    <row r="2" spans="1:29" ht="17.399999999999999" x14ac:dyDescent="0.25">
      <c r="A2" s="233" t="s">
        <v>1</v>
      </c>
      <c r="B2" s="232" t="s">
        <v>2</v>
      </c>
      <c r="C2" s="234" t="s">
        <v>3</v>
      </c>
      <c r="D2" s="234"/>
      <c r="E2" s="234"/>
      <c r="F2" s="234"/>
      <c r="G2" s="234"/>
      <c r="H2" s="234"/>
      <c r="I2" s="234"/>
      <c r="J2" s="234"/>
      <c r="K2" s="234"/>
      <c r="L2" s="234"/>
      <c r="M2" s="133"/>
      <c r="N2" s="133"/>
      <c r="O2" s="133"/>
      <c r="P2" s="133"/>
      <c r="Q2" s="232" t="s">
        <v>4</v>
      </c>
      <c r="R2" s="232"/>
      <c r="S2" s="235" t="s">
        <v>5</v>
      </c>
      <c r="T2" s="235"/>
      <c r="U2" s="134" t="s">
        <v>6</v>
      </c>
    </row>
    <row r="3" spans="1:29" ht="17.399999999999999" x14ac:dyDescent="0.25">
      <c r="A3" s="233"/>
      <c r="B3" s="232"/>
      <c r="C3" s="235" t="s">
        <v>7</v>
      </c>
      <c r="D3" s="235"/>
      <c r="E3" s="238" t="s">
        <v>8</v>
      </c>
      <c r="F3" s="238"/>
      <c r="G3" s="239" t="s">
        <v>9</v>
      </c>
      <c r="H3" s="239"/>
      <c r="I3" s="80" t="s">
        <v>63</v>
      </c>
      <c r="J3" s="81"/>
      <c r="K3" s="80" t="s">
        <v>64</v>
      </c>
      <c r="L3" s="81"/>
      <c r="M3" s="239" t="s">
        <v>10</v>
      </c>
      <c r="N3" s="239"/>
      <c r="O3" s="240" t="s">
        <v>11</v>
      </c>
      <c r="P3" s="240"/>
      <c r="Q3" s="232" t="s">
        <v>12</v>
      </c>
      <c r="R3" s="233" t="s">
        <v>13</v>
      </c>
      <c r="S3" s="232" t="s">
        <v>12</v>
      </c>
      <c r="T3" s="237" t="s">
        <v>14</v>
      </c>
      <c r="U3" s="134"/>
    </row>
    <row r="4" spans="1:29" ht="34.799999999999997" x14ac:dyDescent="0.25">
      <c r="A4" s="233"/>
      <c r="B4" s="232"/>
      <c r="C4" s="96" t="s">
        <v>12</v>
      </c>
      <c r="D4" s="132" t="s">
        <v>13</v>
      </c>
      <c r="E4" s="96" t="s">
        <v>12</v>
      </c>
      <c r="F4" s="132" t="s">
        <v>13</v>
      </c>
      <c r="G4" s="96" t="s">
        <v>12</v>
      </c>
      <c r="H4" s="132" t="s">
        <v>13</v>
      </c>
      <c r="I4" s="5" t="s">
        <v>12</v>
      </c>
      <c r="J4" s="3" t="s">
        <v>13</v>
      </c>
      <c r="K4" s="5" t="s">
        <v>12</v>
      </c>
      <c r="L4" s="3" t="s">
        <v>13</v>
      </c>
      <c r="M4" s="96" t="s">
        <v>12</v>
      </c>
      <c r="N4" s="132" t="s">
        <v>13</v>
      </c>
      <c r="O4" s="98" t="s">
        <v>12</v>
      </c>
      <c r="P4" s="132" t="s">
        <v>13</v>
      </c>
      <c r="Q4" s="232"/>
      <c r="R4" s="233"/>
      <c r="S4" s="232"/>
      <c r="T4" s="237"/>
      <c r="U4" s="134"/>
    </row>
    <row r="5" spans="1:29" ht="144" x14ac:dyDescent="0.25">
      <c r="A5" s="102" t="s">
        <v>65</v>
      </c>
      <c r="B5" s="102" t="s">
        <v>66</v>
      </c>
      <c r="C5" s="132" t="s">
        <v>67</v>
      </c>
      <c r="D5" s="101">
        <v>5.6</v>
      </c>
      <c r="E5" s="101"/>
      <c r="F5" s="101"/>
      <c r="G5" s="102" t="s">
        <v>19</v>
      </c>
      <c r="H5" s="101">
        <v>0</v>
      </c>
      <c r="I5" s="102" t="s">
        <v>19</v>
      </c>
      <c r="J5" s="101">
        <v>0</v>
      </c>
      <c r="K5" s="102" t="s">
        <v>19</v>
      </c>
      <c r="L5" s="101">
        <v>0</v>
      </c>
      <c r="M5" s="132" t="s">
        <v>26</v>
      </c>
      <c r="N5" s="101">
        <v>5.4</v>
      </c>
      <c r="O5" s="100" t="s">
        <v>20</v>
      </c>
      <c r="P5" s="101">
        <v>11</v>
      </c>
      <c r="Q5" s="132" t="s">
        <v>21</v>
      </c>
      <c r="R5" s="101">
        <v>13.4</v>
      </c>
      <c r="S5" s="100" t="s">
        <v>20</v>
      </c>
      <c r="T5" s="101">
        <v>7.7</v>
      </c>
      <c r="U5" s="132" t="s">
        <v>68</v>
      </c>
      <c r="AC5" s="95"/>
    </row>
    <row r="6" spans="1:29" ht="86.4" x14ac:dyDescent="0.25">
      <c r="A6" s="102" t="s">
        <v>69</v>
      </c>
      <c r="B6" s="132" t="s">
        <v>70</v>
      </c>
      <c r="C6" s="132" t="s">
        <v>67</v>
      </c>
      <c r="D6" s="101">
        <v>11.6</v>
      </c>
      <c r="E6" s="101"/>
      <c r="F6" s="101"/>
      <c r="G6" s="132" t="s">
        <v>71</v>
      </c>
      <c r="H6" s="101">
        <v>6.3</v>
      </c>
      <c r="I6" s="102" t="s">
        <v>19</v>
      </c>
      <c r="J6" s="101">
        <v>0</v>
      </c>
      <c r="K6" s="132" t="s">
        <v>71</v>
      </c>
      <c r="L6" s="101">
        <v>15.1</v>
      </c>
      <c r="M6" s="102" t="s">
        <v>19</v>
      </c>
      <c r="N6" s="101">
        <v>0</v>
      </c>
      <c r="O6" s="100" t="s">
        <v>20</v>
      </c>
      <c r="P6" s="101">
        <v>32.9</v>
      </c>
      <c r="Q6" s="110" t="s">
        <v>30</v>
      </c>
      <c r="R6" s="101">
        <v>17.600000000000001</v>
      </c>
      <c r="S6" s="100" t="s">
        <v>20</v>
      </c>
      <c r="T6" s="101">
        <v>14</v>
      </c>
      <c r="U6" s="132" t="s">
        <v>68</v>
      </c>
      <c r="AC6" s="95"/>
    </row>
    <row r="7" spans="1:29" ht="86.4" x14ac:dyDescent="0.25">
      <c r="A7" s="102" t="s">
        <v>72</v>
      </c>
      <c r="B7" s="100" t="s">
        <v>73</v>
      </c>
      <c r="C7" s="102" t="s">
        <v>19</v>
      </c>
      <c r="D7" s="101">
        <v>0</v>
      </c>
      <c r="E7" s="101"/>
      <c r="F7" s="101"/>
      <c r="G7" s="102" t="s">
        <v>19</v>
      </c>
      <c r="H7" s="101">
        <v>0</v>
      </c>
      <c r="I7" s="102" t="s">
        <v>19</v>
      </c>
      <c r="J7" s="101">
        <v>0</v>
      </c>
      <c r="K7" s="132" t="s">
        <v>74</v>
      </c>
      <c r="L7" s="101">
        <v>27.1</v>
      </c>
      <c r="M7" s="102" t="s">
        <v>19</v>
      </c>
      <c r="N7" s="101">
        <v>0</v>
      </c>
      <c r="O7" s="100" t="s">
        <v>20</v>
      </c>
      <c r="P7" s="101">
        <v>27.1</v>
      </c>
      <c r="Q7" s="132" t="s">
        <v>21</v>
      </c>
      <c r="R7" s="101">
        <v>5.8</v>
      </c>
      <c r="S7" s="100" t="s">
        <v>20</v>
      </c>
      <c r="T7" s="101">
        <v>8.5</v>
      </c>
      <c r="U7" s="132" t="s">
        <v>68</v>
      </c>
      <c r="AC7" s="95"/>
    </row>
    <row r="8" spans="1:29" ht="129.6" x14ac:dyDescent="0.25">
      <c r="A8" s="102" t="s">
        <v>75</v>
      </c>
      <c r="B8" s="132" t="s">
        <v>76</v>
      </c>
      <c r="C8" s="132" t="s">
        <v>67</v>
      </c>
      <c r="D8" s="101">
        <v>266.7</v>
      </c>
      <c r="E8" s="101"/>
      <c r="F8" s="101"/>
      <c r="G8" s="132" t="s">
        <v>71</v>
      </c>
      <c r="H8" s="101">
        <v>166.5</v>
      </c>
      <c r="I8" s="132" t="s">
        <v>77</v>
      </c>
      <c r="J8" s="101">
        <v>4.3</v>
      </c>
      <c r="K8" s="132" t="s">
        <v>71</v>
      </c>
      <c r="L8" s="101">
        <v>7.1</v>
      </c>
      <c r="M8" s="102" t="s">
        <v>19</v>
      </c>
      <c r="N8" s="101">
        <v>0</v>
      </c>
      <c r="O8" s="100" t="s">
        <v>20</v>
      </c>
      <c r="P8" s="101">
        <v>444.7</v>
      </c>
      <c r="Q8" s="132" t="s">
        <v>21</v>
      </c>
      <c r="R8" s="101">
        <v>357.2</v>
      </c>
      <c r="S8" s="100" t="s">
        <v>20</v>
      </c>
      <c r="T8" s="101">
        <v>88.6</v>
      </c>
      <c r="U8" s="132" t="s">
        <v>68</v>
      </c>
      <c r="AC8" s="95"/>
    </row>
    <row r="9" spans="1:29" ht="86.4" x14ac:dyDescent="0.25">
      <c r="A9" s="102" t="s">
        <v>78</v>
      </c>
      <c r="B9" s="100" t="s">
        <v>79</v>
      </c>
      <c r="C9" s="132" t="s">
        <v>67</v>
      </c>
      <c r="D9" s="101">
        <v>26.5</v>
      </c>
      <c r="E9" s="101"/>
      <c r="F9" s="101"/>
      <c r="G9" s="132" t="s">
        <v>71</v>
      </c>
      <c r="H9" s="101">
        <v>28.2</v>
      </c>
      <c r="I9" s="102" t="s">
        <v>19</v>
      </c>
      <c r="J9" s="101">
        <v>0</v>
      </c>
      <c r="K9" s="132" t="s">
        <v>71</v>
      </c>
      <c r="L9" s="101">
        <v>14</v>
      </c>
      <c r="M9" s="102" t="s">
        <v>19</v>
      </c>
      <c r="N9" s="101">
        <v>0</v>
      </c>
      <c r="O9" s="100" t="s">
        <v>20</v>
      </c>
      <c r="P9" s="101">
        <v>68.7</v>
      </c>
      <c r="Q9" s="110" t="s">
        <v>30</v>
      </c>
      <c r="R9" s="101">
        <v>22.1</v>
      </c>
      <c r="S9" s="100" t="s">
        <v>20</v>
      </c>
      <c r="T9" s="101">
        <v>19</v>
      </c>
      <c r="U9" s="132" t="s">
        <v>68</v>
      </c>
      <c r="AC9" s="95"/>
    </row>
    <row r="10" spans="1:29" ht="86.4" x14ac:dyDescent="0.25">
      <c r="A10" s="102" t="s">
        <v>80</v>
      </c>
      <c r="B10" s="100" t="s">
        <v>81</v>
      </c>
      <c r="C10" s="102" t="s">
        <v>19</v>
      </c>
      <c r="D10" s="101">
        <v>0</v>
      </c>
      <c r="E10" s="101"/>
      <c r="F10" s="101"/>
      <c r="G10" s="132" t="s">
        <v>74</v>
      </c>
      <c r="H10" s="101">
        <v>15</v>
      </c>
      <c r="I10" s="102" t="s">
        <v>19</v>
      </c>
      <c r="J10" s="101">
        <v>0</v>
      </c>
      <c r="K10" s="132" t="s">
        <v>74</v>
      </c>
      <c r="L10" s="101">
        <v>21.5</v>
      </c>
      <c r="M10" s="102" t="s">
        <v>19</v>
      </c>
      <c r="N10" s="101">
        <v>0</v>
      </c>
      <c r="O10" s="100" t="s">
        <v>20</v>
      </c>
      <c r="P10" s="101">
        <v>36.5</v>
      </c>
      <c r="Q10" s="132" t="s">
        <v>21</v>
      </c>
      <c r="R10" s="101">
        <v>5.9</v>
      </c>
      <c r="S10" s="100" t="s">
        <v>20</v>
      </c>
      <c r="T10" s="101">
        <v>9</v>
      </c>
      <c r="U10" s="132" t="s">
        <v>68</v>
      </c>
      <c r="AC10" s="95"/>
    </row>
    <row r="11" spans="1:29" ht="86.4" x14ac:dyDescent="0.25">
      <c r="A11" s="102" t="s">
        <v>82</v>
      </c>
      <c r="B11" s="100" t="s">
        <v>83</v>
      </c>
      <c r="C11" s="132" t="s">
        <v>67</v>
      </c>
      <c r="D11" s="101">
        <v>12.4</v>
      </c>
      <c r="E11" s="101"/>
      <c r="F11" s="101"/>
      <c r="G11" s="132" t="s">
        <v>71</v>
      </c>
      <c r="H11" s="101">
        <v>34.299999999999997</v>
      </c>
      <c r="I11" s="102" t="s">
        <v>19</v>
      </c>
      <c r="J11" s="101">
        <v>0</v>
      </c>
      <c r="K11" s="102" t="s">
        <v>19</v>
      </c>
      <c r="L11" s="101">
        <v>0</v>
      </c>
      <c r="M11" s="102" t="s">
        <v>19</v>
      </c>
      <c r="N11" s="101">
        <v>0</v>
      </c>
      <c r="O11" s="100" t="s">
        <v>20</v>
      </c>
      <c r="P11" s="101">
        <v>46.7</v>
      </c>
      <c r="Q11" s="110" t="s">
        <v>30</v>
      </c>
      <c r="R11" s="101">
        <v>10</v>
      </c>
      <c r="S11" s="100" t="s">
        <v>20</v>
      </c>
      <c r="T11" s="101">
        <v>11.7</v>
      </c>
      <c r="U11" s="132" t="s">
        <v>68</v>
      </c>
      <c r="AC11" s="95"/>
    </row>
    <row r="12" spans="1:29" ht="86.4" x14ac:dyDescent="0.25">
      <c r="A12" s="102" t="s">
        <v>84</v>
      </c>
      <c r="B12" s="100" t="s">
        <v>85</v>
      </c>
      <c r="C12" s="132" t="s">
        <v>67</v>
      </c>
      <c r="D12" s="101">
        <v>72.900000000000006</v>
      </c>
      <c r="E12" s="101"/>
      <c r="F12" s="101"/>
      <c r="G12" s="132" t="s">
        <v>71</v>
      </c>
      <c r="H12" s="101">
        <v>66.099999999999994</v>
      </c>
      <c r="I12" s="102" t="s">
        <v>19</v>
      </c>
      <c r="J12" s="101">
        <v>0</v>
      </c>
      <c r="K12" s="132" t="s">
        <v>71</v>
      </c>
      <c r="L12" s="101">
        <v>16.5</v>
      </c>
      <c r="M12" s="102" t="s">
        <v>19</v>
      </c>
      <c r="N12" s="101">
        <v>0</v>
      </c>
      <c r="O12" s="100" t="s">
        <v>20</v>
      </c>
      <c r="P12" s="101">
        <v>155.5</v>
      </c>
      <c r="Q12" s="110" t="s">
        <v>30</v>
      </c>
      <c r="R12" s="101">
        <v>105.4</v>
      </c>
      <c r="S12" s="100" t="s">
        <v>20</v>
      </c>
      <c r="T12" s="101">
        <v>48.2</v>
      </c>
      <c r="U12" s="132" t="s">
        <v>68</v>
      </c>
      <c r="AC12" s="95"/>
    </row>
    <row r="13" spans="1:29" ht="86.4" x14ac:dyDescent="0.25">
      <c r="A13" s="102" t="s">
        <v>86</v>
      </c>
      <c r="B13" s="100" t="s">
        <v>87</v>
      </c>
      <c r="C13" s="132" t="s">
        <v>67</v>
      </c>
      <c r="D13" s="101">
        <v>40.1</v>
      </c>
      <c r="E13" s="101"/>
      <c r="F13" s="101"/>
      <c r="G13" s="132" t="s">
        <v>71</v>
      </c>
      <c r="H13" s="101">
        <v>70.099999999999994</v>
      </c>
      <c r="I13" s="102" t="s">
        <v>19</v>
      </c>
      <c r="J13" s="101">
        <v>0</v>
      </c>
      <c r="K13" s="132" t="s">
        <v>71</v>
      </c>
      <c r="L13" s="101">
        <v>8.4</v>
      </c>
      <c r="M13" s="102" t="s">
        <v>19</v>
      </c>
      <c r="N13" s="101">
        <v>0</v>
      </c>
      <c r="O13" s="100" t="s">
        <v>20</v>
      </c>
      <c r="P13" s="101">
        <v>118.6</v>
      </c>
      <c r="Q13" s="110" t="s">
        <v>30</v>
      </c>
      <c r="R13" s="101">
        <v>62.9</v>
      </c>
      <c r="S13" s="100" t="s">
        <v>20</v>
      </c>
      <c r="T13" s="101">
        <v>34.6</v>
      </c>
      <c r="U13" s="132" t="s">
        <v>68</v>
      </c>
      <c r="AC13" s="95"/>
    </row>
    <row r="14" spans="1:29" ht="86.4" x14ac:dyDescent="0.25">
      <c r="A14" s="10" t="s">
        <v>88</v>
      </c>
      <c r="B14" s="8" t="s">
        <v>87</v>
      </c>
      <c r="C14" s="3" t="s">
        <v>67</v>
      </c>
      <c r="D14" s="9">
        <v>55.6</v>
      </c>
      <c r="E14" s="9"/>
      <c r="F14" s="9"/>
      <c r="G14" s="3" t="s">
        <v>71</v>
      </c>
      <c r="H14" s="9">
        <v>47.3</v>
      </c>
      <c r="I14" s="9"/>
      <c r="J14" s="9"/>
      <c r="K14" s="3" t="s">
        <v>71</v>
      </c>
      <c r="L14" s="9">
        <v>6.6</v>
      </c>
      <c r="M14" s="9"/>
      <c r="N14" s="9"/>
      <c r="O14" s="8" t="s">
        <v>20</v>
      </c>
      <c r="P14" s="9">
        <v>109.5</v>
      </c>
      <c r="Q14" s="51" t="s">
        <v>30</v>
      </c>
      <c r="R14" s="9">
        <v>64.3</v>
      </c>
      <c r="S14" s="8" t="s">
        <v>20</v>
      </c>
      <c r="T14" s="9">
        <v>32.4</v>
      </c>
      <c r="U14" s="3" t="s">
        <v>68</v>
      </c>
    </row>
    <row r="15" spans="1:29" ht="86.4" x14ac:dyDescent="0.25">
      <c r="A15" s="10" t="s">
        <v>91</v>
      </c>
      <c r="B15" s="8" t="s">
        <v>87</v>
      </c>
      <c r="C15" s="3" t="s">
        <v>67</v>
      </c>
      <c r="D15" s="9">
        <v>92.6</v>
      </c>
      <c r="E15" s="9"/>
      <c r="F15" s="9"/>
      <c r="G15" s="3" t="s">
        <v>71</v>
      </c>
      <c r="H15" s="9">
        <v>11.6</v>
      </c>
      <c r="I15" s="9"/>
      <c r="J15" s="9"/>
      <c r="K15" s="3" t="s">
        <v>71</v>
      </c>
      <c r="L15" s="9">
        <v>8.5</v>
      </c>
      <c r="M15" s="9"/>
      <c r="N15" s="9"/>
      <c r="O15" s="8" t="s">
        <v>20</v>
      </c>
      <c r="P15" s="9">
        <v>112.7</v>
      </c>
      <c r="Q15" s="51" t="s">
        <v>30</v>
      </c>
      <c r="R15" s="9">
        <v>64.400000000000006</v>
      </c>
      <c r="S15" s="8" t="s">
        <v>20</v>
      </c>
      <c r="T15" s="9">
        <v>32.6</v>
      </c>
      <c r="U15" s="3" t="s">
        <v>68</v>
      </c>
    </row>
    <row r="16" spans="1:29" ht="86.4" x14ac:dyDescent="0.25">
      <c r="A16" s="17" t="s">
        <v>95</v>
      </c>
      <c r="B16" s="22" t="s">
        <v>96</v>
      </c>
      <c r="C16" s="127" t="s">
        <v>67</v>
      </c>
      <c r="D16" s="122">
        <v>121.5</v>
      </c>
      <c r="E16" s="122"/>
      <c r="F16" s="122"/>
      <c r="G16" s="127" t="s">
        <v>71</v>
      </c>
      <c r="H16" s="122">
        <v>24.2</v>
      </c>
      <c r="I16" s="122"/>
      <c r="J16" s="122"/>
      <c r="K16" s="127" t="s">
        <v>71</v>
      </c>
      <c r="L16" s="121">
        <v>28.6</v>
      </c>
      <c r="M16" s="121"/>
      <c r="N16" s="121"/>
      <c r="O16" s="22" t="s">
        <v>20</v>
      </c>
      <c r="P16" s="122">
        <v>174.2</v>
      </c>
      <c r="Q16" s="22" t="s">
        <v>30</v>
      </c>
      <c r="R16" s="122">
        <v>131.19999999999999</v>
      </c>
      <c r="S16" s="22" t="s">
        <v>20</v>
      </c>
      <c r="T16" s="122">
        <v>46</v>
      </c>
      <c r="U16" s="127" t="s">
        <v>68</v>
      </c>
    </row>
    <row r="17" spans="1:21" ht="86.4" x14ac:dyDescent="0.25">
      <c r="A17" s="17" t="s">
        <v>99</v>
      </c>
      <c r="B17" s="22" t="s">
        <v>100</v>
      </c>
      <c r="C17" s="127" t="s">
        <v>94</v>
      </c>
      <c r="D17" s="121">
        <v>50.1</v>
      </c>
      <c r="E17" s="121"/>
      <c r="F17" s="121"/>
      <c r="G17" s="17" t="s">
        <v>19</v>
      </c>
      <c r="H17" s="121">
        <v>0</v>
      </c>
      <c r="I17" s="121"/>
      <c r="J17" s="121"/>
      <c r="K17" s="127" t="s">
        <v>74</v>
      </c>
      <c r="L17" s="121">
        <v>30.1</v>
      </c>
      <c r="M17" s="121"/>
      <c r="N17" s="121"/>
      <c r="O17" s="22" t="s">
        <v>20</v>
      </c>
      <c r="P17" s="121">
        <v>80.2</v>
      </c>
      <c r="Q17" s="127" t="s">
        <v>21</v>
      </c>
      <c r="R17" s="121">
        <v>15.8</v>
      </c>
      <c r="S17" s="22" t="s">
        <v>20</v>
      </c>
      <c r="T17" s="121">
        <v>20.3</v>
      </c>
      <c r="U17" s="127" t="s">
        <v>68</v>
      </c>
    </row>
    <row r="18" spans="1:21" ht="86.4" x14ac:dyDescent="0.25">
      <c r="A18" s="17" t="s">
        <v>103</v>
      </c>
      <c r="B18" s="22" t="s">
        <v>81</v>
      </c>
      <c r="C18" s="127" t="s">
        <v>94</v>
      </c>
      <c r="D18" s="121">
        <v>7.2</v>
      </c>
      <c r="E18" s="121"/>
      <c r="F18" s="121"/>
      <c r="G18" s="17" t="s">
        <v>19</v>
      </c>
      <c r="H18" s="121">
        <v>0</v>
      </c>
      <c r="I18" s="121"/>
      <c r="J18" s="121"/>
      <c r="K18" s="127" t="s">
        <v>74</v>
      </c>
      <c r="L18" s="121">
        <v>27.6</v>
      </c>
      <c r="M18" s="121"/>
      <c r="N18" s="121"/>
      <c r="O18" s="22" t="s">
        <v>20</v>
      </c>
      <c r="P18" s="122">
        <v>34.799999999999997</v>
      </c>
      <c r="Q18" s="127" t="s">
        <v>21</v>
      </c>
      <c r="R18" s="121">
        <v>5.4</v>
      </c>
      <c r="S18" s="22" t="s">
        <v>20</v>
      </c>
      <c r="T18" s="121">
        <v>8.1999999999999993</v>
      </c>
      <c r="U18" s="127" t="s">
        <v>68</v>
      </c>
    </row>
    <row r="19" spans="1:21" ht="86.4" x14ac:dyDescent="0.25">
      <c r="A19" s="17" t="s">
        <v>106</v>
      </c>
      <c r="B19" s="22" t="s">
        <v>107</v>
      </c>
      <c r="C19" s="127" t="s">
        <v>94</v>
      </c>
      <c r="D19" s="122">
        <v>49.9</v>
      </c>
      <c r="E19" s="122"/>
      <c r="F19" s="122"/>
      <c r="G19" s="17" t="s">
        <v>19</v>
      </c>
      <c r="H19" s="121">
        <v>0</v>
      </c>
      <c r="I19" s="121"/>
      <c r="J19" s="121"/>
      <c r="K19" s="127" t="s">
        <v>74</v>
      </c>
      <c r="L19" s="122">
        <v>30.4</v>
      </c>
      <c r="M19" s="122"/>
      <c r="N19" s="122"/>
      <c r="O19" s="22" t="s">
        <v>20</v>
      </c>
      <c r="P19" s="121">
        <v>80.3</v>
      </c>
      <c r="Q19" s="127" t="s">
        <v>21</v>
      </c>
      <c r="R19" s="121">
        <v>15.8</v>
      </c>
      <c r="S19" s="22" t="s">
        <v>20</v>
      </c>
      <c r="T19" s="121">
        <v>20.2</v>
      </c>
      <c r="U19" s="127" t="s">
        <v>68</v>
      </c>
    </row>
    <row r="20" spans="1:21" ht="86.4" x14ac:dyDescent="0.25">
      <c r="A20" s="17" t="s">
        <v>110</v>
      </c>
      <c r="B20" s="22" t="s">
        <v>111</v>
      </c>
      <c r="C20" s="127" t="s">
        <v>94</v>
      </c>
      <c r="D20" s="121">
        <v>1.1000000000000001</v>
      </c>
      <c r="E20" s="121"/>
      <c r="F20" s="121"/>
      <c r="G20" s="127" t="s">
        <v>74</v>
      </c>
      <c r="H20" s="121">
        <v>4.8</v>
      </c>
      <c r="I20" s="121"/>
      <c r="J20" s="121"/>
      <c r="K20" s="127" t="s">
        <v>74</v>
      </c>
      <c r="L20" s="121">
        <v>16.7</v>
      </c>
      <c r="M20" s="121"/>
      <c r="N20" s="121"/>
      <c r="O20" s="22" t="s">
        <v>20</v>
      </c>
      <c r="P20" s="121">
        <v>22.7</v>
      </c>
      <c r="Q20" s="22" t="s">
        <v>30</v>
      </c>
      <c r="R20" s="121">
        <v>2.4</v>
      </c>
      <c r="S20" s="22" t="s">
        <v>20</v>
      </c>
      <c r="T20" s="121">
        <v>5.3</v>
      </c>
      <c r="U20" s="127" t="s">
        <v>68</v>
      </c>
    </row>
    <row r="21" spans="1:21" ht="86.4" x14ac:dyDescent="0.25">
      <c r="A21" s="17" t="s">
        <v>114</v>
      </c>
      <c r="B21" s="22" t="s">
        <v>115</v>
      </c>
      <c r="C21" s="127" t="s">
        <v>94</v>
      </c>
      <c r="D21" s="121">
        <v>18.600000000000001</v>
      </c>
      <c r="E21" s="121"/>
      <c r="F21" s="121"/>
      <c r="G21" s="17" t="s">
        <v>19</v>
      </c>
      <c r="H21" s="121">
        <v>0</v>
      </c>
      <c r="I21" s="121"/>
      <c r="J21" s="121"/>
      <c r="K21" s="127" t="s">
        <v>74</v>
      </c>
      <c r="L21" s="122">
        <v>40.799999999999997</v>
      </c>
      <c r="M21" s="122"/>
      <c r="N21" s="122"/>
      <c r="O21" s="22" t="s">
        <v>20</v>
      </c>
      <c r="P21" s="122">
        <v>59.4</v>
      </c>
      <c r="Q21" s="127" t="s">
        <v>21</v>
      </c>
      <c r="R21" s="121">
        <v>13.9</v>
      </c>
      <c r="S21" s="22" t="s">
        <v>20</v>
      </c>
      <c r="T21" s="121">
        <v>16.2</v>
      </c>
      <c r="U21" s="127" t="s">
        <v>68</v>
      </c>
    </row>
    <row r="22" spans="1:21" ht="86.4" x14ac:dyDescent="0.25">
      <c r="A22" s="17" t="s">
        <v>118</v>
      </c>
      <c r="B22" s="22" t="s">
        <v>119</v>
      </c>
      <c r="C22" s="127" t="s">
        <v>94</v>
      </c>
      <c r="D22" s="121">
        <v>7.2</v>
      </c>
      <c r="E22" s="121"/>
      <c r="F22" s="121"/>
      <c r="G22" s="17" t="s">
        <v>19</v>
      </c>
      <c r="H22" s="121">
        <v>0</v>
      </c>
      <c r="I22" s="121"/>
      <c r="J22" s="121"/>
      <c r="K22" s="127" t="s">
        <v>74</v>
      </c>
      <c r="L22" s="121">
        <v>50.8</v>
      </c>
      <c r="M22" s="121"/>
      <c r="N22" s="121"/>
      <c r="O22" s="22" t="s">
        <v>20</v>
      </c>
      <c r="P22" s="121">
        <v>58</v>
      </c>
      <c r="Q22" s="127" t="s">
        <v>21</v>
      </c>
      <c r="R22" s="121">
        <v>13.9</v>
      </c>
      <c r="S22" s="22" t="s">
        <v>20</v>
      </c>
      <c r="T22" s="121">
        <v>15.4</v>
      </c>
      <c r="U22" s="127" t="s">
        <v>68</v>
      </c>
    </row>
    <row r="23" spans="1:21" ht="86.4" x14ac:dyDescent="0.25">
      <c r="A23" s="7" t="s">
        <v>89</v>
      </c>
      <c r="B23" s="10" t="s">
        <v>90</v>
      </c>
      <c r="C23" s="3" t="s">
        <v>67</v>
      </c>
      <c r="D23" s="52">
        <v>7.4</v>
      </c>
      <c r="E23" s="52"/>
      <c r="F23" s="52"/>
      <c r="G23" s="3" t="s">
        <v>71</v>
      </c>
      <c r="H23" s="9">
        <v>24.1</v>
      </c>
      <c r="I23" s="9"/>
      <c r="J23" s="9"/>
      <c r="K23" s="3" t="s">
        <v>71</v>
      </c>
      <c r="L23" s="82">
        <v>35.700000000000003</v>
      </c>
      <c r="M23" s="83"/>
      <c r="N23" s="12"/>
      <c r="O23" s="13" t="s">
        <v>20</v>
      </c>
      <c r="P23" s="14">
        <v>67.2</v>
      </c>
      <c r="Q23" s="13" t="s">
        <v>30</v>
      </c>
      <c r="R23" s="9">
        <v>20.399999999999999</v>
      </c>
      <c r="S23" s="8" t="s">
        <v>20</v>
      </c>
      <c r="T23" s="14">
        <v>15.9</v>
      </c>
      <c r="U23" s="6" t="s">
        <v>68</v>
      </c>
    </row>
    <row r="24" spans="1:21" ht="86.4" x14ac:dyDescent="0.25">
      <c r="A24" s="17" t="s">
        <v>92</v>
      </c>
      <c r="B24" s="127" t="s">
        <v>93</v>
      </c>
      <c r="C24" s="127" t="s">
        <v>94</v>
      </c>
      <c r="D24" s="121">
        <v>7.7</v>
      </c>
      <c r="E24" s="121"/>
      <c r="F24" s="121"/>
      <c r="G24" s="127" t="s">
        <v>74</v>
      </c>
      <c r="H24" s="121">
        <v>14.3</v>
      </c>
      <c r="I24" s="121"/>
      <c r="J24" s="121"/>
      <c r="K24" s="127" t="s">
        <v>74</v>
      </c>
      <c r="L24" s="87">
        <v>21.7</v>
      </c>
      <c r="M24" s="88"/>
      <c r="N24" s="25"/>
      <c r="O24" s="30" t="s">
        <v>20</v>
      </c>
      <c r="P24" s="32">
        <v>43.7</v>
      </c>
      <c r="Q24" s="34" t="s">
        <v>21</v>
      </c>
      <c r="R24" s="121">
        <v>6</v>
      </c>
      <c r="S24" s="22" t="s">
        <v>20</v>
      </c>
      <c r="T24" s="32">
        <v>10.7</v>
      </c>
      <c r="U24" s="34" t="s">
        <v>68</v>
      </c>
    </row>
    <row r="25" spans="1:21" ht="86.4" x14ac:dyDescent="0.25">
      <c r="A25" s="17" t="s">
        <v>97</v>
      </c>
      <c r="B25" s="22" t="s">
        <v>98</v>
      </c>
      <c r="C25" s="127" t="s">
        <v>94</v>
      </c>
      <c r="D25" s="121">
        <v>3.2</v>
      </c>
      <c r="E25" s="121"/>
      <c r="F25" s="121"/>
      <c r="G25" s="127" t="s">
        <v>74</v>
      </c>
      <c r="H25" s="121">
        <v>9</v>
      </c>
      <c r="I25" s="121"/>
      <c r="J25" s="121"/>
      <c r="K25" s="127" t="s">
        <v>74</v>
      </c>
      <c r="L25" s="87">
        <v>20.9</v>
      </c>
      <c r="M25" s="88"/>
      <c r="N25" s="25"/>
      <c r="O25" s="30" t="s">
        <v>20</v>
      </c>
      <c r="P25" s="32">
        <v>33</v>
      </c>
      <c r="Q25" s="34" t="s">
        <v>21</v>
      </c>
      <c r="R25" s="121">
        <v>4.7</v>
      </c>
      <c r="S25" s="22" t="s">
        <v>20</v>
      </c>
      <c r="T25" s="87">
        <v>8</v>
      </c>
      <c r="U25" s="34" t="s">
        <v>68</v>
      </c>
    </row>
    <row r="26" spans="1:21" ht="86.4" x14ac:dyDescent="0.25">
      <c r="A26" s="17" t="s">
        <v>101</v>
      </c>
      <c r="B26" s="22" t="s">
        <v>102</v>
      </c>
      <c r="C26" s="127" t="s">
        <v>94</v>
      </c>
      <c r="D26" s="121">
        <v>18.100000000000001</v>
      </c>
      <c r="E26" s="121"/>
      <c r="F26" s="121"/>
      <c r="G26" s="127" t="s">
        <v>74</v>
      </c>
      <c r="H26" s="121">
        <v>12.2</v>
      </c>
      <c r="I26" s="121"/>
      <c r="J26" s="121"/>
      <c r="K26" s="127" t="s">
        <v>74</v>
      </c>
      <c r="L26" s="87">
        <v>12.6</v>
      </c>
      <c r="M26" s="88"/>
      <c r="N26" s="25"/>
      <c r="O26" s="30" t="s">
        <v>20</v>
      </c>
      <c r="P26" s="32">
        <v>42.9</v>
      </c>
      <c r="Q26" s="34" t="s">
        <v>21</v>
      </c>
      <c r="R26" s="121">
        <v>4.7</v>
      </c>
      <c r="S26" s="22" t="s">
        <v>20</v>
      </c>
      <c r="T26" s="32">
        <v>10.4</v>
      </c>
      <c r="U26" s="34" t="s">
        <v>68</v>
      </c>
    </row>
    <row r="27" spans="1:21" ht="86.4" x14ac:dyDescent="0.25">
      <c r="A27" s="17" t="s">
        <v>104</v>
      </c>
      <c r="B27" s="22" t="s">
        <v>105</v>
      </c>
      <c r="C27" s="127" t="s">
        <v>67</v>
      </c>
      <c r="D27" s="121">
        <v>17</v>
      </c>
      <c r="E27" s="121"/>
      <c r="F27" s="121"/>
      <c r="G27" s="127" t="s">
        <v>71</v>
      </c>
      <c r="H27" s="121">
        <v>10.4</v>
      </c>
      <c r="I27" s="121"/>
      <c r="J27" s="121"/>
      <c r="K27" s="127" t="s">
        <v>71</v>
      </c>
      <c r="L27" s="87">
        <v>23.9</v>
      </c>
      <c r="M27" s="88"/>
      <c r="N27" s="25"/>
      <c r="O27" s="30" t="s">
        <v>20</v>
      </c>
      <c r="P27" s="87">
        <v>51.3</v>
      </c>
      <c r="Q27" s="34" t="s">
        <v>21</v>
      </c>
      <c r="R27" s="121">
        <v>10.1</v>
      </c>
      <c r="S27" s="22" t="s">
        <v>20</v>
      </c>
      <c r="T27" s="32">
        <v>12.4</v>
      </c>
      <c r="U27" s="34" t="s">
        <v>68</v>
      </c>
    </row>
    <row r="28" spans="1:21" ht="86.4" x14ac:dyDescent="0.25">
      <c r="A28" s="7" t="s">
        <v>108</v>
      </c>
      <c r="B28" s="10" t="s">
        <v>109</v>
      </c>
      <c r="C28" s="3" t="s">
        <v>67</v>
      </c>
      <c r="D28" s="53">
        <v>13</v>
      </c>
      <c r="E28" s="53"/>
      <c r="F28" s="53"/>
      <c r="G28" s="3" t="s">
        <v>71</v>
      </c>
      <c r="H28" s="9">
        <v>11.3</v>
      </c>
      <c r="I28" s="9"/>
      <c r="J28" s="9"/>
      <c r="K28" s="3" t="s">
        <v>71</v>
      </c>
      <c r="L28" s="14">
        <v>26.4</v>
      </c>
      <c r="M28" s="86"/>
      <c r="N28" s="15"/>
      <c r="O28" s="13" t="s">
        <v>20</v>
      </c>
      <c r="P28" s="14">
        <v>50.7</v>
      </c>
      <c r="Q28" s="6" t="s">
        <v>21</v>
      </c>
      <c r="R28" s="9">
        <v>10.3</v>
      </c>
      <c r="S28" s="8" t="s">
        <v>20</v>
      </c>
      <c r="T28" s="82">
        <v>12.1</v>
      </c>
      <c r="U28" s="6" t="s">
        <v>68</v>
      </c>
    </row>
    <row r="29" spans="1:21" ht="86.4" x14ac:dyDescent="0.25">
      <c r="A29" s="7" t="s">
        <v>112</v>
      </c>
      <c r="B29" s="10" t="s">
        <v>109</v>
      </c>
      <c r="C29" s="3" t="s">
        <v>67</v>
      </c>
      <c r="D29" s="53">
        <v>20.3</v>
      </c>
      <c r="E29" s="53"/>
      <c r="F29" s="53"/>
      <c r="G29" s="3" t="s">
        <v>71</v>
      </c>
      <c r="H29" s="9">
        <v>39.4</v>
      </c>
      <c r="I29" s="9"/>
      <c r="J29" s="9"/>
      <c r="K29" s="10" t="s">
        <v>19</v>
      </c>
      <c r="L29" s="82">
        <v>0</v>
      </c>
      <c r="M29" s="83"/>
      <c r="N29" s="12"/>
      <c r="O29" s="13" t="s">
        <v>20</v>
      </c>
      <c r="P29" s="14">
        <v>59.7</v>
      </c>
      <c r="Q29" s="6" t="s">
        <v>21</v>
      </c>
      <c r="R29" s="9">
        <v>10.7</v>
      </c>
      <c r="S29" s="8" t="s">
        <v>20</v>
      </c>
      <c r="T29" s="14">
        <v>14.4</v>
      </c>
      <c r="U29" s="6" t="s">
        <v>68</v>
      </c>
    </row>
    <row r="30" spans="1:21" ht="86.4" x14ac:dyDescent="0.25">
      <c r="A30" s="17" t="s">
        <v>113</v>
      </c>
      <c r="B30" s="17" t="s">
        <v>32</v>
      </c>
      <c r="C30" s="127" t="s">
        <v>67</v>
      </c>
      <c r="D30" s="121">
        <v>22.6</v>
      </c>
      <c r="E30" s="121"/>
      <c r="F30" s="121"/>
      <c r="G30" s="127" t="s">
        <v>71</v>
      </c>
      <c r="H30" s="122">
        <v>40.799999999999997</v>
      </c>
      <c r="I30" s="122"/>
      <c r="J30" s="122"/>
      <c r="K30" s="17" t="s">
        <v>19</v>
      </c>
      <c r="L30" s="87">
        <v>0</v>
      </c>
      <c r="M30" s="88"/>
      <c r="N30" s="25"/>
      <c r="O30" s="30" t="s">
        <v>20</v>
      </c>
      <c r="P30" s="32">
        <v>63.5</v>
      </c>
      <c r="Q30" s="34" t="s">
        <v>21</v>
      </c>
      <c r="R30" s="121">
        <v>25.9</v>
      </c>
      <c r="S30" s="22" t="s">
        <v>20</v>
      </c>
      <c r="T30" s="32">
        <v>10.9</v>
      </c>
      <c r="U30" s="34" t="s">
        <v>68</v>
      </c>
    </row>
    <row r="31" spans="1:21" ht="86.4" x14ac:dyDescent="0.25">
      <c r="A31" s="17" t="s">
        <v>116</v>
      </c>
      <c r="B31" s="17" t="s">
        <v>117</v>
      </c>
      <c r="C31" s="127" t="s">
        <v>67</v>
      </c>
      <c r="D31" s="122">
        <v>42.4</v>
      </c>
      <c r="E31" s="122"/>
      <c r="F31" s="122"/>
      <c r="G31" s="127" t="s">
        <v>71</v>
      </c>
      <c r="H31" s="121">
        <v>39.299999999999997</v>
      </c>
      <c r="I31" s="121"/>
      <c r="J31" s="121"/>
      <c r="K31" s="17" t="s">
        <v>19</v>
      </c>
      <c r="L31" s="87">
        <v>0</v>
      </c>
      <c r="M31" s="88"/>
      <c r="N31" s="25"/>
      <c r="O31" s="30" t="s">
        <v>20</v>
      </c>
      <c r="P31" s="87">
        <v>81.7</v>
      </c>
      <c r="Q31" s="30" t="s">
        <v>30</v>
      </c>
      <c r="R31" s="121">
        <v>35.799999999999997</v>
      </c>
      <c r="S31" s="22" t="s">
        <v>20</v>
      </c>
      <c r="T31" s="32">
        <v>22</v>
      </c>
      <c r="U31" s="34" t="s">
        <v>68</v>
      </c>
    </row>
    <row r="32" spans="1:21" ht="86.4" x14ac:dyDescent="0.25">
      <c r="A32" s="10" t="s">
        <v>120</v>
      </c>
      <c r="B32" s="10" t="s">
        <v>121</v>
      </c>
      <c r="C32" s="3" t="s">
        <v>67</v>
      </c>
      <c r="D32" s="9">
        <v>31.2</v>
      </c>
      <c r="E32" s="10" t="s">
        <v>19</v>
      </c>
      <c r="F32" s="9">
        <v>0</v>
      </c>
      <c r="G32" s="3" t="s">
        <v>71</v>
      </c>
      <c r="H32" s="9">
        <v>59.7</v>
      </c>
      <c r="I32" s="9"/>
      <c r="J32" s="9"/>
      <c r="K32" s="10" t="s">
        <v>19</v>
      </c>
      <c r="L32" s="9">
        <v>0</v>
      </c>
      <c r="M32" s="9"/>
      <c r="N32" s="9"/>
      <c r="O32" s="8" t="s">
        <v>20</v>
      </c>
      <c r="P32" s="9">
        <v>90.9</v>
      </c>
      <c r="Q32" s="3" t="s">
        <v>21</v>
      </c>
      <c r="R32" s="9">
        <v>45.9</v>
      </c>
      <c r="S32" s="8" t="s">
        <v>20</v>
      </c>
      <c r="T32" s="9">
        <v>24.9</v>
      </c>
      <c r="U32" s="3" t="s">
        <v>68</v>
      </c>
    </row>
    <row r="33" spans="1:21" ht="86.4" x14ac:dyDescent="0.25">
      <c r="A33" s="10" t="s">
        <v>122</v>
      </c>
      <c r="B33" s="8" t="s">
        <v>123</v>
      </c>
      <c r="C33" s="3" t="s">
        <v>67</v>
      </c>
      <c r="D33" s="9">
        <v>64.900000000000006</v>
      </c>
      <c r="E33" s="10" t="s">
        <v>19</v>
      </c>
      <c r="F33" s="9">
        <v>0</v>
      </c>
      <c r="G33" s="3" t="s">
        <v>71</v>
      </c>
      <c r="H33" s="9">
        <v>88.7</v>
      </c>
      <c r="I33" s="9"/>
      <c r="J33" s="9"/>
      <c r="K33" s="3" t="s">
        <v>71</v>
      </c>
      <c r="L33" s="9">
        <v>23.7</v>
      </c>
      <c r="M33" s="9"/>
      <c r="N33" s="9"/>
      <c r="O33" s="8" t="s">
        <v>20</v>
      </c>
      <c r="P33" s="9">
        <v>177.2</v>
      </c>
      <c r="Q33" s="3" t="s">
        <v>21</v>
      </c>
      <c r="R33" s="9">
        <v>180.7</v>
      </c>
      <c r="S33" s="8" t="s">
        <v>20</v>
      </c>
      <c r="T33" s="9">
        <v>38.299999999999997</v>
      </c>
      <c r="U33" s="3" t="s">
        <v>68</v>
      </c>
    </row>
    <row r="34" spans="1:21" ht="86.4" x14ac:dyDescent="0.25">
      <c r="A34" s="10" t="s">
        <v>124</v>
      </c>
      <c r="B34" s="10" t="s">
        <v>32</v>
      </c>
      <c r="C34" s="3" t="s">
        <v>67</v>
      </c>
      <c r="D34" s="9">
        <v>130.19999999999999</v>
      </c>
      <c r="E34" s="10" t="s">
        <v>19</v>
      </c>
      <c r="F34" s="9">
        <v>0</v>
      </c>
      <c r="G34" s="3" t="s">
        <v>71</v>
      </c>
      <c r="H34" s="9">
        <v>128.19999999999999</v>
      </c>
      <c r="I34" s="9"/>
      <c r="J34" s="9"/>
      <c r="K34" s="3" t="s">
        <v>71</v>
      </c>
      <c r="L34" s="9">
        <v>4.5999999999999996</v>
      </c>
      <c r="M34" s="9"/>
      <c r="N34" s="9"/>
      <c r="O34" s="8" t="s">
        <v>20</v>
      </c>
      <c r="P34" s="9">
        <v>263.10000000000002</v>
      </c>
      <c r="Q34" s="3" t="s">
        <v>21</v>
      </c>
      <c r="R34" s="9">
        <v>113</v>
      </c>
      <c r="S34" s="8" t="s">
        <v>20</v>
      </c>
      <c r="T34" s="9">
        <v>51.4</v>
      </c>
      <c r="U34" s="3" t="s">
        <v>68</v>
      </c>
    </row>
    <row r="35" spans="1:21" ht="129.6" x14ac:dyDescent="0.25">
      <c r="A35" s="10" t="s">
        <v>125</v>
      </c>
      <c r="B35" s="8" t="s">
        <v>126</v>
      </c>
      <c r="C35" s="3" t="s">
        <v>67</v>
      </c>
      <c r="D35" s="9">
        <v>73.900000000000006</v>
      </c>
      <c r="E35" s="3" t="s">
        <v>71</v>
      </c>
      <c r="F35" s="9">
        <v>36.799999999999997</v>
      </c>
      <c r="G35" s="10" t="s">
        <v>19</v>
      </c>
      <c r="H35" s="9">
        <v>0</v>
      </c>
      <c r="I35" s="9"/>
      <c r="J35" s="9"/>
      <c r="K35" s="10" t="s">
        <v>19</v>
      </c>
      <c r="L35" s="9">
        <v>0</v>
      </c>
      <c r="M35" s="9"/>
      <c r="N35" s="9"/>
      <c r="O35" s="8" t="s">
        <v>20</v>
      </c>
      <c r="P35" s="9">
        <v>110.6</v>
      </c>
      <c r="Q35" s="3" t="s">
        <v>21</v>
      </c>
      <c r="R35" s="9">
        <v>14.4</v>
      </c>
      <c r="S35" s="8" t="s">
        <v>20</v>
      </c>
      <c r="T35" s="9">
        <v>26.9</v>
      </c>
      <c r="U35" s="3" t="s">
        <v>68</v>
      </c>
    </row>
    <row r="36" spans="1:21" ht="86.4" x14ac:dyDescent="0.25">
      <c r="A36" s="10" t="s">
        <v>127</v>
      </c>
      <c r="B36" s="8" t="s">
        <v>128</v>
      </c>
      <c r="C36" s="3" t="s">
        <v>67</v>
      </c>
      <c r="D36" s="9">
        <v>82.3</v>
      </c>
      <c r="E36" s="10" t="s">
        <v>19</v>
      </c>
      <c r="F36" s="9">
        <v>0</v>
      </c>
      <c r="G36" s="10" t="s">
        <v>19</v>
      </c>
      <c r="H36" s="9">
        <v>0</v>
      </c>
      <c r="I36" s="9"/>
      <c r="J36" s="9"/>
      <c r="K36" s="10" t="s">
        <v>19</v>
      </c>
      <c r="L36" s="9">
        <v>0</v>
      </c>
      <c r="M36" s="9"/>
      <c r="N36" s="9"/>
      <c r="O36" s="8" t="s">
        <v>20</v>
      </c>
      <c r="P36" s="9">
        <v>82.3</v>
      </c>
      <c r="Q36" s="3" t="s">
        <v>21</v>
      </c>
      <c r="R36" s="9">
        <v>17.899999999999999</v>
      </c>
      <c r="S36" s="8" t="s">
        <v>20</v>
      </c>
      <c r="T36" s="9">
        <v>20</v>
      </c>
      <c r="U36" s="3" t="s">
        <v>68</v>
      </c>
    </row>
    <row r="37" spans="1:21" ht="86.4" x14ac:dyDescent="0.25">
      <c r="A37" s="10" t="s">
        <v>129</v>
      </c>
      <c r="B37" s="8" t="s">
        <v>130</v>
      </c>
      <c r="C37" s="3" t="s">
        <v>67</v>
      </c>
      <c r="D37" s="9">
        <v>78.400000000000006</v>
      </c>
      <c r="E37" s="10" t="s">
        <v>19</v>
      </c>
      <c r="F37" s="9">
        <v>0</v>
      </c>
      <c r="G37" s="10" t="s">
        <v>19</v>
      </c>
      <c r="H37" s="9">
        <v>0</v>
      </c>
      <c r="I37" s="9"/>
      <c r="J37" s="9"/>
      <c r="K37" s="10" t="s">
        <v>19</v>
      </c>
      <c r="L37" s="9">
        <v>0</v>
      </c>
      <c r="M37" s="9"/>
      <c r="N37" s="9"/>
      <c r="O37" s="8" t="s">
        <v>20</v>
      </c>
      <c r="P37" s="9">
        <v>78.400000000000006</v>
      </c>
      <c r="Q37" s="3" t="s">
        <v>21</v>
      </c>
      <c r="R37" s="9">
        <v>15.5</v>
      </c>
      <c r="S37" s="8" t="s">
        <v>20</v>
      </c>
      <c r="T37" s="9">
        <v>18.8</v>
      </c>
      <c r="U37" s="3" t="s">
        <v>68</v>
      </c>
    </row>
    <row r="38" spans="1:21" ht="86.4" x14ac:dyDescent="0.25">
      <c r="A38" s="10" t="s">
        <v>131</v>
      </c>
      <c r="B38" s="8" t="s">
        <v>132</v>
      </c>
      <c r="C38" s="3" t="s">
        <v>67</v>
      </c>
      <c r="D38" s="9">
        <v>82.6</v>
      </c>
      <c r="E38" s="10" t="s">
        <v>19</v>
      </c>
      <c r="F38" s="9">
        <v>0</v>
      </c>
      <c r="G38" s="10" t="s">
        <v>19</v>
      </c>
      <c r="H38" s="9">
        <v>0</v>
      </c>
      <c r="I38" s="9"/>
      <c r="J38" s="9"/>
      <c r="K38" s="3" t="s">
        <v>71</v>
      </c>
      <c r="L38" s="9">
        <v>13.7</v>
      </c>
      <c r="M38" s="9"/>
      <c r="N38" s="9"/>
      <c r="O38" s="8" t="s">
        <v>20</v>
      </c>
      <c r="P38" s="9">
        <v>96.3</v>
      </c>
      <c r="Q38" s="3" t="s">
        <v>21</v>
      </c>
      <c r="R38" s="9">
        <v>23.4</v>
      </c>
      <c r="S38" s="8" t="s">
        <v>20</v>
      </c>
      <c r="T38" s="9">
        <v>23.1</v>
      </c>
      <c r="U38" s="3" t="s">
        <v>68</v>
      </c>
    </row>
    <row r="39" spans="1:21" ht="86.4" x14ac:dyDescent="0.25">
      <c r="A39" s="10" t="s">
        <v>133</v>
      </c>
      <c r="B39" s="8" t="s">
        <v>134</v>
      </c>
      <c r="C39" s="3" t="s">
        <v>67</v>
      </c>
      <c r="D39" s="9">
        <v>32.799999999999997</v>
      </c>
      <c r="E39" s="10" t="s">
        <v>19</v>
      </c>
      <c r="F39" s="9">
        <v>0</v>
      </c>
      <c r="G39" s="3" t="s">
        <v>71</v>
      </c>
      <c r="H39" s="9">
        <v>22</v>
      </c>
      <c r="I39" s="9"/>
      <c r="J39" s="9"/>
      <c r="K39" s="10" t="s">
        <v>19</v>
      </c>
      <c r="L39" s="9">
        <v>0</v>
      </c>
      <c r="M39" s="9"/>
      <c r="N39" s="9"/>
      <c r="O39" s="8" t="s">
        <v>20</v>
      </c>
      <c r="P39" s="9">
        <v>54.8</v>
      </c>
      <c r="Q39" s="3" t="s">
        <v>21</v>
      </c>
      <c r="R39" s="9">
        <v>25.9</v>
      </c>
      <c r="S39" s="8" t="s">
        <v>20</v>
      </c>
      <c r="T39" s="9">
        <v>15.2</v>
      </c>
      <c r="U39" s="3" t="s">
        <v>68</v>
      </c>
    </row>
    <row r="40" spans="1:21" ht="86.4" x14ac:dyDescent="0.25">
      <c r="A40" s="17" t="s">
        <v>135</v>
      </c>
      <c r="B40" s="17" t="s">
        <v>136</v>
      </c>
      <c r="C40" s="127" t="s">
        <v>94</v>
      </c>
      <c r="D40" s="121">
        <v>11</v>
      </c>
      <c r="E40" s="17" t="s">
        <v>19</v>
      </c>
      <c r="F40" s="121">
        <v>0</v>
      </c>
      <c r="G40" s="17" t="s">
        <v>19</v>
      </c>
      <c r="H40" s="121">
        <v>0</v>
      </c>
      <c r="I40" s="121"/>
      <c r="J40" s="121"/>
      <c r="K40" s="127" t="s">
        <v>74</v>
      </c>
      <c r="L40" s="121">
        <v>38.9</v>
      </c>
      <c r="M40" s="121"/>
      <c r="N40" s="121"/>
      <c r="O40" s="22" t="s">
        <v>20</v>
      </c>
      <c r="P40" s="122">
        <v>49.9</v>
      </c>
      <c r="Q40" s="127" t="s">
        <v>21</v>
      </c>
      <c r="R40" s="121">
        <v>11.8</v>
      </c>
      <c r="S40" s="22" t="s">
        <v>20</v>
      </c>
      <c r="T40" s="121">
        <v>12.2</v>
      </c>
      <c r="U40" s="127" t="s">
        <v>68</v>
      </c>
    </row>
    <row r="41" spans="1:21" ht="86.4" x14ac:dyDescent="0.25">
      <c r="A41" s="17" t="s">
        <v>137</v>
      </c>
      <c r="B41" s="22" t="s">
        <v>138</v>
      </c>
      <c r="C41" s="127" t="s">
        <v>67</v>
      </c>
      <c r="D41" s="122">
        <v>116.4</v>
      </c>
      <c r="E41" s="17" t="s">
        <v>19</v>
      </c>
      <c r="F41" s="121">
        <v>0</v>
      </c>
      <c r="G41" s="127" t="s">
        <v>71</v>
      </c>
      <c r="H41" s="121">
        <v>87.3</v>
      </c>
      <c r="I41" s="121"/>
      <c r="J41" s="121"/>
      <c r="K41" s="127" t="s">
        <v>71</v>
      </c>
      <c r="L41" s="121">
        <v>22.5</v>
      </c>
      <c r="M41" s="121"/>
      <c r="N41" s="121"/>
      <c r="O41" s="22" t="s">
        <v>20</v>
      </c>
      <c r="P41" s="122">
        <v>226.1</v>
      </c>
      <c r="Q41" s="127" t="s">
        <v>21</v>
      </c>
      <c r="R41" s="122">
        <v>170.4</v>
      </c>
      <c r="S41" s="22" t="s">
        <v>20</v>
      </c>
      <c r="T41" s="121">
        <v>62.7</v>
      </c>
      <c r="U41" s="127" t="s">
        <v>68</v>
      </c>
    </row>
    <row r="42" spans="1:21" ht="86.4" x14ac:dyDescent="0.25">
      <c r="A42" s="7" t="s">
        <v>140</v>
      </c>
      <c r="B42" s="8" t="s">
        <v>141</v>
      </c>
      <c r="C42" s="3" t="s">
        <v>94</v>
      </c>
      <c r="D42" s="9">
        <v>20.5</v>
      </c>
      <c r="E42" s="10" t="s">
        <v>19</v>
      </c>
      <c r="F42" s="9">
        <v>0</v>
      </c>
      <c r="G42" s="3" t="s">
        <v>74</v>
      </c>
      <c r="H42" s="9">
        <v>102.4</v>
      </c>
      <c r="I42" s="9"/>
      <c r="J42" s="9"/>
      <c r="K42" s="3" t="s">
        <v>74</v>
      </c>
      <c r="L42" s="9">
        <v>2</v>
      </c>
      <c r="M42" s="9"/>
      <c r="N42" s="9"/>
      <c r="O42" s="8" t="s">
        <v>20</v>
      </c>
      <c r="P42" s="9">
        <v>125</v>
      </c>
      <c r="Q42" s="3" t="s">
        <v>21</v>
      </c>
      <c r="R42" s="9">
        <v>36.4</v>
      </c>
      <c r="S42" s="8" t="s">
        <v>20</v>
      </c>
      <c r="T42" s="9">
        <v>32.200000000000003</v>
      </c>
      <c r="U42" s="3" t="s">
        <v>68</v>
      </c>
    </row>
    <row r="43" spans="1:21" ht="144" x14ac:dyDescent="0.25">
      <c r="A43" s="7" t="s">
        <v>142</v>
      </c>
      <c r="B43" s="8" t="s">
        <v>143</v>
      </c>
      <c r="C43" s="3" t="s">
        <v>94</v>
      </c>
      <c r="D43" s="9">
        <v>5</v>
      </c>
      <c r="E43" s="3" t="s">
        <v>74</v>
      </c>
      <c r="F43" s="9">
        <v>1.4</v>
      </c>
      <c r="G43" s="3" t="s">
        <v>74</v>
      </c>
      <c r="H43" s="9">
        <v>22.3</v>
      </c>
      <c r="I43" s="9"/>
      <c r="J43" s="9"/>
      <c r="K43" s="3" t="s">
        <v>74</v>
      </c>
      <c r="L43" s="9">
        <v>27.9</v>
      </c>
      <c r="M43" s="9"/>
      <c r="N43" s="9"/>
      <c r="O43" s="8" t="s">
        <v>20</v>
      </c>
      <c r="P43" s="9">
        <v>56.7</v>
      </c>
      <c r="Q43" s="3" t="s">
        <v>21</v>
      </c>
      <c r="R43" s="9">
        <v>15</v>
      </c>
      <c r="S43" s="8" t="s">
        <v>20</v>
      </c>
      <c r="T43" s="9">
        <v>12.6</v>
      </c>
      <c r="U43" s="3" t="s">
        <v>68</v>
      </c>
    </row>
    <row r="44" spans="1:21" ht="144" x14ac:dyDescent="0.25">
      <c r="A44" s="7" t="s">
        <v>144</v>
      </c>
      <c r="B44" s="8" t="s">
        <v>145</v>
      </c>
      <c r="C44" s="3" t="s">
        <v>94</v>
      </c>
      <c r="D44" s="9">
        <v>53.6</v>
      </c>
      <c r="E44" s="3" t="s">
        <v>74</v>
      </c>
      <c r="F44" s="9">
        <v>5.5</v>
      </c>
      <c r="G44" s="3" t="s">
        <v>74</v>
      </c>
      <c r="H44" s="9">
        <v>62.9</v>
      </c>
      <c r="I44" s="9"/>
      <c r="J44" s="9"/>
      <c r="K44" s="3" t="s">
        <v>74</v>
      </c>
      <c r="L44" s="9">
        <v>69.3</v>
      </c>
      <c r="M44" s="9"/>
      <c r="N44" s="9"/>
      <c r="O44" s="8" t="s">
        <v>20</v>
      </c>
      <c r="P44" s="9">
        <v>191.3</v>
      </c>
      <c r="Q44" s="3" t="s">
        <v>21</v>
      </c>
      <c r="R44" s="9">
        <v>89.2</v>
      </c>
      <c r="S44" s="8" t="s">
        <v>20</v>
      </c>
      <c r="T44" s="9">
        <v>44</v>
      </c>
      <c r="U44" s="3" t="s">
        <v>68</v>
      </c>
    </row>
    <row r="45" spans="1:21" ht="86.4" x14ac:dyDescent="0.25">
      <c r="A45" s="7" t="s">
        <v>146</v>
      </c>
      <c r="B45" s="8" t="s">
        <v>147</v>
      </c>
      <c r="C45" s="3" t="s">
        <v>94</v>
      </c>
      <c r="D45" s="9">
        <v>6.7</v>
      </c>
      <c r="E45" s="10" t="s">
        <v>19</v>
      </c>
      <c r="F45" s="9">
        <v>0</v>
      </c>
      <c r="G45" s="10" t="s">
        <v>19</v>
      </c>
      <c r="H45" s="9">
        <v>0</v>
      </c>
      <c r="I45" s="9"/>
      <c r="J45" s="9"/>
      <c r="K45" s="3" t="s">
        <v>74</v>
      </c>
      <c r="L45" s="9">
        <v>61.5</v>
      </c>
      <c r="M45" s="9"/>
      <c r="N45" s="9"/>
      <c r="O45" s="8" t="s">
        <v>20</v>
      </c>
      <c r="P45" s="9">
        <v>68.2</v>
      </c>
      <c r="Q45" s="3" t="s">
        <v>21</v>
      </c>
      <c r="R45" s="9">
        <v>13.6</v>
      </c>
      <c r="S45" s="8" t="s">
        <v>20</v>
      </c>
      <c r="T45" s="9">
        <v>16.2</v>
      </c>
      <c r="U45" s="3" t="s">
        <v>68</v>
      </c>
    </row>
    <row r="46" spans="1:21" ht="86.4" x14ac:dyDescent="0.25">
      <c r="A46" s="7" t="s">
        <v>148</v>
      </c>
      <c r="B46" s="8" t="s">
        <v>149</v>
      </c>
      <c r="C46" s="3" t="s">
        <v>94</v>
      </c>
      <c r="D46" s="9">
        <v>5.2</v>
      </c>
      <c r="E46" s="10" t="s">
        <v>19</v>
      </c>
      <c r="F46" s="9">
        <v>0</v>
      </c>
      <c r="G46" s="10" t="s">
        <v>19</v>
      </c>
      <c r="H46" s="9">
        <v>0</v>
      </c>
      <c r="I46" s="9"/>
      <c r="J46" s="9"/>
      <c r="K46" s="3" t="s">
        <v>74</v>
      </c>
      <c r="L46" s="9">
        <v>51.6</v>
      </c>
      <c r="M46" s="9"/>
      <c r="N46" s="9"/>
      <c r="O46" s="8" t="s">
        <v>20</v>
      </c>
      <c r="P46" s="9">
        <v>56.8</v>
      </c>
      <c r="Q46" s="3" t="s">
        <v>21</v>
      </c>
      <c r="R46" s="9">
        <v>12.1</v>
      </c>
      <c r="S46" s="8" t="s">
        <v>20</v>
      </c>
      <c r="T46" s="9">
        <v>14.2</v>
      </c>
      <c r="U46" s="3" t="s">
        <v>68</v>
      </c>
    </row>
    <row r="47" spans="1:21" ht="86.4" x14ac:dyDescent="0.25">
      <c r="A47" s="7" t="s">
        <v>150</v>
      </c>
      <c r="B47" s="8" t="s">
        <v>151</v>
      </c>
      <c r="C47" s="3" t="s">
        <v>94</v>
      </c>
      <c r="D47" s="9">
        <v>11.2</v>
      </c>
      <c r="E47" s="10" t="s">
        <v>19</v>
      </c>
      <c r="F47" s="9">
        <v>0</v>
      </c>
      <c r="G47" s="10" t="s">
        <v>19</v>
      </c>
      <c r="H47" s="9">
        <v>0</v>
      </c>
      <c r="I47" s="9"/>
      <c r="J47" s="9"/>
      <c r="K47" s="3" t="s">
        <v>74</v>
      </c>
      <c r="L47" s="9">
        <v>86.5</v>
      </c>
      <c r="M47" s="9"/>
      <c r="N47" s="9"/>
      <c r="O47" s="8" t="s">
        <v>20</v>
      </c>
      <c r="P47" s="9">
        <v>97.6</v>
      </c>
      <c r="Q47" s="3" t="s">
        <v>21</v>
      </c>
      <c r="R47" s="9">
        <v>29.7</v>
      </c>
      <c r="S47" s="8" t="s">
        <v>20</v>
      </c>
      <c r="T47" s="9">
        <v>23.8</v>
      </c>
      <c r="U47" s="3" t="s">
        <v>68</v>
      </c>
    </row>
    <row r="48" spans="1:21" ht="86.4" x14ac:dyDescent="0.25">
      <c r="A48" s="7" t="s">
        <v>152</v>
      </c>
      <c r="B48" s="8" t="s">
        <v>153</v>
      </c>
      <c r="C48" s="3" t="s">
        <v>94</v>
      </c>
      <c r="D48" s="9">
        <v>2</v>
      </c>
      <c r="E48" s="10" t="s">
        <v>19</v>
      </c>
      <c r="F48" s="9">
        <v>0</v>
      </c>
      <c r="G48" s="10" t="s">
        <v>19</v>
      </c>
      <c r="H48" s="9">
        <v>0</v>
      </c>
      <c r="I48" s="9"/>
      <c r="J48" s="9"/>
      <c r="K48" s="3" t="s">
        <v>74</v>
      </c>
      <c r="L48" s="9">
        <v>52.8</v>
      </c>
      <c r="M48" s="9"/>
      <c r="N48" s="9"/>
      <c r="O48" s="8" t="s">
        <v>20</v>
      </c>
      <c r="P48" s="9">
        <v>54.8</v>
      </c>
      <c r="Q48" s="3" t="s">
        <v>21</v>
      </c>
      <c r="R48" s="9">
        <v>10.8</v>
      </c>
      <c r="S48" s="8" t="s">
        <v>20</v>
      </c>
      <c r="T48" s="9">
        <v>13.4</v>
      </c>
      <c r="U48" s="3" t="s">
        <v>68</v>
      </c>
    </row>
    <row r="49" spans="1:21" ht="86.4" x14ac:dyDescent="0.25">
      <c r="A49" s="17" t="s">
        <v>154</v>
      </c>
      <c r="B49" s="22" t="s">
        <v>155</v>
      </c>
      <c r="C49" s="127" t="s">
        <v>94</v>
      </c>
      <c r="D49" s="121">
        <v>6.5</v>
      </c>
      <c r="E49" s="17" t="s">
        <v>19</v>
      </c>
      <c r="F49" s="121">
        <v>0</v>
      </c>
      <c r="G49" s="17" t="s">
        <v>19</v>
      </c>
      <c r="H49" s="121">
        <v>0</v>
      </c>
      <c r="I49" s="121"/>
      <c r="J49" s="121"/>
      <c r="K49" s="127" t="s">
        <v>74</v>
      </c>
      <c r="L49" s="122">
        <v>48.2</v>
      </c>
      <c r="M49" s="122"/>
      <c r="N49" s="122"/>
      <c r="O49" s="22" t="s">
        <v>20</v>
      </c>
      <c r="P49" s="122">
        <v>54.7</v>
      </c>
      <c r="Q49" s="127" t="s">
        <v>21</v>
      </c>
      <c r="R49" s="121">
        <v>9.3000000000000007</v>
      </c>
      <c r="S49" s="22" t="s">
        <v>20</v>
      </c>
      <c r="T49" s="121">
        <v>13.5</v>
      </c>
      <c r="U49" s="127" t="s">
        <v>68</v>
      </c>
    </row>
    <row r="50" spans="1:21" ht="86.4" x14ac:dyDescent="0.25">
      <c r="A50" s="17" t="s">
        <v>156</v>
      </c>
      <c r="B50" s="22" t="s">
        <v>157</v>
      </c>
      <c r="C50" s="17" t="s">
        <v>19</v>
      </c>
      <c r="D50" s="121">
        <v>0</v>
      </c>
      <c r="E50" s="17" t="s">
        <v>19</v>
      </c>
      <c r="F50" s="121">
        <v>0</v>
      </c>
      <c r="G50" s="17" t="s">
        <v>19</v>
      </c>
      <c r="H50" s="121">
        <v>0</v>
      </c>
      <c r="I50" s="121"/>
      <c r="J50" s="121"/>
      <c r="K50" s="127" t="s">
        <v>74</v>
      </c>
      <c r="L50" s="122">
        <v>54.7</v>
      </c>
      <c r="M50" s="122"/>
      <c r="N50" s="122"/>
      <c r="O50" s="22" t="s">
        <v>20</v>
      </c>
      <c r="P50" s="122">
        <v>54.7</v>
      </c>
      <c r="Q50" s="127" t="s">
        <v>21</v>
      </c>
      <c r="R50" s="121">
        <v>9.6999999999999993</v>
      </c>
      <c r="S50" s="22" t="s">
        <v>20</v>
      </c>
      <c r="T50" s="121">
        <v>13.1</v>
      </c>
      <c r="U50" s="127" t="s">
        <v>68</v>
      </c>
    </row>
    <row r="51" spans="1:21" ht="86.4" x14ac:dyDescent="0.25">
      <c r="A51" s="17" t="s">
        <v>158</v>
      </c>
      <c r="B51" s="17" t="s">
        <v>159</v>
      </c>
      <c r="C51" s="127" t="s">
        <v>67</v>
      </c>
      <c r="D51" s="121">
        <v>10.6</v>
      </c>
      <c r="E51" s="17" t="s">
        <v>19</v>
      </c>
      <c r="F51" s="121">
        <v>0</v>
      </c>
      <c r="G51" s="127" t="s">
        <v>71</v>
      </c>
      <c r="H51" s="121">
        <v>8.5</v>
      </c>
      <c r="I51" s="121"/>
      <c r="J51" s="121"/>
      <c r="K51" s="127" t="s">
        <v>71</v>
      </c>
      <c r="L51" s="121">
        <v>22.5</v>
      </c>
      <c r="M51" s="121"/>
      <c r="N51" s="121"/>
      <c r="O51" s="22" t="s">
        <v>20</v>
      </c>
      <c r="P51" s="121">
        <v>41.6</v>
      </c>
      <c r="Q51" s="127" t="s">
        <v>21</v>
      </c>
      <c r="R51" s="121">
        <v>7.7</v>
      </c>
      <c r="S51" s="22" t="s">
        <v>20</v>
      </c>
      <c r="T51" s="121">
        <v>9.8000000000000007</v>
      </c>
      <c r="U51" s="127" t="s">
        <v>68</v>
      </c>
    </row>
    <row r="52" spans="1:21" ht="86.4" x14ac:dyDescent="0.25">
      <c r="A52" s="10" t="s">
        <v>160</v>
      </c>
      <c r="B52" s="8" t="s">
        <v>98</v>
      </c>
      <c r="C52" s="3" t="s">
        <v>94</v>
      </c>
      <c r="D52" s="9">
        <v>11.7</v>
      </c>
      <c r="E52" s="10" t="s">
        <v>19</v>
      </c>
      <c r="F52" s="9">
        <v>0</v>
      </c>
      <c r="G52" s="10" t="s">
        <v>19</v>
      </c>
      <c r="H52" s="9">
        <v>0</v>
      </c>
      <c r="I52" s="9"/>
      <c r="J52" s="9"/>
      <c r="K52" s="3" t="s">
        <v>74</v>
      </c>
      <c r="L52" s="9">
        <v>18.8</v>
      </c>
      <c r="M52" s="10" t="s">
        <v>19</v>
      </c>
      <c r="N52" s="9">
        <v>0</v>
      </c>
      <c r="O52" s="8" t="s">
        <v>20</v>
      </c>
      <c r="P52" s="9">
        <v>30.5</v>
      </c>
      <c r="Q52" s="3" t="s">
        <v>21</v>
      </c>
      <c r="R52" s="9">
        <v>3.3</v>
      </c>
      <c r="S52" s="8" t="s">
        <v>20</v>
      </c>
      <c r="T52" s="9">
        <v>7.2</v>
      </c>
      <c r="U52" s="3" t="s">
        <v>68</v>
      </c>
    </row>
    <row r="53" spans="1:21" ht="86.4" x14ac:dyDescent="0.25">
      <c r="A53" s="10" t="s">
        <v>161</v>
      </c>
      <c r="B53" s="8" t="s">
        <v>162</v>
      </c>
      <c r="C53" s="3" t="s">
        <v>94</v>
      </c>
      <c r="D53" s="9">
        <v>26.2</v>
      </c>
      <c r="E53" s="10" t="s">
        <v>19</v>
      </c>
      <c r="F53" s="9">
        <v>0</v>
      </c>
      <c r="G53" s="10" t="s">
        <v>19</v>
      </c>
      <c r="H53" s="9">
        <v>0</v>
      </c>
      <c r="I53" s="9"/>
      <c r="J53" s="9"/>
      <c r="K53" s="3" t="s">
        <v>74</v>
      </c>
      <c r="L53" s="9">
        <v>23.8</v>
      </c>
      <c r="M53" s="10" t="s">
        <v>19</v>
      </c>
      <c r="N53" s="9">
        <v>0</v>
      </c>
      <c r="O53" s="8" t="s">
        <v>20</v>
      </c>
      <c r="P53" s="9">
        <v>50</v>
      </c>
      <c r="Q53" s="3" t="s">
        <v>21</v>
      </c>
      <c r="R53" s="9">
        <v>8.6999999999999993</v>
      </c>
      <c r="S53" s="8" t="s">
        <v>20</v>
      </c>
      <c r="T53" s="9">
        <v>11.9</v>
      </c>
      <c r="U53" s="3" t="s">
        <v>68</v>
      </c>
    </row>
    <row r="54" spans="1:21" ht="86.4" x14ac:dyDescent="0.25">
      <c r="A54" s="10" t="s">
        <v>163</v>
      </c>
      <c r="B54" s="10" t="s">
        <v>164</v>
      </c>
      <c r="C54" s="10" t="s">
        <v>19</v>
      </c>
      <c r="D54" s="9">
        <v>0</v>
      </c>
      <c r="E54" s="10" t="s">
        <v>19</v>
      </c>
      <c r="F54" s="9">
        <v>0</v>
      </c>
      <c r="G54" s="10" t="s">
        <v>19</v>
      </c>
      <c r="H54" s="9">
        <v>0</v>
      </c>
      <c r="I54" s="9"/>
      <c r="J54" s="9"/>
      <c r="K54" s="10" t="s">
        <v>19</v>
      </c>
      <c r="L54" s="9">
        <v>0</v>
      </c>
      <c r="M54" s="3" t="s">
        <v>165</v>
      </c>
      <c r="N54" s="9">
        <v>42.1</v>
      </c>
      <c r="O54" s="8" t="s">
        <v>20</v>
      </c>
      <c r="P54" s="9">
        <v>42.1</v>
      </c>
      <c r="Q54" s="3" t="s">
        <v>21</v>
      </c>
      <c r="R54" s="9">
        <v>8.3000000000000007</v>
      </c>
      <c r="S54" s="8" t="s">
        <v>20</v>
      </c>
      <c r="T54" s="9">
        <v>10.7</v>
      </c>
      <c r="U54" s="3" t="s">
        <v>68</v>
      </c>
    </row>
    <row r="55" spans="1:21" ht="86.4" x14ac:dyDescent="0.25">
      <c r="A55" s="10" t="s">
        <v>166</v>
      </c>
      <c r="B55" s="10" t="s">
        <v>66</v>
      </c>
      <c r="C55" s="10" t="s">
        <v>19</v>
      </c>
      <c r="D55" s="9">
        <v>0</v>
      </c>
      <c r="E55" s="10" t="s">
        <v>19</v>
      </c>
      <c r="F55" s="9">
        <v>0</v>
      </c>
      <c r="G55" s="10" t="s">
        <v>19</v>
      </c>
      <c r="H55" s="9">
        <v>0</v>
      </c>
      <c r="I55" s="9"/>
      <c r="J55" s="9"/>
      <c r="K55" s="10" t="s">
        <v>19</v>
      </c>
      <c r="L55" s="9">
        <v>0</v>
      </c>
      <c r="M55" s="3" t="s">
        <v>165</v>
      </c>
      <c r="N55" s="9">
        <v>19.7</v>
      </c>
      <c r="O55" s="8" t="s">
        <v>20</v>
      </c>
      <c r="P55" s="9">
        <v>19.7</v>
      </c>
      <c r="Q55" s="3" t="s">
        <v>21</v>
      </c>
      <c r="R55" s="9">
        <v>2.2000000000000002</v>
      </c>
      <c r="S55" s="8" t="s">
        <v>20</v>
      </c>
      <c r="T55" s="9">
        <v>5.0999999999999996</v>
      </c>
      <c r="U55" s="10" t="s">
        <v>19</v>
      </c>
    </row>
    <row r="56" spans="1:21" ht="86.4" x14ac:dyDescent="0.25">
      <c r="A56" s="10" t="s">
        <v>167</v>
      </c>
      <c r="B56" s="8" t="s">
        <v>102</v>
      </c>
      <c r="C56" s="10" t="s">
        <v>19</v>
      </c>
      <c r="D56" s="9">
        <v>0</v>
      </c>
      <c r="E56" s="10" t="s">
        <v>19</v>
      </c>
      <c r="F56" s="9">
        <v>0</v>
      </c>
      <c r="G56" s="10" t="s">
        <v>19</v>
      </c>
      <c r="H56" s="9">
        <v>0</v>
      </c>
      <c r="I56" s="9"/>
      <c r="J56" s="9"/>
      <c r="K56" s="3" t="s">
        <v>74</v>
      </c>
      <c r="L56" s="9">
        <v>26.5</v>
      </c>
      <c r="M56" s="10" t="s">
        <v>19</v>
      </c>
      <c r="N56" s="9">
        <v>0</v>
      </c>
      <c r="O56" s="8" t="s">
        <v>20</v>
      </c>
      <c r="P56" s="9">
        <v>26.5</v>
      </c>
      <c r="Q56" s="3" t="s">
        <v>21</v>
      </c>
      <c r="R56" s="9">
        <v>3.3</v>
      </c>
      <c r="S56" s="8" t="s">
        <v>20</v>
      </c>
      <c r="T56" s="9">
        <v>6.3</v>
      </c>
      <c r="U56" s="3" t="s">
        <v>68</v>
      </c>
    </row>
    <row r="57" spans="1:21" ht="86.4" x14ac:dyDescent="0.25">
      <c r="A57" s="10" t="s">
        <v>168</v>
      </c>
      <c r="B57" s="8" t="s">
        <v>169</v>
      </c>
      <c r="C57" s="3" t="s">
        <v>67</v>
      </c>
      <c r="D57" s="9">
        <v>8.3000000000000007</v>
      </c>
      <c r="E57" s="10" t="s">
        <v>19</v>
      </c>
      <c r="F57" s="9">
        <v>0</v>
      </c>
      <c r="G57" s="10" t="s">
        <v>19</v>
      </c>
      <c r="H57" s="9">
        <v>0</v>
      </c>
      <c r="I57" s="9"/>
      <c r="J57" s="9"/>
      <c r="K57" s="3" t="s">
        <v>71</v>
      </c>
      <c r="L57" s="9">
        <v>40</v>
      </c>
      <c r="M57" s="10" t="s">
        <v>19</v>
      </c>
      <c r="N57" s="9">
        <v>0</v>
      </c>
      <c r="O57" s="8" t="s">
        <v>20</v>
      </c>
      <c r="P57" s="9">
        <v>48.4</v>
      </c>
      <c r="Q57" s="3" t="s">
        <v>21</v>
      </c>
      <c r="R57" s="9">
        <v>10.199999999999999</v>
      </c>
      <c r="S57" s="8" t="s">
        <v>20</v>
      </c>
      <c r="T57" s="9">
        <v>12.8</v>
      </c>
      <c r="U57" s="3" t="s">
        <v>68</v>
      </c>
    </row>
    <row r="58" spans="1:21" ht="86.4" x14ac:dyDescent="0.25">
      <c r="A58" s="10" t="s">
        <v>170</v>
      </c>
      <c r="B58" s="8" t="s">
        <v>171</v>
      </c>
      <c r="C58" s="3" t="s">
        <v>94</v>
      </c>
      <c r="D58" s="9">
        <v>10.6</v>
      </c>
      <c r="E58" s="10" t="s">
        <v>19</v>
      </c>
      <c r="F58" s="9">
        <v>0</v>
      </c>
      <c r="G58" s="10" t="s">
        <v>19</v>
      </c>
      <c r="H58" s="9">
        <v>0</v>
      </c>
      <c r="I58" s="9"/>
      <c r="J58" s="9"/>
      <c r="K58" s="3" t="s">
        <v>74</v>
      </c>
      <c r="L58" s="9">
        <v>35.299999999999997</v>
      </c>
      <c r="M58" s="10" t="s">
        <v>19</v>
      </c>
      <c r="N58" s="9">
        <v>0</v>
      </c>
      <c r="O58" s="8" t="s">
        <v>20</v>
      </c>
      <c r="P58" s="9">
        <v>45.9</v>
      </c>
      <c r="Q58" s="3" t="s">
        <v>21</v>
      </c>
      <c r="R58" s="9">
        <v>13.9</v>
      </c>
      <c r="S58" s="8" t="s">
        <v>20</v>
      </c>
      <c r="T58" s="9">
        <v>13.2</v>
      </c>
      <c r="U58" s="3" t="s">
        <v>68</v>
      </c>
    </row>
    <row r="59" spans="1:21" ht="86.4" x14ac:dyDescent="0.25">
      <c r="A59" s="17" t="s">
        <v>172</v>
      </c>
      <c r="B59" s="22" t="s">
        <v>173</v>
      </c>
      <c r="C59" s="127" t="s">
        <v>94</v>
      </c>
      <c r="D59" s="121">
        <v>10.8</v>
      </c>
      <c r="E59" s="17" t="s">
        <v>19</v>
      </c>
      <c r="F59" s="121">
        <v>0</v>
      </c>
      <c r="G59" s="17" t="s">
        <v>19</v>
      </c>
      <c r="H59" s="121">
        <v>0</v>
      </c>
      <c r="I59" s="121"/>
      <c r="J59" s="121"/>
      <c r="K59" s="127" t="s">
        <v>74</v>
      </c>
      <c r="L59" s="122">
        <v>34.200000000000003</v>
      </c>
      <c r="M59" s="17" t="s">
        <v>19</v>
      </c>
      <c r="N59" s="121">
        <v>0</v>
      </c>
      <c r="O59" s="22" t="s">
        <v>20</v>
      </c>
      <c r="P59" s="122">
        <v>45</v>
      </c>
      <c r="Q59" s="127" t="s">
        <v>21</v>
      </c>
      <c r="R59" s="121">
        <v>12.2</v>
      </c>
      <c r="S59" s="22" t="s">
        <v>20</v>
      </c>
      <c r="T59" s="121">
        <v>12.6</v>
      </c>
      <c r="U59" s="127" t="s">
        <v>68</v>
      </c>
    </row>
    <row r="60" spans="1:21" ht="86.4" x14ac:dyDescent="0.25">
      <c r="A60" s="37" t="s">
        <v>174</v>
      </c>
      <c r="B60" s="38" t="s">
        <v>175</v>
      </c>
      <c r="C60" s="127" t="s">
        <v>94</v>
      </c>
      <c r="D60" s="90">
        <v>15.4</v>
      </c>
      <c r="E60" s="37" t="s">
        <v>19</v>
      </c>
      <c r="F60" s="90">
        <v>0</v>
      </c>
      <c r="G60" s="37" t="s">
        <v>19</v>
      </c>
      <c r="H60" s="90">
        <v>0</v>
      </c>
      <c r="I60" s="90"/>
      <c r="J60" s="90"/>
      <c r="K60" s="127" t="s">
        <v>74</v>
      </c>
      <c r="L60" s="90">
        <v>51.8</v>
      </c>
      <c r="M60" s="37" t="s">
        <v>19</v>
      </c>
      <c r="N60" s="90">
        <v>0</v>
      </c>
      <c r="O60" s="38" t="s">
        <v>20</v>
      </c>
      <c r="P60" s="90">
        <v>67.2</v>
      </c>
      <c r="Q60" s="127" t="s">
        <v>21</v>
      </c>
      <c r="R60" s="90">
        <v>21.4</v>
      </c>
      <c r="S60" s="38" t="s">
        <v>20</v>
      </c>
      <c r="T60" s="90">
        <v>19.5</v>
      </c>
      <c r="U60" s="127" t="s">
        <v>68</v>
      </c>
    </row>
    <row r="61" spans="1:21" ht="144" x14ac:dyDescent="0.25">
      <c r="A61" s="17" t="s">
        <v>176</v>
      </c>
      <c r="B61" s="17" t="s">
        <v>32</v>
      </c>
      <c r="C61" s="127" t="s">
        <v>94</v>
      </c>
      <c r="D61" s="121">
        <v>41.9</v>
      </c>
      <c r="E61" s="127" t="s">
        <v>74</v>
      </c>
      <c r="F61" s="121">
        <v>7</v>
      </c>
      <c r="G61" s="127" t="s">
        <v>74</v>
      </c>
      <c r="H61" s="121">
        <v>4.2</v>
      </c>
      <c r="I61" s="121"/>
      <c r="J61" s="121"/>
      <c r="K61" s="127" t="s">
        <v>74</v>
      </c>
      <c r="L61" s="122">
        <v>150.69999999999999</v>
      </c>
      <c r="M61" s="17" t="s">
        <v>19</v>
      </c>
      <c r="N61" s="121">
        <v>0</v>
      </c>
      <c r="O61" s="22" t="s">
        <v>20</v>
      </c>
      <c r="P61" s="122">
        <v>203.8</v>
      </c>
      <c r="Q61" s="127" t="s">
        <v>21</v>
      </c>
      <c r="R61" s="121">
        <v>58.8</v>
      </c>
      <c r="S61" s="22" t="s">
        <v>20</v>
      </c>
      <c r="T61" s="121">
        <v>43.1</v>
      </c>
      <c r="U61" s="17" t="s">
        <v>19</v>
      </c>
    </row>
    <row r="62" spans="1:21" ht="86.4" x14ac:dyDescent="0.25">
      <c r="A62" s="10" t="s">
        <v>177</v>
      </c>
      <c r="B62" s="10" t="s">
        <v>66</v>
      </c>
      <c r="C62" s="3" t="s">
        <v>67</v>
      </c>
      <c r="D62" s="9">
        <v>0.1</v>
      </c>
      <c r="E62" s="9"/>
      <c r="F62" s="9"/>
      <c r="G62" s="10" t="s">
        <v>19</v>
      </c>
      <c r="H62" s="9">
        <v>0</v>
      </c>
      <c r="I62" s="9"/>
      <c r="J62" s="9"/>
      <c r="K62" s="10" t="s">
        <v>19</v>
      </c>
      <c r="L62" s="9">
        <v>0</v>
      </c>
      <c r="M62" s="3" t="s">
        <v>165</v>
      </c>
      <c r="N62" s="9">
        <v>37</v>
      </c>
      <c r="O62" s="8" t="s">
        <v>20</v>
      </c>
      <c r="P62" s="9">
        <v>37.1</v>
      </c>
      <c r="Q62" s="8" t="s">
        <v>178</v>
      </c>
      <c r="R62" s="9">
        <v>27.4</v>
      </c>
      <c r="S62" s="8" t="s">
        <v>20</v>
      </c>
      <c r="T62" s="9">
        <v>10.6</v>
      </c>
      <c r="U62" s="3" t="s">
        <v>68</v>
      </c>
    </row>
    <row r="63" spans="1:21" ht="115.2" x14ac:dyDescent="0.25">
      <c r="A63" s="10" t="s">
        <v>179</v>
      </c>
      <c r="B63" s="8" t="s">
        <v>180</v>
      </c>
      <c r="C63" s="3" t="s">
        <v>17</v>
      </c>
      <c r="D63" s="9">
        <v>62.4</v>
      </c>
      <c r="E63" s="9"/>
      <c r="F63" s="9"/>
      <c r="G63" s="3" t="s">
        <v>18</v>
      </c>
      <c r="H63" s="9">
        <v>43</v>
      </c>
      <c r="I63" s="9"/>
      <c r="J63" s="9"/>
      <c r="K63" s="3" t="s">
        <v>18</v>
      </c>
      <c r="L63" s="9">
        <v>6.7</v>
      </c>
      <c r="M63" s="10" t="s">
        <v>19</v>
      </c>
      <c r="N63" s="9">
        <v>0</v>
      </c>
      <c r="O63" s="8" t="s">
        <v>20</v>
      </c>
      <c r="P63" s="9">
        <v>112.1</v>
      </c>
      <c r="Q63" s="8" t="s">
        <v>178</v>
      </c>
      <c r="R63" s="9">
        <v>92.5</v>
      </c>
      <c r="S63" s="8" t="s">
        <v>20</v>
      </c>
      <c r="T63" s="9">
        <v>31.1</v>
      </c>
      <c r="U63" s="10" t="s">
        <v>19</v>
      </c>
    </row>
    <row r="64" spans="1:21" ht="115.2" x14ac:dyDescent="0.25">
      <c r="A64" s="10" t="s">
        <v>181</v>
      </c>
      <c r="B64" s="8" t="s">
        <v>182</v>
      </c>
      <c r="C64" s="3" t="s">
        <v>17</v>
      </c>
      <c r="D64" s="9">
        <v>25.4</v>
      </c>
      <c r="E64" s="9"/>
      <c r="F64" s="9"/>
      <c r="G64" s="3" t="s">
        <v>18</v>
      </c>
      <c r="H64" s="9">
        <v>29.6</v>
      </c>
      <c r="I64" s="9"/>
      <c r="J64" s="9"/>
      <c r="K64" s="10" t="s">
        <v>19</v>
      </c>
      <c r="L64" s="9">
        <v>0</v>
      </c>
      <c r="M64" s="10" t="s">
        <v>19</v>
      </c>
      <c r="N64" s="9">
        <v>0</v>
      </c>
      <c r="O64" s="8" t="s">
        <v>20</v>
      </c>
      <c r="P64" s="9">
        <v>55</v>
      </c>
      <c r="Q64" s="8" t="s">
        <v>178</v>
      </c>
      <c r="R64" s="9">
        <v>21.6</v>
      </c>
      <c r="S64" s="8" t="s">
        <v>20</v>
      </c>
      <c r="T64" s="9">
        <v>15.1</v>
      </c>
      <c r="U64" s="10" t="s">
        <v>19</v>
      </c>
    </row>
    <row r="65" spans="1:21" ht="86.4" x14ac:dyDescent="0.25">
      <c r="A65" s="10" t="s">
        <v>183</v>
      </c>
      <c r="B65" s="8" t="s">
        <v>184</v>
      </c>
      <c r="C65" s="10" t="s">
        <v>19</v>
      </c>
      <c r="D65" s="9">
        <v>0</v>
      </c>
      <c r="E65" s="9"/>
      <c r="F65" s="9"/>
      <c r="G65" s="3" t="s">
        <v>74</v>
      </c>
      <c r="H65" s="9">
        <v>8.8000000000000007</v>
      </c>
      <c r="I65" s="9"/>
      <c r="J65" s="9"/>
      <c r="K65" s="3" t="s">
        <v>74</v>
      </c>
      <c r="L65" s="9">
        <v>28.9</v>
      </c>
      <c r="M65" s="10" t="s">
        <v>19</v>
      </c>
      <c r="N65" s="9">
        <v>0</v>
      </c>
      <c r="O65" s="8" t="s">
        <v>20</v>
      </c>
      <c r="P65" s="9">
        <v>37.700000000000003</v>
      </c>
      <c r="Q65" s="8" t="s">
        <v>178</v>
      </c>
      <c r="R65" s="9">
        <v>6.2</v>
      </c>
      <c r="S65" s="8" t="s">
        <v>20</v>
      </c>
      <c r="T65" s="9">
        <v>8.9</v>
      </c>
      <c r="U65" s="3" t="s">
        <v>68</v>
      </c>
    </row>
    <row r="66" spans="1:21" ht="57.6" x14ac:dyDescent="0.25">
      <c r="A66" s="10" t="s">
        <v>185</v>
      </c>
      <c r="B66" s="10" t="s">
        <v>66</v>
      </c>
      <c r="C66" s="10" t="s">
        <v>19</v>
      </c>
      <c r="D66" s="9">
        <v>0</v>
      </c>
      <c r="E66" s="9"/>
      <c r="F66" s="9"/>
      <c r="G66" s="10" t="s">
        <v>19</v>
      </c>
      <c r="H66" s="9">
        <v>0</v>
      </c>
      <c r="I66" s="9"/>
      <c r="J66" s="9"/>
      <c r="K66" s="10" t="s">
        <v>19</v>
      </c>
      <c r="L66" s="9">
        <v>0</v>
      </c>
      <c r="M66" s="3" t="s">
        <v>165</v>
      </c>
      <c r="N66" s="9">
        <v>19.600000000000001</v>
      </c>
      <c r="O66" s="8" t="s">
        <v>20</v>
      </c>
      <c r="P66" s="9">
        <v>19.600000000000001</v>
      </c>
      <c r="Q66" s="8" t="s">
        <v>178</v>
      </c>
      <c r="R66" s="9">
        <v>10.9</v>
      </c>
      <c r="S66" s="8" t="s">
        <v>20</v>
      </c>
      <c r="T66" s="9">
        <v>8.6999999999999993</v>
      </c>
      <c r="U66" s="3" t="s">
        <v>68</v>
      </c>
    </row>
    <row r="67" spans="1:21" ht="115.2" x14ac:dyDescent="0.25">
      <c r="A67" s="10" t="s">
        <v>186</v>
      </c>
      <c r="B67" s="8" t="s">
        <v>187</v>
      </c>
      <c r="C67" s="3" t="s">
        <v>17</v>
      </c>
      <c r="D67" s="9">
        <v>45.4</v>
      </c>
      <c r="E67" s="9"/>
      <c r="F67" s="9"/>
      <c r="G67" s="3" t="s">
        <v>18</v>
      </c>
      <c r="H67" s="9">
        <v>6.4</v>
      </c>
      <c r="I67" s="9"/>
      <c r="J67" s="9"/>
      <c r="K67" s="3" t="s">
        <v>18</v>
      </c>
      <c r="L67" s="9">
        <v>38.299999999999997</v>
      </c>
      <c r="M67" s="10" t="s">
        <v>19</v>
      </c>
      <c r="N67" s="9">
        <v>0</v>
      </c>
      <c r="O67" s="8" t="s">
        <v>20</v>
      </c>
      <c r="P67" s="9">
        <v>90</v>
      </c>
      <c r="Q67" s="8" t="s">
        <v>178</v>
      </c>
      <c r="R67" s="9">
        <v>24</v>
      </c>
      <c r="S67" s="8" t="s">
        <v>20</v>
      </c>
      <c r="T67" s="9">
        <v>20.8</v>
      </c>
      <c r="U67" s="10" t="s">
        <v>19</v>
      </c>
    </row>
    <row r="68" spans="1:21" ht="115.2" x14ac:dyDescent="0.25">
      <c r="A68" s="17" t="s">
        <v>188</v>
      </c>
      <c r="B68" s="17" t="s">
        <v>189</v>
      </c>
      <c r="C68" s="127" t="s">
        <v>17</v>
      </c>
      <c r="D68" s="121">
        <v>0.1</v>
      </c>
      <c r="E68" s="121"/>
      <c r="F68" s="121"/>
      <c r="G68" s="127" t="s">
        <v>18</v>
      </c>
      <c r="H68" s="121">
        <v>5.2</v>
      </c>
      <c r="I68" s="121"/>
      <c r="J68" s="121"/>
      <c r="K68" s="127" t="s">
        <v>18</v>
      </c>
      <c r="L68" s="121">
        <v>35</v>
      </c>
      <c r="M68" s="17" t="s">
        <v>19</v>
      </c>
      <c r="N68" s="121">
        <v>0</v>
      </c>
      <c r="O68" s="22" t="s">
        <v>20</v>
      </c>
      <c r="P68" s="122">
        <v>40.200000000000003</v>
      </c>
      <c r="Q68" s="22" t="s">
        <v>178</v>
      </c>
      <c r="R68" s="121">
        <v>6.7</v>
      </c>
      <c r="S68" s="22" t="s">
        <v>20</v>
      </c>
      <c r="T68" s="121">
        <v>9</v>
      </c>
      <c r="U68" s="127" t="s">
        <v>190</v>
      </c>
    </row>
    <row r="69" spans="1:21" ht="86.4" x14ac:dyDescent="0.25">
      <c r="A69" s="17" t="s">
        <v>191</v>
      </c>
      <c r="B69" s="22" t="s">
        <v>192</v>
      </c>
      <c r="C69" s="127" t="s">
        <v>94</v>
      </c>
      <c r="D69" s="121">
        <v>8.6</v>
      </c>
      <c r="E69" s="121"/>
      <c r="F69" s="121"/>
      <c r="G69" s="17" t="s">
        <v>19</v>
      </c>
      <c r="H69" s="121">
        <v>0</v>
      </c>
      <c r="I69" s="121"/>
      <c r="J69" s="121"/>
      <c r="K69" s="127" t="s">
        <v>74</v>
      </c>
      <c r="L69" s="121">
        <v>79.900000000000006</v>
      </c>
      <c r="M69" s="17" t="s">
        <v>19</v>
      </c>
      <c r="N69" s="121">
        <v>0</v>
      </c>
      <c r="O69" s="22" t="s">
        <v>20</v>
      </c>
      <c r="P69" s="121">
        <v>88.5</v>
      </c>
      <c r="Q69" s="22" t="s">
        <v>178</v>
      </c>
      <c r="R69" s="121">
        <v>29.6</v>
      </c>
      <c r="S69" s="22" t="s">
        <v>20</v>
      </c>
      <c r="T69" s="121">
        <v>21.7</v>
      </c>
      <c r="U69" s="127" t="s">
        <v>68</v>
      </c>
    </row>
    <row r="70" spans="1:21" ht="115.2" x14ac:dyDescent="0.25">
      <c r="A70" s="17" t="s">
        <v>193</v>
      </c>
      <c r="B70" s="17" t="s">
        <v>194</v>
      </c>
      <c r="C70" s="127" t="s">
        <v>17</v>
      </c>
      <c r="D70" s="122">
        <v>49.4</v>
      </c>
      <c r="E70" s="122"/>
      <c r="F70" s="122"/>
      <c r="G70" s="17" t="s">
        <v>19</v>
      </c>
      <c r="H70" s="121">
        <v>0</v>
      </c>
      <c r="I70" s="121"/>
      <c r="J70" s="121"/>
      <c r="K70" s="127" t="s">
        <v>18</v>
      </c>
      <c r="L70" s="122">
        <v>34.799999999999997</v>
      </c>
      <c r="M70" s="17" t="s">
        <v>19</v>
      </c>
      <c r="N70" s="121">
        <v>0</v>
      </c>
      <c r="O70" s="22" t="s">
        <v>20</v>
      </c>
      <c r="P70" s="122">
        <v>84.2</v>
      </c>
      <c r="Q70" s="22" t="s">
        <v>178</v>
      </c>
      <c r="R70" s="121">
        <v>51.3</v>
      </c>
      <c r="S70" s="22" t="s">
        <v>20</v>
      </c>
      <c r="T70" s="121">
        <v>23.6</v>
      </c>
      <c r="U70" s="17" t="s">
        <v>19</v>
      </c>
    </row>
    <row r="71" spans="1:21" ht="115.2" x14ac:dyDescent="0.25">
      <c r="A71" s="10" t="s">
        <v>195</v>
      </c>
      <c r="B71" s="10" t="s">
        <v>196</v>
      </c>
      <c r="C71" s="3" t="s">
        <v>17</v>
      </c>
      <c r="D71" s="9">
        <v>44.5</v>
      </c>
      <c r="E71" s="9"/>
      <c r="F71" s="9"/>
      <c r="G71" s="3" t="s">
        <v>18</v>
      </c>
      <c r="H71" s="9">
        <v>28.3</v>
      </c>
      <c r="I71" s="9"/>
      <c r="J71" s="9"/>
      <c r="K71" s="3" t="s">
        <v>18</v>
      </c>
      <c r="L71" s="9">
        <v>20.100000000000001</v>
      </c>
      <c r="M71" s="10" t="s">
        <v>19</v>
      </c>
      <c r="N71" s="9">
        <v>0</v>
      </c>
      <c r="O71" s="8" t="s">
        <v>20</v>
      </c>
      <c r="P71" s="9">
        <v>92.9</v>
      </c>
      <c r="Q71" s="8" t="s">
        <v>178</v>
      </c>
      <c r="R71" s="9">
        <v>56.6</v>
      </c>
      <c r="S71" s="8" t="s">
        <v>20</v>
      </c>
      <c r="T71" s="9">
        <v>25</v>
      </c>
      <c r="U71" s="10" t="s">
        <v>19</v>
      </c>
    </row>
    <row r="72" spans="1:21" ht="115.2" x14ac:dyDescent="0.25">
      <c r="A72" s="10" t="s">
        <v>197</v>
      </c>
      <c r="B72" s="8" t="s">
        <v>187</v>
      </c>
      <c r="C72" s="3" t="s">
        <v>17</v>
      </c>
      <c r="D72" s="9">
        <v>32.1</v>
      </c>
      <c r="E72" s="9"/>
      <c r="F72" s="9"/>
      <c r="G72" s="3" t="s">
        <v>18</v>
      </c>
      <c r="H72" s="9">
        <v>6.3</v>
      </c>
      <c r="I72" s="9"/>
      <c r="J72" s="9"/>
      <c r="K72" s="3" t="s">
        <v>18</v>
      </c>
      <c r="L72" s="9">
        <v>29</v>
      </c>
      <c r="M72" s="10" t="s">
        <v>19</v>
      </c>
      <c r="N72" s="9">
        <v>0</v>
      </c>
      <c r="O72" s="8" t="s">
        <v>20</v>
      </c>
      <c r="P72" s="9">
        <v>67.400000000000006</v>
      </c>
      <c r="Q72" s="8" t="s">
        <v>178</v>
      </c>
      <c r="R72" s="9">
        <v>18.5</v>
      </c>
      <c r="S72" s="8" t="s">
        <v>20</v>
      </c>
      <c r="T72" s="9">
        <v>15.3</v>
      </c>
      <c r="U72" s="10" t="s">
        <v>19</v>
      </c>
    </row>
    <row r="73" spans="1:21" ht="57.6" x14ac:dyDescent="0.25">
      <c r="A73" s="10" t="s">
        <v>198</v>
      </c>
      <c r="B73" s="10" t="s">
        <v>66</v>
      </c>
      <c r="C73" s="10" t="s">
        <v>19</v>
      </c>
      <c r="D73" s="9">
        <v>0</v>
      </c>
      <c r="E73" s="9"/>
      <c r="F73" s="9"/>
      <c r="G73" s="10" t="s">
        <v>19</v>
      </c>
      <c r="H73" s="9">
        <v>0</v>
      </c>
      <c r="I73" s="9"/>
      <c r="J73" s="9"/>
      <c r="K73" s="10" t="s">
        <v>19</v>
      </c>
      <c r="L73" s="9">
        <v>0</v>
      </c>
      <c r="M73" s="3" t="s">
        <v>165</v>
      </c>
      <c r="N73" s="9">
        <v>21.5</v>
      </c>
      <c r="O73" s="8" t="s">
        <v>20</v>
      </c>
      <c r="P73" s="9">
        <v>21.5</v>
      </c>
      <c r="Q73" s="8" t="s">
        <v>178</v>
      </c>
      <c r="R73" s="9">
        <v>4.8</v>
      </c>
      <c r="S73" s="8" t="s">
        <v>20</v>
      </c>
      <c r="T73" s="9">
        <v>6.6</v>
      </c>
      <c r="U73" s="3" t="s">
        <v>68</v>
      </c>
    </row>
    <row r="74" spans="1:21" ht="115.2" x14ac:dyDescent="0.25">
      <c r="A74" s="10" t="s">
        <v>199</v>
      </c>
      <c r="B74" s="10" t="s">
        <v>189</v>
      </c>
      <c r="C74" s="3" t="s">
        <v>17</v>
      </c>
      <c r="D74" s="9">
        <v>0.1</v>
      </c>
      <c r="E74" s="9"/>
      <c r="F74" s="9"/>
      <c r="G74" s="3" t="s">
        <v>18</v>
      </c>
      <c r="H74" s="9">
        <v>5.0999999999999996</v>
      </c>
      <c r="I74" s="9"/>
      <c r="J74" s="9"/>
      <c r="K74" s="3" t="s">
        <v>18</v>
      </c>
      <c r="L74" s="9">
        <v>35</v>
      </c>
      <c r="M74" s="10" t="s">
        <v>19</v>
      </c>
      <c r="N74" s="9">
        <v>0</v>
      </c>
      <c r="O74" s="8" t="s">
        <v>20</v>
      </c>
      <c r="P74" s="9">
        <v>40.200000000000003</v>
      </c>
      <c r="Q74" s="8" t="s">
        <v>178</v>
      </c>
      <c r="R74" s="9">
        <v>6.7</v>
      </c>
      <c r="S74" s="8" t="s">
        <v>20</v>
      </c>
      <c r="T74" s="9">
        <v>9</v>
      </c>
      <c r="U74" s="3" t="s">
        <v>190</v>
      </c>
    </row>
    <row r="75" spans="1:21" ht="86.4" x14ac:dyDescent="0.25">
      <c r="A75" s="10" t="s">
        <v>200</v>
      </c>
      <c r="B75" s="8" t="s">
        <v>192</v>
      </c>
      <c r="C75" s="3" t="s">
        <v>94</v>
      </c>
      <c r="D75" s="9">
        <v>8.9</v>
      </c>
      <c r="E75" s="9"/>
      <c r="F75" s="9"/>
      <c r="G75" s="10" t="s">
        <v>19</v>
      </c>
      <c r="H75" s="9">
        <v>0</v>
      </c>
      <c r="I75" s="9"/>
      <c r="J75" s="9"/>
      <c r="K75" s="3" t="s">
        <v>74</v>
      </c>
      <c r="L75" s="9">
        <v>80.2</v>
      </c>
      <c r="M75" s="10" t="s">
        <v>19</v>
      </c>
      <c r="N75" s="9">
        <v>0</v>
      </c>
      <c r="O75" s="8" t="s">
        <v>20</v>
      </c>
      <c r="P75" s="9">
        <v>89.1</v>
      </c>
      <c r="Q75" s="8" t="s">
        <v>178</v>
      </c>
      <c r="R75" s="9">
        <v>29.9</v>
      </c>
      <c r="S75" s="8" t="s">
        <v>20</v>
      </c>
      <c r="T75" s="9">
        <v>21.9</v>
      </c>
      <c r="U75" s="3" t="s">
        <v>68</v>
      </c>
    </row>
    <row r="76" spans="1:21" ht="115.2" x14ac:dyDescent="0.25">
      <c r="A76" s="10" t="s">
        <v>201</v>
      </c>
      <c r="B76" s="10" t="s">
        <v>194</v>
      </c>
      <c r="C76" s="3" t="s">
        <v>17</v>
      </c>
      <c r="D76" s="9">
        <v>47.9</v>
      </c>
      <c r="E76" s="9"/>
      <c r="F76" s="9"/>
      <c r="G76" s="10" t="s">
        <v>19</v>
      </c>
      <c r="H76" s="9">
        <v>0</v>
      </c>
      <c r="I76" s="9"/>
      <c r="J76" s="9"/>
      <c r="K76" s="3" t="s">
        <v>18</v>
      </c>
      <c r="L76" s="9">
        <v>37.5</v>
      </c>
      <c r="M76" s="10" t="s">
        <v>19</v>
      </c>
      <c r="N76" s="9">
        <v>0</v>
      </c>
      <c r="O76" s="8" t="s">
        <v>20</v>
      </c>
      <c r="P76" s="9">
        <v>85.4</v>
      </c>
      <c r="Q76" s="8" t="s">
        <v>178</v>
      </c>
      <c r="R76" s="9">
        <v>51.2</v>
      </c>
      <c r="S76" s="8" t="s">
        <v>20</v>
      </c>
      <c r="T76" s="9">
        <v>23.8</v>
      </c>
      <c r="U76" s="10" t="s">
        <v>19</v>
      </c>
    </row>
    <row r="77" spans="1:21" ht="115.2" x14ac:dyDescent="0.25">
      <c r="A77" s="17" t="s">
        <v>202</v>
      </c>
      <c r="B77" s="17" t="s">
        <v>196</v>
      </c>
      <c r="C77" s="127" t="s">
        <v>17</v>
      </c>
      <c r="D77" s="121">
        <v>61.1</v>
      </c>
      <c r="E77" s="121"/>
      <c r="F77" s="121"/>
      <c r="G77" s="127" t="s">
        <v>18</v>
      </c>
      <c r="H77" s="121">
        <v>7.6</v>
      </c>
      <c r="I77" s="121"/>
      <c r="J77" s="121"/>
      <c r="K77" s="127" t="s">
        <v>18</v>
      </c>
      <c r="L77" s="121">
        <v>20.8</v>
      </c>
      <c r="M77" s="17" t="s">
        <v>19</v>
      </c>
      <c r="N77" s="121">
        <v>0</v>
      </c>
      <c r="O77" s="22" t="s">
        <v>20</v>
      </c>
      <c r="P77" s="121">
        <v>89.5</v>
      </c>
      <c r="Q77" s="22" t="s">
        <v>178</v>
      </c>
      <c r="R77" s="121">
        <v>56.3</v>
      </c>
      <c r="S77" s="22" t="s">
        <v>20</v>
      </c>
      <c r="T77" s="121">
        <v>25.2</v>
      </c>
      <c r="U77" s="17" t="s">
        <v>19</v>
      </c>
    </row>
    <row r="78" spans="1:21" ht="86.4" x14ac:dyDescent="0.25">
      <c r="A78" s="17" t="s">
        <v>203</v>
      </c>
      <c r="B78" s="22" t="s">
        <v>102</v>
      </c>
      <c r="C78" s="127" t="s">
        <v>94</v>
      </c>
      <c r="D78" s="121">
        <v>0.8</v>
      </c>
      <c r="E78" s="121"/>
      <c r="F78" s="121"/>
      <c r="G78" s="127" t="s">
        <v>74</v>
      </c>
      <c r="H78" s="121">
        <v>2.2000000000000002</v>
      </c>
      <c r="I78" s="121"/>
      <c r="J78" s="121"/>
      <c r="K78" s="127" t="s">
        <v>74</v>
      </c>
      <c r="L78" s="121">
        <v>36.5</v>
      </c>
      <c r="M78" s="17" t="s">
        <v>19</v>
      </c>
      <c r="N78" s="121">
        <v>0</v>
      </c>
      <c r="O78" s="22" t="s">
        <v>20</v>
      </c>
      <c r="P78" s="122">
        <v>39.4</v>
      </c>
      <c r="Q78" s="22" t="s">
        <v>178</v>
      </c>
      <c r="R78" s="121">
        <v>5.7</v>
      </c>
      <c r="S78" s="22" t="s">
        <v>20</v>
      </c>
      <c r="T78" s="121">
        <v>9.4</v>
      </c>
      <c r="U78" s="127" t="s">
        <v>68</v>
      </c>
    </row>
    <row r="79" spans="1:21" ht="115.2" x14ac:dyDescent="0.25">
      <c r="A79" s="7" t="s">
        <v>204</v>
      </c>
      <c r="B79" s="8" t="s">
        <v>205</v>
      </c>
      <c r="C79" s="3" t="s">
        <v>17</v>
      </c>
      <c r="D79" s="9">
        <v>36.1</v>
      </c>
      <c r="E79" s="10" t="s">
        <v>19</v>
      </c>
      <c r="F79" s="9">
        <v>0</v>
      </c>
      <c r="G79" s="10" t="s">
        <v>19</v>
      </c>
      <c r="H79" s="9">
        <v>0</v>
      </c>
      <c r="I79" s="9"/>
      <c r="J79" s="9"/>
      <c r="K79" s="3" t="s">
        <v>18</v>
      </c>
      <c r="L79" s="9">
        <v>32.1</v>
      </c>
      <c r="M79" s="9"/>
      <c r="N79" s="9"/>
      <c r="O79" s="8" t="s">
        <v>20</v>
      </c>
      <c r="P79" s="9">
        <v>68.2</v>
      </c>
      <c r="Q79" s="8" t="s">
        <v>178</v>
      </c>
      <c r="R79" s="9">
        <v>10.7</v>
      </c>
      <c r="S79" s="8" t="s">
        <v>20</v>
      </c>
      <c r="T79" s="9">
        <v>15.2</v>
      </c>
      <c r="U79" s="10" t="s">
        <v>19</v>
      </c>
    </row>
    <row r="80" spans="1:21" ht="115.2" x14ac:dyDescent="0.25">
      <c r="A80" s="7" t="s">
        <v>206</v>
      </c>
      <c r="B80" s="10" t="s">
        <v>32</v>
      </c>
      <c r="C80" s="3" t="s">
        <v>17</v>
      </c>
      <c r="D80" s="9">
        <v>41.8</v>
      </c>
      <c r="E80" s="10" t="s">
        <v>19</v>
      </c>
      <c r="F80" s="9">
        <v>0</v>
      </c>
      <c r="G80" s="3" t="s">
        <v>18</v>
      </c>
      <c r="H80" s="9">
        <v>47.6</v>
      </c>
      <c r="I80" s="9"/>
      <c r="J80" s="9"/>
      <c r="K80" s="3" t="s">
        <v>18</v>
      </c>
      <c r="L80" s="9">
        <v>14.6</v>
      </c>
      <c r="M80" s="9"/>
      <c r="N80" s="9"/>
      <c r="O80" s="8" t="s">
        <v>20</v>
      </c>
      <c r="P80" s="9">
        <v>104</v>
      </c>
      <c r="Q80" s="8" t="s">
        <v>178</v>
      </c>
      <c r="R80" s="9">
        <v>41.2</v>
      </c>
      <c r="S80" s="8" t="s">
        <v>20</v>
      </c>
      <c r="T80" s="9">
        <v>18.100000000000001</v>
      </c>
      <c r="U80" s="10" t="s">
        <v>19</v>
      </c>
    </row>
    <row r="81" spans="1:21" ht="115.2" x14ac:dyDescent="0.25">
      <c r="A81" s="7" t="s">
        <v>207</v>
      </c>
      <c r="B81" s="10" t="s">
        <v>32</v>
      </c>
      <c r="C81" s="3" t="s">
        <v>17</v>
      </c>
      <c r="D81" s="9">
        <v>56.7</v>
      </c>
      <c r="E81" s="10" t="s">
        <v>19</v>
      </c>
      <c r="F81" s="9">
        <v>0</v>
      </c>
      <c r="G81" s="3" t="s">
        <v>18</v>
      </c>
      <c r="H81" s="9">
        <v>74</v>
      </c>
      <c r="I81" s="9"/>
      <c r="J81" s="9"/>
      <c r="K81" s="3" t="s">
        <v>18</v>
      </c>
      <c r="L81" s="9">
        <v>7.2</v>
      </c>
      <c r="M81" s="9"/>
      <c r="N81" s="9"/>
      <c r="O81" s="8" t="s">
        <v>20</v>
      </c>
      <c r="P81" s="9">
        <v>137.9</v>
      </c>
      <c r="Q81" s="8" t="s">
        <v>178</v>
      </c>
      <c r="R81" s="9">
        <v>60.8</v>
      </c>
      <c r="S81" s="8" t="s">
        <v>20</v>
      </c>
      <c r="T81" s="9">
        <v>42.3</v>
      </c>
      <c r="U81" s="10" t="s">
        <v>19</v>
      </c>
    </row>
    <row r="82" spans="1:21" ht="187.2" x14ac:dyDescent="0.25">
      <c r="A82" s="7" t="s">
        <v>208</v>
      </c>
      <c r="B82" s="8" t="s">
        <v>209</v>
      </c>
      <c r="C82" s="3" t="s">
        <v>17</v>
      </c>
      <c r="D82" s="9">
        <v>105.7</v>
      </c>
      <c r="E82" s="3" t="s">
        <v>18</v>
      </c>
      <c r="F82" s="9">
        <v>38.299999999999997</v>
      </c>
      <c r="G82" s="10" t="s">
        <v>19</v>
      </c>
      <c r="H82" s="9">
        <v>0</v>
      </c>
      <c r="I82" s="9"/>
      <c r="J82" s="9"/>
      <c r="K82" s="10" t="s">
        <v>19</v>
      </c>
      <c r="L82" s="9">
        <v>0</v>
      </c>
      <c r="M82" s="9"/>
      <c r="N82" s="9"/>
      <c r="O82" s="8" t="s">
        <v>20</v>
      </c>
      <c r="P82" s="9">
        <v>144</v>
      </c>
      <c r="Q82" s="3" t="s">
        <v>210</v>
      </c>
      <c r="R82" s="9">
        <v>26</v>
      </c>
      <c r="S82" s="8" t="s">
        <v>20</v>
      </c>
      <c r="T82" s="9">
        <v>40.4</v>
      </c>
      <c r="U82" s="10" t="s">
        <v>19</v>
      </c>
    </row>
    <row r="83" spans="1:21" ht="187.2" x14ac:dyDescent="0.25">
      <c r="A83" s="7" t="s">
        <v>211</v>
      </c>
      <c r="B83" s="8" t="s">
        <v>212</v>
      </c>
      <c r="C83" s="3" t="s">
        <v>17</v>
      </c>
      <c r="D83" s="9">
        <v>78.8</v>
      </c>
      <c r="E83" s="3" t="s">
        <v>18</v>
      </c>
      <c r="F83" s="9">
        <v>36.5</v>
      </c>
      <c r="G83" s="10" t="s">
        <v>19</v>
      </c>
      <c r="H83" s="9">
        <v>0</v>
      </c>
      <c r="I83" s="9"/>
      <c r="J83" s="9"/>
      <c r="K83" s="10" t="s">
        <v>19</v>
      </c>
      <c r="L83" s="9">
        <v>0</v>
      </c>
      <c r="M83" s="9"/>
      <c r="N83" s="9"/>
      <c r="O83" s="8" t="s">
        <v>20</v>
      </c>
      <c r="P83" s="9">
        <v>115.3</v>
      </c>
      <c r="Q83" s="3" t="s">
        <v>210</v>
      </c>
      <c r="R83" s="9">
        <v>19.3</v>
      </c>
      <c r="S83" s="8" t="s">
        <v>20</v>
      </c>
      <c r="T83" s="9">
        <v>30</v>
      </c>
      <c r="U83" s="10" t="s">
        <v>19</v>
      </c>
    </row>
    <row r="84" spans="1:21" ht="115.2" x14ac:dyDescent="0.25">
      <c r="A84" s="17" t="s">
        <v>213</v>
      </c>
      <c r="B84" s="22" t="s">
        <v>134</v>
      </c>
      <c r="C84" s="127" t="s">
        <v>17</v>
      </c>
      <c r="D84" s="121">
        <v>26.2</v>
      </c>
      <c r="E84" s="17" t="s">
        <v>19</v>
      </c>
      <c r="F84" s="121">
        <v>0</v>
      </c>
      <c r="G84" s="127" t="s">
        <v>18</v>
      </c>
      <c r="H84" s="121">
        <v>4.8</v>
      </c>
      <c r="I84" s="121"/>
      <c r="J84" s="121"/>
      <c r="K84" s="127" t="s">
        <v>18</v>
      </c>
      <c r="L84" s="121">
        <v>9.1</v>
      </c>
      <c r="M84" s="121"/>
      <c r="N84" s="121"/>
      <c r="O84" s="22" t="s">
        <v>20</v>
      </c>
      <c r="P84" s="121">
        <v>40.1</v>
      </c>
      <c r="Q84" s="22" t="s">
        <v>178</v>
      </c>
      <c r="R84" s="121">
        <v>6.5</v>
      </c>
      <c r="S84" s="22" t="s">
        <v>20</v>
      </c>
      <c r="T84" s="121">
        <v>8.6</v>
      </c>
      <c r="U84" s="17" t="s">
        <v>19</v>
      </c>
    </row>
    <row r="85" spans="1:21" ht="86.4" x14ac:dyDescent="0.25">
      <c r="A85" s="17" t="s">
        <v>214</v>
      </c>
      <c r="B85" s="17" t="s">
        <v>32</v>
      </c>
      <c r="C85" s="127" t="s">
        <v>94</v>
      </c>
      <c r="D85" s="121">
        <v>18</v>
      </c>
      <c r="E85" s="17" t="s">
        <v>19</v>
      </c>
      <c r="F85" s="121">
        <v>0</v>
      </c>
      <c r="G85" s="127" t="s">
        <v>74</v>
      </c>
      <c r="H85" s="121">
        <v>73.900000000000006</v>
      </c>
      <c r="I85" s="121"/>
      <c r="J85" s="121"/>
      <c r="K85" s="127" t="s">
        <v>74</v>
      </c>
      <c r="L85" s="122">
        <v>36.4</v>
      </c>
      <c r="M85" s="122"/>
      <c r="N85" s="122"/>
      <c r="O85" s="22" t="s">
        <v>20</v>
      </c>
      <c r="P85" s="122">
        <v>128.30000000000001</v>
      </c>
      <c r="Q85" s="127" t="s">
        <v>21</v>
      </c>
      <c r="R85" s="121">
        <v>25.1</v>
      </c>
      <c r="S85" s="22" t="s">
        <v>20</v>
      </c>
      <c r="T85" s="121">
        <v>28</v>
      </c>
      <c r="U85" s="17" t="s">
        <v>19</v>
      </c>
    </row>
  </sheetData>
  <mergeCells count="15">
    <mergeCell ref="A1:U1"/>
    <mergeCell ref="A2:A4"/>
    <mergeCell ref="B2:B4"/>
    <mergeCell ref="C2:L2"/>
    <mergeCell ref="Q2:R2"/>
    <mergeCell ref="S2:T2"/>
    <mergeCell ref="C3:D3"/>
    <mergeCell ref="E3:F3"/>
    <mergeCell ref="G3:H3"/>
    <mergeCell ref="M3:N3"/>
    <mergeCell ref="O3:P3"/>
    <mergeCell ref="Q3:Q4"/>
    <mergeCell ref="R3:R4"/>
    <mergeCell ref="S3:S4"/>
    <mergeCell ref="T3:T4"/>
  </mergeCell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7" tint="0.79998168889431442"/>
  </sheetPr>
  <dimension ref="A1:U61"/>
  <sheetViews>
    <sheetView topLeftCell="A59" zoomScale="55" zoomScaleNormal="55" workbookViewId="0">
      <selection activeCell="A29" sqref="A29:U39"/>
    </sheetView>
  </sheetViews>
  <sheetFormatPr defaultRowHeight="13.2" x14ac:dyDescent="0.25"/>
  <cols>
    <col min="1" max="1" width="6.44140625" customWidth="1"/>
    <col min="2" max="2" width="23.33203125" customWidth="1"/>
    <col min="3" max="3" width="42.109375" customWidth="1"/>
    <col min="4" max="4" width="13.109375" customWidth="1"/>
    <col min="5" max="5" width="26.109375" customWidth="1"/>
    <col min="6" max="6" width="13.109375" customWidth="1"/>
    <col min="7" max="7" width="50.44140625" customWidth="1"/>
    <col min="8" max="8" width="13.109375" customWidth="1"/>
    <col min="9" max="9" width="26.109375" customWidth="1"/>
    <col min="10" max="10" width="13.109375" customWidth="1"/>
    <col min="11" max="11" width="48.44140625" customWidth="1"/>
    <col min="12" max="12" width="13.109375" customWidth="1"/>
    <col min="13" max="13" width="30.44140625" customWidth="1"/>
    <col min="14" max="14" width="13.109375" customWidth="1"/>
    <col min="15" max="15" width="19.77734375" customWidth="1"/>
    <col min="16" max="16" width="12.77734375" customWidth="1"/>
    <col min="17" max="17" width="24" customWidth="1"/>
    <col min="18" max="18" width="12.109375" customWidth="1"/>
    <col min="19" max="19" width="16.109375" customWidth="1"/>
    <col min="20" max="20" width="12.77734375" customWidth="1"/>
    <col min="21" max="21" width="26.6640625" customWidth="1"/>
  </cols>
  <sheetData>
    <row r="1" spans="1:21" x14ac:dyDescent="0.25">
      <c r="A1" s="244" t="s">
        <v>359</v>
      </c>
      <c r="B1" s="234"/>
      <c r="C1" s="234"/>
      <c r="D1" s="234"/>
      <c r="E1" s="234"/>
      <c r="F1" s="234"/>
      <c r="G1" s="234"/>
      <c r="H1" s="234"/>
      <c r="I1" s="234"/>
      <c r="J1" s="234"/>
      <c r="K1" s="234"/>
      <c r="L1" s="234"/>
      <c r="M1" s="234"/>
      <c r="N1" s="234"/>
      <c r="O1" s="234"/>
      <c r="P1" s="234"/>
      <c r="Q1" s="234"/>
      <c r="R1" s="234"/>
      <c r="S1" s="234"/>
      <c r="T1" s="234"/>
      <c r="U1" s="234"/>
    </row>
    <row r="2" spans="1:21" ht="17.399999999999999" x14ac:dyDescent="0.25">
      <c r="A2" s="233" t="s">
        <v>1</v>
      </c>
      <c r="B2" s="232" t="s">
        <v>2</v>
      </c>
      <c r="C2" s="234" t="s">
        <v>3</v>
      </c>
      <c r="D2" s="234"/>
      <c r="E2" s="234"/>
      <c r="F2" s="234"/>
      <c r="G2" s="234"/>
      <c r="H2" s="234"/>
      <c r="I2" s="234"/>
      <c r="J2" s="234"/>
      <c r="K2" s="234"/>
      <c r="L2" s="234"/>
      <c r="M2" s="133"/>
      <c r="N2" s="133"/>
      <c r="O2" s="133"/>
      <c r="P2" s="133"/>
      <c r="Q2" s="232" t="s">
        <v>4</v>
      </c>
      <c r="R2" s="232"/>
      <c r="S2" s="235" t="s">
        <v>5</v>
      </c>
      <c r="T2" s="235"/>
      <c r="U2" s="134" t="s">
        <v>6</v>
      </c>
    </row>
    <row r="3" spans="1:21" ht="17.399999999999999" x14ac:dyDescent="0.25">
      <c r="A3" s="233"/>
      <c r="B3" s="232"/>
      <c r="C3" s="235" t="s">
        <v>7</v>
      </c>
      <c r="D3" s="235"/>
      <c r="E3" s="238" t="s">
        <v>8</v>
      </c>
      <c r="F3" s="238"/>
      <c r="G3" s="239" t="s">
        <v>9</v>
      </c>
      <c r="H3" s="239"/>
      <c r="I3" s="135" t="s">
        <v>63</v>
      </c>
      <c r="J3" s="135"/>
      <c r="K3" s="135" t="s">
        <v>64</v>
      </c>
      <c r="L3" s="135"/>
      <c r="M3" s="243" t="s">
        <v>358</v>
      </c>
      <c r="N3" s="239"/>
      <c r="O3" s="240" t="s">
        <v>11</v>
      </c>
      <c r="P3" s="240"/>
      <c r="Q3" s="232" t="s">
        <v>12</v>
      </c>
      <c r="R3" s="233" t="s">
        <v>13</v>
      </c>
      <c r="S3" s="232" t="s">
        <v>12</v>
      </c>
      <c r="T3" s="237" t="s">
        <v>14</v>
      </c>
      <c r="U3" s="134"/>
    </row>
    <row r="4" spans="1:21" ht="34.799999999999997" x14ac:dyDescent="0.25">
      <c r="A4" s="233"/>
      <c r="B4" s="232"/>
      <c r="C4" s="96" t="s">
        <v>12</v>
      </c>
      <c r="D4" s="132" t="s">
        <v>13</v>
      </c>
      <c r="E4" s="96" t="s">
        <v>12</v>
      </c>
      <c r="F4" s="132" t="s">
        <v>13</v>
      </c>
      <c r="G4" s="96" t="s">
        <v>12</v>
      </c>
      <c r="H4" s="132" t="s">
        <v>13</v>
      </c>
      <c r="I4" s="96" t="s">
        <v>12</v>
      </c>
      <c r="J4" s="132" t="s">
        <v>13</v>
      </c>
      <c r="K4" s="96" t="s">
        <v>12</v>
      </c>
      <c r="L4" s="132" t="s">
        <v>13</v>
      </c>
      <c r="M4" s="96" t="s">
        <v>12</v>
      </c>
      <c r="N4" s="132" t="s">
        <v>13</v>
      </c>
      <c r="O4" s="98" t="s">
        <v>12</v>
      </c>
      <c r="P4" s="132" t="s">
        <v>13</v>
      </c>
      <c r="Q4" s="232"/>
      <c r="R4" s="233"/>
      <c r="S4" s="232"/>
      <c r="T4" s="237"/>
      <c r="U4" s="134"/>
    </row>
    <row r="5" spans="1:21" ht="129.6" x14ac:dyDescent="0.25">
      <c r="A5" s="99" t="s">
        <v>75</v>
      </c>
      <c r="B5" s="132" t="s">
        <v>76</v>
      </c>
      <c r="C5" s="132" t="s">
        <v>67</v>
      </c>
      <c r="D5" s="101">
        <v>38.1</v>
      </c>
      <c r="E5" s="101"/>
      <c r="F5" s="101"/>
      <c r="G5" s="132" t="s">
        <v>71</v>
      </c>
      <c r="H5" s="101">
        <v>45.7</v>
      </c>
      <c r="I5" s="101"/>
      <c r="J5" s="101"/>
      <c r="K5" s="102" t="s">
        <v>19</v>
      </c>
      <c r="L5" s="101">
        <v>0</v>
      </c>
      <c r="M5" s="101"/>
      <c r="N5" s="101"/>
      <c r="O5" s="100" t="s">
        <v>20</v>
      </c>
      <c r="P5" s="101">
        <v>83.8</v>
      </c>
      <c r="Q5" s="132" t="s">
        <v>21</v>
      </c>
      <c r="R5" s="101">
        <v>43.1</v>
      </c>
      <c r="S5" s="100" t="s">
        <v>20</v>
      </c>
      <c r="T5" s="101">
        <v>22.2</v>
      </c>
      <c r="U5" s="132" t="s">
        <v>68</v>
      </c>
    </row>
    <row r="6" spans="1:21" ht="86.4" x14ac:dyDescent="0.25">
      <c r="A6" s="99" t="s">
        <v>217</v>
      </c>
      <c r="B6" s="100" t="s">
        <v>218</v>
      </c>
      <c r="C6" s="132" t="s">
        <v>67</v>
      </c>
      <c r="D6" s="101">
        <v>52.2</v>
      </c>
      <c r="E6" s="101"/>
      <c r="F6" s="101"/>
      <c r="G6" s="132" t="s">
        <v>71</v>
      </c>
      <c r="H6" s="101">
        <v>47.9</v>
      </c>
      <c r="I6" s="101"/>
      <c r="J6" s="101"/>
      <c r="K6" s="132" t="s">
        <v>71</v>
      </c>
      <c r="L6" s="101">
        <v>13.8</v>
      </c>
      <c r="M6" s="101"/>
      <c r="N6" s="101"/>
      <c r="O6" s="100" t="s">
        <v>20</v>
      </c>
      <c r="P6" s="101">
        <v>114</v>
      </c>
      <c r="Q6" s="110" t="s">
        <v>30</v>
      </c>
      <c r="R6" s="101">
        <v>63.7</v>
      </c>
      <c r="S6" s="100" t="s">
        <v>20</v>
      </c>
      <c r="T6" s="101">
        <v>34.1</v>
      </c>
      <c r="U6" s="132" t="s">
        <v>68</v>
      </c>
    </row>
    <row r="7" spans="1:21" ht="86.4" x14ac:dyDescent="0.25">
      <c r="A7" s="99" t="s">
        <v>221</v>
      </c>
      <c r="B7" s="132" t="s">
        <v>222</v>
      </c>
      <c r="C7" s="132" t="s">
        <v>67</v>
      </c>
      <c r="D7" s="101">
        <v>47.5</v>
      </c>
      <c r="E7" s="101"/>
      <c r="F7" s="101"/>
      <c r="G7" s="132" t="s">
        <v>71</v>
      </c>
      <c r="H7" s="101">
        <v>68.599999999999994</v>
      </c>
      <c r="I7" s="101"/>
      <c r="J7" s="101"/>
      <c r="K7" s="132" t="s">
        <v>71</v>
      </c>
      <c r="L7" s="101">
        <v>16.7</v>
      </c>
      <c r="M7" s="101"/>
      <c r="N7" s="101"/>
      <c r="O7" s="100" t="s">
        <v>20</v>
      </c>
      <c r="P7" s="101">
        <v>132.80000000000001</v>
      </c>
      <c r="Q7" s="110" t="s">
        <v>30</v>
      </c>
      <c r="R7" s="101">
        <v>90.2</v>
      </c>
      <c r="S7" s="100" t="s">
        <v>20</v>
      </c>
      <c r="T7" s="101">
        <v>40.299999999999997</v>
      </c>
      <c r="U7" s="132" t="s">
        <v>68</v>
      </c>
    </row>
    <row r="8" spans="1:21" ht="86.4" x14ac:dyDescent="0.25">
      <c r="A8" s="102" t="s">
        <v>225</v>
      </c>
      <c r="B8" s="100" t="s">
        <v>226</v>
      </c>
      <c r="C8" s="132" t="s">
        <v>67</v>
      </c>
      <c r="D8" s="101">
        <v>22.2</v>
      </c>
      <c r="E8" s="101"/>
      <c r="F8" s="101"/>
      <c r="G8" s="132" t="s">
        <v>71</v>
      </c>
      <c r="H8" s="111">
        <v>54.5</v>
      </c>
      <c r="I8" s="111"/>
      <c r="J8" s="111"/>
      <c r="K8" s="132" t="s">
        <v>71</v>
      </c>
      <c r="L8" s="101">
        <v>19.5</v>
      </c>
      <c r="M8" s="101"/>
      <c r="N8" s="101"/>
      <c r="O8" s="100" t="s">
        <v>20</v>
      </c>
      <c r="P8" s="101">
        <v>96.2</v>
      </c>
      <c r="Q8" s="100" t="s">
        <v>30</v>
      </c>
      <c r="R8" s="101">
        <v>39.799999999999997</v>
      </c>
      <c r="S8" s="100" t="s">
        <v>20</v>
      </c>
      <c r="T8" s="101">
        <v>26.9</v>
      </c>
      <c r="U8" s="132" t="s">
        <v>68</v>
      </c>
    </row>
    <row r="9" spans="1:21" ht="86.4" x14ac:dyDescent="0.25">
      <c r="A9" s="102" t="s">
        <v>229</v>
      </c>
      <c r="B9" s="100" t="s">
        <v>218</v>
      </c>
      <c r="C9" s="132" t="s">
        <v>67</v>
      </c>
      <c r="D9" s="101">
        <v>87.3</v>
      </c>
      <c r="E9" s="101"/>
      <c r="F9" s="101"/>
      <c r="G9" s="132" t="s">
        <v>71</v>
      </c>
      <c r="H9" s="101">
        <v>11.4</v>
      </c>
      <c r="I9" s="101"/>
      <c r="J9" s="101"/>
      <c r="K9" s="132" t="s">
        <v>71</v>
      </c>
      <c r="L9" s="101">
        <v>13.2</v>
      </c>
      <c r="M9" s="101"/>
      <c r="N9" s="101"/>
      <c r="O9" s="100" t="s">
        <v>20</v>
      </c>
      <c r="P9" s="111">
        <v>111.9</v>
      </c>
      <c r="Q9" s="100" t="s">
        <v>30</v>
      </c>
      <c r="R9" s="111">
        <v>64</v>
      </c>
      <c r="S9" s="100" t="s">
        <v>20</v>
      </c>
      <c r="T9" s="101">
        <v>32.6</v>
      </c>
      <c r="U9" s="132" t="s">
        <v>68</v>
      </c>
    </row>
    <row r="10" spans="1:21" ht="86.4" x14ac:dyDescent="0.25">
      <c r="A10" s="102" t="s">
        <v>232</v>
      </c>
      <c r="B10" s="132" t="s">
        <v>233</v>
      </c>
      <c r="C10" s="132" t="s">
        <v>67</v>
      </c>
      <c r="D10" s="101">
        <v>56.5</v>
      </c>
      <c r="E10" s="101"/>
      <c r="F10" s="101"/>
      <c r="G10" s="132" t="s">
        <v>71</v>
      </c>
      <c r="H10" s="101">
        <v>35.6</v>
      </c>
      <c r="I10" s="101"/>
      <c r="J10" s="101"/>
      <c r="K10" s="132" t="s">
        <v>71</v>
      </c>
      <c r="L10" s="101">
        <v>17.899999999999999</v>
      </c>
      <c r="M10" s="101"/>
      <c r="N10" s="101"/>
      <c r="O10" s="100" t="s">
        <v>20</v>
      </c>
      <c r="P10" s="111">
        <v>110</v>
      </c>
      <c r="Q10" s="132" t="s">
        <v>21</v>
      </c>
      <c r="R10" s="111">
        <v>65.400000000000006</v>
      </c>
      <c r="S10" s="100" t="s">
        <v>20</v>
      </c>
      <c r="T10" s="101">
        <v>33.1</v>
      </c>
      <c r="U10" s="132" t="s">
        <v>68</v>
      </c>
    </row>
    <row r="11" spans="1:21" ht="86.4" x14ac:dyDescent="0.25">
      <c r="A11" s="102" t="s">
        <v>235</v>
      </c>
      <c r="B11" s="132" t="s">
        <v>233</v>
      </c>
      <c r="C11" s="132" t="s">
        <v>67</v>
      </c>
      <c r="D11" s="101">
        <v>58.7</v>
      </c>
      <c r="E11" s="101"/>
      <c r="F11" s="101"/>
      <c r="G11" s="132" t="s">
        <v>71</v>
      </c>
      <c r="H11" s="101">
        <v>36.700000000000003</v>
      </c>
      <c r="I11" s="101"/>
      <c r="J11" s="101"/>
      <c r="K11" s="132" t="s">
        <v>71</v>
      </c>
      <c r="L11" s="101">
        <v>12.3</v>
      </c>
      <c r="M11" s="101"/>
      <c r="N11" s="101"/>
      <c r="O11" s="100" t="s">
        <v>20</v>
      </c>
      <c r="P11" s="111">
        <v>107.7</v>
      </c>
      <c r="Q11" s="132" t="s">
        <v>21</v>
      </c>
      <c r="R11" s="101">
        <v>64.099999999999994</v>
      </c>
      <c r="S11" s="100" t="s">
        <v>20</v>
      </c>
      <c r="T11" s="101">
        <v>32.6</v>
      </c>
      <c r="U11" s="132" t="s">
        <v>68</v>
      </c>
    </row>
    <row r="12" spans="1:21" ht="86.4" x14ac:dyDescent="0.25">
      <c r="A12" s="102" t="s">
        <v>238</v>
      </c>
      <c r="B12" s="100" t="s">
        <v>218</v>
      </c>
      <c r="C12" s="132" t="s">
        <v>67</v>
      </c>
      <c r="D12" s="101">
        <v>91</v>
      </c>
      <c r="E12" s="101"/>
      <c r="F12" s="101"/>
      <c r="G12" s="132" t="s">
        <v>71</v>
      </c>
      <c r="H12" s="101">
        <v>17.3</v>
      </c>
      <c r="I12" s="101"/>
      <c r="J12" s="101"/>
      <c r="K12" s="102" t="s">
        <v>19</v>
      </c>
      <c r="L12" s="101">
        <v>0</v>
      </c>
      <c r="M12" s="101"/>
      <c r="N12" s="101"/>
      <c r="O12" s="100" t="s">
        <v>20</v>
      </c>
      <c r="P12" s="111">
        <v>108.3</v>
      </c>
      <c r="Q12" s="100" t="s">
        <v>30</v>
      </c>
      <c r="R12" s="111">
        <v>64.3</v>
      </c>
      <c r="S12" s="100" t="s">
        <v>20</v>
      </c>
      <c r="T12" s="101">
        <v>33.299999999999997</v>
      </c>
      <c r="U12" s="132" t="s">
        <v>68</v>
      </c>
    </row>
    <row r="13" spans="1:21" ht="86.4" x14ac:dyDescent="0.25">
      <c r="A13" s="102" t="s">
        <v>241</v>
      </c>
      <c r="B13" s="102" t="s">
        <v>32</v>
      </c>
      <c r="C13" s="132" t="s">
        <v>67</v>
      </c>
      <c r="D13" s="101">
        <v>51.5</v>
      </c>
      <c r="E13" s="101"/>
      <c r="F13" s="101"/>
      <c r="G13" s="132" t="s">
        <v>71</v>
      </c>
      <c r="H13" s="101">
        <v>81.400000000000006</v>
      </c>
      <c r="I13" s="101"/>
      <c r="J13" s="101"/>
      <c r="K13" s="132" t="s">
        <v>71</v>
      </c>
      <c r="L13" s="111">
        <v>43.6</v>
      </c>
      <c r="M13" s="111"/>
      <c r="N13" s="111"/>
      <c r="O13" s="100" t="s">
        <v>20</v>
      </c>
      <c r="P13" s="111">
        <v>176.5</v>
      </c>
      <c r="Q13" s="132" t="s">
        <v>21</v>
      </c>
      <c r="R13" s="101">
        <v>91.5</v>
      </c>
      <c r="S13" s="100" t="s">
        <v>20</v>
      </c>
      <c r="T13" s="101">
        <v>41.9</v>
      </c>
      <c r="U13" s="132" t="s">
        <v>68</v>
      </c>
    </row>
    <row r="14" spans="1:21" ht="86.4" x14ac:dyDescent="0.25">
      <c r="A14" s="102" t="s">
        <v>244</v>
      </c>
      <c r="B14" s="100" t="s">
        <v>102</v>
      </c>
      <c r="C14" s="102" t="s">
        <v>19</v>
      </c>
      <c r="D14" s="101">
        <v>0</v>
      </c>
      <c r="E14" s="101"/>
      <c r="F14" s="101"/>
      <c r="G14" s="102" t="s">
        <v>19</v>
      </c>
      <c r="H14" s="101">
        <v>0</v>
      </c>
      <c r="I14" s="101"/>
      <c r="J14" s="101"/>
      <c r="K14" s="132" t="s">
        <v>74</v>
      </c>
      <c r="L14" s="101">
        <v>36.299999999999997</v>
      </c>
      <c r="M14" s="101"/>
      <c r="N14" s="101"/>
      <c r="O14" s="100" t="s">
        <v>20</v>
      </c>
      <c r="P14" s="101">
        <v>36.299999999999997</v>
      </c>
      <c r="Q14" s="132" t="s">
        <v>21</v>
      </c>
      <c r="R14" s="101">
        <v>5.0999999999999996</v>
      </c>
      <c r="S14" s="100" t="s">
        <v>20</v>
      </c>
      <c r="T14" s="101">
        <v>8.9</v>
      </c>
      <c r="U14" s="132" t="s">
        <v>68</v>
      </c>
    </row>
    <row r="15" spans="1:21" ht="86.4" x14ac:dyDescent="0.25">
      <c r="A15" s="99" t="s">
        <v>215</v>
      </c>
      <c r="B15" s="100" t="s">
        <v>216</v>
      </c>
      <c r="C15" s="132" t="s">
        <v>67</v>
      </c>
      <c r="D15" s="101">
        <v>16</v>
      </c>
      <c r="E15" s="101"/>
      <c r="F15" s="101"/>
      <c r="G15" s="102" t="s">
        <v>19</v>
      </c>
      <c r="H15" s="101">
        <v>0</v>
      </c>
      <c r="I15" s="101"/>
      <c r="J15" s="101"/>
      <c r="K15" s="132" t="s">
        <v>71</v>
      </c>
      <c r="L15" s="101">
        <v>37.5</v>
      </c>
      <c r="M15" s="101"/>
      <c r="N15" s="101"/>
      <c r="O15" s="100" t="s">
        <v>20</v>
      </c>
      <c r="P15" s="111">
        <v>53.5</v>
      </c>
      <c r="Q15" s="132" t="s">
        <v>21</v>
      </c>
      <c r="R15" s="101">
        <v>13.1</v>
      </c>
      <c r="S15" s="100" t="s">
        <v>20</v>
      </c>
      <c r="T15" s="111">
        <v>13.5</v>
      </c>
      <c r="U15" s="132" t="s">
        <v>68</v>
      </c>
    </row>
    <row r="16" spans="1:21" ht="86.4" x14ac:dyDescent="0.25">
      <c r="A16" s="99" t="s">
        <v>219</v>
      </c>
      <c r="B16" s="100" t="s">
        <v>220</v>
      </c>
      <c r="C16" s="132" t="s">
        <v>67</v>
      </c>
      <c r="D16" s="101">
        <v>16.3</v>
      </c>
      <c r="E16" s="101"/>
      <c r="F16" s="101"/>
      <c r="G16" s="132" t="s">
        <v>71</v>
      </c>
      <c r="H16" s="101">
        <v>8</v>
      </c>
      <c r="I16" s="101"/>
      <c r="J16" s="101"/>
      <c r="K16" s="132" t="s">
        <v>71</v>
      </c>
      <c r="L16" s="111">
        <v>54.6</v>
      </c>
      <c r="M16" s="111"/>
      <c r="N16" s="111"/>
      <c r="O16" s="100" t="s">
        <v>20</v>
      </c>
      <c r="P16" s="111">
        <v>78.900000000000006</v>
      </c>
      <c r="Q16" s="132" t="s">
        <v>21</v>
      </c>
      <c r="R16" s="101">
        <v>27</v>
      </c>
      <c r="S16" s="100" t="s">
        <v>20</v>
      </c>
      <c r="T16" s="101">
        <v>21.1</v>
      </c>
      <c r="U16" s="132" t="s">
        <v>68</v>
      </c>
    </row>
    <row r="17" spans="1:21" ht="86.4" x14ac:dyDescent="0.25">
      <c r="A17" s="102" t="s">
        <v>223</v>
      </c>
      <c r="B17" s="100" t="s">
        <v>224</v>
      </c>
      <c r="C17" s="132" t="s">
        <v>94</v>
      </c>
      <c r="D17" s="101">
        <v>1.7</v>
      </c>
      <c r="E17" s="101"/>
      <c r="F17" s="101"/>
      <c r="G17" s="132" t="s">
        <v>74</v>
      </c>
      <c r="H17" s="101">
        <v>10.5</v>
      </c>
      <c r="I17" s="101"/>
      <c r="J17" s="101"/>
      <c r="K17" s="132" t="s">
        <v>74</v>
      </c>
      <c r="L17" s="101">
        <v>41.4</v>
      </c>
      <c r="M17" s="101"/>
      <c r="N17" s="101"/>
      <c r="O17" s="100" t="s">
        <v>20</v>
      </c>
      <c r="P17" s="111">
        <v>53.6</v>
      </c>
      <c r="Q17" s="132" t="s">
        <v>21</v>
      </c>
      <c r="R17" s="101">
        <v>12.7</v>
      </c>
      <c r="S17" s="100" t="s">
        <v>20</v>
      </c>
      <c r="T17" s="111">
        <v>13.4</v>
      </c>
      <c r="U17" s="132" t="s">
        <v>68</v>
      </c>
    </row>
    <row r="18" spans="1:21" ht="86.4" x14ac:dyDescent="0.25">
      <c r="A18" s="102" t="s">
        <v>227</v>
      </c>
      <c r="B18" s="100" t="s">
        <v>228</v>
      </c>
      <c r="C18" s="132" t="s">
        <v>94</v>
      </c>
      <c r="D18" s="101">
        <v>5.5</v>
      </c>
      <c r="E18" s="101"/>
      <c r="F18" s="101"/>
      <c r="G18" s="102" t="s">
        <v>19</v>
      </c>
      <c r="H18" s="101">
        <v>0</v>
      </c>
      <c r="I18" s="101"/>
      <c r="J18" s="101"/>
      <c r="K18" s="132" t="s">
        <v>74</v>
      </c>
      <c r="L18" s="101">
        <v>33.299999999999997</v>
      </c>
      <c r="M18" s="101"/>
      <c r="N18" s="101"/>
      <c r="O18" s="100" t="s">
        <v>20</v>
      </c>
      <c r="P18" s="111">
        <v>38.799999999999997</v>
      </c>
      <c r="Q18" s="132" t="s">
        <v>21</v>
      </c>
      <c r="R18" s="101">
        <v>8.5</v>
      </c>
      <c r="S18" s="100" t="s">
        <v>20</v>
      </c>
      <c r="T18" s="101">
        <v>11.6</v>
      </c>
      <c r="U18" s="132" t="s">
        <v>68</v>
      </c>
    </row>
    <row r="19" spans="1:21" ht="86.4" x14ac:dyDescent="0.25">
      <c r="A19" s="102" t="s">
        <v>230</v>
      </c>
      <c r="B19" s="100" t="s">
        <v>231</v>
      </c>
      <c r="C19" s="132" t="s">
        <v>67</v>
      </c>
      <c r="D19" s="101">
        <v>16.8</v>
      </c>
      <c r="E19" s="101"/>
      <c r="F19" s="101"/>
      <c r="G19" s="132" t="s">
        <v>71</v>
      </c>
      <c r="H19" s="101">
        <v>10.3</v>
      </c>
      <c r="I19" s="101"/>
      <c r="J19" s="101"/>
      <c r="K19" s="132" t="s">
        <v>71</v>
      </c>
      <c r="L19" s="101">
        <v>55.5</v>
      </c>
      <c r="M19" s="101"/>
      <c r="N19" s="101"/>
      <c r="O19" s="100" t="s">
        <v>20</v>
      </c>
      <c r="P19" s="111">
        <v>82.6</v>
      </c>
      <c r="Q19" s="132" t="s">
        <v>21</v>
      </c>
      <c r="R19" s="101">
        <v>28</v>
      </c>
      <c r="S19" s="100" t="s">
        <v>20</v>
      </c>
      <c r="T19" s="111">
        <v>21.6</v>
      </c>
      <c r="U19" s="132" t="s">
        <v>68</v>
      </c>
    </row>
    <row r="20" spans="1:21" ht="86.4" x14ac:dyDescent="0.25">
      <c r="A20" s="102" t="s">
        <v>234</v>
      </c>
      <c r="B20" s="100" t="s">
        <v>100</v>
      </c>
      <c r="C20" s="132" t="s">
        <v>94</v>
      </c>
      <c r="D20" s="101">
        <v>7.8</v>
      </c>
      <c r="E20" s="101"/>
      <c r="F20" s="101"/>
      <c r="G20" s="102" t="s">
        <v>19</v>
      </c>
      <c r="H20" s="101">
        <v>0</v>
      </c>
      <c r="I20" s="101"/>
      <c r="J20" s="101"/>
      <c r="K20" s="132" t="s">
        <v>74</v>
      </c>
      <c r="L20" s="101">
        <v>33.1</v>
      </c>
      <c r="M20" s="101"/>
      <c r="N20" s="101"/>
      <c r="O20" s="100" t="s">
        <v>20</v>
      </c>
      <c r="P20" s="111">
        <v>40.799999999999997</v>
      </c>
      <c r="Q20" s="132" t="s">
        <v>21</v>
      </c>
      <c r="R20" s="101">
        <v>10.7</v>
      </c>
      <c r="S20" s="100" t="s">
        <v>20</v>
      </c>
      <c r="T20" s="111">
        <v>12</v>
      </c>
      <c r="U20" s="132" t="s">
        <v>68</v>
      </c>
    </row>
    <row r="21" spans="1:21" ht="86.4" x14ac:dyDescent="0.25">
      <c r="A21" s="102" t="s">
        <v>236</v>
      </c>
      <c r="B21" s="100" t="s">
        <v>237</v>
      </c>
      <c r="C21" s="132" t="s">
        <v>94</v>
      </c>
      <c r="D21" s="101">
        <v>4.5</v>
      </c>
      <c r="E21" s="101"/>
      <c r="F21" s="101"/>
      <c r="G21" s="132" t="s">
        <v>74</v>
      </c>
      <c r="H21" s="101">
        <v>10.8</v>
      </c>
      <c r="I21" s="101"/>
      <c r="J21" s="101"/>
      <c r="K21" s="132" t="s">
        <v>74</v>
      </c>
      <c r="L21" s="101">
        <v>37.5</v>
      </c>
      <c r="M21" s="101"/>
      <c r="N21" s="101"/>
      <c r="O21" s="100" t="s">
        <v>20</v>
      </c>
      <c r="P21" s="111">
        <v>52.9</v>
      </c>
      <c r="Q21" s="132" t="s">
        <v>21</v>
      </c>
      <c r="R21" s="101">
        <v>11.3</v>
      </c>
      <c r="S21" s="100" t="s">
        <v>20</v>
      </c>
      <c r="T21" s="111">
        <v>13</v>
      </c>
      <c r="U21" s="132" t="s">
        <v>68</v>
      </c>
    </row>
    <row r="22" spans="1:21" ht="86.4" x14ac:dyDescent="0.25">
      <c r="A22" s="102" t="s">
        <v>239</v>
      </c>
      <c r="B22" s="100" t="s">
        <v>240</v>
      </c>
      <c r="C22" s="132" t="s">
        <v>67</v>
      </c>
      <c r="D22" s="101">
        <v>22</v>
      </c>
      <c r="E22" s="101"/>
      <c r="F22" s="101"/>
      <c r="G22" s="132" t="s">
        <v>71</v>
      </c>
      <c r="H22" s="101">
        <v>37</v>
      </c>
      <c r="I22" s="101"/>
      <c r="J22" s="101"/>
      <c r="K22" s="132" t="s">
        <v>71</v>
      </c>
      <c r="L22" s="111">
        <v>24.8</v>
      </c>
      <c r="M22" s="111"/>
      <c r="N22" s="111"/>
      <c r="O22" s="100" t="s">
        <v>20</v>
      </c>
      <c r="P22" s="111">
        <v>83.8</v>
      </c>
      <c r="Q22" s="132" t="s">
        <v>21</v>
      </c>
      <c r="R22" s="101">
        <v>31.5</v>
      </c>
      <c r="S22" s="100" t="s">
        <v>20</v>
      </c>
      <c r="T22" s="111">
        <v>23.6</v>
      </c>
      <c r="U22" s="132" t="s">
        <v>68</v>
      </c>
    </row>
    <row r="23" spans="1:21" ht="86.4" x14ac:dyDescent="0.25">
      <c r="A23" s="102" t="s">
        <v>242</v>
      </c>
      <c r="B23" s="100" t="s">
        <v>243</v>
      </c>
      <c r="C23" s="132" t="s">
        <v>67</v>
      </c>
      <c r="D23" s="111">
        <v>532.70000000000005</v>
      </c>
      <c r="E23" s="111"/>
      <c r="F23" s="111"/>
      <c r="G23" s="132" t="s">
        <v>71</v>
      </c>
      <c r="H23" s="101">
        <v>63.7</v>
      </c>
      <c r="I23" s="101"/>
      <c r="J23" s="101"/>
      <c r="K23" s="102" t="s">
        <v>19</v>
      </c>
      <c r="L23" s="101">
        <v>0</v>
      </c>
      <c r="M23" s="101"/>
      <c r="N23" s="101"/>
      <c r="O23" s="100" t="s">
        <v>20</v>
      </c>
      <c r="P23" s="111">
        <v>596.4</v>
      </c>
      <c r="Q23" s="102" t="s">
        <v>19</v>
      </c>
      <c r="R23" s="111">
        <v>703.2</v>
      </c>
      <c r="S23" s="100" t="s">
        <v>20</v>
      </c>
      <c r="T23" s="111">
        <v>81</v>
      </c>
      <c r="U23" s="132" t="s">
        <v>68</v>
      </c>
    </row>
    <row r="24" spans="1:21" ht="86.4" x14ac:dyDescent="0.25">
      <c r="A24" s="99" t="s">
        <v>245</v>
      </c>
      <c r="B24" s="100" t="s">
        <v>246</v>
      </c>
      <c r="C24" s="132" t="s">
        <v>67</v>
      </c>
      <c r="D24" s="101">
        <v>57.1</v>
      </c>
      <c r="E24" s="101"/>
      <c r="F24" s="101"/>
      <c r="G24" s="102" t="s">
        <v>19</v>
      </c>
      <c r="H24" s="101">
        <v>0</v>
      </c>
      <c r="I24" s="101"/>
      <c r="J24" s="101"/>
      <c r="K24" s="132" t="s">
        <v>71</v>
      </c>
      <c r="L24" s="101">
        <v>50.3</v>
      </c>
      <c r="M24" s="101"/>
      <c r="N24" s="101"/>
      <c r="O24" s="100" t="s">
        <v>20</v>
      </c>
      <c r="P24" s="101">
        <v>107.3</v>
      </c>
      <c r="Q24" s="132" t="s">
        <v>21</v>
      </c>
      <c r="R24" s="101">
        <v>23.7</v>
      </c>
      <c r="S24" s="100" t="s">
        <v>20</v>
      </c>
      <c r="T24" s="101">
        <v>25</v>
      </c>
      <c r="U24" s="132" t="s">
        <v>68</v>
      </c>
    </row>
    <row r="25" spans="1:21" ht="86.4" x14ac:dyDescent="0.25">
      <c r="A25" s="99" t="s">
        <v>248</v>
      </c>
      <c r="B25" s="132" t="s">
        <v>249</v>
      </c>
      <c r="C25" s="132" t="s">
        <v>67</v>
      </c>
      <c r="D25" s="101">
        <v>21.2</v>
      </c>
      <c r="E25" s="101"/>
      <c r="F25" s="101"/>
      <c r="G25" s="132" t="s">
        <v>71</v>
      </c>
      <c r="H25" s="101">
        <v>17.8</v>
      </c>
      <c r="I25" s="101"/>
      <c r="J25" s="101"/>
      <c r="K25" s="132" t="s">
        <v>71</v>
      </c>
      <c r="L25" s="101">
        <v>12.8</v>
      </c>
      <c r="M25" s="101"/>
      <c r="N25" s="101"/>
      <c r="O25" s="100" t="s">
        <v>20</v>
      </c>
      <c r="P25" s="101">
        <v>51.7</v>
      </c>
      <c r="Q25" s="110" t="s">
        <v>30</v>
      </c>
      <c r="R25" s="101">
        <v>14</v>
      </c>
      <c r="S25" s="100" t="s">
        <v>20</v>
      </c>
      <c r="T25" s="101">
        <v>14</v>
      </c>
      <c r="U25" s="132" t="s">
        <v>68</v>
      </c>
    </row>
    <row r="26" spans="1:21" ht="86.4" x14ac:dyDescent="0.25">
      <c r="A26" s="102" t="s">
        <v>251</v>
      </c>
      <c r="B26" s="100" t="s">
        <v>98</v>
      </c>
      <c r="C26" s="132" t="s">
        <v>94</v>
      </c>
      <c r="D26" s="101">
        <v>13.7</v>
      </c>
      <c r="E26" s="101"/>
      <c r="F26" s="101"/>
      <c r="G26" s="132" t="s">
        <v>74</v>
      </c>
      <c r="H26" s="101">
        <v>16.3</v>
      </c>
      <c r="I26" s="101"/>
      <c r="J26" s="101"/>
      <c r="K26" s="132" t="s">
        <v>74</v>
      </c>
      <c r="L26" s="101">
        <v>6.7</v>
      </c>
      <c r="M26" s="101"/>
      <c r="N26" s="101"/>
      <c r="O26" s="100" t="s">
        <v>20</v>
      </c>
      <c r="P26" s="101">
        <v>36.700000000000003</v>
      </c>
      <c r="Q26" s="132" t="s">
        <v>21</v>
      </c>
      <c r="R26" s="101">
        <v>5.4</v>
      </c>
      <c r="S26" s="100" t="s">
        <v>20</v>
      </c>
      <c r="T26" s="101">
        <v>8.9</v>
      </c>
      <c r="U26" s="132" t="s">
        <v>68</v>
      </c>
    </row>
    <row r="27" spans="1:21" ht="86.4" x14ac:dyDescent="0.25">
      <c r="A27" s="102" t="s">
        <v>255</v>
      </c>
      <c r="B27" s="100" t="s">
        <v>102</v>
      </c>
      <c r="C27" s="132" t="s">
        <v>94</v>
      </c>
      <c r="D27" s="101">
        <v>8.8000000000000007</v>
      </c>
      <c r="E27" s="101"/>
      <c r="F27" s="101"/>
      <c r="G27" s="132" t="s">
        <v>74</v>
      </c>
      <c r="H27" s="101">
        <v>15</v>
      </c>
      <c r="I27" s="101"/>
      <c r="J27" s="101"/>
      <c r="K27" s="132" t="s">
        <v>74</v>
      </c>
      <c r="L27" s="101">
        <v>27.8</v>
      </c>
      <c r="M27" s="101"/>
      <c r="N27" s="101"/>
      <c r="O27" s="100" t="s">
        <v>20</v>
      </c>
      <c r="P27" s="101">
        <v>51.6</v>
      </c>
      <c r="Q27" s="132" t="s">
        <v>21</v>
      </c>
      <c r="R27" s="101">
        <v>9.8000000000000007</v>
      </c>
      <c r="S27" s="100" t="s">
        <v>20</v>
      </c>
      <c r="T27" s="101">
        <v>12.7</v>
      </c>
      <c r="U27" s="132" t="s">
        <v>68</v>
      </c>
    </row>
    <row r="28" spans="1:21" ht="86.4" x14ac:dyDescent="0.25">
      <c r="A28" s="102" t="s">
        <v>257</v>
      </c>
      <c r="B28" s="100" t="s">
        <v>100</v>
      </c>
      <c r="C28" s="132" t="s">
        <v>94</v>
      </c>
      <c r="D28" s="111">
        <v>49.7</v>
      </c>
      <c r="E28" s="111"/>
      <c r="F28" s="111"/>
      <c r="G28" s="102" t="s">
        <v>19</v>
      </c>
      <c r="H28" s="101">
        <v>0</v>
      </c>
      <c r="I28" s="101"/>
      <c r="J28" s="101"/>
      <c r="K28" s="132" t="s">
        <v>74</v>
      </c>
      <c r="L28" s="101">
        <v>29.9</v>
      </c>
      <c r="M28" s="101"/>
      <c r="N28" s="101"/>
      <c r="O28" s="100" t="s">
        <v>20</v>
      </c>
      <c r="P28" s="101">
        <v>79.599999999999994</v>
      </c>
      <c r="Q28" s="132" t="s">
        <v>21</v>
      </c>
      <c r="R28" s="101">
        <v>15.8</v>
      </c>
      <c r="S28" s="100" t="s">
        <v>20</v>
      </c>
      <c r="T28" s="101">
        <v>20.3</v>
      </c>
      <c r="U28" s="132" t="s">
        <v>68</v>
      </c>
    </row>
    <row r="29" spans="1:21" ht="86.4" x14ac:dyDescent="0.25">
      <c r="A29" s="102" t="s">
        <v>259</v>
      </c>
      <c r="B29" s="100" t="s">
        <v>107</v>
      </c>
      <c r="C29" s="132" t="s">
        <v>94</v>
      </c>
      <c r="D29" s="111">
        <v>49.3</v>
      </c>
      <c r="E29" s="111"/>
      <c r="F29" s="111"/>
      <c r="G29" s="102" t="s">
        <v>19</v>
      </c>
      <c r="H29" s="101">
        <v>0</v>
      </c>
      <c r="I29" s="101"/>
      <c r="J29" s="101"/>
      <c r="K29" s="132" t="s">
        <v>74</v>
      </c>
      <c r="L29" s="101">
        <v>30</v>
      </c>
      <c r="M29" s="101"/>
      <c r="N29" s="101"/>
      <c r="O29" s="100" t="s">
        <v>20</v>
      </c>
      <c r="P29" s="101">
        <v>79.3</v>
      </c>
      <c r="Q29" s="132" t="s">
        <v>21</v>
      </c>
      <c r="R29" s="101">
        <v>15.8</v>
      </c>
      <c r="S29" s="100" t="s">
        <v>20</v>
      </c>
      <c r="T29" s="101">
        <v>20.2</v>
      </c>
      <c r="U29" s="132" t="s">
        <v>68</v>
      </c>
    </row>
    <row r="30" spans="1:21" ht="86.4" x14ac:dyDescent="0.25">
      <c r="A30" s="99" t="s">
        <v>261</v>
      </c>
      <c r="B30" s="100" t="s">
        <v>81</v>
      </c>
      <c r="C30" s="132" t="s">
        <v>94</v>
      </c>
      <c r="D30" s="101">
        <v>7.1</v>
      </c>
      <c r="E30" s="101"/>
      <c r="F30" s="101"/>
      <c r="G30" s="102" t="s">
        <v>19</v>
      </c>
      <c r="H30" s="101">
        <v>0</v>
      </c>
      <c r="I30" s="101"/>
      <c r="J30" s="101"/>
      <c r="K30" s="132" t="s">
        <v>74</v>
      </c>
      <c r="L30" s="101">
        <v>27.3</v>
      </c>
      <c r="M30" s="101"/>
      <c r="N30" s="101"/>
      <c r="O30" s="100" t="s">
        <v>20</v>
      </c>
      <c r="P30" s="101">
        <v>34.4</v>
      </c>
      <c r="Q30" s="132" t="s">
        <v>21</v>
      </c>
      <c r="R30" s="101">
        <v>5.4</v>
      </c>
      <c r="S30" s="100" t="s">
        <v>20</v>
      </c>
      <c r="T30" s="101">
        <v>8.1999999999999993</v>
      </c>
      <c r="U30" s="132" t="s">
        <v>68</v>
      </c>
    </row>
    <row r="31" spans="1:21" ht="86.4" x14ac:dyDescent="0.25">
      <c r="A31" s="99" t="s">
        <v>262</v>
      </c>
      <c r="B31" s="99" t="s">
        <v>32</v>
      </c>
      <c r="C31" s="132" t="s">
        <v>67</v>
      </c>
      <c r="D31" s="101">
        <v>16.3</v>
      </c>
      <c r="E31" s="113"/>
      <c r="F31" s="113"/>
      <c r="G31" s="132" t="s">
        <v>71</v>
      </c>
      <c r="H31" s="101">
        <v>30.6</v>
      </c>
      <c r="I31" s="113"/>
      <c r="J31" s="113"/>
      <c r="K31" s="99" t="s">
        <v>19</v>
      </c>
      <c r="L31" s="101">
        <v>0</v>
      </c>
      <c r="M31" s="113"/>
      <c r="N31" s="113"/>
      <c r="O31" s="110" t="s">
        <v>20</v>
      </c>
      <c r="P31" s="101">
        <v>46.9</v>
      </c>
      <c r="Q31" s="132" t="s">
        <v>21</v>
      </c>
      <c r="R31" s="101">
        <v>19.100000000000001</v>
      </c>
      <c r="S31" s="110" t="s">
        <v>20</v>
      </c>
      <c r="T31" s="101">
        <v>4.7</v>
      </c>
      <c r="U31" s="132" t="s">
        <v>68</v>
      </c>
    </row>
    <row r="32" spans="1:21" ht="86.4" x14ac:dyDescent="0.25">
      <c r="A32" s="102" t="s">
        <v>264</v>
      </c>
      <c r="B32" s="102" t="s">
        <v>265</v>
      </c>
      <c r="C32" s="132" t="s">
        <v>67</v>
      </c>
      <c r="D32" s="111">
        <v>164.1</v>
      </c>
      <c r="E32" s="111"/>
      <c r="F32" s="111"/>
      <c r="G32" s="132" t="s">
        <v>71</v>
      </c>
      <c r="H32" s="101">
        <v>85.3</v>
      </c>
      <c r="I32" s="101"/>
      <c r="J32" s="101"/>
      <c r="K32" s="132" t="s">
        <v>71</v>
      </c>
      <c r="L32" s="111">
        <v>42.8</v>
      </c>
      <c r="M32" s="111"/>
      <c r="N32" s="111"/>
      <c r="O32" s="100" t="s">
        <v>20</v>
      </c>
      <c r="P32" s="111">
        <v>292.2</v>
      </c>
      <c r="Q32" s="132" t="s">
        <v>21</v>
      </c>
      <c r="R32" s="111">
        <v>377.8</v>
      </c>
      <c r="S32" s="100" t="s">
        <v>20</v>
      </c>
      <c r="T32" s="101">
        <v>70.5</v>
      </c>
      <c r="U32" s="132" t="s">
        <v>68</v>
      </c>
    </row>
    <row r="33" spans="1:21" ht="86.4" x14ac:dyDescent="0.25">
      <c r="A33" s="99" t="s">
        <v>247</v>
      </c>
      <c r="B33" s="102" t="s">
        <v>32</v>
      </c>
      <c r="C33" s="132" t="s">
        <v>67</v>
      </c>
      <c r="D33" s="101">
        <v>138.9</v>
      </c>
      <c r="E33" s="101"/>
      <c r="F33" s="101"/>
      <c r="G33" s="132" t="s">
        <v>71</v>
      </c>
      <c r="H33" s="101">
        <v>123.1</v>
      </c>
      <c r="I33" s="101"/>
      <c r="J33" s="101"/>
      <c r="K33" s="132" t="s">
        <v>71</v>
      </c>
      <c r="L33" s="101">
        <v>6.7</v>
      </c>
      <c r="M33" s="101"/>
      <c r="N33" s="101"/>
      <c r="O33" s="100" t="s">
        <v>20</v>
      </c>
      <c r="P33" s="111">
        <v>268.7</v>
      </c>
      <c r="Q33" s="132" t="s">
        <v>21</v>
      </c>
      <c r="R33" s="101">
        <v>115.5</v>
      </c>
      <c r="S33" s="100" t="s">
        <v>20</v>
      </c>
      <c r="T33" s="111">
        <v>52.7</v>
      </c>
      <c r="U33" s="132" t="s">
        <v>68</v>
      </c>
    </row>
    <row r="34" spans="1:21" ht="86.4" x14ac:dyDescent="0.25">
      <c r="A34" s="99" t="s">
        <v>250</v>
      </c>
      <c r="B34" s="100" t="s">
        <v>126</v>
      </c>
      <c r="C34" s="132" t="s">
        <v>67</v>
      </c>
      <c r="D34" s="101">
        <v>78.7</v>
      </c>
      <c r="E34" s="101"/>
      <c r="F34" s="101"/>
      <c r="G34" s="102" t="s">
        <v>19</v>
      </c>
      <c r="H34" s="101">
        <v>0</v>
      </c>
      <c r="I34" s="101"/>
      <c r="J34" s="101"/>
      <c r="K34" s="102" t="s">
        <v>19</v>
      </c>
      <c r="L34" s="101">
        <v>0</v>
      </c>
      <c r="M34" s="101"/>
      <c r="N34" s="101"/>
      <c r="O34" s="100" t="s">
        <v>20</v>
      </c>
      <c r="P34" s="111">
        <v>78.7</v>
      </c>
      <c r="Q34" s="132" t="s">
        <v>21</v>
      </c>
      <c r="R34" s="101">
        <v>13.5</v>
      </c>
      <c r="S34" s="100" t="s">
        <v>20</v>
      </c>
      <c r="T34" s="111">
        <v>20.5</v>
      </c>
      <c r="U34" s="132" t="s">
        <v>68</v>
      </c>
    </row>
    <row r="35" spans="1:21" ht="86.4" x14ac:dyDescent="0.25">
      <c r="A35" s="99" t="s">
        <v>252</v>
      </c>
      <c r="B35" s="100" t="s">
        <v>128</v>
      </c>
      <c r="C35" s="132" t="s">
        <v>67</v>
      </c>
      <c r="D35" s="101">
        <v>84</v>
      </c>
      <c r="E35" s="101"/>
      <c r="F35" s="101"/>
      <c r="G35" s="102" t="s">
        <v>19</v>
      </c>
      <c r="H35" s="101">
        <v>0</v>
      </c>
      <c r="I35" s="101"/>
      <c r="J35" s="101"/>
      <c r="K35" s="102" t="s">
        <v>19</v>
      </c>
      <c r="L35" s="101">
        <v>0</v>
      </c>
      <c r="M35" s="101"/>
      <c r="N35" s="101"/>
      <c r="O35" s="100" t="s">
        <v>20</v>
      </c>
      <c r="P35" s="111">
        <v>84</v>
      </c>
      <c r="Q35" s="132" t="s">
        <v>21</v>
      </c>
      <c r="R35" s="101">
        <v>27.9</v>
      </c>
      <c r="S35" s="100" t="s">
        <v>20</v>
      </c>
      <c r="T35" s="111">
        <v>21.7</v>
      </c>
      <c r="U35" s="132" t="s">
        <v>68</v>
      </c>
    </row>
    <row r="36" spans="1:21" ht="86.4" x14ac:dyDescent="0.25">
      <c r="A36" s="102" t="s">
        <v>253</v>
      </c>
      <c r="B36" s="100" t="s">
        <v>254</v>
      </c>
      <c r="C36" s="132" t="s">
        <v>67</v>
      </c>
      <c r="D36" s="101">
        <v>33.5</v>
      </c>
      <c r="E36" s="101"/>
      <c r="F36" s="101"/>
      <c r="G36" s="132" t="s">
        <v>71</v>
      </c>
      <c r="H36" s="101">
        <v>20.9</v>
      </c>
      <c r="I36" s="101"/>
      <c r="J36" s="101"/>
      <c r="K36" s="102" t="s">
        <v>19</v>
      </c>
      <c r="L36" s="101">
        <v>0</v>
      </c>
      <c r="M36" s="101"/>
      <c r="N36" s="101"/>
      <c r="O36" s="100" t="s">
        <v>20</v>
      </c>
      <c r="P36" s="111">
        <v>54.3</v>
      </c>
      <c r="Q36" s="100" t="s">
        <v>30</v>
      </c>
      <c r="R36" s="101">
        <v>25.9</v>
      </c>
      <c r="S36" s="100" t="s">
        <v>20</v>
      </c>
      <c r="T36" s="111">
        <v>14.5</v>
      </c>
      <c r="U36" s="132" t="s">
        <v>68</v>
      </c>
    </row>
    <row r="37" spans="1:21" ht="86.4" x14ac:dyDescent="0.25">
      <c r="A37" s="102" t="s">
        <v>256</v>
      </c>
      <c r="B37" s="100" t="s">
        <v>130</v>
      </c>
      <c r="C37" s="132" t="s">
        <v>67</v>
      </c>
      <c r="D37" s="101">
        <v>82.1</v>
      </c>
      <c r="E37" s="101"/>
      <c r="F37" s="101"/>
      <c r="G37" s="102" t="s">
        <v>19</v>
      </c>
      <c r="H37" s="101">
        <v>0</v>
      </c>
      <c r="I37" s="101"/>
      <c r="J37" s="101"/>
      <c r="K37" s="102" t="s">
        <v>19</v>
      </c>
      <c r="L37" s="101">
        <v>0</v>
      </c>
      <c r="M37" s="101"/>
      <c r="N37" s="101"/>
      <c r="O37" s="100" t="s">
        <v>20</v>
      </c>
      <c r="P37" s="101">
        <v>82.1</v>
      </c>
      <c r="Q37" s="132" t="s">
        <v>21</v>
      </c>
      <c r="R37" s="101">
        <v>13.6</v>
      </c>
      <c r="S37" s="100" t="s">
        <v>20</v>
      </c>
      <c r="T37" s="111">
        <v>20.5</v>
      </c>
      <c r="U37" s="132" t="s">
        <v>68</v>
      </c>
    </row>
    <row r="38" spans="1:21" ht="86.4" x14ac:dyDescent="0.25">
      <c r="A38" s="102" t="s">
        <v>258</v>
      </c>
      <c r="B38" s="100" t="s">
        <v>132</v>
      </c>
      <c r="C38" s="132" t="s">
        <v>67</v>
      </c>
      <c r="D38" s="101">
        <v>85.1</v>
      </c>
      <c r="E38" s="101"/>
      <c r="F38" s="101"/>
      <c r="G38" s="102" t="s">
        <v>19</v>
      </c>
      <c r="H38" s="101">
        <v>0</v>
      </c>
      <c r="I38" s="101"/>
      <c r="J38" s="101"/>
      <c r="K38" s="132" t="s">
        <v>71</v>
      </c>
      <c r="L38" s="101">
        <v>13.5</v>
      </c>
      <c r="M38" s="101"/>
      <c r="N38" s="101"/>
      <c r="O38" s="100" t="s">
        <v>20</v>
      </c>
      <c r="P38" s="111">
        <v>98.7</v>
      </c>
      <c r="Q38" s="132" t="s">
        <v>21</v>
      </c>
      <c r="R38" s="111">
        <v>23.4</v>
      </c>
      <c r="S38" s="100" t="s">
        <v>20</v>
      </c>
      <c r="T38" s="111">
        <v>24.8</v>
      </c>
      <c r="U38" s="132" t="s">
        <v>68</v>
      </c>
    </row>
    <row r="39" spans="1:21" ht="187.2" x14ac:dyDescent="0.25">
      <c r="A39" s="102" t="s">
        <v>260</v>
      </c>
      <c r="B39" s="102" t="s">
        <v>159</v>
      </c>
      <c r="C39" s="132" t="s">
        <v>94</v>
      </c>
      <c r="D39" s="101">
        <v>10.8</v>
      </c>
      <c r="E39" s="101"/>
      <c r="F39" s="101"/>
      <c r="G39" s="132" t="s">
        <v>74</v>
      </c>
      <c r="H39" s="101">
        <v>15.6</v>
      </c>
      <c r="I39" s="101"/>
      <c r="J39" s="101"/>
      <c r="K39" s="132" t="s">
        <v>74</v>
      </c>
      <c r="L39" s="101">
        <v>21.3</v>
      </c>
      <c r="M39" s="101"/>
      <c r="N39" s="101"/>
      <c r="O39" s="100" t="s">
        <v>20</v>
      </c>
      <c r="P39" s="111">
        <v>47.6</v>
      </c>
      <c r="Q39" s="132" t="s">
        <v>210</v>
      </c>
      <c r="R39" s="101">
        <v>8.3000000000000007</v>
      </c>
      <c r="S39" s="100" t="s">
        <v>20</v>
      </c>
      <c r="T39" s="111">
        <v>10.8</v>
      </c>
      <c r="U39" s="132" t="s">
        <v>68</v>
      </c>
    </row>
    <row r="40" spans="1:21" ht="115.2" x14ac:dyDescent="0.25">
      <c r="A40" s="102" t="s">
        <v>263</v>
      </c>
      <c r="B40" s="100" t="s">
        <v>187</v>
      </c>
      <c r="C40" s="132" t="s">
        <v>17</v>
      </c>
      <c r="D40" s="111">
        <v>43.8</v>
      </c>
      <c r="E40" s="111"/>
      <c r="F40" s="111"/>
      <c r="G40" s="132" t="s">
        <v>18</v>
      </c>
      <c r="H40" s="101">
        <v>6.3</v>
      </c>
      <c r="I40" s="101"/>
      <c r="J40" s="101"/>
      <c r="K40" s="132" t="s">
        <v>18</v>
      </c>
      <c r="L40" s="101">
        <v>33.799999999999997</v>
      </c>
      <c r="M40" s="101"/>
      <c r="N40" s="101"/>
      <c r="O40" s="100" t="s">
        <v>20</v>
      </c>
      <c r="P40" s="111">
        <v>83.9</v>
      </c>
      <c r="Q40" s="100" t="s">
        <v>178</v>
      </c>
      <c r="R40" s="101">
        <v>21.6</v>
      </c>
      <c r="S40" s="100" t="s">
        <v>20</v>
      </c>
      <c r="T40" s="111">
        <v>20.3</v>
      </c>
      <c r="U40" s="102" t="s">
        <v>19</v>
      </c>
    </row>
    <row r="41" spans="1:21" ht="115.2" x14ac:dyDescent="0.25">
      <c r="A41" s="17" t="s">
        <v>266</v>
      </c>
      <c r="B41" s="17" t="s">
        <v>189</v>
      </c>
      <c r="C41" s="127" t="s">
        <v>17</v>
      </c>
      <c r="D41" s="121">
        <v>0.1</v>
      </c>
      <c r="E41" s="121"/>
      <c r="F41" s="121"/>
      <c r="G41" s="127" t="s">
        <v>18</v>
      </c>
      <c r="H41" s="121">
        <v>5.0999999999999996</v>
      </c>
      <c r="I41" s="121"/>
      <c r="J41" s="121"/>
      <c r="K41" s="127" t="s">
        <v>18</v>
      </c>
      <c r="L41" s="122">
        <v>34.5</v>
      </c>
      <c r="M41" s="122"/>
      <c r="N41" s="122"/>
      <c r="O41" s="22" t="s">
        <v>20</v>
      </c>
      <c r="P41" s="121">
        <v>39.700000000000003</v>
      </c>
      <c r="Q41" s="22" t="s">
        <v>178</v>
      </c>
      <c r="R41" s="121">
        <v>6.7</v>
      </c>
      <c r="S41" s="22" t="s">
        <v>20</v>
      </c>
      <c r="T41" s="121">
        <v>9</v>
      </c>
      <c r="U41" s="127" t="s">
        <v>190</v>
      </c>
    </row>
    <row r="42" spans="1:21" ht="86.4" x14ac:dyDescent="0.25">
      <c r="A42" s="7" t="s">
        <v>270</v>
      </c>
      <c r="B42" s="8" t="s">
        <v>192</v>
      </c>
      <c r="C42" s="3" t="s">
        <v>94</v>
      </c>
      <c r="D42" s="9">
        <v>8.5</v>
      </c>
      <c r="E42" s="9"/>
      <c r="F42" s="82"/>
      <c r="G42" s="102" t="s">
        <v>19</v>
      </c>
      <c r="H42" s="101">
        <v>0</v>
      </c>
      <c r="I42" s="101"/>
      <c r="J42" s="101"/>
      <c r="K42" s="132" t="s">
        <v>74</v>
      </c>
      <c r="L42" s="101">
        <v>79.2</v>
      </c>
      <c r="M42" s="101"/>
      <c r="N42" s="101"/>
      <c r="O42" s="100" t="s">
        <v>20</v>
      </c>
      <c r="P42" s="101">
        <v>87.8</v>
      </c>
      <c r="Q42" s="100" t="s">
        <v>178</v>
      </c>
      <c r="R42" s="101">
        <v>29.6</v>
      </c>
      <c r="S42" s="100" t="s">
        <v>20</v>
      </c>
      <c r="T42" s="101">
        <v>21.7</v>
      </c>
      <c r="U42" s="132" t="s">
        <v>68</v>
      </c>
    </row>
    <row r="43" spans="1:21" ht="115.2" x14ac:dyDescent="0.25">
      <c r="A43" s="7" t="s">
        <v>271</v>
      </c>
      <c r="B43" s="10" t="s">
        <v>194</v>
      </c>
      <c r="C43" s="3" t="s">
        <v>17</v>
      </c>
      <c r="D43" s="9">
        <v>46.6</v>
      </c>
      <c r="E43" s="9"/>
      <c r="F43" s="82"/>
      <c r="G43" s="102" t="s">
        <v>19</v>
      </c>
      <c r="H43" s="101">
        <v>0</v>
      </c>
      <c r="I43" s="101"/>
      <c r="J43" s="101"/>
      <c r="K43" s="132" t="s">
        <v>18</v>
      </c>
      <c r="L43" s="101">
        <v>34.299999999999997</v>
      </c>
      <c r="M43" s="101"/>
      <c r="N43" s="101"/>
      <c r="O43" s="100" t="s">
        <v>20</v>
      </c>
      <c r="P43" s="101">
        <v>80.900000000000006</v>
      </c>
      <c r="Q43" s="100" t="s">
        <v>178</v>
      </c>
      <c r="R43" s="101">
        <v>51.3</v>
      </c>
      <c r="S43" s="100" t="s">
        <v>20</v>
      </c>
      <c r="T43" s="101">
        <v>23.6</v>
      </c>
      <c r="U43" s="102" t="s">
        <v>19</v>
      </c>
    </row>
    <row r="44" spans="1:21" ht="115.2" x14ac:dyDescent="0.25">
      <c r="A44" s="7" t="s">
        <v>274</v>
      </c>
      <c r="B44" s="10" t="s">
        <v>196</v>
      </c>
      <c r="C44" s="3" t="s">
        <v>17</v>
      </c>
      <c r="D44" s="9">
        <v>43.2</v>
      </c>
      <c r="E44" s="9"/>
      <c r="F44" s="82"/>
      <c r="G44" s="132" t="s">
        <v>18</v>
      </c>
      <c r="H44" s="101">
        <v>27.9</v>
      </c>
      <c r="I44" s="101"/>
      <c r="J44" s="101"/>
      <c r="K44" s="132" t="s">
        <v>18</v>
      </c>
      <c r="L44" s="101">
        <v>19.8</v>
      </c>
      <c r="M44" s="101"/>
      <c r="N44" s="101"/>
      <c r="O44" s="100" t="s">
        <v>20</v>
      </c>
      <c r="P44" s="101">
        <v>90.9</v>
      </c>
      <c r="Q44" s="100" t="s">
        <v>178</v>
      </c>
      <c r="R44" s="101">
        <v>56.6</v>
      </c>
      <c r="S44" s="100" t="s">
        <v>20</v>
      </c>
      <c r="T44" s="101">
        <v>25</v>
      </c>
      <c r="U44" s="102" t="s">
        <v>19</v>
      </c>
    </row>
    <row r="45" spans="1:21" ht="115.2" x14ac:dyDescent="0.25">
      <c r="A45" s="7" t="s">
        <v>277</v>
      </c>
      <c r="B45" s="8" t="s">
        <v>187</v>
      </c>
      <c r="C45" s="3" t="s">
        <v>17</v>
      </c>
      <c r="D45" s="9">
        <v>33.700000000000003</v>
      </c>
      <c r="E45" s="9"/>
      <c r="F45" s="82"/>
      <c r="G45" s="132" t="s">
        <v>18</v>
      </c>
      <c r="H45" s="101">
        <v>14.4</v>
      </c>
      <c r="I45" s="101"/>
      <c r="J45" s="101"/>
      <c r="K45" s="132" t="s">
        <v>18</v>
      </c>
      <c r="L45" s="101">
        <v>33.799999999999997</v>
      </c>
      <c r="M45" s="101"/>
      <c r="N45" s="101"/>
      <c r="O45" s="100" t="s">
        <v>20</v>
      </c>
      <c r="P45" s="101">
        <v>81.8</v>
      </c>
      <c r="Q45" s="100" t="s">
        <v>178</v>
      </c>
      <c r="R45" s="101">
        <v>21.5</v>
      </c>
      <c r="S45" s="100" t="s">
        <v>20</v>
      </c>
      <c r="T45" s="101">
        <v>20.3</v>
      </c>
      <c r="U45" s="102" t="s">
        <v>19</v>
      </c>
    </row>
    <row r="46" spans="1:21" ht="115.2" x14ac:dyDescent="0.25">
      <c r="A46" s="7" t="s">
        <v>280</v>
      </c>
      <c r="B46" s="10" t="s">
        <v>189</v>
      </c>
      <c r="C46" s="3" t="s">
        <v>17</v>
      </c>
      <c r="D46" s="9">
        <v>0.1</v>
      </c>
      <c r="E46" s="9"/>
      <c r="F46" s="82"/>
      <c r="G46" s="132" t="s">
        <v>18</v>
      </c>
      <c r="H46" s="101">
        <v>5.0999999999999996</v>
      </c>
      <c r="I46" s="101"/>
      <c r="J46" s="101"/>
      <c r="K46" s="132" t="s">
        <v>18</v>
      </c>
      <c r="L46" s="101">
        <v>34.5</v>
      </c>
      <c r="M46" s="101"/>
      <c r="N46" s="101"/>
      <c r="O46" s="100" t="s">
        <v>20</v>
      </c>
      <c r="P46" s="101">
        <v>39.700000000000003</v>
      </c>
      <c r="Q46" s="100" t="s">
        <v>178</v>
      </c>
      <c r="R46" s="101">
        <v>6.7</v>
      </c>
      <c r="S46" s="100" t="s">
        <v>20</v>
      </c>
      <c r="T46" s="101">
        <v>9</v>
      </c>
      <c r="U46" s="132" t="s">
        <v>190</v>
      </c>
    </row>
    <row r="47" spans="1:21" ht="115.2" x14ac:dyDescent="0.25">
      <c r="A47" s="57" t="s">
        <v>281</v>
      </c>
      <c r="B47" s="124" t="s">
        <v>194</v>
      </c>
      <c r="C47" s="127" t="s">
        <v>17</v>
      </c>
      <c r="D47" s="126">
        <v>46.6</v>
      </c>
      <c r="E47" s="126"/>
      <c r="F47" s="66"/>
      <c r="G47" s="112" t="s">
        <v>19</v>
      </c>
      <c r="H47" s="113">
        <v>0</v>
      </c>
      <c r="I47" s="113"/>
      <c r="J47" s="113"/>
      <c r="K47" s="132" t="s">
        <v>18</v>
      </c>
      <c r="L47" s="113">
        <v>34.299999999999997</v>
      </c>
      <c r="M47" s="113"/>
      <c r="N47" s="113"/>
      <c r="O47" s="132" t="s">
        <v>20</v>
      </c>
      <c r="P47" s="113">
        <v>80.8</v>
      </c>
      <c r="Q47" s="132" t="s">
        <v>178</v>
      </c>
      <c r="R47" s="113">
        <v>51.3</v>
      </c>
      <c r="S47" s="132" t="s">
        <v>20</v>
      </c>
      <c r="T47" s="113">
        <v>23.6</v>
      </c>
      <c r="U47" s="112" t="s">
        <v>19</v>
      </c>
    </row>
    <row r="48" spans="1:21" ht="115.2" x14ac:dyDescent="0.25">
      <c r="A48" s="124" t="s">
        <v>282</v>
      </c>
      <c r="B48" s="124" t="s">
        <v>196</v>
      </c>
      <c r="C48" s="127" t="s">
        <v>17</v>
      </c>
      <c r="D48" s="126">
        <v>59.5</v>
      </c>
      <c r="E48" s="126"/>
      <c r="F48" s="66"/>
      <c r="G48" s="132" t="s">
        <v>18</v>
      </c>
      <c r="H48" s="113">
        <v>7.5</v>
      </c>
      <c r="I48" s="113"/>
      <c r="J48" s="113"/>
      <c r="K48" s="132" t="s">
        <v>18</v>
      </c>
      <c r="L48" s="113">
        <v>19.8</v>
      </c>
      <c r="M48" s="113"/>
      <c r="N48" s="113"/>
      <c r="O48" s="132" t="s">
        <v>20</v>
      </c>
      <c r="P48" s="113">
        <v>86.8</v>
      </c>
      <c r="Q48" s="132" t="s">
        <v>178</v>
      </c>
      <c r="R48" s="113">
        <v>56.3</v>
      </c>
      <c r="S48" s="132" t="s">
        <v>20</v>
      </c>
      <c r="T48" s="114">
        <v>24.9</v>
      </c>
      <c r="U48" s="112" t="s">
        <v>19</v>
      </c>
    </row>
    <row r="49" spans="1:21" ht="86.4" x14ac:dyDescent="0.25">
      <c r="A49" s="7" t="s">
        <v>267</v>
      </c>
      <c r="B49" s="8" t="s">
        <v>192</v>
      </c>
      <c r="C49" s="3" t="s">
        <v>94</v>
      </c>
      <c r="D49" s="9">
        <v>8.5</v>
      </c>
      <c r="E49" s="9"/>
      <c r="F49" s="82"/>
      <c r="G49" s="102" t="s">
        <v>19</v>
      </c>
      <c r="H49" s="101">
        <v>0</v>
      </c>
      <c r="I49" s="101"/>
      <c r="J49" s="101"/>
      <c r="K49" s="132" t="s">
        <v>74</v>
      </c>
      <c r="L49" s="101">
        <v>79.2</v>
      </c>
      <c r="M49" s="101"/>
      <c r="N49" s="101"/>
      <c r="O49" s="100" t="s">
        <v>20</v>
      </c>
      <c r="P49" s="111">
        <v>87.7</v>
      </c>
      <c r="Q49" s="100" t="s">
        <v>178</v>
      </c>
      <c r="R49" s="115">
        <v>29.6</v>
      </c>
      <c r="S49" s="100" t="s">
        <v>20</v>
      </c>
      <c r="T49" s="111">
        <v>21.7</v>
      </c>
      <c r="U49" s="132" t="s">
        <v>68</v>
      </c>
    </row>
    <row r="50" spans="1:21" ht="115.2" x14ac:dyDescent="0.25">
      <c r="A50" s="17" t="s">
        <v>268</v>
      </c>
      <c r="B50" s="127" t="s">
        <v>269</v>
      </c>
      <c r="C50" s="127" t="s">
        <v>17</v>
      </c>
      <c r="D50" s="121">
        <v>60.7</v>
      </c>
      <c r="E50" s="121"/>
      <c r="F50" s="87"/>
      <c r="G50" s="132" t="s">
        <v>18</v>
      </c>
      <c r="H50" s="111">
        <v>42.3</v>
      </c>
      <c r="I50" s="111"/>
      <c r="J50" s="111"/>
      <c r="K50" s="132" t="s">
        <v>18</v>
      </c>
      <c r="L50" s="101">
        <v>9.1</v>
      </c>
      <c r="M50" s="101"/>
      <c r="N50" s="101"/>
      <c r="O50" s="100" t="s">
        <v>20</v>
      </c>
      <c r="P50" s="111">
        <v>112.1</v>
      </c>
      <c r="Q50" s="100" t="s">
        <v>178</v>
      </c>
      <c r="R50" s="101">
        <v>81.7</v>
      </c>
      <c r="S50" s="100" t="s">
        <v>20</v>
      </c>
      <c r="T50" s="111">
        <v>31</v>
      </c>
      <c r="U50" s="102" t="s">
        <v>19</v>
      </c>
    </row>
    <row r="51" spans="1:21" ht="115.2" x14ac:dyDescent="0.25">
      <c r="A51" s="7" t="s">
        <v>272</v>
      </c>
      <c r="B51" s="8" t="s">
        <v>273</v>
      </c>
      <c r="C51" s="3" t="s">
        <v>17</v>
      </c>
      <c r="D51" s="9">
        <v>35.4</v>
      </c>
      <c r="E51" s="9"/>
      <c r="F51" s="82"/>
      <c r="G51" s="132" t="s">
        <v>18</v>
      </c>
      <c r="H51" s="101">
        <v>6</v>
      </c>
      <c r="I51" s="101"/>
      <c r="J51" s="101"/>
      <c r="K51" s="102" t="s">
        <v>19</v>
      </c>
      <c r="L51" s="101">
        <v>0</v>
      </c>
      <c r="M51" s="101"/>
      <c r="N51" s="101"/>
      <c r="O51" s="100" t="s">
        <v>20</v>
      </c>
      <c r="P51" s="101">
        <v>41.3</v>
      </c>
      <c r="Q51" s="100" t="s">
        <v>178</v>
      </c>
      <c r="R51" s="116">
        <v>7</v>
      </c>
      <c r="S51" s="100" t="s">
        <v>20</v>
      </c>
      <c r="T51" s="101">
        <v>9.9</v>
      </c>
      <c r="U51" s="102" t="s">
        <v>19</v>
      </c>
    </row>
    <row r="52" spans="1:21" ht="115.2" x14ac:dyDescent="0.25">
      <c r="A52" s="7" t="s">
        <v>275</v>
      </c>
      <c r="B52" s="8" t="s">
        <v>276</v>
      </c>
      <c r="C52" s="3" t="s">
        <v>17</v>
      </c>
      <c r="D52" s="9">
        <v>47.7</v>
      </c>
      <c r="E52" s="9"/>
      <c r="F52" s="82"/>
      <c r="G52" s="132" t="s">
        <v>18</v>
      </c>
      <c r="H52" s="101">
        <v>36.700000000000003</v>
      </c>
      <c r="I52" s="101"/>
      <c r="J52" s="101"/>
      <c r="K52" s="132" t="s">
        <v>18</v>
      </c>
      <c r="L52" s="101">
        <v>17.5</v>
      </c>
      <c r="M52" s="101"/>
      <c r="N52" s="101"/>
      <c r="O52" s="100" t="s">
        <v>20</v>
      </c>
      <c r="P52" s="111">
        <v>102</v>
      </c>
      <c r="Q52" s="100" t="s">
        <v>178</v>
      </c>
      <c r="R52" s="115">
        <v>75.2</v>
      </c>
      <c r="S52" s="100" t="s">
        <v>20</v>
      </c>
      <c r="T52" s="111">
        <v>29.4</v>
      </c>
      <c r="U52" s="102" t="s">
        <v>19</v>
      </c>
    </row>
    <row r="53" spans="1:21" ht="115.2" x14ac:dyDescent="0.25">
      <c r="A53" s="7" t="s">
        <v>278</v>
      </c>
      <c r="B53" s="8" t="s">
        <v>279</v>
      </c>
      <c r="C53" s="3" t="s">
        <v>17</v>
      </c>
      <c r="D53" s="9">
        <v>12.5</v>
      </c>
      <c r="E53" s="9"/>
      <c r="F53" s="82"/>
      <c r="G53" s="132" t="s">
        <v>18</v>
      </c>
      <c r="H53" s="101">
        <v>4.5</v>
      </c>
      <c r="I53" s="101"/>
      <c r="J53" s="101"/>
      <c r="K53" s="132" t="s">
        <v>18</v>
      </c>
      <c r="L53" s="101">
        <v>23.2</v>
      </c>
      <c r="M53" s="101"/>
      <c r="N53" s="101"/>
      <c r="O53" s="100" t="s">
        <v>20</v>
      </c>
      <c r="P53" s="111">
        <v>40.200000000000003</v>
      </c>
      <c r="Q53" s="100" t="s">
        <v>178</v>
      </c>
      <c r="R53" s="116">
        <v>6.2</v>
      </c>
      <c r="S53" s="100" t="s">
        <v>20</v>
      </c>
      <c r="T53" s="101">
        <v>9.6</v>
      </c>
      <c r="U53" s="102" t="s">
        <v>19</v>
      </c>
    </row>
    <row r="54" spans="1:21" ht="187.2" x14ac:dyDescent="0.25">
      <c r="A54" s="7" t="s">
        <v>283</v>
      </c>
      <c r="B54" s="10" t="s">
        <v>32</v>
      </c>
      <c r="C54" s="3" t="s">
        <v>17</v>
      </c>
      <c r="D54" s="9">
        <v>40</v>
      </c>
      <c r="E54" s="3" t="s">
        <v>18</v>
      </c>
      <c r="F54" s="9">
        <v>3.7</v>
      </c>
      <c r="G54" s="3" t="s">
        <v>18</v>
      </c>
      <c r="H54" s="9">
        <v>39.9</v>
      </c>
      <c r="I54" s="9"/>
      <c r="J54" s="9"/>
      <c r="K54" s="3" t="s">
        <v>18</v>
      </c>
      <c r="L54" s="9">
        <v>4.9000000000000004</v>
      </c>
      <c r="M54" s="9"/>
      <c r="N54" s="9"/>
      <c r="O54" s="8" t="s">
        <v>20</v>
      </c>
      <c r="P54" s="9">
        <v>88.6</v>
      </c>
      <c r="Q54" s="8" t="s">
        <v>284</v>
      </c>
      <c r="R54" s="9">
        <v>38.700000000000003</v>
      </c>
      <c r="S54" s="8" t="s">
        <v>20</v>
      </c>
      <c r="T54" s="9">
        <v>14.8</v>
      </c>
      <c r="U54" s="10" t="s">
        <v>19</v>
      </c>
    </row>
    <row r="55" spans="1:21" ht="86.4" x14ac:dyDescent="0.25">
      <c r="A55" s="7" t="s">
        <v>285</v>
      </c>
      <c r="B55" s="8" t="s">
        <v>102</v>
      </c>
      <c r="C55" s="3" t="s">
        <v>94</v>
      </c>
      <c r="D55" s="9">
        <v>7.1</v>
      </c>
      <c r="E55" s="10" t="s">
        <v>19</v>
      </c>
      <c r="F55" s="9">
        <v>0</v>
      </c>
      <c r="G55" s="3" t="s">
        <v>74</v>
      </c>
      <c r="H55" s="9">
        <v>13.2</v>
      </c>
      <c r="I55" s="9"/>
      <c r="J55" s="9"/>
      <c r="K55" s="3" t="s">
        <v>74</v>
      </c>
      <c r="L55" s="9">
        <v>19.5</v>
      </c>
      <c r="M55" s="9"/>
      <c r="N55" s="9"/>
      <c r="O55" s="8" t="s">
        <v>20</v>
      </c>
      <c r="P55" s="9">
        <v>39.799999999999997</v>
      </c>
      <c r="Q55" s="8" t="s">
        <v>284</v>
      </c>
      <c r="R55" s="9">
        <v>5.8</v>
      </c>
      <c r="S55" s="8" t="s">
        <v>20</v>
      </c>
      <c r="T55" s="9">
        <v>9.6</v>
      </c>
      <c r="U55" s="3" t="s">
        <v>68</v>
      </c>
    </row>
    <row r="56" spans="1:21" ht="115.2" x14ac:dyDescent="0.25">
      <c r="A56" s="7" t="s">
        <v>286</v>
      </c>
      <c r="B56" s="8" t="s">
        <v>287</v>
      </c>
      <c r="C56" s="3" t="s">
        <v>17</v>
      </c>
      <c r="D56" s="9">
        <v>25.2</v>
      </c>
      <c r="E56" s="10" t="s">
        <v>19</v>
      </c>
      <c r="F56" s="9">
        <v>0</v>
      </c>
      <c r="G56" s="10" t="s">
        <v>19</v>
      </c>
      <c r="H56" s="9">
        <v>0</v>
      </c>
      <c r="I56" s="9"/>
      <c r="J56" s="9"/>
      <c r="K56" s="3" t="s">
        <v>18</v>
      </c>
      <c r="L56" s="9">
        <v>13.7</v>
      </c>
      <c r="M56" s="9"/>
      <c r="N56" s="9"/>
      <c r="O56" s="8" t="s">
        <v>20</v>
      </c>
      <c r="P56" s="9">
        <v>38.9</v>
      </c>
      <c r="Q56" s="8" t="s">
        <v>284</v>
      </c>
      <c r="R56" s="9">
        <v>6.2</v>
      </c>
      <c r="S56" s="8" t="s">
        <v>20</v>
      </c>
      <c r="T56" s="9">
        <v>9.5</v>
      </c>
      <c r="U56" s="10" t="s">
        <v>19</v>
      </c>
    </row>
    <row r="57" spans="1:21" ht="172.8" x14ac:dyDescent="0.25">
      <c r="A57" s="7" t="s">
        <v>288</v>
      </c>
      <c r="B57" s="8" t="s">
        <v>209</v>
      </c>
      <c r="C57" s="3" t="s">
        <v>17</v>
      </c>
      <c r="D57" s="9">
        <v>104</v>
      </c>
      <c r="E57" s="10" t="s">
        <v>19</v>
      </c>
      <c r="F57" s="9">
        <v>0</v>
      </c>
      <c r="G57" s="10" t="s">
        <v>19</v>
      </c>
      <c r="H57" s="9">
        <v>0</v>
      </c>
      <c r="I57" s="9"/>
      <c r="J57" s="9"/>
      <c r="K57" s="10" t="s">
        <v>19</v>
      </c>
      <c r="L57" s="9">
        <v>0</v>
      </c>
      <c r="M57" s="9"/>
      <c r="N57" s="9"/>
      <c r="O57" s="8" t="s">
        <v>20</v>
      </c>
      <c r="P57" s="9">
        <v>104</v>
      </c>
      <c r="Q57" s="3" t="s">
        <v>289</v>
      </c>
      <c r="R57" s="9">
        <v>26.3</v>
      </c>
      <c r="S57" s="8" t="s">
        <v>20</v>
      </c>
      <c r="T57" s="9">
        <v>28.7</v>
      </c>
      <c r="U57" s="10" t="s">
        <v>19</v>
      </c>
    </row>
    <row r="58" spans="1:21" ht="115.2" x14ac:dyDescent="0.25">
      <c r="A58" s="7" t="s">
        <v>290</v>
      </c>
      <c r="B58" s="8" t="s">
        <v>254</v>
      </c>
      <c r="C58" s="3" t="s">
        <v>17</v>
      </c>
      <c r="D58" s="9">
        <v>25.2</v>
      </c>
      <c r="E58" s="10" t="s">
        <v>19</v>
      </c>
      <c r="F58" s="9">
        <v>0</v>
      </c>
      <c r="G58" s="3" t="s">
        <v>18</v>
      </c>
      <c r="H58" s="9">
        <v>4.7</v>
      </c>
      <c r="I58" s="9"/>
      <c r="J58" s="9"/>
      <c r="K58" s="3" t="s">
        <v>18</v>
      </c>
      <c r="L58" s="9">
        <v>9.1</v>
      </c>
      <c r="M58" s="9"/>
      <c r="N58" s="9"/>
      <c r="O58" s="8" t="s">
        <v>20</v>
      </c>
      <c r="P58" s="9">
        <v>38.9</v>
      </c>
      <c r="Q58" s="8" t="s">
        <v>284</v>
      </c>
      <c r="R58" s="9">
        <v>6.5</v>
      </c>
      <c r="S58" s="8" t="s">
        <v>20</v>
      </c>
      <c r="T58" s="9">
        <v>8.6</v>
      </c>
      <c r="U58" s="10" t="s">
        <v>19</v>
      </c>
    </row>
    <row r="59" spans="1:21" ht="115.2" x14ac:dyDescent="0.25">
      <c r="A59" s="7" t="s">
        <v>291</v>
      </c>
      <c r="B59" s="10" t="s">
        <v>32</v>
      </c>
      <c r="C59" s="3" t="s">
        <v>17</v>
      </c>
      <c r="D59" s="9">
        <v>60.8</v>
      </c>
      <c r="E59" s="10" t="s">
        <v>19</v>
      </c>
      <c r="F59" s="9">
        <v>0</v>
      </c>
      <c r="G59" s="3" t="s">
        <v>18</v>
      </c>
      <c r="H59" s="9">
        <v>79.099999999999994</v>
      </c>
      <c r="I59" s="9"/>
      <c r="J59" s="9"/>
      <c r="K59" s="3" t="s">
        <v>18</v>
      </c>
      <c r="L59" s="9">
        <v>7.1</v>
      </c>
      <c r="M59" s="9"/>
      <c r="N59" s="9"/>
      <c r="O59" s="8" t="s">
        <v>20</v>
      </c>
      <c r="P59" s="9">
        <v>147</v>
      </c>
      <c r="Q59" s="8" t="s">
        <v>284</v>
      </c>
      <c r="R59" s="9">
        <v>63.1</v>
      </c>
      <c r="S59" s="8" t="s">
        <v>20</v>
      </c>
      <c r="T59" s="9">
        <v>31.5</v>
      </c>
      <c r="U59" s="10" t="s">
        <v>19</v>
      </c>
    </row>
    <row r="60" spans="1:21" ht="172.8" x14ac:dyDescent="0.25">
      <c r="A60" s="57" t="s">
        <v>292</v>
      </c>
      <c r="B60" s="136" t="s">
        <v>212</v>
      </c>
      <c r="C60" s="127" t="s">
        <v>17</v>
      </c>
      <c r="D60" s="126">
        <v>83.5</v>
      </c>
      <c r="E60" s="124" t="s">
        <v>19</v>
      </c>
      <c r="F60" s="126">
        <v>0</v>
      </c>
      <c r="G60" s="124" t="s">
        <v>19</v>
      </c>
      <c r="H60" s="126">
        <v>0</v>
      </c>
      <c r="I60" s="126"/>
      <c r="J60" s="126"/>
      <c r="K60" s="124" t="s">
        <v>19</v>
      </c>
      <c r="L60" s="126">
        <v>0</v>
      </c>
      <c r="M60" s="126"/>
      <c r="N60" s="126"/>
      <c r="O60" s="136" t="s">
        <v>20</v>
      </c>
      <c r="P60" s="126">
        <v>83.5</v>
      </c>
      <c r="Q60" s="127" t="s">
        <v>289</v>
      </c>
      <c r="R60" s="126">
        <v>18.399999999999999</v>
      </c>
      <c r="S60" s="136" t="s">
        <v>20</v>
      </c>
      <c r="T60" s="126">
        <v>20.399999999999999</v>
      </c>
      <c r="U60" s="124" t="s">
        <v>19</v>
      </c>
    </row>
    <row r="61" spans="1:21" ht="100.8" x14ac:dyDescent="0.25">
      <c r="A61" s="17" t="s">
        <v>293</v>
      </c>
      <c r="B61" s="17" t="s">
        <v>265</v>
      </c>
      <c r="C61" s="127" t="s">
        <v>67</v>
      </c>
      <c r="D61" s="121">
        <v>43.1</v>
      </c>
      <c r="E61" s="17" t="s">
        <v>19</v>
      </c>
      <c r="F61" s="121">
        <v>0</v>
      </c>
      <c r="G61" s="127" t="s">
        <v>71</v>
      </c>
      <c r="H61" s="121">
        <v>53.7</v>
      </c>
      <c r="I61" s="121"/>
      <c r="J61" s="121"/>
      <c r="K61" s="127" t="s">
        <v>71</v>
      </c>
      <c r="L61" s="121">
        <v>19.100000000000001</v>
      </c>
      <c r="M61" s="121"/>
      <c r="N61" s="121"/>
      <c r="O61" s="22" t="s">
        <v>20</v>
      </c>
      <c r="P61" s="122">
        <v>116</v>
      </c>
      <c r="Q61" s="127" t="s">
        <v>294</v>
      </c>
      <c r="R61" s="121">
        <v>79.599999999999994</v>
      </c>
      <c r="S61" s="22" t="s">
        <v>20</v>
      </c>
      <c r="T61" s="121">
        <v>27.6</v>
      </c>
      <c r="U61" s="127" t="s">
        <v>68</v>
      </c>
    </row>
  </sheetData>
  <mergeCells count="15">
    <mergeCell ref="A1:U1"/>
    <mergeCell ref="A2:A4"/>
    <mergeCell ref="B2:B4"/>
    <mergeCell ref="C2:L2"/>
    <mergeCell ref="Q2:R2"/>
    <mergeCell ref="S2:T2"/>
    <mergeCell ref="C3:D3"/>
    <mergeCell ref="E3:F3"/>
    <mergeCell ref="G3:H3"/>
    <mergeCell ref="M3:N3"/>
    <mergeCell ref="O3:P3"/>
    <mergeCell ref="Q3:Q4"/>
    <mergeCell ref="R3:R4"/>
    <mergeCell ref="S3:S4"/>
    <mergeCell ref="T3:T4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8" tint="0.79998168889431442"/>
  </sheetPr>
  <dimension ref="A1:U39"/>
  <sheetViews>
    <sheetView zoomScale="55" zoomScaleNormal="55" workbookViewId="0">
      <selection activeCell="A29" sqref="A29:U39"/>
    </sheetView>
  </sheetViews>
  <sheetFormatPr defaultRowHeight="13.2" x14ac:dyDescent="0.25"/>
  <cols>
    <col min="1" max="1" width="6.44140625" customWidth="1"/>
    <col min="2" max="2" width="23.33203125" customWidth="1"/>
    <col min="3" max="3" width="42.109375" customWidth="1"/>
    <col min="4" max="4" width="13.109375" customWidth="1"/>
    <col min="5" max="5" width="26.109375" customWidth="1"/>
    <col min="6" max="6" width="13.109375" customWidth="1"/>
    <col min="7" max="7" width="50.44140625" customWidth="1"/>
    <col min="8" max="8" width="13.109375" customWidth="1"/>
    <col min="9" max="9" width="26.109375" customWidth="1"/>
    <col min="10" max="10" width="13.109375" customWidth="1"/>
    <col min="11" max="11" width="48.44140625" customWidth="1"/>
    <col min="12" max="12" width="13.109375" customWidth="1"/>
    <col min="13" max="13" width="30.44140625" customWidth="1"/>
    <col min="14" max="14" width="13.109375" customWidth="1"/>
    <col min="15" max="15" width="19.77734375" customWidth="1"/>
    <col min="16" max="16" width="12.77734375" customWidth="1"/>
    <col min="17" max="17" width="24" customWidth="1"/>
    <col min="18" max="18" width="12.109375" customWidth="1"/>
    <col min="19" max="19" width="16.109375" customWidth="1"/>
    <col min="20" max="20" width="12.77734375" customWidth="1"/>
    <col min="21" max="21" width="26.6640625" customWidth="1"/>
  </cols>
  <sheetData>
    <row r="1" spans="1:21" ht="29.25" customHeight="1" x14ac:dyDescent="0.25">
      <c r="A1" s="244" t="s">
        <v>359</v>
      </c>
      <c r="B1" s="234"/>
      <c r="C1" s="234"/>
      <c r="D1" s="234"/>
      <c r="E1" s="234"/>
      <c r="F1" s="234"/>
      <c r="G1" s="234"/>
      <c r="H1" s="234"/>
      <c r="I1" s="234"/>
      <c r="J1" s="234"/>
      <c r="K1" s="234"/>
      <c r="L1" s="234"/>
      <c r="M1" s="234"/>
      <c r="N1" s="234"/>
      <c r="O1" s="234"/>
      <c r="P1" s="234"/>
      <c r="Q1" s="234"/>
      <c r="R1" s="234"/>
      <c r="S1" s="234"/>
      <c r="T1" s="234"/>
      <c r="U1" s="234"/>
    </row>
    <row r="2" spans="1:21" ht="17.399999999999999" x14ac:dyDescent="0.25">
      <c r="A2" s="233" t="s">
        <v>1</v>
      </c>
      <c r="B2" s="232" t="s">
        <v>2</v>
      </c>
      <c r="C2" s="234" t="s">
        <v>3</v>
      </c>
      <c r="D2" s="234"/>
      <c r="E2" s="234"/>
      <c r="F2" s="234"/>
      <c r="G2" s="234"/>
      <c r="H2" s="234"/>
      <c r="I2" s="234"/>
      <c r="J2" s="234"/>
      <c r="K2" s="234"/>
      <c r="L2" s="234"/>
      <c r="M2" s="133"/>
      <c r="N2" s="133"/>
      <c r="O2" s="133"/>
      <c r="P2" s="133"/>
      <c r="Q2" s="232" t="s">
        <v>4</v>
      </c>
      <c r="R2" s="232"/>
      <c r="S2" s="235" t="s">
        <v>5</v>
      </c>
      <c r="T2" s="235"/>
      <c r="U2" s="134" t="s">
        <v>6</v>
      </c>
    </row>
    <row r="3" spans="1:21" ht="17.399999999999999" x14ac:dyDescent="0.25">
      <c r="A3" s="233"/>
      <c r="B3" s="232"/>
      <c r="C3" s="235" t="s">
        <v>7</v>
      </c>
      <c r="D3" s="235"/>
      <c r="E3" s="238" t="s">
        <v>8</v>
      </c>
      <c r="F3" s="238"/>
      <c r="G3" s="239" t="s">
        <v>9</v>
      </c>
      <c r="H3" s="239"/>
      <c r="I3" s="135" t="s">
        <v>63</v>
      </c>
      <c r="J3" s="135"/>
      <c r="K3" s="135" t="s">
        <v>64</v>
      </c>
      <c r="L3" s="135"/>
      <c r="M3" s="243" t="s">
        <v>358</v>
      </c>
      <c r="N3" s="239"/>
      <c r="O3" s="240" t="s">
        <v>11</v>
      </c>
      <c r="P3" s="240"/>
      <c r="Q3" s="232" t="s">
        <v>12</v>
      </c>
      <c r="R3" s="233" t="s">
        <v>13</v>
      </c>
      <c r="S3" s="232" t="s">
        <v>12</v>
      </c>
      <c r="T3" s="237" t="s">
        <v>14</v>
      </c>
      <c r="U3" s="134"/>
    </row>
    <row r="4" spans="1:21" ht="34.799999999999997" x14ac:dyDescent="0.25">
      <c r="A4" s="233"/>
      <c r="B4" s="232"/>
      <c r="C4" s="96" t="s">
        <v>12</v>
      </c>
      <c r="D4" s="132" t="s">
        <v>13</v>
      </c>
      <c r="E4" s="96" t="s">
        <v>12</v>
      </c>
      <c r="F4" s="132" t="s">
        <v>13</v>
      </c>
      <c r="G4" s="96" t="s">
        <v>12</v>
      </c>
      <c r="H4" s="132" t="s">
        <v>13</v>
      </c>
      <c r="I4" s="96" t="s">
        <v>12</v>
      </c>
      <c r="J4" s="132" t="s">
        <v>13</v>
      </c>
      <c r="K4" s="96" t="s">
        <v>12</v>
      </c>
      <c r="L4" s="132" t="s">
        <v>13</v>
      </c>
      <c r="M4" s="96" t="s">
        <v>12</v>
      </c>
      <c r="N4" s="132" t="s">
        <v>13</v>
      </c>
      <c r="O4" s="98" t="s">
        <v>12</v>
      </c>
      <c r="P4" s="132" t="s">
        <v>13</v>
      </c>
      <c r="Q4" s="232"/>
      <c r="R4" s="233"/>
      <c r="S4" s="232"/>
      <c r="T4" s="237"/>
      <c r="U4" s="134"/>
    </row>
    <row r="5" spans="1:21" ht="86.4" x14ac:dyDescent="0.25">
      <c r="A5" s="102" t="s">
        <v>295</v>
      </c>
      <c r="B5" s="100" t="s">
        <v>218</v>
      </c>
      <c r="C5" s="132" t="s">
        <v>67</v>
      </c>
      <c r="D5" s="111">
        <v>49.2</v>
      </c>
      <c r="E5" s="111"/>
      <c r="F5" s="111"/>
      <c r="G5" s="132" t="s">
        <v>71</v>
      </c>
      <c r="H5" s="111">
        <v>43.5</v>
      </c>
      <c r="I5" s="111"/>
      <c r="J5" s="111"/>
      <c r="K5" s="132" t="s">
        <v>71</v>
      </c>
      <c r="L5" s="101">
        <v>16.8</v>
      </c>
      <c r="M5" s="101"/>
      <c r="N5" s="101"/>
      <c r="O5" s="100" t="s">
        <v>20</v>
      </c>
      <c r="P5" s="111">
        <v>109.4</v>
      </c>
      <c r="Q5" s="100" t="s">
        <v>30</v>
      </c>
      <c r="R5" s="101">
        <v>62.8</v>
      </c>
      <c r="S5" s="100" t="s">
        <v>20</v>
      </c>
      <c r="T5" s="101">
        <v>25.1</v>
      </c>
      <c r="U5" s="132" t="s">
        <v>68</v>
      </c>
    </row>
    <row r="6" spans="1:21" ht="86.4" x14ac:dyDescent="0.25">
      <c r="A6" s="102" t="s">
        <v>297</v>
      </c>
      <c r="B6" s="132" t="s">
        <v>298</v>
      </c>
      <c r="C6" s="132" t="s">
        <v>67</v>
      </c>
      <c r="D6" s="101">
        <v>30.9</v>
      </c>
      <c r="E6" s="101"/>
      <c r="F6" s="101"/>
      <c r="G6" s="132" t="s">
        <v>71</v>
      </c>
      <c r="H6" s="101">
        <v>68.099999999999994</v>
      </c>
      <c r="I6" s="101"/>
      <c r="J6" s="101"/>
      <c r="K6" s="132" t="s">
        <v>71</v>
      </c>
      <c r="L6" s="111">
        <v>27.4</v>
      </c>
      <c r="M6" s="111"/>
      <c r="N6" s="111"/>
      <c r="O6" s="100" t="s">
        <v>20</v>
      </c>
      <c r="P6" s="111">
        <v>126.4</v>
      </c>
      <c r="Q6" s="100" t="s">
        <v>30</v>
      </c>
      <c r="R6" s="101">
        <v>89.1</v>
      </c>
      <c r="S6" s="100" t="s">
        <v>20</v>
      </c>
      <c r="T6" s="101">
        <v>22.7</v>
      </c>
      <c r="U6" s="132" t="s">
        <v>68</v>
      </c>
    </row>
    <row r="7" spans="1:21" ht="86.4" x14ac:dyDescent="0.25">
      <c r="A7" s="102" t="s">
        <v>301</v>
      </c>
      <c r="B7" s="100" t="s">
        <v>302</v>
      </c>
      <c r="C7" s="132" t="s">
        <v>67</v>
      </c>
      <c r="D7" s="101">
        <v>17.399999999999999</v>
      </c>
      <c r="E7" s="101"/>
      <c r="F7" s="101"/>
      <c r="G7" s="132" t="s">
        <v>71</v>
      </c>
      <c r="H7" s="111">
        <v>48.7</v>
      </c>
      <c r="I7" s="111"/>
      <c r="J7" s="111"/>
      <c r="K7" s="132" t="s">
        <v>71</v>
      </c>
      <c r="L7" s="101">
        <v>16</v>
      </c>
      <c r="M7" s="101"/>
      <c r="N7" s="101"/>
      <c r="O7" s="100" t="s">
        <v>20</v>
      </c>
      <c r="P7" s="101">
        <v>82.2</v>
      </c>
      <c r="Q7" s="100" t="s">
        <v>30</v>
      </c>
      <c r="R7" s="101">
        <v>29.7</v>
      </c>
      <c r="S7" s="100" t="s">
        <v>20</v>
      </c>
      <c r="T7" s="101">
        <v>19.8</v>
      </c>
      <c r="U7" s="132" t="s">
        <v>68</v>
      </c>
    </row>
    <row r="8" spans="1:21" ht="86.4" x14ac:dyDescent="0.25">
      <c r="A8" s="102" t="s">
        <v>305</v>
      </c>
      <c r="B8" s="100" t="s">
        <v>218</v>
      </c>
      <c r="C8" s="132" t="s">
        <v>67</v>
      </c>
      <c r="D8" s="101">
        <v>52.9</v>
      </c>
      <c r="E8" s="101"/>
      <c r="F8" s="101"/>
      <c r="G8" s="132" t="s">
        <v>71</v>
      </c>
      <c r="H8" s="111">
        <v>43.2</v>
      </c>
      <c r="I8" s="111"/>
      <c r="J8" s="111"/>
      <c r="K8" s="132" t="s">
        <v>71</v>
      </c>
      <c r="L8" s="101">
        <v>12.5</v>
      </c>
      <c r="M8" s="101"/>
      <c r="N8" s="101"/>
      <c r="O8" s="100" t="s">
        <v>20</v>
      </c>
      <c r="P8" s="111">
        <v>108.7</v>
      </c>
      <c r="Q8" s="100" t="s">
        <v>30</v>
      </c>
      <c r="R8" s="111">
        <v>64.599999999999994</v>
      </c>
      <c r="S8" s="100" t="s">
        <v>20</v>
      </c>
      <c r="T8" s="101">
        <v>25.1</v>
      </c>
      <c r="U8" s="132" t="s">
        <v>68</v>
      </c>
    </row>
    <row r="9" spans="1:21" ht="86.4" x14ac:dyDescent="0.25">
      <c r="A9" s="102" t="s">
        <v>307</v>
      </c>
      <c r="B9" s="100" t="s">
        <v>218</v>
      </c>
      <c r="C9" s="132" t="s">
        <v>67</v>
      </c>
      <c r="D9" s="101">
        <v>84.1</v>
      </c>
      <c r="E9" s="101"/>
      <c r="F9" s="101"/>
      <c r="G9" s="132" t="s">
        <v>71</v>
      </c>
      <c r="H9" s="101">
        <v>11.3</v>
      </c>
      <c r="I9" s="101"/>
      <c r="J9" s="101"/>
      <c r="K9" s="132" t="s">
        <v>71</v>
      </c>
      <c r="L9" s="101">
        <v>15.3</v>
      </c>
      <c r="M9" s="101"/>
      <c r="N9" s="101"/>
      <c r="O9" s="100" t="s">
        <v>20</v>
      </c>
      <c r="P9" s="111">
        <v>110.8</v>
      </c>
      <c r="Q9" s="100" t="s">
        <v>30</v>
      </c>
      <c r="R9" s="101">
        <v>69.5</v>
      </c>
      <c r="S9" s="100" t="s">
        <v>20</v>
      </c>
      <c r="T9" s="111">
        <v>24.8</v>
      </c>
      <c r="U9" s="132" t="s">
        <v>68</v>
      </c>
    </row>
    <row r="10" spans="1:21" ht="86.4" x14ac:dyDescent="0.25">
      <c r="A10" s="102" t="s">
        <v>309</v>
      </c>
      <c r="B10" s="100" t="s">
        <v>218</v>
      </c>
      <c r="C10" s="132" t="s">
        <v>67</v>
      </c>
      <c r="D10" s="101">
        <v>55.7</v>
      </c>
      <c r="E10" s="101"/>
      <c r="F10" s="101"/>
      <c r="G10" s="132" t="s">
        <v>71</v>
      </c>
      <c r="H10" s="101">
        <v>35.5</v>
      </c>
      <c r="I10" s="101"/>
      <c r="J10" s="101"/>
      <c r="K10" s="132" t="s">
        <v>71</v>
      </c>
      <c r="L10" s="101">
        <v>18.8</v>
      </c>
      <c r="M10" s="101"/>
      <c r="N10" s="101"/>
      <c r="O10" s="100" t="s">
        <v>20</v>
      </c>
      <c r="P10" s="111">
        <v>110</v>
      </c>
      <c r="Q10" s="100" t="s">
        <v>30</v>
      </c>
      <c r="R10" s="111">
        <v>65.400000000000006</v>
      </c>
      <c r="S10" s="100" t="s">
        <v>20</v>
      </c>
      <c r="T10" s="101">
        <v>25.2</v>
      </c>
      <c r="U10" s="132" t="s">
        <v>68</v>
      </c>
    </row>
    <row r="11" spans="1:21" ht="86.4" x14ac:dyDescent="0.25">
      <c r="A11" s="102" t="s">
        <v>311</v>
      </c>
      <c r="B11" s="100" t="s">
        <v>218</v>
      </c>
      <c r="C11" s="132" t="s">
        <v>67</v>
      </c>
      <c r="D11" s="101">
        <v>55.3</v>
      </c>
      <c r="E11" s="101"/>
      <c r="F11" s="101"/>
      <c r="G11" s="132" t="s">
        <v>71</v>
      </c>
      <c r="H11" s="101">
        <v>36.700000000000003</v>
      </c>
      <c r="I11" s="101"/>
      <c r="J11" s="101"/>
      <c r="K11" s="132" t="s">
        <v>71</v>
      </c>
      <c r="L11" s="101">
        <v>15.3</v>
      </c>
      <c r="M11" s="101"/>
      <c r="N11" s="101"/>
      <c r="O11" s="100" t="s">
        <v>20</v>
      </c>
      <c r="P11" s="111">
        <v>107.3</v>
      </c>
      <c r="Q11" s="100" t="s">
        <v>30</v>
      </c>
      <c r="R11" s="101">
        <v>63.7</v>
      </c>
      <c r="S11" s="100" t="s">
        <v>20</v>
      </c>
      <c r="T11" s="101">
        <v>32.6</v>
      </c>
      <c r="U11" s="132" t="s">
        <v>68</v>
      </c>
    </row>
    <row r="12" spans="1:21" ht="86.4" x14ac:dyDescent="0.25">
      <c r="A12" s="102" t="s">
        <v>313</v>
      </c>
      <c r="B12" s="100" t="s">
        <v>218</v>
      </c>
      <c r="C12" s="132" t="s">
        <v>67</v>
      </c>
      <c r="D12" s="101">
        <v>88.8</v>
      </c>
      <c r="E12" s="101"/>
      <c r="F12" s="101"/>
      <c r="G12" s="132" t="s">
        <v>71</v>
      </c>
      <c r="H12" s="101">
        <v>14.9</v>
      </c>
      <c r="I12" s="101"/>
      <c r="J12" s="101"/>
      <c r="K12" s="102" t="s">
        <v>19</v>
      </c>
      <c r="L12" s="101">
        <v>0</v>
      </c>
      <c r="M12" s="101"/>
      <c r="N12" s="101"/>
      <c r="O12" s="100" t="s">
        <v>20</v>
      </c>
      <c r="P12" s="111">
        <v>103.7</v>
      </c>
      <c r="Q12" s="100" t="s">
        <v>30</v>
      </c>
      <c r="R12" s="111">
        <v>123.1</v>
      </c>
      <c r="S12" s="100" t="s">
        <v>20</v>
      </c>
      <c r="T12" s="101">
        <v>33.299999999999997</v>
      </c>
      <c r="U12" s="132" t="s">
        <v>68</v>
      </c>
    </row>
    <row r="13" spans="1:21" ht="86.4" x14ac:dyDescent="0.25">
      <c r="A13" s="102" t="s">
        <v>315</v>
      </c>
      <c r="B13" s="100" t="s">
        <v>81</v>
      </c>
      <c r="C13" s="132" t="s">
        <v>94</v>
      </c>
      <c r="D13" s="101">
        <v>7.1</v>
      </c>
      <c r="E13" s="101"/>
      <c r="F13" s="101"/>
      <c r="G13" s="102" t="s">
        <v>19</v>
      </c>
      <c r="H13" s="101">
        <v>0</v>
      </c>
      <c r="I13" s="101"/>
      <c r="J13" s="101"/>
      <c r="K13" s="132" t="s">
        <v>74</v>
      </c>
      <c r="L13" s="101">
        <v>27.1</v>
      </c>
      <c r="M13" s="101"/>
      <c r="N13" s="101"/>
      <c r="O13" s="100" t="s">
        <v>20</v>
      </c>
      <c r="P13" s="111">
        <v>34.200000000000003</v>
      </c>
      <c r="Q13" s="132" t="s">
        <v>21</v>
      </c>
      <c r="R13" s="101">
        <v>5.4</v>
      </c>
      <c r="S13" s="100" t="s">
        <v>20</v>
      </c>
      <c r="T13" s="101">
        <v>8.1999999999999993</v>
      </c>
      <c r="U13" s="132" t="s">
        <v>68</v>
      </c>
    </row>
    <row r="14" spans="1:21" ht="86.4" x14ac:dyDescent="0.25">
      <c r="A14" s="102" t="s">
        <v>296</v>
      </c>
      <c r="B14" s="100" t="s">
        <v>228</v>
      </c>
      <c r="C14" s="132" t="s">
        <v>94</v>
      </c>
      <c r="D14" s="111">
        <v>49.2</v>
      </c>
      <c r="E14" s="111"/>
      <c r="F14" s="111"/>
      <c r="G14" s="102" t="s">
        <v>19</v>
      </c>
      <c r="H14" s="101">
        <v>0</v>
      </c>
      <c r="I14" s="101"/>
      <c r="J14" s="101"/>
      <c r="K14" s="132" t="s">
        <v>74</v>
      </c>
      <c r="L14" s="101">
        <v>29.9</v>
      </c>
      <c r="M14" s="101"/>
      <c r="N14" s="101"/>
      <c r="O14" s="100" t="s">
        <v>20</v>
      </c>
      <c r="P14" s="101">
        <v>79.099999999999994</v>
      </c>
      <c r="Q14" s="132" t="s">
        <v>21</v>
      </c>
      <c r="R14" s="101">
        <v>15.8</v>
      </c>
      <c r="S14" s="100" t="s">
        <v>20</v>
      </c>
      <c r="T14" s="111">
        <v>20.2</v>
      </c>
      <c r="U14" s="132" t="s">
        <v>68</v>
      </c>
    </row>
    <row r="15" spans="1:21" ht="115.2" x14ac:dyDescent="0.25">
      <c r="A15" s="102" t="s">
        <v>299</v>
      </c>
      <c r="B15" s="132" t="s">
        <v>300</v>
      </c>
      <c r="C15" s="132" t="s">
        <v>67</v>
      </c>
      <c r="D15" s="111">
        <v>316.89999999999998</v>
      </c>
      <c r="E15" s="111"/>
      <c r="F15" s="111"/>
      <c r="G15" s="132" t="s">
        <v>71</v>
      </c>
      <c r="H15" s="111">
        <v>124.2</v>
      </c>
      <c r="I15" s="111"/>
      <c r="J15" s="111"/>
      <c r="K15" s="132" t="s">
        <v>71</v>
      </c>
      <c r="L15" s="101">
        <v>26.1</v>
      </c>
      <c r="M15" s="101"/>
      <c r="N15" s="101"/>
      <c r="O15" s="100" t="s">
        <v>20</v>
      </c>
      <c r="P15" s="111">
        <v>467.2</v>
      </c>
      <c r="Q15" s="132" t="s">
        <v>21</v>
      </c>
      <c r="R15" s="111">
        <v>256.89999999999998</v>
      </c>
      <c r="S15" s="100" t="s">
        <v>20</v>
      </c>
      <c r="T15" s="111">
        <v>80.400000000000006</v>
      </c>
      <c r="U15" s="132" t="s">
        <v>68</v>
      </c>
    </row>
    <row r="16" spans="1:21" ht="86.4" x14ac:dyDescent="0.25">
      <c r="A16" s="102" t="s">
        <v>303</v>
      </c>
      <c r="B16" s="102" t="s">
        <v>304</v>
      </c>
      <c r="C16" s="132" t="s">
        <v>67</v>
      </c>
      <c r="D16" s="101">
        <v>78.7</v>
      </c>
      <c r="E16" s="101"/>
      <c r="F16" s="101"/>
      <c r="G16" s="102" t="s">
        <v>19</v>
      </c>
      <c r="H16" s="101">
        <v>0</v>
      </c>
      <c r="I16" s="101"/>
      <c r="J16" s="101"/>
      <c r="K16" s="102" t="s">
        <v>19</v>
      </c>
      <c r="L16" s="101">
        <v>0</v>
      </c>
      <c r="M16" s="101"/>
      <c r="N16" s="101"/>
      <c r="O16" s="100" t="s">
        <v>20</v>
      </c>
      <c r="P16" s="111">
        <v>78.7</v>
      </c>
      <c r="Q16" s="100" t="s">
        <v>30</v>
      </c>
      <c r="R16" s="101">
        <v>13.3</v>
      </c>
      <c r="S16" s="100" t="s">
        <v>20</v>
      </c>
      <c r="T16" s="111">
        <v>13.8</v>
      </c>
      <c r="U16" s="132" t="s">
        <v>68</v>
      </c>
    </row>
    <row r="17" spans="1:21" ht="86.4" x14ac:dyDescent="0.25">
      <c r="A17" s="102" t="s">
        <v>306</v>
      </c>
      <c r="B17" s="100" t="s">
        <v>98</v>
      </c>
      <c r="C17" s="132" t="s">
        <v>94</v>
      </c>
      <c r="D17" s="101">
        <v>13.6</v>
      </c>
      <c r="E17" s="101"/>
      <c r="F17" s="101"/>
      <c r="G17" s="132" t="s">
        <v>74</v>
      </c>
      <c r="H17" s="101">
        <v>16.3</v>
      </c>
      <c r="I17" s="101"/>
      <c r="J17" s="101"/>
      <c r="K17" s="132" t="s">
        <v>74</v>
      </c>
      <c r="L17" s="101">
        <v>6.7</v>
      </c>
      <c r="M17" s="101"/>
      <c r="N17" s="101"/>
      <c r="O17" s="100" t="s">
        <v>20</v>
      </c>
      <c r="P17" s="111">
        <v>36.6</v>
      </c>
      <c r="Q17" s="132" t="s">
        <v>21</v>
      </c>
      <c r="R17" s="101">
        <v>5.4</v>
      </c>
      <c r="S17" s="100" t="s">
        <v>20</v>
      </c>
      <c r="T17" s="101">
        <v>8.9</v>
      </c>
      <c r="U17" s="132" t="s">
        <v>68</v>
      </c>
    </row>
    <row r="18" spans="1:21" ht="86.4" x14ac:dyDescent="0.25">
      <c r="A18" s="102" t="s">
        <v>308</v>
      </c>
      <c r="B18" s="100" t="s">
        <v>102</v>
      </c>
      <c r="C18" s="132" t="s">
        <v>94</v>
      </c>
      <c r="D18" s="101">
        <v>16</v>
      </c>
      <c r="E18" s="101"/>
      <c r="F18" s="101"/>
      <c r="G18" s="132" t="s">
        <v>74</v>
      </c>
      <c r="H18" s="101">
        <v>15</v>
      </c>
      <c r="I18" s="101"/>
      <c r="J18" s="101"/>
      <c r="K18" s="132" t="s">
        <v>74</v>
      </c>
      <c r="L18" s="101">
        <v>30</v>
      </c>
      <c r="M18" s="101"/>
      <c r="N18" s="101"/>
      <c r="O18" s="100" t="s">
        <v>20</v>
      </c>
      <c r="P18" s="101">
        <v>61</v>
      </c>
      <c r="Q18" s="132" t="s">
        <v>21</v>
      </c>
      <c r="R18" s="101">
        <v>11.9</v>
      </c>
      <c r="S18" s="100" t="s">
        <v>20</v>
      </c>
      <c r="T18" s="111">
        <v>15</v>
      </c>
      <c r="U18" s="132" t="s">
        <v>68</v>
      </c>
    </row>
    <row r="19" spans="1:21" ht="86.4" x14ac:dyDescent="0.25">
      <c r="A19" s="102" t="s">
        <v>310</v>
      </c>
      <c r="B19" s="100" t="s">
        <v>254</v>
      </c>
      <c r="C19" s="132" t="s">
        <v>67</v>
      </c>
      <c r="D19" s="101">
        <v>31.8</v>
      </c>
      <c r="E19" s="101"/>
      <c r="F19" s="101"/>
      <c r="G19" s="132" t="s">
        <v>71</v>
      </c>
      <c r="H19" s="101">
        <v>16.2</v>
      </c>
      <c r="I19" s="101"/>
      <c r="J19" s="101"/>
      <c r="K19" s="132" t="s">
        <v>71</v>
      </c>
      <c r="L19" s="101">
        <v>1.2</v>
      </c>
      <c r="M19" s="101"/>
      <c r="N19" s="101"/>
      <c r="O19" s="100" t="s">
        <v>20</v>
      </c>
      <c r="P19" s="101">
        <v>49.1</v>
      </c>
      <c r="Q19" s="100" t="s">
        <v>30</v>
      </c>
      <c r="R19" s="101">
        <v>25.8</v>
      </c>
      <c r="S19" s="100" t="s">
        <v>20</v>
      </c>
      <c r="T19" s="111">
        <v>14.5</v>
      </c>
      <c r="U19" s="132" t="s">
        <v>68</v>
      </c>
    </row>
    <row r="20" spans="1:21" ht="86.4" x14ac:dyDescent="0.25">
      <c r="A20" s="102" t="s">
        <v>312</v>
      </c>
      <c r="B20" s="100" t="s">
        <v>126</v>
      </c>
      <c r="C20" s="132" t="s">
        <v>67</v>
      </c>
      <c r="D20" s="111">
        <v>78.400000000000006</v>
      </c>
      <c r="E20" s="111"/>
      <c r="F20" s="111"/>
      <c r="G20" s="102" t="s">
        <v>19</v>
      </c>
      <c r="H20" s="101">
        <v>0</v>
      </c>
      <c r="I20" s="101"/>
      <c r="J20" s="101"/>
      <c r="K20" s="102" t="s">
        <v>19</v>
      </c>
      <c r="L20" s="101">
        <v>0</v>
      </c>
      <c r="M20" s="101"/>
      <c r="N20" s="101"/>
      <c r="O20" s="100" t="s">
        <v>20</v>
      </c>
      <c r="P20" s="111">
        <v>78.400000000000006</v>
      </c>
      <c r="Q20" s="132" t="s">
        <v>21</v>
      </c>
      <c r="R20" s="111">
        <v>45</v>
      </c>
      <c r="S20" s="100" t="s">
        <v>20</v>
      </c>
      <c r="T20" s="101">
        <v>17.100000000000001</v>
      </c>
      <c r="U20" s="132" t="s">
        <v>68</v>
      </c>
    </row>
    <row r="21" spans="1:21" ht="86.4" x14ac:dyDescent="0.25">
      <c r="A21" s="102" t="s">
        <v>314</v>
      </c>
      <c r="B21" s="102" t="s">
        <v>265</v>
      </c>
      <c r="C21" s="132" t="s">
        <v>67</v>
      </c>
      <c r="D21" s="101">
        <v>94.1</v>
      </c>
      <c r="E21" s="101"/>
      <c r="F21" s="101"/>
      <c r="G21" s="132" t="s">
        <v>71</v>
      </c>
      <c r="H21" s="111">
        <v>54.2</v>
      </c>
      <c r="I21" s="111"/>
      <c r="J21" s="111"/>
      <c r="K21" s="132" t="s">
        <v>71</v>
      </c>
      <c r="L21" s="101">
        <v>8.8000000000000007</v>
      </c>
      <c r="M21" s="101"/>
      <c r="N21" s="101"/>
      <c r="O21" s="100" t="s">
        <v>20</v>
      </c>
      <c r="P21" s="111">
        <v>157.1</v>
      </c>
      <c r="Q21" s="132" t="s">
        <v>21</v>
      </c>
      <c r="R21" s="111">
        <v>207</v>
      </c>
      <c r="S21" s="100" t="s">
        <v>20</v>
      </c>
      <c r="T21" s="111">
        <v>34.200000000000003</v>
      </c>
      <c r="U21" s="132" t="s">
        <v>68</v>
      </c>
    </row>
    <row r="22" spans="1:21" ht="86.4" x14ac:dyDescent="0.25">
      <c r="A22" s="102" t="s">
        <v>316</v>
      </c>
      <c r="B22" s="102" t="s">
        <v>32</v>
      </c>
      <c r="C22" s="132" t="s">
        <v>67</v>
      </c>
      <c r="D22" s="111">
        <v>150.9</v>
      </c>
      <c r="E22" s="111"/>
      <c r="F22" s="111"/>
      <c r="G22" s="132" t="s">
        <v>71</v>
      </c>
      <c r="H22" s="111">
        <v>117.1</v>
      </c>
      <c r="I22" s="111"/>
      <c r="J22" s="111"/>
      <c r="K22" s="132" t="s">
        <v>71</v>
      </c>
      <c r="L22" s="101">
        <v>2.2000000000000002</v>
      </c>
      <c r="M22" s="101"/>
      <c r="N22" s="101"/>
      <c r="O22" s="100" t="s">
        <v>20</v>
      </c>
      <c r="P22" s="111">
        <v>270.2</v>
      </c>
      <c r="Q22" s="132" t="s">
        <v>21</v>
      </c>
      <c r="R22" s="111">
        <v>218.4</v>
      </c>
      <c r="S22" s="100" t="s">
        <v>20</v>
      </c>
      <c r="T22" s="111">
        <v>52.4</v>
      </c>
      <c r="U22" s="132" t="s">
        <v>68</v>
      </c>
    </row>
    <row r="23" spans="1:21" ht="115.2" x14ac:dyDescent="0.25">
      <c r="A23" s="60" t="s">
        <v>318</v>
      </c>
      <c r="B23" s="38" t="s">
        <v>187</v>
      </c>
      <c r="C23" s="3" t="s">
        <v>337</v>
      </c>
      <c r="D23" s="61">
        <v>27.9</v>
      </c>
      <c r="E23" s="61"/>
      <c r="F23" s="61"/>
      <c r="G23" s="3" t="s">
        <v>337</v>
      </c>
      <c r="H23" s="90">
        <v>15.1</v>
      </c>
      <c r="I23" s="90"/>
      <c r="J23" s="90"/>
      <c r="K23" s="3" t="s">
        <v>337</v>
      </c>
      <c r="L23" s="39">
        <v>33.700000000000003</v>
      </c>
      <c r="M23" s="141"/>
      <c r="N23" s="40"/>
      <c r="O23" s="44" t="s">
        <v>20</v>
      </c>
      <c r="P23" s="42">
        <v>76.8</v>
      </c>
      <c r="Q23" s="93" t="s">
        <v>178</v>
      </c>
      <c r="R23" s="61">
        <v>21.6</v>
      </c>
      <c r="S23" s="38" t="s">
        <v>20</v>
      </c>
      <c r="T23" s="39">
        <v>18.100000000000001</v>
      </c>
      <c r="U23" s="41" t="s">
        <v>19</v>
      </c>
    </row>
    <row r="24" spans="1:21" ht="115.2" x14ac:dyDescent="0.25">
      <c r="A24" s="124" t="s">
        <v>320</v>
      </c>
      <c r="B24" s="124" t="s">
        <v>194</v>
      </c>
      <c r="C24" s="3" t="s">
        <v>337</v>
      </c>
      <c r="D24" s="126">
        <v>27.8</v>
      </c>
      <c r="E24" s="126"/>
      <c r="F24" s="126"/>
      <c r="G24" s="124" t="s">
        <v>19</v>
      </c>
      <c r="H24" s="126">
        <v>0</v>
      </c>
      <c r="I24" s="126"/>
      <c r="J24" s="126"/>
      <c r="K24" s="136" t="s">
        <v>321</v>
      </c>
      <c r="L24" s="62">
        <v>34.200000000000003</v>
      </c>
      <c r="M24" s="142"/>
      <c r="N24" s="63"/>
      <c r="O24" s="93" t="s">
        <v>20</v>
      </c>
      <c r="P24" s="62">
        <v>62</v>
      </c>
      <c r="Q24" s="93" t="s">
        <v>178</v>
      </c>
      <c r="R24" s="126">
        <v>51.6</v>
      </c>
      <c r="S24" s="136" t="s">
        <v>20</v>
      </c>
      <c r="T24" s="62">
        <v>14.1</v>
      </c>
      <c r="U24" s="64" t="s">
        <v>19</v>
      </c>
    </row>
    <row r="25" spans="1:21" ht="115.2" x14ac:dyDescent="0.25">
      <c r="A25" s="60" t="s">
        <v>323</v>
      </c>
      <c r="B25" s="37" t="s">
        <v>189</v>
      </c>
      <c r="C25" s="3" t="s">
        <v>337</v>
      </c>
      <c r="D25" s="68">
        <v>0.1</v>
      </c>
      <c r="E25" s="68"/>
      <c r="F25" s="68"/>
      <c r="G25" s="3" t="s">
        <v>337</v>
      </c>
      <c r="H25" s="90">
        <v>5</v>
      </c>
      <c r="I25" s="90"/>
      <c r="J25" s="90"/>
      <c r="K25" s="3" t="s">
        <v>337</v>
      </c>
      <c r="L25" s="42">
        <v>34.4</v>
      </c>
      <c r="M25" s="143"/>
      <c r="N25" s="43"/>
      <c r="O25" s="44" t="s">
        <v>20</v>
      </c>
      <c r="P25" s="42">
        <v>39.5</v>
      </c>
      <c r="Q25" s="44" t="s">
        <v>178</v>
      </c>
      <c r="R25" s="68">
        <v>6.7</v>
      </c>
      <c r="S25" s="38" t="s">
        <v>20</v>
      </c>
      <c r="T25" s="39">
        <v>9</v>
      </c>
      <c r="U25" s="93" t="s">
        <v>324</v>
      </c>
    </row>
    <row r="26" spans="1:21" ht="115.2" x14ac:dyDescent="0.3">
      <c r="A26" s="69" t="s">
        <v>326</v>
      </c>
      <c r="B26" s="46" t="s">
        <v>192</v>
      </c>
      <c r="C26" s="3" t="s">
        <v>337</v>
      </c>
      <c r="D26" s="70">
        <v>8.5</v>
      </c>
      <c r="E26" s="70"/>
      <c r="F26" s="70"/>
      <c r="G26" s="71" t="s">
        <v>19</v>
      </c>
      <c r="H26" s="72">
        <v>0</v>
      </c>
      <c r="I26" s="72"/>
      <c r="J26" s="72"/>
      <c r="K26" s="3" t="s">
        <v>337</v>
      </c>
      <c r="L26" s="73">
        <v>78.5</v>
      </c>
      <c r="M26" s="144"/>
      <c r="N26" s="74"/>
      <c r="O26" s="47" t="s">
        <v>20</v>
      </c>
      <c r="P26" s="75">
        <v>87</v>
      </c>
      <c r="Q26" s="93" t="s">
        <v>178</v>
      </c>
      <c r="R26" s="76">
        <v>29.6</v>
      </c>
      <c r="S26" s="46" t="s">
        <v>20</v>
      </c>
      <c r="T26" s="75">
        <v>21.7</v>
      </c>
      <c r="U26" s="93" t="s">
        <v>327</v>
      </c>
    </row>
    <row r="27" spans="1:21" ht="115.2" x14ac:dyDescent="0.25">
      <c r="A27" s="60" t="s">
        <v>329</v>
      </c>
      <c r="B27" s="136" t="s">
        <v>330</v>
      </c>
      <c r="C27" s="3" t="s">
        <v>337</v>
      </c>
      <c r="D27" s="61">
        <v>56.3</v>
      </c>
      <c r="E27" s="61"/>
      <c r="F27" s="61"/>
      <c r="G27" s="3" t="s">
        <v>337</v>
      </c>
      <c r="H27" s="90">
        <v>59.7</v>
      </c>
      <c r="I27" s="90"/>
      <c r="J27" s="90"/>
      <c r="K27" s="3" t="s">
        <v>337</v>
      </c>
      <c r="L27" s="39">
        <v>9.1</v>
      </c>
      <c r="M27" s="141"/>
      <c r="N27" s="40"/>
      <c r="O27" s="44" t="s">
        <v>20</v>
      </c>
      <c r="P27" s="42">
        <v>125.1</v>
      </c>
      <c r="Q27" s="93" t="s">
        <v>178</v>
      </c>
      <c r="R27" s="61">
        <v>78.3</v>
      </c>
      <c r="S27" s="38" t="s">
        <v>20</v>
      </c>
      <c r="T27" s="42">
        <v>35.6</v>
      </c>
      <c r="U27" s="41" t="s">
        <v>19</v>
      </c>
    </row>
    <row r="28" spans="1:21" ht="115.2" x14ac:dyDescent="0.25">
      <c r="A28" s="57" t="s">
        <v>332</v>
      </c>
      <c r="B28" s="136" t="s">
        <v>333</v>
      </c>
      <c r="C28" s="127" t="s">
        <v>17</v>
      </c>
      <c r="D28" s="65">
        <v>33.799999999999997</v>
      </c>
      <c r="E28" s="65"/>
      <c r="F28" s="65"/>
      <c r="G28" s="127" t="s">
        <v>18</v>
      </c>
      <c r="H28" s="126">
        <v>4.8</v>
      </c>
      <c r="I28" s="126"/>
      <c r="J28" s="126"/>
      <c r="K28" s="127" t="s">
        <v>18</v>
      </c>
      <c r="L28" s="66">
        <v>2.6</v>
      </c>
      <c r="M28" s="145"/>
      <c r="N28" s="67"/>
      <c r="O28" s="93" t="s">
        <v>20</v>
      </c>
      <c r="P28" s="66">
        <v>41.2</v>
      </c>
      <c r="Q28" s="93" t="s">
        <v>178</v>
      </c>
      <c r="R28" s="77">
        <v>6.9</v>
      </c>
      <c r="S28" s="136" t="s">
        <v>20</v>
      </c>
      <c r="T28" s="62">
        <v>10</v>
      </c>
      <c r="U28" s="64" t="s">
        <v>19</v>
      </c>
    </row>
    <row r="29" spans="1:21" ht="115.2" x14ac:dyDescent="0.25">
      <c r="A29" s="7" t="s">
        <v>335</v>
      </c>
      <c r="B29" s="3" t="s">
        <v>336</v>
      </c>
      <c r="C29" s="3" t="s">
        <v>337</v>
      </c>
      <c r="D29" s="9">
        <v>44.1</v>
      </c>
      <c r="E29" s="10" t="s">
        <v>19</v>
      </c>
      <c r="F29" s="9">
        <v>0</v>
      </c>
      <c r="G29" s="3" t="s">
        <v>338</v>
      </c>
      <c r="H29" s="9">
        <v>64.400000000000006</v>
      </c>
      <c r="I29" s="9"/>
      <c r="J29" s="9"/>
      <c r="K29" s="3" t="s">
        <v>338</v>
      </c>
      <c r="L29" s="9">
        <v>5.7</v>
      </c>
      <c r="M29" s="9"/>
      <c r="N29" s="9"/>
      <c r="O29" s="8" t="s">
        <v>20</v>
      </c>
      <c r="P29" s="9">
        <v>114.2</v>
      </c>
      <c r="Q29" s="8" t="s">
        <v>339</v>
      </c>
      <c r="R29" s="9">
        <v>77.8</v>
      </c>
      <c r="S29" s="8" t="s">
        <v>20</v>
      </c>
      <c r="T29" s="9">
        <v>31.9</v>
      </c>
      <c r="U29" s="10" t="s">
        <v>19</v>
      </c>
    </row>
    <row r="30" spans="1:21" ht="86.4" x14ac:dyDescent="0.25">
      <c r="A30" s="7" t="s">
        <v>340</v>
      </c>
      <c r="B30" s="8" t="s">
        <v>341</v>
      </c>
      <c r="C30" s="3" t="s">
        <v>342</v>
      </c>
      <c r="D30" s="9">
        <v>9.1</v>
      </c>
      <c r="E30" s="10" t="s">
        <v>19</v>
      </c>
      <c r="F30" s="9">
        <v>0</v>
      </c>
      <c r="G30" s="3" t="s">
        <v>343</v>
      </c>
      <c r="H30" s="9">
        <v>16.399999999999999</v>
      </c>
      <c r="I30" s="9"/>
      <c r="J30" s="9"/>
      <c r="K30" s="3" t="s">
        <v>343</v>
      </c>
      <c r="L30" s="9">
        <v>13.6</v>
      </c>
      <c r="M30" s="9"/>
      <c r="N30" s="9"/>
      <c r="O30" s="8" t="s">
        <v>20</v>
      </c>
      <c r="P30" s="9">
        <v>39.1</v>
      </c>
      <c r="Q30" s="8" t="s">
        <v>339</v>
      </c>
      <c r="R30" s="9">
        <v>6</v>
      </c>
      <c r="S30" s="8" t="s">
        <v>20</v>
      </c>
      <c r="T30" s="9">
        <v>9.4</v>
      </c>
      <c r="U30" s="3" t="s">
        <v>68</v>
      </c>
    </row>
    <row r="31" spans="1:21" ht="86.4" x14ac:dyDescent="0.25">
      <c r="A31" s="7" t="s">
        <v>344</v>
      </c>
      <c r="B31" s="8" t="s">
        <v>345</v>
      </c>
      <c r="C31" s="3" t="s">
        <v>342</v>
      </c>
      <c r="D31" s="9">
        <v>24.8</v>
      </c>
      <c r="E31" s="10" t="s">
        <v>19</v>
      </c>
      <c r="F31" s="9">
        <v>0</v>
      </c>
      <c r="G31" s="10" t="s">
        <v>19</v>
      </c>
      <c r="H31" s="9">
        <v>0</v>
      </c>
      <c r="I31" s="9"/>
      <c r="J31" s="9"/>
      <c r="K31" s="3" t="s">
        <v>343</v>
      </c>
      <c r="L31" s="9">
        <v>13.6</v>
      </c>
      <c r="M31" s="9"/>
      <c r="N31" s="9"/>
      <c r="O31" s="8" t="s">
        <v>20</v>
      </c>
      <c r="P31" s="9">
        <v>38.5</v>
      </c>
      <c r="Q31" s="8" t="s">
        <v>339</v>
      </c>
      <c r="R31" s="9">
        <v>6.1</v>
      </c>
      <c r="S31" s="8" t="s">
        <v>20</v>
      </c>
      <c r="T31" s="9">
        <v>9.5</v>
      </c>
      <c r="U31" s="3" t="s">
        <v>68</v>
      </c>
    </row>
    <row r="32" spans="1:21" ht="172.8" x14ac:dyDescent="0.25">
      <c r="A32" s="7" t="s">
        <v>346</v>
      </c>
      <c r="B32" s="8" t="s">
        <v>209</v>
      </c>
      <c r="C32" s="3" t="s">
        <v>337</v>
      </c>
      <c r="D32" s="9">
        <v>103.5</v>
      </c>
      <c r="E32" s="10" t="s">
        <v>19</v>
      </c>
      <c r="F32" s="9">
        <v>0</v>
      </c>
      <c r="G32" s="10" t="s">
        <v>19</v>
      </c>
      <c r="H32" s="9">
        <v>0</v>
      </c>
      <c r="I32" s="9"/>
      <c r="J32" s="9"/>
      <c r="K32" s="10" t="s">
        <v>19</v>
      </c>
      <c r="L32" s="9">
        <v>0</v>
      </c>
      <c r="M32" s="9"/>
      <c r="N32" s="9"/>
      <c r="O32" s="8" t="s">
        <v>20</v>
      </c>
      <c r="P32" s="9">
        <v>103.5</v>
      </c>
      <c r="Q32" s="3" t="s">
        <v>347</v>
      </c>
      <c r="R32" s="9">
        <v>32.1</v>
      </c>
      <c r="S32" s="8" t="s">
        <v>20</v>
      </c>
      <c r="T32" s="9">
        <v>28.7</v>
      </c>
      <c r="U32" s="10" t="s">
        <v>19</v>
      </c>
    </row>
    <row r="33" spans="1:21" ht="115.2" x14ac:dyDescent="0.25">
      <c r="A33" s="7" t="s">
        <v>348</v>
      </c>
      <c r="B33" s="8" t="s">
        <v>254</v>
      </c>
      <c r="C33" s="3" t="s">
        <v>337</v>
      </c>
      <c r="D33" s="9">
        <v>19.3</v>
      </c>
      <c r="E33" s="10" t="s">
        <v>19</v>
      </c>
      <c r="F33" s="9">
        <v>0</v>
      </c>
      <c r="G33" s="3" t="s">
        <v>338</v>
      </c>
      <c r="H33" s="9">
        <v>4.5999999999999996</v>
      </c>
      <c r="I33" s="9"/>
      <c r="J33" s="9"/>
      <c r="K33" s="3" t="s">
        <v>338</v>
      </c>
      <c r="L33" s="9">
        <v>13.1</v>
      </c>
      <c r="M33" s="9"/>
      <c r="N33" s="9"/>
      <c r="O33" s="8" t="s">
        <v>20</v>
      </c>
      <c r="P33" s="9">
        <v>37</v>
      </c>
      <c r="Q33" s="8" t="s">
        <v>339</v>
      </c>
      <c r="R33" s="9">
        <v>5.9</v>
      </c>
      <c r="S33" s="8" t="s">
        <v>20</v>
      </c>
      <c r="T33" s="9">
        <v>7.9</v>
      </c>
      <c r="U33" s="10" t="s">
        <v>19</v>
      </c>
    </row>
    <row r="34" spans="1:21" ht="129.6" x14ac:dyDescent="0.25">
      <c r="A34" s="7" t="s">
        <v>349</v>
      </c>
      <c r="B34" s="8" t="s">
        <v>102</v>
      </c>
      <c r="C34" s="3" t="s">
        <v>342</v>
      </c>
      <c r="D34" s="9">
        <v>10.9</v>
      </c>
      <c r="E34" s="3" t="s">
        <v>343</v>
      </c>
      <c r="F34" s="9">
        <v>5.2</v>
      </c>
      <c r="G34" s="3" t="s">
        <v>343</v>
      </c>
      <c r="H34" s="9">
        <v>12.8</v>
      </c>
      <c r="I34" s="9"/>
      <c r="J34" s="9"/>
      <c r="K34" s="3" t="s">
        <v>343</v>
      </c>
      <c r="L34" s="9">
        <v>11.5</v>
      </c>
      <c r="M34" s="9"/>
      <c r="N34" s="9"/>
      <c r="O34" s="8" t="s">
        <v>20</v>
      </c>
      <c r="P34" s="9">
        <v>40.4</v>
      </c>
      <c r="Q34" s="8" t="s">
        <v>339</v>
      </c>
      <c r="R34" s="9">
        <v>6.3</v>
      </c>
      <c r="S34" s="8" t="s">
        <v>20</v>
      </c>
      <c r="T34" s="9">
        <v>9.8000000000000007</v>
      </c>
      <c r="U34" s="3" t="s">
        <v>68</v>
      </c>
    </row>
    <row r="35" spans="1:21" ht="172.8" x14ac:dyDescent="0.25">
      <c r="A35" s="7" t="s">
        <v>350</v>
      </c>
      <c r="B35" s="10" t="s">
        <v>32</v>
      </c>
      <c r="C35" s="3" t="s">
        <v>337</v>
      </c>
      <c r="D35" s="9">
        <v>40.799999999999997</v>
      </c>
      <c r="E35" s="3" t="s">
        <v>338</v>
      </c>
      <c r="F35" s="9">
        <v>3.7</v>
      </c>
      <c r="G35" s="3" t="s">
        <v>338</v>
      </c>
      <c r="H35" s="9">
        <v>43.9</v>
      </c>
      <c r="I35" s="9"/>
      <c r="J35" s="9"/>
      <c r="K35" s="3" t="s">
        <v>338</v>
      </c>
      <c r="L35" s="9">
        <v>4.9000000000000004</v>
      </c>
      <c r="M35" s="9"/>
      <c r="N35" s="9"/>
      <c r="O35" s="8" t="s">
        <v>20</v>
      </c>
      <c r="P35" s="9">
        <v>93.3</v>
      </c>
      <c r="Q35" s="8" t="s">
        <v>339</v>
      </c>
      <c r="R35" s="9">
        <v>38.700000000000003</v>
      </c>
      <c r="S35" s="8" t="s">
        <v>20</v>
      </c>
      <c r="T35" s="9">
        <v>16.899999999999999</v>
      </c>
      <c r="U35" s="10" t="s">
        <v>19</v>
      </c>
    </row>
    <row r="36" spans="1:21" ht="115.2" x14ac:dyDescent="0.25">
      <c r="A36" s="7" t="s">
        <v>351</v>
      </c>
      <c r="B36" s="10" t="s">
        <v>32</v>
      </c>
      <c r="C36" s="3" t="s">
        <v>337</v>
      </c>
      <c r="D36" s="9">
        <v>58</v>
      </c>
      <c r="E36" s="10" t="s">
        <v>19</v>
      </c>
      <c r="F36" s="9">
        <v>0</v>
      </c>
      <c r="G36" s="3" t="s">
        <v>338</v>
      </c>
      <c r="H36" s="9">
        <v>115.9</v>
      </c>
      <c r="I36" s="9"/>
      <c r="J36" s="9"/>
      <c r="K36" s="3" t="s">
        <v>338</v>
      </c>
      <c r="L36" s="9">
        <v>7</v>
      </c>
      <c r="M36" s="9"/>
      <c r="N36" s="9"/>
      <c r="O36" s="8" t="s">
        <v>20</v>
      </c>
      <c r="P36" s="9">
        <v>180.9</v>
      </c>
      <c r="Q36" s="8" t="s">
        <v>339</v>
      </c>
      <c r="R36" s="9">
        <v>62.9</v>
      </c>
      <c r="S36" s="8" t="s">
        <v>20</v>
      </c>
      <c r="T36" s="9">
        <v>40.1</v>
      </c>
      <c r="U36" s="10" t="s">
        <v>19</v>
      </c>
    </row>
    <row r="37" spans="1:21" ht="172.8" x14ac:dyDescent="0.25">
      <c r="A37" s="7" t="s">
        <v>352</v>
      </c>
      <c r="B37" s="8" t="s">
        <v>212</v>
      </c>
      <c r="C37" s="3" t="s">
        <v>337</v>
      </c>
      <c r="D37" s="9">
        <v>83.5</v>
      </c>
      <c r="E37" s="10" t="s">
        <v>19</v>
      </c>
      <c r="F37" s="9">
        <v>0</v>
      </c>
      <c r="G37" s="10" t="s">
        <v>19</v>
      </c>
      <c r="H37" s="9">
        <v>0</v>
      </c>
      <c r="I37" s="9"/>
      <c r="J37" s="9"/>
      <c r="K37" s="10" t="s">
        <v>19</v>
      </c>
      <c r="L37" s="9">
        <v>0</v>
      </c>
      <c r="M37" s="9"/>
      <c r="N37" s="9"/>
      <c r="O37" s="8" t="s">
        <v>20</v>
      </c>
      <c r="P37" s="9">
        <v>83.5</v>
      </c>
      <c r="Q37" s="3" t="s">
        <v>347</v>
      </c>
      <c r="R37" s="9">
        <v>28</v>
      </c>
      <c r="S37" s="8" t="s">
        <v>20</v>
      </c>
      <c r="T37" s="9">
        <v>20.399999999999999</v>
      </c>
      <c r="U37" s="10" t="s">
        <v>19</v>
      </c>
    </row>
    <row r="38" spans="1:21" ht="86.4" x14ac:dyDescent="0.25">
      <c r="A38" s="128" t="s">
        <v>353</v>
      </c>
      <c r="B38" s="128" t="s">
        <v>32</v>
      </c>
      <c r="C38" s="129" t="s">
        <v>354</v>
      </c>
      <c r="D38" s="130">
        <v>17.7</v>
      </c>
      <c r="E38" s="128" t="s">
        <v>19</v>
      </c>
      <c r="F38" s="130">
        <v>0</v>
      </c>
      <c r="G38" s="129" t="s">
        <v>355</v>
      </c>
      <c r="H38" s="130">
        <v>31.5</v>
      </c>
      <c r="I38" s="121"/>
      <c r="J38" s="121"/>
      <c r="K38" s="128" t="s">
        <v>19</v>
      </c>
      <c r="L38" s="130">
        <v>0</v>
      </c>
      <c r="M38" s="121"/>
      <c r="N38" s="121"/>
      <c r="O38" s="131" t="s">
        <v>20</v>
      </c>
      <c r="P38" s="130">
        <v>49.2</v>
      </c>
      <c r="Q38" s="129" t="s">
        <v>356</v>
      </c>
      <c r="R38" s="130">
        <v>21.8</v>
      </c>
      <c r="S38" s="131" t="s">
        <v>20</v>
      </c>
      <c r="T38" s="130">
        <v>9.4</v>
      </c>
      <c r="U38" s="129" t="s">
        <v>68</v>
      </c>
    </row>
    <row r="39" spans="1:21" ht="86.4" x14ac:dyDescent="0.25">
      <c r="A39" s="128" t="s">
        <v>357</v>
      </c>
      <c r="B39" s="128" t="s">
        <v>265</v>
      </c>
      <c r="C39" s="129" t="s">
        <v>354</v>
      </c>
      <c r="D39" s="130">
        <v>51.7</v>
      </c>
      <c r="E39" s="128" t="s">
        <v>19</v>
      </c>
      <c r="F39" s="130">
        <v>0</v>
      </c>
      <c r="G39" s="129" t="s">
        <v>355</v>
      </c>
      <c r="H39" s="130">
        <v>37.6</v>
      </c>
      <c r="I39" s="121"/>
      <c r="J39" s="121"/>
      <c r="K39" s="129" t="s">
        <v>355</v>
      </c>
      <c r="L39" s="130">
        <v>24.6</v>
      </c>
      <c r="M39" s="122"/>
      <c r="N39" s="122"/>
      <c r="O39" s="131" t="s">
        <v>20</v>
      </c>
      <c r="P39" s="130">
        <v>113.8</v>
      </c>
      <c r="Q39" s="129" t="s">
        <v>356</v>
      </c>
      <c r="R39" s="130">
        <v>87.4</v>
      </c>
      <c r="S39" s="131" t="s">
        <v>20</v>
      </c>
      <c r="T39" s="130">
        <v>32.700000000000003</v>
      </c>
      <c r="U39" s="129" t="s">
        <v>68</v>
      </c>
    </row>
  </sheetData>
  <mergeCells count="15">
    <mergeCell ref="A1:U1"/>
    <mergeCell ref="A2:A4"/>
    <mergeCell ref="B2:B4"/>
    <mergeCell ref="C2:L2"/>
    <mergeCell ref="Q2:R2"/>
    <mergeCell ref="S2:T2"/>
    <mergeCell ref="C3:D3"/>
    <mergeCell ref="E3:F3"/>
    <mergeCell ref="G3:H3"/>
    <mergeCell ref="M3:N3"/>
    <mergeCell ref="O3:P3"/>
    <mergeCell ref="Q3:Q4"/>
    <mergeCell ref="R3:R4"/>
    <mergeCell ref="S3:S4"/>
    <mergeCell ref="T3:T4"/>
  </mergeCell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9" tint="0.79998168889431442"/>
  </sheetPr>
  <dimension ref="A1:G31"/>
  <sheetViews>
    <sheetView zoomScaleNormal="100" workbookViewId="0">
      <selection activeCell="A2" sqref="A2:B31"/>
    </sheetView>
  </sheetViews>
  <sheetFormatPr defaultColWidth="9.33203125" defaultRowHeight="13.2" x14ac:dyDescent="0.25"/>
  <cols>
    <col min="1" max="1" width="9.77734375" style="155" customWidth="1"/>
    <col min="2" max="2" width="13.109375" style="155" customWidth="1"/>
    <col min="3" max="16384" width="9.33203125" style="155"/>
  </cols>
  <sheetData>
    <row r="1" spans="1:7" x14ac:dyDescent="0.25">
      <c r="A1" s="246" t="s">
        <v>561</v>
      </c>
      <c r="B1" s="246"/>
    </row>
    <row r="2" spans="1:7" ht="12.75" customHeight="1" x14ac:dyDescent="0.25">
      <c r="A2" s="154" t="s">
        <v>562</v>
      </c>
      <c r="B2" s="153"/>
    </row>
    <row r="3" spans="1:7" ht="26.4" x14ac:dyDescent="0.25">
      <c r="A3" s="172"/>
      <c r="B3" s="153" t="s">
        <v>563</v>
      </c>
      <c r="G3" s="153" t="s">
        <v>563</v>
      </c>
    </row>
    <row r="4" spans="1:7" x14ac:dyDescent="0.25">
      <c r="A4" s="159" t="s">
        <v>396</v>
      </c>
      <c r="B4" s="147">
        <v>85.4</v>
      </c>
      <c r="E4" s="157">
        <f ca="1">B4-RANDBETWEEN(2, 5)-RANDBETWEEN(1,10)/10</f>
        <v>82.600000000000009</v>
      </c>
      <c r="G4" s="147">
        <v>89.4</v>
      </c>
    </row>
    <row r="5" spans="1:7" x14ac:dyDescent="0.25">
      <c r="A5" s="159" t="s">
        <v>397</v>
      </c>
      <c r="B5" s="147">
        <v>130.69999999999999</v>
      </c>
      <c r="E5" s="157">
        <f t="shared" ref="E5:E31" ca="1" si="0">B5-RANDBETWEEN(2, 5)-RANDBETWEEN(1,10)/10</f>
        <v>128.1</v>
      </c>
      <c r="G5" s="147">
        <v>133.5</v>
      </c>
    </row>
    <row r="6" spans="1:7" x14ac:dyDescent="0.25">
      <c r="A6" s="159" t="s">
        <v>398</v>
      </c>
      <c r="B6" s="147">
        <v>362.2</v>
      </c>
      <c r="E6" s="157">
        <f t="shared" ca="1" si="0"/>
        <v>356.9</v>
      </c>
      <c r="G6" s="147">
        <v>367.5</v>
      </c>
    </row>
    <row r="7" spans="1:7" x14ac:dyDescent="0.25">
      <c r="A7" s="159" t="s">
        <v>399</v>
      </c>
      <c r="B7" s="147">
        <v>125.30000000000001</v>
      </c>
      <c r="E7" s="157">
        <f t="shared" ca="1" si="0"/>
        <v>119.4</v>
      </c>
      <c r="G7" s="147">
        <v>131.30000000000001</v>
      </c>
    </row>
    <row r="8" spans="1:7" x14ac:dyDescent="0.25">
      <c r="A8" s="159" t="s">
        <v>400</v>
      </c>
      <c r="B8" s="147">
        <v>61.400000000000006</v>
      </c>
      <c r="E8" s="157">
        <f t="shared" ca="1" si="0"/>
        <v>56.2</v>
      </c>
      <c r="G8" s="147">
        <v>67.400000000000006</v>
      </c>
    </row>
    <row r="9" spans="1:7" x14ac:dyDescent="0.25">
      <c r="A9" s="159" t="s">
        <v>401</v>
      </c>
      <c r="B9" s="147">
        <v>126.69999999999999</v>
      </c>
      <c r="E9" s="157">
        <f t="shared" ca="1" si="0"/>
        <v>121.29999999999998</v>
      </c>
      <c r="G9" s="147">
        <v>129.69999999999999</v>
      </c>
    </row>
    <row r="10" spans="1:7" x14ac:dyDescent="0.25">
      <c r="A10" s="159" t="s">
        <v>402</v>
      </c>
      <c r="B10" s="147">
        <v>91.7</v>
      </c>
      <c r="E10" s="157">
        <f t="shared" ca="1" si="0"/>
        <v>87.9</v>
      </c>
      <c r="G10" s="147">
        <v>95.8</v>
      </c>
    </row>
    <row r="11" spans="1:7" x14ac:dyDescent="0.25">
      <c r="A11" s="159" t="s">
        <v>403</v>
      </c>
      <c r="B11" s="147">
        <v>62.7</v>
      </c>
      <c r="E11" s="157">
        <f t="shared" ca="1" si="0"/>
        <v>59.6</v>
      </c>
      <c r="G11" s="147">
        <v>67.400000000000006</v>
      </c>
    </row>
    <row r="12" spans="1:7" x14ac:dyDescent="0.25">
      <c r="A12" s="159" t="s">
        <v>404</v>
      </c>
      <c r="B12" s="147">
        <v>302.60000000000002</v>
      </c>
      <c r="E12" s="157">
        <f t="shared" ca="1" si="0"/>
        <v>300.20000000000005</v>
      </c>
      <c r="G12" s="147">
        <v>305.5</v>
      </c>
    </row>
    <row r="13" spans="1:7" x14ac:dyDescent="0.25">
      <c r="A13" s="159" t="s">
        <v>405</v>
      </c>
      <c r="B13" s="147">
        <v>414</v>
      </c>
      <c r="E13" s="157">
        <f t="shared" ca="1" si="0"/>
        <v>409.7</v>
      </c>
      <c r="G13" s="147">
        <v>419</v>
      </c>
    </row>
    <row r="14" spans="1:7" x14ac:dyDescent="0.25">
      <c r="A14" s="159" t="s">
        <v>406</v>
      </c>
      <c r="B14" s="147">
        <v>95.2</v>
      </c>
      <c r="E14" s="157">
        <f t="shared" ca="1" si="0"/>
        <v>92.4</v>
      </c>
      <c r="G14" s="147">
        <v>98.3</v>
      </c>
    </row>
    <row r="15" spans="1:7" x14ac:dyDescent="0.25">
      <c r="A15" s="159" t="s">
        <v>407</v>
      </c>
      <c r="B15" s="147">
        <v>112.3</v>
      </c>
      <c r="E15" s="157">
        <f t="shared" ca="1" si="0"/>
        <v>106.39999999999999</v>
      </c>
      <c r="G15" s="147">
        <v>115.3</v>
      </c>
    </row>
    <row r="16" spans="1:7" x14ac:dyDescent="0.25">
      <c r="A16" s="159" t="s">
        <v>408</v>
      </c>
      <c r="B16" s="147">
        <v>66.900000000000006</v>
      </c>
      <c r="E16" s="157">
        <f t="shared" ca="1" si="0"/>
        <v>64.100000000000009</v>
      </c>
      <c r="G16" s="147">
        <v>70.400000000000006</v>
      </c>
    </row>
    <row r="17" spans="1:7" x14ac:dyDescent="0.25">
      <c r="A17" s="159" t="s">
        <v>409</v>
      </c>
      <c r="B17" s="147">
        <v>218.5</v>
      </c>
      <c r="E17" s="157">
        <f t="shared" ca="1" si="0"/>
        <v>215.8</v>
      </c>
      <c r="G17" s="147">
        <v>223.7</v>
      </c>
    </row>
    <row r="18" spans="1:7" x14ac:dyDescent="0.25">
      <c r="A18" s="160" t="s">
        <v>410</v>
      </c>
      <c r="B18" s="147">
        <v>40.700000000000003</v>
      </c>
      <c r="E18" s="157">
        <f t="shared" ca="1" si="0"/>
        <v>37.300000000000004</v>
      </c>
      <c r="G18" s="147">
        <v>45.2</v>
      </c>
    </row>
    <row r="19" spans="1:7" x14ac:dyDescent="0.25">
      <c r="A19" s="160" t="s">
        <v>411</v>
      </c>
      <c r="B19" s="147">
        <v>40.299999999999997</v>
      </c>
      <c r="E19" s="157">
        <f t="shared" ca="1" si="0"/>
        <v>34.4</v>
      </c>
      <c r="G19" s="147">
        <v>42.4</v>
      </c>
    </row>
    <row r="20" spans="1:7" x14ac:dyDescent="0.25">
      <c r="A20" s="160" t="s">
        <v>412</v>
      </c>
      <c r="B20" s="147">
        <v>75.099999999999994</v>
      </c>
      <c r="E20" s="157">
        <f t="shared" ca="1" si="0"/>
        <v>69.599999999999994</v>
      </c>
      <c r="G20" s="147">
        <v>79.099999999999994</v>
      </c>
    </row>
    <row r="21" spans="1:7" x14ac:dyDescent="0.25">
      <c r="A21" s="160" t="s">
        <v>413</v>
      </c>
      <c r="B21" s="147">
        <v>88.8</v>
      </c>
      <c r="E21" s="157">
        <f t="shared" ca="1" si="0"/>
        <v>83.2</v>
      </c>
      <c r="G21" s="147">
        <v>94.2</v>
      </c>
    </row>
    <row r="22" spans="1:7" x14ac:dyDescent="0.25">
      <c r="A22" s="161" t="s">
        <v>414</v>
      </c>
      <c r="B22" s="147">
        <v>84.5</v>
      </c>
      <c r="E22" s="157">
        <f t="shared" ca="1" si="0"/>
        <v>80.7</v>
      </c>
      <c r="G22" s="147">
        <v>89.7</v>
      </c>
    </row>
    <row r="23" spans="1:7" x14ac:dyDescent="0.25">
      <c r="A23" s="161" t="s">
        <v>415</v>
      </c>
      <c r="B23" s="147">
        <v>461</v>
      </c>
      <c r="E23" s="157">
        <f t="shared" ca="1" si="0"/>
        <v>455</v>
      </c>
      <c r="G23" s="147">
        <v>464.7</v>
      </c>
    </row>
    <row r="24" spans="1:7" x14ac:dyDescent="0.25">
      <c r="A24" s="161" t="s">
        <v>416</v>
      </c>
      <c r="B24" s="147">
        <v>337.1</v>
      </c>
      <c r="E24" s="157">
        <f t="shared" ca="1" si="0"/>
        <v>332.1</v>
      </c>
      <c r="G24" s="147">
        <v>342.8</v>
      </c>
    </row>
    <row r="25" spans="1:7" x14ac:dyDescent="0.25">
      <c r="A25" s="161" t="s">
        <v>417</v>
      </c>
      <c r="B25" s="147">
        <v>67.8</v>
      </c>
      <c r="E25" s="157">
        <f t="shared" ca="1" si="0"/>
        <v>62.4</v>
      </c>
      <c r="G25" s="147">
        <v>73.5</v>
      </c>
    </row>
    <row r="26" spans="1:7" x14ac:dyDescent="0.25">
      <c r="A26" s="160" t="s">
        <v>418</v>
      </c>
      <c r="B26" s="147">
        <v>138.5</v>
      </c>
      <c r="E26" s="157">
        <f t="shared" ca="1" si="0"/>
        <v>135.30000000000001</v>
      </c>
      <c r="G26" s="147">
        <v>142.30000000000001</v>
      </c>
    </row>
    <row r="27" spans="1:7" x14ac:dyDescent="0.25">
      <c r="A27" s="160" t="s">
        <v>419</v>
      </c>
      <c r="B27" s="147">
        <v>113.60000000000001</v>
      </c>
      <c r="E27" s="157">
        <f t="shared" ca="1" si="0"/>
        <v>110.2</v>
      </c>
      <c r="G27" s="147">
        <v>118.9</v>
      </c>
    </row>
    <row r="28" spans="1:7" x14ac:dyDescent="0.25">
      <c r="A28" s="160" t="s">
        <v>420</v>
      </c>
      <c r="B28" s="147">
        <v>301.5</v>
      </c>
      <c r="E28" s="157">
        <f t="shared" ca="1" si="0"/>
        <v>299.2</v>
      </c>
      <c r="G28" s="147">
        <v>304.3</v>
      </c>
    </row>
    <row r="29" spans="1:7" x14ac:dyDescent="0.25">
      <c r="A29" s="161" t="s">
        <v>421</v>
      </c>
      <c r="B29" s="147">
        <v>390.59999999999997</v>
      </c>
      <c r="E29" s="157">
        <f t="shared" ca="1" si="0"/>
        <v>388.2</v>
      </c>
      <c r="G29" s="147">
        <v>395.7</v>
      </c>
    </row>
    <row r="30" spans="1:7" x14ac:dyDescent="0.25">
      <c r="A30" s="161" t="s">
        <v>422</v>
      </c>
      <c r="B30" s="147">
        <v>188.60000000000002</v>
      </c>
      <c r="E30" s="157">
        <f t="shared" ca="1" si="0"/>
        <v>184.3</v>
      </c>
      <c r="G30" s="147">
        <v>190.8</v>
      </c>
    </row>
    <row r="31" spans="1:7" x14ac:dyDescent="0.25">
      <c r="A31" s="146" t="s">
        <v>423</v>
      </c>
      <c r="B31" s="147">
        <v>223.4</v>
      </c>
      <c r="E31" s="157">
        <f t="shared" ca="1" si="0"/>
        <v>217.4</v>
      </c>
      <c r="G31" s="147">
        <v>227.1</v>
      </c>
    </row>
  </sheetData>
  <mergeCells count="1">
    <mergeCell ref="A1:B1"/>
  </mergeCells>
  <pageMargins left="0.7" right="0.7" top="0.75" bottom="0.75" header="0.3" footer="0.3"/>
  <pageSetup paperSize="9" orientation="portrait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G85"/>
  <sheetViews>
    <sheetView topLeftCell="A55" zoomScaleNormal="100" workbookViewId="0">
      <selection activeCell="B62" sqref="B62:B81"/>
    </sheetView>
  </sheetViews>
  <sheetFormatPr defaultColWidth="9.33203125" defaultRowHeight="13.2" x14ac:dyDescent="0.25"/>
  <cols>
    <col min="1" max="1" width="21" style="155" customWidth="1"/>
    <col min="2" max="2" width="12.77734375" style="155" customWidth="1"/>
    <col min="3" max="16384" width="9.33203125" style="155"/>
  </cols>
  <sheetData>
    <row r="1" spans="1:7" ht="31.5" customHeight="1" x14ac:dyDescent="0.25">
      <c r="A1" s="247" t="s">
        <v>561</v>
      </c>
      <c r="B1" s="248"/>
    </row>
    <row r="2" spans="1:7" ht="17.25" customHeight="1" x14ac:dyDescent="0.25">
      <c r="A2" s="249" t="s">
        <v>565</v>
      </c>
      <c r="B2" s="153"/>
    </row>
    <row r="3" spans="1:7" ht="17.25" customHeight="1" x14ac:dyDescent="0.25">
      <c r="A3" s="246"/>
      <c r="B3" s="153"/>
    </row>
    <row r="4" spans="1:7" ht="26.4" x14ac:dyDescent="0.25">
      <c r="A4" s="246"/>
      <c r="B4" s="153" t="s">
        <v>563</v>
      </c>
      <c r="G4" s="153" t="s">
        <v>563</v>
      </c>
    </row>
    <row r="5" spans="1:7" x14ac:dyDescent="0.25">
      <c r="A5" s="146" t="s">
        <v>481</v>
      </c>
      <c r="B5" s="147">
        <v>10.4</v>
      </c>
      <c r="E5" s="157">
        <f ca="1">B5-RANDBETWEEN(2, 5)-RANDBETWEEN(1,10)/10</f>
        <v>6.3000000000000007</v>
      </c>
      <c r="F5" s="157"/>
      <c r="G5" s="147">
        <v>11</v>
      </c>
    </row>
    <row r="6" spans="1:7" x14ac:dyDescent="0.25">
      <c r="A6" s="146" t="s">
        <v>482</v>
      </c>
      <c r="B6" s="147">
        <v>27.4</v>
      </c>
      <c r="E6" s="157">
        <f t="shared" ref="E6:E69" ca="1" si="0">B6-RANDBETWEEN(2, 5)-RANDBETWEEN(1,10)/10</f>
        <v>22</v>
      </c>
      <c r="G6" s="147">
        <v>32.9</v>
      </c>
    </row>
    <row r="7" spans="1:7" x14ac:dyDescent="0.25">
      <c r="A7" s="146" t="s">
        <v>483</v>
      </c>
      <c r="B7" s="147">
        <v>24.1</v>
      </c>
      <c r="E7" s="157">
        <f t="shared" ca="1" si="0"/>
        <v>20.700000000000003</v>
      </c>
      <c r="G7" s="147">
        <v>27.1</v>
      </c>
    </row>
    <row r="8" spans="1:7" x14ac:dyDescent="0.25">
      <c r="A8" s="146" t="s">
        <v>424</v>
      </c>
      <c r="B8" s="147">
        <v>439.4</v>
      </c>
      <c r="E8" s="157">
        <f t="shared" ca="1" si="0"/>
        <v>435.4</v>
      </c>
      <c r="G8" s="147">
        <v>444.7</v>
      </c>
    </row>
    <row r="9" spans="1:7" x14ac:dyDescent="0.25">
      <c r="A9" s="146" t="s">
        <v>484</v>
      </c>
      <c r="B9" s="147">
        <v>64.7</v>
      </c>
      <c r="E9" s="157">
        <f t="shared" ca="1" si="0"/>
        <v>60.6</v>
      </c>
      <c r="G9" s="147">
        <v>68.7</v>
      </c>
    </row>
    <row r="10" spans="1:7" x14ac:dyDescent="0.25">
      <c r="A10" s="146" t="s">
        <v>485</v>
      </c>
      <c r="B10" s="147">
        <v>30.7</v>
      </c>
      <c r="E10" s="157">
        <f t="shared" ca="1" si="0"/>
        <v>26.2</v>
      </c>
      <c r="G10" s="147">
        <v>36.5</v>
      </c>
    </row>
    <row r="11" spans="1:7" x14ac:dyDescent="0.25">
      <c r="A11" s="146" t="s">
        <v>486</v>
      </c>
      <c r="B11" s="147">
        <v>43.800000000000004</v>
      </c>
      <c r="E11" s="157">
        <f t="shared" ca="1" si="0"/>
        <v>37.800000000000004</v>
      </c>
      <c r="G11" s="147">
        <v>46.7</v>
      </c>
    </row>
    <row r="12" spans="1:7" x14ac:dyDescent="0.25">
      <c r="A12" s="146" t="s">
        <v>487</v>
      </c>
      <c r="B12" s="147">
        <v>150</v>
      </c>
      <c r="E12" s="157">
        <f t="shared" ca="1" si="0"/>
        <v>145.9</v>
      </c>
      <c r="G12" s="147">
        <v>155.5</v>
      </c>
    </row>
    <row r="13" spans="1:7" x14ac:dyDescent="0.25">
      <c r="A13" s="146" t="s">
        <v>488</v>
      </c>
      <c r="B13" s="147">
        <v>114.19999999999999</v>
      </c>
      <c r="E13" s="157">
        <f t="shared" ca="1" si="0"/>
        <v>109.29999999999998</v>
      </c>
      <c r="G13" s="147">
        <v>118.6</v>
      </c>
    </row>
    <row r="14" spans="1:7" x14ac:dyDescent="0.25">
      <c r="A14" s="146" t="s">
        <v>489</v>
      </c>
      <c r="B14" s="147">
        <v>105.9</v>
      </c>
      <c r="E14" s="157">
        <f t="shared" ca="1" si="0"/>
        <v>103.10000000000001</v>
      </c>
      <c r="G14" s="147">
        <v>109.5</v>
      </c>
    </row>
    <row r="15" spans="1:7" x14ac:dyDescent="0.25">
      <c r="A15" s="146" t="s">
        <v>490</v>
      </c>
      <c r="B15" s="147">
        <v>107.10000000000001</v>
      </c>
      <c r="E15" s="157">
        <f t="shared" ca="1" si="0"/>
        <v>101.60000000000001</v>
      </c>
      <c r="G15" s="147">
        <v>112.7</v>
      </c>
    </row>
    <row r="16" spans="1:7" x14ac:dyDescent="0.25">
      <c r="A16" s="146" t="s">
        <v>491</v>
      </c>
      <c r="B16" s="147">
        <v>169.5</v>
      </c>
      <c r="E16" s="157">
        <f t="shared" ca="1" si="0"/>
        <v>166.2</v>
      </c>
      <c r="G16" s="147">
        <v>174.2</v>
      </c>
    </row>
    <row r="17" spans="1:7" x14ac:dyDescent="0.25">
      <c r="A17" s="146" t="s">
        <v>492</v>
      </c>
      <c r="B17" s="147">
        <v>77.5</v>
      </c>
      <c r="E17" s="157">
        <f t="shared" ca="1" si="0"/>
        <v>74.3</v>
      </c>
      <c r="G17" s="147">
        <v>80.2</v>
      </c>
    </row>
    <row r="18" spans="1:7" x14ac:dyDescent="0.25">
      <c r="A18" s="146" t="s">
        <v>493</v>
      </c>
      <c r="B18" s="147">
        <v>32.199999999999996</v>
      </c>
      <c r="E18" s="157">
        <f t="shared" ca="1" si="0"/>
        <v>28.299999999999997</v>
      </c>
      <c r="G18" s="147">
        <v>34.799999999999997</v>
      </c>
    </row>
    <row r="19" spans="1:7" x14ac:dyDescent="0.25">
      <c r="A19" s="146" t="s">
        <v>494</v>
      </c>
      <c r="B19" s="147">
        <v>74.5</v>
      </c>
      <c r="E19" s="157">
        <f t="shared" ca="1" si="0"/>
        <v>71.7</v>
      </c>
      <c r="G19" s="147">
        <v>80.3</v>
      </c>
    </row>
    <row r="20" spans="1:7" x14ac:dyDescent="0.25">
      <c r="A20" s="146" t="s">
        <v>495</v>
      </c>
      <c r="B20" s="147">
        <v>19</v>
      </c>
      <c r="E20" s="157">
        <f t="shared" ca="1" si="0"/>
        <v>14.6</v>
      </c>
      <c r="G20" s="147">
        <v>22.7</v>
      </c>
    </row>
    <row r="21" spans="1:7" x14ac:dyDescent="0.25">
      <c r="A21" s="146" t="s">
        <v>496</v>
      </c>
      <c r="B21" s="147">
        <v>55.9</v>
      </c>
      <c r="E21" s="157">
        <f t="shared" ca="1" si="0"/>
        <v>52.3</v>
      </c>
      <c r="G21" s="147">
        <v>59.4</v>
      </c>
    </row>
    <row r="22" spans="1:7" x14ac:dyDescent="0.25">
      <c r="A22" s="146" t="s">
        <v>497</v>
      </c>
      <c r="B22" s="147">
        <v>55.1</v>
      </c>
      <c r="E22" s="157">
        <f t="shared" ca="1" si="0"/>
        <v>51.2</v>
      </c>
      <c r="G22" s="147">
        <v>58</v>
      </c>
    </row>
    <row r="23" spans="1:7" x14ac:dyDescent="0.25">
      <c r="A23" s="146" t="s">
        <v>498</v>
      </c>
      <c r="B23" s="147">
        <v>62.900000000000006</v>
      </c>
      <c r="E23" s="157">
        <f t="shared" ca="1" si="0"/>
        <v>60.300000000000004</v>
      </c>
      <c r="G23" s="147">
        <v>67.2</v>
      </c>
    </row>
    <row r="24" spans="1:7" x14ac:dyDescent="0.25">
      <c r="A24" s="146" t="s">
        <v>499</v>
      </c>
      <c r="B24" s="147">
        <v>39.400000000000006</v>
      </c>
      <c r="E24" s="157">
        <f t="shared" ca="1" si="0"/>
        <v>35.800000000000004</v>
      </c>
      <c r="G24" s="147">
        <v>43.7</v>
      </c>
    </row>
    <row r="25" spans="1:7" x14ac:dyDescent="0.25">
      <c r="A25" s="146" t="s">
        <v>500</v>
      </c>
      <c r="B25" s="147">
        <v>29.7</v>
      </c>
      <c r="E25" s="157">
        <f t="shared" ca="1" si="0"/>
        <v>26.3</v>
      </c>
      <c r="G25" s="147">
        <v>33</v>
      </c>
    </row>
    <row r="26" spans="1:7" x14ac:dyDescent="0.25">
      <c r="A26" s="146" t="s">
        <v>501</v>
      </c>
      <c r="B26" s="147">
        <v>37.4</v>
      </c>
      <c r="E26" s="157">
        <f t="shared" ca="1" si="0"/>
        <v>35.299999999999997</v>
      </c>
      <c r="G26" s="147">
        <v>42.9</v>
      </c>
    </row>
    <row r="27" spans="1:7" x14ac:dyDescent="0.25">
      <c r="A27" s="146" t="s">
        <v>502</v>
      </c>
      <c r="B27" s="147">
        <v>49.199999999999996</v>
      </c>
      <c r="E27" s="157">
        <f t="shared" ca="1" si="0"/>
        <v>45.199999999999996</v>
      </c>
      <c r="G27" s="147">
        <v>51.3</v>
      </c>
    </row>
    <row r="28" spans="1:7" x14ac:dyDescent="0.25">
      <c r="A28" s="146" t="s">
        <v>503</v>
      </c>
      <c r="B28" s="147">
        <v>47.2</v>
      </c>
      <c r="E28" s="157">
        <f t="shared" ca="1" si="0"/>
        <v>44</v>
      </c>
      <c r="G28" s="147">
        <v>50.7</v>
      </c>
    </row>
    <row r="29" spans="1:7" x14ac:dyDescent="0.25">
      <c r="A29" s="146" t="s">
        <v>504</v>
      </c>
      <c r="B29" s="147">
        <v>54.5</v>
      </c>
      <c r="E29" s="157">
        <f t="shared" ca="1" si="0"/>
        <v>49.2</v>
      </c>
      <c r="G29" s="147">
        <v>59.7</v>
      </c>
    </row>
    <row r="30" spans="1:7" x14ac:dyDescent="0.25">
      <c r="A30" s="146" t="s">
        <v>505</v>
      </c>
      <c r="B30" s="147">
        <v>59.2</v>
      </c>
      <c r="E30" s="157">
        <f t="shared" ca="1" si="0"/>
        <v>53.7</v>
      </c>
      <c r="G30" s="147">
        <v>63.5</v>
      </c>
    </row>
    <row r="31" spans="1:7" x14ac:dyDescent="0.25">
      <c r="A31" s="146" t="s">
        <v>506</v>
      </c>
      <c r="B31" s="147">
        <v>79.100000000000009</v>
      </c>
      <c r="E31" s="157">
        <f t="shared" ca="1" si="0"/>
        <v>76.300000000000011</v>
      </c>
      <c r="G31" s="147">
        <v>81.7</v>
      </c>
    </row>
    <row r="32" spans="1:7" x14ac:dyDescent="0.25">
      <c r="A32" s="146" t="s">
        <v>507</v>
      </c>
      <c r="B32" s="147">
        <v>85.600000000000009</v>
      </c>
      <c r="E32" s="157">
        <f t="shared" ca="1" si="0"/>
        <v>81.000000000000014</v>
      </c>
      <c r="G32" s="147">
        <v>90.9</v>
      </c>
    </row>
    <row r="33" spans="1:7" x14ac:dyDescent="0.25">
      <c r="A33" s="146" t="s">
        <v>508</v>
      </c>
      <c r="B33" s="147">
        <v>172.89999999999998</v>
      </c>
      <c r="E33" s="157">
        <f t="shared" ca="1" si="0"/>
        <v>168.99999999999997</v>
      </c>
      <c r="G33" s="147">
        <v>177.2</v>
      </c>
    </row>
    <row r="34" spans="1:7" x14ac:dyDescent="0.25">
      <c r="A34" s="146" t="s">
        <v>509</v>
      </c>
      <c r="B34" s="147">
        <v>260.70000000000005</v>
      </c>
      <c r="E34" s="157">
        <f t="shared" ca="1" si="0"/>
        <v>258.60000000000002</v>
      </c>
      <c r="G34" s="147">
        <v>263.10000000000002</v>
      </c>
    </row>
    <row r="35" spans="1:7" x14ac:dyDescent="0.25">
      <c r="A35" s="146" t="s">
        <v>510</v>
      </c>
      <c r="B35" s="147">
        <v>106.19999999999999</v>
      </c>
      <c r="E35" s="157">
        <f t="shared" ca="1" si="0"/>
        <v>103.1</v>
      </c>
      <c r="G35" s="147">
        <v>110.6</v>
      </c>
    </row>
    <row r="36" spans="1:7" x14ac:dyDescent="0.25">
      <c r="A36" s="146" t="s">
        <v>511</v>
      </c>
      <c r="B36" s="147">
        <v>76.7</v>
      </c>
      <c r="E36" s="157">
        <f t="shared" ca="1" si="0"/>
        <v>74.3</v>
      </c>
      <c r="G36" s="147">
        <v>82.3</v>
      </c>
    </row>
    <row r="37" spans="1:7" x14ac:dyDescent="0.25">
      <c r="A37" s="146" t="s">
        <v>512</v>
      </c>
      <c r="B37" s="147">
        <v>73.400000000000006</v>
      </c>
      <c r="E37" s="157">
        <f t="shared" ca="1" si="0"/>
        <v>70.2</v>
      </c>
      <c r="G37" s="147">
        <v>78.400000000000006</v>
      </c>
    </row>
    <row r="38" spans="1:7" x14ac:dyDescent="0.25">
      <c r="A38" s="146" t="s">
        <v>513</v>
      </c>
      <c r="B38" s="147">
        <v>93.2</v>
      </c>
      <c r="E38" s="157">
        <f t="shared" ca="1" si="0"/>
        <v>90.100000000000009</v>
      </c>
      <c r="G38" s="147">
        <v>96.3</v>
      </c>
    </row>
    <row r="39" spans="1:7" x14ac:dyDescent="0.25">
      <c r="A39" s="146" t="s">
        <v>514</v>
      </c>
      <c r="B39" s="147">
        <v>48.8</v>
      </c>
      <c r="E39" s="157">
        <f t="shared" ca="1" si="0"/>
        <v>43.199999999999996</v>
      </c>
      <c r="G39" s="147">
        <v>54.8</v>
      </c>
    </row>
    <row r="40" spans="1:7" x14ac:dyDescent="0.25">
      <c r="A40" s="146" t="s">
        <v>515</v>
      </c>
      <c r="B40" s="147">
        <v>45.6</v>
      </c>
      <c r="E40" s="157">
        <f t="shared" ca="1" si="0"/>
        <v>39.700000000000003</v>
      </c>
      <c r="G40" s="147">
        <v>49.9</v>
      </c>
    </row>
    <row r="41" spans="1:7" x14ac:dyDescent="0.25">
      <c r="A41" s="146" t="s">
        <v>516</v>
      </c>
      <c r="B41" s="147">
        <v>221.1</v>
      </c>
      <c r="E41" s="157">
        <f t="shared" ca="1" si="0"/>
        <v>216.5</v>
      </c>
      <c r="G41" s="147">
        <v>226.1</v>
      </c>
    </row>
    <row r="42" spans="1:7" x14ac:dyDescent="0.25">
      <c r="A42" s="146" t="s">
        <v>517</v>
      </c>
      <c r="B42" s="147">
        <v>120.5</v>
      </c>
      <c r="E42" s="157">
        <f t="shared" ca="1" si="0"/>
        <v>116.9</v>
      </c>
      <c r="G42" s="147">
        <v>125</v>
      </c>
    </row>
    <row r="43" spans="1:7" x14ac:dyDescent="0.25">
      <c r="A43" s="146" t="s">
        <v>518</v>
      </c>
      <c r="B43" s="147">
        <v>54</v>
      </c>
      <c r="E43" s="157">
        <f t="shared" ca="1" si="0"/>
        <v>49.2</v>
      </c>
      <c r="G43" s="147">
        <v>56.7</v>
      </c>
    </row>
    <row r="44" spans="1:7" x14ac:dyDescent="0.25">
      <c r="A44" s="146" t="s">
        <v>519</v>
      </c>
      <c r="B44" s="147">
        <v>187</v>
      </c>
      <c r="E44" s="157">
        <f t="shared" ca="1" si="0"/>
        <v>183.5</v>
      </c>
      <c r="G44" s="147">
        <v>191.3</v>
      </c>
    </row>
    <row r="45" spans="1:7" x14ac:dyDescent="0.25">
      <c r="A45" s="146" t="s">
        <v>520</v>
      </c>
      <c r="B45" s="147">
        <v>64.5</v>
      </c>
      <c r="E45" s="157">
        <f t="shared" ca="1" si="0"/>
        <v>59.6</v>
      </c>
      <c r="G45" s="147">
        <v>68.2</v>
      </c>
    </row>
    <row r="46" spans="1:7" x14ac:dyDescent="0.25">
      <c r="A46" s="146" t="s">
        <v>521</v>
      </c>
      <c r="B46" s="147">
        <v>54.5</v>
      </c>
      <c r="E46" s="157">
        <f t="shared" ca="1" si="0"/>
        <v>49.8</v>
      </c>
      <c r="G46" s="147">
        <v>56.8</v>
      </c>
    </row>
    <row r="47" spans="1:7" x14ac:dyDescent="0.25">
      <c r="A47" s="146" t="s">
        <v>522</v>
      </c>
      <c r="B47" s="147">
        <v>94.899999999999991</v>
      </c>
      <c r="E47" s="157">
        <f t="shared" ca="1" si="0"/>
        <v>91.699999999999989</v>
      </c>
      <c r="G47" s="147">
        <v>97.6</v>
      </c>
    </row>
    <row r="48" spans="1:7" x14ac:dyDescent="0.25">
      <c r="A48" s="146" t="s">
        <v>523</v>
      </c>
      <c r="B48" s="147">
        <v>49.8</v>
      </c>
      <c r="E48" s="157">
        <f t="shared" ca="1" si="0"/>
        <v>45.099999999999994</v>
      </c>
      <c r="G48" s="147">
        <v>54.8</v>
      </c>
    </row>
    <row r="49" spans="1:7" x14ac:dyDescent="0.25">
      <c r="A49" s="146" t="s">
        <v>524</v>
      </c>
      <c r="B49" s="147">
        <v>48.900000000000006</v>
      </c>
      <c r="E49" s="157">
        <f t="shared" ca="1" si="0"/>
        <v>43.000000000000007</v>
      </c>
      <c r="G49" s="147">
        <v>54.7</v>
      </c>
    </row>
    <row r="50" spans="1:7" x14ac:dyDescent="0.25">
      <c r="A50" s="146" t="s">
        <v>525</v>
      </c>
      <c r="B50" s="147">
        <v>50.5</v>
      </c>
      <c r="E50" s="157">
        <f t="shared" ca="1" si="0"/>
        <v>45.1</v>
      </c>
      <c r="G50" s="147">
        <v>54.7</v>
      </c>
    </row>
    <row r="51" spans="1:7" x14ac:dyDescent="0.25">
      <c r="A51" s="146" t="s">
        <v>526</v>
      </c>
      <c r="B51" s="147">
        <v>38.6</v>
      </c>
      <c r="E51" s="157">
        <f t="shared" ca="1" si="0"/>
        <v>35.800000000000004</v>
      </c>
      <c r="G51" s="147">
        <v>41.6</v>
      </c>
    </row>
    <row r="52" spans="1:7" x14ac:dyDescent="0.25">
      <c r="A52" s="146" t="s">
        <v>527</v>
      </c>
      <c r="B52" s="147">
        <v>27.8</v>
      </c>
      <c r="E52" s="157">
        <f t="shared" ca="1" si="0"/>
        <v>25</v>
      </c>
      <c r="G52" s="147">
        <v>30.5</v>
      </c>
    </row>
    <row r="53" spans="1:7" x14ac:dyDescent="0.25">
      <c r="A53" s="146" t="s">
        <v>528</v>
      </c>
      <c r="B53" s="147">
        <v>45.5</v>
      </c>
      <c r="E53" s="157">
        <f t="shared" ca="1" si="0"/>
        <v>40.9</v>
      </c>
      <c r="G53" s="147">
        <v>50</v>
      </c>
    </row>
    <row r="54" spans="1:7" x14ac:dyDescent="0.25">
      <c r="A54" s="146" t="s">
        <v>529</v>
      </c>
      <c r="B54" s="147">
        <v>39.5</v>
      </c>
      <c r="E54" s="157">
        <f t="shared" ca="1" si="0"/>
        <v>34.299999999999997</v>
      </c>
      <c r="G54" s="147">
        <v>42.1</v>
      </c>
    </row>
    <row r="55" spans="1:7" x14ac:dyDescent="0.25">
      <c r="A55" s="146" t="s">
        <v>530</v>
      </c>
      <c r="B55" s="147">
        <v>14.299999999999999</v>
      </c>
      <c r="E55" s="157">
        <f t="shared" ca="1" si="0"/>
        <v>11.499999999999998</v>
      </c>
      <c r="G55" s="147">
        <v>19.7</v>
      </c>
    </row>
    <row r="56" spans="1:7" x14ac:dyDescent="0.25">
      <c r="A56" s="146" t="s">
        <v>531</v>
      </c>
      <c r="B56" s="147">
        <v>23.8</v>
      </c>
      <c r="E56" s="157">
        <f t="shared" ca="1" si="0"/>
        <v>21.5</v>
      </c>
      <c r="G56" s="147">
        <v>26.5</v>
      </c>
    </row>
    <row r="57" spans="1:7" x14ac:dyDescent="0.25">
      <c r="A57" s="146" t="s">
        <v>532</v>
      </c>
      <c r="B57" s="147">
        <v>44.9</v>
      </c>
      <c r="E57" s="157">
        <f t="shared" ca="1" si="0"/>
        <v>40.4</v>
      </c>
      <c r="G57" s="147">
        <v>48.4</v>
      </c>
    </row>
    <row r="58" spans="1:7" x14ac:dyDescent="0.25">
      <c r="A58" s="146" t="s">
        <v>533</v>
      </c>
      <c r="B58" s="147">
        <v>43</v>
      </c>
      <c r="E58" s="157">
        <f t="shared" ca="1" si="0"/>
        <v>37.299999999999997</v>
      </c>
      <c r="G58" s="147">
        <v>45.9</v>
      </c>
    </row>
    <row r="59" spans="1:7" x14ac:dyDescent="0.25">
      <c r="A59" s="146" t="s">
        <v>534</v>
      </c>
      <c r="B59" s="147">
        <v>39.799999999999997</v>
      </c>
      <c r="E59" s="157">
        <f t="shared" ca="1" si="0"/>
        <v>36.699999999999996</v>
      </c>
      <c r="G59" s="147">
        <v>45</v>
      </c>
    </row>
    <row r="60" spans="1:7" x14ac:dyDescent="0.25">
      <c r="A60" s="146" t="s">
        <v>535</v>
      </c>
      <c r="B60" s="147">
        <v>62.800000000000004</v>
      </c>
      <c r="E60" s="157">
        <f t="shared" ca="1" si="0"/>
        <v>59.300000000000004</v>
      </c>
      <c r="G60" s="147">
        <v>67.2</v>
      </c>
    </row>
    <row r="61" spans="1:7" x14ac:dyDescent="0.25">
      <c r="A61" s="146" t="s">
        <v>536</v>
      </c>
      <c r="B61" s="147">
        <v>201.10000000000002</v>
      </c>
      <c r="E61" s="157">
        <f t="shared" ca="1" si="0"/>
        <v>198.90000000000003</v>
      </c>
      <c r="G61" s="147">
        <v>203.8</v>
      </c>
    </row>
    <row r="62" spans="1:7" x14ac:dyDescent="0.25">
      <c r="A62" s="162" t="s">
        <v>537</v>
      </c>
      <c r="B62" s="163">
        <v>34.5</v>
      </c>
      <c r="E62" s="157">
        <f t="shared" ca="1" si="0"/>
        <v>29.2</v>
      </c>
      <c r="G62" s="147">
        <v>37.1</v>
      </c>
    </row>
    <row r="63" spans="1:7" x14ac:dyDescent="0.25">
      <c r="A63" s="164" t="s">
        <v>538</v>
      </c>
      <c r="B63" s="165">
        <v>107.6</v>
      </c>
      <c r="E63" s="157">
        <f t="shared" ca="1" si="0"/>
        <v>102.69999999999999</v>
      </c>
      <c r="G63" s="158">
        <v>112.1</v>
      </c>
    </row>
    <row r="64" spans="1:7" x14ac:dyDescent="0.25">
      <c r="A64" s="166" t="s">
        <v>539</v>
      </c>
      <c r="B64" s="167">
        <v>50.1</v>
      </c>
      <c r="E64" s="157">
        <f t="shared" ca="1" si="0"/>
        <v>46.2</v>
      </c>
      <c r="G64" s="149">
        <v>55</v>
      </c>
    </row>
    <row r="65" spans="1:7" x14ac:dyDescent="0.25">
      <c r="A65" s="166" t="s">
        <v>540</v>
      </c>
      <c r="B65" s="167">
        <v>33.6</v>
      </c>
      <c r="E65" s="157">
        <f t="shared" ca="1" si="0"/>
        <v>31</v>
      </c>
      <c r="G65" s="149">
        <v>37.700000000000003</v>
      </c>
    </row>
    <row r="66" spans="1:7" x14ac:dyDescent="0.25">
      <c r="A66" s="166" t="s">
        <v>541</v>
      </c>
      <c r="B66" s="167">
        <v>16.8</v>
      </c>
      <c r="E66" s="157">
        <f t="shared" ca="1" si="0"/>
        <v>11.4</v>
      </c>
      <c r="G66" s="149">
        <v>19.600000000000001</v>
      </c>
    </row>
    <row r="67" spans="1:7" x14ac:dyDescent="0.25">
      <c r="A67" s="166" t="s">
        <v>542</v>
      </c>
      <c r="B67" s="167">
        <v>86.6</v>
      </c>
      <c r="E67" s="157">
        <f t="shared" ca="1" si="0"/>
        <v>82.1</v>
      </c>
      <c r="G67" s="149">
        <v>90</v>
      </c>
    </row>
    <row r="68" spans="1:7" x14ac:dyDescent="0.25">
      <c r="A68" s="168" t="s">
        <v>543</v>
      </c>
      <c r="B68" s="169">
        <v>36.700000000000003</v>
      </c>
      <c r="E68" s="157">
        <f t="shared" ca="1" si="0"/>
        <v>31.000000000000004</v>
      </c>
      <c r="G68" s="150">
        <v>40.200000000000003</v>
      </c>
    </row>
    <row r="69" spans="1:7" x14ac:dyDescent="0.25">
      <c r="A69" s="168" t="s">
        <v>544</v>
      </c>
      <c r="B69" s="169">
        <v>82.5</v>
      </c>
      <c r="E69" s="157">
        <f t="shared" ca="1" si="0"/>
        <v>79.099999999999994</v>
      </c>
      <c r="G69" s="150">
        <v>88.5</v>
      </c>
    </row>
    <row r="70" spans="1:7" x14ac:dyDescent="0.25">
      <c r="A70" s="168" t="s">
        <v>545</v>
      </c>
      <c r="B70" s="169">
        <v>80.7</v>
      </c>
      <c r="E70" s="157">
        <f t="shared" ref="E70:E85" ca="1" si="1">B70-RANDBETWEEN(2, 5)-RANDBETWEEN(1,10)/10</f>
        <v>76.2</v>
      </c>
      <c r="G70" s="150">
        <v>84.2</v>
      </c>
    </row>
    <row r="71" spans="1:7" x14ac:dyDescent="0.25">
      <c r="A71" s="166" t="s">
        <v>546</v>
      </c>
      <c r="B71" s="167">
        <v>87.600000000000009</v>
      </c>
      <c r="E71" s="157">
        <f t="shared" ca="1" si="1"/>
        <v>84.7</v>
      </c>
      <c r="G71" s="149">
        <v>92.9</v>
      </c>
    </row>
    <row r="72" spans="1:7" x14ac:dyDescent="0.25">
      <c r="A72" s="166" t="s">
        <v>547</v>
      </c>
      <c r="B72" s="167">
        <v>61.400000000000006</v>
      </c>
      <c r="E72" s="157">
        <f t="shared" ca="1" si="1"/>
        <v>56.100000000000009</v>
      </c>
      <c r="G72" s="149">
        <v>67.400000000000006</v>
      </c>
    </row>
    <row r="73" spans="1:7" x14ac:dyDescent="0.25">
      <c r="A73" s="166" t="s">
        <v>548</v>
      </c>
      <c r="B73" s="167">
        <v>18.600000000000001</v>
      </c>
      <c r="E73" s="157">
        <f t="shared" ca="1" si="1"/>
        <v>13.400000000000002</v>
      </c>
      <c r="G73" s="149">
        <v>21.5</v>
      </c>
    </row>
    <row r="74" spans="1:7" x14ac:dyDescent="0.25">
      <c r="A74" s="166" t="s">
        <v>549</v>
      </c>
      <c r="B74" s="167">
        <v>35.900000000000006</v>
      </c>
      <c r="E74" s="157">
        <f t="shared" ca="1" si="1"/>
        <v>32.600000000000009</v>
      </c>
      <c r="G74" s="149">
        <v>40.200000000000003</v>
      </c>
    </row>
    <row r="75" spans="1:7" x14ac:dyDescent="0.25">
      <c r="A75" s="166" t="s">
        <v>550</v>
      </c>
      <c r="B75" s="167">
        <v>86.399999999999991</v>
      </c>
      <c r="E75" s="157">
        <f t="shared" ca="1" si="1"/>
        <v>83.699999999999989</v>
      </c>
      <c r="G75" s="149">
        <v>89.1</v>
      </c>
    </row>
    <row r="76" spans="1:7" x14ac:dyDescent="0.25">
      <c r="A76" s="166" t="s">
        <v>551</v>
      </c>
      <c r="B76" s="167">
        <v>80.600000000000009</v>
      </c>
      <c r="E76" s="157">
        <f t="shared" ca="1" si="1"/>
        <v>75.100000000000009</v>
      </c>
      <c r="G76" s="149">
        <v>85.4</v>
      </c>
    </row>
    <row r="77" spans="1:7" x14ac:dyDescent="0.25">
      <c r="A77" s="168" t="s">
        <v>552</v>
      </c>
      <c r="B77" s="169">
        <v>84.8</v>
      </c>
      <c r="E77" s="157">
        <f t="shared" ca="1" si="1"/>
        <v>80</v>
      </c>
      <c r="G77" s="150">
        <v>89.5</v>
      </c>
    </row>
    <row r="78" spans="1:7" x14ac:dyDescent="0.25">
      <c r="A78" s="168" t="s">
        <v>553</v>
      </c>
      <c r="B78" s="169">
        <v>33.4</v>
      </c>
      <c r="E78" s="157">
        <f t="shared" ca="1" si="1"/>
        <v>30.9</v>
      </c>
      <c r="G78" s="150">
        <v>39.4</v>
      </c>
    </row>
    <row r="79" spans="1:7" x14ac:dyDescent="0.25">
      <c r="A79" s="166" t="s">
        <v>554</v>
      </c>
      <c r="B79" s="167">
        <v>65.3</v>
      </c>
      <c r="E79" s="157">
        <f t="shared" ca="1" si="1"/>
        <v>61</v>
      </c>
      <c r="G79" s="149">
        <v>68.2</v>
      </c>
    </row>
    <row r="80" spans="1:7" x14ac:dyDescent="0.25">
      <c r="A80" s="166" t="s">
        <v>555</v>
      </c>
      <c r="B80" s="167">
        <v>101</v>
      </c>
      <c r="E80" s="157">
        <f t="shared" ca="1" si="1"/>
        <v>96.2</v>
      </c>
      <c r="G80" s="149">
        <v>104</v>
      </c>
    </row>
    <row r="81" spans="1:7" x14ac:dyDescent="0.25">
      <c r="A81" s="166" t="s">
        <v>556</v>
      </c>
      <c r="B81" s="167">
        <v>133.5</v>
      </c>
      <c r="E81" s="157">
        <f t="shared" ca="1" si="1"/>
        <v>128.6</v>
      </c>
      <c r="G81" s="149">
        <v>137.9</v>
      </c>
    </row>
    <row r="82" spans="1:7" x14ac:dyDescent="0.25">
      <c r="A82" s="148" t="s">
        <v>557</v>
      </c>
      <c r="B82" s="149">
        <v>141</v>
      </c>
      <c r="E82" s="157">
        <f t="shared" ca="1" si="1"/>
        <v>135.80000000000001</v>
      </c>
      <c r="G82" s="149">
        <v>144</v>
      </c>
    </row>
    <row r="83" spans="1:7" x14ac:dyDescent="0.25">
      <c r="A83" s="148" t="s">
        <v>558</v>
      </c>
      <c r="B83" s="149">
        <v>112.39999999999999</v>
      </c>
      <c r="E83" s="157">
        <f t="shared" ca="1" si="1"/>
        <v>107.6</v>
      </c>
      <c r="G83" s="149">
        <v>115.3</v>
      </c>
    </row>
    <row r="84" spans="1:7" x14ac:dyDescent="0.25">
      <c r="A84" s="156" t="s">
        <v>559</v>
      </c>
      <c r="B84" s="150">
        <v>34.5</v>
      </c>
      <c r="E84" s="157">
        <f t="shared" ca="1" si="1"/>
        <v>31.5</v>
      </c>
      <c r="G84" s="150">
        <v>40.1</v>
      </c>
    </row>
    <row r="85" spans="1:7" x14ac:dyDescent="0.25">
      <c r="A85" s="156" t="s">
        <v>560</v>
      </c>
      <c r="B85" s="150">
        <v>125.10000000000001</v>
      </c>
      <c r="E85" s="157">
        <f t="shared" ca="1" si="1"/>
        <v>120.00000000000001</v>
      </c>
      <c r="G85" s="150">
        <v>128.30000000000001</v>
      </c>
    </row>
  </sheetData>
  <mergeCells count="2">
    <mergeCell ref="A1:B1"/>
    <mergeCell ref="A2:A4"/>
  </mergeCell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7" tint="0.79998168889431442"/>
  </sheetPr>
  <dimension ref="A1:G61"/>
  <sheetViews>
    <sheetView topLeftCell="A35" zoomScaleNormal="100" workbookViewId="0">
      <selection activeCell="D55" sqref="D55"/>
    </sheetView>
  </sheetViews>
  <sheetFormatPr defaultColWidth="9.33203125" defaultRowHeight="13.2" x14ac:dyDescent="0.25"/>
  <cols>
    <col min="1" max="1" width="21" style="155" customWidth="1"/>
    <col min="2" max="2" width="12.77734375" style="155" customWidth="1"/>
    <col min="3" max="16384" width="9.33203125" style="155"/>
  </cols>
  <sheetData>
    <row r="1" spans="1:7" x14ac:dyDescent="0.25">
      <c r="A1" s="249" t="s">
        <v>564</v>
      </c>
      <c r="B1" s="246"/>
    </row>
    <row r="2" spans="1:7" ht="17.25" customHeight="1" x14ac:dyDescent="0.25">
      <c r="A2" s="249" t="s">
        <v>565</v>
      </c>
      <c r="B2" s="153"/>
    </row>
    <row r="3" spans="1:7" ht="17.25" customHeight="1" x14ac:dyDescent="0.25">
      <c r="A3" s="246"/>
      <c r="B3" s="153"/>
    </row>
    <row r="4" spans="1:7" ht="26.4" x14ac:dyDescent="0.25">
      <c r="A4" s="246"/>
      <c r="B4" s="153" t="s">
        <v>563</v>
      </c>
      <c r="G4" s="153" t="s">
        <v>563</v>
      </c>
    </row>
    <row r="5" spans="1:7" x14ac:dyDescent="0.25">
      <c r="A5" s="146" t="s">
        <v>424</v>
      </c>
      <c r="B5" s="147">
        <v>80</v>
      </c>
      <c r="E5" s="157">
        <f ca="1">B5-RANDBETWEEN(2, 5)-RANDBETWEEN(1,10)/10</f>
        <v>77.099999999999994</v>
      </c>
      <c r="F5" s="157"/>
      <c r="G5" s="147">
        <v>83.8</v>
      </c>
    </row>
    <row r="6" spans="1:7" x14ac:dyDescent="0.25">
      <c r="A6" s="146" t="s">
        <v>425</v>
      </c>
      <c r="B6" s="147">
        <v>108.3</v>
      </c>
      <c r="E6" s="157">
        <f t="shared" ref="E6:E61" ca="1" si="0">B6-RANDBETWEEN(2, 5)-RANDBETWEEN(1,10)/10</f>
        <v>103.89999999999999</v>
      </c>
      <c r="G6" s="147">
        <v>114</v>
      </c>
    </row>
    <row r="7" spans="1:7" x14ac:dyDescent="0.25">
      <c r="A7" s="146" t="s">
        <v>426</v>
      </c>
      <c r="B7" s="147">
        <v>127.20000000000002</v>
      </c>
      <c r="E7" s="157">
        <f t="shared" ca="1" si="0"/>
        <v>124.80000000000001</v>
      </c>
      <c r="G7" s="147">
        <v>132.80000000000001</v>
      </c>
    </row>
    <row r="8" spans="1:7" x14ac:dyDescent="0.25">
      <c r="A8" s="146" t="s">
        <v>427</v>
      </c>
      <c r="B8" s="147">
        <v>92.5</v>
      </c>
      <c r="E8" s="157">
        <f t="shared" ca="1" si="0"/>
        <v>90.2</v>
      </c>
      <c r="G8" s="147">
        <v>96.2</v>
      </c>
    </row>
    <row r="9" spans="1:7" x14ac:dyDescent="0.25">
      <c r="A9" s="146" t="s">
        <v>428</v>
      </c>
      <c r="B9" s="147">
        <v>106.30000000000001</v>
      </c>
      <c r="E9" s="157">
        <f t="shared" ca="1" si="0"/>
        <v>102.4</v>
      </c>
      <c r="G9" s="147">
        <v>111.9</v>
      </c>
    </row>
    <row r="10" spans="1:7" x14ac:dyDescent="0.25">
      <c r="A10" s="146" t="s">
        <v>429</v>
      </c>
      <c r="B10" s="147">
        <v>104.5</v>
      </c>
      <c r="E10" s="157">
        <f t="shared" ca="1" si="0"/>
        <v>102.2</v>
      </c>
      <c r="G10" s="147">
        <v>110</v>
      </c>
    </row>
    <row r="11" spans="1:7" x14ac:dyDescent="0.25">
      <c r="A11" s="146" t="s">
        <v>430</v>
      </c>
      <c r="B11" s="147">
        <v>102.3</v>
      </c>
      <c r="E11" s="157">
        <f t="shared" ca="1" si="0"/>
        <v>99.2</v>
      </c>
      <c r="G11" s="147">
        <v>107.7</v>
      </c>
    </row>
    <row r="12" spans="1:7" x14ac:dyDescent="0.25">
      <c r="A12" s="146" t="s">
        <v>431</v>
      </c>
      <c r="B12" s="147">
        <v>105.3</v>
      </c>
      <c r="E12" s="157">
        <f t="shared" ca="1" si="0"/>
        <v>100.3</v>
      </c>
      <c r="G12" s="147">
        <v>108.3</v>
      </c>
    </row>
    <row r="13" spans="1:7" x14ac:dyDescent="0.25">
      <c r="A13" s="146" t="s">
        <v>432</v>
      </c>
      <c r="B13" s="147">
        <v>173.9</v>
      </c>
      <c r="E13" s="157">
        <f t="shared" ca="1" si="0"/>
        <v>169.20000000000002</v>
      </c>
      <c r="G13" s="147">
        <v>176.5</v>
      </c>
    </row>
    <row r="14" spans="1:7" x14ac:dyDescent="0.25">
      <c r="A14" s="146" t="s">
        <v>433</v>
      </c>
      <c r="B14" s="147">
        <v>33.5</v>
      </c>
      <c r="E14" s="157">
        <f t="shared" ca="1" si="0"/>
        <v>29</v>
      </c>
      <c r="G14" s="147">
        <v>36.299999999999997</v>
      </c>
    </row>
    <row r="15" spans="1:7" x14ac:dyDescent="0.25">
      <c r="A15" s="146" t="s">
        <v>434</v>
      </c>
      <c r="B15" s="147">
        <v>48.1</v>
      </c>
      <c r="E15" s="157">
        <f t="shared" ca="1" si="0"/>
        <v>44.300000000000004</v>
      </c>
      <c r="G15" s="147">
        <v>53.5</v>
      </c>
    </row>
    <row r="16" spans="1:7" x14ac:dyDescent="0.25">
      <c r="A16" s="146" t="s">
        <v>435</v>
      </c>
      <c r="B16" s="147">
        <v>73.800000000000011</v>
      </c>
      <c r="E16" s="157">
        <f t="shared" ca="1" si="0"/>
        <v>71.300000000000011</v>
      </c>
      <c r="G16" s="147">
        <v>78.900000000000006</v>
      </c>
    </row>
    <row r="17" spans="1:7" x14ac:dyDescent="0.25">
      <c r="A17" s="146" t="s">
        <v>436</v>
      </c>
      <c r="B17" s="147">
        <v>51.4</v>
      </c>
      <c r="E17" s="157">
        <f t="shared" ca="1" si="0"/>
        <v>48.199999999999996</v>
      </c>
      <c r="G17" s="147">
        <v>53.6</v>
      </c>
    </row>
    <row r="18" spans="1:7" x14ac:dyDescent="0.25">
      <c r="A18" s="146" t="s">
        <v>437</v>
      </c>
      <c r="B18" s="147">
        <v>33.699999999999996</v>
      </c>
      <c r="E18" s="157">
        <f t="shared" ca="1" si="0"/>
        <v>30.699999999999996</v>
      </c>
      <c r="G18" s="147">
        <v>38.799999999999997</v>
      </c>
    </row>
    <row r="19" spans="1:7" x14ac:dyDescent="0.25">
      <c r="A19" s="146" t="s">
        <v>438</v>
      </c>
      <c r="B19" s="147">
        <v>78.699999999999989</v>
      </c>
      <c r="E19" s="157">
        <f t="shared" ca="1" si="0"/>
        <v>74.899999999999991</v>
      </c>
      <c r="G19" s="147">
        <v>82.6</v>
      </c>
    </row>
    <row r="20" spans="1:7" x14ac:dyDescent="0.25">
      <c r="A20" s="146" t="s">
        <v>439</v>
      </c>
      <c r="B20" s="147">
        <v>36.199999999999996</v>
      </c>
      <c r="E20" s="157">
        <f t="shared" ca="1" si="0"/>
        <v>30.599999999999994</v>
      </c>
      <c r="G20" s="147">
        <v>40.799999999999997</v>
      </c>
    </row>
    <row r="21" spans="1:7" x14ac:dyDescent="0.25">
      <c r="A21" s="146" t="s">
        <v>440</v>
      </c>
      <c r="B21" s="147">
        <v>49.699999999999996</v>
      </c>
      <c r="E21" s="157">
        <f t="shared" ca="1" si="0"/>
        <v>47.199999999999996</v>
      </c>
      <c r="G21" s="147">
        <v>52.9</v>
      </c>
    </row>
    <row r="22" spans="1:7" x14ac:dyDescent="0.25">
      <c r="A22" s="146" t="s">
        <v>441</v>
      </c>
      <c r="B22" s="147">
        <v>80.099999999999994</v>
      </c>
      <c r="E22" s="157">
        <f t="shared" ca="1" si="0"/>
        <v>76</v>
      </c>
      <c r="G22" s="147">
        <v>83.8</v>
      </c>
    </row>
    <row r="23" spans="1:7" x14ac:dyDescent="0.25">
      <c r="A23" s="146" t="s">
        <v>442</v>
      </c>
      <c r="B23" s="147">
        <v>591.6</v>
      </c>
      <c r="E23" s="157">
        <f t="shared" ca="1" si="0"/>
        <v>587.9</v>
      </c>
      <c r="G23" s="147">
        <v>596.4</v>
      </c>
    </row>
    <row r="24" spans="1:7" x14ac:dyDescent="0.25">
      <c r="A24" s="146" t="s">
        <v>443</v>
      </c>
      <c r="B24" s="147">
        <v>103.6</v>
      </c>
      <c r="E24" s="157">
        <f t="shared" ca="1" si="0"/>
        <v>99.8</v>
      </c>
      <c r="G24" s="147">
        <v>107.3</v>
      </c>
    </row>
    <row r="25" spans="1:7" x14ac:dyDescent="0.25">
      <c r="A25" s="146" t="s">
        <v>444</v>
      </c>
      <c r="B25" s="147">
        <v>48</v>
      </c>
      <c r="E25" s="157">
        <f t="shared" ca="1" si="0"/>
        <v>45.1</v>
      </c>
      <c r="G25" s="147">
        <v>51.7</v>
      </c>
    </row>
    <row r="26" spans="1:7" x14ac:dyDescent="0.25">
      <c r="A26" s="146" t="s">
        <v>445</v>
      </c>
      <c r="B26" s="147">
        <v>33.700000000000003</v>
      </c>
      <c r="E26" s="157">
        <f t="shared" ca="1" si="0"/>
        <v>30.500000000000004</v>
      </c>
      <c r="G26" s="147">
        <v>36.700000000000003</v>
      </c>
    </row>
    <row r="27" spans="1:7" x14ac:dyDescent="0.25">
      <c r="A27" s="146" t="s">
        <v>446</v>
      </c>
      <c r="B27" s="147">
        <v>46.800000000000004</v>
      </c>
      <c r="E27" s="157">
        <f t="shared" ca="1" si="0"/>
        <v>41.7</v>
      </c>
      <c r="G27" s="147">
        <v>51.6</v>
      </c>
    </row>
    <row r="28" spans="1:7" x14ac:dyDescent="0.25">
      <c r="A28" s="146" t="s">
        <v>447</v>
      </c>
      <c r="B28" s="147">
        <v>74.699999999999989</v>
      </c>
      <c r="E28" s="157">
        <f t="shared" ca="1" si="0"/>
        <v>70.499999999999986</v>
      </c>
      <c r="G28" s="147">
        <v>79.599999999999994</v>
      </c>
    </row>
    <row r="29" spans="1:7" x14ac:dyDescent="0.25">
      <c r="A29" s="146" t="s">
        <v>448</v>
      </c>
      <c r="B29" s="147">
        <v>75.399999999999991</v>
      </c>
      <c r="E29" s="157">
        <f t="shared" ca="1" si="0"/>
        <v>72.999999999999986</v>
      </c>
      <c r="G29" s="147">
        <v>79.3</v>
      </c>
    </row>
    <row r="30" spans="1:7" x14ac:dyDescent="0.25">
      <c r="A30" s="146" t="s">
        <v>449</v>
      </c>
      <c r="B30" s="147">
        <v>28.4</v>
      </c>
      <c r="E30" s="157">
        <f t="shared" ca="1" si="0"/>
        <v>25.9</v>
      </c>
      <c r="G30" s="147">
        <v>34.4</v>
      </c>
    </row>
    <row r="31" spans="1:7" x14ac:dyDescent="0.25">
      <c r="A31" s="146" t="s">
        <v>450</v>
      </c>
      <c r="B31" s="147">
        <v>43.9</v>
      </c>
      <c r="E31" s="157">
        <f t="shared" ca="1" si="0"/>
        <v>40.6</v>
      </c>
      <c r="G31" s="147">
        <v>46.9</v>
      </c>
    </row>
    <row r="32" spans="1:7" x14ac:dyDescent="0.25">
      <c r="A32" s="146" t="s">
        <v>451</v>
      </c>
      <c r="B32" s="147">
        <v>287.7</v>
      </c>
      <c r="E32" s="157">
        <f t="shared" ca="1" si="0"/>
        <v>282.2</v>
      </c>
      <c r="G32" s="147">
        <v>292.2</v>
      </c>
    </row>
    <row r="33" spans="1:7" x14ac:dyDescent="0.25">
      <c r="A33" s="146" t="s">
        <v>452</v>
      </c>
      <c r="B33" s="147">
        <v>266.39999999999998</v>
      </c>
      <c r="E33" s="157">
        <f t="shared" ca="1" si="0"/>
        <v>262.89999999999998</v>
      </c>
      <c r="G33" s="147">
        <v>268.7</v>
      </c>
    </row>
    <row r="34" spans="1:7" x14ac:dyDescent="0.25">
      <c r="A34" s="146" t="s">
        <v>453</v>
      </c>
      <c r="B34" s="147">
        <v>76.600000000000009</v>
      </c>
      <c r="E34" s="157">
        <f t="shared" ca="1" si="0"/>
        <v>73.000000000000014</v>
      </c>
      <c r="G34" s="147">
        <v>78.7</v>
      </c>
    </row>
    <row r="35" spans="1:7" x14ac:dyDescent="0.25">
      <c r="A35" s="146" t="s">
        <v>454</v>
      </c>
      <c r="B35" s="147">
        <v>80.3</v>
      </c>
      <c r="E35" s="157">
        <f t="shared" ca="1" si="0"/>
        <v>76.599999999999994</v>
      </c>
      <c r="G35" s="147">
        <v>84</v>
      </c>
    </row>
    <row r="36" spans="1:7" x14ac:dyDescent="0.25">
      <c r="A36" s="146" t="s">
        <v>455</v>
      </c>
      <c r="B36" s="147">
        <v>49</v>
      </c>
      <c r="E36" s="157">
        <f t="shared" ca="1" si="0"/>
        <v>43.7</v>
      </c>
      <c r="G36" s="147">
        <v>54.3</v>
      </c>
    </row>
    <row r="37" spans="1:7" x14ac:dyDescent="0.25">
      <c r="A37" s="146" t="s">
        <v>456</v>
      </c>
      <c r="B37" s="147">
        <v>77.599999999999994</v>
      </c>
      <c r="E37" s="157">
        <f t="shared" ca="1" si="0"/>
        <v>72.699999999999989</v>
      </c>
      <c r="G37" s="147">
        <v>82.1</v>
      </c>
    </row>
    <row r="38" spans="1:7" x14ac:dyDescent="0.25">
      <c r="A38" s="146" t="s">
        <v>457</v>
      </c>
      <c r="B38" s="147">
        <v>94.600000000000009</v>
      </c>
      <c r="E38" s="157">
        <f t="shared" ca="1" si="0"/>
        <v>91.500000000000014</v>
      </c>
      <c r="G38" s="147">
        <v>98.7</v>
      </c>
    </row>
    <row r="39" spans="1:7" x14ac:dyDescent="0.25">
      <c r="A39" s="162" t="s">
        <v>458</v>
      </c>
      <c r="B39" s="163">
        <v>42</v>
      </c>
      <c r="E39" s="157">
        <f t="shared" ca="1" si="0"/>
        <v>38</v>
      </c>
      <c r="G39" s="147">
        <v>47.6</v>
      </c>
    </row>
    <row r="40" spans="1:7" x14ac:dyDescent="0.25">
      <c r="A40" s="162" t="s">
        <v>459</v>
      </c>
      <c r="B40" s="163">
        <v>81.100000000000009</v>
      </c>
      <c r="E40" s="157">
        <f t="shared" ca="1" si="0"/>
        <v>75.300000000000011</v>
      </c>
      <c r="G40" s="147">
        <v>83.9</v>
      </c>
    </row>
    <row r="41" spans="1:7" x14ac:dyDescent="0.25">
      <c r="A41" s="168" t="s">
        <v>460</v>
      </c>
      <c r="B41" s="169">
        <v>34.6</v>
      </c>
      <c r="E41" s="157">
        <f t="shared" ca="1" si="0"/>
        <v>31.900000000000002</v>
      </c>
      <c r="G41" s="150">
        <v>39.700000000000003</v>
      </c>
    </row>
    <row r="42" spans="1:7" x14ac:dyDescent="0.25">
      <c r="A42" s="166" t="s">
        <v>461</v>
      </c>
      <c r="B42" s="163">
        <v>85</v>
      </c>
      <c r="E42" s="157">
        <f t="shared" ca="1" si="0"/>
        <v>79.599999999999994</v>
      </c>
      <c r="G42" s="147">
        <v>87.8</v>
      </c>
    </row>
    <row r="43" spans="1:7" x14ac:dyDescent="0.25">
      <c r="A43" s="166" t="s">
        <v>462</v>
      </c>
      <c r="B43" s="163">
        <v>78.400000000000006</v>
      </c>
      <c r="E43" s="157">
        <f t="shared" ca="1" si="0"/>
        <v>75.600000000000009</v>
      </c>
      <c r="G43" s="147">
        <v>80.900000000000006</v>
      </c>
    </row>
    <row r="44" spans="1:7" x14ac:dyDescent="0.25">
      <c r="A44" s="166" t="s">
        <v>463</v>
      </c>
      <c r="B44" s="163">
        <v>87.800000000000011</v>
      </c>
      <c r="E44" s="157">
        <f t="shared" ca="1" si="0"/>
        <v>82.100000000000009</v>
      </c>
      <c r="G44" s="147">
        <v>90.9</v>
      </c>
    </row>
    <row r="45" spans="1:7" x14ac:dyDescent="0.25">
      <c r="A45" s="166" t="s">
        <v>464</v>
      </c>
      <c r="B45" s="163">
        <v>77.399999999999991</v>
      </c>
      <c r="E45" s="157">
        <f t="shared" ca="1" si="0"/>
        <v>72.899999999999991</v>
      </c>
      <c r="G45" s="147">
        <v>81.8</v>
      </c>
    </row>
    <row r="46" spans="1:7" x14ac:dyDescent="0.25">
      <c r="A46" s="168" t="s">
        <v>465</v>
      </c>
      <c r="B46" s="163">
        <v>37.200000000000003</v>
      </c>
      <c r="E46" s="157">
        <f t="shared" ca="1" si="0"/>
        <v>35</v>
      </c>
      <c r="G46" s="147">
        <v>39.700000000000003</v>
      </c>
    </row>
    <row r="47" spans="1:7" x14ac:dyDescent="0.25">
      <c r="A47" s="162" t="s">
        <v>466</v>
      </c>
      <c r="B47" s="163">
        <v>77.2</v>
      </c>
      <c r="E47" s="157">
        <f t="shared" ca="1" si="0"/>
        <v>71.3</v>
      </c>
      <c r="G47" s="147">
        <v>80.8</v>
      </c>
    </row>
    <row r="48" spans="1:7" x14ac:dyDescent="0.25">
      <c r="A48" s="170" t="s">
        <v>467</v>
      </c>
      <c r="B48" s="163">
        <v>83.6</v>
      </c>
      <c r="E48" s="157">
        <f t="shared" ca="1" si="0"/>
        <v>80.399999999999991</v>
      </c>
      <c r="G48" s="147">
        <v>86.8</v>
      </c>
    </row>
    <row r="49" spans="1:7" x14ac:dyDescent="0.25">
      <c r="A49" s="166" t="s">
        <v>468</v>
      </c>
      <c r="B49" s="163">
        <v>84.7</v>
      </c>
      <c r="E49" s="157">
        <f t="shared" ca="1" si="0"/>
        <v>81.5</v>
      </c>
      <c r="G49" s="147">
        <v>87.7</v>
      </c>
    </row>
    <row r="50" spans="1:7" x14ac:dyDescent="0.25">
      <c r="A50" s="168" t="s">
        <v>469</v>
      </c>
      <c r="B50" s="163">
        <v>109.1</v>
      </c>
      <c r="E50" s="157">
        <f t="shared" ca="1" si="0"/>
        <v>104</v>
      </c>
      <c r="G50" s="147">
        <v>112.1</v>
      </c>
    </row>
    <row r="51" spans="1:7" x14ac:dyDescent="0.25">
      <c r="A51" s="166" t="s">
        <v>470</v>
      </c>
      <c r="B51" s="163">
        <v>38.599999999999994</v>
      </c>
      <c r="E51" s="157">
        <f t="shared" ca="1" si="0"/>
        <v>33.099999999999994</v>
      </c>
      <c r="G51" s="147">
        <v>41.3</v>
      </c>
    </row>
    <row r="52" spans="1:7" x14ac:dyDescent="0.25">
      <c r="A52" s="166" t="s">
        <v>471</v>
      </c>
      <c r="B52" s="163">
        <v>98.9</v>
      </c>
      <c r="E52" s="157">
        <f t="shared" ca="1" si="0"/>
        <v>93.5</v>
      </c>
      <c r="G52" s="147">
        <v>102</v>
      </c>
    </row>
    <row r="53" spans="1:7" x14ac:dyDescent="0.25">
      <c r="A53" s="166" t="s">
        <v>472</v>
      </c>
      <c r="B53" s="163">
        <v>36.700000000000003</v>
      </c>
      <c r="E53" s="157">
        <f t="shared" ca="1" si="0"/>
        <v>33.300000000000004</v>
      </c>
      <c r="G53" s="147">
        <v>40.200000000000003</v>
      </c>
    </row>
    <row r="54" spans="1:7" x14ac:dyDescent="0.25">
      <c r="A54" s="166" t="s">
        <v>473</v>
      </c>
      <c r="B54" s="167">
        <v>84.8</v>
      </c>
      <c r="E54" s="157">
        <f t="shared" ca="1" si="0"/>
        <v>78.899999999999991</v>
      </c>
      <c r="G54" s="149">
        <v>88.6</v>
      </c>
    </row>
    <row r="55" spans="1:7" x14ac:dyDescent="0.25">
      <c r="A55" s="166" t="s">
        <v>474</v>
      </c>
      <c r="B55" s="167">
        <v>33.9</v>
      </c>
      <c r="E55" s="157">
        <f t="shared" ca="1" si="0"/>
        <v>30</v>
      </c>
      <c r="G55" s="149">
        <v>39.799999999999997</v>
      </c>
    </row>
    <row r="56" spans="1:7" x14ac:dyDescent="0.25">
      <c r="A56" s="166" t="s">
        <v>475</v>
      </c>
      <c r="B56" s="167">
        <v>34.199999999999996</v>
      </c>
      <c r="E56" s="157">
        <f t="shared" ca="1" si="0"/>
        <v>29.599999999999994</v>
      </c>
      <c r="G56" s="149">
        <v>38.9</v>
      </c>
    </row>
    <row r="57" spans="1:7" x14ac:dyDescent="0.25">
      <c r="A57" s="166" t="s">
        <v>476</v>
      </c>
      <c r="B57" s="167">
        <v>100.6</v>
      </c>
      <c r="E57" s="157">
        <f t="shared" ca="1" si="0"/>
        <v>95.5</v>
      </c>
      <c r="G57" s="149">
        <v>104</v>
      </c>
    </row>
    <row r="58" spans="1:7" x14ac:dyDescent="0.25">
      <c r="A58" s="166" t="s">
        <v>477</v>
      </c>
      <c r="B58" s="167">
        <v>35.6</v>
      </c>
      <c r="E58" s="157">
        <f t="shared" ca="1" si="0"/>
        <v>30.200000000000003</v>
      </c>
      <c r="G58" s="149">
        <v>38.9</v>
      </c>
    </row>
    <row r="59" spans="1:7" x14ac:dyDescent="0.25">
      <c r="A59" s="148" t="s">
        <v>478</v>
      </c>
      <c r="B59" s="149">
        <v>141.4</v>
      </c>
      <c r="E59" s="157">
        <f t="shared" ca="1" si="0"/>
        <v>139.30000000000001</v>
      </c>
      <c r="G59" s="149">
        <v>147</v>
      </c>
    </row>
    <row r="60" spans="1:7" x14ac:dyDescent="0.25">
      <c r="A60" s="151" t="s">
        <v>479</v>
      </c>
      <c r="B60" s="152">
        <v>78.099999999999994</v>
      </c>
      <c r="E60" s="157">
        <f t="shared" ca="1" si="0"/>
        <v>75.8</v>
      </c>
      <c r="G60" s="152">
        <v>83.5</v>
      </c>
    </row>
    <row r="61" spans="1:7" x14ac:dyDescent="0.25">
      <c r="A61" s="156" t="s">
        <v>480</v>
      </c>
      <c r="B61" s="150">
        <v>110.2</v>
      </c>
      <c r="E61" s="157">
        <f t="shared" ca="1" si="0"/>
        <v>107.8</v>
      </c>
      <c r="G61" s="150">
        <v>116</v>
      </c>
    </row>
  </sheetData>
  <mergeCells count="2">
    <mergeCell ref="A1:B1"/>
    <mergeCell ref="A2:A4"/>
  </mergeCells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8" tint="0.79998168889431442"/>
  </sheetPr>
  <dimension ref="A1:G46"/>
  <sheetViews>
    <sheetView topLeftCell="A9" zoomScaleNormal="100" workbookViewId="0">
      <selection activeCell="A45" sqref="A45"/>
    </sheetView>
  </sheetViews>
  <sheetFormatPr defaultColWidth="9.33203125" defaultRowHeight="13.2" x14ac:dyDescent="0.25"/>
  <cols>
    <col min="1" max="1" width="21" style="155" customWidth="1"/>
    <col min="2" max="2" width="12.77734375" style="155" customWidth="1"/>
    <col min="3" max="16384" width="9.33203125" style="155"/>
  </cols>
  <sheetData>
    <row r="1" spans="1:7" ht="60" customHeight="1" x14ac:dyDescent="0.25">
      <c r="A1" s="249" t="s">
        <v>564</v>
      </c>
      <c r="B1" s="246"/>
    </row>
    <row r="2" spans="1:7" ht="12.75" customHeight="1" x14ac:dyDescent="0.25">
      <c r="A2" s="249" t="s">
        <v>565</v>
      </c>
      <c r="B2" s="153"/>
    </row>
    <row r="3" spans="1:7" ht="12.75" customHeight="1" x14ac:dyDescent="0.25">
      <c r="A3" s="246"/>
      <c r="B3" s="153"/>
    </row>
    <row r="4" spans="1:7" ht="26.4" x14ac:dyDescent="0.25">
      <c r="A4" s="246"/>
      <c r="B4" s="153" t="s">
        <v>563</v>
      </c>
      <c r="G4" s="153" t="s">
        <v>563</v>
      </c>
    </row>
    <row r="5" spans="1:7" x14ac:dyDescent="0.25">
      <c r="A5" s="146" t="s">
        <v>361</v>
      </c>
      <c r="B5" s="147">
        <v>104.2</v>
      </c>
      <c r="E5" s="157"/>
      <c r="G5" s="147">
        <v>109.4</v>
      </c>
    </row>
    <row r="6" spans="1:7" x14ac:dyDescent="0.25">
      <c r="A6" s="146" t="s">
        <v>362</v>
      </c>
      <c r="B6" s="147">
        <v>121.4</v>
      </c>
      <c r="E6" s="157"/>
      <c r="G6" s="147">
        <v>126.4</v>
      </c>
    </row>
    <row r="7" spans="1:7" x14ac:dyDescent="0.25">
      <c r="A7" s="146" t="s">
        <v>363</v>
      </c>
      <c r="B7" s="147">
        <v>77.400000000000006</v>
      </c>
      <c r="E7" s="157"/>
      <c r="G7" s="147">
        <v>82.2</v>
      </c>
    </row>
    <row r="8" spans="1:7" x14ac:dyDescent="0.25">
      <c r="A8" s="146" t="s">
        <v>364</v>
      </c>
      <c r="B8" s="147">
        <v>105.10000000000001</v>
      </c>
      <c r="E8" s="157"/>
      <c r="G8" s="147">
        <v>108.7</v>
      </c>
    </row>
    <row r="9" spans="1:7" x14ac:dyDescent="0.25">
      <c r="A9" s="146" t="s">
        <v>365</v>
      </c>
      <c r="B9" s="147">
        <v>107.6</v>
      </c>
      <c r="E9" s="157"/>
      <c r="G9" s="147">
        <v>110.8</v>
      </c>
    </row>
    <row r="10" spans="1:7" x14ac:dyDescent="0.25">
      <c r="A10" s="146" t="s">
        <v>366</v>
      </c>
      <c r="B10" s="147">
        <v>107.3</v>
      </c>
      <c r="E10" s="157"/>
      <c r="G10" s="147">
        <v>110</v>
      </c>
    </row>
    <row r="11" spans="1:7" x14ac:dyDescent="0.25">
      <c r="A11" s="146" t="s">
        <v>367</v>
      </c>
      <c r="B11" s="147">
        <v>103.6</v>
      </c>
      <c r="E11" s="157"/>
      <c r="G11" s="147">
        <v>107.3</v>
      </c>
    </row>
    <row r="12" spans="1:7" x14ac:dyDescent="0.25">
      <c r="A12" s="146" t="s">
        <v>368</v>
      </c>
      <c r="B12" s="147">
        <v>98.600000000000009</v>
      </c>
      <c r="E12" s="157"/>
      <c r="G12" s="147">
        <v>103.7</v>
      </c>
    </row>
    <row r="13" spans="1:7" x14ac:dyDescent="0.25">
      <c r="A13" s="146" t="s">
        <v>369</v>
      </c>
      <c r="B13" s="147">
        <v>30.400000000000002</v>
      </c>
      <c r="E13" s="157"/>
      <c r="G13" s="147">
        <v>34.200000000000003</v>
      </c>
    </row>
    <row r="14" spans="1:7" x14ac:dyDescent="0.25">
      <c r="A14" s="146" t="s">
        <v>370</v>
      </c>
      <c r="B14" s="147">
        <v>76.5</v>
      </c>
      <c r="E14" s="157"/>
      <c r="G14" s="147">
        <v>79.099999999999994</v>
      </c>
    </row>
    <row r="15" spans="1:7" x14ac:dyDescent="0.25">
      <c r="A15" s="146" t="s">
        <v>371</v>
      </c>
      <c r="B15" s="147">
        <v>461.4</v>
      </c>
      <c r="E15" s="157"/>
      <c r="G15" s="147">
        <v>467.2</v>
      </c>
    </row>
    <row r="16" spans="1:7" x14ac:dyDescent="0.25">
      <c r="A16" s="146" t="s">
        <v>372</v>
      </c>
      <c r="B16" s="147">
        <v>75.7</v>
      </c>
      <c r="E16" s="157"/>
      <c r="G16" s="147">
        <v>78.7</v>
      </c>
    </row>
    <row r="17" spans="1:7" x14ac:dyDescent="0.25">
      <c r="A17" s="146" t="s">
        <v>373</v>
      </c>
      <c r="B17" s="147">
        <v>34.1</v>
      </c>
      <c r="E17" s="157"/>
      <c r="G17" s="147">
        <v>36.6</v>
      </c>
    </row>
    <row r="18" spans="1:7" x14ac:dyDescent="0.25">
      <c r="A18" s="146" t="s">
        <v>374</v>
      </c>
      <c r="B18" s="147">
        <v>56</v>
      </c>
      <c r="E18" s="157"/>
      <c r="G18" s="147">
        <v>61</v>
      </c>
    </row>
    <row r="19" spans="1:7" x14ac:dyDescent="0.25">
      <c r="A19" s="146" t="s">
        <v>375</v>
      </c>
      <c r="B19" s="147">
        <v>45.9</v>
      </c>
      <c r="E19" s="157"/>
      <c r="G19" s="147">
        <v>49.1</v>
      </c>
    </row>
    <row r="20" spans="1:7" x14ac:dyDescent="0.25">
      <c r="A20" s="146" t="s">
        <v>376</v>
      </c>
      <c r="B20" s="147">
        <v>74.5</v>
      </c>
      <c r="E20" s="157"/>
      <c r="G20" s="147">
        <v>78.400000000000006</v>
      </c>
    </row>
    <row r="21" spans="1:7" x14ac:dyDescent="0.25">
      <c r="A21" s="146" t="s">
        <v>377</v>
      </c>
      <c r="B21" s="147">
        <v>153.1</v>
      </c>
      <c r="E21" s="157"/>
      <c r="G21" s="147">
        <v>157.1</v>
      </c>
    </row>
    <row r="22" spans="1:7" x14ac:dyDescent="0.25">
      <c r="A22" s="146" t="s">
        <v>378</v>
      </c>
      <c r="B22" s="147">
        <v>264.39999999999998</v>
      </c>
      <c r="E22" s="157"/>
      <c r="G22" s="147">
        <v>270.2</v>
      </c>
    </row>
    <row r="23" spans="1:7" x14ac:dyDescent="0.25">
      <c r="A23" s="171">
        <v>3.2</v>
      </c>
      <c r="B23" s="147">
        <v>81.599999999999994</v>
      </c>
      <c r="E23" s="157"/>
      <c r="G23" s="147"/>
    </row>
    <row r="24" spans="1:7" x14ac:dyDescent="0.25">
      <c r="A24" s="146">
        <v>3.21</v>
      </c>
      <c r="B24" s="147">
        <v>129.5</v>
      </c>
      <c r="E24" s="157"/>
      <c r="G24" s="147"/>
    </row>
    <row r="25" spans="1:7" x14ac:dyDescent="0.25">
      <c r="A25" s="162" t="s">
        <v>379</v>
      </c>
      <c r="B25" s="163">
        <v>70.899999999999991</v>
      </c>
      <c r="E25" s="157"/>
      <c r="G25" s="147">
        <v>76.8</v>
      </c>
    </row>
    <row r="26" spans="1:7" x14ac:dyDescent="0.25">
      <c r="A26" s="162" t="s">
        <v>380</v>
      </c>
      <c r="B26" s="163">
        <v>59.3</v>
      </c>
      <c r="E26" s="157"/>
      <c r="G26" s="147">
        <v>62</v>
      </c>
    </row>
    <row r="27" spans="1:7" x14ac:dyDescent="0.25">
      <c r="A27" s="162" t="s">
        <v>381</v>
      </c>
      <c r="B27" s="163">
        <v>34.4</v>
      </c>
      <c r="E27" s="157"/>
      <c r="G27" s="147">
        <v>39.5</v>
      </c>
    </row>
    <row r="28" spans="1:7" x14ac:dyDescent="0.25">
      <c r="A28" s="162" t="s">
        <v>382</v>
      </c>
      <c r="B28" s="163">
        <v>84.1</v>
      </c>
      <c r="E28" s="157"/>
      <c r="G28" s="147">
        <v>87</v>
      </c>
    </row>
    <row r="29" spans="1:7" x14ac:dyDescent="0.25">
      <c r="A29" s="162" t="s">
        <v>383</v>
      </c>
      <c r="B29" s="163">
        <v>119.5</v>
      </c>
      <c r="E29" s="157"/>
      <c r="G29" s="147">
        <v>125.1</v>
      </c>
    </row>
    <row r="30" spans="1:7" x14ac:dyDescent="0.25">
      <c r="A30" s="162" t="s">
        <v>384</v>
      </c>
      <c r="B30" s="163">
        <v>38.300000000000004</v>
      </c>
      <c r="E30" s="157"/>
      <c r="G30" s="147">
        <v>41.2</v>
      </c>
    </row>
    <row r="31" spans="1:7" x14ac:dyDescent="0.25">
      <c r="A31" s="162" t="s">
        <v>385</v>
      </c>
      <c r="B31" s="163">
        <v>110.2</v>
      </c>
      <c r="E31" s="157"/>
      <c r="G31" s="147">
        <v>114.2</v>
      </c>
    </row>
    <row r="32" spans="1:7" x14ac:dyDescent="0.25">
      <c r="A32" s="162" t="s">
        <v>386</v>
      </c>
      <c r="B32" s="163">
        <v>36.4</v>
      </c>
      <c r="E32" s="157"/>
      <c r="G32" s="147">
        <v>39.1</v>
      </c>
    </row>
    <row r="33" spans="1:7" x14ac:dyDescent="0.25">
      <c r="A33" s="162" t="s">
        <v>387</v>
      </c>
      <c r="B33" s="163">
        <v>32.5</v>
      </c>
      <c r="E33" s="157"/>
      <c r="G33" s="147">
        <v>38.5</v>
      </c>
    </row>
    <row r="34" spans="1:7" x14ac:dyDescent="0.25">
      <c r="A34" s="162" t="s">
        <v>388</v>
      </c>
      <c r="B34" s="163">
        <v>98.7</v>
      </c>
      <c r="E34" s="157"/>
      <c r="G34" s="147">
        <v>103.5</v>
      </c>
    </row>
    <row r="35" spans="1:7" x14ac:dyDescent="0.25">
      <c r="A35" s="162" t="s">
        <v>389</v>
      </c>
      <c r="B35" s="163">
        <v>33.4</v>
      </c>
      <c r="E35" s="157"/>
      <c r="G35" s="147">
        <v>37</v>
      </c>
    </row>
    <row r="36" spans="1:7" x14ac:dyDescent="0.25">
      <c r="A36" s="162" t="s">
        <v>390</v>
      </c>
      <c r="B36" s="163">
        <v>38.1</v>
      </c>
      <c r="E36" s="157"/>
      <c r="G36" s="147">
        <v>40.4</v>
      </c>
    </row>
    <row r="37" spans="1:7" x14ac:dyDescent="0.25">
      <c r="A37" s="162" t="s">
        <v>391</v>
      </c>
      <c r="B37" s="163">
        <v>91.1</v>
      </c>
      <c r="E37" s="157"/>
      <c r="G37" s="147">
        <v>93.3</v>
      </c>
    </row>
    <row r="38" spans="1:7" x14ac:dyDescent="0.25">
      <c r="A38" s="162" t="s">
        <v>392</v>
      </c>
      <c r="B38" s="163">
        <v>174.9</v>
      </c>
      <c r="E38" s="157"/>
      <c r="G38" s="147">
        <v>180.9</v>
      </c>
    </row>
    <row r="39" spans="1:7" x14ac:dyDescent="0.25">
      <c r="A39" s="146" t="s">
        <v>393</v>
      </c>
      <c r="B39" s="147">
        <v>78.599999999999994</v>
      </c>
      <c r="E39" s="157"/>
      <c r="G39" s="147">
        <v>83.5</v>
      </c>
    </row>
    <row r="40" spans="1:7" x14ac:dyDescent="0.25">
      <c r="A40" s="146" t="s">
        <v>394</v>
      </c>
      <c r="B40" s="147">
        <v>46.7</v>
      </c>
      <c r="E40" s="157"/>
      <c r="G40" s="147">
        <v>49.2</v>
      </c>
    </row>
    <row r="41" spans="1:7" x14ac:dyDescent="0.25">
      <c r="A41" s="146" t="s">
        <v>395</v>
      </c>
      <c r="B41" s="147">
        <v>108.2</v>
      </c>
      <c r="E41" s="157"/>
      <c r="G41" s="147">
        <v>113.8</v>
      </c>
    </row>
    <row r="44" spans="1:7" x14ac:dyDescent="0.25">
      <c r="A44" s="155" t="s">
        <v>567</v>
      </c>
    </row>
    <row r="45" spans="1:7" x14ac:dyDescent="0.25">
      <c r="A45" s="155" t="s">
        <v>566</v>
      </c>
    </row>
    <row r="46" spans="1:7" x14ac:dyDescent="0.25">
      <c r="A46" s="155">
        <v>3.3</v>
      </c>
    </row>
  </sheetData>
  <mergeCells count="2">
    <mergeCell ref="A1:B1"/>
    <mergeCell ref="A2:A4"/>
  </mergeCells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>
      <selection activeCell="E5" sqref="A1:E5"/>
    </sheetView>
  </sheetViews>
  <sheetFormatPr defaultRowHeight="13.2" x14ac:dyDescent="0.25"/>
  <sheetData/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8"/>
  <sheetViews>
    <sheetView zoomScale="55" zoomScaleNormal="55" workbookViewId="0">
      <selection activeCell="G5" sqref="G5"/>
    </sheetView>
  </sheetViews>
  <sheetFormatPr defaultRowHeight="18" x14ac:dyDescent="0.25"/>
  <cols>
    <col min="1" max="1" width="55.6640625" style="196" customWidth="1"/>
    <col min="2" max="2" width="46.5546875" style="190" customWidth="1"/>
    <col min="3" max="3" width="16.44140625" style="190" customWidth="1"/>
    <col min="4" max="4" width="16.77734375" style="190" customWidth="1"/>
    <col min="5" max="5" width="8.88671875" style="190"/>
    <col min="6" max="6" width="11.33203125" style="190" customWidth="1"/>
    <col min="7" max="7" width="12.33203125" style="190" customWidth="1"/>
    <col min="8" max="8" width="11.33203125" style="190" customWidth="1"/>
    <col min="9" max="16384" width="8.88671875" style="190"/>
  </cols>
  <sheetData>
    <row r="1" spans="1:11" ht="34.200000000000003" customHeight="1" x14ac:dyDescent="0.25">
      <c r="F1" s="191">
        <v>1</v>
      </c>
      <c r="G1" s="191">
        <v>2</v>
      </c>
      <c r="H1" s="191">
        <v>3</v>
      </c>
      <c r="I1" s="192" t="s">
        <v>622</v>
      </c>
    </row>
    <row r="2" spans="1:11" ht="54" x14ac:dyDescent="0.25">
      <c r="A2" s="185" t="s">
        <v>569</v>
      </c>
      <c r="B2" s="177" t="s">
        <v>570</v>
      </c>
      <c r="C2" s="177" t="s">
        <v>571</v>
      </c>
      <c r="D2" s="186">
        <v>1163</v>
      </c>
      <c r="E2" s="189"/>
      <c r="F2" s="193">
        <v>1163</v>
      </c>
      <c r="G2" s="193">
        <v>0</v>
      </c>
      <c r="H2" s="193">
        <v>0</v>
      </c>
      <c r="I2" s="194">
        <f>SUM(F2:H2)</f>
        <v>1163</v>
      </c>
    </row>
    <row r="3" spans="1:11" ht="54" x14ac:dyDescent="0.25">
      <c r="A3" s="185" t="s">
        <v>569</v>
      </c>
      <c r="B3" s="177" t="s">
        <v>572</v>
      </c>
      <c r="C3" s="177" t="s">
        <v>571</v>
      </c>
      <c r="D3" s="186">
        <v>593.5</v>
      </c>
      <c r="E3" s="189"/>
      <c r="F3" s="189">
        <v>316.89999999999998</v>
      </c>
      <c r="G3" s="189">
        <v>149.5</v>
      </c>
      <c r="H3" s="189">
        <v>127.1</v>
      </c>
      <c r="I3" s="194">
        <f>SUM(F3:H3)</f>
        <v>593.5</v>
      </c>
    </row>
    <row r="4" spans="1:11" ht="54" x14ac:dyDescent="0.25">
      <c r="A4" s="185" t="s">
        <v>569</v>
      </c>
      <c r="B4" s="177" t="s">
        <v>573</v>
      </c>
      <c r="C4" s="177" t="s">
        <v>571</v>
      </c>
      <c r="D4" s="186">
        <v>46</v>
      </c>
      <c r="E4" s="189"/>
      <c r="F4" s="189"/>
      <c r="G4" s="189"/>
      <c r="H4" s="189"/>
      <c r="I4" s="195"/>
    </row>
    <row r="5" spans="1:11" ht="54" x14ac:dyDescent="0.25">
      <c r="A5" s="185" t="s">
        <v>574</v>
      </c>
      <c r="B5" s="177" t="s">
        <v>575</v>
      </c>
      <c r="C5" s="177" t="s">
        <v>571</v>
      </c>
      <c r="D5" s="186">
        <v>320.39999999999998</v>
      </c>
      <c r="E5" s="189"/>
      <c r="F5" s="193">
        <v>120</v>
      </c>
      <c r="G5" s="193">
        <v>110.9</v>
      </c>
      <c r="H5" s="193">
        <v>89.5</v>
      </c>
      <c r="I5" s="194">
        <f>SUM(F5:H5)</f>
        <v>320.39999999999998</v>
      </c>
    </row>
    <row r="6" spans="1:11" ht="54" x14ac:dyDescent="0.25">
      <c r="A6" s="185" t="s">
        <v>574</v>
      </c>
      <c r="B6" s="177" t="s">
        <v>576</v>
      </c>
      <c r="C6" s="177" t="s">
        <v>571</v>
      </c>
      <c r="D6" s="186">
        <v>249.1</v>
      </c>
      <c r="E6" s="189"/>
      <c r="F6" s="193">
        <v>88.3</v>
      </c>
      <c r="G6" s="193">
        <v>128.9</v>
      </c>
      <c r="H6" s="193">
        <v>31.9</v>
      </c>
      <c r="I6" s="194">
        <f>SUM(F6:H6)</f>
        <v>249.1</v>
      </c>
      <c r="K6" s="190">
        <f>(0.58+1+3.48+6.53+0.07+0.5)*1.8</f>
        <v>21.888000000000002</v>
      </c>
    </row>
    <row r="7" spans="1:11" ht="54" x14ac:dyDescent="0.25">
      <c r="A7" s="185" t="s">
        <v>574</v>
      </c>
      <c r="B7" s="177" t="s">
        <v>577</v>
      </c>
      <c r="C7" s="177" t="s">
        <v>571</v>
      </c>
      <c r="D7" s="186">
        <v>238.4</v>
      </c>
      <c r="E7" s="189"/>
      <c r="F7" s="193">
        <v>157.19999999999999</v>
      </c>
      <c r="G7" s="193">
        <v>330.3</v>
      </c>
      <c r="H7" s="193">
        <v>81.2</v>
      </c>
      <c r="I7" s="194">
        <f>SUM(F7:H7)</f>
        <v>568.70000000000005</v>
      </c>
      <c r="K7" s="190">
        <f>10.8*1.8</f>
        <v>19.440000000000001</v>
      </c>
    </row>
    <row r="8" spans="1:11" ht="54" x14ac:dyDescent="0.25">
      <c r="A8" s="185" t="s">
        <v>574</v>
      </c>
      <c r="B8" s="177" t="s">
        <v>578</v>
      </c>
      <c r="C8" s="177" t="s">
        <v>571</v>
      </c>
      <c r="D8" s="186">
        <v>6.1</v>
      </c>
      <c r="E8" s="189"/>
      <c r="F8" s="189"/>
      <c r="G8" s="189"/>
      <c r="H8" s="189"/>
      <c r="I8" s="195"/>
    </row>
  </sheetData>
  <pageMargins left="0.7" right="0.7" top="0.75" bottom="0.75" header="0.3" footer="0.3"/>
  <pageSetup paperSize="9" orientation="portrait" horizontalDpi="300" verticalDpi="300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3"/>
  <sheetViews>
    <sheetView zoomScale="70" zoomScaleNormal="70" workbookViewId="0">
      <selection activeCell="E3" sqref="A1:E3"/>
    </sheetView>
  </sheetViews>
  <sheetFormatPr defaultRowHeight="13.2" x14ac:dyDescent="0.25"/>
  <cols>
    <col min="1" max="1" width="8.6640625" customWidth="1"/>
    <col min="2" max="2" width="37.88671875" customWidth="1"/>
    <col min="3" max="3" width="26.77734375" customWidth="1"/>
    <col min="4" max="4" width="11.6640625" customWidth="1"/>
    <col min="5" max="5" width="9.21875" customWidth="1"/>
  </cols>
  <sheetData>
    <row r="1" spans="1:5" ht="18" x14ac:dyDescent="0.35">
      <c r="A1" s="173"/>
      <c r="B1" s="174" t="s">
        <v>579</v>
      </c>
      <c r="C1" s="175"/>
      <c r="D1" s="175"/>
      <c r="E1" s="176"/>
    </row>
    <row r="2" spans="1:5" ht="18" x14ac:dyDescent="0.25">
      <c r="A2" s="173" t="s">
        <v>580</v>
      </c>
      <c r="B2" s="177" t="s">
        <v>581</v>
      </c>
      <c r="C2" s="177" t="s">
        <v>582</v>
      </c>
      <c r="D2" s="177" t="s">
        <v>583</v>
      </c>
      <c r="E2" s="175" t="s">
        <v>584</v>
      </c>
    </row>
    <row r="3" spans="1:5" ht="72" x14ac:dyDescent="0.25">
      <c r="A3" s="178">
        <v>1</v>
      </c>
      <c r="B3" s="187" t="s">
        <v>585</v>
      </c>
      <c r="C3" s="188" t="s">
        <v>605</v>
      </c>
      <c r="D3" s="188" t="s">
        <v>571</v>
      </c>
      <c r="E3" s="179">
        <f>'1.1п'!C12</f>
        <v>289.89999999999998</v>
      </c>
    </row>
  </sheetData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2"/>
  <sheetViews>
    <sheetView workbookViewId="0">
      <selection activeCell="E3" sqref="A1:E3"/>
    </sheetView>
  </sheetViews>
  <sheetFormatPr defaultRowHeight="13.2" x14ac:dyDescent="0.25"/>
  <cols>
    <col min="2" max="2" width="42" customWidth="1"/>
    <col min="3" max="3" width="12" customWidth="1"/>
  </cols>
  <sheetData>
    <row r="1" spans="1:4" ht="18" x14ac:dyDescent="0.25">
      <c r="A1" s="250" t="s">
        <v>586</v>
      </c>
      <c r="B1" s="251"/>
      <c r="C1" s="252"/>
    </row>
    <row r="2" spans="1:4" ht="16.8" customHeight="1" x14ac:dyDescent="0.25">
      <c r="A2" s="180" t="s">
        <v>580</v>
      </c>
      <c r="B2" s="181" t="s">
        <v>587</v>
      </c>
      <c r="C2" s="182" t="s">
        <v>588</v>
      </c>
      <c r="D2" s="182" t="s">
        <v>591</v>
      </c>
    </row>
    <row r="3" spans="1:4" ht="16.8" customHeight="1" x14ac:dyDescent="0.25">
      <c r="A3" s="180">
        <v>1</v>
      </c>
      <c r="B3" s="183" t="s">
        <v>617</v>
      </c>
      <c r="C3" s="182">
        <v>13</v>
      </c>
      <c r="D3" s="182" t="s">
        <v>603</v>
      </c>
    </row>
    <row r="4" spans="1:4" ht="16.8" customHeight="1" x14ac:dyDescent="0.25">
      <c r="A4" s="180">
        <v>2</v>
      </c>
      <c r="B4" s="183" t="s">
        <v>618</v>
      </c>
      <c r="C4" s="182">
        <v>37.200000000000003</v>
      </c>
      <c r="D4" s="182" t="s">
        <v>603</v>
      </c>
    </row>
    <row r="5" spans="1:4" ht="16.8" customHeight="1" x14ac:dyDescent="0.25">
      <c r="A5" s="180">
        <v>3</v>
      </c>
      <c r="B5" s="183" t="s">
        <v>619</v>
      </c>
      <c r="C5" s="182">
        <v>37.200000000000003</v>
      </c>
      <c r="D5" s="182" t="s">
        <v>603</v>
      </c>
    </row>
    <row r="6" spans="1:4" ht="16.8" customHeight="1" x14ac:dyDescent="0.25">
      <c r="A6" s="180">
        <v>4</v>
      </c>
      <c r="B6" s="183" t="s">
        <v>620</v>
      </c>
      <c r="C6" s="182">
        <v>25</v>
      </c>
      <c r="D6" s="182" t="s">
        <v>603</v>
      </c>
    </row>
    <row r="7" spans="1:4" ht="16.8" customHeight="1" x14ac:dyDescent="0.25">
      <c r="A7" s="180">
        <v>5</v>
      </c>
      <c r="B7" s="183" t="s">
        <v>621</v>
      </c>
      <c r="C7" s="182">
        <v>27.2</v>
      </c>
      <c r="D7" s="182" t="s">
        <v>603</v>
      </c>
    </row>
    <row r="8" spans="1:4" ht="16.8" customHeight="1" x14ac:dyDescent="0.25">
      <c r="A8" s="180">
        <v>6</v>
      </c>
      <c r="B8" s="183" t="s">
        <v>599</v>
      </c>
      <c r="C8" s="182">
        <v>37.200000000000003</v>
      </c>
      <c r="D8" s="182" t="s">
        <v>603</v>
      </c>
    </row>
    <row r="9" spans="1:4" ht="16.8" customHeight="1" x14ac:dyDescent="0.25">
      <c r="A9" s="180">
        <v>7</v>
      </c>
      <c r="B9" s="183" t="s">
        <v>600</v>
      </c>
      <c r="C9" s="182">
        <v>37.200000000000003</v>
      </c>
      <c r="D9" s="182" t="s">
        <v>603</v>
      </c>
    </row>
    <row r="10" spans="1:4" ht="16.8" customHeight="1" x14ac:dyDescent="0.25">
      <c r="A10" s="180">
        <v>8</v>
      </c>
      <c r="B10" s="183" t="s">
        <v>601</v>
      </c>
      <c r="C10" s="182">
        <v>38.700000000000003</v>
      </c>
      <c r="D10" s="182" t="s">
        <v>603</v>
      </c>
    </row>
    <row r="11" spans="1:4" ht="16.8" customHeight="1" x14ac:dyDescent="0.25">
      <c r="A11" s="180">
        <v>9</v>
      </c>
      <c r="B11" s="183" t="s">
        <v>602</v>
      </c>
      <c r="C11" s="182">
        <v>37.200000000000003</v>
      </c>
      <c r="D11" s="182" t="s">
        <v>603</v>
      </c>
    </row>
    <row r="12" spans="1:4" ht="18" x14ac:dyDescent="0.25">
      <c r="A12" s="180"/>
      <c r="B12" s="184" t="s">
        <v>590</v>
      </c>
      <c r="C12" s="182">
        <f>SUM(C3:C11)</f>
        <v>289.89999999999998</v>
      </c>
    </row>
  </sheetData>
  <mergeCells count="1">
    <mergeCell ref="A1:C1"/>
  </mergeCells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3"/>
  <sheetViews>
    <sheetView zoomScale="70" zoomScaleNormal="70" workbookViewId="0">
      <selection activeCell="E3" sqref="A1:E3"/>
    </sheetView>
  </sheetViews>
  <sheetFormatPr defaultRowHeight="13.2" x14ac:dyDescent="0.25"/>
  <cols>
    <col min="1" max="1" width="8.6640625" customWidth="1"/>
    <col min="2" max="2" width="37.88671875" customWidth="1"/>
    <col min="3" max="3" width="26.77734375" customWidth="1"/>
    <col min="4" max="4" width="11.6640625" customWidth="1"/>
    <col min="5" max="5" width="9.21875" customWidth="1"/>
  </cols>
  <sheetData>
    <row r="1" spans="1:5" ht="18" x14ac:dyDescent="0.35">
      <c r="A1" s="173"/>
      <c r="B1" s="174" t="s">
        <v>579</v>
      </c>
      <c r="C1" s="175"/>
      <c r="D1" s="175"/>
      <c r="E1" s="176"/>
    </row>
    <row r="2" spans="1:5" ht="18" x14ac:dyDescent="0.25">
      <c r="A2" s="173" t="s">
        <v>580</v>
      </c>
      <c r="B2" s="177" t="s">
        <v>581</v>
      </c>
      <c r="C2" s="177" t="s">
        <v>582</v>
      </c>
      <c r="D2" s="177" t="s">
        <v>583</v>
      </c>
      <c r="E2" s="175" t="s">
        <v>584</v>
      </c>
    </row>
    <row r="3" spans="1:5" ht="72" x14ac:dyDescent="0.25">
      <c r="A3" s="178">
        <v>1</v>
      </c>
      <c r="B3" s="187" t="s">
        <v>585</v>
      </c>
      <c r="C3" s="188" t="s">
        <v>606</v>
      </c>
      <c r="D3" s="188" t="s">
        <v>571</v>
      </c>
      <c r="E3" s="179">
        <f>'1.2п'!C12</f>
        <v>208.09999999999997</v>
      </c>
    </row>
  </sheetData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2"/>
  <sheetViews>
    <sheetView workbookViewId="0">
      <selection activeCell="E3" sqref="A1:E3"/>
    </sheetView>
  </sheetViews>
  <sheetFormatPr defaultRowHeight="13.2" x14ac:dyDescent="0.25"/>
  <cols>
    <col min="2" max="2" width="42" customWidth="1"/>
    <col min="3" max="3" width="12" customWidth="1"/>
  </cols>
  <sheetData>
    <row r="1" spans="1:4" ht="18" x14ac:dyDescent="0.25">
      <c r="A1" s="250" t="s">
        <v>586</v>
      </c>
      <c r="B1" s="251"/>
      <c r="C1" s="252"/>
    </row>
    <row r="2" spans="1:4" ht="16.8" customHeight="1" x14ac:dyDescent="0.25">
      <c r="A2" s="180" t="s">
        <v>580</v>
      </c>
      <c r="B2" s="181" t="s">
        <v>587</v>
      </c>
      <c r="C2" s="182" t="s">
        <v>588</v>
      </c>
      <c r="D2" s="182" t="s">
        <v>591</v>
      </c>
    </row>
    <row r="3" spans="1:4" ht="16.8" customHeight="1" x14ac:dyDescent="0.25">
      <c r="A3" s="180">
        <v>1</v>
      </c>
      <c r="B3" s="183" t="s">
        <v>607</v>
      </c>
      <c r="C3" s="182">
        <v>18.5</v>
      </c>
      <c r="D3" s="182" t="s">
        <v>604</v>
      </c>
    </row>
    <row r="4" spans="1:4" ht="16.8" customHeight="1" x14ac:dyDescent="0.25">
      <c r="A4" s="180">
        <v>2</v>
      </c>
      <c r="B4" s="183" t="s">
        <v>608</v>
      </c>
      <c r="C4" s="182">
        <v>30</v>
      </c>
      <c r="D4" s="182" t="s">
        <v>604</v>
      </c>
    </row>
    <row r="5" spans="1:4" ht="16.8" customHeight="1" x14ac:dyDescent="0.25">
      <c r="A5" s="180">
        <v>3</v>
      </c>
      <c r="B5" s="183" t="s">
        <v>609</v>
      </c>
      <c r="C5" s="182">
        <v>9.5</v>
      </c>
      <c r="D5" s="182" t="s">
        <v>604</v>
      </c>
    </row>
    <row r="6" spans="1:4" ht="16.8" customHeight="1" x14ac:dyDescent="0.25">
      <c r="A6" s="180">
        <v>4</v>
      </c>
      <c r="B6" s="183" t="s">
        <v>610</v>
      </c>
      <c r="C6" s="182">
        <v>9.5</v>
      </c>
      <c r="D6" s="182" t="s">
        <v>604</v>
      </c>
    </row>
    <row r="7" spans="1:4" ht="16.8" customHeight="1" x14ac:dyDescent="0.25">
      <c r="A7" s="180">
        <v>5</v>
      </c>
      <c r="B7" s="183" t="s">
        <v>594</v>
      </c>
      <c r="C7" s="182">
        <v>80.2</v>
      </c>
      <c r="D7" s="182" t="s">
        <v>604</v>
      </c>
    </row>
    <row r="8" spans="1:4" ht="16.8" customHeight="1" x14ac:dyDescent="0.25">
      <c r="A8" s="180">
        <v>6</v>
      </c>
      <c r="B8" s="183" t="s">
        <v>611</v>
      </c>
      <c r="C8" s="182">
        <v>15.2</v>
      </c>
      <c r="D8" s="182" t="s">
        <v>604</v>
      </c>
    </row>
    <row r="9" spans="1:4" ht="16.8" customHeight="1" x14ac:dyDescent="0.25">
      <c r="A9" s="180">
        <v>7</v>
      </c>
      <c r="B9" s="183" t="s">
        <v>612</v>
      </c>
      <c r="C9" s="182">
        <v>15.2</v>
      </c>
      <c r="D9" s="182" t="s">
        <v>604</v>
      </c>
    </row>
    <row r="10" spans="1:4" ht="16.8" customHeight="1" x14ac:dyDescent="0.25">
      <c r="A10" s="180">
        <v>8</v>
      </c>
      <c r="B10" s="183" t="s">
        <v>613</v>
      </c>
      <c r="C10" s="182">
        <v>15</v>
      </c>
      <c r="D10" s="182" t="s">
        <v>604</v>
      </c>
    </row>
    <row r="11" spans="1:4" ht="16.8" customHeight="1" x14ac:dyDescent="0.25">
      <c r="A11" s="180">
        <v>9</v>
      </c>
      <c r="B11" s="183" t="s">
        <v>614</v>
      </c>
      <c r="C11" s="182">
        <v>15</v>
      </c>
      <c r="D11" s="182" t="s">
        <v>604</v>
      </c>
    </row>
    <row r="12" spans="1:4" ht="18" x14ac:dyDescent="0.25">
      <c r="A12" s="180"/>
      <c r="B12" s="184" t="s">
        <v>590</v>
      </c>
      <c r="C12" s="182">
        <f>SUM(C3:C11)</f>
        <v>208.09999999999997</v>
      </c>
    </row>
  </sheetData>
  <mergeCells count="1">
    <mergeCell ref="A1:C1"/>
  </mergeCells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3"/>
  <sheetViews>
    <sheetView zoomScale="70" zoomScaleNormal="70" workbookViewId="0">
      <selection activeCell="E3" sqref="A1:E3"/>
    </sheetView>
  </sheetViews>
  <sheetFormatPr defaultRowHeight="13.2" x14ac:dyDescent="0.25"/>
  <cols>
    <col min="1" max="1" width="8.6640625" customWidth="1"/>
    <col min="2" max="2" width="37.88671875" customWidth="1"/>
    <col min="3" max="3" width="26.77734375" customWidth="1"/>
    <col min="4" max="4" width="11.6640625" customWidth="1"/>
    <col min="5" max="5" width="9.21875" customWidth="1"/>
  </cols>
  <sheetData>
    <row r="1" spans="1:5" ht="18" x14ac:dyDescent="0.35">
      <c r="A1" s="173"/>
      <c r="B1" s="174" t="s">
        <v>579</v>
      </c>
      <c r="C1" s="175"/>
      <c r="D1" s="175"/>
      <c r="E1" s="176"/>
    </row>
    <row r="2" spans="1:5" ht="18" x14ac:dyDescent="0.25">
      <c r="A2" s="173" t="s">
        <v>580</v>
      </c>
      <c r="B2" s="177" t="s">
        <v>581</v>
      </c>
      <c r="C2" s="177" t="s">
        <v>582</v>
      </c>
      <c r="D2" s="177" t="s">
        <v>583</v>
      </c>
      <c r="E2" s="175" t="s">
        <v>584</v>
      </c>
    </row>
    <row r="3" spans="1:5" ht="72" x14ac:dyDescent="0.25">
      <c r="A3" s="178">
        <v>1</v>
      </c>
      <c r="B3" s="187" t="s">
        <v>585</v>
      </c>
      <c r="C3" s="188" t="s">
        <v>623</v>
      </c>
      <c r="D3" s="188" t="s">
        <v>571</v>
      </c>
      <c r="E3" s="179">
        <f>'1.3п'!C12</f>
        <v>220.4</v>
      </c>
    </row>
  </sheetData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2"/>
  <sheetViews>
    <sheetView workbookViewId="0">
      <selection activeCell="E3" sqref="A1:E3"/>
    </sheetView>
  </sheetViews>
  <sheetFormatPr defaultRowHeight="13.2" x14ac:dyDescent="0.25"/>
  <cols>
    <col min="2" max="2" width="42" customWidth="1"/>
    <col min="3" max="3" width="12" customWidth="1"/>
  </cols>
  <sheetData>
    <row r="1" spans="1:4" ht="18" x14ac:dyDescent="0.25">
      <c r="A1" s="250" t="s">
        <v>586</v>
      </c>
      <c r="B1" s="251"/>
      <c r="C1" s="252"/>
    </row>
    <row r="2" spans="1:4" ht="16.8" customHeight="1" x14ac:dyDescent="0.25">
      <c r="A2" s="180" t="s">
        <v>580</v>
      </c>
      <c r="B2" s="181" t="s">
        <v>587</v>
      </c>
      <c r="C2" s="182" t="s">
        <v>588</v>
      </c>
      <c r="D2" s="182" t="s">
        <v>591</v>
      </c>
    </row>
    <row r="3" spans="1:4" ht="16.8" customHeight="1" x14ac:dyDescent="0.25">
      <c r="A3" s="180">
        <v>1</v>
      </c>
      <c r="B3" s="183" t="s">
        <v>589</v>
      </c>
      <c r="C3" s="182">
        <v>15.84</v>
      </c>
      <c r="D3" s="182" t="s">
        <v>568</v>
      </c>
    </row>
    <row r="4" spans="1:4" ht="16.8" customHeight="1" x14ac:dyDescent="0.25">
      <c r="A4" s="180">
        <v>2</v>
      </c>
      <c r="B4" s="183" t="s">
        <v>592</v>
      </c>
      <c r="C4" s="182">
        <v>15.6</v>
      </c>
      <c r="D4" s="182" t="s">
        <v>568</v>
      </c>
    </row>
    <row r="5" spans="1:4" ht="16.8" customHeight="1" x14ac:dyDescent="0.25">
      <c r="A5" s="180">
        <v>3</v>
      </c>
      <c r="B5" s="183" t="s">
        <v>615</v>
      </c>
      <c r="C5" s="182">
        <v>22.14</v>
      </c>
      <c r="D5" s="182" t="s">
        <v>568</v>
      </c>
    </row>
    <row r="6" spans="1:4" ht="16.8" customHeight="1" x14ac:dyDescent="0.25">
      <c r="A6" s="180">
        <v>4</v>
      </c>
      <c r="B6" s="183" t="s">
        <v>593</v>
      </c>
      <c r="C6" s="182">
        <v>20.340000000000003</v>
      </c>
      <c r="D6" s="182" t="s">
        <v>568</v>
      </c>
    </row>
    <row r="7" spans="1:4" ht="16.8" customHeight="1" x14ac:dyDescent="0.25">
      <c r="A7" s="180">
        <v>5</v>
      </c>
      <c r="B7" s="183" t="s">
        <v>616</v>
      </c>
      <c r="C7" s="182">
        <v>20</v>
      </c>
      <c r="D7" s="182" t="s">
        <v>568</v>
      </c>
    </row>
    <row r="8" spans="1:4" ht="16.8" customHeight="1" x14ac:dyDescent="0.25">
      <c r="A8" s="180">
        <v>6</v>
      </c>
      <c r="B8" s="183" t="s">
        <v>595</v>
      </c>
      <c r="C8" s="182">
        <v>36</v>
      </c>
      <c r="D8" s="182" t="s">
        <v>568</v>
      </c>
    </row>
    <row r="9" spans="1:4" ht="16.8" customHeight="1" x14ac:dyDescent="0.25">
      <c r="A9" s="180">
        <v>7</v>
      </c>
      <c r="B9" s="183" t="s">
        <v>596</v>
      </c>
      <c r="C9" s="182">
        <v>19.2</v>
      </c>
      <c r="D9" s="182" t="s">
        <v>568</v>
      </c>
    </row>
    <row r="10" spans="1:4" ht="16.8" customHeight="1" x14ac:dyDescent="0.25">
      <c r="A10" s="180">
        <v>8</v>
      </c>
      <c r="B10" s="183" t="s">
        <v>597</v>
      </c>
      <c r="C10" s="182">
        <v>36</v>
      </c>
      <c r="D10" s="182" t="s">
        <v>568</v>
      </c>
    </row>
    <row r="11" spans="1:4" ht="16.8" customHeight="1" x14ac:dyDescent="0.25">
      <c r="A11" s="180">
        <v>9</v>
      </c>
      <c r="B11" s="183" t="s">
        <v>598</v>
      </c>
      <c r="C11" s="182">
        <v>35.28</v>
      </c>
      <c r="D11" s="182" t="s">
        <v>568</v>
      </c>
    </row>
    <row r="12" spans="1:4" ht="18" x14ac:dyDescent="0.25">
      <c r="A12" s="180"/>
      <c r="B12" s="184" t="s">
        <v>590</v>
      </c>
      <c r="C12" s="182">
        <f>SUM(C3:C11)</f>
        <v>220.4</v>
      </c>
    </row>
  </sheetData>
  <mergeCells count="1">
    <mergeCell ref="A1:C1"/>
  </mergeCells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3"/>
  <sheetViews>
    <sheetView zoomScale="70" zoomScaleNormal="70" workbookViewId="0">
      <selection activeCell="E3" sqref="A1:E3"/>
    </sheetView>
  </sheetViews>
  <sheetFormatPr defaultRowHeight="13.2" x14ac:dyDescent="0.25"/>
  <cols>
    <col min="1" max="1" width="8.6640625" customWidth="1"/>
    <col min="2" max="2" width="37.88671875" customWidth="1"/>
    <col min="3" max="3" width="26.77734375" customWidth="1"/>
    <col min="4" max="4" width="11.6640625" customWidth="1"/>
    <col min="5" max="5" width="9.21875" customWidth="1"/>
  </cols>
  <sheetData>
    <row r="1" spans="1:5" ht="18" x14ac:dyDescent="0.35">
      <c r="A1" s="173"/>
      <c r="B1" s="174" t="s">
        <v>579</v>
      </c>
      <c r="C1" s="175"/>
      <c r="D1" s="175"/>
      <c r="E1" s="176"/>
    </row>
    <row r="2" spans="1:5" ht="18" x14ac:dyDescent="0.25">
      <c r="A2" s="173" t="s">
        <v>580</v>
      </c>
      <c r="B2" s="177" t="s">
        <v>581</v>
      </c>
      <c r="C2" s="177" t="s">
        <v>582</v>
      </c>
      <c r="D2" s="177" t="s">
        <v>583</v>
      </c>
      <c r="E2" s="175" t="s">
        <v>584</v>
      </c>
    </row>
    <row r="3" spans="1:5" ht="72" x14ac:dyDescent="0.25">
      <c r="A3" s="178">
        <v>1</v>
      </c>
      <c r="B3" s="187" t="s">
        <v>585</v>
      </c>
      <c r="C3" s="188" t="s">
        <v>624</v>
      </c>
      <c r="D3" s="188" t="s">
        <v>571</v>
      </c>
      <c r="E3" s="179">
        <f>'2.1п'!D43</f>
        <v>19.100000000000001</v>
      </c>
    </row>
  </sheetData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6" tint="0.79998168889431442"/>
  </sheetPr>
  <dimension ref="A1:D3"/>
  <sheetViews>
    <sheetView workbookViewId="0">
      <selection activeCell="C29" sqref="C29"/>
    </sheetView>
  </sheetViews>
  <sheetFormatPr defaultRowHeight="13.2" x14ac:dyDescent="0.25"/>
  <cols>
    <col min="1" max="1" width="8.6640625" customWidth="1"/>
    <col min="2" max="2" width="44" customWidth="1"/>
    <col min="3" max="3" width="11.6640625" customWidth="1"/>
    <col min="4" max="4" width="9.21875" customWidth="1"/>
  </cols>
  <sheetData>
    <row r="1" spans="1:4" ht="18" x14ac:dyDescent="0.35">
      <c r="A1" s="199"/>
      <c r="B1" s="200" t="s">
        <v>579</v>
      </c>
      <c r="C1" s="201"/>
      <c r="D1" s="202"/>
    </row>
    <row r="2" spans="1:4" ht="16.8" customHeight="1" x14ac:dyDescent="0.25">
      <c r="A2" s="199" t="s">
        <v>580</v>
      </c>
      <c r="B2" s="188" t="s">
        <v>581</v>
      </c>
      <c r="C2" s="188" t="s">
        <v>583</v>
      </c>
      <c r="D2" s="201" t="s">
        <v>584</v>
      </c>
    </row>
    <row r="3" spans="1:4" ht="58.8" customHeight="1" x14ac:dyDescent="0.25">
      <c r="A3" s="203">
        <v>1</v>
      </c>
      <c r="B3" s="187" t="s">
        <v>696</v>
      </c>
      <c r="C3" s="188" t="s">
        <v>571</v>
      </c>
      <c r="D3" s="204">
        <f>'2.1п'!D51</f>
        <v>2812.4720000000002</v>
      </c>
    </row>
  </sheetData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6" tint="0.79998168889431442"/>
  </sheetPr>
  <dimension ref="A1:D51"/>
  <sheetViews>
    <sheetView workbookViewId="0">
      <selection activeCell="F5" sqref="F5"/>
    </sheetView>
  </sheetViews>
  <sheetFormatPr defaultRowHeight="13.2" x14ac:dyDescent="0.25"/>
  <cols>
    <col min="1" max="1" width="7.44140625" customWidth="1"/>
    <col min="2" max="2" width="7.44140625" style="197" customWidth="1"/>
    <col min="3" max="3" width="34.5546875" customWidth="1"/>
    <col min="4" max="4" width="10.44140625" customWidth="1"/>
  </cols>
  <sheetData>
    <row r="1" spans="1:4" ht="18.600000000000001" thickBot="1" x14ac:dyDescent="0.3">
      <c r="A1" s="253" t="s">
        <v>586</v>
      </c>
      <c r="B1" s="254"/>
      <c r="C1" s="254"/>
      <c r="D1" s="255"/>
    </row>
    <row r="2" spans="1:4" ht="18.600000000000001" thickBot="1" x14ac:dyDescent="0.3">
      <c r="A2" s="253" t="s">
        <v>650</v>
      </c>
      <c r="B2" s="254"/>
      <c r="C2" s="254"/>
      <c r="D2" s="255"/>
    </row>
    <row r="3" spans="1:4" ht="39.6" customHeight="1" x14ac:dyDescent="0.25">
      <c r="A3" s="253" t="s">
        <v>700</v>
      </c>
      <c r="B3" s="254"/>
      <c r="C3" s="254"/>
      <c r="D3" s="255"/>
    </row>
    <row r="4" spans="1:4" ht="16.8" customHeight="1" x14ac:dyDescent="0.25">
      <c r="A4" s="213" t="s">
        <v>580</v>
      </c>
      <c r="B4" s="206" t="s">
        <v>652</v>
      </c>
      <c r="C4" s="206" t="s">
        <v>587</v>
      </c>
      <c r="D4" s="214" t="s">
        <v>588</v>
      </c>
    </row>
    <row r="5" spans="1:4" ht="16.8" customHeight="1" x14ac:dyDescent="0.25">
      <c r="A5" s="213">
        <v>1</v>
      </c>
      <c r="B5" s="208" t="s">
        <v>487</v>
      </c>
      <c r="C5" s="209" t="s">
        <v>625</v>
      </c>
      <c r="D5" s="215">
        <v>88.6</v>
      </c>
    </row>
    <row r="6" spans="1:4" ht="16.8" customHeight="1" x14ac:dyDescent="0.25">
      <c r="A6" s="213">
        <v>2</v>
      </c>
      <c r="B6" s="208" t="s">
        <v>488</v>
      </c>
      <c r="C6" s="209" t="s">
        <v>626</v>
      </c>
      <c r="D6" s="215">
        <v>80.7</v>
      </c>
    </row>
    <row r="7" spans="1:4" ht="16.8" customHeight="1" x14ac:dyDescent="0.25">
      <c r="A7" s="213">
        <v>3</v>
      </c>
      <c r="B7" s="208" t="s">
        <v>489</v>
      </c>
      <c r="C7" s="209" t="s">
        <v>626</v>
      </c>
      <c r="D7" s="215">
        <v>60.8</v>
      </c>
    </row>
    <row r="8" spans="1:4" ht="16.8" customHeight="1" x14ac:dyDescent="0.25">
      <c r="A8" s="213">
        <v>4</v>
      </c>
      <c r="B8" s="208" t="s">
        <v>490</v>
      </c>
      <c r="C8" s="209" t="s">
        <v>626</v>
      </c>
      <c r="D8" s="215">
        <v>22.1</v>
      </c>
    </row>
    <row r="9" spans="1:4" ht="26.4" customHeight="1" x14ac:dyDescent="0.25">
      <c r="A9" s="213">
        <v>5</v>
      </c>
      <c r="B9" s="208" t="s">
        <v>491</v>
      </c>
      <c r="C9" s="209" t="s">
        <v>627</v>
      </c>
      <c r="D9" s="215">
        <v>57.8</v>
      </c>
    </row>
    <row r="10" spans="1:4" ht="16.8" customHeight="1" x14ac:dyDescent="0.25">
      <c r="A10" s="213">
        <v>6</v>
      </c>
      <c r="B10" s="208" t="s">
        <v>498</v>
      </c>
      <c r="C10" s="209" t="s">
        <v>628</v>
      </c>
      <c r="D10" s="215">
        <v>59.800000000000004</v>
      </c>
    </row>
    <row r="11" spans="1:4" ht="16.8" customHeight="1" x14ac:dyDescent="0.25">
      <c r="A11" s="213">
        <v>7</v>
      </c>
      <c r="B11" s="208" t="s">
        <v>505</v>
      </c>
      <c r="C11" s="209" t="s">
        <v>629</v>
      </c>
      <c r="D11" s="215">
        <v>40.799999999999997</v>
      </c>
    </row>
    <row r="12" spans="1:4" ht="16.8" customHeight="1" x14ac:dyDescent="0.25">
      <c r="A12" s="213">
        <v>8</v>
      </c>
      <c r="B12" s="208" t="s">
        <v>508</v>
      </c>
      <c r="C12" s="209" t="s">
        <v>630</v>
      </c>
      <c r="D12" s="215">
        <v>112.4</v>
      </c>
    </row>
    <row r="13" spans="1:4" ht="16.8" customHeight="1" x14ac:dyDescent="0.25">
      <c r="A13" s="213">
        <v>9</v>
      </c>
      <c r="B13" s="208" t="s">
        <v>509</v>
      </c>
      <c r="C13" s="209" t="s">
        <v>629</v>
      </c>
      <c r="D13" s="215">
        <v>119.9</v>
      </c>
    </row>
    <row r="14" spans="1:4" ht="16.8" customHeight="1" x14ac:dyDescent="0.25">
      <c r="A14" s="213">
        <v>10</v>
      </c>
      <c r="B14" s="208" t="s">
        <v>510</v>
      </c>
      <c r="C14" s="209" t="s">
        <v>631</v>
      </c>
      <c r="D14" s="215">
        <v>36.799999999999997</v>
      </c>
    </row>
    <row r="15" spans="1:4" ht="16.8" customHeight="1" x14ac:dyDescent="0.25">
      <c r="A15" s="213">
        <v>11</v>
      </c>
      <c r="B15" s="208" t="s">
        <v>513</v>
      </c>
      <c r="C15" s="209" t="s">
        <v>632</v>
      </c>
      <c r="D15" s="215">
        <v>13.7</v>
      </c>
    </row>
    <row r="16" spans="1:4" ht="16.8" customHeight="1" x14ac:dyDescent="0.25">
      <c r="A16" s="213">
        <v>12</v>
      </c>
      <c r="B16" s="208" t="s">
        <v>516</v>
      </c>
      <c r="C16" s="209" t="s">
        <v>633</v>
      </c>
      <c r="D16" s="215">
        <v>71.38</v>
      </c>
    </row>
    <row r="17" spans="1:4" ht="16.8" customHeight="1" x14ac:dyDescent="0.25">
      <c r="A17" s="213">
        <v>13</v>
      </c>
      <c r="B17" s="208" t="s">
        <v>538</v>
      </c>
      <c r="C17" s="209" t="s">
        <v>634</v>
      </c>
      <c r="D17" s="215">
        <v>38.299999999999997</v>
      </c>
    </row>
    <row r="18" spans="1:4" ht="16.8" customHeight="1" x14ac:dyDescent="0.25">
      <c r="A18" s="213">
        <v>14</v>
      </c>
      <c r="B18" s="208" t="s">
        <v>542</v>
      </c>
      <c r="C18" s="209" t="s">
        <v>635</v>
      </c>
      <c r="D18" s="215">
        <v>38.299999999999997</v>
      </c>
    </row>
    <row r="19" spans="1:4" ht="16.8" customHeight="1" x14ac:dyDescent="0.25">
      <c r="A19" s="213">
        <v>15</v>
      </c>
      <c r="B19" s="208" t="s">
        <v>545</v>
      </c>
      <c r="C19" s="209" t="s">
        <v>636</v>
      </c>
      <c r="D19" s="215">
        <v>33.5</v>
      </c>
    </row>
    <row r="20" spans="1:4" ht="16.8" customHeight="1" x14ac:dyDescent="0.25">
      <c r="A20" s="213">
        <v>16</v>
      </c>
      <c r="B20" s="208" t="s">
        <v>546</v>
      </c>
      <c r="C20" s="209" t="s">
        <v>637</v>
      </c>
      <c r="D20" s="215">
        <v>19.2</v>
      </c>
    </row>
    <row r="21" spans="1:4" ht="16.8" customHeight="1" x14ac:dyDescent="0.25">
      <c r="A21" s="213">
        <v>17</v>
      </c>
      <c r="B21" s="208" t="s">
        <v>551</v>
      </c>
      <c r="C21" s="209" t="s">
        <v>638</v>
      </c>
      <c r="D21" s="215">
        <v>36.200000000000003</v>
      </c>
    </row>
    <row r="22" spans="1:4" ht="16.8" customHeight="1" x14ac:dyDescent="0.25">
      <c r="A22" s="213">
        <v>18</v>
      </c>
      <c r="B22" s="208" t="s">
        <v>552</v>
      </c>
      <c r="C22" s="209" t="s">
        <v>637</v>
      </c>
      <c r="D22" s="215">
        <v>19.899999999999999</v>
      </c>
    </row>
    <row r="23" spans="1:4" ht="16.8" customHeight="1" x14ac:dyDescent="0.25">
      <c r="A23" s="213">
        <v>19</v>
      </c>
      <c r="B23" s="208" t="s">
        <v>555</v>
      </c>
      <c r="C23" s="209" t="s">
        <v>629</v>
      </c>
      <c r="D23" s="215">
        <v>62.2</v>
      </c>
    </row>
    <row r="24" spans="1:4" ht="16.8" customHeight="1" x14ac:dyDescent="0.25">
      <c r="A24" s="213">
        <v>20</v>
      </c>
      <c r="B24" s="208" t="s">
        <v>556</v>
      </c>
      <c r="C24" s="209" t="s">
        <v>629</v>
      </c>
      <c r="D24" s="215">
        <v>80.100000000000009</v>
      </c>
    </row>
    <row r="25" spans="1:4" ht="16.8" customHeight="1" x14ac:dyDescent="0.25">
      <c r="A25" s="213">
        <v>21</v>
      </c>
      <c r="B25" s="208" t="s">
        <v>557</v>
      </c>
      <c r="C25" s="209" t="s">
        <v>639</v>
      </c>
      <c r="D25" s="215">
        <v>38.299999999999997</v>
      </c>
    </row>
    <row r="26" spans="1:4" ht="16.8" customHeight="1" x14ac:dyDescent="0.25">
      <c r="A26" s="213">
        <v>22</v>
      </c>
      <c r="B26" s="208" t="s">
        <v>558</v>
      </c>
      <c r="C26" s="209" t="s">
        <v>640</v>
      </c>
      <c r="D26" s="215">
        <v>36.5</v>
      </c>
    </row>
    <row r="27" spans="1:4" ht="16.8" customHeight="1" x14ac:dyDescent="0.25">
      <c r="A27" s="213">
        <v>23</v>
      </c>
      <c r="B27" s="208" t="s">
        <v>432</v>
      </c>
      <c r="C27" s="209" t="s">
        <v>641</v>
      </c>
      <c r="D27" s="215">
        <v>125</v>
      </c>
    </row>
    <row r="28" spans="1:4" ht="16.8" customHeight="1" x14ac:dyDescent="0.25">
      <c r="A28" s="213">
        <v>24</v>
      </c>
      <c r="B28" s="208" t="s">
        <v>442</v>
      </c>
      <c r="C28" s="209" t="s">
        <v>642</v>
      </c>
      <c r="D28" s="215">
        <v>192.1</v>
      </c>
    </row>
    <row r="29" spans="1:4" ht="16.8" customHeight="1" x14ac:dyDescent="0.25">
      <c r="A29" s="213">
        <v>25</v>
      </c>
      <c r="B29" s="208" t="s">
        <v>450</v>
      </c>
      <c r="C29" s="209" t="s">
        <v>629</v>
      </c>
      <c r="D29" s="215">
        <v>30.6</v>
      </c>
    </row>
    <row r="30" spans="1:4" ht="16.8" customHeight="1" x14ac:dyDescent="0.25">
      <c r="A30" s="213">
        <v>26</v>
      </c>
      <c r="B30" s="208" t="s">
        <v>451</v>
      </c>
      <c r="C30" s="209" t="s">
        <v>643</v>
      </c>
      <c r="D30" s="215">
        <v>127.9</v>
      </c>
    </row>
    <row r="31" spans="1:4" ht="16.8" customHeight="1" x14ac:dyDescent="0.25">
      <c r="A31" s="213">
        <v>27</v>
      </c>
      <c r="B31" s="208" t="s">
        <v>452</v>
      </c>
      <c r="C31" s="209" t="s">
        <v>629</v>
      </c>
      <c r="D31" s="215">
        <v>118.99799999999999</v>
      </c>
    </row>
    <row r="32" spans="1:4" ht="16.8" customHeight="1" x14ac:dyDescent="0.25">
      <c r="A32" s="213">
        <v>28</v>
      </c>
      <c r="B32" s="208" t="s">
        <v>457</v>
      </c>
      <c r="C32" s="209" t="s">
        <v>644</v>
      </c>
      <c r="D32" s="215">
        <v>13.5</v>
      </c>
    </row>
    <row r="33" spans="1:4" ht="16.8" customHeight="1" x14ac:dyDescent="0.25">
      <c r="A33" s="213">
        <v>29</v>
      </c>
      <c r="B33" s="208" t="s">
        <v>462</v>
      </c>
      <c r="C33" s="209" t="s">
        <v>636</v>
      </c>
      <c r="D33" s="215">
        <v>33.5</v>
      </c>
    </row>
    <row r="34" spans="1:4" ht="16.8" customHeight="1" x14ac:dyDescent="0.25">
      <c r="A34" s="213">
        <v>30</v>
      </c>
      <c r="B34" s="208" t="s">
        <v>463</v>
      </c>
      <c r="C34" s="209" t="s">
        <v>637</v>
      </c>
      <c r="D34" s="215">
        <v>19.2</v>
      </c>
    </row>
    <row r="35" spans="1:4" ht="16.8" customHeight="1" x14ac:dyDescent="0.25">
      <c r="A35" s="213">
        <v>31</v>
      </c>
      <c r="B35" s="208" t="s">
        <v>473</v>
      </c>
      <c r="C35" s="209" t="s">
        <v>629</v>
      </c>
      <c r="D35" s="215">
        <v>48.5</v>
      </c>
    </row>
    <row r="36" spans="1:4" ht="16.8" customHeight="1" x14ac:dyDescent="0.25">
      <c r="A36" s="213">
        <v>32</v>
      </c>
      <c r="B36" s="208" t="s">
        <v>478</v>
      </c>
      <c r="C36" s="209" t="s">
        <v>629</v>
      </c>
      <c r="D36" s="215">
        <v>86.8</v>
      </c>
    </row>
    <row r="37" spans="1:4" ht="16.8" customHeight="1" x14ac:dyDescent="0.25">
      <c r="A37" s="213">
        <v>33</v>
      </c>
      <c r="B37" s="208" t="s">
        <v>480</v>
      </c>
      <c r="C37" s="209" t="s">
        <v>643</v>
      </c>
      <c r="D37" s="215">
        <v>54.763999999999996</v>
      </c>
    </row>
    <row r="38" spans="1:4" ht="45" customHeight="1" x14ac:dyDescent="0.25">
      <c r="A38" s="213">
        <v>34</v>
      </c>
      <c r="B38" s="208" t="s">
        <v>371</v>
      </c>
      <c r="C38" s="209" t="s">
        <v>651</v>
      </c>
      <c r="D38" s="215">
        <v>176.73000000000002</v>
      </c>
    </row>
    <row r="39" spans="1:4" ht="16.8" customHeight="1" x14ac:dyDescent="0.25">
      <c r="A39" s="213">
        <v>35</v>
      </c>
      <c r="B39" s="208" t="s">
        <v>377</v>
      </c>
      <c r="C39" s="209" t="s">
        <v>643</v>
      </c>
      <c r="D39" s="215">
        <v>66.8</v>
      </c>
    </row>
    <row r="40" spans="1:4" ht="16.8" customHeight="1" x14ac:dyDescent="0.25">
      <c r="A40" s="213">
        <v>36</v>
      </c>
      <c r="B40" s="208" t="s">
        <v>378</v>
      </c>
      <c r="C40" s="209" t="s">
        <v>629</v>
      </c>
      <c r="D40" s="215">
        <v>117</v>
      </c>
    </row>
    <row r="41" spans="1:4" ht="16.8" customHeight="1" x14ac:dyDescent="0.25">
      <c r="A41" s="213">
        <v>37</v>
      </c>
      <c r="B41" s="208" t="s">
        <v>646</v>
      </c>
      <c r="C41" s="209" t="s">
        <v>644</v>
      </c>
      <c r="D41" s="215">
        <v>18.600000000000001</v>
      </c>
    </row>
    <row r="42" spans="1:4" ht="15" customHeight="1" x14ac:dyDescent="0.25">
      <c r="A42" s="213">
        <v>38</v>
      </c>
      <c r="B42" s="208" t="s">
        <v>647</v>
      </c>
      <c r="C42" s="209" t="s">
        <v>636</v>
      </c>
      <c r="D42" s="215">
        <v>33.299999999999997</v>
      </c>
    </row>
    <row r="43" spans="1:4" ht="18" x14ac:dyDescent="0.25">
      <c r="A43" s="213">
        <v>39</v>
      </c>
      <c r="B43" s="208" t="s">
        <v>648</v>
      </c>
      <c r="C43" s="209" t="s">
        <v>637</v>
      </c>
      <c r="D43" s="215">
        <v>19.100000000000001</v>
      </c>
    </row>
    <row r="44" spans="1:4" ht="18" x14ac:dyDescent="0.25">
      <c r="A44" s="213">
        <v>40</v>
      </c>
      <c r="B44" s="208" t="s">
        <v>379</v>
      </c>
      <c r="C44" s="209" t="s">
        <v>635</v>
      </c>
      <c r="D44" s="215">
        <v>32.700000000000003</v>
      </c>
    </row>
    <row r="45" spans="1:4" ht="18" x14ac:dyDescent="0.25">
      <c r="A45" s="213">
        <v>41</v>
      </c>
      <c r="B45" s="208" t="s">
        <v>380</v>
      </c>
      <c r="C45" s="209" t="s">
        <v>636</v>
      </c>
      <c r="D45" s="215">
        <v>33.299999999999997</v>
      </c>
    </row>
    <row r="46" spans="1:4" ht="18" x14ac:dyDescent="0.25">
      <c r="A46" s="213">
        <v>42</v>
      </c>
      <c r="B46" s="208" t="s">
        <v>649</v>
      </c>
      <c r="C46" s="209" t="s">
        <v>637</v>
      </c>
      <c r="D46" s="215">
        <v>19.100000000000001</v>
      </c>
    </row>
    <row r="47" spans="1:4" ht="18" x14ac:dyDescent="0.25">
      <c r="A47" s="213">
        <v>43</v>
      </c>
      <c r="B47" s="208" t="s">
        <v>391</v>
      </c>
      <c r="C47" s="209" t="s">
        <v>629</v>
      </c>
      <c r="D47" s="215">
        <v>52.5</v>
      </c>
    </row>
    <row r="48" spans="1:4" ht="18" x14ac:dyDescent="0.25">
      <c r="A48" s="213">
        <v>44</v>
      </c>
      <c r="B48" s="208" t="s">
        <v>392</v>
      </c>
      <c r="C48" s="209" t="s">
        <v>629</v>
      </c>
      <c r="D48" s="215">
        <v>122.9</v>
      </c>
    </row>
    <row r="49" spans="1:4" ht="18" x14ac:dyDescent="0.25">
      <c r="A49" s="213">
        <v>45</v>
      </c>
      <c r="B49" s="208" t="s">
        <v>394</v>
      </c>
      <c r="C49" s="209" t="s">
        <v>629</v>
      </c>
      <c r="D49" s="215">
        <v>31.5</v>
      </c>
    </row>
    <row r="50" spans="1:4" ht="18" x14ac:dyDescent="0.25">
      <c r="A50" s="213">
        <v>46</v>
      </c>
      <c r="B50" s="208" t="s">
        <v>395</v>
      </c>
      <c r="C50" s="209" t="s">
        <v>643</v>
      </c>
      <c r="D50" s="215">
        <v>70.8</v>
      </c>
    </row>
    <row r="51" spans="1:4" ht="18.600000000000001" thickBot="1" x14ac:dyDescent="0.3">
      <c r="A51" s="216"/>
      <c r="B51" s="217"/>
      <c r="C51" s="218" t="s">
        <v>590</v>
      </c>
      <c r="D51" s="219">
        <f>SUM(D5:D50)</f>
        <v>2812.4720000000002</v>
      </c>
    </row>
  </sheetData>
  <mergeCells count="3">
    <mergeCell ref="A1:D1"/>
    <mergeCell ref="A3:D3"/>
    <mergeCell ref="A2:D2"/>
  </mergeCells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6" tint="0.79998168889431442"/>
  </sheetPr>
  <dimension ref="A1:D3"/>
  <sheetViews>
    <sheetView workbookViewId="0">
      <selection activeCell="B3" sqref="B3"/>
    </sheetView>
  </sheetViews>
  <sheetFormatPr defaultRowHeight="13.2" x14ac:dyDescent="0.25"/>
  <cols>
    <col min="1" max="1" width="8.6640625" customWidth="1"/>
    <col min="2" max="2" width="44" customWidth="1"/>
    <col min="3" max="3" width="11.6640625" customWidth="1"/>
    <col min="4" max="4" width="9.21875" customWidth="1"/>
  </cols>
  <sheetData>
    <row r="1" spans="1:4" ht="18" x14ac:dyDescent="0.35">
      <c r="A1" s="199"/>
      <c r="B1" s="200" t="s">
        <v>579</v>
      </c>
      <c r="C1" s="201"/>
      <c r="D1" s="202"/>
    </row>
    <row r="2" spans="1:4" ht="18" x14ac:dyDescent="0.25">
      <c r="A2" s="199" t="s">
        <v>580</v>
      </c>
      <c r="B2" s="188" t="s">
        <v>581</v>
      </c>
      <c r="C2" s="188" t="s">
        <v>583</v>
      </c>
      <c r="D2" s="201" t="s">
        <v>584</v>
      </c>
    </row>
    <row r="3" spans="1:4" ht="72" x14ac:dyDescent="0.25">
      <c r="A3" s="203">
        <v>1</v>
      </c>
      <c r="B3" s="187" t="s">
        <v>695</v>
      </c>
      <c r="C3" s="188" t="s">
        <v>571</v>
      </c>
      <c r="D3" s="204">
        <f>'2.2п'!D13</f>
        <v>63.42</v>
      </c>
    </row>
  </sheetData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6" tint="0.79998168889431442"/>
  </sheetPr>
  <dimension ref="A1:D13"/>
  <sheetViews>
    <sheetView workbookViewId="0">
      <selection activeCell="A3" sqref="A3:D3"/>
    </sheetView>
  </sheetViews>
  <sheetFormatPr defaultRowHeight="13.2" x14ac:dyDescent="0.25"/>
  <cols>
    <col min="2" max="2" width="16.21875" customWidth="1"/>
    <col min="3" max="3" width="37.88671875" customWidth="1"/>
    <col min="4" max="4" width="12" customWidth="1"/>
  </cols>
  <sheetData>
    <row r="1" spans="1:4" ht="18" x14ac:dyDescent="0.25">
      <c r="A1" s="256" t="s">
        <v>586</v>
      </c>
      <c r="B1" s="256"/>
      <c r="C1" s="256"/>
      <c r="D1" s="256"/>
    </row>
    <row r="2" spans="1:4" ht="18" x14ac:dyDescent="0.25">
      <c r="A2" s="256" t="s">
        <v>650</v>
      </c>
      <c r="B2" s="256"/>
      <c r="C2" s="256"/>
      <c r="D2" s="256"/>
    </row>
    <row r="3" spans="1:4" ht="37.799999999999997" customHeight="1" x14ac:dyDescent="0.25">
      <c r="A3" s="256" t="s">
        <v>701</v>
      </c>
      <c r="B3" s="256"/>
      <c r="C3" s="256"/>
      <c r="D3" s="256"/>
    </row>
    <row r="4" spans="1:4" ht="16.8" customHeight="1" x14ac:dyDescent="0.25">
      <c r="A4" s="205" t="s">
        <v>580</v>
      </c>
      <c r="B4" s="206" t="s">
        <v>652</v>
      </c>
      <c r="C4" s="206" t="s">
        <v>587</v>
      </c>
      <c r="D4" s="207" t="s">
        <v>588</v>
      </c>
    </row>
    <row r="5" spans="1:4" ht="16.8" customHeight="1" x14ac:dyDescent="0.25">
      <c r="A5" s="205">
        <v>2</v>
      </c>
      <c r="B5" s="209" t="s">
        <v>488</v>
      </c>
      <c r="C5" s="209" t="s">
        <v>626</v>
      </c>
      <c r="D5" s="210">
        <v>3.33</v>
      </c>
    </row>
    <row r="6" spans="1:4" ht="16.8" customHeight="1" x14ac:dyDescent="0.25">
      <c r="A6" s="205">
        <v>3</v>
      </c>
      <c r="B6" s="209" t="s">
        <v>489</v>
      </c>
      <c r="C6" s="209" t="s">
        <v>626</v>
      </c>
      <c r="D6" s="210">
        <v>3.29</v>
      </c>
    </row>
    <row r="7" spans="1:4" ht="16.8" customHeight="1" x14ac:dyDescent="0.25">
      <c r="A7" s="205">
        <v>4</v>
      </c>
      <c r="B7" s="209" t="s">
        <v>490</v>
      </c>
      <c r="C7" s="209" t="s">
        <v>626</v>
      </c>
      <c r="D7" s="210">
        <v>4.43</v>
      </c>
    </row>
    <row r="8" spans="1:4" ht="26.4" customHeight="1" x14ac:dyDescent="0.25">
      <c r="A8" s="205">
        <v>5</v>
      </c>
      <c r="B8" s="209" t="s">
        <v>491</v>
      </c>
      <c r="C8" s="209" t="s">
        <v>627</v>
      </c>
      <c r="D8" s="210">
        <v>7.45</v>
      </c>
    </row>
    <row r="9" spans="1:4" ht="16.8" customHeight="1" x14ac:dyDescent="0.25">
      <c r="A9" s="205">
        <v>9</v>
      </c>
      <c r="B9" s="209" t="s">
        <v>509</v>
      </c>
      <c r="C9" s="209" t="s">
        <v>629</v>
      </c>
      <c r="D9" s="210">
        <v>2.2999999999999998</v>
      </c>
    </row>
    <row r="10" spans="1:4" ht="16.8" customHeight="1" x14ac:dyDescent="0.25">
      <c r="A10" s="205">
        <v>14</v>
      </c>
      <c r="B10" s="209" t="s">
        <v>516</v>
      </c>
      <c r="C10" s="209" t="s">
        <v>633</v>
      </c>
      <c r="D10" s="210">
        <v>38.020000000000003</v>
      </c>
    </row>
    <row r="11" spans="1:4" ht="16.8" customHeight="1" x14ac:dyDescent="0.25">
      <c r="A11" s="205">
        <v>29</v>
      </c>
      <c r="B11" s="209" t="s">
        <v>452</v>
      </c>
      <c r="C11" s="209" t="s">
        <v>629</v>
      </c>
      <c r="D11" s="210">
        <v>2.2999999999999998</v>
      </c>
    </row>
    <row r="12" spans="1:4" ht="18" x14ac:dyDescent="0.25">
      <c r="A12" s="205">
        <v>44</v>
      </c>
      <c r="B12" s="209" t="s">
        <v>378</v>
      </c>
      <c r="C12" s="209" t="s">
        <v>629</v>
      </c>
      <c r="D12" s="210">
        <v>2.2999999999999998</v>
      </c>
    </row>
    <row r="13" spans="1:4" ht="18" x14ac:dyDescent="0.25">
      <c r="A13" s="205"/>
      <c r="B13" s="212"/>
      <c r="C13" s="212" t="s">
        <v>590</v>
      </c>
      <c r="D13" s="207">
        <f>SUM(D5:D12)</f>
        <v>63.42</v>
      </c>
    </row>
  </sheetData>
  <mergeCells count="3">
    <mergeCell ref="A1:D1"/>
    <mergeCell ref="A3:D3"/>
    <mergeCell ref="A2:D2"/>
  </mergeCells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6" tint="0.79998168889431442"/>
  </sheetPr>
  <dimension ref="A1:D3"/>
  <sheetViews>
    <sheetView workbookViewId="0">
      <selection activeCell="B3" sqref="B3"/>
    </sheetView>
  </sheetViews>
  <sheetFormatPr defaultRowHeight="13.2" x14ac:dyDescent="0.25"/>
  <cols>
    <col min="1" max="1" width="8.6640625" customWidth="1"/>
    <col min="2" max="2" width="44" customWidth="1"/>
    <col min="3" max="3" width="11.6640625" customWidth="1"/>
    <col min="4" max="4" width="9.21875" customWidth="1"/>
  </cols>
  <sheetData>
    <row r="1" spans="1:4" ht="18" x14ac:dyDescent="0.35">
      <c r="A1" s="199"/>
      <c r="B1" s="200" t="s">
        <v>579</v>
      </c>
      <c r="C1" s="201"/>
      <c r="D1" s="202"/>
    </row>
    <row r="2" spans="1:4" ht="18" x14ac:dyDescent="0.25">
      <c r="A2" s="199" t="s">
        <v>580</v>
      </c>
      <c r="B2" s="188" t="s">
        <v>581</v>
      </c>
      <c r="C2" s="188" t="s">
        <v>583</v>
      </c>
      <c r="D2" s="201" t="s">
        <v>584</v>
      </c>
    </row>
    <row r="3" spans="1:4" ht="36" x14ac:dyDescent="0.25">
      <c r="A3" s="203">
        <v>1</v>
      </c>
      <c r="B3" s="187" t="s">
        <v>694</v>
      </c>
      <c r="C3" s="188" t="s">
        <v>571</v>
      </c>
      <c r="D3" s="204">
        <f>'2.3п'!D21</f>
        <v>685.62800000000004</v>
      </c>
    </row>
  </sheetData>
  <pageMargins left="0.7" right="0.7" top="0.75" bottom="0.75" header="0.3" footer="0.3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6" tint="0.79998168889431442"/>
  </sheetPr>
  <dimension ref="A1:D21"/>
  <sheetViews>
    <sheetView tabSelected="1" workbookViewId="0">
      <selection activeCell="C21" sqref="C21"/>
    </sheetView>
  </sheetViews>
  <sheetFormatPr defaultRowHeight="13.2" x14ac:dyDescent="0.25"/>
  <cols>
    <col min="2" max="2" width="14.44140625" style="198" customWidth="1"/>
    <col min="3" max="3" width="42" customWidth="1"/>
    <col min="4" max="4" width="12" customWidth="1"/>
  </cols>
  <sheetData>
    <row r="1" spans="1:4" ht="18" x14ac:dyDescent="0.25">
      <c r="A1" s="256" t="s">
        <v>586</v>
      </c>
      <c r="B1" s="256"/>
      <c r="C1" s="256"/>
      <c r="D1" s="256"/>
    </row>
    <row r="2" spans="1:4" ht="18" x14ac:dyDescent="0.25">
      <c r="A2" s="256" t="s">
        <v>650</v>
      </c>
      <c r="B2" s="256"/>
      <c r="C2" s="256"/>
      <c r="D2" s="256"/>
    </row>
    <row r="3" spans="1:4" ht="18" x14ac:dyDescent="0.25">
      <c r="A3" s="256" t="s">
        <v>702</v>
      </c>
      <c r="B3" s="256"/>
      <c r="C3" s="256"/>
      <c r="D3" s="256"/>
    </row>
    <row r="4" spans="1:4" ht="16.8" customHeight="1" x14ac:dyDescent="0.25">
      <c r="A4" s="205" t="s">
        <v>580</v>
      </c>
      <c r="B4" s="206" t="s">
        <v>587</v>
      </c>
      <c r="C4" s="206" t="s">
        <v>587</v>
      </c>
      <c r="D4" s="207" t="s">
        <v>588</v>
      </c>
    </row>
    <row r="5" spans="1:4" ht="16.8" customHeight="1" x14ac:dyDescent="0.25">
      <c r="A5" s="205">
        <v>1</v>
      </c>
      <c r="B5" s="208" t="s">
        <v>487</v>
      </c>
      <c r="C5" s="209" t="s">
        <v>625</v>
      </c>
      <c r="D5" s="210">
        <v>23.28</v>
      </c>
    </row>
    <row r="6" spans="1:4" ht="16.8" customHeight="1" x14ac:dyDescent="0.25">
      <c r="A6" s="205">
        <v>2</v>
      </c>
      <c r="B6" s="208" t="s">
        <v>488</v>
      </c>
      <c r="C6" s="209" t="s">
        <v>626</v>
      </c>
      <c r="D6" s="210">
        <v>14.625</v>
      </c>
    </row>
    <row r="7" spans="1:4" ht="16.8" customHeight="1" x14ac:dyDescent="0.25">
      <c r="A7" s="205">
        <v>3</v>
      </c>
      <c r="B7" s="208" t="s">
        <v>489</v>
      </c>
      <c r="C7" s="209" t="s">
        <v>626</v>
      </c>
      <c r="D7" s="210">
        <v>13.26</v>
      </c>
    </row>
    <row r="8" spans="1:4" ht="16.8" customHeight="1" x14ac:dyDescent="0.25">
      <c r="A8" s="205">
        <v>4</v>
      </c>
      <c r="B8" s="208" t="s">
        <v>490</v>
      </c>
      <c r="C8" s="209" t="s">
        <v>626</v>
      </c>
      <c r="D8" s="210">
        <v>6.24</v>
      </c>
    </row>
    <row r="9" spans="1:4" ht="26.4" customHeight="1" x14ac:dyDescent="0.25">
      <c r="A9" s="205">
        <v>5</v>
      </c>
      <c r="B9" s="208" t="s">
        <v>491</v>
      </c>
      <c r="C9" s="209" t="s">
        <v>627</v>
      </c>
      <c r="D9" s="210">
        <v>14.82</v>
      </c>
    </row>
    <row r="10" spans="1:4" ht="16.8" customHeight="1" x14ac:dyDescent="0.25">
      <c r="A10" s="205">
        <v>6</v>
      </c>
      <c r="B10" s="208" t="s">
        <v>498</v>
      </c>
      <c r="C10" s="209" t="s">
        <v>628</v>
      </c>
      <c r="D10" s="210">
        <v>4.68</v>
      </c>
    </row>
    <row r="11" spans="1:4" ht="16.8" customHeight="1" x14ac:dyDescent="0.25">
      <c r="A11" s="205">
        <v>7</v>
      </c>
      <c r="B11" s="208" t="s">
        <v>516</v>
      </c>
      <c r="C11" s="209" t="s">
        <v>633</v>
      </c>
      <c r="D11" s="210">
        <v>50.98</v>
      </c>
    </row>
    <row r="12" spans="1:4" ht="16.8" customHeight="1" x14ac:dyDescent="0.25">
      <c r="A12" s="205">
        <v>8</v>
      </c>
      <c r="B12" s="208" t="s">
        <v>538</v>
      </c>
      <c r="C12" s="209" t="s">
        <v>634</v>
      </c>
      <c r="D12" s="210">
        <v>26.7</v>
      </c>
    </row>
    <row r="13" spans="1:4" ht="16.8" customHeight="1" x14ac:dyDescent="0.25">
      <c r="A13" s="205">
        <v>9</v>
      </c>
      <c r="B13" s="208" t="s">
        <v>432</v>
      </c>
      <c r="C13" s="209" t="s">
        <v>641</v>
      </c>
      <c r="D13" s="210">
        <v>19.5</v>
      </c>
    </row>
    <row r="14" spans="1:4" ht="16.8" customHeight="1" x14ac:dyDescent="0.25">
      <c r="A14" s="205">
        <v>10</v>
      </c>
      <c r="B14" s="208" t="s">
        <v>442</v>
      </c>
      <c r="C14" s="209" t="s">
        <v>642</v>
      </c>
      <c r="D14" s="210">
        <v>311.5</v>
      </c>
    </row>
    <row r="15" spans="1:4" ht="16.8" customHeight="1" x14ac:dyDescent="0.25">
      <c r="A15" s="205">
        <v>11</v>
      </c>
      <c r="B15" s="208" t="s">
        <v>451</v>
      </c>
      <c r="C15" s="209" t="s">
        <v>643</v>
      </c>
      <c r="D15" s="210">
        <v>13.65</v>
      </c>
    </row>
    <row r="16" spans="1:4" ht="16.8" customHeight="1" x14ac:dyDescent="0.25">
      <c r="A16" s="205">
        <v>12</v>
      </c>
      <c r="B16" s="208" t="s">
        <v>452</v>
      </c>
      <c r="C16" s="209" t="s">
        <v>629</v>
      </c>
      <c r="D16" s="210">
        <v>1.833</v>
      </c>
    </row>
    <row r="17" spans="1:4" ht="18" x14ac:dyDescent="0.25">
      <c r="A17" s="205">
        <v>13</v>
      </c>
      <c r="B17" s="208" t="s">
        <v>480</v>
      </c>
      <c r="C17" s="209" t="s">
        <v>643</v>
      </c>
      <c r="D17" s="210">
        <v>6.24</v>
      </c>
    </row>
    <row r="18" spans="1:4" ht="72" x14ac:dyDescent="0.25">
      <c r="A18" s="205">
        <v>14</v>
      </c>
      <c r="B18" s="208" t="s">
        <v>371</v>
      </c>
      <c r="C18" s="209" t="s">
        <v>645</v>
      </c>
      <c r="D18" s="210">
        <v>164.28</v>
      </c>
    </row>
    <row r="19" spans="1:4" ht="18" x14ac:dyDescent="0.25">
      <c r="A19" s="205">
        <v>15</v>
      </c>
      <c r="B19" s="208" t="s">
        <v>377</v>
      </c>
      <c r="C19" s="209" t="s">
        <v>643</v>
      </c>
      <c r="D19" s="210">
        <v>5.46</v>
      </c>
    </row>
    <row r="20" spans="1:4" ht="18" x14ac:dyDescent="0.25">
      <c r="A20" s="205">
        <v>16</v>
      </c>
      <c r="B20" s="208" t="s">
        <v>395</v>
      </c>
      <c r="C20" s="209" t="s">
        <v>643</v>
      </c>
      <c r="D20" s="210">
        <v>8.58</v>
      </c>
    </row>
    <row r="21" spans="1:4" ht="18" x14ac:dyDescent="0.25">
      <c r="A21" s="205"/>
      <c r="B21" s="211"/>
      <c r="C21" s="212" t="s">
        <v>590</v>
      </c>
      <c r="D21" s="207">
        <f>SUM(D5:D20)</f>
        <v>685.62800000000004</v>
      </c>
    </row>
  </sheetData>
  <mergeCells count="3">
    <mergeCell ref="A1:D1"/>
    <mergeCell ref="A3:D3"/>
    <mergeCell ref="A2:D2"/>
  </mergeCells>
  <pageMargins left="0.7" right="0.7" top="0.75" bottom="0.75" header="0.3" footer="0.3"/>
  <ignoredErrors>
    <ignoredError sqref="B10 B11:B20" twoDigitTextYear="1"/>
  </ignoredErrors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 tint="0.79998168889431442"/>
  </sheetPr>
  <dimension ref="A1:D3"/>
  <sheetViews>
    <sheetView workbookViewId="0">
      <selection activeCell="B8" sqref="B8:B10"/>
    </sheetView>
  </sheetViews>
  <sheetFormatPr defaultRowHeight="13.2" x14ac:dyDescent="0.25"/>
  <cols>
    <col min="1" max="1" width="8.6640625" customWidth="1"/>
    <col min="2" max="2" width="44" customWidth="1"/>
    <col min="3" max="3" width="11.6640625" customWidth="1"/>
    <col min="4" max="4" width="9.21875" customWidth="1"/>
  </cols>
  <sheetData>
    <row r="1" spans="1:4" ht="18" x14ac:dyDescent="0.35">
      <c r="A1" s="199"/>
      <c r="B1" s="200" t="s">
        <v>579</v>
      </c>
      <c r="C1" s="201"/>
      <c r="D1" s="202"/>
    </row>
    <row r="2" spans="1:4" ht="18" x14ac:dyDescent="0.25">
      <c r="A2" s="199" t="s">
        <v>580</v>
      </c>
      <c r="B2" s="188" t="s">
        <v>581</v>
      </c>
      <c r="C2" s="188" t="s">
        <v>583</v>
      </c>
      <c r="D2" s="201" t="s">
        <v>584</v>
      </c>
    </row>
    <row r="3" spans="1:4" ht="54" x14ac:dyDescent="0.25">
      <c r="A3" s="203">
        <v>1</v>
      </c>
      <c r="B3" s="187" t="s">
        <v>698</v>
      </c>
      <c r="C3" s="188" t="s">
        <v>571</v>
      </c>
      <c r="D3" s="230">
        <f>'3.1п'!D80</f>
        <v>5811.5199999999995</v>
      </c>
    </row>
  </sheetData>
  <pageMargins left="0.7" right="0.7" top="0.75" bottom="0.75" header="0.3" footer="0.3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 tint="0.79998168889431442"/>
  </sheetPr>
  <dimension ref="A1:D80"/>
  <sheetViews>
    <sheetView workbookViewId="0">
      <selection activeCell="A3" sqref="A3:D3"/>
    </sheetView>
  </sheetViews>
  <sheetFormatPr defaultRowHeight="18" x14ac:dyDescent="0.25"/>
  <cols>
    <col min="1" max="1" width="8.88671875" style="220"/>
    <col min="2" max="2" width="14.44140625" style="229" customWidth="1"/>
    <col min="3" max="3" width="42" style="220" customWidth="1"/>
    <col min="4" max="4" width="12" style="220" customWidth="1"/>
    <col min="5" max="16384" width="8.88671875" style="220"/>
  </cols>
  <sheetData>
    <row r="1" spans="1:4" x14ac:dyDescent="0.25">
      <c r="A1" s="256" t="s">
        <v>586</v>
      </c>
      <c r="B1" s="256"/>
      <c r="C1" s="256"/>
      <c r="D1" s="256"/>
    </row>
    <row r="2" spans="1:4" ht="18" customHeight="1" x14ac:dyDescent="0.25">
      <c r="A2" s="257" t="s">
        <v>654</v>
      </c>
      <c r="B2" s="258"/>
      <c r="C2" s="258"/>
      <c r="D2" s="259"/>
    </row>
    <row r="3" spans="1:4" ht="50.4" customHeight="1" x14ac:dyDescent="0.25">
      <c r="A3" s="256" t="s">
        <v>653</v>
      </c>
      <c r="B3" s="256"/>
      <c r="C3" s="256"/>
      <c r="D3" s="256"/>
    </row>
    <row r="4" spans="1:4" x14ac:dyDescent="0.25">
      <c r="A4" s="205" t="s">
        <v>580</v>
      </c>
      <c r="B4" s="206" t="s">
        <v>693</v>
      </c>
      <c r="C4" s="206" t="s">
        <v>587</v>
      </c>
      <c r="D4" s="207" t="s">
        <v>588</v>
      </c>
    </row>
    <row r="5" spans="1:4" ht="36" x14ac:dyDescent="0.25">
      <c r="A5" s="205">
        <v>1</v>
      </c>
      <c r="B5" s="221" t="s">
        <v>484</v>
      </c>
      <c r="C5" s="222" t="s">
        <v>655</v>
      </c>
      <c r="D5" s="223">
        <v>84</v>
      </c>
    </row>
    <row r="6" spans="1:4" x14ac:dyDescent="0.25">
      <c r="A6" s="205">
        <v>2</v>
      </c>
      <c r="B6" s="221" t="s">
        <v>485</v>
      </c>
      <c r="C6" s="222" t="s">
        <v>656</v>
      </c>
      <c r="D6" s="223">
        <v>22.1</v>
      </c>
    </row>
    <row r="7" spans="1:4" x14ac:dyDescent="0.25">
      <c r="A7" s="205">
        <v>3</v>
      </c>
      <c r="B7" s="221" t="s">
        <v>486</v>
      </c>
      <c r="C7" s="222" t="s">
        <v>657</v>
      </c>
      <c r="D7" s="223">
        <v>46.699999999999996</v>
      </c>
    </row>
    <row r="8" spans="1:4" x14ac:dyDescent="0.25">
      <c r="A8" s="205">
        <v>4</v>
      </c>
      <c r="B8" s="221" t="s">
        <v>487</v>
      </c>
      <c r="C8" s="222" t="s">
        <v>625</v>
      </c>
      <c r="D8" s="223">
        <v>133.51999999999998</v>
      </c>
    </row>
    <row r="9" spans="1:4" x14ac:dyDescent="0.25">
      <c r="A9" s="205">
        <v>5</v>
      </c>
      <c r="B9" s="221" t="s">
        <v>488</v>
      </c>
      <c r="C9" s="222" t="s">
        <v>626</v>
      </c>
      <c r="D9" s="223">
        <v>95</v>
      </c>
    </row>
    <row r="10" spans="1:4" x14ac:dyDescent="0.25">
      <c r="A10" s="205">
        <v>6</v>
      </c>
      <c r="B10" s="221" t="s">
        <v>489</v>
      </c>
      <c r="C10" s="222" t="s">
        <v>626</v>
      </c>
      <c r="D10" s="223">
        <v>49</v>
      </c>
    </row>
    <row r="11" spans="1:4" x14ac:dyDescent="0.25">
      <c r="A11" s="205">
        <v>7</v>
      </c>
      <c r="B11" s="221" t="s">
        <v>490</v>
      </c>
      <c r="C11" s="222" t="s">
        <v>626</v>
      </c>
      <c r="D11" s="223">
        <v>95</v>
      </c>
    </row>
    <row r="12" spans="1:4" ht="36" x14ac:dyDescent="0.25">
      <c r="A12" s="205">
        <v>8</v>
      </c>
      <c r="B12" s="221" t="s">
        <v>491</v>
      </c>
      <c r="C12" s="222" t="s">
        <v>627</v>
      </c>
      <c r="D12" s="223">
        <v>140</v>
      </c>
    </row>
    <row r="13" spans="1:4" x14ac:dyDescent="0.25">
      <c r="A13" s="205">
        <v>9</v>
      </c>
      <c r="B13" s="221" t="s">
        <v>492</v>
      </c>
      <c r="C13" s="222" t="s">
        <v>658</v>
      </c>
      <c r="D13" s="223">
        <v>38.76</v>
      </c>
    </row>
    <row r="14" spans="1:4" x14ac:dyDescent="0.25">
      <c r="A14" s="205">
        <v>10</v>
      </c>
      <c r="B14" s="221" t="s">
        <v>494</v>
      </c>
      <c r="C14" s="222" t="s">
        <v>659</v>
      </c>
      <c r="D14" s="223">
        <v>46.26</v>
      </c>
    </row>
    <row r="15" spans="1:4" x14ac:dyDescent="0.25">
      <c r="A15" s="205">
        <v>11</v>
      </c>
      <c r="B15" s="221" t="s">
        <v>660</v>
      </c>
      <c r="C15" s="222" t="s">
        <v>661</v>
      </c>
      <c r="D15" s="223">
        <v>69.989999999999995</v>
      </c>
    </row>
    <row r="16" spans="1:4" x14ac:dyDescent="0.25">
      <c r="A16" s="205">
        <v>12</v>
      </c>
      <c r="B16" s="221" t="s">
        <v>500</v>
      </c>
      <c r="C16" s="222" t="s">
        <v>662</v>
      </c>
      <c r="D16" s="223"/>
    </row>
    <row r="17" spans="1:4" x14ac:dyDescent="0.25">
      <c r="A17" s="205">
        <v>13</v>
      </c>
      <c r="B17" s="221" t="s">
        <v>503</v>
      </c>
      <c r="C17" s="222" t="s">
        <v>663</v>
      </c>
      <c r="D17" s="223">
        <v>47.46</v>
      </c>
    </row>
    <row r="18" spans="1:4" x14ac:dyDescent="0.25">
      <c r="A18" s="205">
        <v>14</v>
      </c>
      <c r="B18" s="221" t="s">
        <v>504</v>
      </c>
      <c r="C18" s="222" t="s">
        <v>663</v>
      </c>
      <c r="D18" s="223">
        <v>56.46</v>
      </c>
    </row>
    <row r="19" spans="1:4" x14ac:dyDescent="0.25">
      <c r="A19" s="205">
        <v>15</v>
      </c>
      <c r="B19" s="221" t="s">
        <v>506</v>
      </c>
      <c r="C19" s="222" t="s">
        <v>664</v>
      </c>
      <c r="D19" s="223">
        <v>67.13</v>
      </c>
    </row>
    <row r="20" spans="1:4" x14ac:dyDescent="0.25">
      <c r="A20" s="205">
        <v>16</v>
      </c>
      <c r="B20" s="221" t="s">
        <v>510</v>
      </c>
      <c r="C20" s="222" t="s">
        <v>631</v>
      </c>
      <c r="D20" s="223">
        <v>110.7</v>
      </c>
    </row>
    <row r="21" spans="1:4" x14ac:dyDescent="0.25">
      <c r="A21" s="205">
        <v>17</v>
      </c>
      <c r="B21" s="221" t="s">
        <v>512</v>
      </c>
      <c r="C21" s="222" t="s">
        <v>665</v>
      </c>
      <c r="D21" s="223">
        <v>78.400000000000006</v>
      </c>
    </row>
    <row r="22" spans="1:4" x14ac:dyDescent="0.25">
      <c r="A22" s="205">
        <v>18</v>
      </c>
      <c r="B22" s="221" t="s">
        <v>513</v>
      </c>
      <c r="C22" s="222" t="s">
        <v>632</v>
      </c>
      <c r="D22" s="223">
        <v>96.3</v>
      </c>
    </row>
    <row r="23" spans="1:4" x14ac:dyDescent="0.25">
      <c r="A23" s="205">
        <v>19</v>
      </c>
      <c r="B23" s="221" t="s">
        <v>539</v>
      </c>
      <c r="C23" s="222" t="s">
        <v>666</v>
      </c>
      <c r="D23" s="223">
        <v>56.22</v>
      </c>
    </row>
    <row r="24" spans="1:4" x14ac:dyDescent="0.25">
      <c r="A24" s="205">
        <v>20</v>
      </c>
      <c r="B24" s="221" t="s">
        <v>542</v>
      </c>
      <c r="C24" s="222" t="s">
        <v>635</v>
      </c>
      <c r="D24" s="223">
        <v>90.1</v>
      </c>
    </row>
    <row r="25" spans="1:4" x14ac:dyDescent="0.25">
      <c r="A25" s="205">
        <v>21</v>
      </c>
      <c r="B25" s="221" t="s">
        <v>545</v>
      </c>
      <c r="C25" s="222" t="s">
        <v>636</v>
      </c>
      <c r="D25" s="223">
        <v>92</v>
      </c>
    </row>
    <row r="26" spans="1:4" x14ac:dyDescent="0.25">
      <c r="A26" s="205">
        <v>22</v>
      </c>
      <c r="B26" s="221" t="s">
        <v>546</v>
      </c>
      <c r="C26" s="222" t="s">
        <v>637</v>
      </c>
      <c r="D26" s="223">
        <v>95.000000000000014</v>
      </c>
    </row>
    <row r="27" spans="1:4" x14ac:dyDescent="0.25">
      <c r="A27" s="205">
        <v>23</v>
      </c>
      <c r="B27" s="221" t="s">
        <v>547</v>
      </c>
      <c r="C27" s="222" t="s">
        <v>635</v>
      </c>
      <c r="D27" s="223">
        <v>67.400000000000006</v>
      </c>
    </row>
    <row r="28" spans="1:4" x14ac:dyDescent="0.25">
      <c r="A28" s="205">
        <v>24</v>
      </c>
      <c r="B28" s="221" t="s">
        <v>551</v>
      </c>
      <c r="C28" s="222" t="s">
        <v>638</v>
      </c>
      <c r="D28" s="223">
        <v>87.5</v>
      </c>
    </row>
    <row r="29" spans="1:4" x14ac:dyDescent="0.25">
      <c r="A29" s="205">
        <v>25</v>
      </c>
      <c r="B29" s="221" t="s">
        <v>552</v>
      </c>
      <c r="C29" s="222" t="s">
        <v>637</v>
      </c>
      <c r="D29" s="223">
        <v>86.5</v>
      </c>
    </row>
    <row r="30" spans="1:4" x14ac:dyDescent="0.25">
      <c r="A30" s="205">
        <v>26</v>
      </c>
      <c r="B30" s="221" t="s">
        <v>425</v>
      </c>
      <c r="C30" s="222" t="s">
        <v>667</v>
      </c>
      <c r="D30" s="223">
        <v>82.820999999999998</v>
      </c>
    </row>
    <row r="31" spans="1:4" ht="54" x14ac:dyDescent="0.25">
      <c r="A31" s="205">
        <v>27</v>
      </c>
      <c r="B31" s="221" t="s">
        <v>426</v>
      </c>
      <c r="C31" s="222" t="s">
        <v>668</v>
      </c>
      <c r="D31" s="223">
        <v>114.947</v>
      </c>
    </row>
    <row r="32" spans="1:4" ht="36" x14ac:dyDescent="0.25">
      <c r="A32" s="205">
        <v>28</v>
      </c>
      <c r="B32" s="221" t="s">
        <v>427</v>
      </c>
      <c r="C32" s="222" t="s">
        <v>669</v>
      </c>
      <c r="D32" s="223">
        <v>75.431000000000012</v>
      </c>
    </row>
    <row r="33" spans="1:4" x14ac:dyDescent="0.25">
      <c r="A33" s="205">
        <v>29</v>
      </c>
      <c r="B33" s="221" t="s">
        <v>428</v>
      </c>
      <c r="C33" s="222" t="s">
        <v>667</v>
      </c>
      <c r="D33" s="223">
        <v>85.176000000000002</v>
      </c>
    </row>
    <row r="34" spans="1:4" ht="72" x14ac:dyDescent="0.25">
      <c r="A34" s="205">
        <v>30</v>
      </c>
      <c r="B34" s="221" t="s">
        <v>429</v>
      </c>
      <c r="C34" s="222" t="s">
        <v>670</v>
      </c>
      <c r="D34" s="223">
        <v>77.762</v>
      </c>
    </row>
    <row r="35" spans="1:4" ht="72" x14ac:dyDescent="0.25">
      <c r="A35" s="205">
        <v>31</v>
      </c>
      <c r="B35" s="221" t="s">
        <v>430</v>
      </c>
      <c r="C35" s="222" t="s">
        <v>670</v>
      </c>
      <c r="D35" s="223">
        <v>83.146000000000015</v>
      </c>
    </row>
    <row r="36" spans="1:4" x14ac:dyDescent="0.25">
      <c r="A36" s="205">
        <v>32</v>
      </c>
      <c r="B36" s="221" t="s">
        <v>431</v>
      </c>
      <c r="C36" s="222" t="s">
        <v>667</v>
      </c>
      <c r="D36" s="223">
        <v>95.820000000000022</v>
      </c>
    </row>
    <row r="37" spans="1:4" x14ac:dyDescent="0.25">
      <c r="A37" s="205">
        <v>33</v>
      </c>
      <c r="B37" s="221" t="s">
        <v>432</v>
      </c>
      <c r="C37" s="222" t="s">
        <v>641</v>
      </c>
      <c r="D37" s="223">
        <v>157</v>
      </c>
    </row>
    <row r="38" spans="1:4" x14ac:dyDescent="0.25">
      <c r="A38" s="205">
        <v>34</v>
      </c>
      <c r="B38" s="221" t="s">
        <v>671</v>
      </c>
      <c r="C38" s="222" t="s">
        <v>672</v>
      </c>
      <c r="D38" s="223">
        <v>28.17</v>
      </c>
    </row>
    <row r="39" spans="1:4" x14ac:dyDescent="0.25">
      <c r="A39" s="205">
        <v>35</v>
      </c>
      <c r="B39" s="221" t="s">
        <v>434</v>
      </c>
      <c r="C39" s="222" t="s">
        <v>673</v>
      </c>
      <c r="D39" s="223">
        <v>15.18</v>
      </c>
    </row>
    <row r="40" spans="1:4" x14ac:dyDescent="0.25">
      <c r="A40" s="205">
        <v>36</v>
      </c>
      <c r="B40" s="221" t="s">
        <v>435</v>
      </c>
      <c r="C40" s="222" t="s">
        <v>674</v>
      </c>
      <c r="D40" s="223">
        <v>70.363</v>
      </c>
    </row>
    <row r="41" spans="1:4" x14ac:dyDescent="0.25">
      <c r="A41" s="205">
        <v>37</v>
      </c>
      <c r="B41" s="221" t="s">
        <v>437</v>
      </c>
      <c r="C41" s="222" t="s">
        <v>659</v>
      </c>
      <c r="D41" s="223">
        <v>24.330000000000002</v>
      </c>
    </row>
    <row r="42" spans="1:4" x14ac:dyDescent="0.25">
      <c r="A42" s="205">
        <v>38</v>
      </c>
      <c r="B42" s="221" t="s">
        <v>438</v>
      </c>
      <c r="C42" s="222" t="s">
        <v>675</v>
      </c>
      <c r="D42" s="223">
        <v>75.92</v>
      </c>
    </row>
    <row r="43" spans="1:4" x14ac:dyDescent="0.25">
      <c r="A43" s="205">
        <v>39</v>
      </c>
      <c r="B43" s="221" t="s">
        <v>439</v>
      </c>
      <c r="C43" s="222" t="s">
        <v>658</v>
      </c>
      <c r="D43" s="223">
        <v>17.257999999999999</v>
      </c>
    </row>
    <row r="44" spans="1:4" ht="36" x14ac:dyDescent="0.25">
      <c r="A44" s="205">
        <v>40</v>
      </c>
      <c r="B44" s="221" t="s">
        <v>443</v>
      </c>
      <c r="C44" s="222" t="s">
        <v>676</v>
      </c>
      <c r="D44" s="223">
        <v>86.123999999999995</v>
      </c>
    </row>
    <row r="45" spans="1:4" ht="36" x14ac:dyDescent="0.25">
      <c r="A45" s="205">
        <v>41</v>
      </c>
      <c r="B45" s="221" t="s">
        <v>444</v>
      </c>
      <c r="C45" s="222" t="s">
        <v>677</v>
      </c>
      <c r="D45" s="223">
        <v>47.648000000000003</v>
      </c>
    </row>
    <row r="46" spans="1:4" x14ac:dyDescent="0.25">
      <c r="A46" s="205">
        <v>42</v>
      </c>
      <c r="B46" s="221" t="s">
        <v>447</v>
      </c>
      <c r="C46" s="222" t="s">
        <v>658</v>
      </c>
      <c r="D46" s="223">
        <v>38.76</v>
      </c>
    </row>
    <row r="47" spans="1:4" x14ac:dyDescent="0.25">
      <c r="A47" s="205">
        <v>43</v>
      </c>
      <c r="B47" s="221" t="s">
        <v>448</v>
      </c>
      <c r="C47" s="222" t="s">
        <v>659</v>
      </c>
      <c r="D47" s="223">
        <v>46.26</v>
      </c>
    </row>
    <row r="48" spans="1:4" x14ac:dyDescent="0.25">
      <c r="A48" s="205">
        <v>44</v>
      </c>
      <c r="B48" s="221" t="s">
        <v>678</v>
      </c>
      <c r="C48" s="222" t="s">
        <v>679</v>
      </c>
      <c r="D48" s="223">
        <v>53.870000000000005</v>
      </c>
    </row>
    <row r="49" spans="1:4" x14ac:dyDescent="0.25">
      <c r="A49" s="205">
        <v>45</v>
      </c>
      <c r="B49" s="221" t="s">
        <v>453</v>
      </c>
      <c r="C49" s="222" t="s">
        <v>680</v>
      </c>
      <c r="D49" s="223">
        <v>78.7</v>
      </c>
    </row>
    <row r="50" spans="1:4" x14ac:dyDescent="0.25">
      <c r="A50" s="205">
        <v>46</v>
      </c>
      <c r="B50" s="221" t="s">
        <v>454</v>
      </c>
      <c r="C50" s="222" t="s">
        <v>681</v>
      </c>
      <c r="D50" s="223">
        <v>84</v>
      </c>
    </row>
    <row r="51" spans="1:4" x14ac:dyDescent="0.25">
      <c r="A51" s="205">
        <v>47</v>
      </c>
      <c r="B51" s="221" t="s">
        <v>456</v>
      </c>
      <c r="C51" s="222" t="s">
        <v>682</v>
      </c>
      <c r="D51" s="223">
        <v>82.1</v>
      </c>
    </row>
    <row r="52" spans="1:4" x14ac:dyDescent="0.25">
      <c r="A52" s="205">
        <v>48</v>
      </c>
      <c r="B52" s="221" t="s">
        <v>457</v>
      </c>
      <c r="C52" s="222" t="s">
        <v>644</v>
      </c>
      <c r="D52" s="223">
        <v>98.6</v>
      </c>
    </row>
    <row r="53" spans="1:4" x14ac:dyDescent="0.25">
      <c r="A53" s="205">
        <v>49</v>
      </c>
      <c r="B53" s="221" t="s">
        <v>459</v>
      </c>
      <c r="C53" s="222" t="s">
        <v>683</v>
      </c>
      <c r="D53" s="223">
        <v>83.899999999999991</v>
      </c>
    </row>
    <row r="54" spans="1:4" x14ac:dyDescent="0.25">
      <c r="A54" s="205">
        <v>50</v>
      </c>
      <c r="B54" s="221" t="s">
        <v>462</v>
      </c>
      <c r="C54" s="222" t="s">
        <v>636</v>
      </c>
      <c r="D54" s="223">
        <v>85.8</v>
      </c>
    </row>
    <row r="55" spans="1:4" x14ac:dyDescent="0.25">
      <c r="A55" s="205">
        <v>51</v>
      </c>
      <c r="B55" s="221" t="s">
        <v>463</v>
      </c>
      <c r="C55" s="222" t="s">
        <v>637</v>
      </c>
      <c r="D55" s="223">
        <v>92.100000000000009</v>
      </c>
    </row>
    <row r="56" spans="1:4" x14ac:dyDescent="0.25">
      <c r="A56" s="205">
        <v>52</v>
      </c>
      <c r="B56" s="221" t="s">
        <v>464</v>
      </c>
      <c r="C56" s="222" t="s">
        <v>635</v>
      </c>
      <c r="D56" s="223">
        <v>81.699999999999989</v>
      </c>
    </row>
    <row r="57" spans="1:4" x14ac:dyDescent="0.25">
      <c r="A57" s="205">
        <v>53</v>
      </c>
      <c r="B57" s="221" t="s">
        <v>466</v>
      </c>
      <c r="C57" s="222" t="s">
        <v>636</v>
      </c>
      <c r="D57" s="223">
        <v>84.5</v>
      </c>
    </row>
    <row r="58" spans="1:4" x14ac:dyDescent="0.25">
      <c r="A58" s="205">
        <v>54</v>
      </c>
      <c r="B58" s="221" t="s">
        <v>467</v>
      </c>
      <c r="C58" s="222" t="s">
        <v>637</v>
      </c>
      <c r="D58" s="223">
        <v>87.4</v>
      </c>
    </row>
    <row r="59" spans="1:4" ht="54" x14ac:dyDescent="0.25">
      <c r="A59" s="205">
        <v>55</v>
      </c>
      <c r="B59" s="221" t="s">
        <v>469</v>
      </c>
      <c r="C59" s="222" t="s">
        <v>684</v>
      </c>
      <c r="D59" s="223">
        <v>79.650000000000006</v>
      </c>
    </row>
    <row r="60" spans="1:4" ht="36" x14ac:dyDescent="0.25">
      <c r="A60" s="205">
        <v>56</v>
      </c>
      <c r="B60" s="221" t="s">
        <v>470</v>
      </c>
      <c r="C60" s="222" t="s">
        <v>685</v>
      </c>
      <c r="D60" s="223">
        <v>41.4</v>
      </c>
    </row>
    <row r="61" spans="1:4" x14ac:dyDescent="0.25">
      <c r="A61" s="205">
        <v>57</v>
      </c>
      <c r="B61" s="221" t="s">
        <v>361</v>
      </c>
      <c r="C61" s="222" t="s">
        <v>667</v>
      </c>
      <c r="D61" s="223">
        <v>103.345</v>
      </c>
    </row>
    <row r="62" spans="1:4" ht="72" x14ac:dyDescent="0.25">
      <c r="A62" s="205">
        <v>58</v>
      </c>
      <c r="B62" s="221" t="s">
        <v>362</v>
      </c>
      <c r="C62" s="222" t="s">
        <v>686</v>
      </c>
      <c r="D62" s="223">
        <v>123.43300000000001</v>
      </c>
    </row>
    <row r="63" spans="1:4" x14ac:dyDescent="0.25">
      <c r="A63" s="205">
        <v>59</v>
      </c>
      <c r="B63" s="221" t="s">
        <v>363</v>
      </c>
      <c r="C63" s="222" t="s">
        <v>687</v>
      </c>
      <c r="D63" s="223">
        <v>73.013000000000005</v>
      </c>
    </row>
    <row r="64" spans="1:4" x14ac:dyDescent="0.25">
      <c r="A64" s="205">
        <v>60</v>
      </c>
      <c r="B64" s="221" t="s">
        <v>364</v>
      </c>
      <c r="C64" s="222" t="s">
        <v>667</v>
      </c>
      <c r="D64" s="223">
        <v>103.72999999999999</v>
      </c>
    </row>
    <row r="65" spans="1:4" x14ac:dyDescent="0.25">
      <c r="A65" s="205">
        <v>61</v>
      </c>
      <c r="B65" s="221" t="s">
        <v>365</v>
      </c>
      <c r="C65" s="222" t="s">
        <v>667</v>
      </c>
      <c r="D65" s="223">
        <v>102.87</v>
      </c>
    </row>
    <row r="66" spans="1:4" x14ac:dyDescent="0.25">
      <c r="A66" s="205">
        <v>62</v>
      </c>
      <c r="B66" s="221" t="s">
        <v>366</v>
      </c>
      <c r="C66" s="222" t="s">
        <v>667</v>
      </c>
      <c r="D66" s="223">
        <v>100.28999999999999</v>
      </c>
    </row>
    <row r="67" spans="1:4" x14ac:dyDescent="0.25">
      <c r="A67" s="205">
        <v>63</v>
      </c>
      <c r="B67" s="221" t="s">
        <v>367</v>
      </c>
      <c r="C67" s="222" t="s">
        <v>667</v>
      </c>
      <c r="D67" s="223">
        <v>94.082999999999998</v>
      </c>
    </row>
    <row r="68" spans="1:4" x14ac:dyDescent="0.25">
      <c r="A68" s="205">
        <v>64</v>
      </c>
      <c r="B68" s="221" t="s">
        <v>368</v>
      </c>
      <c r="C68" s="222" t="s">
        <v>667</v>
      </c>
      <c r="D68" s="223">
        <v>96.5</v>
      </c>
    </row>
    <row r="69" spans="1:4" x14ac:dyDescent="0.25">
      <c r="A69" s="205">
        <v>65</v>
      </c>
      <c r="B69" s="221" t="s">
        <v>688</v>
      </c>
      <c r="C69" s="222" t="s">
        <v>658</v>
      </c>
      <c r="D69" s="223">
        <v>45.559999999999995</v>
      </c>
    </row>
    <row r="70" spans="1:4" x14ac:dyDescent="0.25">
      <c r="A70" s="205">
        <v>66</v>
      </c>
      <c r="B70" s="221" t="s">
        <v>370</v>
      </c>
      <c r="C70" s="222" t="s">
        <v>659</v>
      </c>
      <c r="D70" s="223">
        <v>46.059999999999995</v>
      </c>
    </row>
    <row r="71" spans="1:4" x14ac:dyDescent="0.25">
      <c r="A71" s="205">
        <v>67</v>
      </c>
      <c r="B71" s="221" t="s">
        <v>376</v>
      </c>
      <c r="C71" s="222" t="s">
        <v>680</v>
      </c>
      <c r="D71" s="223">
        <v>78.400000000000006</v>
      </c>
    </row>
    <row r="72" spans="1:4" x14ac:dyDescent="0.25">
      <c r="A72" s="205">
        <v>68</v>
      </c>
      <c r="B72" s="221" t="s">
        <v>689</v>
      </c>
      <c r="C72" s="222" t="s">
        <v>682</v>
      </c>
      <c r="D72" s="223">
        <v>84.5</v>
      </c>
    </row>
    <row r="73" spans="1:4" x14ac:dyDescent="0.25">
      <c r="A73" s="205">
        <v>69</v>
      </c>
      <c r="B73" s="221" t="s">
        <v>646</v>
      </c>
      <c r="C73" s="222" t="s">
        <v>644</v>
      </c>
      <c r="D73" s="223">
        <v>132.80000000000001</v>
      </c>
    </row>
    <row r="74" spans="1:4" x14ac:dyDescent="0.25">
      <c r="A74" s="205">
        <v>70</v>
      </c>
      <c r="B74" s="221" t="s">
        <v>690</v>
      </c>
      <c r="C74" s="222" t="s">
        <v>635</v>
      </c>
      <c r="D74" s="223">
        <v>83.5</v>
      </c>
    </row>
    <row r="75" spans="1:4" x14ac:dyDescent="0.25">
      <c r="A75" s="205">
        <v>71</v>
      </c>
      <c r="B75" s="221" t="s">
        <v>647</v>
      </c>
      <c r="C75" s="222" t="s">
        <v>636</v>
      </c>
      <c r="D75" s="223">
        <v>87.699999999999989</v>
      </c>
    </row>
    <row r="76" spans="1:4" x14ac:dyDescent="0.25">
      <c r="A76" s="205">
        <v>72</v>
      </c>
      <c r="B76" s="221" t="s">
        <v>648</v>
      </c>
      <c r="C76" s="222" t="s">
        <v>637</v>
      </c>
      <c r="D76" s="223">
        <v>92.9</v>
      </c>
    </row>
    <row r="77" spans="1:4" x14ac:dyDescent="0.25">
      <c r="A77" s="205">
        <v>73</v>
      </c>
      <c r="B77" s="221" t="s">
        <v>379</v>
      </c>
      <c r="C77" s="222" t="s">
        <v>635</v>
      </c>
      <c r="D77" s="223">
        <v>80.600000000000009</v>
      </c>
    </row>
    <row r="78" spans="1:4" x14ac:dyDescent="0.25">
      <c r="A78" s="205">
        <v>74</v>
      </c>
      <c r="B78" s="221" t="s">
        <v>380</v>
      </c>
      <c r="C78" s="222" t="s">
        <v>636</v>
      </c>
      <c r="D78" s="223">
        <v>85.199999999999989</v>
      </c>
    </row>
    <row r="79" spans="1:4" x14ac:dyDescent="0.25">
      <c r="A79" s="205">
        <v>75</v>
      </c>
      <c r="B79" s="221" t="s">
        <v>649</v>
      </c>
      <c r="C79" s="222" t="s">
        <v>637</v>
      </c>
      <c r="D79" s="223">
        <v>89.699999999999989</v>
      </c>
    </row>
    <row r="80" spans="1:4" x14ac:dyDescent="0.25">
      <c r="A80" s="205"/>
      <c r="B80" s="206"/>
      <c r="C80" s="212" t="s">
        <v>590</v>
      </c>
      <c r="D80" s="231">
        <f>SUM(D5:D79)</f>
        <v>5811.5199999999995</v>
      </c>
    </row>
  </sheetData>
  <mergeCells count="3">
    <mergeCell ref="A1:D1"/>
    <mergeCell ref="A2:D2"/>
    <mergeCell ref="A3:D3"/>
  </mergeCells>
  <pageMargins left="0.7" right="0.7" top="0.75" bottom="0.75" header="0.3" footer="0.3"/>
  <pageSetup paperSize="9" orientation="portrait" horizontalDpi="0" verticalDpi="0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 tint="0.79998168889431442"/>
  </sheetPr>
  <dimension ref="A1:D3"/>
  <sheetViews>
    <sheetView workbookViewId="0">
      <selection activeCell="C7" sqref="C7"/>
    </sheetView>
  </sheetViews>
  <sheetFormatPr defaultRowHeight="13.2" x14ac:dyDescent="0.25"/>
  <cols>
    <col min="1" max="1" width="8.6640625" customWidth="1"/>
    <col min="2" max="2" width="44" customWidth="1"/>
    <col min="3" max="3" width="11.6640625" customWidth="1"/>
    <col min="4" max="4" width="9.21875" customWidth="1"/>
  </cols>
  <sheetData>
    <row r="1" spans="1:4" ht="18" x14ac:dyDescent="0.35">
      <c r="A1" s="199"/>
      <c r="B1" s="200" t="s">
        <v>579</v>
      </c>
      <c r="C1" s="201"/>
      <c r="D1" s="202"/>
    </row>
    <row r="2" spans="1:4" ht="18" x14ac:dyDescent="0.25">
      <c r="A2" s="199" t="s">
        <v>580</v>
      </c>
      <c r="B2" s="188" t="s">
        <v>581</v>
      </c>
      <c r="C2" s="188" t="s">
        <v>583</v>
      </c>
      <c r="D2" s="201" t="s">
        <v>584</v>
      </c>
    </row>
    <row r="3" spans="1:4" ht="54" x14ac:dyDescent="0.25">
      <c r="A3" s="203">
        <v>1</v>
      </c>
      <c r="B3" s="187" t="s">
        <v>697</v>
      </c>
      <c r="C3" s="188" t="s">
        <v>571</v>
      </c>
      <c r="D3" s="230">
        <f>'3.2п'!D6</f>
        <v>20.14</v>
      </c>
    </row>
  </sheetData>
  <pageMargins left="0.7" right="0.7" top="0.75" bottom="0.75" header="0.3" footer="0.3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 tint="0.79998168889431442"/>
  </sheetPr>
  <dimension ref="A1:D6"/>
  <sheetViews>
    <sheetView zoomScale="85" zoomScaleNormal="85" workbookViewId="0">
      <selection activeCell="A3" sqref="A3:D3"/>
    </sheetView>
  </sheetViews>
  <sheetFormatPr defaultRowHeight="18" x14ac:dyDescent="0.25"/>
  <cols>
    <col min="1" max="1" width="8.88671875" style="220"/>
    <col min="2" max="2" width="14.44140625" style="220" customWidth="1"/>
    <col min="3" max="3" width="42" style="220" customWidth="1"/>
    <col min="4" max="4" width="12" style="220" customWidth="1"/>
    <col min="5" max="16384" width="8.88671875" style="220"/>
  </cols>
  <sheetData>
    <row r="1" spans="1:4" x14ac:dyDescent="0.25">
      <c r="A1" s="256" t="s">
        <v>586</v>
      </c>
      <c r="B1" s="256"/>
      <c r="C1" s="256"/>
      <c r="D1" s="256"/>
    </row>
    <row r="2" spans="1:4" ht="18" customHeight="1" x14ac:dyDescent="0.25">
      <c r="A2" s="257" t="s">
        <v>654</v>
      </c>
      <c r="B2" s="258"/>
      <c r="C2" s="258"/>
      <c r="D2" s="259"/>
    </row>
    <row r="3" spans="1:4" ht="24" customHeight="1" x14ac:dyDescent="0.25">
      <c r="A3" s="256" t="s">
        <v>699</v>
      </c>
      <c r="B3" s="256"/>
      <c r="C3" s="256"/>
      <c r="D3" s="256"/>
    </row>
    <row r="4" spans="1:4" x14ac:dyDescent="0.25">
      <c r="A4" s="205" t="s">
        <v>580</v>
      </c>
      <c r="B4" s="206" t="s">
        <v>587</v>
      </c>
      <c r="C4" s="206" t="s">
        <v>587</v>
      </c>
      <c r="D4" s="207" t="s">
        <v>588</v>
      </c>
    </row>
    <row r="5" spans="1:4" x14ac:dyDescent="0.25">
      <c r="A5" s="205">
        <v>1</v>
      </c>
      <c r="B5" s="221" t="s">
        <v>500</v>
      </c>
      <c r="C5" s="222" t="s">
        <v>662</v>
      </c>
      <c r="D5" s="223">
        <v>20.14</v>
      </c>
    </row>
    <row r="6" spans="1:4" x14ac:dyDescent="0.25">
      <c r="A6" s="205"/>
      <c r="B6" s="211"/>
      <c r="C6" s="212" t="s">
        <v>590</v>
      </c>
      <c r="D6" s="231">
        <f>SUM(D5:D5)</f>
        <v>20.14</v>
      </c>
    </row>
  </sheetData>
  <mergeCells count="3">
    <mergeCell ref="A1:D1"/>
    <mergeCell ref="A2:D2"/>
    <mergeCell ref="A3:D3"/>
  </mergeCells>
  <pageMargins left="0.7" right="0.7" top="0.75" bottom="0.75" header="0.3" footer="0.3"/>
  <pageSetup paperSize="9" orientation="portrait" horizontalDpi="0" verticalDpi="0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 tint="0.79998168889431442"/>
  </sheetPr>
  <dimension ref="A1:D44"/>
  <sheetViews>
    <sheetView topLeftCell="A34" workbookViewId="0">
      <selection activeCell="F62" sqref="F62"/>
    </sheetView>
  </sheetViews>
  <sheetFormatPr defaultRowHeight="18" x14ac:dyDescent="0.25"/>
  <cols>
    <col min="1" max="1" width="9" style="220" customWidth="1"/>
    <col min="2" max="2" width="14.44140625" style="220" customWidth="1"/>
    <col min="3" max="3" width="42" style="220" customWidth="1"/>
    <col min="4" max="4" width="13.109375" style="220" customWidth="1"/>
    <col min="5" max="16384" width="8.88671875" style="220"/>
  </cols>
  <sheetData>
    <row r="1" spans="1:4" x14ac:dyDescent="0.25">
      <c r="A1" s="256" t="s">
        <v>586</v>
      </c>
      <c r="B1" s="256"/>
      <c r="C1" s="256"/>
      <c r="D1" s="256"/>
    </row>
    <row r="2" spans="1:4" ht="18" customHeight="1" x14ac:dyDescent="0.25">
      <c r="A2" s="257" t="s">
        <v>692</v>
      </c>
      <c r="B2" s="258"/>
      <c r="C2" s="258"/>
      <c r="D2" s="259"/>
    </row>
    <row r="3" spans="1:4" ht="34.799999999999997" customHeight="1" x14ac:dyDescent="0.25">
      <c r="A3" s="256" t="s">
        <v>653</v>
      </c>
      <c r="B3" s="256"/>
      <c r="C3" s="256"/>
      <c r="D3" s="256"/>
    </row>
    <row r="4" spans="1:4" x14ac:dyDescent="0.25">
      <c r="A4" s="226" t="s">
        <v>580</v>
      </c>
      <c r="B4" s="227" t="s">
        <v>693</v>
      </c>
      <c r="C4" s="227" t="s">
        <v>691</v>
      </c>
      <c r="D4" s="228" t="s">
        <v>588</v>
      </c>
    </row>
    <row r="5" spans="1:4" ht="36" x14ac:dyDescent="0.25">
      <c r="A5" s="224">
        <v>1</v>
      </c>
      <c r="B5" s="221" t="s">
        <v>484</v>
      </c>
      <c r="C5" s="222" t="s">
        <v>655</v>
      </c>
      <c r="D5" s="225">
        <v>11.56</v>
      </c>
    </row>
    <row r="6" spans="1:4" x14ac:dyDescent="0.25">
      <c r="A6" s="224">
        <v>2</v>
      </c>
      <c r="B6" s="221" t="s">
        <v>487</v>
      </c>
      <c r="C6" s="222" t="s">
        <v>625</v>
      </c>
      <c r="D6" s="225">
        <v>23.28</v>
      </c>
    </row>
    <row r="7" spans="1:4" x14ac:dyDescent="0.25">
      <c r="A7" s="224">
        <v>3</v>
      </c>
      <c r="B7" s="221" t="s">
        <v>488</v>
      </c>
      <c r="C7" s="222" t="s">
        <v>626</v>
      </c>
      <c r="D7" s="225">
        <v>14.625</v>
      </c>
    </row>
    <row r="8" spans="1:4" x14ac:dyDescent="0.25">
      <c r="A8" s="224">
        <v>4</v>
      </c>
      <c r="B8" s="221" t="s">
        <v>489</v>
      </c>
      <c r="C8" s="222" t="s">
        <v>626</v>
      </c>
      <c r="D8" s="225">
        <v>13.26</v>
      </c>
    </row>
    <row r="9" spans="1:4" x14ac:dyDescent="0.25">
      <c r="A9" s="224">
        <v>5</v>
      </c>
      <c r="B9" s="221" t="s">
        <v>490</v>
      </c>
      <c r="C9" s="222" t="s">
        <v>626</v>
      </c>
      <c r="D9" s="225">
        <v>6.24</v>
      </c>
    </row>
    <row r="10" spans="1:4" ht="36" x14ac:dyDescent="0.25">
      <c r="A10" s="224">
        <v>6</v>
      </c>
      <c r="B10" s="221" t="s">
        <v>491</v>
      </c>
      <c r="C10" s="222" t="s">
        <v>627</v>
      </c>
      <c r="D10" s="225">
        <v>14.82</v>
      </c>
    </row>
    <row r="11" spans="1:4" x14ac:dyDescent="0.25">
      <c r="A11" s="224">
        <v>7</v>
      </c>
      <c r="B11" s="221" t="s">
        <v>492</v>
      </c>
      <c r="C11" s="222" t="s">
        <v>658</v>
      </c>
      <c r="D11" s="225">
        <v>4.2</v>
      </c>
    </row>
    <row r="12" spans="1:4" x14ac:dyDescent="0.25">
      <c r="A12" s="224">
        <v>8</v>
      </c>
      <c r="B12" s="221" t="s">
        <v>494</v>
      </c>
      <c r="C12" s="222" t="s">
        <v>659</v>
      </c>
      <c r="D12" s="225">
        <v>4.2</v>
      </c>
    </row>
    <row r="13" spans="1:4" x14ac:dyDescent="0.25">
      <c r="A13" s="224">
        <v>9</v>
      </c>
      <c r="B13" s="221" t="s">
        <v>660</v>
      </c>
      <c r="C13" s="222" t="s">
        <v>661</v>
      </c>
      <c r="D13" s="225">
        <v>2.25</v>
      </c>
    </row>
    <row r="14" spans="1:4" x14ac:dyDescent="0.25">
      <c r="A14" s="224">
        <v>10</v>
      </c>
      <c r="B14" s="221" t="s">
        <v>506</v>
      </c>
      <c r="C14" s="222" t="s">
        <v>664</v>
      </c>
      <c r="D14" s="225">
        <v>12.87</v>
      </c>
    </row>
    <row r="15" spans="1:4" x14ac:dyDescent="0.25">
      <c r="A15" s="224">
        <v>11</v>
      </c>
      <c r="B15" s="221" t="s">
        <v>539</v>
      </c>
      <c r="C15" s="222" t="s">
        <v>666</v>
      </c>
      <c r="D15" s="225">
        <v>4.68</v>
      </c>
    </row>
    <row r="16" spans="1:4" x14ac:dyDescent="0.25">
      <c r="A16" s="224">
        <v>12</v>
      </c>
      <c r="B16" s="221" t="s">
        <v>425</v>
      </c>
      <c r="C16" s="222" t="s">
        <v>667</v>
      </c>
      <c r="D16" s="225">
        <v>11.427</v>
      </c>
    </row>
    <row r="17" spans="1:4" ht="54" x14ac:dyDescent="0.25">
      <c r="A17" s="224">
        <v>13</v>
      </c>
      <c r="B17" s="221" t="s">
        <v>426</v>
      </c>
      <c r="C17" s="222" t="s">
        <v>668</v>
      </c>
      <c r="D17" s="225">
        <v>17.003999999999998</v>
      </c>
    </row>
    <row r="18" spans="1:4" ht="36" x14ac:dyDescent="0.25">
      <c r="A18" s="224">
        <v>14</v>
      </c>
      <c r="B18" s="221" t="s">
        <v>427</v>
      </c>
      <c r="C18" s="222" t="s">
        <v>669</v>
      </c>
      <c r="D18" s="225">
        <v>11.31</v>
      </c>
    </row>
    <row r="19" spans="1:4" x14ac:dyDescent="0.25">
      <c r="A19" s="224">
        <v>15</v>
      </c>
      <c r="B19" s="221" t="s">
        <v>428</v>
      </c>
      <c r="C19" s="222" t="s">
        <v>667</v>
      </c>
      <c r="D19" s="225">
        <v>11.427</v>
      </c>
    </row>
    <row r="20" spans="1:4" ht="72" x14ac:dyDescent="0.25">
      <c r="A20" s="224">
        <v>16</v>
      </c>
      <c r="B20" s="221" t="s">
        <v>429</v>
      </c>
      <c r="C20" s="222" t="s">
        <v>670</v>
      </c>
      <c r="D20" s="225">
        <v>13.181999999999999</v>
      </c>
    </row>
    <row r="21" spans="1:4" ht="72" x14ac:dyDescent="0.25">
      <c r="A21" s="224">
        <v>17</v>
      </c>
      <c r="B21" s="221" t="s">
        <v>430</v>
      </c>
      <c r="C21" s="222" t="s">
        <v>670</v>
      </c>
      <c r="D21" s="225">
        <v>10.256999999999998</v>
      </c>
    </row>
    <row r="22" spans="1:4" x14ac:dyDescent="0.25">
      <c r="A22" s="224">
        <v>18</v>
      </c>
      <c r="B22" s="221" t="s">
        <v>431</v>
      </c>
      <c r="C22" s="222" t="s">
        <v>667</v>
      </c>
      <c r="D22" s="225">
        <v>14.04</v>
      </c>
    </row>
    <row r="23" spans="1:4" x14ac:dyDescent="0.25">
      <c r="A23" s="224">
        <v>19</v>
      </c>
      <c r="B23" s="221" t="s">
        <v>432</v>
      </c>
      <c r="C23" s="222" t="s">
        <v>641</v>
      </c>
      <c r="D23" s="225">
        <v>19.5</v>
      </c>
    </row>
    <row r="24" spans="1:4" x14ac:dyDescent="0.25">
      <c r="A24" s="224">
        <v>20</v>
      </c>
      <c r="B24" s="221" t="s">
        <v>671</v>
      </c>
      <c r="C24" s="222" t="s">
        <v>672</v>
      </c>
      <c r="D24" s="225">
        <v>2.48</v>
      </c>
    </row>
    <row r="25" spans="1:4" x14ac:dyDescent="0.25">
      <c r="A25" s="224">
        <v>21</v>
      </c>
      <c r="B25" s="221" t="s">
        <v>434</v>
      </c>
      <c r="C25" s="222" t="s">
        <v>673</v>
      </c>
      <c r="D25" s="225">
        <v>0.56999999999999984</v>
      </c>
    </row>
    <row r="26" spans="1:4" x14ac:dyDescent="0.25">
      <c r="A26" s="224">
        <v>22</v>
      </c>
      <c r="B26" s="221" t="s">
        <v>435</v>
      </c>
      <c r="C26" s="222" t="s">
        <v>674</v>
      </c>
      <c r="D26" s="225">
        <v>7.1369999999999996</v>
      </c>
    </row>
    <row r="27" spans="1:4" x14ac:dyDescent="0.25">
      <c r="A27" s="224">
        <v>23</v>
      </c>
      <c r="B27" s="221" t="s">
        <v>438</v>
      </c>
      <c r="C27" s="222" t="s">
        <v>675</v>
      </c>
      <c r="D27" s="225">
        <v>4.68</v>
      </c>
    </row>
    <row r="28" spans="1:4" x14ac:dyDescent="0.25">
      <c r="A28" s="224">
        <v>24</v>
      </c>
      <c r="B28" s="221" t="s">
        <v>439</v>
      </c>
      <c r="C28" s="222" t="s">
        <v>658</v>
      </c>
      <c r="D28" s="225">
        <v>1.47</v>
      </c>
    </row>
    <row r="29" spans="1:4" ht="36" x14ac:dyDescent="0.25">
      <c r="A29" s="224">
        <v>25</v>
      </c>
      <c r="B29" s="221" t="s">
        <v>444</v>
      </c>
      <c r="C29" s="222" t="s">
        <v>677</v>
      </c>
      <c r="D29" s="225">
        <v>6.55</v>
      </c>
    </row>
    <row r="30" spans="1:4" x14ac:dyDescent="0.25">
      <c r="A30" s="224">
        <v>26</v>
      </c>
      <c r="B30" s="221" t="s">
        <v>447</v>
      </c>
      <c r="C30" s="222" t="s">
        <v>658</v>
      </c>
      <c r="D30" s="225">
        <v>4.2</v>
      </c>
    </row>
    <row r="31" spans="1:4" x14ac:dyDescent="0.25">
      <c r="A31" s="224">
        <v>27</v>
      </c>
      <c r="B31" s="221" t="s">
        <v>448</v>
      </c>
      <c r="C31" s="222" t="s">
        <v>659</v>
      </c>
      <c r="D31" s="225">
        <v>4.2</v>
      </c>
    </row>
    <row r="32" spans="1:4" x14ac:dyDescent="0.25">
      <c r="A32" s="224">
        <v>28</v>
      </c>
      <c r="B32" s="221" t="s">
        <v>678</v>
      </c>
      <c r="C32" s="222" t="s">
        <v>679</v>
      </c>
      <c r="D32" s="225">
        <v>6.63</v>
      </c>
    </row>
    <row r="33" spans="1:4" ht="54" x14ac:dyDescent="0.25">
      <c r="A33" s="224">
        <v>29</v>
      </c>
      <c r="B33" s="221" t="s">
        <v>469</v>
      </c>
      <c r="C33" s="222" t="s">
        <v>684</v>
      </c>
      <c r="D33" s="225">
        <v>32.450000000000003</v>
      </c>
    </row>
    <row r="34" spans="1:4" x14ac:dyDescent="0.25">
      <c r="A34" s="224">
        <v>30</v>
      </c>
      <c r="B34" s="221" t="s">
        <v>361</v>
      </c>
      <c r="C34" s="222" t="s">
        <v>667</v>
      </c>
      <c r="D34" s="225">
        <v>6.044999999999999</v>
      </c>
    </row>
    <row r="35" spans="1:4" ht="72" x14ac:dyDescent="0.25">
      <c r="A35" s="224">
        <v>31</v>
      </c>
      <c r="B35" s="221" t="s">
        <v>362</v>
      </c>
      <c r="C35" s="222" t="s">
        <v>686</v>
      </c>
      <c r="D35" s="225">
        <v>13.766999999999998</v>
      </c>
    </row>
    <row r="36" spans="1:4" x14ac:dyDescent="0.25">
      <c r="A36" s="224">
        <v>32</v>
      </c>
      <c r="B36" s="221" t="s">
        <v>363</v>
      </c>
      <c r="C36" s="222" t="s">
        <v>687</v>
      </c>
      <c r="D36" s="225">
        <v>9.0869999999999997</v>
      </c>
    </row>
    <row r="37" spans="1:4" x14ac:dyDescent="0.25">
      <c r="A37" s="224">
        <v>33</v>
      </c>
      <c r="B37" s="221" t="s">
        <v>364</v>
      </c>
      <c r="C37" s="222" t="s">
        <v>667</v>
      </c>
      <c r="D37" s="225">
        <v>12.479999999999999</v>
      </c>
    </row>
    <row r="38" spans="1:4" x14ac:dyDescent="0.25">
      <c r="A38" s="224">
        <v>34</v>
      </c>
      <c r="B38" s="221" t="s">
        <v>365</v>
      </c>
      <c r="C38" s="222" t="s">
        <v>667</v>
      </c>
      <c r="D38" s="225">
        <v>6.24</v>
      </c>
    </row>
    <row r="39" spans="1:4" x14ac:dyDescent="0.25">
      <c r="A39" s="224">
        <v>35</v>
      </c>
      <c r="B39" s="221" t="s">
        <v>366</v>
      </c>
      <c r="C39" s="222" t="s">
        <v>667</v>
      </c>
      <c r="D39" s="225">
        <v>6.24</v>
      </c>
    </row>
    <row r="40" spans="1:4" x14ac:dyDescent="0.25">
      <c r="A40" s="224">
        <v>36</v>
      </c>
      <c r="B40" s="221" t="s">
        <v>367</v>
      </c>
      <c r="C40" s="222" t="s">
        <v>667</v>
      </c>
      <c r="D40" s="225">
        <v>11.427</v>
      </c>
    </row>
    <row r="41" spans="1:4" x14ac:dyDescent="0.25">
      <c r="A41" s="224">
        <v>37</v>
      </c>
      <c r="B41" s="221" t="s">
        <v>368</v>
      </c>
      <c r="C41" s="222" t="s">
        <v>667</v>
      </c>
      <c r="D41" s="225">
        <v>10.140000000000002</v>
      </c>
    </row>
    <row r="42" spans="1:4" x14ac:dyDescent="0.25">
      <c r="A42" s="224">
        <v>38</v>
      </c>
      <c r="B42" s="221" t="s">
        <v>688</v>
      </c>
      <c r="C42" s="222" t="s">
        <v>658</v>
      </c>
      <c r="D42" s="225">
        <v>4.2</v>
      </c>
    </row>
    <row r="43" spans="1:4" x14ac:dyDescent="0.25">
      <c r="A43" s="224">
        <v>39</v>
      </c>
      <c r="B43" s="221" t="s">
        <v>370</v>
      </c>
      <c r="C43" s="222" t="s">
        <v>659</v>
      </c>
      <c r="D43" s="225">
        <v>4.2</v>
      </c>
    </row>
    <row r="44" spans="1:4" x14ac:dyDescent="0.25">
      <c r="A44" s="205"/>
      <c r="B44" s="211"/>
      <c r="C44" s="212" t="s">
        <v>590</v>
      </c>
      <c r="D44" s="207">
        <f>SUM(D5:D43)</f>
        <v>374.32499999999999</v>
      </c>
    </row>
  </sheetData>
  <mergeCells count="3">
    <mergeCell ref="A1:D1"/>
    <mergeCell ref="A2:D2"/>
    <mergeCell ref="A3:D3"/>
  </mergeCells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45</vt:i4>
      </vt:variant>
    </vt:vector>
  </HeadingPairs>
  <TitlesOfParts>
    <vt:vector size="45" baseType="lpstr">
      <vt:lpstr>Table 1</vt:lpstr>
      <vt:lpstr>Table 2</vt:lpstr>
      <vt:lpstr>Table 3</vt:lpstr>
      <vt:lpstr>Table 4</vt:lpstr>
      <vt:lpstr>Table 5</vt:lpstr>
      <vt:lpstr>Table 6</vt:lpstr>
      <vt:lpstr>Table 7</vt:lpstr>
      <vt:lpstr>Table 8</vt:lpstr>
      <vt:lpstr>Table 9</vt:lpstr>
      <vt:lpstr>Table 10</vt:lpstr>
      <vt:lpstr>Table 11</vt:lpstr>
      <vt:lpstr>Table 12</vt:lpstr>
      <vt:lpstr>Table 13</vt:lpstr>
      <vt:lpstr>Table 14</vt:lpstr>
      <vt:lpstr>Table 15</vt:lpstr>
      <vt:lpstr>Table 16</vt:lpstr>
      <vt:lpstr>Table 17</vt:lpstr>
      <vt:lpstr>-1эт</vt:lpstr>
      <vt:lpstr>1эт</vt:lpstr>
      <vt:lpstr>2эт</vt:lpstr>
      <vt:lpstr>3эт</vt:lpstr>
      <vt:lpstr>-1этСтен</vt:lpstr>
      <vt:lpstr>1этСтен</vt:lpstr>
      <vt:lpstr>2этСтен</vt:lpstr>
      <vt:lpstr>3этСтен</vt:lpstr>
      <vt:lpstr>Типы стен</vt:lpstr>
      <vt:lpstr>Из КП</vt:lpstr>
      <vt:lpstr>1.1-Ст</vt:lpstr>
      <vt:lpstr>1.1п</vt:lpstr>
      <vt:lpstr>1.2-Ст</vt:lpstr>
      <vt:lpstr>1.2п</vt:lpstr>
      <vt:lpstr>1.3-Ст</vt:lpstr>
      <vt:lpstr>1.3п</vt:lpstr>
      <vt:lpstr>1.4-Ст</vt:lpstr>
      <vt:lpstr>2.1-Ст</vt:lpstr>
      <vt:lpstr>2.1п</vt:lpstr>
      <vt:lpstr>2.2-Ст</vt:lpstr>
      <vt:lpstr>2.2п</vt:lpstr>
      <vt:lpstr>2.3-Ст</vt:lpstr>
      <vt:lpstr>2.3п</vt:lpstr>
      <vt:lpstr>3.1-Ст</vt:lpstr>
      <vt:lpstr>3.1п</vt:lpstr>
      <vt:lpstr>3.2-Ст</vt:lpstr>
      <vt:lpstr>3.2п</vt:lpstr>
      <vt:lpstr>3.3п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linux</dc:creator>
  <cp:lastModifiedBy>Linux</cp:lastModifiedBy>
  <dcterms:created xsi:type="dcterms:W3CDTF">2025-11-27T09:06:46Z</dcterms:created>
  <dcterms:modified xsi:type="dcterms:W3CDTF">2026-03-04T08:43:23Z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reated">
    <vt:filetime>2025-11-27T00:00:00Z</vt:filetime>
  </property>
  <property fmtid="{D5CDD505-2E9C-101B-9397-08002B2CF9AE}" pid="3" name="LastSaved">
    <vt:filetime>2025-11-27T00:00:00Z</vt:filetime>
  </property>
</Properties>
</file>