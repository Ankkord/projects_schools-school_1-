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120" yWindow="12" windowWidth="12096" windowHeight="6348" tabRatio="766" firstSheet="39" activeTab="43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r:id="rId15"/>
    <sheet name="Table 16" sheetId="16" r:id="rId16"/>
    <sheet name="Table 17" sheetId="17" r:id="rId17"/>
    <sheet name="-1эт" sheetId="18" state="hidden" r:id="rId18"/>
    <sheet name="1эт" sheetId="19" state="hidden" r:id="rId19"/>
    <sheet name="2эт" sheetId="20" state="hidden" r:id="rId20"/>
    <sheet name="3эт" sheetId="21" state="hidden" r:id="rId21"/>
    <sheet name="-1этСтен" sheetId="22" r:id="rId22"/>
    <sheet name="1этСтен" sheetId="23" r:id="rId23"/>
    <sheet name="2этСтен" sheetId="24" r:id="rId24"/>
    <sheet name="3этСтен" sheetId="25" r:id="rId25"/>
    <sheet name="Из КП" sheetId="27" r:id="rId26"/>
    <sheet name="1.1-Ст" sheetId="28" state="hidden" r:id="rId27"/>
    <sheet name="1.1п" sheetId="30" state="hidden" r:id="rId28"/>
    <sheet name="1.2-Ст" sheetId="32" state="hidden" r:id="rId29"/>
    <sheet name="1.2п" sheetId="31" state="hidden" r:id="rId30"/>
    <sheet name="1.3-Ст" sheetId="33" state="hidden" r:id="rId31"/>
    <sheet name="1.3п" sheetId="35" state="hidden" r:id="rId32"/>
    <sheet name="1.4-Ст" sheetId="34" state="hidden" r:id="rId33"/>
    <sheet name="2.1-Ст" sheetId="39" r:id="rId34"/>
    <sheet name="2.1п" sheetId="36" r:id="rId35"/>
    <sheet name="2.2-Ст" sheetId="40" r:id="rId36"/>
    <sheet name="2.2п" sheetId="37" r:id="rId37"/>
    <sheet name="2.3-Ст" sheetId="41" r:id="rId38"/>
    <sheet name="2.3п" sheetId="38" r:id="rId39"/>
    <sheet name="3.1-Ст" sheetId="45" r:id="rId40"/>
    <sheet name="3.1п" sheetId="42" r:id="rId41"/>
    <sheet name="3.2-Ст" sheetId="46" r:id="rId42"/>
    <sheet name="3.2п" sheetId="44" r:id="rId43"/>
    <sheet name="3.3п" sheetId="43" r:id="rId44"/>
    <sheet name="1Дм" sheetId="47" r:id="rId45"/>
    <sheet name="5.1-Шп.Баз" sheetId="48" r:id="rId46"/>
  </sheets>
  <calcPr calcId="152511"/>
</workbook>
</file>

<file path=xl/calcChain.xml><?xml version="1.0" encoding="utf-8"?>
<calcChain xmlns="http://schemas.openxmlformats.org/spreadsheetml/2006/main">
  <c r="C35" i="48" l="1"/>
  <c r="G33" i="48"/>
  <c r="G40" i="48" s="1"/>
  <c r="K31" i="48"/>
  <c r="K56" i="47"/>
  <c r="G56" i="47"/>
  <c r="C56" i="47"/>
  <c r="G50" i="47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E3" i="33"/>
  <c r="E3" i="34"/>
  <c r="C12" i="30"/>
  <c r="E3" i="28" s="1"/>
  <c r="C12" i="35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<sst xmlns="http://schemas.openxmlformats.org/spreadsheetml/2006/main" count="5581" uniqueCount="792">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</sst>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26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</font>
    <font>
      <b/>
      <sz val="14"/>
      <name val="ГОСТ тип А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2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/>
    </xf>
    <xf numFmtId="0" fontId="19" fillId="0" borderId="16" xfId="0" applyFont="1" applyFill="1" applyBorder="1" applyAlignment="1">
      <alignment horizontal="left" vertical="center"/>
    </xf>
    <xf numFmtId="2" fontId="19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/>
    <xf numFmtId="0" fontId="19" fillId="0" borderId="16" xfId="0" applyFont="1" applyFill="1" applyBorder="1" applyAlignment="1">
      <alignment horizontal="center" vertical="center"/>
    </xf>
    <xf numFmtId="164" fontId="19" fillId="0" borderId="16" xfId="0" applyNumberFormat="1" applyFont="1" applyFill="1" applyBorder="1" applyAlignment="1">
      <alignment horizontal="right" vertical="center"/>
    </xf>
    <xf numFmtId="0" fontId="20" fillId="0" borderId="16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164" fontId="20" fillId="0" borderId="16" xfId="0" applyNumberFormat="1" applyFont="1" applyFill="1" applyBorder="1" applyAlignment="1">
      <alignment horizontal="center" vertical="center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3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right" vertical="center" wrapText="1"/>
    </xf>
    <xf numFmtId="0" fontId="20" fillId="0" borderId="24" xfId="0" applyFont="1" applyFill="1" applyBorder="1" applyAlignment="1">
      <alignment horizontal="center" vertical="center"/>
    </xf>
    <xf numFmtId="164" fontId="20" fillId="0" borderId="28" xfId="0" applyNumberFormat="1" applyFont="1" applyFill="1" applyBorder="1" applyAlignment="1">
      <alignment horizontal="center" vertical="center"/>
    </xf>
    <xf numFmtId="4" fontId="23" fillId="0" borderId="28" xfId="0" applyNumberFormat="1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 wrapText="1"/>
    </xf>
    <xf numFmtId="0" fontId="20" fillId="0" borderId="30" xfId="0" applyFont="1" applyFill="1" applyBorder="1" applyAlignment="1">
      <alignment horizontal="right" vertical="center" wrapText="1"/>
    </xf>
    <xf numFmtId="164" fontId="20" fillId="0" borderId="31" xfId="0" applyNumberFormat="1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top"/>
    </xf>
    <xf numFmtId="49" fontId="21" fillId="0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Fill="1" applyBorder="1" applyAlignment="1">
      <alignment vertical="center" wrapText="1"/>
    </xf>
    <xf numFmtId="4" fontId="21" fillId="0" borderId="16" xfId="0" applyNumberFormat="1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4" fontId="21" fillId="0" borderId="19" xfId="0" applyNumberFormat="1" applyFont="1" applyFill="1" applyBorder="1" applyAlignment="1">
      <alignment horizontal="center" vertical="center"/>
    </xf>
    <xf numFmtId="0" fontId="20" fillId="0" borderId="3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 wrapText="1"/>
    </xf>
    <xf numFmtId="164" fontId="20" fillId="0" borderId="17" xfId="0" applyNumberFormat="1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left" vertical="top"/>
    </xf>
    <xf numFmtId="2" fontId="19" fillId="0" borderId="16" xfId="0" applyNumberFormat="1" applyFont="1" applyFill="1" applyBorder="1" applyAlignment="1">
      <alignment horizontal="righ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49" fontId="21" fillId="3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Border="1" applyAlignment="1">
      <alignment horizontal="center" vertical="center" wrapText="1"/>
    </xf>
    <xf numFmtId="49" fontId="24" fillId="3" borderId="16" xfId="0" applyNumberFormat="1" applyFont="1" applyFill="1" applyBorder="1" applyAlignment="1">
      <alignment horizontal="center" vertical="center" wrapText="1"/>
    </xf>
    <xf numFmtId="49" fontId="24" fillId="0" borderId="16" xfId="0" applyNumberFormat="1" applyFont="1" applyBorder="1" applyAlignment="1">
      <alignment horizontal="center" vertical="center" wrapText="1"/>
    </xf>
    <xf numFmtId="4" fontId="24" fillId="0" borderId="37" xfId="0" applyNumberFormat="1" applyFont="1" applyBorder="1" applyAlignment="1">
      <alignment horizontal="center" vertical="center"/>
    </xf>
    <xf numFmtId="4" fontId="24" fillId="3" borderId="37" xfId="0" applyNumberFormat="1" applyFont="1" applyFill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164" fontId="19" fillId="0" borderId="35" xfId="0" applyNumberFormat="1" applyFont="1" applyBorder="1" applyAlignment="1">
      <alignment horizontal="center" vertical="center"/>
    </xf>
    <xf numFmtId="0" fontId="20" fillId="3" borderId="36" xfId="0" applyFont="1" applyFill="1" applyBorder="1" applyAlignment="1">
      <alignment horizontal="center" vertical="center"/>
    </xf>
    <xf numFmtId="4" fontId="21" fillId="3" borderId="37" xfId="0" applyNumberFormat="1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" fontId="21" fillId="0" borderId="37" xfId="0" applyNumberFormat="1" applyFont="1" applyBorder="1" applyAlignment="1">
      <alignment horizontal="center" vertical="center"/>
    </xf>
    <xf numFmtId="49" fontId="24" fillId="0" borderId="38" xfId="0" applyNumberFormat="1" applyFont="1" applyBorder="1" applyAlignment="1">
      <alignment horizontal="center" vertical="center" wrapText="1"/>
    </xf>
    <xf numFmtId="4" fontId="24" fillId="0" borderId="39" xfId="0" applyNumberFormat="1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 wrapText="1"/>
    </xf>
    <xf numFmtId="164" fontId="19" fillId="0" borderId="41" xfId="0" applyNumberFormat="1" applyFont="1" applyBorder="1" applyAlignment="1">
      <alignment horizontal="center" vertical="center"/>
    </xf>
    <xf numFmtId="0" fontId="17" fillId="0" borderId="0" xfId="0" applyFont="1" applyFill="1" applyBorder="1" applyAlignment="1">
      <alignment vertical="top"/>
    </xf>
    <xf numFmtId="0" fontId="17" fillId="0" borderId="16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vertical="center" wrapText="1"/>
    </xf>
    <xf numFmtId="0" fontId="17" fillId="0" borderId="16" xfId="0" applyFont="1" applyFill="1" applyBorder="1" applyAlignment="1">
      <alignment vertical="top"/>
    </xf>
    <xf numFmtId="2" fontId="17" fillId="0" borderId="16" xfId="0" applyNumberFormat="1" applyFont="1" applyFill="1" applyBorder="1" applyAlignment="1">
      <alignment horizontal="center" vertical="center"/>
    </xf>
    <xf numFmtId="4" fontId="17" fillId="0" borderId="0" xfId="0" applyNumberFormat="1" applyFont="1" applyFill="1" applyBorder="1" applyAlignment="1">
      <alignment horizontal="left" vertical="top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25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9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17" fillId="0" borderId="42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20" fillId="0" borderId="0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0" fillId="0" borderId="16" xfId="0" applyFont="1" applyFill="1" applyBorder="1" applyAlignment="1">
      <alignment horizontal="left" vertical="top" wrapText="1"/>
    </xf>
    <xf numFmtId="0" fontId="20" fillId="0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id="1" name="Таблица1" displayName="Таблица1" ref="A4:D43" totalsRowShown="0" headerRowBorderDxfId="18" tableBorderDxfId="17" totalsRowBorderDxfId="16">
  <autoFilter ref="A4:D43"/>
  <tableColumns count="4">
    <tableColumn id="1" name="№ п.п." dataDxfId="15"/>
    <tableColumn id="2" name="Пом.:" dataDxfId="14"/>
    <tableColumn id="3" name="Помещения:2" dataDxfId="13"/>
    <tableColumn id="4" name="Объем, м²" dataDxfId="1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6:C34" totalsRowShown="0" headerRowBorderDxfId="11" tableBorderDxfId="10" totalsRowBorderDxfId="9">
  <autoFilter ref="A6:C34"/>
  <tableColumns count="3">
    <tableColumn id="1" name="№ п.п." dataDxfId="8"/>
    <tableColumn id="2" name="Пом.:" dataDxfId="7"/>
    <tableColumn id="4" name="Объем, м²" dataDxfId="6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134" displayName="Таблица134" ref="A6:C34" totalsRowShown="0" headerRowBorderDxfId="5" tableBorderDxfId="4" totalsRowBorderDxfId="3">
  <autoFilter ref="A6:C34"/>
  <tableColumns count="3">
    <tableColumn id="1" name="№ п.п." dataDxfId="2"/>
    <tableColumn id="2" name="Пом.: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zoomScale="70" zoomScaleNormal="70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9.5" customHeight="1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9.5" customHeight="1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46.35" customHeight="1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58"/>
      <c r="N4" s="259"/>
      <c r="O4" s="258"/>
      <c r="P4" s="263"/>
      <c r="Q4" s="262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topLeftCell="A19" zoomScale="55" zoomScaleNormal="55" workbookViewId="0">
      <selection activeCell="A5" sqref="A5:Q1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258"/>
      <c r="N4" s="259"/>
      <c r="O4" s="258"/>
      <c r="P4" s="263"/>
      <c r="Q4" s="262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9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topLeftCell="A15" zoomScale="40" zoomScaleNormal="40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topLeftCell="A12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4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4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49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7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topLeftCell="A13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8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8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8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topLeftCell="A10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6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6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6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topLeftCell="A11" zoomScale="55" zoomScaleNormal="55" workbookViewId="0">
      <selection sqref="A1:U4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35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5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5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zoomScale="70" zoomScaleNormal="7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topLeftCell="A19" zoomScale="55" zoomScaleNormal="55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2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2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2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topLeftCell="A11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topLeftCell="A9" zoomScale="40" zoomScaleNormal="40" workbookViewId="0">
      <selection activeCell="A54" sqref="A54:U6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34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34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34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topLeftCell="B1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1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8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07"/>
      <c r="N2" s="107"/>
      <c r="O2" s="107"/>
      <c r="P2" s="107"/>
      <c r="Q2" s="258" t="s">
        <v>4</v>
      </c>
      <c r="R2" s="258"/>
      <c r="S2" s="261" t="s">
        <v>5</v>
      </c>
      <c r="T2" s="261"/>
      <c r="U2" s="108" t="s">
        <v>6</v>
      </c>
    </row>
    <row r="3" spans="1:28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09" t="s">
        <v>63</v>
      </c>
      <c r="J3" s="109"/>
      <c r="K3" s="109" t="s">
        <v>64</v>
      </c>
      <c r="L3" s="109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08"/>
    </row>
    <row r="4" spans="1:28" ht="34.799999999999997" x14ac:dyDescent="0.25">
      <c r="A4" s="259"/>
      <c r="B4" s="258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258"/>
      <c r="R4" s="259"/>
      <c r="S4" s="258"/>
      <c r="T4" s="263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271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271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271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271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271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271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topLeftCell="B10" zoomScale="55" zoomScaleNormal="55" workbookViewId="0">
      <selection activeCell="F27" sqref="F27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37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19"/>
      <c r="N2" s="119"/>
      <c r="O2" s="119"/>
      <c r="P2" s="119"/>
      <c r="Q2" s="258" t="s">
        <v>4</v>
      </c>
      <c r="R2" s="258"/>
      <c r="S2" s="261" t="s">
        <v>5</v>
      </c>
      <c r="T2" s="261"/>
      <c r="U2" s="120" t="s">
        <v>6</v>
      </c>
    </row>
    <row r="3" spans="1:37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17" t="s">
        <v>63</v>
      </c>
      <c r="J3" s="117"/>
      <c r="K3" s="117" t="s">
        <v>64</v>
      </c>
      <c r="L3" s="117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20"/>
    </row>
    <row r="4" spans="1:37" ht="34.799999999999997" x14ac:dyDescent="0.25">
      <c r="A4" s="259"/>
      <c r="B4" s="258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258"/>
      <c r="R4" s="259"/>
      <c r="S4" s="258"/>
      <c r="T4" s="263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topLeftCell="A11" zoomScale="70" zoomScaleNormal="70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260" t="s">
        <v>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</row>
    <row r="2" spans="1:17" ht="19.5" customHeight="1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258" t="s">
        <v>4</v>
      </c>
      <c r="N2" s="258"/>
      <c r="O2" s="261" t="s">
        <v>5</v>
      </c>
      <c r="P2" s="261"/>
      <c r="Q2" s="262" t="s">
        <v>6</v>
      </c>
    </row>
    <row r="3" spans="1:17" ht="19.5" customHeight="1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265" t="s">
        <v>10</v>
      </c>
      <c r="J3" s="265"/>
      <c r="K3" s="266" t="s">
        <v>11</v>
      </c>
      <c r="L3" s="266"/>
      <c r="M3" s="258" t="s">
        <v>12</v>
      </c>
      <c r="N3" s="259" t="s">
        <v>13</v>
      </c>
      <c r="O3" s="258" t="s">
        <v>12</v>
      </c>
      <c r="P3" s="263" t="s">
        <v>14</v>
      </c>
      <c r="Q3" s="262"/>
    </row>
    <row r="4" spans="1:17" ht="46.35" customHeight="1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258"/>
      <c r="N4" s="259"/>
      <c r="O4" s="258"/>
      <c r="P4" s="263"/>
      <c r="Q4" s="262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267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9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9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80" t="s">
        <v>63</v>
      </c>
      <c r="J3" s="81"/>
      <c r="K3" s="80" t="s">
        <v>64</v>
      </c>
      <c r="L3" s="81"/>
      <c r="M3" s="265" t="s">
        <v>10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9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topLeftCell="A59"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35" t="s">
        <v>63</v>
      </c>
      <c r="J3" s="135"/>
      <c r="K3" s="135" t="s">
        <v>64</v>
      </c>
      <c r="L3" s="135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1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zoomScale="55" zoomScaleNormal="55" workbookViewId="0">
      <selection activeCell="A29" sqref="A29:U39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270" t="s">
        <v>359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</row>
    <row r="2" spans="1:21" ht="17.399999999999999" x14ac:dyDescent="0.25">
      <c r="A2" s="259" t="s">
        <v>1</v>
      </c>
      <c r="B2" s="258" t="s">
        <v>2</v>
      </c>
      <c r="C2" s="260" t="s">
        <v>3</v>
      </c>
      <c r="D2" s="260"/>
      <c r="E2" s="260"/>
      <c r="F2" s="260"/>
      <c r="G2" s="260"/>
      <c r="H2" s="260"/>
      <c r="I2" s="260"/>
      <c r="J2" s="260"/>
      <c r="K2" s="260"/>
      <c r="L2" s="260"/>
      <c r="M2" s="133"/>
      <c r="N2" s="133"/>
      <c r="O2" s="133"/>
      <c r="P2" s="133"/>
      <c r="Q2" s="258" t="s">
        <v>4</v>
      </c>
      <c r="R2" s="258"/>
      <c r="S2" s="261" t="s">
        <v>5</v>
      </c>
      <c r="T2" s="261"/>
      <c r="U2" s="134" t="s">
        <v>6</v>
      </c>
    </row>
    <row r="3" spans="1:21" ht="17.399999999999999" x14ac:dyDescent="0.25">
      <c r="A3" s="259"/>
      <c r="B3" s="258"/>
      <c r="C3" s="261" t="s">
        <v>7</v>
      </c>
      <c r="D3" s="261"/>
      <c r="E3" s="264" t="s">
        <v>8</v>
      </c>
      <c r="F3" s="264"/>
      <c r="G3" s="265" t="s">
        <v>9</v>
      </c>
      <c r="H3" s="265"/>
      <c r="I3" s="135" t="s">
        <v>63</v>
      </c>
      <c r="J3" s="135"/>
      <c r="K3" s="135" t="s">
        <v>64</v>
      </c>
      <c r="L3" s="135"/>
      <c r="M3" s="269" t="s">
        <v>358</v>
      </c>
      <c r="N3" s="265"/>
      <c r="O3" s="266" t="s">
        <v>11</v>
      </c>
      <c r="P3" s="266"/>
      <c r="Q3" s="258" t="s">
        <v>12</v>
      </c>
      <c r="R3" s="259" t="s">
        <v>13</v>
      </c>
      <c r="S3" s="258" t="s">
        <v>12</v>
      </c>
      <c r="T3" s="263" t="s">
        <v>14</v>
      </c>
      <c r="U3" s="134"/>
    </row>
    <row r="4" spans="1:21" ht="34.799999999999997" x14ac:dyDescent="0.25">
      <c r="A4" s="259"/>
      <c r="B4" s="258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258"/>
      <c r="R4" s="259"/>
      <c r="S4" s="258"/>
      <c r="T4" s="263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zoomScaleNormal="100" workbookViewId="0">
      <selection activeCell="A2" sqref="A2:B3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272" t="s">
        <v>561</v>
      </c>
      <c r="B1" s="272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80.2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126.69999999999999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356.9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121.30000000000001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55.7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124.29999999999998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87.2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59.5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299.20000000000005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410.6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92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107.5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64.600000000000009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213.1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38.5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34.299999999999997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70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85.3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82.1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457.6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334.20000000000005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133.4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109.2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296.5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387.49999999999994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183.60000000000002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217.4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topLeftCell="A46" zoomScaleNormal="100" workbookViewId="0">
      <selection activeCell="B62" sqref="B62:B8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273" t="s">
        <v>561</v>
      </c>
      <c r="B1" s="274"/>
    </row>
    <row r="2" spans="1:7" ht="17.25" customHeight="1" x14ac:dyDescent="0.25">
      <c r="A2" s="275" t="s">
        <v>565</v>
      </c>
      <c r="B2" s="153"/>
    </row>
    <row r="3" spans="1:7" ht="17.2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5.1000000000000005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23.5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19.8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434.2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61.6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27.3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38.300000000000004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144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108.49999999999999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101.4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104.10000000000001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164.1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74.900000000000006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27.399999999999995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72.400000000000006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13.5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51.4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51.4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57.800000000000004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36.500000000000007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23.9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31.9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45.599999999999994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43.400000000000006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49.4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55.300000000000004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74.600000000000009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80.300000000000011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167.7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258.30000000000007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100.6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71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68.5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87.3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45.3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40.800000000000004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216.2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117.2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49.5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182.4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61.4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49.1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90.3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44.9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45.500000000000007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46.1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36.200000000000003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25.400000000000002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41.5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35.1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10.299999999999999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20.8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39.9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39.299999999999997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34.5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56.900000000000006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197.60000000000002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31.2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104.39999999999999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44.5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30.3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14.5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81.5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34.5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79.099999999999994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77.8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84.100000000000009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57.500000000000007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15.900000000000002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32.300000000000004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82.199999999999989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76.2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79.2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31.299999999999997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61.5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95.2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129.69999999999999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138.19999999999999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108.1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32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120.30000000000001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zoomScaleNormal="100" workbookViewId="0">
      <selection activeCell="D55" sqref="D5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275" t="s">
        <v>564</v>
      </c>
      <c r="B1" s="272"/>
    </row>
    <row r="2" spans="1:7" ht="17.25" customHeight="1" x14ac:dyDescent="0.25">
      <c r="A2" s="275" t="s">
        <v>565</v>
      </c>
      <c r="B2" s="153"/>
    </row>
    <row r="3" spans="1:7" ht="17.2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77.2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106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123.90000000000002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86.6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100.80000000000001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98.6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98.8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101.89999999999999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168.5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30.4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45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71.300000000000011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45.9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29.199999999999996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75.799999999999983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30.299999999999997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45.4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76.899999999999991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587.20000000000005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98.399999999999991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45.2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28.400000000000002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43.2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71.499999999999986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70.3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23.299999999999997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38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282.09999999999997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263.29999999999995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71.7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75.7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46.7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74.5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89.800000000000011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37.1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75.2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30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82.3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72.7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85.300000000000011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71.699999999999989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32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72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80.5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105.5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34.999999999999993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93.7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32.800000000000004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79.399999999999991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31.5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28.399999999999995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97.199999999999989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31.400000000000002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137.5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74.5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107.2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zoomScaleNormal="100" workbookViewId="0">
      <selection activeCell="A45" sqref="A45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275" t="s">
        <v>564</v>
      </c>
      <c r="B1" s="272"/>
    </row>
    <row r="2" spans="1:7" ht="12.75" customHeight="1" x14ac:dyDescent="0.25">
      <c r="A2" s="275" t="s">
        <v>565</v>
      </c>
      <c r="B2" s="153"/>
    </row>
    <row r="3" spans="1:7" ht="12.75" customHeight="1" x14ac:dyDescent="0.25">
      <c r="A3" s="272"/>
      <c r="B3" s="153"/>
    </row>
    <row r="4" spans="1:7" ht="26.4" x14ac:dyDescent="0.25">
      <c r="A4" s="272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>
      <selection activeCell="G5" sqref="G5"/>
    </sheetView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3" sqref="A1:E3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276" t="s">
        <v>586</v>
      </c>
      <c r="B1" s="277"/>
      <c r="C1" s="278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70" zoomScaleNormal="70" workbookViewId="0">
      <selection activeCell="E3" sqref="A1:E3"/>
    </sheetView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624</v>
      </c>
      <c r="D3" s="188" t="s">
        <v>571</v>
      </c>
      <c r="E3" s="179">
        <f>'2.1п'!D43</f>
        <v>19.100000000000001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C29" sqref="C29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activeCell="F5" sqref="F5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279" t="s">
        <v>586</v>
      </c>
      <c r="B1" s="280"/>
      <c r="C1" s="280"/>
      <c r="D1" s="281"/>
    </row>
    <row r="2" spans="1:4" ht="18.600000000000001" thickBot="1" x14ac:dyDescent="0.3">
      <c r="A2" s="279" t="s">
        <v>650</v>
      </c>
      <c r="B2" s="280"/>
      <c r="C2" s="280"/>
      <c r="D2" s="281"/>
    </row>
    <row r="3" spans="1:4" ht="39.6" customHeight="1" x14ac:dyDescent="0.25">
      <c r="A3" s="279" t="s">
        <v>700</v>
      </c>
      <c r="B3" s="280"/>
      <c r="C3" s="280"/>
      <c r="D3" s="281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activeCell="A3" sqref="A3:D3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282" t="s">
        <v>586</v>
      </c>
      <c r="B1" s="282"/>
      <c r="C1" s="282"/>
      <c r="D1" s="282"/>
    </row>
    <row r="2" spans="1:4" ht="18" x14ac:dyDescent="0.25">
      <c r="A2" s="282" t="s">
        <v>650</v>
      </c>
      <c r="B2" s="282"/>
      <c r="C2" s="282"/>
      <c r="D2" s="282"/>
    </row>
    <row r="3" spans="1:4" ht="37.799999999999997" customHeight="1" x14ac:dyDescent="0.25">
      <c r="A3" s="282" t="s">
        <v>701</v>
      </c>
      <c r="B3" s="282"/>
      <c r="C3" s="282"/>
      <c r="D3" s="282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zoomScale="85" zoomScaleNormal="85" workbookViewId="0">
      <selection activeCell="C21" sqref="C2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282" t="s">
        <v>586</v>
      </c>
      <c r="B1" s="282"/>
      <c r="C1" s="282"/>
      <c r="D1" s="282"/>
    </row>
    <row r="2" spans="1:4" ht="18" x14ac:dyDescent="0.25">
      <c r="A2" s="282" t="s">
        <v>650</v>
      </c>
      <c r="B2" s="282"/>
      <c r="C2" s="282"/>
      <c r="D2" s="282"/>
    </row>
    <row r="3" spans="1:4" ht="18" x14ac:dyDescent="0.25">
      <c r="A3" s="282" t="s">
        <v>702</v>
      </c>
      <c r="B3" s="282"/>
      <c r="C3" s="282"/>
      <c r="D3" s="282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32" sqref="B32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activeCell="F10" sqref="F10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654</v>
      </c>
      <c r="B2" s="284"/>
      <c r="C2" s="284"/>
      <c r="D2" s="285"/>
    </row>
    <row r="3" spans="1:4" ht="50.4" customHeight="1" x14ac:dyDescent="0.25">
      <c r="A3" s="282" t="s">
        <v>653</v>
      </c>
      <c r="B3" s="282"/>
      <c r="C3" s="282"/>
      <c r="D3" s="282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C14" sqref="C14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zoomScale="85" zoomScaleNormal="85" workbookViewId="0">
      <selection activeCell="A3" sqref="A3:D3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654</v>
      </c>
      <c r="B2" s="284"/>
      <c r="C2" s="284"/>
      <c r="D2" s="285"/>
    </row>
    <row r="3" spans="1:4" ht="24" customHeight="1" x14ac:dyDescent="0.25">
      <c r="A3" s="282" t="s">
        <v>699</v>
      </c>
      <c r="B3" s="282"/>
      <c r="C3" s="282"/>
      <c r="D3" s="282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tabSelected="1" workbookViewId="0">
      <selection activeCell="A3" sqref="A1:D3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282" t="s">
        <v>586</v>
      </c>
      <c r="B1" s="282"/>
      <c r="C1" s="282"/>
      <c r="D1" s="282"/>
    </row>
    <row r="2" spans="1:4" ht="18" customHeight="1" x14ac:dyDescent="0.25">
      <c r="A2" s="283" t="s">
        <v>692</v>
      </c>
      <c r="B2" s="284"/>
      <c r="C2" s="284"/>
      <c r="D2" s="285"/>
    </row>
    <row r="3" spans="1:4" ht="34.799999999999997" customHeight="1" x14ac:dyDescent="0.25">
      <c r="A3" s="282" t="s">
        <v>653</v>
      </c>
      <c r="B3" s="282"/>
      <c r="C3" s="282"/>
      <c r="D3" s="282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56"/>
  <sheetViews>
    <sheetView topLeftCell="B1" zoomScale="85" zoomScaleNormal="85" workbookViewId="0">
      <selection activeCell="K4" sqref="K4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282" t="s">
        <v>586</v>
      </c>
      <c r="B1" s="282"/>
      <c r="C1" s="282"/>
      <c r="D1" s="282"/>
      <c r="E1" s="282"/>
      <c r="F1" s="282"/>
      <c r="G1" s="282"/>
      <c r="H1" s="282"/>
      <c r="I1" s="282"/>
      <c r="J1" s="282"/>
      <c r="K1" s="254"/>
    </row>
    <row r="2" spans="1:11" ht="18" customHeight="1" x14ac:dyDescent="0.25">
      <c r="A2" s="232" t="s">
        <v>580</v>
      </c>
      <c r="B2" s="282" t="s">
        <v>789</v>
      </c>
      <c r="C2" s="282"/>
      <c r="D2" s="282"/>
      <c r="E2" s="282"/>
      <c r="F2" s="282"/>
      <c r="G2" s="282"/>
      <c r="H2" s="282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289" t="s">
        <v>786</v>
      </c>
      <c r="C3" s="289"/>
      <c r="D3" s="289"/>
      <c r="E3" s="289"/>
      <c r="F3" s="289"/>
      <c r="G3" s="289"/>
      <c r="H3" s="289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290" t="s">
        <v>787</v>
      </c>
      <c r="C4" s="290"/>
      <c r="D4" s="290"/>
      <c r="E4" s="290"/>
      <c r="F4" s="290"/>
      <c r="G4" s="290"/>
      <c r="H4" s="290"/>
      <c r="I4" s="253" t="s">
        <v>788</v>
      </c>
      <c r="J4" s="253">
        <v>30.25</v>
      </c>
      <c r="K4" s="252"/>
    </row>
    <row r="5" spans="1:11" ht="8.4" customHeight="1" x14ac:dyDescent="0.25">
      <c r="A5" s="288"/>
      <c r="B5" s="288"/>
      <c r="C5" s="288"/>
      <c r="D5" s="288"/>
      <c r="E5" s="288"/>
      <c r="F5" s="288"/>
      <c r="G5" s="288"/>
      <c r="H5" s="288"/>
      <c r="I5" s="288"/>
      <c r="J5" s="288"/>
      <c r="K5" s="288"/>
    </row>
    <row r="6" spans="1:11" x14ac:dyDescent="0.25">
      <c r="A6" s="226" t="s">
        <v>580</v>
      </c>
      <c r="B6" s="227" t="s">
        <v>693</v>
      </c>
      <c r="C6" s="228" t="s">
        <v>588</v>
      </c>
      <c r="D6" s="286"/>
      <c r="E6" s="249" t="s">
        <v>580</v>
      </c>
      <c r="F6" s="250" t="s">
        <v>693</v>
      </c>
      <c r="G6" s="251" t="s">
        <v>588</v>
      </c>
      <c r="H6" s="28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287"/>
      <c r="E7" s="243">
        <v>29</v>
      </c>
      <c r="F7" s="234" t="s">
        <v>729</v>
      </c>
      <c r="G7" s="244">
        <v>48</v>
      </c>
      <c r="H7" s="287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287"/>
      <c r="E8" s="245">
        <v>30</v>
      </c>
      <c r="F8" s="235" t="s">
        <v>730</v>
      </c>
      <c r="G8" s="246">
        <v>110.2</v>
      </c>
      <c r="H8" s="287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287"/>
      <c r="E9" s="243">
        <v>31</v>
      </c>
      <c r="F9" s="234" t="s">
        <v>731</v>
      </c>
      <c r="G9" s="244">
        <v>76</v>
      </c>
      <c r="H9" s="287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287"/>
      <c r="E10" s="245">
        <v>32</v>
      </c>
      <c r="F10" s="235" t="s">
        <v>732</v>
      </c>
      <c r="G10" s="246">
        <v>108.3</v>
      </c>
      <c r="H10" s="287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287"/>
      <c r="E11" s="243">
        <v>33</v>
      </c>
      <c r="F11" s="234" t="s">
        <v>733</v>
      </c>
      <c r="G11" s="244">
        <v>43.9</v>
      </c>
      <c r="H11" s="287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287"/>
      <c r="E12" s="245">
        <v>34</v>
      </c>
      <c r="F12" s="235" t="s">
        <v>734</v>
      </c>
      <c r="G12" s="246">
        <v>127.2</v>
      </c>
      <c r="H12" s="287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287"/>
      <c r="E13" s="243">
        <v>35</v>
      </c>
      <c r="F13" s="234" t="s">
        <v>735</v>
      </c>
      <c r="G13" s="244">
        <v>92.5</v>
      </c>
      <c r="H13" s="287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287"/>
      <c r="E14" s="245">
        <v>36</v>
      </c>
      <c r="F14" s="237" t="s">
        <v>736</v>
      </c>
      <c r="G14" s="238">
        <v>287.7</v>
      </c>
      <c r="H14" s="287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287"/>
      <c r="E15" s="243">
        <v>37</v>
      </c>
      <c r="F15" s="236" t="s">
        <v>737</v>
      </c>
      <c r="G15" s="239">
        <v>80.3</v>
      </c>
      <c r="H15" s="287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287"/>
      <c r="E16" s="245">
        <v>38</v>
      </c>
      <c r="F16" s="237" t="s">
        <v>738</v>
      </c>
      <c r="G16" s="238">
        <v>266.39999999999998</v>
      </c>
      <c r="H16" s="287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287"/>
      <c r="E17" s="243">
        <v>39</v>
      </c>
      <c r="F17" s="236" t="s">
        <v>739</v>
      </c>
      <c r="G17" s="239">
        <v>106.3</v>
      </c>
      <c r="H17" s="287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287"/>
      <c r="E18" s="245">
        <v>40</v>
      </c>
      <c r="F18" s="237" t="s">
        <v>740</v>
      </c>
      <c r="G18" s="238">
        <v>104.5</v>
      </c>
      <c r="H18" s="287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287"/>
      <c r="E19" s="243">
        <v>41</v>
      </c>
      <c r="F19" s="236" t="s">
        <v>741</v>
      </c>
      <c r="G19" s="239">
        <v>102.3</v>
      </c>
      <c r="H19" s="287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287"/>
      <c r="E20" s="245">
        <v>42</v>
      </c>
      <c r="F20" s="237" t="s">
        <v>742</v>
      </c>
      <c r="G20" s="238">
        <v>105.3</v>
      </c>
      <c r="H20" s="287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287"/>
      <c r="E21" s="243">
        <v>43</v>
      </c>
      <c r="F21" s="236" t="s">
        <v>743</v>
      </c>
      <c r="G21" s="239">
        <v>173.9</v>
      </c>
      <c r="H21" s="287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287"/>
      <c r="E22" s="245">
        <v>44</v>
      </c>
      <c r="F22" s="237" t="s">
        <v>744</v>
      </c>
      <c r="G22" s="238">
        <v>78.7</v>
      </c>
      <c r="H22" s="287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287"/>
      <c r="E23" s="243">
        <v>45</v>
      </c>
      <c r="F23" s="236" t="s">
        <v>745</v>
      </c>
      <c r="G23" s="239">
        <v>73.8</v>
      </c>
      <c r="H23" s="287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287"/>
      <c r="E24" s="245">
        <v>46</v>
      </c>
      <c r="F24" s="237" t="s">
        <v>746</v>
      </c>
      <c r="G24" s="238">
        <v>103.6</v>
      </c>
      <c r="H24" s="287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287"/>
      <c r="E25" s="243">
        <v>47</v>
      </c>
      <c r="F25" s="236" t="s">
        <v>747</v>
      </c>
      <c r="G25" s="239">
        <v>94.6</v>
      </c>
      <c r="H25" s="287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287"/>
      <c r="E26" s="245">
        <v>48</v>
      </c>
      <c r="F26" s="237" t="s">
        <v>748</v>
      </c>
      <c r="G26" s="238">
        <v>15</v>
      </c>
      <c r="H26" s="287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287"/>
      <c r="E27" s="243">
        <v>49</v>
      </c>
      <c r="F27" s="236" t="s">
        <v>749</v>
      </c>
      <c r="G27" s="239">
        <v>10</v>
      </c>
      <c r="H27" s="287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287"/>
      <c r="E28" s="245">
        <v>50</v>
      </c>
      <c r="F28" s="237" t="s">
        <v>750</v>
      </c>
      <c r="G28" s="238">
        <v>10</v>
      </c>
      <c r="H28" s="287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287"/>
      <c r="E29" s="243">
        <v>51</v>
      </c>
      <c r="F29" s="236" t="s">
        <v>751</v>
      </c>
      <c r="G29" s="239">
        <v>170</v>
      </c>
      <c r="H29" s="287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287"/>
      <c r="E30" s="245">
        <v>52</v>
      </c>
      <c r="F30" s="237" t="s">
        <v>752</v>
      </c>
      <c r="G30" s="238">
        <v>90.38</v>
      </c>
      <c r="H30" s="287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287"/>
      <c r="E31" s="243">
        <v>53</v>
      </c>
      <c r="F31" s="236" t="s">
        <v>753</v>
      </c>
      <c r="G31" s="239">
        <v>93.81</v>
      </c>
      <c r="H31" s="287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287"/>
      <c r="E32" s="245">
        <v>54</v>
      </c>
      <c r="F32" s="237" t="s">
        <v>754</v>
      </c>
      <c r="G32" s="238">
        <v>93.37</v>
      </c>
      <c r="H32" s="287"/>
      <c r="I32" s="286"/>
      <c r="J32" s="286"/>
      <c r="K32" s="286"/>
    </row>
    <row r="33" spans="1:11" x14ac:dyDescent="0.25">
      <c r="A33" s="224">
        <v>27</v>
      </c>
      <c r="B33" s="221" t="s">
        <v>727</v>
      </c>
      <c r="C33" s="225">
        <v>82.94</v>
      </c>
      <c r="D33" s="287"/>
      <c r="E33" s="243">
        <v>55</v>
      </c>
      <c r="F33" s="236" t="s">
        <v>755</v>
      </c>
      <c r="G33" s="239">
        <f>82+107.45</f>
        <v>189.45</v>
      </c>
      <c r="H33" s="287"/>
      <c r="I33" s="287"/>
      <c r="J33" s="287"/>
      <c r="K33" s="287"/>
    </row>
    <row r="34" spans="1:11" x14ac:dyDescent="0.25">
      <c r="A34" s="224">
        <v>28</v>
      </c>
      <c r="B34" s="221" t="s">
        <v>728</v>
      </c>
      <c r="C34" s="225">
        <v>71.62</v>
      </c>
      <c r="D34" s="287"/>
      <c r="E34" s="245">
        <v>56</v>
      </c>
      <c r="F34" s="237" t="s">
        <v>756</v>
      </c>
      <c r="G34" s="238">
        <v>130.38</v>
      </c>
      <c r="H34" s="287"/>
      <c r="I34" s="287"/>
      <c r="J34" s="287"/>
      <c r="K34" s="287"/>
    </row>
    <row r="35" spans="1:11" x14ac:dyDescent="0.25">
      <c r="A35" s="205"/>
      <c r="B35" s="212" t="s">
        <v>590</v>
      </c>
      <c r="C35" s="207">
        <f>SUM(C7:C34)</f>
        <v>3113.3399999999997</v>
      </c>
      <c r="D35" s="287"/>
      <c r="E35" s="243">
        <v>57</v>
      </c>
      <c r="F35" s="236" t="s">
        <v>757</v>
      </c>
      <c r="G35" s="239">
        <v>90.9</v>
      </c>
      <c r="H35" s="287"/>
      <c r="I35" s="287"/>
      <c r="J35" s="287"/>
      <c r="K35" s="287"/>
    </row>
    <row r="36" spans="1:11" x14ac:dyDescent="0.25">
      <c r="A36" s="286"/>
      <c r="B36" s="286"/>
      <c r="C36" s="286"/>
      <c r="D36" s="287"/>
      <c r="E36" s="245">
        <v>58</v>
      </c>
      <c r="F36" s="237" t="s">
        <v>758</v>
      </c>
      <c r="G36" s="238">
        <v>86.81</v>
      </c>
      <c r="H36" s="287"/>
      <c r="I36" s="287"/>
      <c r="J36" s="287"/>
      <c r="K36" s="287"/>
    </row>
    <row r="37" spans="1:11" x14ac:dyDescent="0.25">
      <c r="A37" s="287"/>
      <c r="B37" s="287"/>
      <c r="C37" s="287"/>
      <c r="D37" s="287"/>
      <c r="E37" s="243">
        <v>59</v>
      </c>
      <c r="F37" s="236" t="s">
        <v>759</v>
      </c>
      <c r="G37" s="239">
        <v>91.84</v>
      </c>
      <c r="H37" s="287"/>
      <c r="I37" s="287"/>
      <c r="J37" s="287"/>
      <c r="K37" s="287"/>
    </row>
    <row r="38" spans="1:11" x14ac:dyDescent="0.25">
      <c r="A38" s="287"/>
      <c r="B38" s="287"/>
      <c r="C38" s="287"/>
      <c r="D38" s="287"/>
      <c r="E38" s="245">
        <v>60</v>
      </c>
      <c r="F38" s="237" t="s">
        <v>760</v>
      </c>
      <c r="G38" s="238">
        <v>133.22999999999999</v>
      </c>
      <c r="H38" s="287"/>
      <c r="I38" s="287"/>
      <c r="J38" s="287"/>
      <c r="K38" s="287"/>
    </row>
    <row r="39" spans="1:11" x14ac:dyDescent="0.25">
      <c r="A39" s="287"/>
      <c r="B39" s="287"/>
      <c r="C39" s="287"/>
      <c r="D39" s="287"/>
      <c r="E39" s="243">
        <v>61</v>
      </c>
      <c r="F39" s="236" t="s">
        <v>761</v>
      </c>
      <c r="G39" s="239">
        <v>70</v>
      </c>
      <c r="H39" s="287"/>
      <c r="I39" s="287"/>
      <c r="J39" s="287"/>
      <c r="K39" s="287"/>
    </row>
    <row r="40" spans="1:11" x14ac:dyDescent="0.25">
      <c r="A40" s="287"/>
      <c r="B40" s="287"/>
      <c r="C40" s="287"/>
      <c r="D40" s="287"/>
      <c r="E40" s="205"/>
      <c r="F40" s="212" t="s">
        <v>590</v>
      </c>
      <c r="G40" s="207">
        <f>SUM(G7:G39)</f>
        <v>3458.67</v>
      </c>
      <c r="H40" s="287"/>
      <c r="I40" s="287"/>
      <c r="J40" s="287"/>
      <c r="K40" s="287"/>
    </row>
    <row r="45" spans="1:11" x14ac:dyDescent="0.25">
      <c r="A45" s="243">
        <v>5</v>
      </c>
      <c r="B45" s="234" t="s">
        <v>705</v>
      </c>
      <c r="C45" s="244">
        <v>59.2</v>
      </c>
      <c r="E45" s="245">
        <v>32</v>
      </c>
      <c r="F45" s="235" t="s">
        <v>732</v>
      </c>
      <c r="G45" s="246">
        <v>108.3</v>
      </c>
      <c r="I45" s="245">
        <v>62</v>
      </c>
      <c r="J45" s="237" t="s">
        <v>762</v>
      </c>
      <c r="K45" s="238">
        <v>74.5</v>
      </c>
    </row>
    <row r="46" spans="1:11" x14ac:dyDescent="0.25">
      <c r="A46" s="245">
        <v>6</v>
      </c>
      <c r="B46" s="235" t="s">
        <v>706</v>
      </c>
      <c r="C46" s="246">
        <v>172.9</v>
      </c>
      <c r="E46" s="243">
        <v>33</v>
      </c>
      <c r="F46" s="234" t="s">
        <v>733</v>
      </c>
      <c r="G46" s="244">
        <v>43.9</v>
      </c>
      <c r="I46" s="245">
        <v>68</v>
      </c>
      <c r="J46" s="237" t="s">
        <v>768</v>
      </c>
      <c r="K46" s="238">
        <v>46.7</v>
      </c>
    </row>
    <row r="47" spans="1:11" x14ac:dyDescent="0.25">
      <c r="A47" s="243">
        <v>9</v>
      </c>
      <c r="B47" s="234" t="s">
        <v>709</v>
      </c>
      <c r="C47" s="244">
        <v>76.7</v>
      </c>
      <c r="E47" s="245">
        <v>30</v>
      </c>
      <c r="F47" s="235" t="s">
        <v>730</v>
      </c>
      <c r="G47" s="246">
        <v>110.2</v>
      </c>
      <c r="I47" s="243">
        <v>69</v>
      </c>
      <c r="J47" s="236" t="s">
        <v>769</v>
      </c>
      <c r="K47" s="239">
        <v>153.1</v>
      </c>
    </row>
    <row r="48" spans="1:11" x14ac:dyDescent="0.25">
      <c r="A48" s="245">
        <v>10</v>
      </c>
      <c r="B48" s="235" t="s">
        <v>710</v>
      </c>
      <c r="C48" s="246">
        <v>260.7</v>
      </c>
      <c r="E48" s="245">
        <v>36</v>
      </c>
      <c r="F48" s="237" t="s">
        <v>736</v>
      </c>
      <c r="G48" s="238">
        <v>287.7</v>
      </c>
      <c r="I48" s="243">
        <v>72</v>
      </c>
      <c r="J48" s="236" t="s">
        <v>772</v>
      </c>
      <c r="K48" s="239">
        <v>461.4</v>
      </c>
    </row>
    <row r="49" spans="1:11" x14ac:dyDescent="0.25">
      <c r="A49" s="243">
        <v>13</v>
      </c>
      <c r="B49" s="234" t="s">
        <v>713</v>
      </c>
      <c r="C49" s="244">
        <v>62.9</v>
      </c>
      <c r="E49" s="245">
        <v>38</v>
      </c>
      <c r="F49" s="237" t="s">
        <v>738</v>
      </c>
      <c r="G49" s="238">
        <v>266.39999999999998</v>
      </c>
      <c r="I49" s="243">
        <v>74</v>
      </c>
      <c r="J49" s="236" t="s">
        <v>774</v>
      </c>
      <c r="K49" s="239">
        <v>80.099999999999994</v>
      </c>
    </row>
    <row r="50" spans="1:11" x14ac:dyDescent="0.25">
      <c r="A50" s="245">
        <v>14</v>
      </c>
      <c r="B50" s="235" t="s">
        <v>714</v>
      </c>
      <c r="C50" s="246">
        <v>55.9</v>
      </c>
      <c r="E50" s="243">
        <v>55</v>
      </c>
      <c r="F50" s="236" t="s">
        <v>755</v>
      </c>
      <c r="G50" s="239">
        <f>82+107.45</f>
        <v>189.45</v>
      </c>
      <c r="I50" s="245">
        <v>75</v>
      </c>
      <c r="J50" s="237" t="s">
        <v>775</v>
      </c>
      <c r="K50" s="238">
        <v>82.21</v>
      </c>
    </row>
    <row r="51" spans="1:11" x14ac:dyDescent="0.25">
      <c r="A51" s="243">
        <v>15</v>
      </c>
      <c r="B51" s="234" t="s">
        <v>715</v>
      </c>
      <c r="C51" s="244">
        <v>55.1</v>
      </c>
      <c r="E51" s="245">
        <v>56</v>
      </c>
      <c r="F51" s="237" t="s">
        <v>756</v>
      </c>
      <c r="G51" s="238">
        <v>130.38</v>
      </c>
      <c r="I51" s="243">
        <v>76</v>
      </c>
      <c r="J51" s="236" t="s">
        <v>776</v>
      </c>
      <c r="K51" s="239">
        <v>170.64</v>
      </c>
    </row>
    <row r="52" spans="1:11" x14ac:dyDescent="0.25">
      <c r="A52" s="243">
        <v>21</v>
      </c>
      <c r="B52" s="234" t="s">
        <v>721</v>
      </c>
      <c r="C52" s="244">
        <v>80</v>
      </c>
      <c r="E52" s="243">
        <v>61</v>
      </c>
      <c r="F52" s="236" t="s">
        <v>761</v>
      </c>
      <c r="G52" s="239">
        <v>70</v>
      </c>
      <c r="I52" s="245">
        <v>83</v>
      </c>
      <c r="J52" s="237" t="s">
        <v>783</v>
      </c>
      <c r="K52" s="238">
        <v>122.14</v>
      </c>
    </row>
    <row r="53" spans="1:11" x14ac:dyDescent="0.25">
      <c r="A53" s="245">
        <v>22</v>
      </c>
      <c r="B53" s="235" t="s">
        <v>722</v>
      </c>
      <c r="C53" s="246">
        <v>109.81</v>
      </c>
      <c r="I53" s="243">
        <v>84</v>
      </c>
      <c r="J53" s="236" t="s">
        <v>784</v>
      </c>
      <c r="K53" s="239">
        <v>131.07</v>
      </c>
    </row>
    <row r="54" spans="1:11" x14ac:dyDescent="0.25">
      <c r="A54" s="243">
        <v>25</v>
      </c>
      <c r="B54" s="234" t="s">
        <v>725</v>
      </c>
      <c r="C54" s="244">
        <v>132.51</v>
      </c>
      <c r="I54" s="245">
        <v>85</v>
      </c>
      <c r="J54" s="247" t="s">
        <v>785</v>
      </c>
      <c r="K54" s="248">
        <v>80.099999999999994</v>
      </c>
    </row>
    <row r="55" spans="1:11" x14ac:dyDescent="0.25">
      <c r="A55" s="245">
        <v>24</v>
      </c>
      <c r="B55" s="235" t="s">
        <v>724</v>
      </c>
      <c r="C55" s="246">
        <v>80</v>
      </c>
    </row>
    <row r="56" spans="1:11" x14ac:dyDescent="0.25">
      <c r="C56" s="257">
        <f>SUM(C45:C55)</f>
        <v>1145.72</v>
      </c>
      <c r="G56" s="257">
        <f>SUM(G45:G55)</f>
        <v>1206.33</v>
      </c>
      <c r="K56" s="257">
        <f>SUM(K45:K55)</f>
        <v>1401.96</v>
      </c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topLeftCell="A10" zoomScale="85" zoomScaleNormal="85" workbookViewId="0">
      <selection activeCell="J4" sqref="J4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282" t="s">
        <v>586</v>
      </c>
      <c r="B1" s="282"/>
      <c r="C1" s="282"/>
      <c r="D1" s="282"/>
      <c r="E1" s="282"/>
      <c r="F1" s="282"/>
      <c r="G1" s="282"/>
      <c r="H1" s="282"/>
      <c r="I1" s="282"/>
      <c r="J1" s="282"/>
      <c r="K1" s="291"/>
    </row>
    <row r="2" spans="1:11" ht="18" customHeight="1" x14ac:dyDescent="0.25">
      <c r="A2" s="233" t="s">
        <v>580</v>
      </c>
      <c r="B2" s="282" t="s">
        <v>789</v>
      </c>
      <c r="C2" s="282"/>
      <c r="D2" s="282"/>
      <c r="E2" s="282"/>
      <c r="F2" s="282"/>
      <c r="G2" s="282"/>
      <c r="H2" s="282"/>
      <c r="I2" s="255" t="s">
        <v>583</v>
      </c>
      <c r="J2" s="255" t="s">
        <v>584</v>
      </c>
      <c r="K2" s="291"/>
    </row>
    <row r="3" spans="1:11" ht="36" customHeight="1" x14ac:dyDescent="0.25">
      <c r="A3" s="233">
        <v>1</v>
      </c>
      <c r="B3" s="289" t="s">
        <v>791</v>
      </c>
      <c r="C3" s="289"/>
      <c r="D3" s="289"/>
      <c r="E3" s="289"/>
      <c r="F3" s="289"/>
      <c r="G3" s="289"/>
      <c r="H3" s="289"/>
      <c r="I3" s="253" t="s">
        <v>571</v>
      </c>
      <c r="J3" s="256">
        <f>C35+G40+K31</f>
        <v>9286.130000000001</v>
      </c>
      <c r="K3" s="291"/>
    </row>
    <row r="4" spans="1:11" ht="37.200000000000003" customHeight="1" x14ac:dyDescent="0.25">
      <c r="A4" s="233">
        <v>2</v>
      </c>
      <c r="B4" s="290" t="s">
        <v>790</v>
      </c>
      <c r="C4" s="290"/>
      <c r="D4" s="290"/>
      <c r="E4" s="290"/>
      <c r="F4" s="290"/>
      <c r="G4" s="290"/>
      <c r="H4" s="290"/>
      <c r="I4" s="253" t="s">
        <v>788</v>
      </c>
      <c r="J4" s="256">
        <v>18.93</v>
      </c>
      <c r="K4" s="291"/>
    </row>
    <row r="5" spans="1:11" ht="8.4" customHeight="1" x14ac:dyDescent="0.25">
      <c r="A5" s="288"/>
      <c r="B5" s="288"/>
      <c r="C5" s="288"/>
      <c r="D5" s="288"/>
      <c r="E5" s="288"/>
      <c r="F5" s="288"/>
      <c r="G5" s="288"/>
      <c r="H5" s="288"/>
      <c r="I5" s="288"/>
      <c r="J5" s="288"/>
      <c r="K5" s="288"/>
    </row>
    <row r="6" spans="1:11" x14ac:dyDescent="0.25">
      <c r="A6" s="226" t="s">
        <v>580</v>
      </c>
      <c r="B6" s="227" t="s">
        <v>693</v>
      </c>
      <c r="C6" s="228" t="s">
        <v>588</v>
      </c>
      <c r="D6" s="286"/>
      <c r="E6" s="249" t="s">
        <v>580</v>
      </c>
      <c r="F6" s="250" t="s">
        <v>693</v>
      </c>
      <c r="G6" s="251" t="s">
        <v>588</v>
      </c>
      <c r="H6" s="28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287"/>
      <c r="E7" s="243">
        <v>29</v>
      </c>
      <c r="F7" s="234" t="s">
        <v>729</v>
      </c>
      <c r="G7" s="244">
        <v>48</v>
      </c>
      <c r="H7" s="287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287"/>
      <c r="E8" s="245">
        <v>30</v>
      </c>
      <c r="F8" s="235" t="s">
        <v>730</v>
      </c>
      <c r="G8" s="246">
        <v>110.2</v>
      </c>
      <c r="H8" s="287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287"/>
      <c r="E9" s="243">
        <v>31</v>
      </c>
      <c r="F9" s="234" t="s">
        <v>731</v>
      </c>
      <c r="G9" s="244">
        <v>76</v>
      </c>
      <c r="H9" s="287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287"/>
      <c r="E10" s="245">
        <v>32</v>
      </c>
      <c r="F10" s="235" t="s">
        <v>732</v>
      </c>
      <c r="G10" s="246">
        <v>108.3</v>
      </c>
      <c r="H10" s="287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287"/>
      <c r="E11" s="243">
        <v>33</v>
      </c>
      <c r="F11" s="234" t="s">
        <v>733</v>
      </c>
      <c r="G11" s="244">
        <v>43.9</v>
      </c>
      <c r="H11" s="287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287"/>
      <c r="E12" s="245">
        <v>34</v>
      </c>
      <c r="F12" s="235" t="s">
        <v>734</v>
      </c>
      <c r="G12" s="246">
        <v>127.2</v>
      </c>
      <c r="H12" s="287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287"/>
      <c r="E13" s="243">
        <v>35</v>
      </c>
      <c r="F13" s="234" t="s">
        <v>735</v>
      </c>
      <c r="G13" s="244">
        <v>92.5</v>
      </c>
      <c r="H13" s="287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287"/>
      <c r="E14" s="245">
        <v>36</v>
      </c>
      <c r="F14" s="237" t="s">
        <v>736</v>
      </c>
      <c r="G14" s="238">
        <v>287.7</v>
      </c>
      <c r="H14" s="287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287"/>
      <c r="E15" s="243">
        <v>37</v>
      </c>
      <c r="F15" s="236" t="s">
        <v>737</v>
      </c>
      <c r="G15" s="239">
        <v>80.3</v>
      </c>
      <c r="H15" s="287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287"/>
      <c r="E16" s="245">
        <v>38</v>
      </c>
      <c r="F16" s="237" t="s">
        <v>738</v>
      </c>
      <c r="G16" s="238">
        <v>266.39999999999998</v>
      </c>
      <c r="H16" s="287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287"/>
      <c r="E17" s="243">
        <v>39</v>
      </c>
      <c r="F17" s="236" t="s">
        <v>739</v>
      </c>
      <c r="G17" s="239">
        <v>106.3</v>
      </c>
      <c r="H17" s="287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287"/>
      <c r="E18" s="245">
        <v>40</v>
      </c>
      <c r="F18" s="237" t="s">
        <v>740</v>
      </c>
      <c r="G18" s="238">
        <v>104.5</v>
      </c>
      <c r="H18" s="287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287"/>
      <c r="E19" s="243">
        <v>41</v>
      </c>
      <c r="F19" s="236" t="s">
        <v>741</v>
      </c>
      <c r="G19" s="239">
        <v>102.3</v>
      </c>
      <c r="H19" s="287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287"/>
      <c r="E20" s="245">
        <v>42</v>
      </c>
      <c r="F20" s="237" t="s">
        <v>742</v>
      </c>
      <c r="G20" s="238">
        <v>105.3</v>
      </c>
      <c r="H20" s="287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287"/>
      <c r="E21" s="243">
        <v>43</v>
      </c>
      <c r="F21" s="236" t="s">
        <v>743</v>
      </c>
      <c r="G21" s="239">
        <v>173.9</v>
      </c>
      <c r="H21" s="287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287"/>
      <c r="E22" s="245">
        <v>44</v>
      </c>
      <c r="F22" s="237" t="s">
        <v>744</v>
      </c>
      <c r="G22" s="238">
        <v>78.7</v>
      </c>
      <c r="H22" s="287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287"/>
      <c r="E23" s="243">
        <v>45</v>
      </c>
      <c r="F23" s="236" t="s">
        <v>745</v>
      </c>
      <c r="G23" s="239">
        <v>73.8</v>
      </c>
      <c r="H23" s="287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287"/>
      <c r="E24" s="245">
        <v>46</v>
      </c>
      <c r="F24" s="237" t="s">
        <v>746</v>
      </c>
      <c r="G24" s="238">
        <v>103.6</v>
      </c>
      <c r="H24" s="287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287"/>
      <c r="E25" s="243">
        <v>47</v>
      </c>
      <c r="F25" s="236" t="s">
        <v>747</v>
      </c>
      <c r="G25" s="239">
        <v>94.6</v>
      </c>
      <c r="H25" s="287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287"/>
      <c r="E26" s="245">
        <v>48</v>
      </c>
      <c r="F26" s="237" t="s">
        <v>748</v>
      </c>
      <c r="G26" s="238">
        <v>15</v>
      </c>
      <c r="H26" s="287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287"/>
      <c r="E27" s="243">
        <v>49</v>
      </c>
      <c r="F27" s="236" t="s">
        <v>749</v>
      </c>
      <c r="G27" s="239">
        <v>10</v>
      </c>
      <c r="H27" s="287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287"/>
      <c r="E28" s="245">
        <v>50</v>
      </c>
      <c r="F28" s="237" t="s">
        <v>750</v>
      </c>
      <c r="G28" s="238">
        <v>10</v>
      </c>
      <c r="H28" s="287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287"/>
      <c r="E29" s="243">
        <v>51</v>
      </c>
      <c r="F29" s="236" t="s">
        <v>751</v>
      </c>
      <c r="G29" s="239">
        <v>170</v>
      </c>
      <c r="H29" s="287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287"/>
      <c r="E30" s="245">
        <v>52</v>
      </c>
      <c r="F30" s="237" t="s">
        <v>752</v>
      </c>
      <c r="G30" s="238">
        <v>90.38</v>
      </c>
      <c r="H30" s="287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287"/>
      <c r="E31" s="243">
        <v>53</v>
      </c>
      <c r="F31" s="236" t="s">
        <v>753</v>
      </c>
      <c r="G31" s="239">
        <v>93.81</v>
      </c>
      <c r="H31" s="287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287"/>
      <c r="E32" s="245">
        <v>54</v>
      </c>
      <c r="F32" s="237" t="s">
        <v>754</v>
      </c>
      <c r="G32" s="238">
        <v>93.37</v>
      </c>
      <c r="H32" s="287"/>
      <c r="I32" s="286"/>
      <c r="J32" s="286"/>
      <c r="K32" s="286"/>
    </row>
    <row r="33" spans="1:11" x14ac:dyDescent="0.25">
      <c r="A33" s="224">
        <v>27</v>
      </c>
      <c r="B33" s="221" t="s">
        <v>727</v>
      </c>
      <c r="C33" s="225">
        <v>82.94</v>
      </c>
      <c r="D33" s="287"/>
      <c r="E33" s="243">
        <v>55</v>
      </c>
      <c r="F33" s="236" t="s">
        <v>755</v>
      </c>
      <c r="G33" s="239">
        <f>82+107.45</f>
        <v>189.45</v>
      </c>
      <c r="H33" s="287"/>
      <c r="I33" s="287"/>
      <c r="J33" s="287"/>
      <c r="K33" s="287"/>
    </row>
    <row r="34" spans="1:11" x14ac:dyDescent="0.25">
      <c r="A34" s="224">
        <v>28</v>
      </c>
      <c r="B34" s="221" t="s">
        <v>728</v>
      </c>
      <c r="C34" s="225">
        <v>71.62</v>
      </c>
      <c r="D34" s="287"/>
      <c r="E34" s="245">
        <v>56</v>
      </c>
      <c r="F34" s="237" t="s">
        <v>756</v>
      </c>
      <c r="G34" s="238">
        <v>130.38</v>
      </c>
      <c r="H34" s="287"/>
      <c r="I34" s="287"/>
      <c r="J34" s="287"/>
      <c r="K34" s="287"/>
    </row>
    <row r="35" spans="1:11" x14ac:dyDescent="0.25">
      <c r="A35" s="205"/>
      <c r="B35" s="212" t="s">
        <v>590</v>
      </c>
      <c r="C35" s="207">
        <f>SUM(C7:C34)</f>
        <v>3113.3399999999997</v>
      </c>
      <c r="D35" s="287"/>
      <c r="E35" s="243">
        <v>57</v>
      </c>
      <c r="F35" s="236" t="s">
        <v>757</v>
      </c>
      <c r="G35" s="239">
        <v>90.9</v>
      </c>
      <c r="H35" s="287"/>
      <c r="I35" s="287"/>
      <c r="J35" s="287"/>
      <c r="K35" s="287"/>
    </row>
    <row r="36" spans="1:11" x14ac:dyDescent="0.25">
      <c r="A36" s="286"/>
      <c r="B36" s="286"/>
      <c r="C36" s="286"/>
      <c r="D36" s="287"/>
      <c r="E36" s="245">
        <v>58</v>
      </c>
      <c r="F36" s="237" t="s">
        <v>758</v>
      </c>
      <c r="G36" s="238">
        <v>86.81</v>
      </c>
      <c r="H36" s="287"/>
      <c r="I36" s="287"/>
      <c r="J36" s="287"/>
      <c r="K36" s="287"/>
    </row>
    <row r="37" spans="1:11" x14ac:dyDescent="0.25">
      <c r="A37" s="287"/>
      <c r="B37" s="287"/>
      <c r="C37" s="287"/>
      <c r="D37" s="287"/>
      <c r="E37" s="243">
        <v>59</v>
      </c>
      <c r="F37" s="236" t="s">
        <v>759</v>
      </c>
      <c r="G37" s="239">
        <v>91.84</v>
      </c>
      <c r="H37" s="287"/>
      <c r="I37" s="287"/>
      <c r="J37" s="287"/>
      <c r="K37" s="287"/>
    </row>
    <row r="38" spans="1:11" x14ac:dyDescent="0.25">
      <c r="A38" s="287"/>
      <c r="B38" s="287"/>
      <c r="C38" s="287"/>
      <c r="D38" s="287"/>
      <c r="E38" s="245">
        <v>60</v>
      </c>
      <c r="F38" s="237" t="s">
        <v>760</v>
      </c>
      <c r="G38" s="238">
        <v>133.22999999999999</v>
      </c>
      <c r="H38" s="287"/>
      <c r="I38" s="287"/>
      <c r="J38" s="287"/>
      <c r="K38" s="287"/>
    </row>
    <row r="39" spans="1:11" x14ac:dyDescent="0.25">
      <c r="A39" s="287"/>
      <c r="B39" s="287"/>
      <c r="C39" s="287"/>
      <c r="D39" s="287"/>
      <c r="E39" s="243">
        <v>61</v>
      </c>
      <c r="F39" s="236" t="s">
        <v>761</v>
      </c>
      <c r="G39" s="239">
        <v>70</v>
      </c>
      <c r="H39" s="287"/>
      <c r="I39" s="287"/>
      <c r="J39" s="287"/>
      <c r="K39" s="287"/>
    </row>
    <row r="40" spans="1:11" x14ac:dyDescent="0.25">
      <c r="A40" s="287"/>
      <c r="B40" s="287"/>
      <c r="C40" s="287"/>
      <c r="D40" s="287"/>
      <c r="E40" s="205"/>
      <c r="F40" s="212" t="s">
        <v>590</v>
      </c>
      <c r="G40" s="207">
        <f>SUM(G7:G39)</f>
        <v>3458.67</v>
      </c>
      <c r="H40" s="287"/>
      <c r="I40" s="287"/>
      <c r="J40" s="287"/>
      <c r="K40" s="287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46</vt:i4>
      </vt:variant>
    </vt:vector>
  </HeadingPairs>
  <TitlesOfParts>
    <vt:vector size="46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5.1-Шп.Баз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2026-03-18T09:41:11Z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