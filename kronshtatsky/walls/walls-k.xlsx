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6404" windowHeight="8436" firstSheet="17" activeTab="18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6.2леса" sheetId="60" r:id="rId18"/>
    <sheet name="3.8Деф" sheetId="65" r:id="rId19"/>
    <sheet name="3.3ШтРем" sheetId="59" r:id="rId20"/>
    <sheet name="Лист1" sheetId="51" state="hidden" r:id="rId21"/>
    <sheet name="-1эт" sheetId="18" state="hidden" r:id="rId22"/>
    <sheet name="1эт" sheetId="19" state="hidden" r:id="rId23"/>
    <sheet name="2эт" sheetId="20" state="hidden" r:id="rId24"/>
    <sheet name="3эт" sheetId="21" state="hidden" r:id="rId25"/>
    <sheet name="-1этСтен" sheetId="22" state="hidden" r:id="rId26"/>
    <sheet name="1этСтен" sheetId="23" state="hidden" r:id="rId27"/>
    <sheet name="2этСтен" sheetId="24" state="hidden" r:id="rId28"/>
    <sheet name="3этСтен" sheetId="25" state="hidden" r:id="rId29"/>
    <sheet name="Из КП" sheetId="27" r:id="rId30"/>
    <sheet name="1.1-Ст" sheetId="28" r:id="rId31"/>
    <sheet name="1.1п" sheetId="30" r:id="rId32"/>
    <sheet name="1.2-Ст" sheetId="32" r:id="rId33"/>
    <sheet name="1.2п" sheetId="31" state="hidden" r:id="rId34"/>
    <sheet name="1.3-Ст" sheetId="33" r:id="rId35"/>
    <sheet name="1.3п" sheetId="35" r:id="rId36"/>
    <sheet name="1.3.1FK12" sheetId="57" r:id="rId37"/>
    <sheet name="4.1-WD6 5" sheetId="58" r:id="rId38"/>
    <sheet name="1.4.1FK16 и 4 Ост" sheetId="55" r:id="rId39"/>
    <sheet name="1.4-Ст" sheetId="34" r:id="rId40"/>
    <sheet name="2.1-Ст" sheetId="39" r:id="rId41"/>
    <sheet name="2.1п" sheetId="36" r:id="rId42"/>
    <sheet name="2.2-Ст" sheetId="40" r:id="rId43"/>
    <sheet name="2.2п" sheetId="37" r:id="rId44"/>
    <sheet name="2.3-Ст" sheetId="41" r:id="rId45"/>
    <sheet name="2.3п" sheetId="38" r:id="rId46"/>
    <sheet name="3.1-Ст" sheetId="45" r:id="rId47"/>
    <sheet name="3.1п" sheetId="42" r:id="rId48"/>
    <sheet name="3.2-Ст" sheetId="46" r:id="rId49"/>
    <sheet name="3.2п" sheetId="44" r:id="rId50"/>
    <sheet name="3.3п" sheetId="43" r:id="rId51"/>
    <sheet name="1Дм" sheetId="47" r:id="rId52"/>
    <sheet name="3.7-Шп.фин.отк" sheetId="63" r:id="rId53"/>
    <sheet name="3.6-Шп.Баз.отк" sheetId="64" r:id="rId54"/>
    <sheet name="3.5-Шп.фин" sheetId="62" r:id="rId55"/>
    <sheet name="3.4-Шп.Баз" sheetId="61" r:id="rId56"/>
    <sheet name="5.1-Шп.Баз прошл" sheetId="48" r:id="rId57"/>
    <sheet name="КП" sheetId="50" r:id="rId58"/>
    <sheet name="Перегр" sheetId="49" r:id="rId59"/>
    <sheet name="1.5-FK9" sheetId="52" r:id="rId60"/>
    <sheet name="1.6-FK13" sheetId="53" r:id="rId61"/>
    <sheet name="1.7-FK2" sheetId="54" r:id="rId62"/>
  </sheets>
  <calcPr calcId="152511"/>
</workbook>
</file>

<file path=xl/calcChain.xml><?xml version="1.0" encoding="utf-8"?>
<calcChain xmlns="http://schemas.openxmlformats.org/spreadsheetml/2006/main">
  <c r="G3" i="65" l="1"/>
  <c r="G26" i="65" l="1"/>
  <c r="G5" i="65" s="1"/>
  <c r="C26" i="65"/>
  <c r="G4" i="65" l="1"/>
  <c r="G18" i="64"/>
  <c r="K19" i="64"/>
  <c r="C11" i="64"/>
  <c r="G17" i="63"/>
  <c r="K15" i="63"/>
  <c r="C8" i="63"/>
  <c r="J3" i="63" s="1"/>
  <c r="K24" i="62"/>
  <c r="G32" i="62"/>
  <c r="C20" i="62"/>
  <c r="G45" i="61"/>
  <c r="K42" i="61"/>
  <c r="C39" i="61"/>
  <c r="J3" i="61" s="1"/>
  <c r="J3" i="64" l="1"/>
  <c r="J3" i="62"/>
  <c r="C7" i="60" l="1"/>
  <c r="C14" i="60"/>
  <c r="C13" i="60"/>
  <c r="C12" i="60"/>
  <c r="C11" i="60"/>
  <c r="C10" i="60"/>
  <c r="C9" i="60"/>
  <c r="C8" i="60"/>
  <c r="C6" i="60"/>
  <c r="C15" i="60" l="1"/>
  <c r="E3" i="60" s="1"/>
  <c r="D14" i="59" l="1"/>
  <c r="F14" i="59"/>
  <c r="C14" i="59"/>
  <c r="E14" i="59"/>
  <c r="G14" i="59"/>
  <c r="B14" i="59"/>
  <c r="K4" i="58" l="1"/>
  <c r="K3" i="58"/>
  <c r="D11" i="57" l="1"/>
  <c r="D16" i="57"/>
  <c r="I12" i="57"/>
  <c r="K4" i="55"/>
  <c r="K3" i="57" l="1"/>
  <c r="C26" i="55"/>
  <c r="D26" i="55" s="1"/>
  <c r="C20" i="55"/>
  <c r="D20" i="55" s="1"/>
  <c r="D25" i="55"/>
  <c r="D24" i="55"/>
  <c r="D23" i="55"/>
  <c r="D22" i="55"/>
  <c r="D21" i="55"/>
  <c r="D19" i="55"/>
  <c r="H10" i="55"/>
  <c r="I10" i="55" s="1"/>
  <c r="I8" i="55"/>
  <c r="I9" i="55"/>
  <c r="I11" i="55"/>
  <c r="I12" i="55"/>
  <c r="I13" i="55"/>
  <c r="I14" i="55"/>
  <c r="I7" i="55"/>
  <c r="C15" i="55"/>
  <c r="C13" i="55"/>
  <c r="C12" i="55"/>
  <c r="D12" i="55" s="1"/>
  <c r="D8" i="55"/>
  <c r="D9" i="55"/>
  <c r="D10" i="55"/>
  <c r="D11" i="55"/>
  <c r="D14" i="55"/>
  <c r="D7" i="55"/>
  <c r="D27" i="55" l="1"/>
  <c r="D9" i="54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C12" i="30"/>
  <c r="E3" i="28" s="1"/>
  <c r="C12" i="35"/>
  <c r="E3" i="33" s="1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  <c r="D16" i="55"/>
  <c r="I15" i="55"/>
  <c r="K3" i="55" l="1"/>
</calcChain>
</file>

<file path=xl/sharedStrings.xml><?xml version="1.0" encoding="utf-8"?>
<sst xmlns="http://schemas.openxmlformats.org/spreadsheetml/2006/main" count="7885" uniqueCount="1513">
  <si>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</si>
  <si>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</si>
  <si>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</si>
  <si>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</si>
  <si>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</si>
  <si>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</si>
  <si>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</si>
  <si>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</si>
  <si>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</si>
  <si>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</si>
  <si>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</si>
  <si>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</si>
  <si>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</si>
  <si>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</si>
  <si>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</si>
  <si>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</si>
  <si>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</si>
  <si>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</si>
  <si>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</si>
  <si>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</si>
  <si>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</si>
  <si>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</si>
  <si>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</si>
  <si>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</si>
  <si>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</si>
  <si>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</si>
  <si>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</si>
  <si>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</si>
  <si>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</si>
  <si>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</si>
  <si>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</si>
  <si>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</si>
  <si>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</si>
  <si>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</si>
  <si>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</si>
  <si>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</si>
  <si>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</si>
  <si>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</si>
  <si>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</si>
  <si>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</si>
  <si>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</si>
  <si>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</si>
  <si>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</si>
  <si>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</si>
  <si>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</si>
  <si>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</si>
  <si>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</si>
  <si>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</si>
  <si>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</si>
  <si>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</si>
  <si>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</si>
  <si>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</si>
  <si>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</si>
  <si>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</si>
  <si>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</si>
  <si>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</si>
  <si>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</si>
  <si>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</si>
  <si>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</si>
  <si>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</si>
  <si>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</si>
  <si>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</si>
  <si>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</si>
  <si>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</si>
  <si>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</si>
  <si>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</si>
  <si>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</si>
  <si>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</si>
  <si>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</si>
  <si>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</si>
  <si>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</si>
  <si>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</si>
  <si>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</si>
  <si>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</si>
  <si>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</si>
  <si>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</si>
  <si>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</si>
  <si>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</si>
  <si>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</si>
  <si>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</si>
  <si>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</si>
  <si>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</si>
  <si>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</si>
  <si>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</si>
  <si>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</si>
  <si>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</si>
  <si>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</si>
  <si>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</si>
  <si>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</si>
  <si>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</si>
  <si>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</si>
  <si>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</si>
  <si>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</si>
  <si>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</si>
  <si>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</si>
  <si>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</si>
  <si>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</si>
  <si>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</si>
  <si>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</si>
  <si>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</si>
  <si>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</si>
  <si>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</si>
  <si>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</si>
  <si>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</si>
  <si>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</si>
  <si>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</si>
  <si>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</si>
  <si>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</si>
  <si>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</si>
  <si>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</si>
  <si>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</si>
  <si>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</si>
  <si>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</si>
  <si>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</si>
  <si>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</si>
  <si>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</si>
  <si>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</si>
  <si>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</si>
  <si>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</si>
  <si>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</si>
  <si>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</si>
  <si>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</si>
  <si>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</si>
  <si>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</si>
  <si>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</si>
  <si>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</si>
  <si>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</si>
  <si>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</si>
  <si>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</si>
  <si>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</si>
  <si>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</si>
  <si>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</si>
  <si>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</si>
  <si>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</si>
  <si>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</si>
  <si>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</si>
  <si>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</si>
  <si>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</si>
  <si>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</si>
  <si>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</si>
  <si>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</si>
  <si>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</si>
  <si>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</si>
  <si>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</si>
  <si>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</si>
  <si>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</si>
  <si>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</si>
  <si>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</si>
  <si>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</si>
  <si>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</si>
  <si>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</si>
  <si>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</si>
  <si>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</si>
  <si>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</si>
  <si>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</si>
  <si>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</si>
  <si>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</si>
  <si>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</si>
  <si>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</si>
  <si>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</si>
  <si>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</si>
  <si>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</si>
  <si>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</si>
  <si>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</si>
  <si>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</si>
  <si>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</si>
  <si>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</si>
  <si>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</si>
  <si>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</si>
  <si>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</si>
  <si>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</si>
  <si>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</si>
  <si>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</si>
  <si>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</si>
  <si>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</si>
  <si>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</si>
  <si>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</si>
  <si>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</si>
  <si>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</si>
  <si>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</si>
  <si>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</si>
  <si>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</si>
  <si>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</si>
  <si>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</si>
  <si>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</si>
  <si>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</si>
  <si>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</si>
  <si>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</si>
  <si>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</si>
  <si>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</si>
  <si>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</si>
  <si>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</si>
  <si>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</si>
  <si>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</si>
  <si>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</si>
  <si>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</si>
  <si>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</si>
  <si>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</si>
  <si>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</si>
  <si>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</si>
  <si>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</si>
  <si>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</si>
  <si>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</si>
  <si>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</si>
  <si>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</si>
  <si>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</si>
  <si>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</si>
  <si>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</si>
  <si>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</si>
  <si>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</si>
  <si>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</si>
  <si>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</si>
  <si>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</si>
  <si>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</si>
  <si>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</si>
  <si>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</si>
  <si>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</si>
  <si>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</si>
  <si>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</si>
  <si>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</si>
  <si>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</si>
  <si>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</si>
  <si>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</si>
  <si>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</si>
  <si>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</si>
  <si>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</si>
  <si>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</si>
  <si>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</si>
  <si>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</si>
  <si>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</si>
  <si>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</si>
  <si>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</si>
  <si>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</si>
  <si>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</si>
  <si>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</si>
  <si>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</si>
  <si>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</si>
  <si>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</si>
  <si>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</si>
  <si>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</si>
  <si>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</si>
  <si>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</si>
  <si>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</si>
  <si>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</si>
  <si>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</si>
  <si>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</si>
  <si>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</si>
  <si>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</si>
  <si>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</si>
  <si>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</si>
  <si>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</si>
  <si>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</si>
  <si>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</si>
  <si>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</si>
  <si>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</si>
  <si>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</si>
  <si>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</si>
  <si>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</si>
  <si>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</si>
  <si>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</si>
  <si>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</si>
  <si>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</si>
  <si>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</si>
  <si>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</si>
  <si>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</si>
  <si>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</si>
  <si>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</si>
  <si>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</si>
  <si>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</si>
  <si>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</si>
  <si>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</si>
  <si>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</si>
  <si>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</si>
  <si>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</si>
  <si>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</si>
  <si>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</si>
  <si>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</si>
  <si>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</si>
  <si>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</si>
  <si>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</si>
  <si>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</si>
  <si>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</si>
  <si>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</si>
  <si>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</si>
  <si>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</si>
  <si>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</si>
  <si>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</si>
  <si>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</si>
  <si>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</si>
  <si>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</si>
  <si>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</si>
  <si>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</si>
  <si>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</si>
  <si>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</si>
  <si>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</si>
  <si>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</si>
  <si>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</si>
  <si>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</si>
  <si>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</si>
  <si>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</si>
  <si>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</si>
  <si>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</si>
  <si>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</si>
  <si>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</si>
  <si>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</si>
  <si>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</si>
  <si>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</si>
  <si>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</si>
  <si>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</si>
  <si>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</si>
  <si>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</si>
  <si>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</si>
  <si>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</si>
  <si>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</si>
  <si>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</si>
  <si>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</si>
  <si>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</si>
  <si>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</si>
  <si>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</si>
  <si>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</si>
  <si>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</si>
  <si>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</si>
  <si>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</si>
  <si>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</si>
  <si>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</si>
  <si>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</si>
  <si>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</si>
  <si>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</si>
  <si>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</si>
  <si>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</si>
  <si>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</si>
  <si>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</si>
  <si>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</si>
  <si>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</si>
  <si>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</si>
  <si>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</si>
  <si>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</si>
  <si>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</si>
  <si>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</si>
  <si>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</si>
  <si>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</si>
  <si>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</si>
  <si>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</si>
  <si>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</si>
  <si>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</si>
  <si>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</si>
  <si>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</si>
  <si>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</si>
  <si>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</si>
  <si>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</si>
  <si>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</si>
  <si>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</si>
  <si>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</si>
  <si>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</si>
  <si>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</si>
  <si>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</si>
  <si>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</si>
  <si>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</si>
  <si>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</si>
  <si>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</si>
  <si>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</si>
  <si>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</si>
  <si>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</si>
  <si>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</si>
  <si>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</si>
  <si>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</si>
  <si>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</si>
  <si>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</si>
  <si>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</si>
  <si>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</si>
  <si>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</si>
  <si>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</si>
  <si>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</si>
  <si>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</si>
  <si>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</si>
  <si>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</si>
  <si>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</si>
  <si>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</si>
  <si>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</si>
  <si>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</si>
  <si>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</si>
  <si>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</si>
  <si>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</si>
  <si>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</si>
  <si>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</si>
  <si>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</si>
  <si>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</si>
  <si>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</si>
  <si>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</si>
  <si>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</si>
  <si>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</si>
  <si>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</si>
  <si>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</si>
  <si>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</si>
  <si>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</si>
  <si>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</si>
  <si>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</si>
  <si>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</si>
  <si>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</si>
  <si>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</si>
  <si>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</si>
  <si>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</si>
  <si>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</si>
  <si>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</si>
  <si>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</si>
  <si>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</si>
  <si>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</si>
  <si>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</si>
  <si>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</si>
  <si>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</si>
  <si>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</si>
  <si>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</si>
  <si>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</si>
  <si>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</si>
  <si>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</si>
  <si>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</si>
  <si>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</si>
  <si>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</si>
  <si>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</si>
  <si>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</si>
  <si>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</si>
  <si>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</si>
  <si>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</si>
  <si>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</si>
  <si>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</si>
  <si>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</si>
  <si>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</si>
  <si>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</si>
  <si>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</si>
  <si>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</si>
  <si>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</si>
  <si>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</si>
  <si>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</si>
  <si>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</si>
  <si>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</si>
  <si>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</si>
  <si>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</si>
  <si>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</si>
  <si>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</si>
  <si>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</si>
  <si>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</si>
  <si>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</si>
  <si>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</si>
  <si>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</si>
  <si>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</si>
  <si>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</si>
  <si>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</si>
  <si>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</si>
  <si>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</si>
  <si>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</si>
  <si>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</si>
  <si>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</si>
  <si>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</si>
  <si>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</si>
  <si>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</si>
  <si>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</si>
  <si>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</si>
  <si>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</si>
  <si>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</si>
  <si>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</si>
  <si>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</si>
  <si>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</si>
  <si>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</si>
  <si>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</si>
  <si>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</si>
  <si>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</si>
  <si>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</si>
  <si>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</si>
  <si>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</si>
  <si>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</si>
  <si>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</si>
  <si>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</si>
  <si>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</si>
  <si>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</si>
  <si>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</si>
  <si>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</si>
  <si>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</si>
  <si>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</si>
  <si>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</si>
  <si>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</si>
  <si>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</si>
  <si>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</si>
  <si>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</si>
  <si>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</si>
  <si>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</si>
  <si>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</si>
  <si>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</si>
  <si>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</si>
  <si>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</si>
  <si>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</si>
  <si>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</si>
  <si>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</si>
  <si>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</si>
  <si>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</si>
  <si>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</si>
  <si>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</si>
  <si>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</si>
  <si>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</si>
  <si>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</si>
  <si>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</si>
  <si>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</si>
  <si>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</si>
  <si>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</si>
  <si>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</si>
  <si>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</si>
  <si>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</si>
  <si>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</si>
  <si>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</si>
  <si>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</si>
  <si>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</si>
  <si>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</si>
  <si>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</si>
  <si>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</si>
  <si>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</si>
  <si>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</si>
  <si>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</si>
  <si>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</si>
  <si>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</si>
  <si>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</si>
  <si>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</si>
  <si>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</si>
  <si>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</si>
  <si>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</si>
  <si>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</si>
  <si>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</si>
  <si>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</si>
  <si>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</si>
  <si>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</si>
  <si>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</si>
  <si>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</si>
  <si>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</si>
  <si>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</si>
  <si>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</si>
  <si>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</si>
  <si>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</si>
  <si>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</si>
  <si>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</si>
  <si>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</si>
  <si>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</si>
  <si>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</si>
  <si>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</si>
  <si>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</si>
  <si>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</si>
  <si>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</si>
  <si>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</si>
  <si>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</si>
  <si>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</si>
  <si>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</si>
  <si>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</si>
  <si>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</si>
  <si>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</si>
  <si>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</si>
  <si>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</si>
  <si>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</si>
  <si>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</si>
  <si>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</si>
  <si>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</si>
  <si>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</si>
  <si>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</si>
  <si>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</si>
  <si>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</si>
  <si>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</si>
  <si>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</si>
  <si>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</si>
  <si>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</si>
  <si>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</si>
  <si>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</si>
  <si>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</si>
  <si>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</si>
  <si>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</si>
  <si>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</si>
  <si>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</si>
  <si>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</si>
  <si>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</si>
  <si>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</si>
  <si>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</si>
  <si>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</si>
  <si>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</si>
  <si>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</si>
  <si>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</si>
  <si>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</si>
  <si>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</si>
  <si>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</si>
  <si>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</si>
  <si>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</si>
  <si>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</si>
  <si>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</si>
  <si>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</si>
  <si>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</si>
  <si>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</si>
  <si>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</si>
  <si>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</si>
  <si>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</si>
  <si>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</si>
  <si>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</si>
  <si>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</si>
  <si>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</si>
  <si>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</si>
  <si>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</si>
  <si>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</si>
  <si>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</si>
  <si>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</si>
  <si>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</si>
  <si>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</si>
  <si>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</si>
  <si>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</si>
  <si>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</si>
  <si>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</si>
  <si>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</si>
  <si>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</si>
  <si>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</si>
  <si>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</si>
  <si>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</si>
  <si>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</si>
  <si>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</si>
  <si>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</si>
  <si>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</si>
  <si>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</si>
  <si>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</si>
  <si>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</si>
  <si>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</si>
  <si>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</si>
  <si>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</si>
  <si>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</si>
  <si>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</si>
  <si>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</si>
  <si>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</si>
  <si>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</si>
  <si>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</si>
  <si>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</si>
  <si>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</si>
  <si>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</si>
  <si>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</si>
  <si>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</si>
  <si>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</si>
  <si>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</si>
  <si>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</si>
  <si>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</si>
  <si>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</si>
  <si>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</si>
  <si>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</si>
  <si>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</si>
  <si>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</si>
  <si>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</si>
  <si>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</si>
  <si>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</si>
  <si>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</si>
  <si>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</si>
  <si>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</si>
  <si>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</si>
  <si>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</si>
  <si>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</si>
  <si>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</si>
  <si>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</si>
  <si>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</si>
  <si>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</si>
  <si>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</si>
  <si>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</si>
  <si>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</si>
  <si>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</si>
  <si>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</si>
  <si>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</si>
  <si>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</si>
  <si>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</si>
  <si>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</si>
  <si>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</si>
  <si>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</si>
  <si>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</si>
  <si>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</si>
  <si>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</si>
  <si>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</si>
  <si>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</si>
  <si>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</si>
  <si>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</si>
  <si>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</si>
  <si>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</si>
  <si>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</si>
  <si>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</si>
  <si>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</si>
  <si>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</si>
  <si>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</si>
  <si>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</si>
  <si>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</si>
  <si>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</si>
  <si>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</si>
  <si>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</si>
  <si>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</si>
  <si>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</si>
  <si>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</si>
  <si>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</si>
  <si>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</si>
  <si>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</si>
  <si>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</si>
  <si>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</si>
  <si>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</si>
  <si>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</si>
  <si>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</si>
  <si>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</si>
  <si>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</si>
  <si>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</si>
  <si>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</si>
  <si>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</si>
  <si>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</si>
  <si>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</si>
  <si>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</si>
  <si>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</si>
  <si>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</si>
  <si>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</si>
  <si>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</si>
  <si>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</si>
  <si>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</si>
  <si>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</si>
  <si>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</si>
  <si>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</si>
  <si>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</si>
  <si>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</si>
  <si>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</si>
  <si>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</si>
  <si>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</si>
  <si>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</si>
  <si>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</si>
  <si>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</si>
  <si>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</si>
  <si>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</si>
  <si>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</si>
  <si>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</si>
  <si>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</si>
  <si>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</si>
  <si>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</si>
  <si>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</si>
  <si>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</si>
  <si>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</si>
  <si>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</si>
  <si>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</si>
  <si>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</si>
  <si>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</si>
  <si>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</si>
  <si>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</si>
  <si>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</si>
  <si>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</si>
  <si>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</si>
  <si>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</si>
  <si>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</si>
  <si>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</si>
  <si>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</si>
  <si>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</si>
  <si>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</si>
  <si>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</si>
  <si>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</si>
  <si>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</si>
  <si>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</si>
  <si>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</si>
  <si>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</si>
  <si>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</si>
  <si>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</si>
  <si>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</si>
  <si>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</si>
  <si>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</si>
  <si>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</si>
  <si>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</si>
  <si>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</si>
  <si>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</si>
  <si>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</si>
  <si>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</si>
  <si>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</si>
  <si>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</si>
  <si>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</si>
  <si>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</si>
  <si>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</si>
  <si>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</si>
  <si>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</si>
  <si>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</si>
  <si>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</si>
  <si>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</si>
  <si>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</si>
  <si>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</si>
  <si>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</si>
  <si>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</si>
  <si>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</si>
  <si>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</si>
  <si>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</si>
  <si>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</si>
  <si>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</si>
  <si>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</si>
  <si>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</si>
  <si>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</si>
  <si>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</si>
  <si>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</si>
  <si>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</si>
  <si>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</si>
  <si>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</si>
  <si>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</si>
  <si>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</si>
  <si>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</si>
  <si>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</si>
  <si>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</si>
  <si>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</si>
  <si>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</si>
  <si>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</si>
  <si>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</si>
  <si>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</si>
  <si>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</si>
  <si>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</si>
  <si>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</si>
  <si>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Указать название организации (на бланке организации)</t>
  </si>
  <si>
    <t>{"estimateId":5190696,"estimateVersionId":7228107}</t>
  </si>
  <si>
    <t>10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</si>
  <si>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</si>
  <si>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</si>
  <si>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</si>
  <si>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</si>
  <si>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</si>
  <si>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</si>
  <si>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</si>
  <si>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</si>
  <si>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</si>
  <si>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</si>
  <si>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</si>
  <si>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</si>
  <si>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</si>
  <si>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</si>
  <si>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</si>
  <si>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</si>
  <si>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</si>
  <si>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</si>
  <si>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</si>
  <si>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</si>
  <si>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</si>
  <si>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</si>
  <si>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</si>
  <si>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</si>
  <si>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</si>
  <si>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</si>
  <si>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</si>
  <si>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</si>
  <si>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</si>
  <si>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</si>
  <si>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</si>
  <si>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</si>
  <si>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</si>
  <si>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</si>
  <si>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</si>
  <si>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</si>
  <si>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</si>
  <si>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</si>
  <si>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</si>
  <si>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</si>
  <si>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</si>
  <si>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</si>
  <si>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</si>
  <si>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</si>
  <si>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</si>
  <si>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</si>
  <si>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</si>
  <si>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</si>
  <si>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</si>
  <si>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</si>
  <si>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</si>
  <si>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</si>
  <si>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</si>
  <si>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</si>
  <si>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</si>
  <si>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</si>
  <si>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1.1.2.1.1.1.1.1.2</t>
  </si>
  <si>
    <t>Лист гипсокартонный_ / ГСП-А ПЛУК / 12,5 мм</t>
  </si>
  <si>
    <t>1.1.2.1.1.1.1.1.3</t>
  </si>
  <si>
    <t>Профиль_/стоечный/50*50*0,60/3м</t>
  </si>
  <si>
    <t>пог. м</t>
  </si>
  <si>
    <t>1.1.2.1.1.1.1.1.4</t>
  </si>
  <si>
    <t>Профиль_/направляющий/50*40*0,60/3м</t>
  </si>
  <si>
    <t>1.1.2.1.1.1.1.2</t>
  </si>
  <si>
    <t>1.1.2.1.1.1.1.2.1</t>
  </si>
  <si>
    <t>1.1.2.1.1.1.1.2.2</t>
  </si>
  <si>
    <t>1.1.2.1.1.1.1.2.3</t>
  </si>
  <si>
    <t>Гипсовые строительные плиты_ / влагостойкий / 12,5*1200*2500</t>
  </si>
  <si>
    <t>1.1.2.1.1.1.1.2.4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</si>
  <si>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</si>
  <si>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</si>
  <si>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</si>
  <si>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1.1.2.1.1.1.1.3.2</t>
  </si>
  <si>
    <t>1.1.2.1.1.1.1.3.3</t>
  </si>
  <si>
    <t>1.1.2.1.1.1.1.3.4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</si>
  <si>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</si>
  <si>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</si>
  <si>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</si>
  <si>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1.1.2.1.1.1.1.4.2</t>
  </si>
  <si>
    <t>1.1.2.1.1.1.1.4.3</t>
  </si>
  <si>
    <t>Плита КНАУФ-Файерборд</t>
  </si>
  <si>
    <t>1.1.2.1.1.1.1.4.4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</si>
  <si>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</si>
  <si>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</si>
  <si>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</si>
  <si>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</si>
  <si>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</si>
  <si>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</si>
  <si>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1.1.2.1.1.1.1.5.2</t>
  </si>
  <si>
    <t>Лист гипсокартонный_ / ГСП-Н2 ПЛУК / 12,5 мм</t>
  </si>
  <si>
    <t>1.1.2.1.1.1.1.5.3</t>
  </si>
  <si>
    <t>1.1.2.1.1.1.1.5.4</t>
  </si>
  <si>
    <t>Профиль_/направляющий/50*50*0,40/3м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</si>
  <si>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</si>
  <si>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</si>
  <si>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</si>
  <si>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1.1.2.1.1.1.1.6.2</t>
  </si>
  <si>
    <t>1.1.2.1.1.1.1.6.3</t>
  </si>
  <si>
    <t>Лист гипсоволокнистый ГВЛВ 12,5мм Г1</t>
  </si>
  <si>
    <t>1.1.2.1.1.1.1.6.4</t>
  </si>
  <si>
    <t>1.1.2.1.1.1.1.7</t>
  </si>
  <si>
    <t>6.2.2.4.2.4.2.4</t>
  </si>
  <si>
    <t>Облицовка стен по системе Knauf / С-626 / в 2 слоя / А-10, А-27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</si>
  <si>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</si>
  <si>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</si>
  <si>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1.1.2.1.1.1.1.7.2</t>
  </si>
  <si>
    <t>1.1.2.1.1.1.1.7.3</t>
  </si>
  <si>
    <t>1.1.2.1.1.1.1.7.4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</si>
  <si>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</si>
  <si>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</si>
  <si>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</si>
  <si>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1.1.2.1.1.1.1.8.2</t>
  </si>
  <si>
    <t>1.1.2.1.1.1.1.8.3</t>
  </si>
  <si>
    <t>1.1.2.1.1.1.1.8.4</t>
  </si>
  <si>
    <t>кг</t>
  </si>
  <si>
    <t>Смесь цементно-песчаная сухая_/М150</t>
  </si>
  <si>
    <t>м3</t>
  </si>
  <si>
    <t>Грунтовка _ / универсальная водно-дисперсионная</t>
  </si>
  <si>
    <t>шт</t>
  </si>
  <si>
    <t>Грунтовка универсальный ЛАСТИМИН_ / LP-51 А</t>
  </si>
  <si>
    <t>Затирка Цезерит СE33_/04 серебристо-серый</t>
  </si>
  <si>
    <t>Керамогранит Kerama Marazzi Колиано, арт. SG912900N, цвет серый светлый, размер 300*300 мм, толщина 8мм, матовый.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</si>
  <si>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</si>
  <si>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</si>
  <si>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</si>
  <si>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</si>
  <si>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</si>
  <si>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</si>
  <si>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</si>
  <si>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</si>
  <si>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</si>
  <si>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</si>
  <si>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</si>
  <si>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</si>
  <si>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1.1.3.1.1.2.1.1.1</t>
  </si>
  <si>
    <t>Шпатлевка гипсовая_ / белая / Унифицированная по ПИК-СТАНДАРТ, 30кг</t>
  </si>
  <si>
    <t>1.1.3.1.1.2.1.1.2</t>
  </si>
  <si>
    <t>Лента армирующая ( серпянка)_/150мм</t>
  </si>
  <si>
    <t>Ширина ленты 300 мм (по КЦ 150мм х2)</t>
  </si>
  <si>
    <t>1.1.3.1.1.2.1.2</t>
  </si>
  <si>
    <t>6.3.1.5.2.1.6.1</t>
  </si>
  <si>
    <t>Заделка отверстий в стенах в местах прохода коммуникаций / до 150 см2</t>
  </si>
  <si>
    <t>1.1.3.1.1.2.1.2.1</t>
  </si>
  <si>
    <t>Плита минераловатная_ / Урса П-30</t>
  </si>
  <si>
    <t>1.1.3.1.1.2.1.2.2</t>
  </si>
  <si>
    <t>1.1.3.1.1.2.1.3</t>
  </si>
  <si>
    <t>Подвал, 1, 2, 3 этажи.</t>
  </si>
  <si>
    <t>1.1.3.1.1.2.1.3.1</t>
  </si>
  <si>
    <t>1.1.3.1.1.2.1.3.2</t>
  </si>
  <si>
    <t>1.1.3.1.1.2.1.4</t>
  </si>
  <si>
    <t>6.3.1.5.2.1.8.5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</si>
  <si>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</si>
  <si>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1.1.3.1.1.2.1.4.1</t>
  </si>
  <si>
    <t>Шпатлевка цементная</t>
  </si>
  <si>
    <t>1.1.3.1.1.2.1.4.2</t>
  </si>
  <si>
    <t>Уголок малярный_ / L=3м /25х25 мм</t>
  </si>
  <si>
    <t>1.1.3.1.1.2.1.4.3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</si>
  <si>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</si>
  <si>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</si>
  <si>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</si>
  <si>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1.1.3.1.1.2.1.5.2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</si>
  <si>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</si>
  <si>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</si>
  <si>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</si>
  <si>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1.1.3.1.1.2.1.6.2</t>
  </si>
  <si>
    <t>1.1.3.1.1.2.1.6.3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</si>
  <si>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</si>
  <si>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</si>
  <si>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</si>
  <si>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1.1.3.1.1.2.1.7.2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</si>
  <si>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</si>
  <si>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</si>
  <si>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</si>
  <si>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</si>
  <si>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1.1.3.1.1.2.1.8.2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</si>
  <si>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</si>
  <si>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</si>
  <si>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</si>
  <si>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1.1.3.1.1.2.1.9.2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</si>
  <si>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</si>
  <si>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</si>
  <si>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</si>
  <si>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</si>
  <si>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</si>
  <si>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1.1.3.1.1.2.1.10.1</t>
  </si>
  <si>
    <t>Штукатурка цементная</t>
  </si>
  <si>
    <t>Штукатурка цементная STRUKTUR AKVATEK</t>
  </si>
  <si>
    <t>1.1.3.1.1.2.1.10.2</t>
  </si>
  <si>
    <t>1.1.3.1.1.2.1.10.3</t>
  </si>
  <si>
    <t>Профиль маячковый_/ПМ6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</si>
  <si>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</si>
  <si>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</si>
  <si>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</si>
  <si>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</si>
  <si>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1.1.3.1.1.2.1.11.1</t>
  </si>
  <si>
    <t>Штукатурка гипсовая_ / Унифицированная по ПИК-СТАНДАРТ, 30кг</t>
  </si>
  <si>
    <t>1.1.3.1.1.2.1.11.2</t>
  </si>
  <si>
    <t>1.1.3.1.1.2.1.11.3</t>
  </si>
  <si>
    <t>Грунтовка БЕТОН-КОНТАКТ_/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</si>
  <si>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</si>
  <si>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</si>
  <si>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</si>
  <si>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1.1.3.1.1.2.1.12.2</t>
  </si>
  <si>
    <t>1.1.3.1.1.2.1.12.3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</si>
  <si>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</si>
  <si>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</si>
  <si>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</si>
  <si>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</si>
  <si>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</si>
  <si>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</si>
  <si>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1.1.3.1.1.2.2.1.1</t>
  </si>
  <si>
    <t>Панель МДФ  / Kronostar дуб натуральный / 250*2600*7мм</t>
  </si>
  <si>
    <t>1.1.3.1.1.2.2.2</t>
  </si>
  <si>
    <t>1.1.3.1.1.2.2.2.1</t>
  </si>
  <si>
    <t>1.1.3.1.1.2.2.3</t>
  </si>
  <si>
    <t>1.1.3.1.1.2.2.3.1</t>
  </si>
  <si>
    <t>1.1.3.1.1.2.2.4</t>
  </si>
  <si>
    <t>1.1.3.1.1.2.2.4.1</t>
  </si>
  <si>
    <t>1.1.3.1.1.2.2.5</t>
  </si>
  <si>
    <t>1.1.3.1.1.2.2.5.1</t>
  </si>
  <si>
    <t>1.1.3.1.1.2.2.6</t>
  </si>
  <si>
    <t>1.1.3.1.1.2.2.6.1</t>
  </si>
  <si>
    <t>1.1.3.1.1.2.2.7</t>
  </si>
  <si>
    <t>1.1.3.1.1.2.2.7.1</t>
  </si>
  <si>
    <t>1.1.3.1.1.2.2.8</t>
  </si>
  <si>
    <t>1.1.3.1.1.2.2.8.1</t>
  </si>
  <si>
    <t>1.1.3.1.1.2.2.9</t>
  </si>
  <si>
    <t>1.1.3.1.1.2.2.9.1</t>
  </si>
  <si>
    <t>1.1.3.1.1.2.2.10</t>
  </si>
  <si>
    <t>1.1.3.1.1.2.2.10.1</t>
  </si>
  <si>
    <t>1.1.3.1.1.2.2.11</t>
  </si>
  <si>
    <t>1, 2, 3 этажи. Тип: FK7.1.</t>
  </si>
  <si>
    <t>1.1.3.1.1.2.2.11.1</t>
  </si>
  <si>
    <t>1.1.3.1.1.2.2.12</t>
  </si>
  <si>
    <t>1, 2, этажи. Тип: FK1.1</t>
  </si>
  <si>
    <t>1.1.3.1.1.2.2.12.1</t>
  </si>
  <si>
    <t>1.1.3.1.1.2.2.13</t>
  </si>
  <si>
    <t>1, 2, 3 этажи. Тип: FK7.2.</t>
  </si>
  <si>
    <t>1.1.3.1.1.2.2.13.1</t>
  </si>
  <si>
    <t>1.1.3.1.1.2.2.14</t>
  </si>
  <si>
    <t>2, 3 этажи. Тип: FK28</t>
  </si>
  <si>
    <t>1.1.3.1.1.2.2.14.1</t>
  </si>
  <si>
    <t>1.1.3.1.1.2.2.15</t>
  </si>
  <si>
    <t>1 этаж. Тип: FK25</t>
  </si>
  <si>
    <t>1.1.3.1.1.2.2.15.1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</si>
  <si>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</si>
  <si>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</si>
  <si>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</si>
  <si>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</si>
  <si>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</si>
  <si>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</si>
  <si>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1.1.3.1.1.2.2.18</t>
  </si>
  <si>
    <t>1.1.3.1.1.2.2.18.1</t>
  </si>
  <si>
    <t>1.1.3.1.1.2.2.19</t>
  </si>
  <si>
    <t>6.3.1.5.2.2.5.2</t>
  </si>
  <si>
    <t>Монтаж стеновых панелей / ПВХ</t>
  </si>
  <si>
    <t>1.1.3.1.1.2.2.19.1</t>
  </si>
  <si>
    <t xml:space="preserve">Панель ПВХ / 2700x375x5 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</si>
  <si>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</si>
  <si>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</si>
  <si>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</si>
  <si>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</si>
  <si>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1.1.3.1.1.2.2.21</t>
  </si>
  <si>
    <t>6.3.1.5.2.2.8.1</t>
  </si>
  <si>
    <t>Лакокрасочные работы СКБ / окраска стен / в 2 слоя</t>
  </si>
  <si>
    <t>1.1.3.1.1.2.2.21.1</t>
  </si>
  <si>
    <t>1.1.3.1.1.2.2.21.2</t>
  </si>
  <si>
    <t>Краска водно-дисперсионная Tikkurila_ / RAL 9003 / PROF EURO 20</t>
  </si>
  <si>
    <t>1.1.3.1.1.2.2.22</t>
  </si>
  <si>
    <t>1.1.3.1.1.2.2.22.1</t>
  </si>
  <si>
    <t>1.1.3.1.1.2.2.22.2</t>
  </si>
  <si>
    <t>1.1.3.1.1.2.2.23</t>
  </si>
  <si>
    <t>1.1.3.1.1.2.2.23.1</t>
  </si>
  <si>
    <t>1.1.3.1.1.2.2.23.2</t>
  </si>
  <si>
    <t>1.1.3.1.1.2.2.24</t>
  </si>
  <si>
    <t>1.1.3.1.1.2.2.24.1</t>
  </si>
  <si>
    <t>1.1.3.1.1.2.2.24.2</t>
  </si>
  <si>
    <t>1.1.3.1.1.2.2.25</t>
  </si>
  <si>
    <t>1.1.3.1.1.2.2.25.1</t>
  </si>
  <si>
    <t>1.1.3.1.1.2.2.25.2</t>
  </si>
  <si>
    <t>1.1.3.1.1.2.2.26</t>
  </si>
  <si>
    <t>1.1.3.1.1.2.2.26.1</t>
  </si>
  <si>
    <t>1.1.3.1.1.2.2.26.2</t>
  </si>
  <si>
    <t>1.1.3.1.1.2.2.27</t>
  </si>
  <si>
    <t>1.1.3.1.1.2.2.27.1</t>
  </si>
  <si>
    <t>1.1.3.1.1.2.2.27.2</t>
  </si>
  <si>
    <t>1.1.3.1.1.2.2.28</t>
  </si>
  <si>
    <t>1.1.3.1.1.2.2.28.1</t>
  </si>
  <si>
    <t>1.1.3.1.1.2.2.28.2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</si>
  <si>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</si>
  <si>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</si>
  <si>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</si>
  <si>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1.1.3.1.1.2.2.29.2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</si>
  <si>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</si>
  <si>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</si>
  <si>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</si>
  <si>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1.1.3.1.1.2.2.30.2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</si>
  <si>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</si>
  <si>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</si>
  <si>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</si>
  <si>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1.1.3.1.1.2.2.31.2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</si>
  <si>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</si>
  <si>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</si>
  <si>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</si>
  <si>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1.1.3.1.1.2.2.32.2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</si>
  <si>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</si>
  <si>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</si>
  <si>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</si>
  <si>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1.1.3.1.1.2.2.33.2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</si>
  <si>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</si>
  <si>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</si>
  <si>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</si>
  <si>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1.1.3.1.1.2.2.34.2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</si>
  <si>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</si>
  <si>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</si>
  <si>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</si>
  <si>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1.1.3.1.1.2.2.35.2</t>
  </si>
  <si>
    <t>1.1.3.1.1.2.2.36</t>
  </si>
  <si>
    <t>FK5.1, 1-3эт, Иллюстрация с предварительной окраской фона</t>
  </si>
  <si>
    <t>1.1.3.1.1.2.2.36.1</t>
  </si>
  <si>
    <t>1.1.3.1.1.2.2.36.2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</si>
  <si>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</si>
  <si>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</si>
  <si>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</si>
  <si>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</si>
  <si>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</si>
  <si>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1.1.3.1.1.2.2.37.2</t>
  </si>
  <si>
    <t>Prometeks AC-01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</si>
  <si>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</si>
  <si>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</si>
  <si>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</si>
  <si>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1.1.3.1.1.2.2.38.2</t>
  </si>
  <si>
    <t>Gutver Prometeks RAL 6021 (бледно-зеленый) - Матовая, КМ0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</si>
  <si>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</si>
  <si>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</si>
  <si>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</si>
  <si>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</si>
  <si>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1.1.3.1.1.2.2.39.2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</si>
  <si>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</si>
  <si>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</si>
  <si>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</si>
  <si>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1.1.3.1.1.2.2.40.2</t>
  </si>
  <si>
    <t>Gutver Prometeks RAL 6005 (зеленый мох) - Матовая, КМ0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</si>
  <si>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</si>
  <si>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</si>
  <si>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</si>
  <si>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</si>
  <si>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1.1.3.1.1.2.2.41.2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</si>
  <si>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</si>
  <si>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</si>
  <si>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</si>
  <si>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1.1.3.1.1.2.2.42.2</t>
  </si>
  <si>
    <t>Gutver Prometeks RAL5024 (голубой) - Матовая, КМ0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</si>
  <si>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</si>
  <si>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</si>
  <si>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</si>
  <si>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</si>
  <si>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1.1.3.1.1.2.2.43.2</t>
  </si>
  <si>
    <t>1.1.3.1.1.2.2.44</t>
  </si>
  <si>
    <t>6.3.1.5.2.2.8.3</t>
  </si>
  <si>
    <t>Лакокрасочные работы СКБ / окраска откосов / в 2 слоя</t>
  </si>
  <si>
    <t>1.1.3.1.1.2.2.44.1</t>
  </si>
  <si>
    <t>Краска Tikkurila Проф Евро 7 / RAL 9003</t>
  </si>
  <si>
    <t>1.1.3.1.1.2.2.44.2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</si>
  <si>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</si>
  <si>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</si>
  <si>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</si>
  <si>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1.1.3.1.1.2.2.45.2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</si>
  <si>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</si>
  <si>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</si>
  <si>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</si>
  <si>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</si>
  <si>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1.1.3.1.1.2.2.46.2</t>
  </si>
  <si>
    <t>1.1.3.1.1.2.2.47</t>
  </si>
  <si>
    <t>6.3.1.5.2.2.9.1</t>
  </si>
  <si>
    <t>1.1.3.1.1.2.2.47.1</t>
  </si>
  <si>
    <t>1.1.3.1.1.2.2.47.2</t>
  </si>
  <si>
    <t>1.1.3.1.1.2.2.47.3</t>
  </si>
  <si>
    <t>1.1.3.1.1.2.2.47.4</t>
  </si>
  <si>
    <t>Керамический гранит Kerama marazzi_ / Синий /  SG1547N /  200х200 мм</t>
  </si>
  <si>
    <t>1.1.3.1.1.2.2.48</t>
  </si>
  <si>
    <t>1.1.3.1.1.2.2.48.1</t>
  </si>
  <si>
    <t>Керамический гранит Kerama marazzi_ / Белый / 5009/ Калейдоскоп / 200х200</t>
  </si>
  <si>
    <t>1.1.3.1.1.2.2.48.2</t>
  </si>
  <si>
    <t>1.1.3.1.1.2.2.48.3</t>
  </si>
  <si>
    <t>1.1.3.1.1.2.2.48.4</t>
  </si>
  <si>
    <t>1.1.3.1.1.2.2.49</t>
  </si>
  <si>
    <t>1.1.3.1.1.2.2.49.1</t>
  </si>
  <si>
    <t>1.1.3.1.1.2.2.49.2</t>
  </si>
  <si>
    <t>1.1.3.1.1.2.2.49.3</t>
  </si>
  <si>
    <t>1.1.3.1.1.2.2.49.4</t>
  </si>
  <si>
    <t>1.1.3.1.1.2.2.50</t>
  </si>
  <si>
    <t>1.1.3.1.1.2.2.50.1</t>
  </si>
  <si>
    <t>1.1.3.1.1.2.2.50.2</t>
  </si>
  <si>
    <t>1.1.3.1.1.2.2.50.3</t>
  </si>
  <si>
    <t>1.1.3.1.1.2.2.50.4</t>
  </si>
  <si>
    <t>1.1.3.1.1.2.2.51</t>
  </si>
  <si>
    <t>1.1.3.1.1.2.2.51.1</t>
  </si>
  <si>
    <t>1.1.3.1.1.2.2.51.2</t>
  </si>
  <si>
    <t>1.1.3.1.1.2.2.51.3</t>
  </si>
  <si>
    <t>1.1.3.1.1.2.2.51.4</t>
  </si>
  <si>
    <t>1.1.3.1.1.2.2.52</t>
  </si>
  <si>
    <t>1.1.3.1.1.2.2.52.1</t>
  </si>
  <si>
    <t>1.1.3.1.1.2.2.52.2</t>
  </si>
  <si>
    <t>1.1.3.1.1.2.2.52.3</t>
  </si>
  <si>
    <t>1.1.3.1.1.2.2.52.4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</si>
  <si>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</si>
  <si>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</si>
  <si>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</si>
  <si>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</si>
  <si>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</si>
  <si>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1.1.3.1.1.2.2.53.2</t>
  </si>
  <si>
    <t>1.1.3.1.1.2.2.53.3</t>
  </si>
  <si>
    <t>1.1.3.1.1.2.2.53.4</t>
  </si>
  <si>
    <t>Kerama Marazzi 8000N Белое солнце 20x30, белая, глянцевая, моноколор.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</si>
  <si>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</si>
  <si>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</si>
  <si>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</si>
  <si>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1.1.3.1.1.2.2.54.2</t>
  </si>
  <si>
    <t>Клей для плитки Knauf Флизен серый класс C0 25 кг</t>
  </si>
  <si>
    <t>1.1.3.1.1.2.2.54.3</t>
  </si>
  <si>
    <t>1.1.3.1.1.2.2.54.4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</si>
  <si>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</si>
  <si>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</si>
  <si>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</si>
  <si>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1.1.3.1.1.2.2.55.2</t>
  </si>
  <si>
    <t>1.1.3.1.1.2.2.55.3</t>
  </si>
  <si>
    <t>1.1.3.1.1.2.2.55.4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</si>
  <si>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</si>
  <si>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</si>
  <si>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</si>
  <si>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1.1.3.1.1.2.2.56.2</t>
  </si>
  <si>
    <t>1.1.3.1.1.2.2.56.3</t>
  </si>
  <si>
    <t>1.1.3.1.1.2.2.56.4</t>
  </si>
  <si>
    <t>1.1.3.1.1.2.2.57</t>
  </si>
  <si>
    <t>6.3.1.5.2.2.9.2</t>
  </si>
  <si>
    <t>1.1.3.1.1.2.2.57.1</t>
  </si>
  <si>
    <t>Плитка керамогранитная_ / AG23 / Estima / 600х600х10 мм</t>
  </si>
  <si>
    <t>1.1.3.1.1.2.2.57.2</t>
  </si>
  <si>
    <t>1.1.3.1.1.2.2.57.3</t>
  </si>
  <si>
    <t>1.1.3.1.1.2.2.57.4</t>
  </si>
  <si>
    <t>1.1.3.1.1.2.2.58</t>
  </si>
  <si>
    <t>1.1.3.1.1.2.2.58.1</t>
  </si>
  <si>
    <t>1.1.3.1.1.2.2.58.2</t>
  </si>
  <si>
    <t>1.1.3.1.1.2.2.58.3</t>
  </si>
  <si>
    <t>1.1.3.1.1.2.2.58.4</t>
  </si>
  <si>
    <t>1.1.3.1.1.2.2.59</t>
  </si>
  <si>
    <t>1.1.3.1.1.2.2.59.1</t>
  </si>
  <si>
    <t>1.1.3.1.1.2.2.59.2</t>
  </si>
  <si>
    <t>1.1.3.1.1.2.2.59.3</t>
  </si>
  <si>
    <t>1.1.3.1.1.2.2.59.4</t>
  </si>
  <si>
    <t>1.1.3.1.1.2.2.60</t>
  </si>
  <si>
    <t>1.1.3.1.1.2.2.60.1</t>
  </si>
  <si>
    <t>1.1.3.1.1.2.2.60.2</t>
  </si>
  <si>
    <t>1.1.3.1.1.2.2.60.3</t>
  </si>
  <si>
    <t>1.1.3.1.1.2.2.60.4</t>
  </si>
  <si>
    <t>1.1.3.1.1.2.2.61</t>
  </si>
  <si>
    <t>1.1.3.1.1.2.2.61.1</t>
  </si>
  <si>
    <t>Керамогранит Грани Таганая Профи, арт. GT079M, цвет зеленый чай, размер 600*600 мм, толщина 10мм, матовый.</t>
  </si>
  <si>
    <t>1.1.3.1.1.2.2.61.2</t>
  </si>
  <si>
    <t>1.1.3.1.1.2.2.61.3</t>
  </si>
  <si>
    <t>1.1.3.1.1.2.2.61.4</t>
  </si>
  <si>
    <t>1.1.3.1.1.2.2.62</t>
  </si>
  <si>
    <t>1.1.3.1.1.2.2.62.1</t>
  </si>
  <si>
    <t>1.1.3.1.1.2.2.62.2</t>
  </si>
  <si>
    <t>1.1.3.1.1.2.2.62.3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</si>
  <si>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</si>
  <si>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</si>
  <si>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1.1.3.1.1.2.2.63</t>
  </si>
  <si>
    <t>1.1.3.1.1.2.2.63.1</t>
  </si>
  <si>
    <t>1.1.3.1.1.2.2.63.2</t>
  </si>
  <si>
    <t>1.1.3.1.1.2.2.63.3</t>
  </si>
  <si>
    <t>1.1.3.1.1.2.2.63.4</t>
  </si>
  <si>
    <t>1.1.3.1.1.2.2.64</t>
  </si>
  <si>
    <t>1.1.3.1.1.2.2.64.1</t>
  </si>
  <si>
    <t>1.1.3.1.1.2.2.64.2</t>
  </si>
  <si>
    <t>1.1.3.1.1.2.2.64.3</t>
  </si>
  <si>
    <t>1.1.3.1.1.2.2.64.4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</si>
  <si>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</si>
  <si>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</si>
  <si>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</si>
  <si>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1.1.3.1.1.2.2.65.2</t>
  </si>
  <si>
    <t>1.1.3.1.1.2.2.65.3</t>
  </si>
  <si>
    <t>1.1.3.1.1.2.2.65.4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</si>
  <si>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</si>
  <si>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</si>
  <si>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</si>
  <si>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1.1.3.1.1.2.2.66.2</t>
  </si>
  <si>
    <t>1.1.3.1.1.2.2.66.3</t>
  </si>
  <si>
    <t>1.1.3.1.1.2.2.66.4</t>
  </si>
  <si>
    <t>Плитка керамогранитная_ / RW03 / Estima / 600х600х10 мм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</si>
  <si>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</si>
  <si>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</si>
  <si>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</si>
  <si>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1.1.3.1.1.2.2.67.2</t>
  </si>
  <si>
    <t>1.1.3.1.1.2.2.67.3</t>
  </si>
  <si>
    <t>1.1.3.1.1.2.2.67.4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</si>
  <si>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</si>
  <si>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</si>
  <si>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</si>
  <si>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1.1.3.1.1.2.2.68.2</t>
  </si>
  <si>
    <t>1.1.3.1.1.2.2.68.3</t>
  </si>
  <si>
    <t>1.1.3.1.1.2.2.68.4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</si>
  <si>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</si>
  <si>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</si>
  <si>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</si>
  <si>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</si>
  <si>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</si>
  <si>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</si>
  <si>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</si>
  <si>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1.1.3.1.1.2.3.1.1</t>
  </si>
  <si>
    <t>Штукатурка гипсовая_ / Унифицированная по ПИК-СТАНДАРТ, 30кг (BIM)</t>
  </si>
  <si>
    <t>1.1.3.1.1.2.3.1.2</t>
  </si>
  <si>
    <t>Сетка стеклотканевая 120г/м2, ячейка 5х5мм</t>
  </si>
  <si>
    <t>1.1.3.1.1.2.3.1.3</t>
  </si>
  <si>
    <t>Профиль маячковый_/ПМ10</t>
  </si>
  <si>
    <t>1.1.3.1.1.2.3.1.4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</si>
  <si>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</si>
  <si>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</si>
  <si>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</si>
  <si>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1.1.3.1.1.2.3.2.2</t>
  </si>
  <si>
    <t>1.1.3.1.1.2.3.2.3</t>
  </si>
  <si>
    <t>1.1.3.1.1.2.3.2.4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</si>
  <si>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</si>
  <si>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</si>
  <si>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</si>
  <si>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</si>
  <si>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1.1.3.1.1.2.3.3.2</t>
  </si>
  <si>
    <t>1.1.3.1.1.2.3.3.3</t>
  </si>
  <si>
    <t>1.1.3.1.1.2.3.3.4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</si>
  <si>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</si>
  <si>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</si>
  <si>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</si>
  <si>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1.1.3.1.1.2.3.4.2</t>
  </si>
  <si>
    <t>1.1.3.1.1.2.3.4.3</t>
  </si>
  <si>
    <t>1.1.3.1.1.2.3.4.4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</si>
  <si>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</si>
  <si>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</si>
  <si>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</si>
  <si>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1.1.3.1.1.2.3.5.2</t>
  </si>
  <si>
    <t>1.1.3.1.1.2.3.5.3</t>
  </si>
  <si>
    <t>1.1.3.1.1.2.3.5.4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</si>
  <si>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</si>
  <si>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</si>
  <si>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</si>
  <si>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1.1.3.1.1.2.3.6.2</t>
  </si>
  <si>
    <t>1.1.3.1.1.2.3.6.3</t>
  </si>
  <si>
    <t>1.1.3.1.1.2.3.6.4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</si>
  <si>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</si>
  <si>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</si>
  <si>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</si>
  <si>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</si>
  <si>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1.1.3.1.1.2.3.7.2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</si>
  <si>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</si>
  <si>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</si>
  <si>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</si>
  <si>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1.1.3.1.1.2.3.8.2</t>
  </si>
  <si>
    <t>1.1.3.1.1.2.3.8.3</t>
  </si>
  <si>
    <t>1.1.3.1.1.2.3.8.4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</si>
  <si>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</si>
  <si>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</si>
  <si>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</si>
  <si>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</si>
  <si>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1.1.3.1.1.2.3.9.1</t>
  </si>
  <si>
    <t>1.1.3.1.1.2.3.9.2</t>
  </si>
  <si>
    <t>1.1.3.1.1.2.3.9.3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</si>
  <si>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</si>
  <si>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</si>
  <si>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</si>
  <si>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1.1.3.1.1.2.3.10.2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</si>
  <si>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</si>
  <si>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</si>
  <si>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</si>
  <si>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</si>
  <si>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</si>
  <si>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</si>
  <si>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</si>
  <si>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1.1.3.1.1.2.3.13</t>
  </si>
  <si>
    <t>6.3.1.5.2.3.9.2</t>
  </si>
  <si>
    <t>Зашивка приборов отопления / ГВЛВ / в 2 слоя на каркасе</t>
  </si>
  <si>
    <t>1.1.3.1.1.2.3.13.1</t>
  </si>
  <si>
    <t>Угол пластиковый_/10*15*2,5м</t>
  </si>
  <si>
    <t>1.1.3.1.1.2.3.13.2</t>
  </si>
  <si>
    <t>Профиль_/стоечный/50*50*0,40/3м</t>
  </si>
  <si>
    <t>1.1.3.1.1.2.3.13.3</t>
  </si>
  <si>
    <t>1.1.3.1.1.2.3.13.4</t>
  </si>
  <si>
    <t>Плита Кнауф Файерборд_ / 2500х1200х12.5 м</t>
  </si>
  <si>
    <t>1.1.3.1.1.2.3.14</t>
  </si>
  <si>
    <t>1.1.3.1.1.2.3.14.1</t>
  </si>
  <si>
    <t>1.1.3.1.1.2.3.14.2</t>
  </si>
  <si>
    <t>1.1.3.1.1.2.3.14.3</t>
  </si>
  <si>
    <t>1.1.3.1.1.2.3.14.4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</si>
  <si>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</si>
  <si>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</si>
  <si>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</si>
  <si>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1.1.3.1.1.2.3.15.2</t>
  </si>
  <si>
    <t>1.1.3.1.1.2.3.15.3</t>
  </si>
  <si>
    <t>1.1.3.1.1.2.3.15.4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</si>
  <si>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</si>
  <si>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</si>
  <si>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</si>
  <si>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1.1.3.1.1.2.3.16.2</t>
  </si>
  <si>
    <t>1.1.3.1.1.2.3.16.3</t>
  </si>
  <si>
    <t>1.1.3.1.1.2.3.16.4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</si>
  <si>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</si>
  <si>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</si>
  <si>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</si>
  <si>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</si>
  <si>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</si>
  <si>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</si>
  <si>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</si>
  <si>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</si>
  <si>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</si>
  <si>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</si>
  <si>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</si>
  <si>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</si>
  <si>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</si>
  <si>
    <t>высота</t>
  </si>
  <si>
    <t>длина</t>
  </si>
  <si>
    <t>№ 
пом.</t>
  </si>
  <si>
    <t>Площадь,
м2.</t>
  </si>
  <si>
    <t>3 этаж. 
Тип: FK4</t>
  </si>
  <si>
    <t>Сумма:</t>
  </si>
  <si>
    <t>Гипсовая по бетону + Бетонконтакт, м2</t>
  </si>
  <si>
    <t>Гипсовая по Блоку ячеистому, кирпичу и ПГП + Грунт глубокого проникновения, м2</t>
  </si>
  <si>
    <t>Гипсовая по блоку, кирпичу и ПГП + грунт глубокого проникновения, м2</t>
  </si>
  <si>
    <t>Цементная + Грунт глубокого проникновения (по бетону, блоку ячеистому и ПГП под плитку), м2</t>
  </si>
  <si>
    <t xml:space="preserve">Штукатурка стен  </t>
  </si>
  <si>
    <t>Штукатурка колонн и простенков до 500 мм</t>
  </si>
  <si>
    <t>1 этаж</t>
  </si>
  <si>
    <t>2 этаж</t>
  </si>
  <si>
    <t>3 этаж</t>
  </si>
  <si>
    <r>
      <rPr>
        <b/>
        <sz val="12"/>
        <rFont val="ГОСТ тип А"/>
        <family val="2"/>
        <charset val="204"/>
      </rPr>
      <t xml:space="preserve">Гипсовая </t>
    </r>
    <r>
      <rPr>
        <sz val="12"/>
        <rFont val="ГОСТ тип А"/>
        <family val="2"/>
        <charset val="204"/>
      </rPr>
      <t xml:space="preserve">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</si>
  <si>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 ячеистому, кирпичу и ПГП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</si>
  <si>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Цементная</t>
    </r>
    <r>
      <rPr>
        <sz val="12"/>
        <rFont val="ГОСТ тип А"/>
        <family val="2"/>
        <charset val="204"/>
      </rPr>
      <t xml:space="preserve"> + </t>
    </r>
    <r>
      <rPr>
        <b/>
        <sz val="12"/>
        <rFont val="ГОСТ тип А"/>
        <family val="2"/>
        <charset val="204"/>
      </rPr>
      <t>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плитку),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</si>
  <si>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бетону + </t>
    </r>
    <r>
      <rPr>
        <b/>
        <sz val="12"/>
        <rFont val="ГОСТ тип А"/>
        <family val="2"/>
        <charset val="204"/>
      </rPr>
      <t>Бетонконтакт</t>
    </r>
    <r>
      <rPr>
        <sz val="12"/>
        <rFont val="ГОСТ тип А"/>
        <family val="2"/>
        <charset val="204"/>
      </rPr>
      <t>, м2</t>
    </r>
  </si>
  <si>
    <r>
      <rPr>
        <b/>
        <sz val="12"/>
        <rFont val="ГОСТ тип А"/>
        <family val="2"/>
        <charset val="204"/>
      </rPr>
      <t>Гипсовая</t>
    </r>
    <r>
      <rPr>
        <sz val="12"/>
        <rFont val="ГОСТ тип А"/>
        <family val="2"/>
        <charset val="204"/>
      </rPr>
      <t xml:space="preserve"> по блоку, кирпичу и ПГП + грунт глубокого проникновения, м2</t>
    </r>
  </si>
  <si>
    <r>
      <rPr>
        <b/>
        <sz val="12"/>
        <rFont val="ГОСТ тип А"/>
        <family val="2"/>
        <charset val="204"/>
      </rPr>
      <t>Цементная + Грунт глубокого проникновения</t>
    </r>
    <r>
      <rPr>
        <sz val="12"/>
        <rFont val="ГОСТ тип А"/>
        <family val="2"/>
        <charset val="204"/>
      </rPr>
      <t xml:space="preserve"> (по бетону, блоку ячеистому и ПГП под плитку, м2</t>
    </r>
  </si>
  <si>
    <t>№ п.п</t>
  </si>
  <si>
    <t>№ пом</t>
  </si>
  <si>
    <t>Объем, м2:</t>
  </si>
  <si>
    <t>ММП(1.04)</t>
  </si>
  <si>
    <t>3.22</t>
  </si>
  <si>
    <t>Ремонт гипсовой шпаклевки стен, колонн, простенок ш. до 500 мм. Базовый слой 2 мм.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</si>
  <si>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</si>
  <si>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</si>
  <si>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</si>
  <si>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</si>
  <si>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</si>
  <si>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</si>
  <si>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</si>
  <si>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</si>
  <si>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</si>
  <si>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</si>
  <si>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</si>
  <si>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</si>
  <si>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</si>
  <si>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</si>
  <si>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</si>
  <si>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</si>
  <si>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</si>
  <si>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</si>
  <si>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</si>
  <si>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</si>
  <si>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</si>
  <si>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</si>
  <si>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</si>
  <si>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</si>
  <si>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</si>
  <si>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</si>
  <si>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</si>
  <si>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53</t>
  </si>
  <si>
    <t>54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</si>
  <si>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</si>
  <si>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</si>
  <si>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</si>
  <si>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</si>
  <si>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</si>
  <si>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</si>
  <si>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</si>
  <si>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</si>
  <si>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</si>
  <si>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</si>
  <si>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</si>
  <si>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55</t>
  </si>
  <si>
    <t>56</t>
  </si>
  <si>
    <t>57</t>
  </si>
  <si>
    <t>58</t>
  </si>
  <si>
    <t>4</t>
  </si>
  <si>
    <t>5</t>
  </si>
  <si>
    <t>7</t>
  </si>
  <si>
    <t>8</t>
  </si>
  <si>
    <t>9</t>
  </si>
  <si>
    <t>11</t>
  </si>
  <si>
    <t>12</t>
  </si>
  <si>
    <t>13</t>
  </si>
  <si>
    <t>14</t>
  </si>
  <si>
    <t>Ремонт гипсовой шпаклевки откосов. Базовый слой 2 мм.</t>
  </si>
  <si>
    <t>Ремонт гипсовой шпаклевки откосов. Финишный слой.</t>
  </si>
  <si>
    <t>Ремонт гипсовой шпаклевки стен, колонн, простенок ш. до 500 мм. Финишный слой.</t>
  </si>
  <si>
    <t xml:space="preserve">Пом. </t>
  </si>
  <si>
    <t>Шпаклевка, шлифовка</t>
  </si>
  <si>
    <t>Покраска</t>
  </si>
  <si>
    <t>Демонтаж шпаклевки.</t>
  </si>
  <si>
    <t>Покраска стен 2 слоя</t>
  </si>
  <si>
    <t>Подготовка поверхности СКБ / стен / ЖБ /
Ремонт гипсовой шпаклевки откосов. Финишный слой 5 мм.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</si>
</sst>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"/>
    <numFmt numFmtId="165" formatCode="#,##0.000"/>
  </numFmts>
  <fonts count="47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  <font>
      <sz val="10"/>
      <color rgb="FF000000"/>
      <name val="Times New Roman"/>
      <family val="1"/>
      <charset val="204"/>
    </font>
    <font>
      <b/>
      <sz val="14"/>
      <color theme="4" tint="-0.249977111117893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2F5487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8" tint="0.79998168889431442"/>
        <bgColor indexed="64"/>
      </patternFill>
    </fill>
  </fills>
  <borders count="4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7" fillId="0" borderId="0"/>
    <xf numFmtId="43" fontId="39" fillId="0" borderId="0" applyFont="0" applyFill="0" applyBorder="0" applyAlignment="0" applyProtection="0"/>
    <xf numFmtId="0" fontId="1" fillId="0" borderId="0"/>
  </cellStyleXfs>
  <cellXfs count="464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4" fillId="0" borderId="4" xfId="0" applyNumberFormat="1" applyFont="1" applyFill="1" applyBorder="1" applyAlignment="1">
      <alignment horizontal="center" vertical="center" shrinkToFit="1"/>
    </xf>
    <xf numFmtId="0" fontId="3" fillId="0" borderId="4" xfId="0" applyFont="1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4" fillId="0" borderId="5" xfId="0" applyNumberFormat="1" applyFont="1" applyFill="1" applyBorder="1" applyAlignment="1">
      <alignment horizontal="left" vertical="center" indent="2" shrinkToFit="1"/>
    </xf>
    <xf numFmtId="164" fontId="4" fillId="0" borderId="7" xfId="0" applyNumberFormat="1" applyFont="1" applyFill="1" applyBorder="1" applyAlignment="1">
      <alignment horizontal="left" vertical="center" indent="2" shrinkToFit="1"/>
    </xf>
    <xf numFmtId="0" fontId="3" fillId="0" borderId="5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10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3" xfId="0" applyNumberFormat="1" applyFont="1" applyFill="1" applyBorder="1" applyAlignment="1">
      <alignment horizontal="center" vertical="center" shrinkToFit="1"/>
    </xf>
    <xf numFmtId="164" fontId="4" fillId="0" borderId="15" xfId="0" applyNumberFormat="1" applyFont="1" applyFill="1" applyBorder="1" applyAlignment="1">
      <alignment horizontal="center" vertical="center" shrinkToFit="1"/>
    </xf>
    <xf numFmtId="164" fontId="4" fillId="0" borderId="1" xfId="0" applyNumberFormat="1" applyFont="1" applyFill="1" applyBorder="1" applyAlignment="1">
      <alignment horizontal="center" vertical="center" shrinkToFit="1"/>
    </xf>
    <xf numFmtId="0" fontId="3" fillId="0" borderId="11" xfId="0" applyFont="1" applyFill="1" applyBorder="1" applyAlignment="1">
      <alignment horizontal="left" vertical="center" wrapText="1"/>
    </xf>
    <xf numFmtId="0" fontId="3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4" fillId="0" borderId="11" xfId="0" applyNumberFormat="1" applyFont="1" applyFill="1" applyBorder="1" applyAlignment="1">
      <alignment horizontal="left" vertical="center" indent="2" shrinkToFit="1"/>
    </xf>
    <xf numFmtId="164" fontId="4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center" vertical="center" shrinkToFit="1"/>
    </xf>
    <xf numFmtId="164" fontId="4" fillId="0" borderId="2" xfId="0" applyNumberFormat="1" applyFont="1" applyFill="1" applyBorder="1" applyAlignment="1">
      <alignment horizontal="center" vertical="center" shrinkToFit="1"/>
    </xf>
    <xf numFmtId="0" fontId="3" fillId="0" borderId="14" xfId="0" applyFont="1" applyFill="1" applyBorder="1" applyAlignment="1">
      <alignment horizontal="left" vertical="center" wrapText="1"/>
    </xf>
    <xf numFmtId="164" fontId="4" fillId="0" borderId="14" xfId="0" applyNumberFormat="1" applyFont="1" applyFill="1" applyBorder="1" applyAlignment="1">
      <alignment horizontal="left" vertical="center" indent="2" shrinkToFit="1"/>
    </xf>
    <xf numFmtId="164" fontId="4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4" fillId="0" borderId="4" xfId="0" applyNumberFormat="1" applyFont="1" applyFill="1" applyBorder="1" applyAlignment="1">
      <alignment horizontal="right" vertical="center" indent="3" shrinkToFit="1"/>
    </xf>
    <xf numFmtId="164" fontId="4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3" fillId="0" borderId="9" xfId="0" applyFont="1" applyFill="1" applyBorder="1" applyAlignment="1">
      <alignment horizontal="center" vertical="top" wrapText="1"/>
    </xf>
    <xf numFmtId="0" fontId="3" fillId="0" borderId="9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3" fillId="0" borderId="9" xfId="0" applyFont="1" applyFill="1" applyBorder="1" applyAlignment="1">
      <alignment horizontal="center" vertical="center" wrapText="1"/>
    </xf>
    <xf numFmtId="164" fontId="4" fillId="0" borderId="9" xfId="0" applyNumberFormat="1" applyFont="1" applyFill="1" applyBorder="1" applyAlignment="1">
      <alignment horizontal="right" vertical="center" indent="2" shrinkToFit="1"/>
    </xf>
    <xf numFmtId="164" fontId="4" fillId="0" borderId="14" xfId="0" applyNumberFormat="1" applyFont="1" applyFill="1" applyBorder="1" applyAlignment="1">
      <alignment horizontal="left" vertical="top" indent="2" shrinkToFit="1"/>
    </xf>
    <xf numFmtId="164" fontId="4" fillId="0" borderId="2" xfId="0" applyNumberFormat="1" applyFont="1" applyFill="1" applyBorder="1" applyAlignment="1">
      <alignment horizontal="left" vertical="top" indent="2" shrinkToFit="1"/>
    </xf>
    <xf numFmtId="0" fontId="3" fillId="0" borderId="14" xfId="0" applyFont="1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right" vertical="top" indent="2" shrinkToFit="1"/>
    </xf>
    <xf numFmtId="164" fontId="4" fillId="0" borderId="14" xfId="0" applyNumberFormat="1" applyFont="1" applyFill="1" applyBorder="1" applyAlignment="1">
      <alignment horizontal="center" vertical="top" shrinkToFit="1"/>
    </xf>
    <xf numFmtId="164" fontId="4" fillId="0" borderId="2" xfId="0" applyNumberFormat="1" applyFont="1" applyFill="1" applyBorder="1" applyAlignment="1">
      <alignment horizontal="center" vertical="top" shrinkToFit="1"/>
    </xf>
    <xf numFmtId="164" fontId="4" fillId="0" borderId="9" xfId="0" applyNumberFormat="1" applyFont="1" applyFill="1" applyBorder="1" applyAlignment="1">
      <alignment horizontal="right" vertical="center" indent="3" shrinkToFit="1"/>
    </xf>
    <xf numFmtId="0" fontId="3" fillId="0" borderId="9" xfId="0" applyFont="1" applyFill="1" applyBorder="1" applyAlignment="1">
      <alignment horizontal="center" wrapText="1"/>
    </xf>
    <xf numFmtId="164" fontId="4" fillId="0" borderId="9" xfId="0" applyNumberFormat="1" applyFont="1" applyFill="1" applyBorder="1" applyAlignment="1">
      <alignment horizontal="right" indent="3" shrinkToFit="1"/>
    </xf>
    <xf numFmtId="0" fontId="3" fillId="0" borderId="9" xfId="0" applyFont="1" applyFill="1" applyBorder="1" applyAlignment="1">
      <alignment horizontal="left" wrapText="1"/>
    </xf>
    <xf numFmtId="164" fontId="4" fillId="0" borderId="9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center" shrinkToFit="1"/>
    </xf>
    <xf numFmtId="164" fontId="4" fillId="0" borderId="2" xfId="0" applyNumberFormat="1" applyFont="1" applyFill="1" applyBorder="1" applyAlignment="1">
      <alignment horizontal="center" shrinkToFit="1"/>
    </xf>
    <xf numFmtId="164" fontId="4" fillId="0" borderId="14" xfId="0" applyNumberFormat="1" applyFont="1" applyFill="1" applyBorder="1" applyAlignment="1">
      <alignment horizontal="left" indent="2" shrinkToFit="1"/>
    </xf>
    <xf numFmtId="164" fontId="4" fillId="0" borderId="9" xfId="0" applyNumberFormat="1" applyFont="1" applyFill="1" applyBorder="1" applyAlignment="1">
      <alignment horizontal="right" indent="2" shrinkToFit="1"/>
    </xf>
    <xf numFmtId="164" fontId="4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2" fillId="0" borderId="5" xfId="0" applyFont="1" applyFill="1" applyBorder="1" applyAlignment="1">
      <alignment horizontal="center" vertical="top" wrapText="1"/>
    </xf>
    <xf numFmtId="0" fontId="2" fillId="0" borderId="7" xfId="0" applyFont="1" applyFill="1" applyBorder="1" applyAlignment="1">
      <alignment horizontal="center" vertical="top" wrapText="1"/>
    </xf>
    <xf numFmtId="164" fontId="4" fillId="0" borderId="5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6" xfId="0" applyNumberFormat="1" applyFont="1" applyFill="1" applyBorder="1" applyAlignment="1">
      <alignment horizontal="left" vertical="center" indent="2" shrinkToFit="1"/>
    </xf>
    <xf numFmtId="164" fontId="4" fillId="0" borderId="11" xfId="0" applyNumberFormat="1" applyFont="1" applyFill="1" applyBorder="1" applyAlignment="1">
      <alignment horizontal="center" vertical="center" shrinkToFit="1"/>
    </xf>
    <xf numFmtId="164" fontId="4" fillId="0" borderId="12" xfId="0" applyNumberFormat="1" applyFont="1" applyFill="1" applyBorder="1" applyAlignment="1">
      <alignment horizontal="center" vertical="center" shrinkToFit="1"/>
    </xf>
    <xf numFmtId="164" fontId="4" fillId="0" borderId="3" xfId="0" applyNumberFormat="1" applyFont="1" applyFill="1" applyBorder="1" applyAlignment="1">
      <alignment horizontal="center" vertical="center" shrinkToFit="1"/>
    </xf>
    <xf numFmtId="164" fontId="4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3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horizontal="center" vertical="center" shrinkToFit="1"/>
    </xf>
    <xf numFmtId="0" fontId="3" fillId="0" borderId="16" xfId="0" applyFont="1" applyFill="1" applyBorder="1" applyAlignment="1">
      <alignment horizontal="left" vertical="center" wrapText="1"/>
    </xf>
    <xf numFmtId="164" fontId="4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3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4" fillId="0" borderId="16" xfId="0" applyNumberFormat="1" applyFont="1" applyFill="1" applyBorder="1" applyAlignment="1">
      <alignment horizontal="left" vertical="center" indent="2" shrinkToFit="1"/>
    </xf>
    <xf numFmtId="0" fontId="3" fillId="0" borderId="16" xfId="0" applyFont="1" applyFill="1" applyBorder="1" applyAlignment="1">
      <alignment horizontal="left" vertical="top" wrapText="1"/>
    </xf>
    <xf numFmtId="164" fontId="4" fillId="0" borderId="16" xfId="0" applyNumberFormat="1" applyFont="1" applyFill="1" applyBorder="1" applyAlignment="1">
      <alignment horizontal="center" vertical="top" shrinkToFit="1"/>
    </xf>
    <xf numFmtId="164" fontId="4" fillId="0" borderId="16" xfId="0" applyNumberFormat="1" applyFont="1" applyFill="1" applyBorder="1" applyAlignment="1">
      <alignment horizontal="left" vertical="top" indent="2" shrinkToFit="1"/>
    </xf>
    <xf numFmtId="164" fontId="4" fillId="0" borderId="16" xfId="0" applyNumberFormat="1" applyFont="1" applyFill="1" applyBorder="1" applyAlignment="1">
      <alignment horizontal="right" vertical="center" indent="2" shrinkToFit="1"/>
    </xf>
    <xf numFmtId="164" fontId="4" fillId="0" borderId="16" xfId="0" applyNumberFormat="1" applyFont="1" applyFill="1" applyBorder="1" applyAlignment="1">
      <alignment horizontal="right" vertical="center" indent="3" shrinkToFit="1"/>
    </xf>
    <xf numFmtId="0" fontId="2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164" fontId="4" fillId="0" borderId="8" xfId="0" applyNumberFormat="1" applyFont="1" applyFill="1" applyBorder="1" applyAlignment="1">
      <alignment horizontal="center" vertical="center" shrinkToFit="1"/>
    </xf>
    <xf numFmtId="164" fontId="4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3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4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3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4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4" fillId="0" borderId="9" xfId="0" applyNumberFormat="1" applyFont="1" applyFill="1" applyBorder="1" applyAlignment="1">
      <alignment vertical="top" shrinkToFit="1"/>
    </xf>
    <xf numFmtId="0" fontId="3" fillId="0" borderId="9" xfId="0" applyFont="1" applyFill="1" applyBorder="1" applyAlignment="1">
      <alignment vertical="top" wrapText="1"/>
    </xf>
    <xf numFmtId="0" fontId="12" fillId="0" borderId="9" xfId="0" applyFont="1" applyFill="1" applyBorder="1" applyAlignment="1">
      <alignment horizontal="left" vertical="top" wrapText="1"/>
    </xf>
    <xf numFmtId="164" fontId="4" fillId="0" borderId="0" xfId="0" applyNumberFormat="1" applyFont="1" applyFill="1" applyBorder="1" applyAlignment="1">
      <alignment horizontal="center" vertical="center" shrinkToFit="1"/>
    </xf>
    <xf numFmtId="164" fontId="4" fillId="0" borderId="0" xfId="0" applyNumberFormat="1" applyFont="1" applyFill="1" applyBorder="1" applyAlignment="1">
      <alignment horizontal="left" vertical="top" indent="2" shrinkToFit="1"/>
    </xf>
    <xf numFmtId="164" fontId="4" fillId="0" borderId="0" xfId="0" applyNumberFormat="1" applyFont="1" applyFill="1" applyBorder="1" applyAlignment="1">
      <alignment horizontal="left" vertical="center" indent="2" shrinkToFit="1"/>
    </xf>
    <xf numFmtId="164" fontId="4" fillId="0" borderId="0" xfId="0" applyNumberFormat="1" applyFont="1" applyFill="1" applyBorder="1" applyAlignment="1">
      <alignment horizontal="center" shrinkToFit="1"/>
    </xf>
    <xf numFmtId="164" fontId="4" fillId="0" borderId="0" xfId="0" applyNumberFormat="1" applyFont="1" applyFill="1" applyBorder="1" applyAlignment="1">
      <alignment horizontal="center" vertical="top" shrinkToFit="1"/>
    </xf>
    <xf numFmtId="0" fontId="14" fillId="0" borderId="16" xfId="0" applyFont="1" applyFill="1" applyBorder="1" applyAlignment="1">
      <alignment horizontal="center" vertical="center" wrapText="1"/>
    </xf>
    <xf numFmtId="164" fontId="16" fillId="0" borderId="16" xfId="0" applyNumberFormat="1" applyFont="1" applyFill="1" applyBorder="1" applyAlignment="1">
      <alignment horizontal="center" vertical="center" shrinkToFit="1"/>
    </xf>
    <xf numFmtId="0" fontId="14" fillId="0" borderId="4" xfId="0" applyFont="1" applyFill="1" applyBorder="1" applyAlignment="1">
      <alignment horizontal="center" vertical="center" wrapText="1"/>
    </xf>
    <xf numFmtId="164" fontId="16" fillId="0" borderId="4" xfId="0" applyNumberFormat="1" applyFont="1" applyFill="1" applyBorder="1" applyAlignment="1">
      <alignment horizontal="center" vertical="center" shrinkToFit="1"/>
    </xf>
    <xf numFmtId="164" fontId="16" fillId="0" borderId="8" xfId="0" applyNumberFormat="1" applyFont="1" applyFill="1" applyBorder="1" applyAlignment="1">
      <alignment horizontal="center" vertical="center" shrinkToFit="1"/>
    </xf>
    <xf numFmtId="0" fontId="14" fillId="0" borderId="9" xfId="0" applyFont="1" applyFill="1" applyBorder="1" applyAlignment="1">
      <alignment horizontal="center" vertical="center" wrapText="1"/>
    </xf>
    <xf numFmtId="164" fontId="16" fillId="0" borderId="9" xfId="0" applyNumberFormat="1" applyFont="1" applyFill="1" applyBorder="1" applyAlignment="1">
      <alignment horizontal="center" vertical="center" shrinkToFit="1"/>
    </xf>
    <xf numFmtId="0" fontId="13" fillId="0" borderId="16" xfId="0" applyFont="1" applyFill="1" applyBorder="1" applyAlignment="1">
      <alignment horizontal="center" vertical="center" wrapText="1"/>
    </xf>
    <xf numFmtId="0" fontId="13" fillId="0" borderId="16" xfId="0" applyFont="1" applyFill="1" applyBorder="1" applyAlignment="1">
      <alignment vertical="center" wrapText="1"/>
    </xf>
    <xf numFmtId="0" fontId="13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 wrapText="1"/>
    </xf>
    <xf numFmtId="164" fontId="13" fillId="0" borderId="0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 shrinkToFi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11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164" fontId="16" fillId="2" borderId="16" xfId="0" applyNumberFormat="1" applyFont="1" applyFill="1" applyBorder="1" applyAlignment="1">
      <alignment horizontal="center" vertical="center" shrinkToFit="1"/>
    </xf>
    <xf numFmtId="0" fontId="14" fillId="2" borderId="10" xfId="0" applyFont="1" applyFill="1" applyBorder="1" applyAlignment="1">
      <alignment horizontal="center" vertical="center" wrapText="1"/>
    </xf>
    <xf numFmtId="164" fontId="16" fillId="2" borderId="10" xfId="0" applyNumberFormat="1" applyFont="1" applyFill="1" applyBorder="1" applyAlignment="1">
      <alignment horizontal="center" vertical="center" shrinkToFit="1"/>
    </xf>
    <xf numFmtId="0" fontId="14" fillId="2" borderId="4" xfId="0" applyFont="1" applyFill="1" applyBorder="1" applyAlignment="1">
      <alignment horizontal="center" vertical="center" wrapText="1"/>
    </xf>
    <xf numFmtId="164" fontId="16" fillId="2" borderId="4" xfId="0" applyNumberFormat="1" applyFont="1" applyFill="1" applyBorder="1" applyAlignment="1">
      <alignment horizontal="center" vertical="center" shrinkToFit="1"/>
    </xf>
    <xf numFmtId="0" fontId="14" fillId="2" borderId="8" xfId="0" applyFont="1" applyFill="1" applyBorder="1" applyAlignment="1">
      <alignment horizontal="center" vertical="center" wrapText="1"/>
    </xf>
    <xf numFmtId="164" fontId="16" fillId="2" borderId="8" xfId="0" applyNumberFormat="1" applyFont="1" applyFill="1" applyBorder="1" applyAlignment="1">
      <alignment horizontal="center" vertical="center" shrinkToFit="1"/>
    </xf>
    <xf numFmtId="0" fontId="14" fillId="2" borderId="9" xfId="0" applyFont="1" applyFill="1" applyBorder="1" applyAlignment="1">
      <alignment horizontal="center" vertical="center" wrapText="1"/>
    </xf>
    <xf numFmtId="2" fontId="14" fillId="0" borderId="16" xfId="0" applyNumberFormat="1" applyFont="1" applyFill="1" applyBorder="1" applyAlignment="1">
      <alignment horizontal="center" vertical="center" wrapText="1"/>
    </xf>
    <xf numFmtId="0" fontId="13" fillId="0" borderId="19" xfId="0" applyFont="1" applyFill="1" applyBorder="1" applyAlignment="1">
      <alignment vertical="center" wrapText="1"/>
    </xf>
    <xf numFmtId="49" fontId="20" fillId="0" borderId="16" xfId="0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left" vertical="center"/>
    </xf>
    <xf numFmtId="2" fontId="20" fillId="0" borderId="16" xfId="0" applyNumberFormat="1" applyFont="1" applyBorder="1" applyAlignment="1">
      <alignment horizontal="center" vertical="center"/>
    </xf>
    <xf numFmtId="0" fontId="21" fillId="0" borderId="16" xfId="0" applyFont="1" applyBorder="1"/>
    <xf numFmtId="0" fontId="17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164" fontId="20" fillId="0" borderId="16" xfId="0" applyNumberFormat="1" applyFont="1" applyBorder="1" applyAlignment="1">
      <alignment horizontal="right" vertical="center"/>
    </xf>
    <xf numFmtId="0" fontId="21" fillId="0" borderId="16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1"/>
    </xf>
    <xf numFmtId="164" fontId="21" fillId="0" borderId="16" xfId="0" applyNumberFormat="1" applyFont="1" applyBorder="1" applyAlignment="1">
      <alignment horizontal="center" vertical="center"/>
    </xf>
    <xf numFmtId="49" fontId="22" fillId="0" borderId="16" xfId="0" applyNumberFormat="1" applyFont="1" applyBorder="1" applyAlignment="1">
      <alignment horizontal="left" vertical="center" wrapText="1"/>
    </xf>
    <xf numFmtId="0" fontId="21" fillId="0" borderId="16" xfId="0" applyFont="1" applyBorder="1" applyAlignment="1">
      <alignment horizontal="right" vertical="center" wrapText="1"/>
    </xf>
    <xf numFmtId="0" fontId="18" fillId="0" borderId="5" xfId="0" applyFont="1" applyBorder="1" applyAlignment="1">
      <alignment horizontal="left" vertical="center" wrapText="1"/>
    </xf>
    <xf numFmtId="165" fontId="17" fillId="0" borderId="16" xfId="0" applyNumberFormat="1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6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lef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/>
    <xf numFmtId="0" fontId="20" fillId="0" borderId="16" xfId="0" applyFont="1" applyFill="1" applyBorder="1" applyAlignment="1">
      <alignment horizontal="center" vertical="center"/>
    </xf>
    <xf numFmtId="164" fontId="20" fillId="0" borderId="16" xfId="0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 wrapText="1"/>
    </xf>
    <xf numFmtId="164" fontId="21" fillId="0" borderId="16" xfId="0" applyNumberFormat="1" applyFont="1" applyFill="1" applyBorder="1" applyAlignment="1">
      <alignment horizontal="center" vertical="center"/>
    </xf>
    <xf numFmtId="49" fontId="23" fillId="0" borderId="16" xfId="0" applyNumberFormat="1" applyFont="1" applyFill="1" applyBorder="1" applyAlignment="1">
      <alignment horizontal="center" vertical="center" wrapText="1"/>
    </xf>
    <xf numFmtId="49" fontId="23" fillId="0" borderId="16" xfId="0" applyNumberFormat="1" applyFont="1" applyFill="1" applyBorder="1" applyAlignment="1">
      <alignment vertical="center" wrapText="1"/>
    </xf>
    <xf numFmtId="4" fontId="24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right" vertical="center" wrapText="1"/>
    </xf>
    <xf numFmtId="0" fontId="21" fillId="0" borderId="24" xfId="0" applyFont="1" applyFill="1" applyBorder="1" applyAlignment="1">
      <alignment horizontal="center" vertical="center"/>
    </xf>
    <xf numFmtId="164" fontId="21" fillId="0" borderId="28" xfId="0" applyNumberFormat="1" applyFont="1" applyFill="1" applyBorder="1" applyAlignment="1">
      <alignment horizontal="center" vertical="center"/>
    </xf>
    <xf numFmtId="4" fontId="24" fillId="0" borderId="28" xfId="0" applyNumberFormat="1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 wrapText="1"/>
    </xf>
    <xf numFmtId="0" fontId="21" fillId="0" borderId="30" xfId="0" applyFont="1" applyFill="1" applyBorder="1" applyAlignment="1">
      <alignment horizontal="right" vertical="center" wrapText="1"/>
    </xf>
    <xf numFmtId="164" fontId="21" fillId="0" borderId="31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left" vertical="top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2" fillId="0" borderId="16" xfId="0" applyNumberFormat="1" applyFont="1" applyFill="1" applyBorder="1" applyAlignment="1">
      <alignment horizontal="center" vertical="center"/>
    </xf>
    <xf numFmtId="0" fontId="21" fillId="0" borderId="21" xfId="0" applyFont="1" applyFill="1" applyBorder="1" applyAlignment="1">
      <alignment horizontal="center" vertical="center"/>
    </xf>
    <xf numFmtId="4" fontId="22" fillId="0" borderId="19" xfId="0" applyNumberFormat="1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center" wrapText="1"/>
    </xf>
    <xf numFmtId="164" fontId="21" fillId="0" borderId="17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top"/>
    </xf>
    <xf numFmtId="2" fontId="20" fillId="0" borderId="16" xfId="0" applyNumberFormat="1" applyFont="1" applyFill="1" applyBorder="1" applyAlignment="1">
      <alignment horizontal="right" vertical="center"/>
    </xf>
    <xf numFmtId="2" fontId="21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49" fontId="22" fillId="3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Border="1" applyAlignment="1">
      <alignment horizontal="center" vertical="center" wrapText="1"/>
    </xf>
    <xf numFmtId="49" fontId="25" fillId="3" borderId="16" xfId="0" applyNumberFormat="1" applyFont="1" applyFill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" fontId="25" fillId="0" borderId="37" xfId="0" applyNumberFormat="1" applyFont="1" applyBorder="1" applyAlignment="1">
      <alignment horizontal="center" vertical="center"/>
    </xf>
    <xf numFmtId="4" fontId="25" fillId="3" borderId="37" xfId="0" applyNumberFormat="1" applyFont="1" applyFill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 wrapText="1"/>
    </xf>
    <xf numFmtId="164" fontId="20" fillId="0" borderId="35" xfId="0" applyNumberFormat="1" applyFont="1" applyBorder="1" applyAlignment="1">
      <alignment horizontal="center" vertical="center"/>
    </xf>
    <xf numFmtId="0" fontId="21" fillId="3" borderId="36" xfId="0" applyFont="1" applyFill="1" applyBorder="1" applyAlignment="1">
      <alignment horizontal="center" vertical="center"/>
    </xf>
    <xf numFmtId="4" fontId="22" fillId="3" borderId="37" xfId="0" applyNumberFormat="1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4" fontId="22" fillId="0" borderId="37" xfId="0" applyNumberFormat="1" applyFont="1" applyBorder="1" applyAlignment="1">
      <alignment horizontal="center" vertical="center"/>
    </xf>
    <xf numFmtId="49" fontId="25" fillId="0" borderId="38" xfId="0" applyNumberFormat="1" applyFont="1" applyBorder="1" applyAlignment="1">
      <alignment horizontal="center" vertical="center" wrapText="1"/>
    </xf>
    <xf numFmtId="4" fontId="25" fillId="0" borderId="39" xfId="0" applyNumberFormat="1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 wrapText="1"/>
    </xf>
    <xf numFmtId="164" fontId="20" fillId="0" borderId="41" xfId="0" applyNumberFormat="1" applyFont="1" applyBorder="1" applyAlignment="1">
      <alignment horizontal="center" vertical="center"/>
    </xf>
    <xf numFmtId="0" fontId="18" fillId="0" borderId="0" xfId="0" applyFont="1" applyFill="1" applyBorder="1" applyAlignment="1">
      <alignment vertical="top"/>
    </xf>
    <xf numFmtId="0" fontId="18" fillId="0" borderId="16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vertical="center" wrapText="1"/>
    </xf>
    <xf numFmtId="0" fontId="18" fillId="0" borderId="16" xfId="0" applyFont="1" applyFill="1" applyBorder="1" applyAlignment="1">
      <alignment vertical="top"/>
    </xf>
    <xf numFmtId="2" fontId="18" fillId="0" borderId="16" xfId="0" applyNumberFormat="1" applyFont="1" applyFill="1" applyBorder="1" applyAlignment="1">
      <alignment horizontal="center" vertical="center"/>
    </xf>
    <xf numFmtId="0" fontId="28" fillId="4" borderId="0" xfId="1" applyFont="1" applyFill="1" applyAlignment="1">
      <alignment horizontal="left" vertical="center"/>
    </xf>
    <xf numFmtId="0" fontId="27" fillId="4" borderId="0" xfId="1" applyFill="1"/>
    <xf numFmtId="0" fontId="29" fillId="4" borderId="0" xfId="1" applyFont="1" applyFill="1" applyAlignment="1">
      <alignment horizontal="left" vertical="center" wrapText="1"/>
    </xf>
    <xf numFmtId="0" fontId="27" fillId="0" borderId="0" xfId="1"/>
    <xf numFmtId="0" fontId="32" fillId="0" borderId="4" xfId="1" applyFont="1" applyBorder="1" applyAlignment="1">
      <alignment horizontal="left" vertical="center"/>
    </xf>
    <xf numFmtId="0" fontId="34" fillId="0" borderId="4" xfId="1" applyFont="1" applyBorder="1" applyAlignment="1">
      <alignment horizontal="left" vertical="center" wrapText="1"/>
    </xf>
    <xf numFmtId="0" fontId="34" fillId="0" borderId="4" xfId="1" applyFont="1" applyBorder="1" applyAlignment="1">
      <alignment horizontal="center" vertical="center" wrapText="1"/>
    </xf>
    <xf numFmtId="165" fontId="34" fillId="0" borderId="4" xfId="1" applyNumberFormat="1" applyFont="1" applyBorder="1" applyAlignment="1">
      <alignment horizontal="center" vertical="center" wrapText="1"/>
    </xf>
    <xf numFmtId="0" fontId="35" fillId="0" borderId="4" xfId="1" applyFont="1" applyBorder="1" applyAlignment="1">
      <alignment horizontal="right" vertical="center" wrapText="1"/>
    </xf>
    <xf numFmtId="0" fontId="34" fillId="0" borderId="4" xfId="1" applyFont="1" applyBorder="1" applyAlignment="1">
      <alignment horizontal="center" vertical="center"/>
    </xf>
    <xf numFmtId="165" fontId="34" fillId="0" borderId="4" xfId="1" applyNumberFormat="1" applyFont="1" applyBorder="1" applyAlignment="1">
      <alignment horizontal="center" vertical="center"/>
    </xf>
    <xf numFmtId="0" fontId="35" fillId="6" borderId="4" xfId="1" applyFont="1" applyFill="1" applyBorder="1" applyAlignment="1">
      <alignment horizontal="right" vertical="center" wrapText="1"/>
    </xf>
    <xf numFmtId="165" fontId="36" fillId="0" borderId="4" xfId="1" applyNumberFormat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 wrapText="1"/>
    </xf>
    <xf numFmtId="0" fontId="30" fillId="0" borderId="5" xfId="1" applyFont="1" applyBorder="1" applyAlignment="1">
      <alignment horizontal="left" vertical="center"/>
    </xf>
    <xf numFmtId="0" fontId="30" fillId="0" borderId="6" xfId="1" applyFont="1" applyBorder="1" applyAlignment="1">
      <alignment horizontal="left" vertical="center"/>
    </xf>
    <xf numFmtId="0" fontId="33" fillId="5" borderId="6" xfId="1" applyFont="1" applyFill="1" applyBorder="1" applyAlignment="1">
      <alignment horizontal="left" vertical="center"/>
    </xf>
    <xf numFmtId="0" fontId="32" fillId="0" borderId="7" xfId="1" applyFont="1" applyBorder="1" applyAlignment="1">
      <alignment horizontal="left" vertical="center"/>
    </xf>
    <xf numFmtId="165" fontId="34" fillId="0" borderId="5" xfId="1" applyNumberFormat="1" applyFont="1" applyBorder="1" applyAlignment="1">
      <alignment horizontal="center" vertical="center" wrapText="1"/>
    </xf>
    <xf numFmtId="165" fontId="34" fillId="0" borderId="5" xfId="1" applyNumberFormat="1" applyFont="1" applyBorder="1" applyAlignment="1">
      <alignment horizontal="center" vertical="center"/>
    </xf>
    <xf numFmtId="165" fontId="36" fillId="0" borderId="5" xfId="1" applyNumberFormat="1" applyFont="1" applyBorder="1" applyAlignment="1">
      <alignment horizontal="center" vertical="center"/>
    </xf>
    <xf numFmtId="0" fontId="32" fillId="0" borderId="2" xfId="1" applyFont="1" applyBorder="1" applyAlignment="1">
      <alignment horizontal="center" vertical="center" wrapText="1"/>
    </xf>
    <xf numFmtId="0" fontId="32" fillId="0" borderId="14" xfId="1" applyFont="1" applyBorder="1" applyAlignment="1">
      <alignment horizontal="center" vertical="center" wrapText="1"/>
    </xf>
    <xf numFmtId="0" fontId="32" fillId="0" borderId="13" xfId="1" applyFont="1" applyBorder="1" applyAlignment="1">
      <alignment horizontal="left" vertical="center"/>
    </xf>
    <xf numFmtId="0" fontId="32" fillId="0" borderId="8" xfId="1" applyFont="1" applyBorder="1" applyAlignment="1">
      <alignment horizontal="left" vertical="center"/>
    </xf>
    <xf numFmtId="0" fontId="35" fillId="0" borderId="8" xfId="1" applyFont="1" applyBorder="1" applyAlignment="1">
      <alignment horizontal="right" vertical="center" wrapText="1"/>
    </xf>
    <xf numFmtId="0" fontId="34" fillId="0" borderId="8" xfId="1" applyFont="1" applyBorder="1" applyAlignment="1">
      <alignment horizontal="center" vertical="center" wrapText="1"/>
    </xf>
    <xf numFmtId="0" fontId="34" fillId="0" borderId="8" xfId="1" applyFont="1" applyBorder="1" applyAlignment="1">
      <alignment horizontal="center" vertical="center"/>
    </xf>
    <xf numFmtId="165" fontId="34" fillId="0" borderId="8" xfId="1" applyNumberFormat="1" applyFont="1" applyBorder="1" applyAlignment="1">
      <alignment horizontal="center" vertical="center"/>
    </xf>
    <xf numFmtId="165" fontId="36" fillId="0" borderId="8" xfId="1" applyNumberFormat="1" applyFont="1" applyBorder="1" applyAlignment="1">
      <alignment horizontal="center" vertical="center"/>
    </xf>
    <xf numFmtId="165" fontId="36" fillId="0" borderId="11" xfId="1" applyNumberFormat="1" applyFont="1" applyBorder="1" applyAlignment="1">
      <alignment horizontal="center" vertical="center"/>
    </xf>
    <xf numFmtId="0" fontId="37" fillId="0" borderId="0" xfId="0" applyFont="1" applyFill="1" applyBorder="1" applyAlignment="1">
      <alignment horizontal="left" vertical="top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6" xfId="0" applyNumberFormat="1" applyFont="1" applyFill="1" applyBorder="1" applyAlignment="1">
      <alignment horizontal="center" vertical="center" wrapText="1"/>
    </xf>
    <xf numFmtId="0" fontId="38" fillId="0" borderId="4" xfId="0" applyFont="1" applyFill="1" applyBorder="1" applyAlignment="1">
      <alignment horizontal="center" vertical="center" wrapText="1"/>
    </xf>
    <xf numFmtId="164" fontId="38" fillId="0" borderId="4" xfId="0" applyNumberFormat="1" applyFont="1" applyFill="1" applyBorder="1" applyAlignment="1">
      <alignment horizontal="center" vertical="center" shrinkToFit="1"/>
    </xf>
    <xf numFmtId="0" fontId="38" fillId="0" borderId="8" xfId="0" applyFont="1" applyFill="1" applyBorder="1" applyAlignment="1">
      <alignment horizontal="center" vertical="center" wrapText="1"/>
    </xf>
    <xf numFmtId="164" fontId="38" fillId="0" borderId="8" xfId="0" applyNumberFormat="1" applyFont="1" applyFill="1" applyBorder="1" applyAlignment="1">
      <alignment horizontal="center" vertical="center" shrinkToFit="1"/>
    </xf>
    <xf numFmtId="164" fontId="38" fillId="0" borderId="11" xfId="0" applyNumberFormat="1" applyFont="1" applyFill="1" applyBorder="1" applyAlignment="1">
      <alignment horizontal="center" vertical="center" shrinkToFit="1"/>
    </xf>
    <xf numFmtId="0" fontId="38" fillId="0" borderId="16" xfId="0" applyFont="1" applyFill="1" applyBorder="1" applyAlignment="1">
      <alignment horizontal="center" vertical="center" wrapText="1"/>
    </xf>
    <xf numFmtId="164" fontId="38" fillId="0" borderId="16" xfId="0" applyNumberFormat="1" applyFont="1" applyFill="1" applyBorder="1" applyAlignment="1">
      <alignment horizontal="center" vertical="center" shrinkToFit="1"/>
    </xf>
    <xf numFmtId="49" fontId="18" fillId="0" borderId="16" xfId="0" applyNumberFormat="1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17" fillId="0" borderId="0" xfId="0" applyFont="1" applyFill="1" applyBorder="1" applyAlignment="1">
      <alignment horizontal="left" vertical="top"/>
    </xf>
    <xf numFmtId="49" fontId="20" fillId="0" borderId="16" xfId="0" applyNumberFormat="1" applyFont="1" applyBorder="1" applyAlignment="1">
      <alignment horizontal="center"/>
    </xf>
    <xf numFmtId="0" fontId="17" fillId="0" borderId="16" xfId="0" applyFont="1" applyFill="1" applyBorder="1" applyAlignment="1">
      <alignment horizontal="center"/>
    </xf>
    <xf numFmtId="0" fontId="17" fillId="0" borderId="16" xfId="0" applyFont="1" applyBorder="1" applyAlignment="1">
      <alignment horizontal="center" wrapText="1"/>
    </xf>
    <xf numFmtId="2" fontId="20" fillId="0" borderId="16" xfId="0" applyNumberFormat="1" applyFont="1" applyBorder="1" applyAlignment="1">
      <alignment horizontal="center"/>
    </xf>
    <xf numFmtId="49" fontId="17" fillId="0" borderId="16" xfId="0" applyNumberFormat="1" applyFont="1" applyFill="1" applyBorder="1" applyAlignment="1">
      <alignment horizontal="center"/>
    </xf>
    <xf numFmtId="0" fontId="17" fillId="0" borderId="16" xfId="0" applyFont="1" applyFill="1" applyBorder="1" applyAlignment="1">
      <alignment horizontal="center" wrapText="1"/>
    </xf>
    <xf numFmtId="164" fontId="17" fillId="0" borderId="16" xfId="0" applyNumberFormat="1" applyFont="1" applyFill="1" applyBorder="1" applyAlignment="1">
      <alignment horizontal="center"/>
    </xf>
    <xf numFmtId="0" fontId="18" fillId="0" borderId="42" xfId="0" applyFont="1" applyFill="1" applyBorder="1" applyAlignment="1">
      <alignment vertical="top"/>
    </xf>
    <xf numFmtId="0" fontId="18" fillId="0" borderId="43" xfId="0" applyFont="1" applyFill="1" applyBorder="1" applyAlignment="1">
      <alignment vertical="top"/>
    </xf>
    <xf numFmtId="0" fontId="20" fillId="0" borderId="16" xfId="0" applyFont="1" applyBorder="1" applyAlignment="1">
      <alignment horizontal="center" vertical="center"/>
    </xf>
    <xf numFmtId="2" fontId="20" fillId="0" borderId="16" xfId="2" applyNumberFormat="1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/>
    </xf>
    <xf numFmtId="2" fontId="17" fillId="0" borderId="16" xfId="0" applyNumberFormat="1" applyFont="1" applyFill="1" applyBorder="1" applyAlignment="1">
      <alignment horizontal="center" vertical="center"/>
    </xf>
    <xf numFmtId="49" fontId="40" fillId="3" borderId="16" xfId="0" applyNumberFormat="1" applyFont="1" applyFill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center" vertical="center"/>
    </xf>
    <xf numFmtId="49" fontId="40" fillId="0" borderId="16" xfId="0" applyNumberFormat="1" applyFont="1" applyBorder="1" applyAlignment="1">
      <alignment horizontal="center" vertical="center"/>
    </xf>
    <xf numFmtId="2" fontId="40" fillId="0" borderId="16" xfId="0" applyNumberFormat="1" applyFont="1" applyBorder="1" applyAlignment="1">
      <alignment horizontal="center" vertical="center"/>
    </xf>
    <xf numFmtId="2" fontId="40" fillId="3" borderId="16" xfId="0" applyNumberFormat="1" applyFont="1" applyFill="1" applyBorder="1" applyAlignment="1">
      <alignment horizontal="right" vertical="center"/>
    </xf>
    <xf numFmtId="2" fontId="40" fillId="0" borderId="16" xfId="0" applyNumberFormat="1" applyFont="1" applyBorder="1" applyAlignment="1">
      <alignment horizontal="right" vertical="center"/>
    </xf>
    <xf numFmtId="0" fontId="17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2" fillId="0" borderId="0" xfId="3" applyNumberFormat="1" applyFont="1"/>
    <xf numFmtId="49" fontId="22" fillId="0" borderId="16" xfId="3" applyNumberFormat="1" applyFont="1" applyBorder="1" applyAlignment="1">
      <alignment horizontal="center" vertical="center" wrapText="1"/>
    </xf>
    <xf numFmtId="0" fontId="21" fillId="0" borderId="36" xfId="3" applyFont="1" applyFill="1" applyBorder="1" applyAlignment="1">
      <alignment horizontal="center" vertical="center"/>
    </xf>
    <xf numFmtId="0" fontId="21" fillId="3" borderId="36" xfId="3" applyFont="1" applyFill="1" applyBorder="1" applyAlignment="1">
      <alignment horizontal="center" vertical="center"/>
    </xf>
    <xf numFmtId="49" fontId="22" fillId="3" borderId="16" xfId="3" applyNumberFormat="1" applyFont="1" applyFill="1" applyBorder="1" applyAlignment="1">
      <alignment horizontal="center" vertical="center" wrapText="1"/>
    </xf>
    <xf numFmtId="4" fontId="22" fillId="3" borderId="37" xfId="3" applyNumberFormat="1" applyFont="1" applyFill="1" applyBorder="1" applyAlignment="1">
      <alignment horizontal="center" vertical="center"/>
    </xf>
    <xf numFmtId="4" fontId="22" fillId="0" borderId="37" xfId="3" applyNumberFormat="1" applyFont="1" applyBorder="1" applyAlignment="1">
      <alignment horizontal="center" vertical="center"/>
    </xf>
    <xf numFmtId="0" fontId="20" fillId="0" borderId="40" xfId="3" applyFont="1" applyBorder="1" applyAlignment="1">
      <alignment horizontal="center" vertical="center"/>
    </xf>
    <xf numFmtId="2" fontId="18" fillId="0" borderId="16" xfId="3" applyNumberFormat="1" applyFont="1" applyFill="1" applyBorder="1" applyAlignment="1">
      <alignment horizontal="center" vertical="center"/>
    </xf>
    <xf numFmtId="0" fontId="18" fillId="0" borderId="16" xfId="3" applyFont="1" applyFill="1" applyBorder="1" applyAlignment="1">
      <alignment horizontal="center" vertical="center"/>
    </xf>
    <xf numFmtId="0" fontId="21" fillId="0" borderId="16" xfId="3" applyFont="1" applyFill="1" applyBorder="1" applyAlignment="1">
      <alignment horizontal="center" vertical="center" wrapText="1"/>
    </xf>
    <xf numFmtId="0" fontId="18" fillId="0" borderId="16" xfId="3" applyFont="1" applyFill="1" applyBorder="1" applyAlignment="1">
      <alignment vertical="top"/>
    </xf>
    <xf numFmtId="0" fontId="43" fillId="0" borderId="16" xfId="3" applyFont="1" applyFill="1" applyBorder="1" applyAlignment="1">
      <alignment horizontal="center" vertical="center" wrapText="1"/>
    </xf>
    <xf numFmtId="0" fontId="44" fillId="0" borderId="16" xfId="3" applyFont="1" applyFill="1" applyBorder="1" applyAlignment="1">
      <alignment vertical="top"/>
    </xf>
    <xf numFmtId="0" fontId="44" fillId="0" borderId="16" xfId="3" applyFont="1" applyFill="1" applyBorder="1" applyAlignment="1">
      <alignment horizontal="center" vertical="center"/>
    </xf>
    <xf numFmtId="2" fontId="44" fillId="0" borderId="16" xfId="3" applyNumberFormat="1" applyFont="1" applyFill="1" applyBorder="1" applyAlignment="1">
      <alignment horizontal="center" vertical="center"/>
    </xf>
    <xf numFmtId="0" fontId="43" fillId="7" borderId="16" xfId="3" applyFont="1" applyFill="1" applyBorder="1" applyAlignment="1">
      <alignment horizontal="center" vertical="center" wrapText="1"/>
    </xf>
    <xf numFmtId="0" fontId="44" fillId="7" borderId="16" xfId="3" applyFont="1" applyFill="1" applyBorder="1" applyAlignment="1">
      <alignment horizontal="center" vertical="center"/>
    </xf>
    <xf numFmtId="2" fontId="44" fillId="7" borderId="16" xfId="3" applyNumberFormat="1" applyFont="1" applyFill="1" applyBorder="1" applyAlignment="1">
      <alignment horizontal="center" vertical="center"/>
    </xf>
    <xf numFmtId="0" fontId="46" fillId="0" borderId="36" xfId="3" applyFont="1" applyFill="1" applyBorder="1" applyAlignment="1">
      <alignment horizontal="center" vertical="center"/>
    </xf>
    <xf numFmtId="0" fontId="46" fillId="0" borderId="0" xfId="3" applyNumberFormat="1" applyFont="1"/>
    <xf numFmtId="0" fontId="46" fillId="0" borderId="0" xfId="3" applyNumberFormat="1" applyFont="1" applyFill="1"/>
    <xf numFmtId="2" fontId="46" fillId="0" borderId="16" xfId="3" applyNumberFormat="1" applyFont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7" borderId="16" xfId="3" applyNumberFormat="1" applyFont="1" applyFill="1" applyBorder="1"/>
    <xf numFmtId="4" fontId="45" fillId="0" borderId="16" xfId="0" applyNumberFormat="1" applyFont="1" applyFill="1" applyBorder="1" applyAlignment="1">
      <alignment horizontal="center" vertical="center" wrapText="1"/>
    </xf>
    <xf numFmtId="1" fontId="46" fillId="0" borderId="16" xfId="3" applyNumberFormat="1" applyFont="1" applyBorder="1" applyAlignment="1">
      <alignment horizontal="center" vertical="center"/>
    </xf>
    <xf numFmtId="49" fontId="46" fillId="0" borderId="16" xfId="3" applyNumberFormat="1" applyFont="1" applyBorder="1" applyAlignment="1">
      <alignment horizontal="center" vertical="center"/>
    </xf>
    <xf numFmtId="2" fontId="46" fillId="0" borderId="16" xfId="3" applyNumberFormat="1" applyFont="1" applyBorder="1" applyAlignment="1">
      <alignment horizontal="center" vertical="center"/>
    </xf>
    <xf numFmtId="2" fontId="46" fillId="7" borderId="16" xfId="3" applyNumberFormat="1" applyFont="1" applyFill="1" applyBorder="1" applyAlignment="1">
      <alignment horizontal="center" vertical="center"/>
    </xf>
    <xf numFmtId="2" fontId="46" fillId="7" borderId="16" xfId="3" applyNumberFormat="1" applyFont="1" applyFill="1" applyBorder="1" applyAlignment="1">
      <alignment horizontal="right" vertical="center"/>
    </xf>
    <xf numFmtId="0" fontId="21" fillId="0" borderId="16" xfId="0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center" vertical="center" wrapText="1"/>
    </xf>
    <xf numFmtId="2" fontId="46" fillId="7" borderId="16" xfId="3" applyNumberFormat="1" applyFont="1" applyFill="1" applyBorder="1"/>
    <xf numFmtId="2" fontId="46" fillId="0" borderId="16" xfId="3" applyNumberFormat="1" applyFont="1" applyBorder="1"/>
    <xf numFmtId="4" fontId="22" fillId="0" borderId="39" xfId="0" applyNumberFormat="1" applyFont="1" applyBorder="1" applyAlignment="1">
      <alignment horizontal="center" vertical="center"/>
    </xf>
    <xf numFmtId="4" fontId="22" fillId="3" borderId="39" xfId="0" applyNumberFormat="1" applyFont="1" applyFill="1" applyBorder="1" applyAlignment="1">
      <alignment horizontal="center" vertical="center"/>
    </xf>
    <xf numFmtId="1" fontId="46" fillId="0" borderId="16" xfId="3" applyNumberFormat="1" applyFont="1" applyBorder="1"/>
    <xf numFmtId="49" fontId="46" fillId="0" borderId="16" xfId="3" applyNumberFormat="1" applyFont="1" applyBorder="1" applyAlignment="1">
      <alignment horizontal="right"/>
    </xf>
    <xf numFmtId="2" fontId="46" fillId="7" borderId="16" xfId="3" applyNumberFormat="1" applyFont="1" applyFill="1" applyBorder="1" applyAlignment="1">
      <alignment horizontal="right"/>
    </xf>
    <xf numFmtId="0" fontId="46" fillId="0" borderId="16" xfId="3" applyFont="1" applyFill="1" applyBorder="1" applyAlignment="1">
      <alignment horizontal="center" vertical="center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6"/>
    </xf>
    <xf numFmtId="0" fontId="2" fillId="0" borderId="16" xfId="0" applyFont="1" applyFill="1" applyBorder="1" applyAlignment="1">
      <alignment horizontal="left" vertical="center" wrapText="1"/>
    </xf>
    <xf numFmtId="0" fontId="2" fillId="0" borderId="16" xfId="0" applyFont="1" applyFill="1" applyBorder="1" applyAlignment="1">
      <alignment horizontal="left" vertical="top" wrapText="1" indent="2"/>
    </xf>
    <xf numFmtId="0" fontId="2" fillId="0" borderId="16" xfId="0" applyFont="1" applyFill="1" applyBorder="1" applyAlignment="1">
      <alignment horizontal="center" vertical="top" wrapText="1"/>
    </xf>
    <xf numFmtId="0" fontId="2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7" fillId="0" borderId="16" xfId="0" applyFont="1" applyFill="1" applyBorder="1" applyAlignment="1">
      <alignment horizontal="left" vertical="top" wrapText="1" indent="7"/>
    </xf>
    <xf numFmtId="0" fontId="1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46" fillId="0" borderId="43" xfId="3" applyNumberFormat="1" applyFont="1" applyFill="1" applyBorder="1" applyAlignment="1">
      <alignment horizontal="center"/>
    </xf>
    <xf numFmtId="0" fontId="46" fillId="0" borderId="0" xfId="3" applyNumberFormat="1" applyFont="1" applyFill="1" applyAlignment="1">
      <alignment horizontal="center"/>
    </xf>
    <xf numFmtId="0" fontId="43" fillId="0" borderId="42" xfId="3" applyFont="1" applyFill="1" applyBorder="1" applyAlignment="1">
      <alignment horizontal="center" vertical="center" wrapText="1"/>
    </xf>
    <xf numFmtId="0" fontId="43" fillId="0" borderId="16" xfId="3" applyFont="1" applyFill="1" applyBorder="1" applyAlignment="1">
      <alignment horizontal="center" vertical="center" wrapText="1"/>
    </xf>
    <xf numFmtId="0" fontId="43" fillId="0" borderId="19" xfId="3" applyFont="1" applyFill="1" applyBorder="1" applyAlignment="1">
      <alignment horizontal="center" vertical="center" wrapText="1"/>
    </xf>
    <xf numFmtId="0" fontId="43" fillId="0" borderId="20" xfId="3" applyFont="1" applyFill="1" applyBorder="1" applyAlignment="1">
      <alignment horizontal="center" vertical="center" wrapText="1"/>
    </xf>
    <xf numFmtId="0" fontId="43" fillId="0" borderId="19" xfId="3" applyFont="1" applyFill="1" applyBorder="1" applyAlignment="1">
      <alignment horizontal="left" vertical="center" wrapText="1"/>
    </xf>
    <xf numFmtId="0" fontId="43" fillId="0" borderId="20" xfId="3" applyFont="1" applyFill="1" applyBorder="1" applyAlignment="1">
      <alignment horizontal="left" vertical="center" wrapText="1"/>
    </xf>
    <xf numFmtId="0" fontId="43" fillId="0" borderId="21" xfId="3" applyFont="1" applyFill="1" applyBorder="1" applyAlignment="1">
      <alignment horizontal="center" vertical="center" wrapText="1"/>
    </xf>
    <xf numFmtId="0" fontId="43" fillId="7" borderId="19" xfId="3" applyFont="1" applyFill="1" applyBorder="1" applyAlignment="1">
      <alignment horizontal="left" vertical="center" wrapText="1"/>
    </xf>
    <xf numFmtId="0" fontId="43" fillId="7" borderId="20" xfId="3" applyFont="1" applyFill="1" applyBorder="1" applyAlignment="1">
      <alignment horizontal="left" vertical="center" wrapText="1"/>
    </xf>
    <xf numFmtId="0" fontId="43" fillId="7" borderId="21" xfId="3" applyFont="1" applyFill="1" applyBorder="1" applyAlignment="1">
      <alignment horizontal="left" vertical="center" wrapText="1"/>
    </xf>
    <xf numFmtId="0" fontId="43" fillId="0" borderId="21" xfId="3" applyFont="1" applyFill="1" applyBorder="1" applyAlignment="1">
      <alignment horizontal="left" vertical="center" wrapText="1"/>
    </xf>
    <xf numFmtId="0" fontId="44" fillId="7" borderId="19" xfId="3" applyFont="1" applyFill="1" applyBorder="1" applyAlignment="1">
      <alignment horizontal="left" vertical="center" wrapText="1"/>
    </xf>
    <xf numFmtId="0" fontId="44" fillId="7" borderId="20" xfId="3" applyFont="1" applyFill="1" applyBorder="1" applyAlignment="1">
      <alignment horizontal="left" vertical="center" wrapText="1"/>
    </xf>
    <xf numFmtId="0" fontId="44" fillId="0" borderId="19" xfId="3" applyFont="1" applyFill="1" applyBorder="1" applyAlignment="1">
      <alignment horizontal="left" vertical="center" wrapText="1"/>
    </xf>
    <xf numFmtId="0" fontId="44" fillId="0" borderId="20" xfId="3" applyFont="1" applyFill="1" applyBorder="1" applyAlignment="1">
      <alignment horizontal="left" vertical="center" wrapText="1"/>
    </xf>
    <xf numFmtId="2" fontId="46" fillId="7" borderId="16" xfId="3" applyNumberFormat="1" applyFont="1" applyFill="1" applyBorder="1"/>
    <xf numFmtId="4" fontId="46" fillId="0" borderId="16" xfId="0" applyNumberFormat="1" applyFont="1" applyFill="1" applyBorder="1" applyAlignment="1">
      <alignment horizontal="center" vertical="center" wrapText="1"/>
    </xf>
    <xf numFmtId="2" fontId="46" fillId="0" borderId="16" xfId="3" applyNumberFormat="1" applyFont="1" applyBorder="1"/>
    <xf numFmtId="0" fontId="13" fillId="0" borderId="16" xfId="0" applyFont="1" applyFill="1" applyBorder="1" applyAlignment="1">
      <alignment horizontal="center" vertical="center" wrapText="1"/>
    </xf>
    <xf numFmtId="0" fontId="13" fillId="0" borderId="17" xfId="0" applyFont="1" applyFill="1" applyBorder="1" applyAlignment="1">
      <alignment horizontal="center" vertical="center" wrapText="1"/>
    </xf>
    <xf numFmtId="0" fontId="13" fillId="0" borderId="18" xfId="0" applyFont="1" applyFill="1" applyBorder="1" applyAlignment="1">
      <alignment horizontal="center" vertical="center" wrapText="1"/>
    </xf>
    <xf numFmtId="0" fontId="15" fillId="0" borderId="16" xfId="0" applyFont="1" applyFill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20" fillId="0" borderId="42" xfId="0" applyFont="1" applyBorder="1" applyAlignment="1">
      <alignment horizontal="center"/>
    </xf>
    <xf numFmtId="0" fontId="20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17" fillId="0" borderId="16" xfId="0" applyFont="1" applyFill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17" fillId="0" borderId="45" xfId="0" applyFont="1" applyFill="1" applyBorder="1" applyAlignment="1">
      <alignment horizontal="center" vertical="center"/>
    </xf>
    <xf numFmtId="0" fontId="17" fillId="0" borderId="42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0" borderId="32" xfId="3" applyFont="1" applyBorder="1" applyAlignment="1">
      <alignment horizontal="center" vertical="center" wrapText="1"/>
    </xf>
    <xf numFmtId="0" fontId="42" fillId="0" borderId="43" xfId="3" applyNumberFormat="1" applyFont="1" applyBorder="1" applyAlignment="1">
      <alignment horizontal="center"/>
    </xf>
    <xf numFmtId="0" fontId="42" fillId="0" borderId="0" xfId="3" applyNumberFormat="1" applyFont="1" applyAlignment="1">
      <alignment horizontal="center"/>
    </xf>
    <xf numFmtId="0" fontId="21" fillId="0" borderId="19" xfId="3" applyFont="1" applyFill="1" applyBorder="1" applyAlignment="1">
      <alignment horizontal="left" vertical="center" wrapText="1"/>
    </xf>
    <xf numFmtId="0" fontId="21" fillId="0" borderId="20" xfId="3" applyFont="1" applyFill="1" applyBorder="1" applyAlignment="1">
      <alignment horizontal="left" vertical="center" wrapText="1"/>
    </xf>
    <xf numFmtId="0" fontId="21" fillId="0" borderId="21" xfId="3" applyFont="1" applyFill="1" applyBorder="1" applyAlignment="1">
      <alignment horizontal="left" vertical="center" wrapText="1"/>
    </xf>
    <xf numFmtId="0" fontId="18" fillId="0" borderId="19" xfId="3" applyFont="1" applyFill="1" applyBorder="1" applyAlignment="1">
      <alignment horizontal="left" vertical="center" wrapText="1"/>
    </xf>
    <xf numFmtId="0" fontId="18" fillId="0" borderId="20" xfId="3" applyFont="1" applyFill="1" applyBorder="1" applyAlignment="1">
      <alignment horizontal="left" vertical="center" wrapText="1"/>
    </xf>
    <xf numFmtId="0" fontId="18" fillId="0" borderId="21" xfId="3" applyFont="1" applyFill="1" applyBorder="1" applyAlignment="1">
      <alignment horizontal="left" vertical="center" wrapText="1"/>
    </xf>
    <xf numFmtId="0" fontId="21" fillId="0" borderId="16" xfId="3" applyFont="1" applyFill="1" applyBorder="1" applyAlignment="1">
      <alignment horizontal="center" vertical="center" wrapText="1"/>
    </xf>
    <xf numFmtId="0" fontId="21" fillId="0" borderId="42" xfId="3" applyFont="1" applyFill="1" applyBorder="1" applyAlignment="1">
      <alignment horizontal="center" vertical="center" wrapText="1"/>
    </xf>
    <xf numFmtId="0" fontId="21" fillId="0" borderId="19" xfId="3" applyFont="1" applyFill="1" applyBorder="1" applyAlignment="1">
      <alignment horizontal="center" vertical="center" wrapText="1"/>
    </xf>
    <xf numFmtId="0" fontId="21" fillId="0" borderId="20" xfId="3" applyFont="1" applyFill="1" applyBorder="1" applyAlignment="1">
      <alignment horizontal="center" vertical="center" wrapText="1"/>
    </xf>
    <xf numFmtId="0" fontId="21" fillId="0" borderId="21" xfId="3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44" xfId="0" applyFont="1" applyFill="1" applyBorder="1" applyAlignment="1">
      <alignment horizontal="center" vertical="top"/>
    </xf>
    <xf numFmtId="0" fontId="17" fillId="0" borderId="42" xfId="0" applyFont="1" applyFill="1" applyBorder="1" applyAlignment="1">
      <alignment horizontal="center" vertical="top"/>
    </xf>
    <xf numFmtId="0" fontId="21" fillId="0" borderId="25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center" vertical="center" wrapText="1"/>
    </xf>
    <xf numFmtId="0" fontId="21" fillId="0" borderId="19" xfId="0" applyFont="1" applyFill="1" applyBorder="1" applyAlignment="1">
      <alignment horizontal="center" vertical="center" wrapText="1"/>
    </xf>
    <xf numFmtId="0" fontId="21" fillId="0" borderId="20" xfId="0" applyFont="1" applyFill="1" applyBorder="1" applyAlignment="1">
      <alignment horizontal="center" vertical="center" wrapText="1"/>
    </xf>
    <xf numFmtId="0" fontId="21" fillId="0" borderId="21" xfId="0" applyFont="1" applyFill="1" applyBorder="1" applyAlignment="1">
      <alignment horizontal="center" vertical="center" wrapText="1"/>
    </xf>
    <xf numFmtId="0" fontId="18" fillId="0" borderId="42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center" vertical="top"/>
    </xf>
    <xf numFmtId="0" fontId="21" fillId="0" borderId="0" xfId="0" applyFont="1" applyFill="1" applyBorder="1" applyAlignment="1">
      <alignment horizontal="center" vertical="center" wrapText="1"/>
    </xf>
    <xf numFmtId="0" fontId="21" fillId="0" borderId="16" xfId="0" applyFont="1" applyFill="1" applyBorder="1" applyAlignment="1">
      <alignment horizontal="left" vertical="center" wrapText="1"/>
    </xf>
    <xf numFmtId="0" fontId="21" fillId="0" borderId="16" xfId="0" applyFont="1" applyFill="1" applyBorder="1" applyAlignment="1">
      <alignment horizontal="left" vertical="top" wrapText="1"/>
    </xf>
    <xf numFmtId="0" fontId="18" fillId="0" borderId="14" xfId="0" applyFont="1" applyFill="1" applyBorder="1" applyAlignment="1">
      <alignment horizontal="center" vertical="top"/>
    </xf>
    <xf numFmtId="0" fontId="21" fillId="0" borderId="43" xfId="0" applyFont="1" applyFill="1" applyBorder="1" applyAlignment="1">
      <alignment horizontal="center" vertical="center" wrapText="1"/>
    </xf>
    <xf numFmtId="0" fontId="30" fillId="0" borderId="0" xfId="1" applyFont="1" applyAlignment="1">
      <alignment horizontal="center" vertical="center"/>
    </xf>
    <xf numFmtId="0" fontId="31" fillId="4" borderId="0" xfId="1" applyFont="1" applyFill="1" applyAlignment="1">
      <alignment horizontal="center" vertical="center"/>
    </xf>
    <xf numFmtId="0" fontId="32" fillId="0" borderId="0" xfId="1" applyFont="1" applyAlignment="1">
      <alignment horizontal="center" vertical="center"/>
    </xf>
    <xf numFmtId="0" fontId="18" fillId="0" borderId="43" xfId="0" applyFont="1" applyFill="1" applyBorder="1" applyAlignment="1">
      <alignment horizontal="center" vertical="top"/>
    </xf>
  </cellXfs>
  <cellStyles count="4">
    <cellStyle name="Обычный" xfId="0" builtinId="0"/>
    <cellStyle name="Обычный 2" xfId="1"/>
    <cellStyle name="Обычный 3" xfId="3"/>
    <cellStyle name="Финансовый" xfId="2" builtinId="3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tables/table1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56"/>
    <tableColumn id="2" name="Газобетон" dataDxfId="55"/>
    <tableColumn id="3" name="ПГП" dataDxfId="5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4:D43" totalsRowShown="0" headerRowBorderDxfId="53" tableBorderDxfId="52" totalsRowBorderDxfId="51">
  <autoFilter ref="A4:D43"/>
  <tableColumns count="4">
    <tableColumn id="1" name="№ п.п." dataDxfId="50"/>
    <tableColumn id="2" name="Пом.:" dataDxfId="49"/>
    <tableColumn id="3" name="Помещения:2" dataDxfId="48"/>
    <tableColumn id="4" name="Объем, м²" dataDxfId="47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6:C34" totalsRowShown="0" headerRowBorderDxfId="46" tableBorderDxfId="45" totalsRowBorderDxfId="44">
  <autoFilter ref="A6:C34"/>
  <tableColumns count="3">
    <tableColumn id="1" name="№ п.п." dataDxfId="43"/>
    <tableColumn id="2" name="Пом.:" dataDxfId="42"/>
    <tableColumn id="4" name="Объем, м²" dataDxfId="41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8" name="Таблица134789" displayName="Таблица134789" ref="A5:C7" totalsRowShown="0" headerRowBorderDxfId="40" tableBorderDxfId="39" totalsRowBorderDxfId="38">
  <autoFilter ref="A5:C7"/>
  <tableColumns count="3">
    <tableColumn id="1" name="№ п.п." dataDxfId="37"/>
    <tableColumn id="2" name="Пом.:" dataDxfId="36"/>
    <tableColumn id="4" name="Объем, м²" dataDxfId="35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9" name="Таблица134710" displayName="Таблица134710" ref="A5:C10" totalsRowShown="0" headerRowBorderDxfId="34" tableBorderDxfId="33" totalsRowBorderDxfId="32">
  <autoFilter ref="A5:C10"/>
  <tableColumns count="3">
    <tableColumn id="1" name="№ п.п." dataDxfId="31"/>
    <tableColumn id="2" name="Пом.:" dataDxfId="30"/>
    <tableColumn id="4" name="Объем, м²" dataDxfId="29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7" name="Таблица13478" displayName="Таблица13478" ref="A5:C19" totalsRowShown="0" headerRowBorderDxfId="28" tableBorderDxfId="27" totalsRowBorderDxfId="26">
  <autoFilter ref="A5:C19"/>
  <tableColumns count="3">
    <tableColumn id="1" name="№ п.п." dataDxfId="25"/>
    <tableColumn id="2" name="Пом.:" dataDxfId="24"/>
    <tableColumn id="4" name="Объем, м²" dataDxfId="23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1347" displayName="Таблица1347" ref="A6:C38" totalsRowShown="0" headerRowBorderDxfId="22" tableBorderDxfId="21" totalsRowBorderDxfId="20">
  <autoFilter ref="A6:C38"/>
  <tableColumns count="3">
    <tableColumn id="1" name="№ п.п." dataDxfId="19"/>
    <tableColumn id="2" name="Пом.:" dataDxfId="18"/>
    <tableColumn id="4" name="Объем, м²" dataDxfId="17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134" displayName="Таблица134" ref="A6:C34" totalsRowShown="0" headerRowBorderDxfId="16" tableBorderDxfId="15" totalsRowBorderDxfId="14">
  <autoFilter ref="A6:C34"/>
  <tableColumns count="3">
    <tableColumn id="1" name="№ п.п." dataDxfId="13"/>
    <tableColumn id="2" name="Пом.:" dataDxfId="12"/>
    <tableColumn id="4" name="Объем, м²" dataDxfId="11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4" name="Таблица4" displayName="Таблица4" ref="A5:I400" totalsRowShown="0" headerRowDxfId="10" tableBorderDxfId="9" headerRowCellStyle="Обычный 2">
  <autoFilter ref="A5:I400"/>
  <tableColumns count="9">
    <tableColumn id="1" name="Номер п/п" dataDxfId="8" dataCellStyle="Обычный 2"/>
    <tableColumn id="2" name="Код узла ИСР" dataDxfId="7" dataCellStyle="Обычный 2"/>
    <tableColumn id="3" name="Наименование затрат" dataDxfId="6" dataCellStyle="Обычный 2"/>
    <tableColumn id="4" name="Комментарий по ИСР" dataDxfId="5" dataCellStyle="Обычный 2"/>
    <tableColumn id="5" name="Комментарий подрядчика" dataDxfId="4" dataCellStyle="Обычный 2"/>
    <tableColumn id="6" name="Ед. изм." dataDxfId="3" dataCellStyle="Обычный 2"/>
    <tableColumn id="7" name="Коэф.расхода" dataDxfId="2" dataCellStyle="Обычный 2"/>
    <tableColumn id="8" name="Кол-во БО" dataDxfId="1" dataCellStyle="Обычный 2"/>
    <tableColumn id="9" name="Общее кол-во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0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2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4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5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72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</row>
    <row r="2" spans="1:17" ht="19.5" customHeight="1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370" t="s">
        <v>4</v>
      </c>
      <c r="N2" s="370"/>
      <c r="O2" s="373" t="s">
        <v>5</v>
      </c>
      <c r="P2" s="373"/>
      <c r="Q2" s="374" t="s">
        <v>6</v>
      </c>
    </row>
    <row r="3" spans="1:17" ht="19.5" customHeight="1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377" t="s">
        <v>10</v>
      </c>
      <c r="J3" s="377"/>
      <c r="K3" s="378" t="s">
        <v>11</v>
      </c>
      <c r="L3" s="378"/>
      <c r="M3" s="370" t="s">
        <v>12</v>
      </c>
      <c r="N3" s="371" t="s">
        <v>13</v>
      </c>
      <c r="O3" s="370" t="s">
        <v>12</v>
      </c>
      <c r="P3" s="375" t="s">
        <v>14</v>
      </c>
      <c r="Q3" s="374"/>
    </row>
    <row r="4" spans="1:17" ht="46.35" customHeight="1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70"/>
      <c r="N4" s="371"/>
      <c r="O4" s="370"/>
      <c r="P4" s="375"/>
      <c r="Q4" s="374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372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</row>
    <row r="2" spans="1:17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370" t="s">
        <v>4</v>
      </c>
      <c r="N2" s="370"/>
      <c r="O2" s="373" t="s">
        <v>5</v>
      </c>
      <c r="P2" s="373"/>
      <c r="Q2" s="374" t="s">
        <v>6</v>
      </c>
    </row>
    <row r="3" spans="1:17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377" t="s">
        <v>10</v>
      </c>
      <c r="J3" s="377"/>
      <c r="K3" s="378" t="s">
        <v>11</v>
      </c>
      <c r="L3" s="378"/>
      <c r="M3" s="370" t="s">
        <v>12</v>
      </c>
      <c r="N3" s="371" t="s">
        <v>13</v>
      </c>
      <c r="O3" s="370" t="s">
        <v>12</v>
      </c>
      <c r="P3" s="375" t="s">
        <v>14</v>
      </c>
      <c r="Q3" s="374"/>
    </row>
    <row r="4" spans="1:17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70"/>
      <c r="N4" s="371"/>
      <c r="O4" s="370"/>
      <c r="P4" s="375"/>
      <c r="Q4" s="374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9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9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77" t="s">
        <v>10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9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77" t="s">
        <v>10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1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37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37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77" t="s">
        <v>10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37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49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49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49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7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7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7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8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8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8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36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36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36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35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35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35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1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2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2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2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1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34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34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34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1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8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07"/>
      <c r="N2" s="107"/>
      <c r="O2" s="107"/>
      <c r="P2" s="107"/>
      <c r="Q2" s="370" t="s">
        <v>4</v>
      </c>
      <c r="R2" s="370"/>
      <c r="S2" s="373" t="s">
        <v>5</v>
      </c>
      <c r="T2" s="373"/>
      <c r="U2" s="108" t="s">
        <v>6</v>
      </c>
    </row>
    <row r="3" spans="1:28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09" t="s">
        <v>63</v>
      </c>
      <c r="J3" s="109"/>
      <c r="K3" s="109" t="s">
        <v>64</v>
      </c>
      <c r="L3" s="109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08"/>
    </row>
    <row r="4" spans="1:28" ht="34.799999999999997" x14ac:dyDescent="0.25">
      <c r="A4" s="371"/>
      <c r="B4" s="370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70"/>
      <c r="R4" s="371"/>
      <c r="S4" s="370"/>
      <c r="T4" s="375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383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383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383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383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383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383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37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19"/>
      <c r="N2" s="119"/>
      <c r="O2" s="119"/>
      <c r="P2" s="119"/>
      <c r="Q2" s="370" t="s">
        <v>4</v>
      </c>
      <c r="R2" s="370"/>
      <c r="S2" s="373" t="s">
        <v>5</v>
      </c>
      <c r="T2" s="373"/>
      <c r="U2" s="120" t="s">
        <v>6</v>
      </c>
    </row>
    <row r="3" spans="1:37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81" t="s">
        <v>1411</v>
      </c>
      <c r="H3" s="377"/>
      <c r="I3" s="117" t="s">
        <v>63</v>
      </c>
      <c r="J3" s="117"/>
      <c r="K3" s="117" t="s">
        <v>64</v>
      </c>
      <c r="L3" s="117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20"/>
    </row>
    <row r="4" spans="1:37" ht="34.799999999999997" x14ac:dyDescent="0.25">
      <c r="A4" s="371"/>
      <c r="B4" s="370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370"/>
      <c r="R4" s="371"/>
      <c r="S4" s="370"/>
      <c r="T4" s="375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15"/>
  <sheetViews>
    <sheetView workbookViewId="0">
      <selection activeCell="M13" sqref="M13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7.109375" style="349" customWidth="1"/>
    <col min="4" max="4" width="8.77734375" style="349" customWidth="1"/>
    <col min="5" max="5" width="9.44140625" style="349" customWidth="1"/>
    <col min="6" max="16384" width="8.88671875" style="349"/>
  </cols>
  <sheetData>
    <row r="1" spans="1:5" x14ac:dyDescent="0.3">
      <c r="A1" s="387" t="s">
        <v>586</v>
      </c>
      <c r="B1" s="387"/>
      <c r="C1" s="387"/>
      <c r="D1" s="387"/>
      <c r="E1" s="387"/>
    </row>
    <row r="2" spans="1:5" x14ac:dyDescent="0.3">
      <c r="A2" s="341" t="s">
        <v>580</v>
      </c>
      <c r="B2" s="388" t="s">
        <v>789</v>
      </c>
      <c r="C2" s="389"/>
      <c r="D2" s="342" t="s">
        <v>583</v>
      </c>
      <c r="E2" s="342" t="s">
        <v>584</v>
      </c>
    </row>
    <row r="3" spans="1:5" ht="38.4" customHeight="1" x14ac:dyDescent="0.3">
      <c r="A3" s="341">
        <v>1</v>
      </c>
      <c r="B3" s="390" t="s">
        <v>838</v>
      </c>
      <c r="C3" s="391"/>
      <c r="D3" s="343" t="s">
        <v>571</v>
      </c>
      <c r="E3" s="344">
        <f>C15</f>
        <v>2258.46</v>
      </c>
    </row>
    <row r="4" spans="1:5" x14ac:dyDescent="0.3">
      <c r="A4" s="386"/>
      <c r="B4" s="386"/>
      <c r="C4" s="386"/>
      <c r="D4" s="386"/>
      <c r="E4" s="386"/>
    </row>
    <row r="5" spans="1:5" s="350" customFormat="1" ht="17.399999999999999" customHeight="1" x14ac:dyDescent="0.3">
      <c r="A5" s="348" t="s">
        <v>1445</v>
      </c>
      <c r="B5" s="354" t="s">
        <v>1446</v>
      </c>
      <c r="C5" s="354" t="s">
        <v>1447</v>
      </c>
      <c r="D5" s="384"/>
      <c r="E5" s="385"/>
    </row>
    <row r="6" spans="1:5" x14ac:dyDescent="0.3">
      <c r="A6" s="355">
        <v>1</v>
      </c>
      <c r="B6" s="356" t="s">
        <v>1448</v>
      </c>
      <c r="C6" s="357">
        <f>11*7.5*2+2.5*2*10+120.31+201.62+14*2*7.5+3*2*2.5</f>
        <v>761.93000000000006</v>
      </c>
      <c r="D6" s="384"/>
      <c r="E6" s="385"/>
    </row>
    <row r="7" spans="1:5" x14ac:dyDescent="0.3">
      <c r="A7" s="355">
        <v>2</v>
      </c>
      <c r="B7" s="356" t="s">
        <v>442</v>
      </c>
      <c r="C7" s="357">
        <f>32*2*7.5</f>
        <v>480</v>
      </c>
      <c r="D7" s="384"/>
      <c r="E7" s="385"/>
    </row>
    <row r="8" spans="1:5" x14ac:dyDescent="0.3">
      <c r="A8" s="355">
        <v>3</v>
      </c>
      <c r="B8" s="356" t="s">
        <v>371</v>
      </c>
      <c r="C8" s="357">
        <f>35*2*7.5+165.26</f>
        <v>690.26</v>
      </c>
      <c r="D8" s="384"/>
      <c r="E8" s="385"/>
    </row>
    <row r="9" spans="1:5" x14ac:dyDescent="0.3">
      <c r="A9" s="355">
        <v>4</v>
      </c>
      <c r="B9" s="356" t="s">
        <v>454</v>
      </c>
      <c r="C9" s="357">
        <f>8*2*2.4</f>
        <v>38.4</v>
      </c>
      <c r="D9" s="384"/>
      <c r="E9" s="385"/>
    </row>
    <row r="10" spans="1:5" x14ac:dyDescent="0.3">
      <c r="A10" s="355">
        <v>5</v>
      </c>
      <c r="B10" s="356" t="s">
        <v>376</v>
      </c>
      <c r="C10" s="357">
        <f>8*2*3.2+5.28</f>
        <v>56.480000000000004</v>
      </c>
      <c r="D10" s="384"/>
      <c r="E10" s="385"/>
    </row>
    <row r="11" spans="1:5" x14ac:dyDescent="0.3">
      <c r="A11" s="355">
        <v>6</v>
      </c>
      <c r="B11" s="356" t="s">
        <v>689</v>
      </c>
      <c r="C11" s="357">
        <f>8*2*3.2+4.91</f>
        <v>56.11</v>
      </c>
      <c r="D11" s="384"/>
      <c r="E11" s="385"/>
    </row>
    <row r="12" spans="1:5" x14ac:dyDescent="0.3">
      <c r="A12" s="355">
        <v>7</v>
      </c>
      <c r="B12" s="356" t="s">
        <v>646</v>
      </c>
      <c r="C12" s="357">
        <f>9*2*3.2+6.26</f>
        <v>63.86</v>
      </c>
      <c r="D12" s="384"/>
      <c r="E12" s="385"/>
    </row>
    <row r="13" spans="1:5" x14ac:dyDescent="0.3">
      <c r="A13" s="355">
        <v>8</v>
      </c>
      <c r="B13" s="356" t="s">
        <v>388</v>
      </c>
      <c r="C13" s="357">
        <f>10*2*2.5+4.95</f>
        <v>54.95</v>
      </c>
      <c r="D13" s="384"/>
      <c r="E13" s="385"/>
    </row>
    <row r="14" spans="1:5" x14ac:dyDescent="0.3">
      <c r="A14" s="355">
        <v>9</v>
      </c>
      <c r="B14" s="356" t="s">
        <v>393</v>
      </c>
      <c r="C14" s="357">
        <f>8*2*3.2+5.27</f>
        <v>56.47</v>
      </c>
      <c r="D14" s="384"/>
      <c r="E14" s="385"/>
    </row>
    <row r="15" spans="1:5" x14ac:dyDescent="0.3">
      <c r="A15" s="357"/>
      <c r="B15" s="359" t="s">
        <v>622</v>
      </c>
      <c r="C15" s="358">
        <f>SUM(C6:C14)</f>
        <v>2258.46</v>
      </c>
      <c r="D15" s="384"/>
      <c r="E15" s="385"/>
    </row>
  </sheetData>
  <mergeCells count="5">
    <mergeCell ref="D5:E15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6"/>
  <sheetViews>
    <sheetView tabSelected="1" zoomScale="70" zoomScaleNormal="70" workbookViewId="0">
      <selection activeCell="B3" sqref="B3:E3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4.5546875" style="349" customWidth="1"/>
    <col min="4" max="4" width="8.77734375" style="349" customWidth="1"/>
    <col min="5" max="5" width="6.44140625" style="349" customWidth="1"/>
    <col min="6" max="6" width="8.77734375" style="349" customWidth="1"/>
    <col min="7" max="7" width="12" style="349" customWidth="1"/>
    <col min="8" max="16384" width="8.88671875" style="349"/>
  </cols>
  <sheetData>
    <row r="1" spans="1:7" x14ac:dyDescent="0.3">
      <c r="A1" s="387" t="s">
        <v>586</v>
      </c>
      <c r="B1" s="387"/>
      <c r="C1" s="387"/>
      <c r="D1" s="387"/>
      <c r="E1" s="387"/>
      <c r="F1" s="387"/>
      <c r="G1" s="387"/>
    </row>
    <row r="2" spans="1:7" ht="15.6" customHeight="1" x14ac:dyDescent="0.3">
      <c r="A2" s="361" t="s">
        <v>580</v>
      </c>
      <c r="B2" s="388" t="s">
        <v>789</v>
      </c>
      <c r="C2" s="389"/>
      <c r="D2" s="389"/>
      <c r="E2" s="392"/>
      <c r="F2" s="342" t="s">
        <v>583</v>
      </c>
      <c r="G2" s="342" t="s">
        <v>584</v>
      </c>
    </row>
    <row r="3" spans="1:7" ht="18.600000000000001" customHeight="1" x14ac:dyDescent="0.3">
      <c r="A3" s="345">
        <v>1</v>
      </c>
      <c r="B3" s="393" t="s">
        <v>1510</v>
      </c>
      <c r="C3" s="394"/>
      <c r="D3" s="394"/>
      <c r="E3" s="395"/>
      <c r="F3" s="346" t="s">
        <v>571</v>
      </c>
      <c r="G3" s="347">
        <f>C26</f>
        <v>396.23999999999995</v>
      </c>
    </row>
    <row r="4" spans="1:7" ht="52.2" customHeight="1" x14ac:dyDescent="0.3">
      <c r="A4" s="361">
        <v>2</v>
      </c>
      <c r="B4" s="390" t="s">
        <v>1512</v>
      </c>
      <c r="C4" s="391"/>
      <c r="D4" s="391"/>
      <c r="E4" s="396"/>
      <c r="F4" s="343" t="s">
        <v>571</v>
      </c>
      <c r="G4" s="344">
        <f>G3</f>
        <v>396.23999999999995</v>
      </c>
    </row>
    <row r="5" spans="1:7" ht="17.399999999999999" customHeight="1" x14ac:dyDescent="0.3">
      <c r="A5" s="361">
        <v>3</v>
      </c>
      <c r="B5" s="390" t="s">
        <v>1511</v>
      </c>
      <c r="C5" s="391"/>
      <c r="D5" s="391"/>
      <c r="E5" s="396"/>
      <c r="F5" s="343" t="s">
        <v>571</v>
      </c>
      <c r="G5" s="344">
        <f>G26</f>
        <v>214.84999999999997</v>
      </c>
    </row>
    <row r="6" spans="1:7" x14ac:dyDescent="0.3">
      <c r="A6" s="387"/>
      <c r="B6" s="387"/>
      <c r="C6" s="387"/>
      <c r="D6" s="387"/>
      <c r="E6" s="387"/>
      <c r="F6" s="387"/>
      <c r="G6" s="387"/>
    </row>
    <row r="7" spans="1:7" x14ac:dyDescent="0.3">
      <c r="A7" s="387" t="s">
        <v>1508</v>
      </c>
      <c r="B7" s="387"/>
      <c r="C7" s="387"/>
      <c r="D7" s="387"/>
      <c r="E7" s="387" t="s">
        <v>1509</v>
      </c>
      <c r="F7" s="387"/>
      <c r="G7" s="387"/>
    </row>
    <row r="8" spans="1:7" s="350" customFormat="1" ht="19.8" customHeight="1" x14ac:dyDescent="0.3">
      <c r="A8" s="369" t="s">
        <v>580</v>
      </c>
      <c r="B8" s="354" t="s">
        <v>1507</v>
      </c>
      <c r="C8" s="354" t="s">
        <v>1447</v>
      </c>
      <c r="D8" s="387"/>
      <c r="E8" s="369" t="s">
        <v>580</v>
      </c>
      <c r="F8" s="354" t="s">
        <v>1507</v>
      </c>
      <c r="G8" s="354" t="s">
        <v>1447</v>
      </c>
    </row>
    <row r="9" spans="1:7" x14ac:dyDescent="0.3">
      <c r="A9" s="366">
        <v>1</v>
      </c>
      <c r="B9" s="367" t="s">
        <v>488</v>
      </c>
      <c r="C9" s="363">
        <v>16.100000000000001</v>
      </c>
      <c r="D9" s="387"/>
      <c r="E9" s="366">
        <v>1</v>
      </c>
      <c r="F9" s="367" t="s">
        <v>488</v>
      </c>
      <c r="G9" s="363">
        <v>10</v>
      </c>
    </row>
    <row r="10" spans="1:7" x14ac:dyDescent="0.3">
      <c r="A10" s="366">
        <v>2</v>
      </c>
      <c r="B10" s="367" t="s">
        <v>489</v>
      </c>
      <c r="C10" s="363">
        <v>22.09</v>
      </c>
      <c r="D10" s="387"/>
      <c r="E10" s="366">
        <v>2</v>
      </c>
      <c r="F10" s="367" t="s">
        <v>489</v>
      </c>
      <c r="G10" s="363">
        <v>4</v>
      </c>
    </row>
    <row r="11" spans="1:7" x14ac:dyDescent="0.3">
      <c r="A11" s="366">
        <v>3</v>
      </c>
      <c r="B11" s="367" t="s">
        <v>490</v>
      </c>
      <c r="C11" s="363">
        <v>11.36</v>
      </c>
      <c r="D11" s="387"/>
      <c r="E11" s="366">
        <v>3</v>
      </c>
      <c r="F11" s="367" t="s">
        <v>490</v>
      </c>
      <c r="G11" s="363">
        <v>2.04</v>
      </c>
    </row>
    <row r="12" spans="1:7" x14ac:dyDescent="0.3">
      <c r="A12" s="366">
        <v>4</v>
      </c>
      <c r="B12" s="367" t="s">
        <v>491</v>
      </c>
      <c r="C12" s="363">
        <v>22.18</v>
      </c>
      <c r="D12" s="387"/>
      <c r="E12" s="366">
        <v>4</v>
      </c>
      <c r="F12" s="367" t="s">
        <v>491</v>
      </c>
      <c r="G12" s="363">
        <v>17.41</v>
      </c>
    </row>
    <row r="13" spans="1:7" x14ac:dyDescent="0.3">
      <c r="A13" s="366">
        <v>5</v>
      </c>
      <c r="B13" s="367" t="s">
        <v>425</v>
      </c>
      <c r="C13" s="363">
        <v>21.18</v>
      </c>
      <c r="D13" s="387"/>
      <c r="E13" s="366">
        <v>5</v>
      </c>
      <c r="F13" s="367" t="s">
        <v>425</v>
      </c>
      <c r="G13" s="363">
        <v>9.18</v>
      </c>
    </row>
    <row r="14" spans="1:7" x14ac:dyDescent="0.3">
      <c r="A14" s="366">
        <v>6</v>
      </c>
      <c r="B14" s="367" t="s">
        <v>426</v>
      </c>
      <c r="C14" s="363">
        <v>39.82</v>
      </c>
      <c r="D14" s="387"/>
      <c r="E14" s="366">
        <v>6</v>
      </c>
      <c r="F14" s="367" t="s">
        <v>426</v>
      </c>
      <c r="G14" s="363">
        <v>21.74</v>
      </c>
    </row>
    <row r="15" spans="1:7" x14ac:dyDescent="0.3">
      <c r="A15" s="366">
        <v>7</v>
      </c>
      <c r="B15" s="367" t="s">
        <v>428</v>
      </c>
      <c r="C15" s="363">
        <v>24.84</v>
      </c>
      <c r="D15" s="387"/>
      <c r="E15" s="366">
        <v>7</v>
      </c>
      <c r="F15" s="367" t="s">
        <v>428</v>
      </c>
      <c r="G15" s="363">
        <v>8.02</v>
      </c>
    </row>
    <row r="16" spans="1:7" x14ac:dyDescent="0.3">
      <c r="A16" s="366">
        <v>8</v>
      </c>
      <c r="B16" s="367" t="s">
        <v>429</v>
      </c>
      <c r="C16" s="363">
        <v>23.21</v>
      </c>
      <c r="D16" s="387"/>
      <c r="E16" s="366">
        <v>8</v>
      </c>
      <c r="F16" s="367" t="s">
        <v>429</v>
      </c>
      <c r="G16" s="363">
        <v>17.16</v>
      </c>
    </row>
    <row r="17" spans="1:7" x14ac:dyDescent="0.3">
      <c r="A17" s="366">
        <v>9</v>
      </c>
      <c r="B17" s="367" t="s">
        <v>430</v>
      </c>
      <c r="C17" s="363">
        <v>23.94</v>
      </c>
      <c r="D17" s="387"/>
      <c r="E17" s="366">
        <v>9</v>
      </c>
      <c r="F17" s="367" t="s">
        <v>430</v>
      </c>
      <c r="G17" s="363">
        <v>23.94</v>
      </c>
    </row>
    <row r="18" spans="1:7" x14ac:dyDescent="0.3">
      <c r="A18" s="366">
        <v>10</v>
      </c>
      <c r="B18" s="367" t="s">
        <v>431</v>
      </c>
      <c r="C18" s="363">
        <v>26.34</v>
      </c>
      <c r="D18" s="387"/>
      <c r="E18" s="366">
        <v>10</v>
      </c>
      <c r="F18" s="367" t="s">
        <v>431</v>
      </c>
      <c r="G18" s="363">
        <v>26.34</v>
      </c>
    </row>
    <row r="19" spans="1:7" x14ac:dyDescent="0.3">
      <c r="A19" s="366">
        <v>11</v>
      </c>
      <c r="B19" s="367" t="s">
        <v>361</v>
      </c>
      <c r="C19" s="363">
        <v>7.42</v>
      </c>
      <c r="D19" s="387"/>
      <c r="E19" s="366">
        <v>11</v>
      </c>
      <c r="F19" s="367" t="s">
        <v>361</v>
      </c>
      <c r="G19" s="363">
        <v>0</v>
      </c>
    </row>
    <row r="20" spans="1:7" x14ac:dyDescent="0.3">
      <c r="A20" s="366">
        <v>12</v>
      </c>
      <c r="B20" s="367" t="s">
        <v>362</v>
      </c>
      <c r="C20" s="363">
        <v>32.06</v>
      </c>
      <c r="D20" s="387"/>
      <c r="E20" s="366">
        <v>12</v>
      </c>
      <c r="F20" s="367" t="s">
        <v>362</v>
      </c>
      <c r="G20" s="363">
        <v>10</v>
      </c>
    </row>
    <row r="21" spans="1:7" x14ac:dyDescent="0.3">
      <c r="A21" s="366">
        <v>13</v>
      </c>
      <c r="B21" s="367" t="s">
        <v>364</v>
      </c>
      <c r="C21" s="363">
        <v>22.84</v>
      </c>
      <c r="D21" s="387"/>
      <c r="E21" s="366">
        <v>13</v>
      </c>
      <c r="F21" s="367" t="s">
        <v>364</v>
      </c>
      <c r="G21" s="363">
        <v>12</v>
      </c>
    </row>
    <row r="22" spans="1:7" x14ac:dyDescent="0.3">
      <c r="A22" s="366">
        <v>14</v>
      </c>
      <c r="B22" s="367" t="s">
        <v>365</v>
      </c>
      <c r="C22" s="363">
        <v>24.84</v>
      </c>
      <c r="D22" s="387"/>
      <c r="E22" s="366">
        <v>14</v>
      </c>
      <c r="F22" s="367" t="s">
        <v>365</v>
      </c>
      <c r="G22" s="363">
        <v>14</v>
      </c>
    </row>
    <row r="23" spans="1:7" x14ac:dyDescent="0.3">
      <c r="A23" s="366">
        <v>15</v>
      </c>
      <c r="B23" s="367" t="s">
        <v>366</v>
      </c>
      <c r="C23" s="363">
        <v>25.86</v>
      </c>
      <c r="D23" s="387"/>
      <c r="E23" s="366">
        <v>15</v>
      </c>
      <c r="F23" s="367" t="s">
        <v>366</v>
      </c>
      <c r="G23" s="363">
        <v>14.26</v>
      </c>
    </row>
    <row r="24" spans="1:7" x14ac:dyDescent="0.3">
      <c r="A24" s="366">
        <v>16</v>
      </c>
      <c r="B24" s="367" t="s">
        <v>367</v>
      </c>
      <c r="C24" s="363">
        <v>26.16</v>
      </c>
      <c r="D24" s="387"/>
      <c r="E24" s="366">
        <v>16</v>
      </c>
      <c r="F24" s="367" t="s">
        <v>367</v>
      </c>
      <c r="G24" s="363">
        <v>14.94</v>
      </c>
    </row>
    <row r="25" spans="1:7" x14ac:dyDescent="0.3">
      <c r="A25" s="366">
        <v>17</v>
      </c>
      <c r="B25" s="367" t="s">
        <v>368</v>
      </c>
      <c r="C25" s="363">
        <v>26</v>
      </c>
      <c r="D25" s="387"/>
      <c r="E25" s="366">
        <v>17</v>
      </c>
      <c r="F25" s="367" t="s">
        <v>368</v>
      </c>
      <c r="G25" s="363">
        <v>9.82</v>
      </c>
    </row>
    <row r="26" spans="1:7" x14ac:dyDescent="0.3">
      <c r="A26" s="363"/>
      <c r="B26" s="368" t="s">
        <v>622</v>
      </c>
      <c r="C26" s="362">
        <f>SUM(C9:C25)</f>
        <v>396.23999999999995</v>
      </c>
      <c r="D26" s="387"/>
      <c r="E26" s="363"/>
      <c r="F26" s="368" t="s">
        <v>622</v>
      </c>
      <c r="G26" s="362">
        <f>SUM(G9:G25)</f>
        <v>214.84999999999997</v>
      </c>
    </row>
  </sheetData>
  <mergeCells count="9">
    <mergeCell ref="A7:C7"/>
    <mergeCell ref="E7:G7"/>
    <mergeCell ref="D7:D26"/>
    <mergeCell ref="A6:G6"/>
    <mergeCell ref="A1:G1"/>
    <mergeCell ref="B2:E2"/>
    <mergeCell ref="B3:E3"/>
    <mergeCell ref="B5:E5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H14"/>
  <sheetViews>
    <sheetView workbookViewId="0">
      <selection activeCell="C23" sqref="C23"/>
    </sheetView>
  </sheetViews>
  <sheetFormatPr defaultRowHeight="15.6" x14ac:dyDescent="0.3"/>
  <cols>
    <col min="1" max="1" width="8.88671875" style="349"/>
    <col min="2" max="2" width="11.109375" style="349" bestFit="1" customWidth="1"/>
    <col min="3" max="3" width="17.109375" style="349" customWidth="1"/>
    <col min="4" max="4" width="17.6640625" style="349" customWidth="1"/>
    <col min="5" max="5" width="15.21875" style="349" customWidth="1"/>
    <col min="6" max="6" width="18.5546875" style="349" customWidth="1"/>
    <col min="7" max="7" width="8.77734375" style="349" customWidth="1"/>
    <col min="8" max="8" width="9.44140625" style="349" customWidth="1"/>
    <col min="9" max="16384" width="8.88671875" style="349"/>
  </cols>
  <sheetData>
    <row r="1" spans="1:8" x14ac:dyDescent="0.3">
      <c r="A1" s="387" t="s">
        <v>586</v>
      </c>
      <c r="B1" s="387"/>
      <c r="C1" s="387"/>
      <c r="D1" s="387"/>
      <c r="E1" s="387"/>
      <c r="F1" s="387"/>
      <c r="G1" s="387"/>
      <c r="H1" s="387"/>
    </row>
    <row r="2" spans="1:8" x14ac:dyDescent="0.3">
      <c r="A2" s="341" t="s">
        <v>580</v>
      </c>
      <c r="B2" s="388" t="s">
        <v>789</v>
      </c>
      <c r="C2" s="389"/>
      <c r="D2" s="388" t="s">
        <v>582</v>
      </c>
      <c r="E2" s="389"/>
      <c r="F2" s="389"/>
      <c r="G2" s="342" t="s">
        <v>583</v>
      </c>
      <c r="H2" s="342" t="s">
        <v>584</v>
      </c>
    </row>
    <row r="3" spans="1:8" ht="38.4" customHeight="1" x14ac:dyDescent="0.3">
      <c r="A3" s="341">
        <v>1</v>
      </c>
      <c r="B3" s="390" t="s">
        <v>1434</v>
      </c>
      <c r="C3" s="391"/>
      <c r="D3" s="399" t="s">
        <v>1430</v>
      </c>
      <c r="E3" s="400"/>
      <c r="F3" s="400"/>
      <c r="G3" s="343" t="s">
        <v>571</v>
      </c>
      <c r="H3" s="344">
        <v>2019.5709999999997</v>
      </c>
    </row>
    <row r="4" spans="1:8" ht="38.4" customHeight="1" x14ac:dyDescent="0.3">
      <c r="A4" s="345">
        <v>2</v>
      </c>
      <c r="B4" s="393" t="s">
        <v>1435</v>
      </c>
      <c r="C4" s="394"/>
      <c r="D4" s="397" t="s">
        <v>1430</v>
      </c>
      <c r="E4" s="398"/>
      <c r="F4" s="398"/>
      <c r="G4" s="346" t="s">
        <v>571</v>
      </c>
      <c r="H4" s="347">
        <v>187.29249999999999</v>
      </c>
    </row>
    <row r="5" spans="1:8" ht="38.4" customHeight="1" x14ac:dyDescent="0.3">
      <c r="A5" s="341">
        <v>3</v>
      </c>
      <c r="B5" s="390" t="s">
        <v>1434</v>
      </c>
      <c r="C5" s="391"/>
      <c r="D5" s="399" t="s">
        <v>1431</v>
      </c>
      <c r="E5" s="400"/>
      <c r="F5" s="400"/>
      <c r="G5" s="343" t="s">
        <v>571</v>
      </c>
      <c r="H5" s="344">
        <v>921.35473500000012</v>
      </c>
    </row>
    <row r="6" spans="1:8" ht="38.4" customHeight="1" x14ac:dyDescent="0.3">
      <c r="A6" s="345">
        <v>4</v>
      </c>
      <c r="B6" s="393" t="s">
        <v>1435</v>
      </c>
      <c r="C6" s="394"/>
      <c r="D6" s="397" t="s">
        <v>1432</v>
      </c>
      <c r="E6" s="398"/>
      <c r="F6" s="398"/>
      <c r="G6" s="346" t="s">
        <v>571</v>
      </c>
      <c r="H6" s="347">
        <v>1.6559999999999999</v>
      </c>
    </row>
    <row r="7" spans="1:8" ht="38.4" customHeight="1" x14ac:dyDescent="0.3">
      <c r="A7" s="341">
        <v>5</v>
      </c>
      <c r="B7" s="390" t="s">
        <v>1434</v>
      </c>
      <c r="C7" s="391"/>
      <c r="D7" s="399" t="s">
        <v>1433</v>
      </c>
      <c r="E7" s="400"/>
      <c r="F7" s="400"/>
      <c r="G7" s="343" t="s">
        <v>571</v>
      </c>
      <c r="H7" s="344">
        <v>308.42155000000002</v>
      </c>
    </row>
    <row r="8" spans="1:8" ht="38.4" customHeight="1" x14ac:dyDescent="0.3">
      <c r="A8" s="345">
        <v>6</v>
      </c>
      <c r="B8" s="393" t="s">
        <v>1435</v>
      </c>
      <c r="C8" s="394"/>
      <c r="D8" s="397" t="s">
        <v>1433</v>
      </c>
      <c r="E8" s="398"/>
      <c r="F8" s="398"/>
      <c r="G8" s="346" t="s">
        <v>571</v>
      </c>
      <c r="H8" s="347">
        <v>21.026000000000003</v>
      </c>
    </row>
    <row r="9" spans="1:8" x14ac:dyDescent="0.3">
      <c r="A9" s="386"/>
      <c r="B9" s="386"/>
      <c r="C9" s="386"/>
      <c r="D9" s="386"/>
      <c r="E9" s="386"/>
      <c r="F9" s="386"/>
      <c r="G9" s="386"/>
      <c r="H9" s="386"/>
    </row>
    <row r="10" spans="1:8" s="350" customFormat="1" ht="99.6" customHeight="1" x14ac:dyDescent="0.3">
      <c r="A10" s="348"/>
      <c r="B10" s="352" t="s">
        <v>1439</v>
      </c>
      <c r="C10" s="352" t="s">
        <v>1442</v>
      </c>
      <c r="D10" s="352" t="s">
        <v>1440</v>
      </c>
      <c r="E10" s="352" t="s">
        <v>1443</v>
      </c>
      <c r="F10" s="352" t="s">
        <v>1441</v>
      </c>
      <c r="G10" s="402" t="s">
        <v>1444</v>
      </c>
      <c r="H10" s="402"/>
    </row>
    <row r="11" spans="1:8" x14ac:dyDescent="0.3">
      <c r="A11" s="351" t="s">
        <v>1436</v>
      </c>
      <c r="B11" s="351">
        <v>654.87799999999993</v>
      </c>
      <c r="C11" s="351">
        <v>20.842499999999998</v>
      </c>
      <c r="D11" s="351">
        <v>257.89698500000003</v>
      </c>
      <c r="E11" s="351">
        <v>0</v>
      </c>
      <c r="F11" s="351">
        <v>107.64855000000001</v>
      </c>
      <c r="G11" s="403">
        <v>9.2690000000000019</v>
      </c>
      <c r="H11" s="403"/>
    </row>
    <row r="12" spans="1:8" x14ac:dyDescent="0.3">
      <c r="A12" s="351" t="s">
        <v>1437</v>
      </c>
      <c r="B12" s="351">
        <v>653.30674999999985</v>
      </c>
      <c r="C12" s="351">
        <v>82.800750000000008</v>
      </c>
      <c r="D12" s="351">
        <v>322.58204999999998</v>
      </c>
      <c r="E12" s="351">
        <v>1.6559999999999999</v>
      </c>
      <c r="F12" s="351">
        <v>172.68799999999999</v>
      </c>
      <c r="G12" s="403">
        <v>10.587</v>
      </c>
      <c r="H12" s="403"/>
    </row>
    <row r="13" spans="1:8" x14ac:dyDescent="0.3">
      <c r="A13" s="351" t="s">
        <v>1438</v>
      </c>
      <c r="B13" s="351">
        <v>711.38625000000002</v>
      </c>
      <c r="C13" s="351">
        <v>83.649249999999995</v>
      </c>
      <c r="D13" s="351">
        <v>340.87569999999999</v>
      </c>
      <c r="E13" s="351">
        <v>0</v>
      </c>
      <c r="F13" s="351">
        <v>28.084999999999997</v>
      </c>
      <c r="G13" s="403">
        <v>1.17</v>
      </c>
      <c r="H13" s="403"/>
    </row>
    <row r="14" spans="1:8" x14ac:dyDescent="0.3">
      <c r="A14" s="351"/>
      <c r="B14" s="353">
        <f>SUM(B11:B13)</f>
        <v>2019.5709999999999</v>
      </c>
      <c r="C14" s="353">
        <f>SUM(C11:C13)</f>
        <v>187.29250000000002</v>
      </c>
      <c r="D14" s="353">
        <f>SUM(D11:D13)</f>
        <v>921.35473500000012</v>
      </c>
      <c r="E14" s="353">
        <f>SUM(E11:E13)</f>
        <v>1.6559999999999999</v>
      </c>
      <c r="F14" s="353">
        <f>SUM(F11:F13)</f>
        <v>308.42154999999997</v>
      </c>
      <c r="G14" s="401">
        <f t="shared" ref="G14" si="0">SUM(G11:G13)</f>
        <v>21.026000000000003</v>
      </c>
      <c r="H14" s="401"/>
    </row>
  </sheetData>
  <mergeCells count="21">
    <mergeCell ref="G14:H14"/>
    <mergeCell ref="A9:H9"/>
    <mergeCell ref="B5:C5"/>
    <mergeCell ref="D5:F5"/>
    <mergeCell ref="B6:C6"/>
    <mergeCell ref="D6:F6"/>
    <mergeCell ref="B7:C7"/>
    <mergeCell ref="D7:F7"/>
    <mergeCell ref="B8:C8"/>
    <mergeCell ref="D8:F8"/>
    <mergeCell ref="G10:H10"/>
    <mergeCell ref="G11:H11"/>
    <mergeCell ref="G12:H12"/>
    <mergeCell ref="G13:H13"/>
    <mergeCell ref="B4:C4"/>
    <mergeCell ref="D4:F4"/>
    <mergeCell ref="A1:H1"/>
    <mergeCell ref="B2:C2"/>
    <mergeCell ref="D2:F2"/>
    <mergeCell ref="B3:C3"/>
    <mergeCell ref="D3:F3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workbookViewId="0"/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93" t="s">
        <v>571</v>
      </c>
    </row>
    <row r="4" spans="1:3" ht="34.799999999999997" x14ac:dyDescent="0.25">
      <c r="A4" s="104" t="s">
        <v>1</v>
      </c>
      <c r="B4" s="198" t="s">
        <v>1411</v>
      </c>
      <c r="C4" s="292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91" t="s">
        <v>95</v>
      </c>
      <c r="B16" s="121">
        <v>31.6</v>
      </c>
      <c r="C16" s="121">
        <v>26.2</v>
      </c>
    </row>
    <row r="17" spans="1:3" ht="14.4" x14ac:dyDescent="0.25">
      <c r="A17" s="291" t="s">
        <v>99</v>
      </c>
      <c r="B17" s="121">
        <v>0</v>
      </c>
      <c r="C17" s="121">
        <v>30.1</v>
      </c>
    </row>
    <row r="18" spans="1:3" ht="14.4" x14ac:dyDescent="0.25">
      <c r="A18" s="291" t="s">
        <v>103</v>
      </c>
      <c r="B18" s="121">
        <v>0</v>
      </c>
      <c r="C18" s="121">
        <v>27.6</v>
      </c>
    </row>
    <row r="19" spans="1:3" ht="14.4" x14ac:dyDescent="0.25">
      <c r="A19" s="291" t="s">
        <v>106</v>
      </c>
      <c r="B19" s="121">
        <v>0</v>
      </c>
      <c r="C19" s="121">
        <v>30.4</v>
      </c>
    </row>
    <row r="20" spans="1:3" ht="14.4" x14ac:dyDescent="0.25">
      <c r="A20" s="291" t="s">
        <v>110</v>
      </c>
      <c r="B20" s="121">
        <v>4.8</v>
      </c>
      <c r="C20" s="121">
        <v>16.7</v>
      </c>
    </row>
    <row r="21" spans="1:3" ht="14.4" x14ac:dyDescent="0.25">
      <c r="A21" s="291" t="s">
        <v>114</v>
      </c>
      <c r="B21" s="121">
        <v>5.3</v>
      </c>
      <c r="C21" s="121">
        <v>39.1</v>
      </c>
    </row>
    <row r="22" spans="1:3" ht="14.4" x14ac:dyDescent="0.25">
      <c r="A22" s="291" t="s">
        <v>118</v>
      </c>
      <c r="B22" s="121">
        <v>3</v>
      </c>
      <c r="C22" s="121">
        <v>49</v>
      </c>
    </row>
    <row r="23" spans="1:3" ht="14.4" x14ac:dyDescent="0.25">
      <c r="A23" s="294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91" t="s">
        <v>92</v>
      </c>
      <c r="B25" s="121">
        <v>14.3</v>
      </c>
      <c r="C25" s="87">
        <v>21.7</v>
      </c>
    </row>
    <row r="26" spans="1:3" ht="14.4" x14ac:dyDescent="0.25">
      <c r="A26" s="291" t="s">
        <v>97</v>
      </c>
      <c r="B26" s="121">
        <v>9</v>
      </c>
      <c r="C26" s="87">
        <v>20.9</v>
      </c>
    </row>
    <row r="27" spans="1:3" ht="14.4" x14ac:dyDescent="0.25">
      <c r="A27" s="291" t="s">
        <v>101</v>
      </c>
      <c r="B27" s="121">
        <v>12.2</v>
      </c>
      <c r="C27" s="87">
        <v>12.6</v>
      </c>
    </row>
    <row r="28" spans="1:3" ht="14.4" x14ac:dyDescent="0.25">
      <c r="A28" s="291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98" t="s">
        <v>505</v>
      </c>
      <c r="B31" s="299">
        <v>40.799999999999997</v>
      </c>
      <c r="C31" s="300">
        <v>0</v>
      </c>
    </row>
    <row r="32" spans="1:3" ht="14.4" x14ac:dyDescent="0.25">
      <c r="A32" s="298" t="s">
        <v>506</v>
      </c>
      <c r="B32" s="299">
        <v>37.299999999999997</v>
      </c>
      <c r="C32" s="300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96" t="s">
        <v>509</v>
      </c>
      <c r="B35" s="297">
        <v>117.7</v>
      </c>
      <c r="C35" s="297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91" t="s">
        <v>135</v>
      </c>
      <c r="B41" s="121">
        <v>0</v>
      </c>
      <c r="C41" s="121">
        <v>38.9</v>
      </c>
    </row>
    <row r="42" spans="1:3" ht="14.4" x14ac:dyDescent="0.25">
      <c r="A42" s="291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91" t="s">
        <v>154</v>
      </c>
      <c r="B50" s="121">
        <v>0</v>
      </c>
      <c r="C50" s="121">
        <v>48.2</v>
      </c>
    </row>
    <row r="51" spans="1:3" ht="14.4" x14ac:dyDescent="0.25">
      <c r="A51" s="291" t="s">
        <v>156</v>
      </c>
      <c r="B51" s="121">
        <v>0</v>
      </c>
      <c r="C51" s="121">
        <v>54.7</v>
      </c>
    </row>
    <row r="52" spans="1:3" ht="14.4" x14ac:dyDescent="0.25">
      <c r="A52" s="291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91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91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96" t="s">
        <v>539</v>
      </c>
      <c r="B65" s="297">
        <v>29.6</v>
      </c>
      <c r="C65" s="297">
        <v>0</v>
      </c>
    </row>
    <row r="66" spans="1:3" ht="14.4" x14ac:dyDescent="0.25">
      <c r="A66" s="296" t="s">
        <v>540</v>
      </c>
      <c r="B66" s="297">
        <v>8.8000000000000007</v>
      </c>
      <c r="C66" s="297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96" t="s">
        <v>542</v>
      </c>
      <c r="B68" s="297">
        <v>6.4</v>
      </c>
      <c r="C68" s="297">
        <v>38.299999999999997</v>
      </c>
    </row>
    <row r="69" spans="1:3" ht="14.4" x14ac:dyDescent="0.25">
      <c r="A69" s="298" t="s">
        <v>543</v>
      </c>
      <c r="B69" s="299">
        <v>5.2</v>
      </c>
      <c r="C69" s="299">
        <v>35</v>
      </c>
    </row>
    <row r="70" spans="1:3" ht="14.4" x14ac:dyDescent="0.25">
      <c r="A70" s="291" t="s">
        <v>191</v>
      </c>
      <c r="B70" s="121">
        <v>0</v>
      </c>
      <c r="C70" s="121">
        <v>79.900000000000006</v>
      </c>
    </row>
    <row r="71" spans="1:3" ht="14.4" x14ac:dyDescent="0.25">
      <c r="A71" s="291" t="s">
        <v>193</v>
      </c>
      <c r="B71" s="121">
        <v>11.5</v>
      </c>
      <c r="C71" s="121">
        <v>33.5</v>
      </c>
    </row>
    <row r="72" spans="1:3" ht="14.4" x14ac:dyDescent="0.25">
      <c r="A72" s="296" t="s">
        <v>546</v>
      </c>
      <c r="B72" s="297">
        <v>33.1</v>
      </c>
      <c r="C72" s="297">
        <v>19.2</v>
      </c>
    </row>
    <row r="73" spans="1:3" ht="14.4" x14ac:dyDescent="0.25">
      <c r="A73" s="296" t="s">
        <v>547</v>
      </c>
      <c r="B73" s="297">
        <v>6.3</v>
      </c>
      <c r="C73" s="297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96" t="s">
        <v>549</v>
      </c>
      <c r="B75" s="297">
        <v>5.0999999999999996</v>
      </c>
      <c r="C75" s="297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91" t="s">
        <v>202</v>
      </c>
      <c r="B78" s="121">
        <v>8.1</v>
      </c>
      <c r="C78" s="121">
        <v>19.899999999999999</v>
      </c>
    </row>
    <row r="79" spans="1:3" ht="14.4" x14ac:dyDescent="0.25">
      <c r="A79" s="291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91" t="s">
        <v>213</v>
      </c>
      <c r="B85" s="121">
        <v>4.8</v>
      </c>
      <c r="C85" s="121">
        <v>9.1</v>
      </c>
    </row>
    <row r="86" spans="1:3" ht="14.4" x14ac:dyDescent="0.25">
      <c r="A86" s="291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301" t="s">
        <v>425</v>
      </c>
      <c r="B88" s="302">
        <v>51.2</v>
      </c>
      <c r="C88" s="302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301" t="s">
        <v>428</v>
      </c>
      <c r="B91" s="302">
        <v>15.4</v>
      </c>
      <c r="C91" s="302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301" t="s">
        <v>431</v>
      </c>
      <c r="B94" s="302">
        <v>31.7</v>
      </c>
      <c r="C94" s="302">
        <v>0</v>
      </c>
    </row>
    <row r="95" spans="1:3" ht="14.4" x14ac:dyDescent="0.25">
      <c r="A95" s="301" t="s">
        <v>432</v>
      </c>
      <c r="B95" s="302">
        <v>81.400000000000006</v>
      </c>
      <c r="C95" s="302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95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301" t="s">
        <v>450</v>
      </c>
      <c r="B114" s="302">
        <v>30.6</v>
      </c>
      <c r="C114" s="302">
        <v>0</v>
      </c>
    </row>
    <row r="115" spans="1:3" ht="14.4" x14ac:dyDescent="0.25">
      <c r="A115" s="301" t="s">
        <v>451</v>
      </c>
      <c r="B115" s="302">
        <v>85.3</v>
      </c>
      <c r="C115" s="302">
        <v>42.8</v>
      </c>
    </row>
    <row r="116" spans="1:3" ht="14.4" x14ac:dyDescent="0.25">
      <c r="A116" s="301" t="s">
        <v>452</v>
      </c>
      <c r="B116" s="302">
        <v>123.1</v>
      </c>
      <c r="C116" s="302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91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96" t="s">
        <v>463</v>
      </c>
      <c r="B127" s="302">
        <v>27.9</v>
      </c>
      <c r="C127" s="302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91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96" t="s">
        <v>472</v>
      </c>
      <c r="B136" s="302">
        <v>4.5</v>
      </c>
      <c r="C136" s="302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96" t="s">
        <v>474</v>
      </c>
      <c r="B138" s="297">
        <v>13.2</v>
      </c>
      <c r="C138" s="297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96" t="s">
        <v>478</v>
      </c>
      <c r="B142" s="297">
        <v>79.099999999999994</v>
      </c>
      <c r="C142" s="297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91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301" t="s">
        <v>371</v>
      </c>
      <c r="B155" s="302">
        <v>124.2</v>
      </c>
      <c r="C155" s="302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301" t="s">
        <v>378</v>
      </c>
      <c r="B162" s="302">
        <v>117.1</v>
      </c>
      <c r="C162" s="302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96" t="s">
        <v>385</v>
      </c>
      <c r="B169" s="297">
        <v>64.400000000000006</v>
      </c>
      <c r="C169" s="297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96" t="s">
        <v>390</v>
      </c>
      <c r="B174" s="297">
        <v>12.8</v>
      </c>
      <c r="C174" s="297">
        <v>11.5</v>
      </c>
    </row>
    <row r="175" spans="1:3" ht="14.4" x14ac:dyDescent="0.25">
      <c r="A175" s="296" t="s">
        <v>391</v>
      </c>
      <c r="B175" s="297">
        <v>43.9</v>
      </c>
      <c r="C175" s="297">
        <v>4.9000000000000004</v>
      </c>
    </row>
    <row r="176" spans="1:3" ht="14.4" x14ac:dyDescent="0.25">
      <c r="A176" s="296" t="s">
        <v>392</v>
      </c>
      <c r="B176" s="297">
        <v>115.9</v>
      </c>
      <c r="C176" s="297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91" t="s">
        <v>353</v>
      </c>
      <c r="B178" s="121">
        <v>31.5</v>
      </c>
      <c r="C178" s="121">
        <v>0</v>
      </c>
    </row>
    <row r="179" spans="1:3" ht="14.4" x14ac:dyDescent="0.25">
      <c r="A179" s="298" t="s">
        <v>395</v>
      </c>
      <c r="B179" s="299">
        <v>37.6</v>
      </c>
      <c r="C179" s="299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72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</row>
    <row r="2" spans="1:17" ht="19.5" customHeight="1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370" t="s">
        <v>4</v>
      </c>
      <c r="N2" s="370"/>
      <c r="O2" s="373" t="s">
        <v>5</v>
      </c>
      <c r="P2" s="373"/>
      <c r="Q2" s="374" t="s">
        <v>6</v>
      </c>
    </row>
    <row r="3" spans="1:17" ht="19.5" customHeight="1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377" t="s">
        <v>10</v>
      </c>
      <c r="J3" s="377"/>
      <c r="K3" s="378" t="s">
        <v>11</v>
      </c>
      <c r="L3" s="378"/>
      <c r="M3" s="370" t="s">
        <v>12</v>
      </c>
      <c r="N3" s="371" t="s">
        <v>13</v>
      </c>
      <c r="O3" s="370" t="s">
        <v>12</v>
      </c>
      <c r="P3" s="375" t="s">
        <v>14</v>
      </c>
      <c r="Q3" s="374"/>
    </row>
    <row r="4" spans="1:17" ht="46.35" customHeight="1" x14ac:dyDescent="0.25">
      <c r="A4" s="371"/>
      <c r="B4" s="370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370"/>
      <c r="N4" s="371"/>
      <c r="O4" s="370"/>
      <c r="P4" s="375"/>
      <c r="Q4" s="374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79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9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33"/>
      <c r="N2" s="133"/>
      <c r="O2" s="133"/>
      <c r="P2" s="133"/>
      <c r="Q2" s="370" t="s">
        <v>4</v>
      </c>
      <c r="R2" s="370"/>
      <c r="S2" s="373" t="s">
        <v>5</v>
      </c>
      <c r="T2" s="373"/>
      <c r="U2" s="134" t="s">
        <v>6</v>
      </c>
    </row>
    <row r="3" spans="1:29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80" t="s">
        <v>63</v>
      </c>
      <c r="J3" s="81"/>
      <c r="K3" s="80" t="s">
        <v>64</v>
      </c>
      <c r="L3" s="81"/>
      <c r="M3" s="377" t="s">
        <v>10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34"/>
    </row>
    <row r="4" spans="1:29" ht="34.799999999999997" x14ac:dyDescent="0.25">
      <c r="A4" s="371"/>
      <c r="B4" s="370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70"/>
      <c r="R4" s="371"/>
      <c r="S4" s="370"/>
      <c r="T4" s="375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33"/>
      <c r="N2" s="133"/>
      <c r="O2" s="133"/>
      <c r="P2" s="133"/>
      <c r="Q2" s="370" t="s">
        <v>4</v>
      </c>
      <c r="R2" s="370"/>
      <c r="S2" s="373" t="s">
        <v>5</v>
      </c>
      <c r="T2" s="373"/>
      <c r="U2" s="134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35" t="s">
        <v>63</v>
      </c>
      <c r="J3" s="135"/>
      <c r="K3" s="135" t="s">
        <v>64</v>
      </c>
      <c r="L3" s="135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34"/>
    </row>
    <row r="4" spans="1:21" ht="34.799999999999997" x14ac:dyDescent="0.25">
      <c r="A4" s="371"/>
      <c r="B4" s="370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70"/>
      <c r="R4" s="371"/>
      <c r="S4" s="370"/>
      <c r="T4" s="375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82" t="s">
        <v>359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  <c r="L1" s="372"/>
      <c r="M1" s="372"/>
      <c r="N1" s="372"/>
      <c r="O1" s="372"/>
      <c r="P1" s="372"/>
      <c r="Q1" s="372"/>
      <c r="R1" s="372"/>
      <c r="S1" s="372"/>
      <c r="T1" s="372"/>
      <c r="U1" s="372"/>
    </row>
    <row r="2" spans="1:21" ht="17.399999999999999" x14ac:dyDescent="0.25">
      <c r="A2" s="371" t="s">
        <v>1</v>
      </c>
      <c r="B2" s="370" t="s">
        <v>2</v>
      </c>
      <c r="C2" s="372" t="s">
        <v>3</v>
      </c>
      <c r="D2" s="372"/>
      <c r="E2" s="372"/>
      <c r="F2" s="372"/>
      <c r="G2" s="372"/>
      <c r="H2" s="372"/>
      <c r="I2" s="372"/>
      <c r="J2" s="372"/>
      <c r="K2" s="372"/>
      <c r="L2" s="372"/>
      <c r="M2" s="133"/>
      <c r="N2" s="133"/>
      <c r="O2" s="133"/>
      <c r="P2" s="133"/>
      <c r="Q2" s="370" t="s">
        <v>4</v>
      </c>
      <c r="R2" s="370"/>
      <c r="S2" s="373" t="s">
        <v>5</v>
      </c>
      <c r="T2" s="373"/>
      <c r="U2" s="134" t="s">
        <v>6</v>
      </c>
    </row>
    <row r="3" spans="1:21" ht="17.399999999999999" x14ac:dyDescent="0.25">
      <c r="A3" s="371"/>
      <c r="B3" s="370"/>
      <c r="C3" s="373" t="s">
        <v>7</v>
      </c>
      <c r="D3" s="373"/>
      <c r="E3" s="376" t="s">
        <v>8</v>
      </c>
      <c r="F3" s="376"/>
      <c r="G3" s="377" t="s">
        <v>9</v>
      </c>
      <c r="H3" s="377"/>
      <c r="I3" s="135" t="s">
        <v>63</v>
      </c>
      <c r="J3" s="135"/>
      <c r="K3" s="135" t="s">
        <v>64</v>
      </c>
      <c r="L3" s="135"/>
      <c r="M3" s="381" t="s">
        <v>358</v>
      </c>
      <c r="N3" s="377"/>
      <c r="O3" s="378" t="s">
        <v>11</v>
      </c>
      <c r="P3" s="378"/>
      <c r="Q3" s="370" t="s">
        <v>12</v>
      </c>
      <c r="R3" s="371" t="s">
        <v>13</v>
      </c>
      <c r="S3" s="370" t="s">
        <v>12</v>
      </c>
      <c r="T3" s="375" t="s">
        <v>14</v>
      </c>
      <c r="U3" s="134"/>
    </row>
    <row r="4" spans="1:21" ht="34.799999999999997" x14ac:dyDescent="0.25">
      <c r="A4" s="371"/>
      <c r="B4" s="370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70"/>
      <c r="R4" s="371"/>
      <c r="S4" s="370"/>
      <c r="T4" s="375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404" t="s">
        <v>561</v>
      </c>
      <c r="B1" s="404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79.900000000000006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128.5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358.09999999999997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120.70000000000002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57.900000000000006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122.99999999999999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89.2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59.6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299.90000000000003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411.9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89.9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107.5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61.600000000000009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212.5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37.400000000000006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38.099999999999994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69.5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80.400000000000006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458.5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332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65.599999999999994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134.19999999999999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111.10000000000001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296.5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386.7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182.8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218.4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405" t="s">
        <v>561</v>
      </c>
      <c r="B1" s="406"/>
    </row>
    <row r="2" spans="1:7" ht="17.25" customHeight="1" x14ac:dyDescent="0.25">
      <c r="A2" s="407" t="s">
        <v>565</v>
      </c>
      <c r="B2" s="153"/>
    </row>
    <row r="3" spans="1:7" ht="17.25" customHeight="1" x14ac:dyDescent="0.25">
      <c r="A3" s="404"/>
      <c r="B3" s="153"/>
    </row>
    <row r="4" spans="1:7" ht="26.4" x14ac:dyDescent="0.25">
      <c r="A4" s="404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7.4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24.9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20.700000000000003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437.2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61.300000000000004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28.599999999999998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38.6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146.5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109.1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100.5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102.80000000000001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166.2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72.599999999999994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28.299999999999997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72.400000000000006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14.6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52.199999999999996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49.300000000000004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58.2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36.200000000000003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24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35.199999999999996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43.199999999999996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44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51.7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55.2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74.300000000000011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80.000000000000014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169.2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258.20000000000005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103.69999999999999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74.2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69.2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88.7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46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43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215.2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117.5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50.7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182.9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61.8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51.7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91.1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47.599999999999994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43.2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47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23.8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41.9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36.700000000000003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9.1999999999999993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19.400000000000002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39.299999999999997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38.6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36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56.900000000000006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195.70000000000002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28.8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102.19999999999999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46.800000000000004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27.900000000000002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14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81.5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33.1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78.7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75.7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81.7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56.600000000000009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13.100000000000001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32.500000000000007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83.8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75.600000000000009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80.8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30.099999999999998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59.8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95.3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129.9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135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108.99999999999999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29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120.00000000000001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407" t="s">
        <v>564</v>
      </c>
      <c r="B1" s="404"/>
    </row>
    <row r="2" spans="1:7" ht="17.25" customHeight="1" x14ac:dyDescent="0.25">
      <c r="A2" s="407" t="s">
        <v>565</v>
      </c>
      <c r="B2" s="153"/>
    </row>
    <row r="3" spans="1:7" ht="17.25" customHeight="1" x14ac:dyDescent="0.25">
      <c r="A3" s="404"/>
      <c r="B3" s="153"/>
    </row>
    <row r="4" spans="1:7" ht="26.4" x14ac:dyDescent="0.25">
      <c r="A4" s="404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77.8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102.89999999999999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123.80000000000001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89.9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102.20000000000002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100.3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99.1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102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170.1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28.4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43.300000000000004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70.900000000000006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48.5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28.699999999999996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76.599999999999994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31.399999999999995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47.499999999999993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74.199999999999989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589.5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98.699999999999989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45.1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30.800000000000004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44.6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71.799999999999983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70.8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24.599999999999998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40.699999999999996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283.39999999999998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261.59999999999997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71.800000000000011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76.599999999999994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46.3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74.8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92.100000000000009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36.9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78.500000000000014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32.300000000000004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81.3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73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82.600000000000009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72.199999999999989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32.6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73.2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78.3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81.600000000000009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104.8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33.499999999999993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96.7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33.1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82.399999999999991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30.2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30.399999999999995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96.699999999999989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30.1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137.1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75.699999999999989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105.9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407" t="s">
        <v>564</v>
      </c>
      <c r="B1" s="404"/>
    </row>
    <row r="2" spans="1:7" ht="12.75" customHeight="1" x14ac:dyDescent="0.25">
      <c r="A2" s="407" t="s">
        <v>565</v>
      </c>
      <c r="B2" s="153"/>
    </row>
    <row r="3" spans="1:7" ht="12.75" customHeight="1" x14ac:dyDescent="0.25">
      <c r="A3" s="404"/>
      <c r="B3" s="153"/>
    </row>
    <row r="4" spans="1:7" ht="26.4" x14ac:dyDescent="0.25">
      <c r="A4" s="404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zoomScale="55" zoomScaleNormal="55"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08" t="s">
        <v>586</v>
      </c>
      <c r="B1" s="409"/>
      <c r="C1" s="410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08" t="s">
        <v>586</v>
      </c>
      <c r="B1" s="409"/>
      <c r="C1" s="410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408" t="s">
        <v>586</v>
      </c>
      <c r="B1" s="409"/>
      <c r="C1" s="410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K16"/>
  <sheetViews>
    <sheetView workbookViewId="0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412" t="s">
        <v>579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</row>
    <row r="2" spans="1:11" ht="36" x14ac:dyDescent="0.25">
      <c r="A2" s="173" t="s">
        <v>580</v>
      </c>
      <c r="B2" s="413" t="s">
        <v>581</v>
      </c>
      <c r="C2" s="413"/>
      <c r="D2" s="413"/>
      <c r="E2" s="413"/>
      <c r="F2" s="413"/>
      <c r="G2" s="414" t="s">
        <v>582</v>
      </c>
      <c r="H2" s="414"/>
      <c r="I2" s="414"/>
      <c r="J2" s="327" t="s">
        <v>583</v>
      </c>
      <c r="K2" s="175" t="s">
        <v>584</v>
      </c>
    </row>
    <row r="3" spans="1:11" ht="54" customHeight="1" x14ac:dyDescent="0.25">
      <c r="A3" s="319">
        <v>1</v>
      </c>
      <c r="B3" s="415" t="s">
        <v>585</v>
      </c>
      <c r="C3" s="415"/>
      <c r="D3" s="415"/>
      <c r="E3" s="415"/>
      <c r="F3" s="415"/>
      <c r="G3" s="416" t="s">
        <v>623</v>
      </c>
      <c r="H3" s="412"/>
      <c r="I3" s="412"/>
      <c r="J3" s="319" t="s">
        <v>571</v>
      </c>
      <c r="K3" s="317">
        <f>D11+I12+D16</f>
        <v>266.53699999999998</v>
      </c>
    </row>
    <row r="4" spans="1:11" x14ac:dyDescent="0.35">
      <c r="A4" s="411"/>
      <c r="B4" s="411"/>
      <c r="C4" s="411"/>
      <c r="D4" s="411"/>
      <c r="E4" s="411"/>
      <c r="F4" s="411"/>
      <c r="G4" s="411"/>
      <c r="H4" s="411"/>
      <c r="I4" s="411"/>
      <c r="J4" s="411"/>
      <c r="K4" s="411"/>
    </row>
    <row r="5" spans="1:11" ht="36" x14ac:dyDescent="0.25">
      <c r="A5" s="318" t="s">
        <v>1426</v>
      </c>
      <c r="B5" s="318" t="s">
        <v>1424</v>
      </c>
      <c r="C5" s="318" t="s">
        <v>1425</v>
      </c>
      <c r="D5" s="318" t="s">
        <v>1427</v>
      </c>
      <c r="E5" s="420"/>
      <c r="F5" s="318" t="s">
        <v>1426</v>
      </c>
      <c r="G5" s="318" t="s">
        <v>1424</v>
      </c>
      <c r="H5" s="318" t="s">
        <v>1425</v>
      </c>
      <c r="I5" s="318" t="s">
        <v>1427</v>
      </c>
      <c r="J5" s="417"/>
      <c r="K5" s="417"/>
    </row>
    <row r="6" spans="1:11" x14ac:dyDescent="0.25">
      <c r="A6" s="321" t="s">
        <v>483</v>
      </c>
      <c r="B6" s="322">
        <v>1.8</v>
      </c>
      <c r="C6" s="322">
        <v>8.0399999999999991</v>
      </c>
      <c r="D6" s="325">
        <v>14.472</v>
      </c>
      <c r="E6" s="420"/>
      <c r="F6" s="321" t="s">
        <v>439</v>
      </c>
      <c r="G6" s="322">
        <v>1.8</v>
      </c>
      <c r="H6" s="322">
        <v>11.84</v>
      </c>
      <c r="I6" s="325">
        <v>21.312000000000001</v>
      </c>
      <c r="J6" s="417"/>
      <c r="K6" s="417"/>
    </row>
    <row r="7" spans="1:11" x14ac:dyDescent="0.25">
      <c r="A7" s="323" t="s">
        <v>500</v>
      </c>
      <c r="B7" s="324">
        <v>1.8</v>
      </c>
      <c r="C7" s="324">
        <v>6.9</v>
      </c>
      <c r="D7" s="326">
        <v>12.420000000000002</v>
      </c>
      <c r="E7" s="420"/>
      <c r="F7" s="323" t="s">
        <v>440</v>
      </c>
      <c r="G7" s="324">
        <v>0.85</v>
      </c>
      <c r="H7" s="324">
        <v>7.4</v>
      </c>
      <c r="I7" s="326">
        <v>6.29</v>
      </c>
      <c r="J7" s="417"/>
      <c r="K7" s="417"/>
    </row>
    <row r="8" spans="1:11" x14ac:dyDescent="0.25">
      <c r="A8" s="321" t="s">
        <v>527</v>
      </c>
      <c r="B8" s="322">
        <v>1.8</v>
      </c>
      <c r="C8" s="322">
        <v>6.7</v>
      </c>
      <c r="D8" s="325">
        <v>12.06</v>
      </c>
      <c r="E8" s="420"/>
      <c r="F8" s="321" t="s">
        <v>440</v>
      </c>
      <c r="G8" s="322">
        <v>4</v>
      </c>
      <c r="H8" s="322">
        <v>13.3</v>
      </c>
      <c r="I8" s="325">
        <v>53.2</v>
      </c>
      <c r="J8" s="417"/>
      <c r="K8" s="417"/>
    </row>
    <row r="9" spans="1:11" x14ac:dyDescent="0.25">
      <c r="A9" s="323" t="s">
        <v>493</v>
      </c>
      <c r="B9" s="324">
        <v>1.8</v>
      </c>
      <c r="C9" s="324">
        <v>7.96</v>
      </c>
      <c r="D9" s="326">
        <v>14.327999999999999</v>
      </c>
      <c r="E9" s="420"/>
      <c r="F9" s="323" t="s">
        <v>436</v>
      </c>
      <c r="G9" s="324">
        <v>0.85</v>
      </c>
      <c r="H9" s="324">
        <v>6.9</v>
      </c>
      <c r="I9" s="326">
        <v>5.8650000000000002</v>
      </c>
      <c r="J9" s="417"/>
      <c r="K9" s="417"/>
    </row>
    <row r="10" spans="1:11" x14ac:dyDescent="0.25">
      <c r="A10" s="321" t="s">
        <v>494</v>
      </c>
      <c r="B10" s="322">
        <v>1.8</v>
      </c>
      <c r="C10" s="322">
        <v>19.350000000000001</v>
      </c>
      <c r="D10" s="325">
        <v>34.830000000000005</v>
      </c>
      <c r="E10" s="420"/>
      <c r="F10" s="321" t="s">
        <v>436</v>
      </c>
      <c r="G10" s="322">
        <v>4</v>
      </c>
      <c r="H10" s="322">
        <v>13.4</v>
      </c>
      <c r="I10" s="325">
        <v>53.6</v>
      </c>
      <c r="J10" s="417"/>
      <c r="K10" s="417"/>
    </row>
    <row r="11" spans="1:11" x14ac:dyDescent="0.25">
      <c r="A11" s="421"/>
      <c r="B11" s="422"/>
      <c r="C11" s="319" t="s">
        <v>622</v>
      </c>
      <c r="D11" s="320">
        <f>SUM(D6:D10)</f>
        <v>88.110000000000014</v>
      </c>
      <c r="E11" s="420"/>
      <c r="F11" s="323" t="s">
        <v>671</v>
      </c>
      <c r="G11" s="324">
        <v>1.8</v>
      </c>
      <c r="H11" s="324">
        <v>13.2</v>
      </c>
      <c r="I11" s="326">
        <v>23.759999999999998</v>
      </c>
      <c r="J11" s="417"/>
      <c r="K11" s="417"/>
    </row>
    <row r="12" spans="1:11" x14ac:dyDescent="0.25">
      <c r="A12" s="417"/>
      <c r="B12" s="417"/>
      <c r="C12" s="417"/>
      <c r="D12" s="417"/>
      <c r="E12" s="417"/>
      <c r="F12" s="417"/>
      <c r="G12" s="417"/>
      <c r="H12" s="319" t="s">
        <v>622</v>
      </c>
      <c r="I12" s="320">
        <f>SUM(I6:I11)</f>
        <v>164.02699999999999</v>
      </c>
      <c r="J12" s="417"/>
      <c r="K12" s="417"/>
    </row>
    <row r="13" spans="1:11" x14ac:dyDescent="0.25">
      <c r="A13" s="417"/>
      <c r="B13" s="417"/>
      <c r="C13" s="417"/>
      <c r="D13" s="417"/>
      <c r="E13" s="417"/>
      <c r="F13" s="417"/>
      <c r="G13" s="417"/>
      <c r="H13" s="421"/>
      <c r="I13" s="422"/>
      <c r="J13" s="417"/>
      <c r="K13" s="417"/>
    </row>
    <row r="14" spans="1:11" ht="36" x14ac:dyDescent="0.25">
      <c r="A14" s="318" t="s">
        <v>1426</v>
      </c>
      <c r="B14" s="318" t="s">
        <v>1424</v>
      </c>
      <c r="C14" s="318" t="s">
        <v>1425</v>
      </c>
      <c r="D14" s="318" t="s">
        <v>1427</v>
      </c>
      <c r="E14" s="418"/>
      <c r="F14" s="419"/>
      <c r="G14" s="419"/>
      <c r="H14" s="419"/>
      <c r="I14" s="419"/>
      <c r="J14" s="417"/>
      <c r="K14" s="417"/>
    </row>
    <row r="15" spans="1:11" x14ac:dyDescent="0.25">
      <c r="A15" s="321" t="s">
        <v>369</v>
      </c>
      <c r="B15" s="322">
        <v>1.8</v>
      </c>
      <c r="C15" s="322">
        <v>8</v>
      </c>
      <c r="D15" s="325">
        <v>14.4</v>
      </c>
      <c r="E15" s="418"/>
      <c r="F15" s="419"/>
      <c r="G15" s="419"/>
      <c r="H15" s="419"/>
      <c r="I15" s="419"/>
      <c r="J15" s="417"/>
      <c r="K15" s="417"/>
    </row>
    <row r="16" spans="1:11" x14ac:dyDescent="0.25">
      <c r="A16" s="421"/>
      <c r="B16" s="422"/>
      <c r="C16" s="319" t="s">
        <v>622</v>
      </c>
      <c r="D16" s="320">
        <f>SUM(D15:D15)</f>
        <v>14.4</v>
      </c>
      <c r="E16" s="418"/>
      <c r="F16" s="419"/>
      <c r="G16" s="419"/>
      <c r="H16" s="419"/>
      <c r="I16" s="419"/>
      <c r="J16" s="417"/>
      <c r="K16" s="417"/>
    </row>
  </sheetData>
  <mergeCells count="13">
    <mergeCell ref="J5:K16"/>
    <mergeCell ref="E14:I16"/>
    <mergeCell ref="A12:G13"/>
    <mergeCell ref="E5:E11"/>
    <mergeCell ref="A16:B16"/>
    <mergeCell ref="A11:B11"/>
    <mergeCell ref="H13:I13"/>
    <mergeCell ref="A4:K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9"/>
  <sheetViews>
    <sheetView zoomScale="85" zoomScaleNormal="85" workbookViewId="0">
      <selection sqref="A1:K1"/>
    </sheetView>
  </sheetViews>
  <sheetFormatPr defaultRowHeight="15" x14ac:dyDescent="0.25"/>
  <cols>
    <col min="1" max="1" width="8.88671875" style="329"/>
    <col min="2" max="2" width="11.109375" style="329" bestFit="1" customWidth="1"/>
    <col min="3" max="3" width="13.21875" style="329" customWidth="1"/>
    <col min="4" max="4" width="10.21875" style="329" customWidth="1"/>
    <col min="5" max="5" width="8.88671875" style="329" customWidth="1"/>
    <col min="6" max="6" width="13.44140625" style="329" customWidth="1"/>
    <col min="7" max="7" width="14.6640625" style="329" customWidth="1"/>
    <col min="8" max="8" width="4.21875" style="329" customWidth="1"/>
    <col min="9" max="9" width="13" style="329" customWidth="1"/>
    <col min="10" max="10" width="10.5546875" style="329" bestFit="1" customWidth="1"/>
    <col min="11" max="11" width="11.33203125" style="329" customWidth="1"/>
    <col min="12" max="16384" width="8.88671875" style="329"/>
  </cols>
  <sheetData>
    <row r="1" spans="1:11" ht="18" customHeight="1" x14ac:dyDescent="0.25">
      <c r="A1" s="434" t="s">
        <v>586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</row>
    <row r="2" spans="1:11" ht="18" customHeight="1" x14ac:dyDescent="0.25">
      <c r="A2" s="339" t="s">
        <v>580</v>
      </c>
      <c r="B2" s="436" t="s">
        <v>789</v>
      </c>
      <c r="C2" s="437"/>
      <c r="D2" s="438"/>
      <c r="E2" s="436" t="s">
        <v>582</v>
      </c>
      <c r="F2" s="437"/>
      <c r="G2" s="437"/>
      <c r="H2" s="437"/>
      <c r="I2" s="438"/>
      <c r="J2" s="340" t="s">
        <v>583</v>
      </c>
      <c r="K2" s="340" t="s">
        <v>584</v>
      </c>
    </row>
    <row r="3" spans="1:11" ht="57.6" customHeight="1" x14ac:dyDescent="0.25">
      <c r="A3" s="339">
        <v>1</v>
      </c>
      <c r="B3" s="428" t="s">
        <v>1386</v>
      </c>
      <c r="C3" s="429"/>
      <c r="D3" s="430"/>
      <c r="E3" s="431" t="s">
        <v>1400</v>
      </c>
      <c r="F3" s="432"/>
      <c r="G3" s="432"/>
      <c r="H3" s="432"/>
      <c r="I3" s="433"/>
      <c r="J3" s="338" t="s">
        <v>571</v>
      </c>
      <c r="K3" s="337">
        <f>E8</f>
        <v>117.60000000000001</v>
      </c>
    </row>
    <row r="4" spans="1:11" ht="111" customHeight="1" x14ac:dyDescent="0.25">
      <c r="A4" s="339">
        <v>2</v>
      </c>
      <c r="B4" s="428" t="s">
        <v>1386</v>
      </c>
      <c r="C4" s="429"/>
      <c r="D4" s="430"/>
      <c r="E4" s="431" t="s">
        <v>1406</v>
      </c>
      <c r="F4" s="432"/>
      <c r="G4" s="432"/>
      <c r="H4" s="432"/>
      <c r="I4" s="433"/>
      <c r="J4" s="338" t="s">
        <v>571</v>
      </c>
      <c r="K4" s="337">
        <f>E9</f>
        <v>356.9</v>
      </c>
    </row>
    <row r="5" spans="1:11" ht="18" x14ac:dyDescent="0.25">
      <c r="A5" s="435"/>
      <c r="B5" s="435"/>
      <c r="C5" s="435"/>
      <c r="D5" s="435"/>
      <c r="E5" s="435"/>
      <c r="F5" s="435"/>
      <c r="G5" s="435"/>
      <c r="H5" s="435"/>
      <c r="I5" s="435"/>
      <c r="J5" s="435"/>
      <c r="K5" s="435"/>
    </row>
    <row r="6" spans="1:11" ht="18" x14ac:dyDescent="0.25">
      <c r="A6" s="336"/>
      <c r="B6" s="423" t="s">
        <v>1419</v>
      </c>
      <c r="C6" s="424"/>
      <c r="D6" s="424"/>
      <c r="E6" s="425"/>
      <c r="F6" s="426"/>
      <c r="G6" s="427"/>
      <c r="H6" s="427"/>
      <c r="I6" s="427"/>
      <c r="J6" s="427"/>
      <c r="K6" s="427"/>
    </row>
    <row r="7" spans="1:11" ht="18" x14ac:dyDescent="0.25">
      <c r="A7" s="332" t="s">
        <v>591</v>
      </c>
      <c r="B7" s="333">
        <v>1</v>
      </c>
      <c r="C7" s="333" t="s">
        <v>1421</v>
      </c>
      <c r="D7" s="333">
        <v>3</v>
      </c>
      <c r="E7" s="332" t="s">
        <v>1429</v>
      </c>
      <c r="F7" s="426"/>
      <c r="G7" s="427"/>
      <c r="H7" s="427"/>
      <c r="I7" s="427"/>
      <c r="J7" s="427"/>
      <c r="K7" s="427"/>
    </row>
    <row r="8" spans="1:11" ht="18" x14ac:dyDescent="0.25">
      <c r="A8" s="331" t="s">
        <v>792</v>
      </c>
      <c r="B8" s="330">
        <v>84.9</v>
      </c>
      <c r="C8" s="335">
        <v>28.4</v>
      </c>
      <c r="D8" s="330">
        <v>4.3</v>
      </c>
      <c r="E8" s="331">
        <v>117.60000000000001</v>
      </c>
      <c r="F8" s="426"/>
      <c r="G8" s="427"/>
      <c r="H8" s="427"/>
      <c r="I8" s="427"/>
      <c r="J8" s="427"/>
      <c r="K8" s="427"/>
    </row>
    <row r="9" spans="1:11" ht="18" x14ac:dyDescent="0.25">
      <c r="A9" s="332" t="s">
        <v>795</v>
      </c>
      <c r="B9" s="333">
        <v>182.7</v>
      </c>
      <c r="C9" s="334">
        <v>153.80000000000001</v>
      </c>
      <c r="D9" s="333">
        <v>20.399999999999999</v>
      </c>
      <c r="E9" s="332">
        <v>356.9</v>
      </c>
      <c r="F9" s="426"/>
      <c r="G9" s="427"/>
      <c r="H9" s="427"/>
      <c r="I9" s="427"/>
      <c r="J9" s="427"/>
      <c r="K9" s="427"/>
    </row>
  </sheetData>
  <mergeCells count="10">
    <mergeCell ref="B6:E6"/>
    <mergeCell ref="F6:K9"/>
    <mergeCell ref="B4:D4"/>
    <mergeCell ref="E4:I4"/>
    <mergeCell ref="A1:K1"/>
    <mergeCell ref="A5:K5"/>
    <mergeCell ref="B3:D3"/>
    <mergeCell ref="E3:I3"/>
    <mergeCell ref="E2:I2"/>
    <mergeCell ref="B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K30"/>
  <sheetViews>
    <sheetView workbookViewId="0">
      <selection sqref="A1:K1"/>
    </sheetView>
  </sheetViews>
  <sheetFormatPr defaultRowHeight="18" x14ac:dyDescent="0.25"/>
  <cols>
    <col min="1" max="1" width="7.21875" style="306" customWidth="1"/>
    <col min="2" max="2" width="10.88671875" style="306" customWidth="1"/>
    <col min="3" max="3" width="8" style="306" customWidth="1"/>
    <col min="4" max="4" width="12" style="306" customWidth="1"/>
    <col min="5" max="5" width="7.109375" style="306" customWidth="1"/>
    <col min="6" max="6" width="7.6640625" style="306" customWidth="1"/>
    <col min="7" max="7" width="9.33203125" style="306" customWidth="1"/>
    <col min="8" max="8" width="9.88671875" style="306" customWidth="1"/>
    <col min="9" max="9" width="12.109375" style="306" customWidth="1"/>
    <col min="10" max="10" width="7.88671875" style="306" customWidth="1"/>
    <col min="11" max="11" width="10.109375" style="306" customWidth="1"/>
    <col min="12" max="16384" width="8.88671875" style="306"/>
  </cols>
  <sheetData>
    <row r="1" spans="1:11" x14ac:dyDescent="0.25">
      <c r="A1" s="412" t="s">
        <v>579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</row>
    <row r="2" spans="1:11" ht="36" x14ac:dyDescent="0.25">
      <c r="A2" s="173" t="s">
        <v>580</v>
      </c>
      <c r="B2" s="413" t="s">
        <v>581</v>
      </c>
      <c r="C2" s="413"/>
      <c r="D2" s="413"/>
      <c r="E2" s="413"/>
      <c r="F2" s="413"/>
      <c r="G2" s="414" t="s">
        <v>582</v>
      </c>
      <c r="H2" s="414"/>
      <c r="I2" s="414"/>
      <c r="J2" s="177" t="s">
        <v>583</v>
      </c>
      <c r="K2" s="175" t="s">
        <v>584</v>
      </c>
    </row>
    <row r="3" spans="1:11" ht="54" customHeight="1" x14ac:dyDescent="0.25">
      <c r="A3" s="316">
        <v>1</v>
      </c>
      <c r="B3" s="415" t="s">
        <v>585</v>
      </c>
      <c r="C3" s="415"/>
      <c r="D3" s="415"/>
      <c r="E3" s="415"/>
      <c r="F3" s="415"/>
      <c r="G3" s="416" t="s">
        <v>624</v>
      </c>
      <c r="H3" s="412"/>
      <c r="I3" s="412"/>
      <c r="J3" s="316" t="s">
        <v>571</v>
      </c>
      <c r="K3" s="317">
        <f>D16+I15+D27</f>
        <v>129.5916</v>
      </c>
    </row>
    <row r="4" spans="1:11" ht="52.8" customHeight="1" x14ac:dyDescent="0.25">
      <c r="A4" s="319">
        <v>1</v>
      </c>
      <c r="B4" s="415" t="s">
        <v>585</v>
      </c>
      <c r="C4" s="415"/>
      <c r="D4" s="415"/>
      <c r="E4" s="415"/>
      <c r="F4" s="415"/>
      <c r="G4" s="416" t="s">
        <v>1428</v>
      </c>
      <c r="H4" s="412"/>
      <c r="I4" s="412"/>
      <c r="J4" s="319" t="s">
        <v>571</v>
      </c>
      <c r="K4" s="317">
        <f>C30</f>
        <v>15.5</v>
      </c>
    </row>
    <row r="5" spans="1:11" ht="8.4" customHeight="1" x14ac:dyDescent="0.35">
      <c r="A5" s="411"/>
      <c r="B5" s="411"/>
      <c r="C5" s="411"/>
      <c r="D5" s="411"/>
      <c r="E5" s="411"/>
      <c r="F5" s="411"/>
      <c r="G5" s="411"/>
      <c r="H5" s="411"/>
      <c r="I5" s="411"/>
      <c r="J5" s="411"/>
      <c r="K5" s="411"/>
    </row>
    <row r="6" spans="1:11" ht="36" x14ac:dyDescent="0.25">
      <c r="A6" s="318" t="s">
        <v>1426</v>
      </c>
      <c r="B6" s="318" t="s">
        <v>1424</v>
      </c>
      <c r="C6" s="318" t="s">
        <v>1425</v>
      </c>
      <c r="D6" s="318" t="s">
        <v>1427</v>
      </c>
      <c r="E6" s="417"/>
      <c r="F6" s="318" t="s">
        <v>1426</v>
      </c>
      <c r="G6" s="318" t="s">
        <v>1424</v>
      </c>
      <c r="H6" s="318" t="s">
        <v>1425</v>
      </c>
      <c r="I6" s="318" t="s">
        <v>1427</v>
      </c>
      <c r="J6" s="417"/>
      <c r="K6" s="417"/>
    </row>
    <row r="7" spans="1:11" x14ac:dyDescent="0.25">
      <c r="A7" s="321" t="s">
        <v>503</v>
      </c>
      <c r="B7" s="322">
        <v>1.8</v>
      </c>
      <c r="C7" s="322">
        <v>1.2</v>
      </c>
      <c r="D7" s="325">
        <f>B7*C7</f>
        <v>2.16</v>
      </c>
      <c r="E7" s="417"/>
      <c r="F7" s="321" t="s">
        <v>444</v>
      </c>
      <c r="G7" s="322">
        <v>1.8</v>
      </c>
      <c r="H7" s="322">
        <v>1.1499999999999999</v>
      </c>
      <c r="I7" s="325">
        <f>G7*H7</f>
        <v>2.0699999999999998</v>
      </c>
      <c r="J7" s="417"/>
      <c r="K7" s="417"/>
    </row>
    <row r="8" spans="1:11" x14ac:dyDescent="0.25">
      <c r="A8" s="323" t="s">
        <v>504</v>
      </c>
      <c r="B8" s="324">
        <v>1.8</v>
      </c>
      <c r="C8" s="324">
        <v>1.8</v>
      </c>
      <c r="D8" s="326">
        <f t="shared" ref="D8:D14" si="0">B8*C8</f>
        <v>3.24</v>
      </c>
      <c r="E8" s="417"/>
      <c r="F8" s="323" t="s">
        <v>425</v>
      </c>
      <c r="G8" s="324">
        <v>1.8</v>
      </c>
      <c r="H8" s="324">
        <v>2.06</v>
      </c>
      <c r="I8" s="326">
        <f t="shared" ref="I8:I14" si="1">G8*H8</f>
        <v>3.7080000000000002</v>
      </c>
      <c r="J8" s="417"/>
      <c r="K8" s="417"/>
    </row>
    <row r="9" spans="1:11" x14ac:dyDescent="0.25">
      <c r="A9" s="321" t="s">
        <v>488</v>
      </c>
      <c r="B9" s="322">
        <v>1.8</v>
      </c>
      <c r="C9" s="322">
        <v>1.85</v>
      </c>
      <c r="D9" s="325">
        <f t="shared" si="0"/>
        <v>3.33</v>
      </c>
      <c r="E9" s="417"/>
      <c r="F9" s="321" t="s">
        <v>426</v>
      </c>
      <c r="G9" s="322">
        <v>1.8</v>
      </c>
      <c r="H9" s="322">
        <v>1.23</v>
      </c>
      <c r="I9" s="325">
        <f t="shared" si="1"/>
        <v>2.214</v>
      </c>
      <c r="J9" s="417"/>
      <c r="K9" s="417"/>
    </row>
    <row r="10" spans="1:11" x14ac:dyDescent="0.25">
      <c r="A10" s="323" t="s">
        <v>489</v>
      </c>
      <c r="B10" s="324">
        <v>1.8</v>
      </c>
      <c r="C10" s="324">
        <v>1.23</v>
      </c>
      <c r="D10" s="326">
        <f t="shared" si="0"/>
        <v>2.214</v>
      </c>
      <c r="E10" s="417"/>
      <c r="F10" s="323" t="s">
        <v>427</v>
      </c>
      <c r="G10" s="324">
        <v>1.8</v>
      </c>
      <c r="H10" s="324">
        <f>1.83+1.8</f>
        <v>3.63</v>
      </c>
      <c r="I10" s="326">
        <f t="shared" si="1"/>
        <v>6.5339999999999998</v>
      </c>
      <c r="J10" s="417"/>
      <c r="K10" s="417"/>
    </row>
    <row r="11" spans="1:11" x14ac:dyDescent="0.25">
      <c r="A11" s="321" t="s">
        <v>490</v>
      </c>
      <c r="B11" s="322">
        <v>1.8</v>
      </c>
      <c r="C11" s="322">
        <v>1.41</v>
      </c>
      <c r="D11" s="325">
        <f t="shared" si="0"/>
        <v>2.5379999999999998</v>
      </c>
      <c r="E11" s="417"/>
      <c r="F11" s="321" t="s">
        <v>428</v>
      </c>
      <c r="G11" s="322">
        <v>1.8</v>
      </c>
      <c r="H11" s="322">
        <v>1.41</v>
      </c>
      <c r="I11" s="325">
        <f t="shared" si="1"/>
        <v>2.5379999999999998</v>
      </c>
      <c r="J11" s="417"/>
      <c r="K11" s="417"/>
    </row>
    <row r="12" spans="1:11" x14ac:dyDescent="0.25">
      <c r="A12" s="323" t="s">
        <v>491</v>
      </c>
      <c r="B12" s="324">
        <v>1.8</v>
      </c>
      <c r="C12" s="324">
        <f>2.86+1.812</f>
        <v>4.6719999999999997</v>
      </c>
      <c r="D12" s="326">
        <f t="shared" si="0"/>
        <v>8.4095999999999993</v>
      </c>
      <c r="E12" s="417"/>
      <c r="F12" s="323" t="s">
        <v>429</v>
      </c>
      <c r="G12" s="324">
        <v>1.8</v>
      </c>
      <c r="H12" s="324">
        <v>2.72</v>
      </c>
      <c r="I12" s="326">
        <f t="shared" si="1"/>
        <v>4.8960000000000008</v>
      </c>
      <c r="J12" s="417"/>
      <c r="K12" s="417"/>
    </row>
    <row r="13" spans="1:11" x14ac:dyDescent="0.25">
      <c r="A13" s="321" t="s">
        <v>495</v>
      </c>
      <c r="B13" s="322">
        <v>4</v>
      </c>
      <c r="C13" s="322">
        <f>D13/B13</f>
        <v>5.6749999999999998</v>
      </c>
      <c r="D13" s="325">
        <v>22.7</v>
      </c>
      <c r="E13" s="417"/>
      <c r="F13" s="321" t="s">
        <v>430</v>
      </c>
      <c r="G13" s="322">
        <v>1.8</v>
      </c>
      <c r="H13" s="322">
        <v>1.41</v>
      </c>
      <c r="I13" s="325">
        <f t="shared" si="1"/>
        <v>2.5379999999999998</v>
      </c>
      <c r="J13" s="417"/>
      <c r="K13" s="417"/>
    </row>
    <row r="14" spans="1:11" x14ac:dyDescent="0.25">
      <c r="A14" s="323" t="s">
        <v>496</v>
      </c>
      <c r="B14" s="324">
        <v>1.8</v>
      </c>
      <c r="C14" s="324">
        <v>1</v>
      </c>
      <c r="D14" s="326">
        <f t="shared" si="0"/>
        <v>1.8</v>
      </c>
      <c r="E14" s="417"/>
      <c r="F14" s="323" t="s">
        <v>431</v>
      </c>
      <c r="G14" s="324">
        <v>1.8</v>
      </c>
      <c r="H14" s="324">
        <v>1.4</v>
      </c>
      <c r="I14" s="326">
        <f t="shared" si="1"/>
        <v>2.52</v>
      </c>
      <c r="J14" s="417"/>
      <c r="K14" s="417"/>
    </row>
    <row r="15" spans="1:11" x14ac:dyDescent="0.25">
      <c r="A15" s="321" t="s">
        <v>531</v>
      </c>
      <c r="B15" s="322">
        <v>4</v>
      </c>
      <c r="C15" s="322">
        <f>D15/B15</f>
        <v>6.625</v>
      </c>
      <c r="D15" s="325">
        <v>26.5</v>
      </c>
      <c r="E15" s="417"/>
      <c r="F15" s="190"/>
      <c r="G15" s="190"/>
      <c r="H15" s="316" t="s">
        <v>622</v>
      </c>
      <c r="I15" s="320">
        <f>SUM(I7:I14)</f>
        <v>27.018000000000001</v>
      </c>
      <c r="J15" s="417"/>
      <c r="K15" s="417"/>
    </row>
    <row r="16" spans="1:11" x14ac:dyDescent="0.25">
      <c r="A16" s="190"/>
      <c r="B16" s="190"/>
      <c r="C16" s="316" t="s">
        <v>622</v>
      </c>
      <c r="D16" s="320">
        <f>SUM(D7:D15)</f>
        <v>72.891599999999997</v>
      </c>
      <c r="E16" s="417"/>
      <c r="F16" s="417"/>
      <c r="G16" s="417"/>
      <c r="H16" s="417"/>
      <c r="I16" s="417"/>
      <c r="J16" s="417"/>
      <c r="K16" s="417"/>
    </row>
    <row r="17" spans="1:11" ht="9" customHeight="1" x14ac:dyDescent="0.25">
      <c r="A17" s="439"/>
      <c r="B17" s="439"/>
      <c r="C17" s="439"/>
      <c r="D17" s="439"/>
      <c r="E17" s="417"/>
      <c r="F17" s="417"/>
      <c r="G17" s="417"/>
      <c r="H17" s="417"/>
      <c r="I17" s="417"/>
      <c r="J17" s="417"/>
      <c r="K17" s="417"/>
    </row>
    <row r="18" spans="1:11" ht="36" x14ac:dyDescent="0.25">
      <c r="A18" s="318" t="s">
        <v>1426</v>
      </c>
      <c r="B18" s="318" t="s">
        <v>1424</v>
      </c>
      <c r="C18" s="318" t="s">
        <v>1425</v>
      </c>
      <c r="D18" s="318" t="s">
        <v>1427</v>
      </c>
      <c r="E18" s="417"/>
      <c r="F18" s="417"/>
      <c r="G18" s="417"/>
      <c r="H18" s="417"/>
      <c r="I18" s="417"/>
      <c r="J18" s="417"/>
      <c r="K18" s="417"/>
    </row>
    <row r="19" spans="1:11" x14ac:dyDescent="0.25">
      <c r="A19" s="321" t="s">
        <v>361</v>
      </c>
      <c r="B19" s="322">
        <v>1.8</v>
      </c>
      <c r="C19" s="322">
        <v>2.06</v>
      </c>
      <c r="D19" s="325">
        <f>B19*C19</f>
        <v>3.7080000000000002</v>
      </c>
      <c r="E19" s="417"/>
      <c r="F19" s="417"/>
      <c r="G19" s="417"/>
      <c r="H19" s="417"/>
      <c r="I19" s="417"/>
      <c r="J19" s="417"/>
      <c r="K19" s="417"/>
    </row>
    <row r="20" spans="1:11" x14ac:dyDescent="0.25">
      <c r="A20" s="323" t="s">
        <v>362</v>
      </c>
      <c r="B20" s="324">
        <v>1.8</v>
      </c>
      <c r="C20" s="324">
        <f>1.23+1.36</f>
        <v>2.59</v>
      </c>
      <c r="D20" s="326">
        <f t="shared" ref="D20:D26" si="2">B20*C20</f>
        <v>4.6619999999999999</v>
      </c>
      <c r="E20" s="417"/>
      <c r="F20" s="417"/>
      <c r="G20" s="417"/>
      <c r="H20" s="417"/>
      <c r="I20" s="417"/>
      <c r="J20" s="417"/>
      <c r="K20" s="417"/>
    </row>
    <row r="21" spans="1:11" x14ac:dyDescent="0.25">
      <c r="A21" s="321" t="s">
        <v>364</v>
      </c>
      <c r="B21" s="322">
        <v>1.8</v>
      </c>
      <c r="C21" s="322">
        <v>1.43</v>
      </c>
      <c r="D21" s="325">
        <f t="shared" si="2"/>
        <v>2.5739999999999998</v>
      </c>
      <c r="E21" s="417"/>
      <c r="F21" s="417"/>
      <c r="G21" s="417"/>
      <c r="H21" s="417"/>
      <c r="I21" s="417"/>
      <c r="J21" s="417"/>
      <c r="K21" s="417"/>
    </row>
    <row r="22" spans="1:11" x14ac:dyDescent="0.25">
      <c r="A22" s="323" t="s">
        <v>365</v>
      </c>
      <c r="B22" s="324">
        <v>1.8</v>
      </c>
      <c r="C22" s="324">
        <v>1.41</v>
      </c>
      <c r="D22" s="326">
        <f t="shared" si="2"/>
        <v>2.5379999999999998</v>
      </c>
      <c r="E22" s="417"/>
      <c r="F22" s="417"/>
      <c r="G22" s="417"/>
      <c r="H22" s="417"/>
      <c r="I22" s="417"/>
      <c r="J22" s="417"/>
      <c r="K22" s="417"/>
    </row>
    <row r="23" spans="1:11" x14ac:dyDescent="0.25">
      <c r="A23" s="321" t="s">
        <v>366</v>
      </c>
      <c r="B23" s="322">
        <v>1.8</v>
      </c>
      <c r="C23" s="322">
        <v>2.72</v>
      </c>
      <c r="D23" s="325">
        <f t="shared" si="2"/>
        <v>4.8960000000000008</v>
      </c>
      <c r="E23" s="417"/>
      <c r="F23" s="417"/>
      <c r="G23" s="417"/>
      <c r="H23" s="417"/>
      <c r="I23" s="417"/>
      <c r="J23" s="417"/>
      <c r="K23" s="417"/>
    </row>
    <row r="24" spans="1:11" x14ac:dyDescent="0.25">
      <c r="A24" s="323" t="s">
        <v>367</v>
      </c>
      <c r="B24" s="324">
        <v>1.8</v>
      </c>
      <c r="C24" s="324">
        <v>1.41</v>
      </c>
      <c r="D24" s="326">
        <f t="shared" si="2"/>
        <v>2.5379999999999998</v>
      </c>
      <c r="E24" s="417"/>
      <c r="F24" s="417"/>
      <c r="G24" s="417"/>
      <c r="H24" s="417"/>
      <c r="I24" s="417"/>
      <c r="J24" s="417"/>
      <c r="K24" s="417"/>
    </row>
    <row r="25" spans="1:11" x14ac:dyDescent="0.25">
      <c r="A25" s="321" t="s">
        <v>368</v>
      </c>
      <c r="B25" s="322">
        <v>1.8</v>
      </c>
      <c r="C25" s="322">
        <v>1.2</v>
      </c>
      <c r="D25" s="325">
        <f t="shared" si="2"/>
        <v>2.16</v>
      </c>
      <c r="E25" s="417"/>
      <c r="F25" s="417"/>
      <c r="G25" s="417"/>
      <c r="H25" s="417"/>
      <c r="I25" s="417"/>
      <c r="J25" s="417"/>
      <c r="K25" s="417"/>
    </row>
    <row r="26" spans="1:11" x14ac:dyDescent="0.25">
      <c r="A26" s="323" t="s">
        <v>385</v>
      </c>
      <c r="B26" s="324">
        <v>1.8</v>
      </c>
      <c r="C26" s="324">
        <f>1.87+1.8</f>
        <v>3.67</v>
      </c>
      <c r="D26" s="326">
        <f t="shared" si="2"/>
        <v>6.6059999999999999</v>
      </c>
      <c r="E26" s="417"/>
      <c r="F26" s="417"/>
      <c r="G26" s="417"/>
      <c r="H26" s="417"/>
      <c r="I26" s="417"/>
      <c r="J26" s="417"/>
      <c r="K26" s="417"/>
    </row>
    <row r="27" spans="1:11" x14ac:dyDescent="0.25">
      <c r="A27" s="190"/>
      <c r="B27" s="190"/>
      <c r="C27" s="316" t="s">
        <v>622</v>
      </c>
      <c r="D27" s="320">
        <f>SUM(D19:D26)</f>
        <v>29.682000000000002</v>
      </c>
      <c r="E27" s="417"/>
      <c r="F27" s="417"/>
      <c r="G27" s="417"/>
      <c r="H27" s="417"/>
      <c r="I27" s="417"/>
      <c r="J27" s="417"/>
      <c r="K27" s="417"/>
    </row>
    <row r="28" spans="1:11" ht="10.199999999999999" customHeight="1" x14ac:dyDescent="0.25">
      <c r="E28" s="417"/>
      <c r="F28" s="417"/>
      <c r="G28" s="417"/>
      <c r="H28" s="417"/>
      <c r="I28" s="417"/>
      <c r="J28" s="417"/>
      <c r="K28" s="417"/>
    </row>
    <row r="29" spans="1:11" ht="46.8" x14ac:dyDescent="0.25">
      <c r="A29" s="328" t="s">
        <v>1426</v>
      </c>
      <c r="B29" s="328" t="s">
        <v>591</v>
      </c>
      <c r="C29" s="328" t="s">
        <v>1427</v>
      </c>
      <c r="D29" s="418"/>
      <c r="E29" s="419"/>
      <c r="F29" s="419"/>
      <c r="G29" s="419"/>
      <c r="H29" s="419"/>
      <c r="I29" s="419"/>
      <c r="J29" s="419"/>
      <c r="K29" s="419"/>
    </row>
    <row r="30" spans="1:11" x14ac:dyDescent="0.25">
      <c r="A30" s="321" t="s">
        <v>373</v>
      </c>
      <c r="B30" s="322" t="s">
        <v>603</v>
      </c>
      <c r="C30" s="322">
        <v>15.5</v>
      </c>
      <c r="D30" s="418"/>
      <c r="E30" s="419"/>
      <c r="F30" s="419"/>
      <c r="G30" s="419"/>
      <c r="H30" s="419"/>
      <c r="I30" s="419"/>
      <c r="J30" s="419"/>
      <c r="K30" s="419"/>
    </row>
  </sheetData>
  <mergeCells count="13">
    <mergeCell ref="E6:E28"/>
    <mergeCell ref="A17:D17"/>
    <mergeCell ref="D29:K30"/>
    <mergeCell ref="J6:K28"/>
    <mergeCell ref="F16:I28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sqref="A1:F1"/>
    </sheetView>
  </sheetViews>
  <sheetFormatPr defaultRowHeight="18" x14ac:dyDescent="0.25"/>
  <cols>
    <col min="1" max="1" width="8.6640625" style="306" customWidth="1"/>
    <col min="2" max="2" width="45.77734375" style="306" customWidth="1"/>
    <col min="3" max="3" width="7.5546875" style="306" customWidth="1"/>
    <col min="4" max="4" width="8.33203125" style="306" customWidth="1"/>
    <col min="5" max="5" width="11.6640625" style="306" customWidth="1"/>
    <col min="6" max="6" width="9.21875" style="306" customWidth="1"/>
    <col min="7" max="16384" width="8.88671875" style="306"/>
  </cols>
  <sheetData>
    <row r="1" spans="1:6" x14ac:dyDescent="0.25">
      <c r="A1" s="412" t="s">
        <v>579</v>
      </c>
      <c r="B1" s="412"/>
      <c r="C1" s="412"/>
      <c r="D1" s="412"/>
      <c r="E1" s="412"/>
      <c r="F1" s="412"/>
    </row>
    <row r="2" spans="1:6" ht="36" customHeight="1" x14ac:dyDescent="0.25">
      <c r="A2" s="173" t="s">
        <v>580</v>
      </c>
      <c r="B2" s="177" t="s">
        <v>581</v>
      </c>
      <c r="C2" s="442" t="s">
        <v>582</v>
      </c>
      <c r="D2" s="443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440" t="s">
        <v>624</v>
      </c>
      <c r="D3" s="441"/>
      <c r="E3" s="188" t="s">
        <v>571</v>
      </c>
      <c r="F3" s="179">
        <f>F17</f>
        <v>438.23200000000003</v>
      </c>
    </row>
    <row r="4" spans="1:6" x14ac:dyDescent="0.25">
      <c r="A4" s="445"/>
      <c r="B4" s="445"/>
      <c r="C4" s="445"/>
      <c r="D4" s="445"/>
      <c r="E4" s="445"/>
      <c r="F4" s="445"/>
    </row>
    <row r="5" spans="1:6" x14ac:dyDescent="0.35">
      <c r="A5" s="419"/>
      <c r="B5" s="444"/>
      <c r="C5" s="307" t="s">
        <v>580</v>
      </c>
      <c r="D5" s="308" t="s">
        <v>1412</v>
      </c>
      <c r="E5" s="309" t="s">
        <v>583</v>
      </c>
      <c r="F5" s="310" t="s">
        <v>584</v>
      </c>
    </row>
    <row r="6" spans="1:6" x14ac:dyDescent="0.35">
      <c r="A6" s="419"/>
      <c r="B6" s="444"/>
      <c r="C6" s="308">
        <v>1</v>
      </c>
      <c r="D6" s="311" t="s">
        <v>496</v>
      </c>
      <c r="E6" s="312" t="s">
        <v>571</v>
      </c>
      <c r="F6" s="313">
        <v>56</v>
      </c>
    </row>
    <row r="7" spans="1:6" x14ac:dyDescent="0.35">
      <c r="A7" s="419"/>
      <c r="B7" s="444"/>
      <c r="C7" s="308">
        <v>2</v>
      </c>
      <c r="D7" s="311" t="s">
        <v>497</v>
      </c>
      <c r="E7" s="312" t="s">
        <v>571</v>
      </c>
      <c r="F7" s="313">
        <v>53.6</v>
      </c>
    </row>
    <row r="8" spans="1:6" x14ac:dyDescent="0.35">
      <c r="A8" s="419"/>
      <c r="B8" s="444"/>
      <c r="C8" s="308">
        <v>3</v>
      </c>
      <c r="D8" s="311" t="s">
        <v>499</v>
      </c>
      <c r="E8" s="312" t="s">
        <v>571</v>
      </c>
      <c r="F8" s="313">
        <v>39</v>
      </c>
    </row>
    <row r="9" spans="1:6" x14ac:dyDescent="0.35">
      <c r="A9" s="419"/>
      <c r="B9" s="444"/>
      <c r="C9" s="308">
        <v>4</v>
      </c>
      <c r="D9" s="311" t="s">
        <v>501</v>
      </c>
      <c r="E9" s="312" t="s">
        <v>571</v>
      </c>
      <c r="F9" s="313">
        <v>42</v>
      </c>
    </row>
    <row r="10" spans="1:6" x14ac:dyDescent="0.35">
      <c r="A10" s="419"/>
      <c r="B10" s="444"/>
      <c r="C10" s="308">
        <v>5</v>
      </c>
      <c r="D10" s="311" t="s">
        <v>516</v>
      </c>
      <c r="E10" s="312" t="s">
        <v>571</v>
      </c>
      <c r="F10" s="313">
        <f>2.24*1.8</f>
        <v>4.0320000000000009</v>
      </c>
    </row>
    <row r="11" spans="1:6" x14ac:dyDescent="0.35">
      <c r="A11" s="419"/>
      <c r="B11" s="444"/>
      <c r="C11" s="308">
        <v>6</v>
      </c>
      <c r="D11" s="311" t="s">
        <v>553</v>
      </c>
      <c r="E11" s="312" t="s">
        <v>571</v>
      </c>
      <c r="F11" s="313">
        <v>37</v>
      </c>
    </row>
    <row r="12" spans="1:6" x14ac:dyDescent="0.35">
      <c r="A12" s="419"/>
      <c r="B12" s="444"/>
      <c r="C12" s="308">
        <v>7</v>
      </c>
      <c r="D12" s="311" t="s">
        <v>433</v>
      </c>
      <c r="E12" s="312" t="s">
        <v>571</v>
      </c>
      <c r="F12" s="313">
        <v>29.5</v>
      </c>
    </row>
    <row r="13" spans="1:6" x14ac:dyDescent="0.35">
      <c r="A13" s="419"/>
      <c r="B13" s="444"/>
      <c r="C13" s="308">
        <v>8</v>
      </c>
      <c r="D13" s="311" t="s">
        <v>446</v>
      </c>
      <c r="E13" s="312" t="s">
        <v>571</v>
      </c>
      <c r="F13" s="313">
        <v>47.3</v>
      </c>
    </row>
    <row r="14" spans="1:6" x14ac:dyDescent="0.35">
      <c r="A14" s="419"/>
      <c r="B14" s="444"/>
      <c r="C14" s="308">
        <v>9</v>
      </c>
      <c r="D14" s="311" t="s">
        <v>474</v>
      </c>
      <c r="E14" s="312" t="s">
        <v>571</v>
      </c>
      <c r="F14" s="313">
        <v>33</v>
      </c>
    </row>
    <row r="15" spans="1:6" x14ac:dyDescent="0.35">
      <c r="A15" s="419"/>
      <c r="B15" s="444"/>
      <c r="C15" s="308">
        <v>10</v>
      </c>
      <c r="D15" s="311" t="s">
        <v>374</v>
      </c>
      <c r="E15" s="312" t="s">
        <v>571</v>
      </c>
      <c r="F15" s="313">
        <v>58</v>
      </c>
    </row>
    <row r="16" spans="1:6" x14ac:dyDescent="0.35">
      <c r="A16" s="419"/>
      <c r="B16" s="444"/>
      <c r="C16" s="308">
        <v>11</v>
      </c>
      <c r="D16" s="311" t="s">
        <v>390</v>
      </c>
      <c r="E16" s="312" t="s">
        <v>571</v>
      </c>
      <c r="F16" s="313">
        <v>38.799999999999997</v>
      </c>
    </row>
    <row r="17" spans="1:6" x14ac:dyDescent="0.35">
      <c r="A17" s="419"/>
      <c r="B17" s="444"/>
      <c r="C17" s="308"/>
      <c r="D17" s="308" t="s">
        <v>622</v>
      </c>
      <c r="E17" s="312" t="s">
        <v>571</v>
      </c>
      <c r="F17" s="313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446" t="s">
        <v>586</v>
      </c>
      <c r="B1" s="447"/>
      <c r="C1" s="447"/>
      <c r="D1" s="448"/>
    </row>
    <row r="2" spans="1:4" ht="18.600000000000001" thickBot="1" x14ac:dyDescent="0.3">
      <c r="A2" s="446" t="s">
        <v>650</v>
      </c>
      <c r="B2" s="447"/>
      <c r="C2" s="447"/>
      <c r="D2" s="448"/>
    </row>
    <row r="3" spans="1:4" ht="39.6" customHeight="1" x14ac:dyDescent="0.25">
      <c r="A3" s="446" t="s">
        <v>700</v>
      </c>
      <c r="B3" s="447"/>
      <c r="C3" s="447"/>
      <c r="D3" s="448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449" t="s">
        <v>586</v>
      </c>
      <c r="B1" s="449"/>
      <c r="C1" s="449"/>
      <c r="D1" s="449"/>
    </row>
    <row r="2" spans="1:4" ht="18" x14ac:dyDescent="0.25">
      <c r="A2" s="449" t="s">
        <v>650</v>
      </c>
      <c r="B2" s="449"/>
      <c r="C2" s="449"/>
      <c r="D2" s="449"/>
    </row>
    <row r="3" spans="1:4" ht="37.799999999999997" customHeight="1" x14ac:dyDescent="0.25">
      <c r="A3" s="449" t="s">
        <v>701</v>
      </c>
      <c r="B3" s="449"/>
      <c r="C3" s="449"/>
      <c r="D3" s="449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449" t="s">
        <v>586</v>
      </c>
      <c r="B1" s="449"/>
      <c r="C1" s="449"/>
      <c r="D1" s="449"/>
    </row>
    <row r="2" spans="1:4" ht="18" x14ac:dyDescent="0.25">
      <c r="A2" s="449" t="s">
        <v>650</v>
      </c>
      <c r="B2" s="449"/>
      <c r="C2" s="449"/>
      <c r="D2" s="449"/>
    </row>
    <row r="3" spans="1:4" ht="18" x14ac:dyDescent="0.25">
      <c r="A3" s="449" t="s">
        <v>702</v>
      </c>
      <c r="B3" s="449"/>
      <c r="C3" s="449"/>
      <c r="D3" s="449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>
      <selection activeCell="B3" sqref="B3"/>
    </sheetView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topLeftCell="A18" workbookViewId="0">
      <selection activeCell="D40" sqref="D40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49" t="s">
        <v>586</v>
      </c>
      <c r="B1" s="449"/>
      <c r="C1" s="449"/>
      <c r="D1" s="449"/>
    </row>
    <row r="2" spans="1:4" ht="18" customHeight="1" x14ac:dyDescent="0.25">
      <c r="A2" s="450" t="s">
        <v>654</v>
      </c>
      <c r="B2" s="451"/>
      <c r="C2" s="451"/>
      <c r="D2" s="452"/>
    </row>
    <row r="3" spans="1:4" ht="50.4" customHeight="1" x14ac:dyDescent="0.25">
      <c r="A3" s="449" t="s">
        <v>653</v>
      </c>
      <c r="B3" s="449"/>
      <c r="C3" s="449"/>
      <c r="D3" s="449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449" t="s">
        <v>586</v>
      </c>
      <c r="B1" s="449"/>
      <c r="C1" s="449"/>
      <c r="D1" s="449"/>
    </row>
    <row r="2" spans="1:4" ht="18" customHeight="1" x14ac:dyDescent="0.25">
      <c r="A2" s="450" t="s">
        <v>654</v>
      </c>
      <c r="B2" s="451"/>
      <c r="C2" s="451"/>
      <c r="D2" s="452"/>
    </row>
    <row r="3" spans="1:4" ht="24" customHeight="1" x14ac:dyDescent="0.25">
      <c r="A3" s="449" t="s">
        <v>699</v>
      </c>
      <c r="B3" s="449"/>
      <c r="C3" s="449"/>
      <c r="D3" s="449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449" t="s">
        <v>586</v>
      </c>
      <c r="B1" s="449"/>
      <c r="C1" s="449"/>
      <c r="D1" s="449"/>
    </row>
    <row r="2" spans="1:4" ht="18" customHeight="1" x14ac:dyDescent="0.25">
      <c r="A2" s="450" t="s">
        <v>692</v>
      </c>
      <c r="B2" s="451"/>
      <c r="C2" s="451"/>
      <c r="D2" s="452"/>
    </row>
    <row r="3" spans="1:4" ht="34.799999999999997" customHeight="1" x14ac:dyDescent="0.25">
      <c r="A3" s="449" t="s">
        <v>653</v>
      </c>
      <c r="B3" s="449"/>
      <c r="C3" s="449"/>
      <c r="D3" s="449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254"/>
    </row>
    <row r="2" spans="1:11" ht="18" customHeight="1" x14ac:dyDescent="0.25">
      <c r="A2" s="232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456" t="s">
        <v>786</v>
      </c>
      <c r="C3" s="456"/>
      <c r="D3" s="456"/>
      <c r="E3" s="456"/>
      <c r="F3" s="456"/>
      <c r="G3" s="456"/>
      <c r="H3" s="456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457" t="s">
        <v>787</v>
      </c>
      <c r="C4" s="457"/>
      <c r="D4" s="457"/>
      <c r="E4" s="457"/>
      <c r="F4" s="457"/>
      <c r="G4" s="457"/>
      <c r="H4" s="457"/>
      <c r="I4" s="253" t="s">
        <v>788</v>
      </c>
      <c r="J4" s="253">
        <v>30.25</v>
      </c>
      <c r="K4" s="252"/>
    </row>
    <row r="5" spans="1:11" ht="8.4" customHeight="1" x14ac:dyDescent="0.25">
      <c r="A5" s="455"/>
      <c r="B5" s="455"/>
      <c r="C5" s="455"/>
      <c r="D5" s="455"/>
      <c r="E5" s="455"/>
      <c r="F5" s="455"/>
      <c r="G5" s="455"/>
      <c r="H5" s="455"/>
      <c r="I5" s="455"/>
      <c r="J5" s="455"/>
      <c r="K5" s="455"/>
    </row>
    <row r="6" spans="1:11" x14ac:dyDescent="0.25">
      <c r="A6" s="226" t="s">
        <v>580</v>
      </c>
      <c r="B6" s="227" t="s">
        <v>693</v>
      </c>
      <c r="C6" s="228" t="s">
        <v>588</v>
      </c>
      <c r="D6" s="453"/>
      <c r="E6" s="249" t="s">
        <v>580</v>
      </c>
      <c r="F6" s="250" t="s">
        <v>693</v>
      </c>
      <c r="G6" s="251" t="s">
        <v>588</v>
      </c>
      <c r="H6" s="454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54"/>
      <c r="E7" s="243">
        <v>29</v>
      </c>
      <c r="F7" s="234" t="s">
        <v>729</v>
      </c>
      <c r="G7" s="244">
        <v>48</v>
      </c>
      <c r="H7" s="454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54"/>
      <c r="E8" s="245">
        <v>30</v>
      </c>
      <c r="F8" s="235" t="s">
        <v>730</v>
      </c>
      <c r="G8" s="246">
        <v>110.2</v>
      </c>
      <c r="H8" s="454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54"/>
      <c r="E9" s="243">
        <v>31</v>
      </c>
      <c r="F9" s="234" t="s">
        <v>731</v>
      </c>
      <c r="G9" s="244">
        <v>76</v>
      </c>
      <c r="H9" s="454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54"/>
      <c r="E10" s="245">
        <v>32</v>
      </c>
      <c r="F10" s="235" t="s">
        <v>732</v>
      </c>
      <c r="G10" s="246">
        <v>108.3</v>
      </c>
      <c r="H10" s="454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54"/>
      <c r="E11" s="243">
        <v>33</v>
      </c>
      <c r="F11" s="234" t="s">
        <v>733</v>
      </c>
      <c r="G11" s="244">
        <v>43.9</v>
      </c>
      <c r="H11" s="454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54"/>
      <c r="E12" s="245">
        <v>34</v>
      </c>
      <c r="F12" s="235" t="s">
        <v>734</v>
      </c>
      <c r="G12" s="246">
        <v>127.2</v>
      </c>
      <c r="H12" s="454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54"/>
      <c r="E13" s="243">
        <v>35</v>
      </c>
      <c r="F13" s="234" t="s">
        <v>735</v>
      </c>
      <c r="G13" s="244">
        <v>92.5</v>
      </c>
      <c r="H13" s="454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54"/>
      <c r="E14" s="245">
        <v>36</v>
      </c>
      <c r="F14" s="237" t="s">
        <v>736</v>
      </c>
      <c r="G14" s="238">
        <v>287.7</v>
      </c>
      <c r="H14" s="454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54"/>
      <c r="E15" s="243">
        <v>37</v>
      </c>
      <c r="F15" s="236" t="s">
        <v>737</v>
      </c>
      <c r="G15" s="239">
        <v>80.3</v>
      </c>
      <c r="H15" s="454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54"/>
      <c r="E16" s="245">
        <v>38</v>
      </c>
      <c r="F16" s="237" t="s">
        <v>738</v>
      </c>
      <c r="G16" s="238">
        <v>266.39999999999998</v>
      </c>
      <c r="H16" s="454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54"/>
      <c r="E17" s="243">
        <v>39</v>
      </c>
      <c r="F17" s="236" t="s">
        <v>739</v>
      </c>
      <c r="G17" s="239">
        <v>106.3</v>
      </c>
      <c r="H17" s="454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54"/>
      <c r="E18" s="245">
        <v>40</v>
      </c>
      <c r="F18" s="237" t="s">
        <v>740</v>
      </c>
      <c r="G18" s="238">
        <v>104.5</v>
      </c>
      <c r="H18" s="454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54"/>
      <c r="E19" s="243">
        <v>41</v>
      </c>
      <c r="F19" s="236" t="s">
        <v>741</v>
      </c>
      <c r="G19" s="239">
        <v>102.3</v>
      </c>
      <c r="H19" s="454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54"/>
      <c r="E20" s="245">
        <v>42</v>
      </c>
      <c r="F20" s="237" t="s">
        <v>742</v>
      </c>
      <c r="G20" s="238">
        <v>105.3</v>
      </c>
      <c r="H20" s="454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54"/>
      <c r="E21" s="243">
        <v>43</v>
      </c>
      <c r="F21" s="236" t="s">
        <v>743</v>
      </c>
      <c r="G21" s="239">
        <v>173.9</v>
      </c>
      <c r="H21" s="454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54"/>
      <c r="E22" s="245">
        <v>44</v>
      </c>
      <c r="F22" s="237" t="s">
        <v>744</v>
      </c>
      <c r="G22" s="238">
        <v>78.7</v>
      </c>
      <c r="H22" s="454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54"/>
      <c r="E23" s="243">
        <v>45</v>
      </c>
      <c r="F23" s="236" t="s">
        <v>745</v>
      </c>
      <c r="G23" s="239">
        <v>73.8</v>
      </c>
      <c r="H23" s="454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54"/>
      <c r="E24" s="245">
        <v>46</v>
      </c>
      <c r="F24" s="237" t="s">
        <v>746</v>
      </c>
      <c r="G24" s="238">
        <v>103.6</v>
      </c>
      <c r="H24" s="454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54"/>
      <c r="E25" s="243">
        <v>47</v>
      </c>
      <c r="F25" s="236" t="s">
        <v>747</v>
      </c>
      <c r="G25" s="239">
        <v>94.6</v>
      </c>
      <c r="H25" s="454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54"/>
      <c r="E26" s="245">
        <v>48</v>
      </c>
      <c r="F26" s="237" t="s">
        <v>748</v>
      </c>
      <c r="G26" s="238">
        <v>15</v>
      </c>
      <c r="H26" s="454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54"/>
      <c r="E27" s="243">
        <v>49</v>
      </c>
      <c r="F27" s="236" t="s">
        <v>749</v>
      </c>
      <c r="G27" s="239">
        <v>10</v>
      </c>
      <c r="H27" s="454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54"/>
      <c r="E28" s="245">
        <v>50</v>
      </c>
      <c r="F28" s="237" t="s">
        <v>750</v>
      </c>
      <c r="G28" s="238">
        <v>10</v>
      </c>
      <c r="H28" s="454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54"/>
      <c r="E29" s="243">
        <v>51</v>
      </c>
      <c r="F29" s="236" t="s">
        <v>751</v>
      </c>
      <c r="G29" s="239">
        <v>170</v>
      </c>
      <c r="H29" s="454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54"/>
      <c r="E30" s="245">
        <v>52</v>
      </c>
      <c r="F30" s="237" t="s">
        <v>752</v>
      </c>
      <c r="G30" s="238">
        <v>90.38</v>
      </c>
      <c r="H30" s="454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54"/>
      <c r="E31" s="243">
        <v>53</v>
      </c>
      <c r="F31" s="236" t="s">
        <v>753</v>
      </c>
      <c r="G31" s="239">
        <v>93.81</v>
      </c>
      <c r="H31" s="454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54"/>
      <c r="E32" s="245">
        <v>54</v>
      </c>
      <c r="F32" s="237" t="s">
        <v>754</v>
      </c>
      <c r="G32" s="238">
        <v>93.37</v>
      </c>
      <c r="H32" s="454"/>
      <c r="I32" s="453"/>
      <c r="J32" s="453"/>
      <c r="K32" s="453"/>
    </row>
    <row r="33" spans="1:11" x14ac:dyDescent="0.25">
      <c r="A33" s="224">
        <v>27</v>
      </c>
      <c r="B33" s="221" t="s">
        <v>727</v>
      </c>
      <c r="C33" s="225">
        <v>82.94</v>
      </c>
      <c r="D33" s="454"/>
      <c r="E33" s="243">
        <v>55</v>
      </c>
      <c r="F33" s="236" t="s">
        <v>755</v>
      </c>
      <c r="G33" s="239">
        <f>82+107.45</f>
        <v>189.45</v>
      </c>
      <c r="H33" s="454"/>
      <c r="I33" s="454"/>
      <c r="J33" s="454"/>
      <c r="K33" s="454"/>
    </row>
    <row r="34" spans="1:11" x14ac:dyDescent="0.25">
      <c r="A34" s="224">
        <v>28</v>
      </c>
      <c r="B34" s="221" t="s">
        <v>728</v>
      </c>
      <c r="C34" s="225">
        <v>71.62</v>
      </c>
      <c r="D34" s="454"/>
      <c r="E34" s="245">
        <v>56</v>
      </c>
      <c r="F34" s="237" t="s">
        <v>756</v>
      </c>
      <c r="G34" s="238">
        <v>130.38</v>
      </c>
      <c r="H34" s="454"/>
      <c r="I34" s="454"/>
      <c r="J34" s="454"/>
      <c r="K34" s="454"/>
    </row>
    <row r="35" spans="1:11" x14ac:dyDescent="0.25">
      <c r="A35" s="205"/>
      <c r="B35" s="212" t="s">
        <v>590</v>
      </c>
      <c r="C35" s="207">
        <f>SUM(C7:C34)</f>
        <v>3113.3399999999997</v>
      </c>
      <c r="D35" s="454"/>
      <c r="E35" s="243">
        <v>57</v>
      </c>
      <c r="F35" s="236" t="s">
        <v>757</v>
      </c>
      <c r="G35" s="239">
        <v>90.9</v>
      </c>
      <c r="H35" s="454"/>
      <c r="I35" s="454"/>
      <c r="J35" s="454"/>
      <c r="K35" s="454"/>
    </row>
    <row r="36" spans="1:11" x14ac:dyDescent="0.25">
      <c r="A36" s="453"/>
      <c r="B36" s="453"/>
      <c r="C36" s="453"/>
      <c r="D36" s="454"/>
      <c r="E36" s="245">
        <v>58</v>
      </c>
      <c r="F36" s="237" t="s">
        <v>758</v>
      </c>
      <c r="G36" s="238">
        <v>86.81</v>
      </c>
      <c r="H36" s="454"/>
      <c r="I36" s="454"/>
      <c r="J36" s="454"/>
      <c r="K36" s="454"/>
    </row>
    <row r="37" spans="1:11" x14ac:dyDescent="0.25">
      <c r="A37" s="454"/>
      <c r="B37" s="454"/>
      <c r="C37" s="454"/>
      <c r="D37" s="454"/>
      <c r="E37" s="243">
        <v>59</v>
      </c>
      <c r="F37" s="236" t="s">
        <v>759</v>
      </c>
      <c r="G37" s="239">
        <v>91.84</v>
      </c>
      <c r="H37" s="454"/>
      <c r="I37" s="454"/>
      <c r="J37" s="454"/>
      <c r="K37" s="454"/>
    </row>
    <row r="38" spans="1:11" x14ac:dyDescent="0.25">
      <c r="A38" s="454"/>
      <c r="B38" s="454"/>
      <c r="C38" s="454"/>
      <c r="D38" s="454"/>
      <c r="E38" s="245">
        <v>60</v>
      </c>
      <c r="F38" s="237" t="s">
        <v>760</v>
      </c>
      <c r="G38" s="238">
        <v>133.22999999999999</v>
      </c>
      <c r="H38" s="454"/>
      <c r="I38" s="454"/>
      <c r="J38" s="454"/>
      <c r="K38" s="454"/>
    </row>
    <row r="39" spans="1:11" x14ac:dyDescent="0.25">
      <c r="A39" s="454"/>
      <c r="B39" s="454"/>
      <c r="C39" s="454"/>
      <c r="D39" s="454"/>
      <c r="E39" s="243">
        <v>61</v>
      </c>
      <c r="F39" s="236" t="s">
        <v>761</v>
      </c>
      <c r="G39" s="239">
        <v>70</v>
      </c>
      <c r="H39" s="454"/>
      <c r="I39" s="454"/>
      <c r="J39" s="454"/>
      <c r="K39" s="454"/>
    </row>
    <row r="40" spans="1:11" x14ac:dyDescent="0.25">
      <c r="A40" s="454"/>
      <c r="B40" s="454"/>
      <c r="C40" s="454"/>
      <c r="D40" s="454"/>
      <c r="E40" s="205"/>
      <c r="F40" s="212" t="s">
        <v>590</v>
      </c>
      <c r="G40" s="207">
        <f>SUM(G7:G39)</f>
        <v>3458.67</v>
      </c>
      <c r="H40" s="454"/>
      <c r="I40" s="454"/>
      <c r="J40" s="454"/>
      <c r="K40" s="454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7"/>
  <sheetViews>
    <sheetView zoomScale="40" zoomScaleNormal="40" workbookViewId="0">
      <selection activeCell="A18" sqref="A18:XFD63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459"/>
    </row>
    <row r="2" spans="1:11" ht="18" customHeight="1" x14ac:dyDescent="0.25">
      <c r="A2" s="360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459"/>
    </row>
    <row r="3" spans="1:11" ht="36" customHeight="1" x14ac:dyDescent="0.25">
      <c r="A3" s="360">
        <v>1</v>
      </c>
      <c r="B3" s="456" t="s">
        <v>1505</v>
      </c>
      <c r="C3" s="456"/>
      <c r="D3" s="456"/>
      <c r="E3" s="456"/>
      <c r="F3" s="456"/>
      <c r="G3" s="456"/>
      <c r="H3" s="456"/>
      <c r="I3" s="253" t="s">
        <v>571</v>
      </c>
      <c r="J3" s="256">
        <f>C8+G17+K15</f>
        <v>81.929999999999993</v>
      </c>
      <c r="K3" s="459"/>
    </row>
    <row r="4" spans="1:11" ht="8.4" customHeight="1" x14ac:dyDescent="0.25">
      <c r="A4" s="455"/>
      <c r="B4" s="455"/>
      <c r="C4" s="455"/>
      <c r="D4" s="455"/>
      <c r="E4" s="455"/>
      <c r="F4" s="455"/>
      <c r="G4" s="455"/>
      <c r="H4" s="455"/>
      <c r="I4" s="455"/>
      <c r="J4" s="455"/>
      <c r="K4" s="455"/>
    </row>
    <row r="5" spans="1:11" x14ac:dyDescent="0.25">
      <c r="A5" s="226" t="s">
        <v>580</v>
      </c>
      <c r="B5" s="227" t="s">
        <v>693</v>
      </c>
      <c r="C5" s="228" t="s">
        <v>588</v>
      </c>
      <c r="D5" s="453"/>
      <c r="E5" s="249" t="s">
        <v>580</v>
      </c>
      <c r="F5" s="250" t="s">
        <v>693</v>
      </c>
      <c r="G5" s="251" t="s">
        <v>588</v>
      </c>
      <c r="H5" s="458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487</v>
      </c>
      <c r="C6" s="244">
        <v>7.06</v>
      </c>
      <c r="D6" s="454"/>
      <c r="E6" s="236" t="s">
        <v>1422</v>
      </c>
      <c r="F6" s="236" t="s">
        <v>425</v>
      </c>
      <c r="G6" s="239">
        <v>4.22</v>
      </c>
      <c r="H6" s="458"/>
      <c r="I6" s="237" t="s">
        <v>1503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488</v>
      </c>
      <c r="C7" s="246">
        <v>5.0999999999999996</v>
      </c>
      <c r="D7" s="454"/>
      <c r="E7" s="237" t="s">
        <v>1495</v>
      </c>
      <c r="F7" s="237" t="s">
        <v>426</v>
      </c>
      <c r="G7" s="238">
        <v>5.78</v>
      </c>
      <c r="H7" s="458"/>
      <c r="I7" s="236" t="s">
        <v>1451</v>
      </c>
      <c r="J7" s="236" t="s">
        <v>362</v>
      </c>
      <c r="K7" s="239">
        <v>6.62</v>
      </c>
    </row>
    <row r="8" spans="1:11" x14ac:dyDescent="0.25">
      <c r="A8" s="205"/>
      <c r="B8" s="212" t="s">
        <v>590</v>
      </c>
      <c r="C8" s="364">
        <f>SUM(C6:C7)</f>
        <v>12.16</v>
      </c>
      <c r="D8" s="454"/>
      <c r="E8" s="236" t="s">
        <v>1496</v>
      </c>
      <c r="F8" s="236" t="s">
        <v>427</v>
      </c>
      <c r="G8" s="239">
        <v>1.56</v>
      </c>
      <c r="H8" s="458"/>
      <c r="I8" s="237" t="s">
        <v>1452</v>
      </c>
      <c r="J8" s="237" t="s">
        <v>363</v>
      </c>
      <c r="K8" s="238">
        <v>1.56</v>
      </c>
    </row>
    <row r="9" spans="1:11" x14ac:dyDescent="0.25">
      <c r="A9" s="453"/>
      <c r="B9" s="453"/>
      <c r="C9" s="453"/>
      <c r="D9" s="454"/>
      <c r="E9" s="237" t="s">
        <v>822</v>
      </c>
      <c r="F9" s="237" t="s">
        <v>428</v>
      </c>
      <c r="G9" s="238">
        <v>4.22</v>
      </c>
      <c r="H9" s="458"/>
      <c r="I9" s="236" t="s">
        <v>1453</v>
      </c>
      <c r="J9" s="236" t="s">
        <v>364</v>
      </c>
      <c r="K9" s="239">
        <v>3.96</v>
      </c>
    </row>
    <row r="10" spans="1:11" x14ac:dyDescent="0.25">
      <c r="A10" s="454"/>
      <c r="B10" s="454"/>
      <c r="C10" s="454"/>
      <c r="D10" s="454"/>
      <c r="E10" s="236" t="s">
        <v>1497</v>
      </c>
      <c r="F10" s="236" t="s">
        <v>429</v>
      </c>
      <c r="G10" s="239">
        <v>3.24</v>
      </c>
      <c r="H10" s="458"/>
      <c r="I10" s="237" t="s">
        <v>1454</v>
      </c>
      <c r="J10" s="237" t="s">
        <v>365</v>
      </c>
      <c r="K10" s="238">
        <v>4.22</v>
      </c>
    </row>
    <row r="11" spans="1:11" x14ac:dyDescent="0.25">
      <c r="A11" s="454"/>
      <c r="B11" s="454"/>
      <c r="C11" s="454"/>
      <c r="D11" s="454"/>
      <c r="E11" s="237" t="s">
        <v>1498</v>
      </c>
      <c r="F11" s="237" t="s">
        <v>430</v>
      </c>
      <c r="G11" s="238">
        <v>4.22</v>
      </c>
      <c r="H11" s="458"/>
      <c r="I11" s="236" t="s">
        <v>1455</v>
      </c>
      <c r="J11" s="236" t="s">
        <v>366</v>
      </c>
      <c r="K11" s="239">
        <v>4.2</v>
      </c>
    </row>
    <row r="12" spans="1:11" x14ac:dyDescent="0.25">
      <c r="A12" s="454"/>
      <c r="B12" s="454"/>
      <c r="C12" s="454"/>
      <c r="D12" s="454"/>
      <c r="E12" s="236" t="s">
        <v>1499</v>
      </c>
      <c r="F12" s="236" t="s">
        <v>431</v>
      </c>
      <c r="G12" s="239">
        <v>3.9</v>
      </c>
      <c r="H12" s="458"/>
      <c r="I12" s="237" t="s">
        <v>1456</v>
      </c>
      <c r="J12" s="237" t="s">
        <v>367</v>
      </c>
      <c r="K12" s="238">
        <v>4.22</v>
      </c>
    </row>
    <row r="13" spans="1:11" x14ac:dyDescent="0.25">
      <c r="A13" s="454"/>
      <c r="B13" s="454"/>
      <c r="C13" s="454"/>
      <c r="D13" s="454"/>
      <c r="E13" s="237" t="s">
        <v>806</v>
      </c>
      <c r="F13" s="237" t="s">
        <v>435</v>
      </c>
      <c r="G13" s="238">
        <v>1.5</v>
      </c>
      <c r="H13" s="458"/>
      <c r="I13" s="236" t="s">
        <v>1457</v>
      </c>
      <c r="J13" s="236" t="s">
        <v>368</v>
      </c>
      <c r="K13" s="239">
        <v>2.78</v>
      </c>
    </row>
    <row r="14" spans="1:11" x14ac:dyDescent="0.25">
      <c r="A14" s="454"/>
      <c r="B14" s="454"/>
      <c r="C14" s="454"/>
      <c r="D14" s="454"/>
      <c r="E14" s="236" t="s">
        <v>1500</v>
      </c>
      <c r="F14" s="236" t="s">
        <v>438</v>
      </c>
      <c r="G14" s="239">
        <v>1.42</v>
      </c>
      <c r="H14" s="458"/>
      <c r="I14" s="237" t="s">
        <v>1458</v>
      </c>
      <c r="J14" s="237" t="s">
        <v>371</v>
      </c>
      <c r="K14" s="238">
        <v>5.96</v>
      </c>
    </row>
    <row r="15" spans="1:11" x14ac:dyDescent="0.25">
      <c r="A15" s="454"/>
      <c r="B15" s="454"/>
      <c r="C15" s="454"/>
      <c r="D15" s="454"/>
      <c r="E15" s="237" t="s">
        <v>1501</v>
      </c>
      <c r="F15" s="237" t="s">
        <v>439</v>
      </c>
      <c r="G15" s="238">
        <v>0.65</v>
      </c>
      <c r="H15" s="458"/>
      <c r="I15" s="243"/>
      <c r="J15" s="212" t="s">
        <v>590</v>
      </c>
      <c r="K15" s="239">
        <f>SUM(K6:K14)</f>
        <v>37.739999999999995</v>
      </c>
    </row>
    <row r="16" spans="1:11" x14ac:dyDescent="0.25">
      <c r="A16" s="454"/>
      <c r="B16" s="454"/>
      <c r="C16" s="454"/>
      <c r="D16" s="454"/>
      <c r="E16" s="236" t="s">
        <v>1502</v>
      </c>
      <c r="F16" s="236" t="s">
        <v>444</v>
      </c>
      <c r="G16" s="239">
        <v>1.32</v>
      </c>
      <c r="H16" s="458"/>
      <c r="I16" s="453"/>
      <c r="J16" s="453"/>
      <c r="K16" s="453"/>
    </row>
    <row r="17" spans="1:11" x14ac:dyDescent="0.25">
      <c r="A17" s="454"/>
      <c r="B17" s="454"/>
      <c r="C17" s="454"/>
      <c r="D17" s="454"/>
      <c r="F17" s="212" t="s">
        <v>590</v>
      </c>
      <c r="G17" s="239">
        <f>SUM(G6:G16)</f>
        <v>32.03</v>
      </c>
      <c r="H17" s="458"/>
      <c r="I17" s="454"/>
      <c r="J17" s="454"/>
      <c r="K17" s="454"/>
    </row>
  </sheetData>
  <mergeCells count="9">
    <mergeCell ref="A9:C17"/>
    <mergeCell ref="H5:H17"/>
    <mergeCell ref="D5:D17"/>
    <mergeCell ref="I16:K17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19"/>
  <sheetViews>
    <sheetView zoomScale="55" zoomScaleNormal="55" workbookViewId="0">
      <selection activeCell="B3" sqref="B3:H3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459"/>
    </row>
    <row r="2" spans="1:11" ht="18" customHeight="1" x14ac:dyDescent="0.25">
      <c r="A2" s="360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459"/>
    </row>
    <row r="3" spans="1:11" ht="36" customHeight="1" x14ac:dyDescent="0.25">
      <c r="A3" s="360">
        <v>1</v>
      </c>
      <c r="B3" s="456" t="s">
        <v>1504</v>
      </c>
      <c r="C3" s="456"/>
      <c r="D3" s="456"/>
      <c r="E3" s="456"/>
      <c r="F3" s="456"/>
      <c r="G3" s="456"/>
      <c r="H3" s="456"/>
      <c r="I3" s="253" t="s">
        <v>571</v>
      </c>
      <c r="J3" s="256">
        <f>C11+G18+K19</f>
        <v>108.21</v>
      </c>
      <c r="K3" s="459"/>
    </row>
    <row r="4" spans="1:11" ht="8.4" customHeight="1" x14ac:dyDescent="0.25">
      <c r="A4" s="455"/>
      <c r="B4" s="455"/>
      <c r="C4" s="455"/>
      <c r="D4" s="455"/>
      <c r="E4" s="455"/>
      <c r="F4" s="455"/>
      <c r="G4" s="455"/>
      <c r="H4" s="455"/>
      <c r="I4" s="455"/>
      <c r="J4" s="455"/>
      <c r="K4" s="455"/>
    </row>
    <row r="5" spans="1:11" x14ac:dyDescent="0.25">
      <c r="A5" s="226" t="s">
        <v>580</v>
      </c>
      <c r="B5" s="227" t="s">
        <v>693</v>
      </c>
      <c r="C5" s="228" t="s">
        <v>588</v>
      </c>
      <c r="D5" s="453"/>
      <c r="E5" s="249" t="s">
        <v>580</v>
      </c>
      <c r="F5" s="250" t="s">
        <v>693</v>
      </c>
      <c r="G5" s="251" t="s">
        <v>588</v>
      </c>
      <c r="H5" s="454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484</v>
      </c>
      <c r="C6" s="244">
        <v>1.06</v>
      </c>
      <c r="D6" s="454"/>
      <c r="E6" s="236" t="s">
        <v>822</v>
      </c>
      <c r="F6" s="236" t="s">
        <v>425</v>
      </c>
      <c r="G6" s="239">
        <v>4.22</v>
      </c>
      <c r="H6" s="454"/>
      <c r="I6" s="237" t="s">
        <v>1454</v>
      </c>
      <c r="J6" s="237" t="s">
        <v>361</v>
      </c>
      <c r="K6" s="238">
        <v>4.22</v>
      </c>
    </row>
    <row r="7" spans="1:11" x14ac:dyDescent="0.25">
      <c r="A7" s="224">
        <v>2</v>
      </c>
      <c r="B7" s="235" t="s">
        <v>487</v>
      </c>
      <c r="C7" s="246">
        <v>7.06</v>
      </c>
      <c r="D7" s="454"/>
      <c r="E7" s="237" t="s">
        <v>1497</v>
      </c>
      <c r="F7" s="237" t="s">
        <v>426</v>
      </c>
      <c r="G7" s="238">
        <v>5.78</v>
      </c>
      <c r="H7" s="454"/>
      <c r="I7" s="236" t="s">
        <v>1454</v>
      </c>
      <c r="J7" s="236" t="s">
        <v>362</v>
      </c>
      <c r="K7" s="239">
        <v>6.62</v>
      </c>
    </row>
    <row r="8" spans="1:11" x14ac:dyDescent="0.25">
      <c r="A8" s="224">
        <v>3</v>
      </c>
      <c r="B8" s="234" t="s">
        <v>488</v>
      </c>
      <c r="C8" s="244">
        <v>5.0999999999999996</v>
      </c>
      <c r="D8" s="454"/>
      <c r="E8" s="236" t="s">
        <v>1498</v>
      </c>
      <c r="F8" s="236" t="s">
        <v>427</v>
      </c>
      <c r="G8" s="239">
        <v>1.56</v>
      </c>
      <c r="H8" s="454"/>
      <c r="I8" s="237" t="s">
        <v>1454</v>
      </c>
      <c r="J8" s="237" t="s">
        <v>363</v>
      </c>
      <c r="K8" s="238">
        <v>1.56</v>
      </c>
    </row>
    <row r="9" spans="1:11" x14ac:dyDescent="0.25">
      <c r="A9" s="224">
        <v>4</v>
      </c>
      <c r="B9" s="235" t="s">
        <v>660</v>
      </c>
      <c r="C9" s="246">
        <v>1.42</v>
      </c>
      <c r="D9" s="454"/>
      <c r="E9" s="237" t="s">
        <v>1499</v>
      </c>
      <c r="F9" s="237" t="s">
        <v>428</v>
      </c>
      <c r="G9" s="238">
        <v>4.22</v>
      </c>
      <c r="H9" s="454"/>
      <c r="I9" s="236" t="s">
        <v>1454</v>
      </c>
      <c r="J9" s="236" t="s">
        <v>364</v>
      </c>
      <c r="K9" s="239">
        <v>3.96</v>
      </c>
    </row>
    <row r="10" spans="1:11" x14ac:dyDescent="0.25">
      <c r="A10" s="224">
        <v>5</v>
      </c>
      <c r="B10" s="234" t="s">
        <v>511</v>
      </c>
      <c r="C10" s="244">
        <v>1.18</v>
      </c>
      <c r="D10" s="454"/>
      <c r="E10" s="236" t="s">
        <v>806</v>
      </c>
      <c r="F10" s="236" t="s">
        <v>429</v>
      </c>
      <c r="G10" s="239">
        <v>3.24</v>
      </c>
      <c r="H10" s="454"/>
      <c r="I10" s="237" t="s">
        <v>1454</v>
      </c>
      <c r="J10" s="237" t="s">
        <v>365</v>
      </c>
      <c r="K10" s="238">
        <v>4.22</v>
      </c>
    </row>
    <row r="11" spans="1:11" x14ac:dyDescent="0.25">
      <c r="A11" s="205"/>
      <c r="B11" s="212" t="s">
        <v>590</v>
      </c>
      <c r="C11" s="365">
        <f>SUM(C6:C10)</f>
        <v>15.819999999999999</v>
      </c>
      <c r="D11" s="454"/>
      <c r="E11" s="237" t="s">
        <v>1500</v>
      </c>
      <c r="F11" s="237" t="s">
        <v>430</v>
      </c>
      <c r="G11" s="238">
        <v>4.22</v>
      </c>
      <c r="H11" s="454"/>
      <c r="I11" s="236" t="s">
        <v>1454</v>
      </c>
      <c r="J11" s="236" t="s">
        <v>366</v>
      </c>
      <c r="K11" s="239">
        <v>4.2</v>
      </c>
    </row>
    <row r="12" spans="1:11" x14ac:dyDescent="0.25">
      <c r="A12" s="453"/>
      <c r="B12" s="453"/>
      <c r="C12" s="453"/>
      <c r="D12" s="454"/>
      <c r="E12" s="236" t="s">
        <v>1501</v>
      </c>
      <c r="F12" s="236" t="s">
        <v>431</v>
      </c>
      <c r="G12" s="239">
        <v>3.9</v>
      </c>
      <c r="H12" s="454"/>
      <c r="I12" s="237" t="s">
        <v>1454</v>
      </c>
      <c r="J12" s="237" t="s">
        <v>367</v>
      </c>
      <c r="K12" s="238">
        <v>4.22</v>
      </c>
    </row>
    <row r="13" spans="1:11" x14ac:dyDescent="0.25">
      <c r="A13" s="454"/>
      <c r="B13" s="454"/>
      <c r="C13" s="454"/>
      <c r="D13" s="454"/>
      <c r="E13" s="237" t="s">
        <v>1502</v>
      </c>
      <c r="F13" s="237" t="s">
        <v>435</v>
      </c>
      <c r="G13" s="238">
        <v>1.5</v>
      </c>
      <c r="H13" s="454"/>
      <c r="I13" s="236" t="s">
        <v>1454</v>
      </c>
      <c r="J13" s="236" t="s">
        <v>368</v>
      </c>
      <c r="K13" s="239">
        <v>2.78</v>
      </c>
    </row>
    <row r="14" spans="1:11" x14ac:dyDescent="0.25">
      <c r="A14" s="454"/>
      <c r="B14" s="454"/>
      <c r="C14" s="454"/>
      <c r="D14" s="454"/>
      <c r="E14" s="236" t="s">
        <v>1503</v>
      </c>
      <c r="F14" s="236" t="s">
        <v>438</v>
      </c>
      <c r="G14" s="239">
        <v>1.42</v>
      </c>
      <c r="H14" s="454"/>
      <c r="I14" s="237" t="s">
        <v>1454</v>
      </c>
      <c r="J14" s="237" t="s">
        <v>371</v>
      </c>
      <c r="K14" s="238">
        <v>5.96</v>
      </c>
    </row>
    <row r="15" spans="1:11" x14ac:dyDescent="0.25">
      <c r="A15" s="454"/>
      <c r="B15" s="454"/>
      <c r="C15" s="454"/>
      <c r="D15" s="454"/>
      <c r="E15" s="237" t="s">
        <v>1451</v>
      </c>
      <c r="F15" s="237" t="s">
        <v>439</v>
      </c>
      <c r="G15" s="238">
        <v>0.65</v>
      </c>
      <c r="H15" s="454"/>
      <c r="I15" s="236" t="s">
        <v>1454</v>
      </c>
      <c r="J15" s="236" t="s">
        <v>377</v>
      </c>
      <c r="K15" s="239">
        <v>2.36</v>
      </c>
    </row>
    <row r="16" spans="1:11" x14ac:dyDescent="0.25">
      <c r="A16" s="454"/>
      <c r="B16" s="454"/>
      <c r="C16" s="454"/>
      <c r="D16" s="454"/>
      <c r="E16" s="236" t="s">
        <v>1452</v>
      </c>
      <c r="F16" s="236" t="s">
        <v>444</v>
      </c>
      <c r="G16" s="239">
        <v>1.32</v>
      </c>
      <c r="H16" s="454"/>
      <c r="I16" s="237" t="s">
        <v>1454</v>
      </c>
      <c r="J16" s="237" t="s">
        <v>383</v>
      </c>
      <c r="K16" s="238">
        <v>3</v>
      </c>
    </row>
    <row r="17" spans="1:11" x14ac:dyDescent="0.25">
      <c r="A17" s="454"/>
      <c r="B17" s="454"/>
      <c r="C17" s="454"/>
      <c r="D17" s="454"/>
      <c r="E17" s="237" t="s">
        <v>1453</v>
      </c>
      <c r="F17" s="237" t="s">
        <v>451</v>
      </c>
      <c r="G17" s="238">
        <v>5.64</v>
      </c>
      <c r="H17" s="454"/>
      <c r="I17" s="236" t="s">
        <v>1454</v>
      </c>
      <c r="J17" s="236" t="s">
        <v>385</v>
      </c>
      <c r="K17" s="239">
        <v>5</v>
      </c>
    </row>
    <row r="18" spans="1:11" x14ac:dyDescent="0.25">
      <c r="A18" s="454"/>
      <c r="B18" s="454"/>
      <c r="C18" s="454"/>
      <c r="D18" s="454"/>
      <c r="F18" s="212" t="s">
        <v>590</v>
      </c>
      <c r="G18" s="239">
        <f>SUM(G6:G17)</f>
        <v>37.67</v>
      </c>
      <c r="H18" s="454"/>
      <c r="I18" s="237" t="s">
        <v>1454</v>
      </c>
      <c r="J18" s="237" t="s">
        <v>395</v>
      </c>
      <c r="K18" s="238">
        <v>6.62</v>
      </c>
    </row>
    <row r="19" spans="1:11" x14ac:dyDescent="0.25">
      <c r="A19" s="454"/>
      <c r="B19" s="454"/>
      <c r="C19" s="454"/>
      <c r="D19" s="454"/>
      <c r="E19" s="454"/>
      <c r="F19" s="454"/>
      <c r="G19" s="454"/>
      <c r="H19" s="454"/>
      <c r="I19" s="243"/>
      <c r="J19" s="212" t="s">
        <v>590</v>
      </c>
      <c r="K19" s="239">
        <f>SUM(K6:K18)</f>
        <v>54.719999999999992</v>
      </c>
    </row>
  </sheetData>
  <mergeCells count="9">
    <mergeCell ref="K1:K3"/>
    <mergeCell ref="B2:H2"/>
    <mergeCell ref="B3:H3"/>
    <mergeCell ref="A4:K4"/>
    <mergeCell ref="H5:H19"/>
    <mergeCell ref="D5:D19"/>
    <mergeCell ref="E19:G19"/>
    <mergeCell ref="A12:C19"/>
    <mergeCell ref="A1:J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32"/>
  <sheetViews>
    <sheetView zoomScale="25" zoomScaleNormal="25" workbookViewId="0">
      <selection activeCell="A33" sqref="A33:XFD60"/>
    </sheetView>
  </sheetViews>
  <sheetFormatPr defaultRowHeight="18" x14ac:dyDescent="0.25"/>
  <cols>
    <col min="1" max="1" width="9" style="220" customWidth="1"/>
    <col min="2" max="2" width="10.7773437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459"/>
    </row>
    <row r="2" spans="1:11" ht="18" customHeight="1" x14ac:dyDescent="0.25">
      <c r="A2" s="360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459"/>
    </row>
    <row r="3" spans="1:11" ht="36" customHeight="1" x14ac:dyDescent="0.25">
      <c r="A3" s="360">
        <v>1</v>
      </c>
      <c r="B3" s="456" t="s">
        <v>1506</v>
      </c>
      <c r="C3" s="456"/>
      <c r="D3" s="456"/>
      <c r="E3" s="456"/>
      <c r="F3" s="456"/>
      <c r="G3" s="456"/>
      <c r="H3" s="456"/>
      <c r="I3" s="253" t="s">
        <v>571</v>
      </c>
      <c r="J3" s="256">
        <f>C20+G32+K24</f>
        <v>2049.8800000000006</v>
      </c>
      <c r="K3" s="459"/>
    </row>
    <row r="4" spans="1:11" ht="8.4" customHeight="1" x14ac:dyDescent="0.25">
      <c r="A4" s="455"/>
      <c r="B4" s="455"/>
      <c r="C4" s="455"/>
      <c r="D4" s="455"/>
      <c r="E4" s="455"/>
      <c r="F4" s="455"/>
      <c r="G4" s="455"/>
      <c r="H4" s="455"/>
      <c r="I4" s="455"/>
      <c r="J4" s="455"/>
      <c r="K4" s="455"/>
    </row>
    <row r="5" spans="1:11" x14ac:dyDescent="0.25">
      <c r="A5" s="226" t="s">
        <v>580</v>
      </c>
      <c r="B5" s="227" t="s">
        <v>693</v>
      </c>
      <c r="C5" s="228" t="s">
        <v>588</v>
      </c>
      <c r="D5" s="453"/>
      <c r="E5" s="249" t="s">
        <v>580</v>
      </c>
      <c r="F5" s="250" t="s">
        <v>693</v>
      </c>
      <c r="G5" s="251" t="s">
        <v>588</v>
      </c>
      <c r="H5" s="458"/>
      <c r="I5" s="240" t="s">
        <v>580</v>
      </c>
      <c r="J5" s="241" t="s">
        <v>693</v>
      </c>
      <c r="K5" s="242" t="s">
        <v>588</v>
      </c>
    </row>
    <row r="6" spans="1:11" x14ac:dyDescent="0.25">
      <c r="A6" s="224">
        <v>1</v>
      </c>
      <c r="B6" s="234" t="s">
        <v>424</v>
      </c>
      <c r="C6" s="244">
        <v>2.7</v>
      </c>
      <c r="D6" s="454"/>
      <c r="E6" s="236" t="s">
        <v>1451</v>
      </c>
      <c r="F6" s="236" t="s">
        <v>425</v>
      </c>
      <c r="G6" s="239">
        <v>70.289999999999992</v>
      </c>
      <c r="H6" s="458"/>
      <c r="I6" s="237" t="s">
        <v>1477</v>
      </c>
      <c r="J6" s="237" t="s">
        <v>361</v>
      </c>
      <c r="K6" s="238">
        <v>73.419999999999987</v>
      </c>
    </row>
    <row r="7" spans="1:11" x14ac:dyDescent="0.25">
      <c r="A7" s="224">
        <v>2</v>
      </c>
      <c r="B7" s="235" t="s">
        <v>484</v>
      </c>
      <c r="C7" s="246">
        <v>1.98</v>
      </c>
      <c r="D7" s="454"/>
      <c r="E7" s="237" t="s">
        <v>1452</v>
      </c>
      <c r="F7" s="237" t="s">
        <v>426</v>
      </c>
      <c r="G7" s="238">
        <v>100.47</v>
      </c>
      <c r="H7" s="458"/>
      <c r="I7" s="236" t="s">
        <v>1480</v>
      </c>
      <c r="J7" s="236" t="s">
        <v>362</v>
      </c>
      <c r="K7" s="239">
        <v>91.710000000000008</v>
      </c>
    </row>
    <row r="8" spans="1:11" x14ac:dyDescent="0.25">
      <c r="A8" s="224">
        <v>3</v>
      </c>
      <c r="B8" s="234" t="s">
        <v>487</v>
      </c>
      <c r="C8" s="244">
        <v>153.72</v>
      </c>
      <c r="D8" s="454"/>
      <c r="E8" s="236" t="s">
        <v>1453</v>
      </c>
      <c r="F8" s="236" t="s">
        <v>427</v>
      </c>
      <c r="G8" s="239">
        <v>73.830000000000013</v>
      </c>
      <c r="H8" s="458"/>
      <c r="I8" s="237" t="s">
        <v>1481</v>
      </c>
      <c r="J8" s="237" t="s">
        <v>363</v>
      </c>
      <c r="K8" s="238">
        <v>48.550000000000004</v>
      </c>
    </row>
    <row r="9" spans="1:11" x14ac:dyDescent="0.25">
      <c r="A9" s="224">
        <v>4</v>
      </c>
      <c r="B9" s="235" t="s">
        <v>488</v>
      </c>
      <c r="C9" s="246">
        <v>4.59</v>
      </c>
      <c r="D9" s="454"/>
      <c r="E9" s="237" t="s">
        <v>1454</v>
      </c>
      <c r="F9" s="237" t="s">
        <v>428</v>
      </c>
      <c r="G9" s="238">
        <v>72.25</v>
      </c>
      <c r="H9" s="458"/>
      <c r="I9" s="236" t="s">
        <v>1482</v>
      </c>
      <c r="J9" s="236" t="s">
        <v>364</v>
      </c>
      <c r="K9" s="239">
        <v>66.53</v>
      </c>
    </row>
    <row r="10" spans="1:11" x14ac:dyDescent="0.25">
      <c r="A10" s="224">
        <v>5</v>
      </c>
      <c r="B10" s="234" t="s">
        <v>490</v>
      </c>
      <c r="C10" s="244">
        <v>5.0999999999999996</v>
      </c>
      <c r="D10" s="454"/>
      <c r="E10" s="236" t="s">
        <v>1455</v>
      </c>
      <c r="F10" s="236" t="s">
        <v>429</v>
      </c>
      <c r="G10" s="239">
        <v>63.230000000000011</v>
      </c>
      <c r="H10" s="458"/>
      <c r="I10" s="237" t="s">
        <v>1483</v>
      </c>
      <c r="J10" s="237" t="s">
        <v>365</v>
      </c>
      <c r="K10" s="238">
        <v>72.97999999999999</v>
      </c>
    </row>
    <row r="11" spans="1:11" x14ac:dyDescent="0.25">
      <c r="A11" s="224">
        <v>6</v>
      </c>
      <c r="B11" s="235" t="s">
        <v>491</v>
      </c>
      <c r="C11" s="246">
        <v>9.9600000000000009</v>
      </c>
      <c r="D11" s="454"/>
      <c r="E11" s="237" t="s">
        <v>1456</v>
      </c>
      <c r="F11" s="237" t="s">
        <v>430</v>
      </c>
      <c r="G11" s="238">
        <v>68.62</v>
      </c>
      <c r="H11" s="458"/>
      <c r="I11" s="236" t="s">
        <v>1484</v>
      </c>
      <c r="J11" s="236" t="s">
        <v>366</v>
      </c>
      <c r="K11" s="239">
        <v>62.12</v>
      </c>
    </row>
    <row r="12" spans="1:11" x14ac:dyDescent="0.25">
      <c r="A12" s="224">
        <v>7</v>
      </c>
      <c r="B12" s="234" t="s">
        <v>660</v>
      </c>
      <c r="C12" s="244">
        <v>2.1</v>
      </c>
      <c r="D12" s="454"/>
      <c r="E12" s="236" t="s">
        <v>1457</v>
      </c>
      <c r="F12" s="236" t="s">
        <v>431</v>
      </c>
      <c r="G12" s="239">
        <v>86.399999999999991</v>
      </c>
      <c r="H12" s="458"/>
      <c r="I12" s="237" t="s">
        <v>1485</v>
      </c>
      <c r="J12" s="237" t="s">
        <v>367</v>
      </c>
      <c r="K12" s="238">
        <v>58.88</v>
      </c>
    </row>
    <row r="13" spans="1:11" x14ac:dyDescent="0.25">
      <c r="A13" s="224">
        <v>8</v>
      </c>
      <c r="B13" s="237" t="s">
        <v>538</v>
      </c>
      <c r="C13" s="238">
        <v>5.64</v>
      </c>
      <c r="D13" s="454"/>
      <c r="E13" s="237" t="s">
        <v>1458</v>
      </c>
      <c r="F13" s="237" t="s">
        <v>432</v>
      </c>
      <c r="G13" s="238">
        <v>123.55000000000001</v>
      </c>
      <c r="H13" s="458"/>
      <c r="I13" s="236" t="s">
        <v>1486</v>
      </c>
      <c r="J13" s="236" t="s">
        <v>371</v>
      </c>
      <c r="K13" s="239">
        <v>203.81000000000003</v>
      </c>
    </row>
    <row r="14" spans="1:11" x14ac:dyDescent="0.25">
      <c r="A14" s="224">
        <v>9</v>
      </c>
      <c r="B14" s="236" t="s">
        <v>539</v>
      </c>
      <c r="C14" s="239">
        <v>7.370000000000001</v>
      </c>
      <c r="D14" s="454"/>
      <c r="E14" s="236" t="s">
        <v>1459</v>
      </c>
      <c r="F14" s="236" t="s">
        <v>671</v>
      </c>
      <c r="G14" s="239">
        <v>30.650000000000002</v>
      </c>
      <c r="H14" s="458"/>
      <c r="I14" s="237" t="s">
        <v>1487</v>
      </c>
      <c r="J14" s="237" t="s">
        <v>377</v>
      </c>
      <c r="K14" s="238">
        <v>3.71</v>
      </c>
    </row>
    <row r="15" spans="1:11" x14ac:dyDescent="0.25">
      <c r="A15" s="224">
        <v>10</v>
      </c>
      <c r="B15" s="237" t="s">
        <v>542</v>
      </c>
      <c r="C15" s="238">
        <v>1.45</v>
      </c>
      <c r="D15" s="454"/>
      <c r="E15" s="237" t="s">
        <v>1460</v>
      </c>
      <c r="F15" s="237" t="s">
        <v>435</v>
      </c>
      <c r="G15" s="238">
        <v>77.5</v>
      </c>
      <c r="H15" s="458"/>
      <c r="I15" s="236" t="s">
        <v>1488</v>
      </c>
      <c r="J15" s="236" t="s">
        <v>690</v>
      </c>
      <c r="K15" s="239">
        <v>1.45</v>
      </c>
    </row>
    <row r="16" spans="1:11" x14ac:dyDescent="0.25">
      <c r="A16" s="224">
        <v>11</v>
      </c>
      <c r="B16" s="236" t="s">
        <v>545</v>
      </c>
      <c r="C16" s="239">
        <v>5.75</v>
      </c>
      <c r="D16" s="454"/>
      <c r="E16" s="236" t="s">
        <v>1461</v>
      </c>
      <c r="F16" s="236" t="s">
        <v>438</v>
      </c>
      <c r="G16" s="239">
        <v>80.599999999999994</v>
      </c>
      <c r="H16" s="458"/>
      <c r="I16" s="237" t="s">
        <v>1489</v>
      </c>
      <c r="J16" s="237" t="s">
        <v>647</v>
      </c>
      <c r="K16" s="238">
        <v>5.75</v>
      </c>
    </row>
    <row r="17" spans="1:11" x14ac:dyDescent="0.25">
      <c r="A17" s="224">
        <v>12</v>
      </c>
      <c r="B17" s="237" t="s">
        <v>546</v>
      </c>
      <c r="C17" s="238">
        <v>3.27</v>
      </c>
      <c r="D17" s="454"/>
      <c r="E17" s="237" t="s">
        <v>1462</v>
      </c>
      <c r="F17" s="237" t="s">
        <v>439</v>
      </c>
      <c r="G17" s="238">
        <v>18.73</v>
      </c>
      <c r="H17" s="458"/>
      <c r="I17" s="236" t="s">
        <v>1490</v>
      </c>
      <c r="J17" s="236" t="s">
        <v>648</v>
      </c>
      <c r="K17" s="239">
        <v>3.27</v>
      </c>
    </row>
    <row r="18" spans="1:11" x14ac:dyDescent="0.25">
      <c r="A18" s="224">
        <v>13</v>
      </c>
      <c r="B18" s="236" t="s">
        <v>551</v>
      </c>
      <c r="C18" s="239">
        <v>5.75</v>
      </c>
      <c r="D18" s="454"/>
      <c r="E18" s="236" t="s">
        <v>1463</v>
      </c>
      <c r="F18" s="236" t="s">
        <v>443</v>
      </c>
      <c r="G18" s="239">
        <v>54.7</v>
      </c>
      <c r="H18" s="458"/>
      <c r="I18" s="237" t="s">
        <v>1478</v>
      </c>
      <c r="J18" s="237" t="s">
        <v>379</v>
      </c>
      <c r="K18" s="238">
        <v>1.45</v>
      </c>
    </row>
    <row r="19" spans="1:11" x14ac:dyDescent="0.25">
      <c r="A19" s="224">
        <v>14</v>
      </c>
      <c r="B19" s="237" t="s">
        <v>552</v>
      </c>
      <c r="C19" s="238">
        <v>4.8899999999999997</v>
      </c>
      <c r="D19" s="454"/>
      <c r="E19" s="237" t="s">
        <v>1464</v>
      </c>
      <c r="F19" s="237" t="s">
        <v>444</v>
      </c>
      <c r="G19" s="238">
        <v>54.199999999999996</v>
      </c>
      <c r="H19" s="458"/>
      <c r="I19" s="236" t="s">
        <v>1479</v>
      </c>
      <c r="J19" s="236" t="s">
        <v>380</v>
      </c>
      <c r="K19" s="239">
        <v>5.75</v>
      </c>
    </row>
    <row r="20" spans="1:11" x14ac:dyDescent="0.25">
      <c r="A20" s="205"/>
      <c r="B20" s="212" t="s">
        <v>590</v>
      </c>
      <c r="C20" s="364">
        <f>SUM(C6:C19)</f>
        <v>214.26999999999998</v>
      </c>
      <c r="D20" s="454"/>
      <c r="E20" s="236" t="s">
        <v>1465</v>
      </c>
      <c r="F20" s="236" t="s">
        <v>451</v>
      </c>
      <c r="G20" s="239">
        <v>7.56</v>
      </c>
      <c r="H20" s="458"/>
      <c r="I20" s="237" t="s">
        <v>1491</v>
      </c>
      <c r="J20" s="237" t="s">
        <v>649</v>
      </c>
      <c r="K20" s="238">
        <v>4.8899999999999997</v>
      </c>
    </row>
    <row r="21" spans="1:11" x14ac:dyDescent="0.25">
      <c r="A21" s="453"/>
      <c r="B21" s="453"/>
      <c r="C21" s="453"/>
      <c r="D21" s="454"/>
      <c r="E21" s="237" t="s">
        <v>1466</v>
      </c>
      <c r="F21" s="237" t="s">
        <v>678</v>
      </c>
      <c r="G21" s="238">
        <v>60.5</v>
      </c>
      <c r="H21" s="458"/>
      <c r="I21" s="236" t="s">
        <v>1492</v>
      </c>
      <c r="J21" s="236" t="s">
        <v>383</v>
      </c>
      <c r="K21" s="239">
        <v>5.28</v>
      </c>
    </row>
    <row r="22" spans="1:11" x14ac:dyDescent="0.25">
      <c r="A22" s="454"/>
      <c r="B22" s="454"/>
      <c r="C22" s="454"/>
      <c r="D22" s="454"/>
      <c r="E22" s="236" t="s">
        <v>1467</v>
      </c>
      <c r="F22" s="236" t="s">
        <v>459</v>
      </c>
      <c r="G22" s="239">
        <v>1.45</v>
      </c>
      <c r="H22" s="458"/>
      <c r="I22" s="237" t="s">
        <v>1493</v>
      </c>
      <c r="J22" s="237" t="s">
        <v>385</v>
      </c>
      <c r="K22" s="238">
        <v>5.4</v>
      </c>
    </row>
    <row r="23" spans="1:11" x14ac:dyDescent="0.25">
      <c r="A23" s="454"/>
      <c r="B23" s="454"/>
      <c r="C23" s="454"/>
      <c r="D23" s="454"/>
      <c r="E23" s="237" t="s">
        <v>1468</v>
      </c>
      <c r="F23" s="237" t="s">
        <v>462</v>
      </c>
      <c r="G23" s="238">
        <v>5.75</v>
      </c>
      <c r="H23" s="458"/>
      <c r="I23" s="236" t="s">
        <v>1494</v>
      </c>
      <c r="J23" s="236" t="s">
        <v>395</v>
      </c>
      <c r="K23" s="239">
        <v>7.26</v>
      </c>
    </row>
    <row r="24" spans="1:11" x14ac:dyDescent="0.25">
      <c r="A24" s="454"/>
      <c r="B24" s="454"/>
      <c r="C24" s="454"/>
      <c r="D24" s="454"/>
      <c r="E24" s="236" t="s">
        <v>1469</v>
      </c>
      <c r="F24" s="236" t="s">
        <v>463</v>
      </c>
      <c r="G24" s="239">
        <v>3.27</v>
      </c>
      <c r="H24" s="458"/>
      <c r="I24" s="243"/>
      <c r="J24" s="212" t="s">
        <v>590</v>
      </c>
      <c r="K24" s="239">
        <f>SUM(K6:K23)</f>
        <v>722.21000000000015</v>
      </c>
    </row>
    <row r="25" spans="1:11" x14ac:dyDescent="0.25">
      <c r="A25" s="454"/>
      <c r="B25" s="454"/>
      <c r="C25" s="454"/>
      <c r="D25" s="454"/>
      <c r="E25" s="237" t="s">
        <v>1470</v>
      </c>
      <c r="F25" s="237" t="s">
        <v>464</v>
      </c>
      <c r="G25" s="238">
        <v>1.45</v>
      </c>
      <c r="H25" s="458"/>
      <c r="I25" s="453"/>
      <c r="J25" s="453"/>
      <c r="K25" s="453"/>
    </row>
    <row r="26" spans="1:11" x14ac:dyDescent="0.25">
      <c r="A26" s="454"/>
      <c r="B26" s="454"/>
      <c r="C26" s="454"/>
      <c r="D26" s="454"/>
      <c r="E26" s="236" t="s">
        <v>1471</v>
      </c>
      <c r="F26" s="236" t="s">
        <v>466</v>
      </c>
      <c r="G26" s="239">
        <v>5.75</v>
      </c>
      <c r="H26" s="458"/>
      <c r="I26" s="454"/>
      <c r="J26" s="454"/>
      <c r="K26" s="454"/>
    </row>
    <row r="27" spans="1:11" x14ac:dyDescent="0.25">
      <c r="A27" s="454"/>
      <c r="B27" s="454"/>
      <c r="C27" s="454"/>
      <c r="D27" s="454"/>
      <c r="E27" s="237" t="s">
        <v>1472</v>
      </c>
      <c r="F27" s="237" t="s">
        <v>467</v>
      </c>
      <c r="G27" s="238">
        <v>4.8899999999999997</v>
      </c>
      <c r="H27" s="458"/>
      <c r="I27" s="454"/>
      <c r="J27" s="454"/>
      <c r="K27" s="454"/>
    </row>
    <row r="28" spans="1:11" x14ac:dyDescent="0.25">
      <c r="A28" s="454"/>
      <c r="B28" s="454"/>
      <c r="C28" s="454"/>
      <c r="D28" s="454"/>
      <c r="E28" s="236" t="s">
        <v>1473</v>
      </c>
      <c r="F28" s="236" t="s">
        <v>469</v>
      </c>
      <c r="G28" s="239">
        <v>5.28</v>
      </c>
      <c r="H28" s="458"/>
      <c r="I28" s="454"/>
      <c r="J28" s="454"/>
      <c r="K28" s="454"/>
    </row>
    <row r="29" spans="1:11" x14ac:dyDescent="0.25">
      <c r="A29" s="454"/>
      <c r="B29" s="454"/>
      <c r="C29" s="454"/>
      <c r="D29" s="454"/>
      <c r="E29" s="237" t="s">
        <v>1474</v>
      </c>
      <c r="F29" s="237" t="s">
        <v>470</v>
      </c>
      <c r="G29" s="238">
        <v>35.4</v>
      </c>
      <c r="H29" s="458"/>
      <c r="I29" s="454"/>
      <c r="J29" s="454"/>
      <c r="K29" s="454"/>
    </row>
    <row r="30" spans="1:11" x14ac:dyDescent="0.25">
      <c r="A30" s="454"/>
      <c r="B30" s="454"/>
      <c r="C30" s="454"/>
      <c r="D30" s="454"/>
      <c r="E30" s="236" t="s">
        <v>1475</v>
      </c>
      <c r="F30" s="236" t="s">
        <v>471</v>
      </c>
      <c r="G30" s="239">
        <v>5.28</v>
      </c>
      <c r="H30" s="458"/>
      <c r="I30" s="454"/>
      <c r="J30" s="454"/>
      <c r="K30" s="454"/>
    </row>
    <row r="31" spans="1:11" x14ac:dyDescent="0.25">
      <c r="A31" s="454"/>
      <c r="B31" s="454"/>
      <c r="C31" s="454"/>
      <c r="D31" s="454"/>
      <c r="E31" s="237" t="s">
        <v>1476</v>
      </c>
      <c r="F31" s="237" t="s">
        <v>480</v>
      </c>
      <c r="G31" s="238">
        <v>1.8</v>
      </c>
      <c r="H31" s="458"/>
      <c r="I31" s="454"/>
      <c r="J31" s="454"/>
      <c r="K31" s="454"/>
    </row>
    <row r="32" spans="1:11" x14ac:dyDescent="0.25">
      <c r="A32" s="454"/>
      <c r="B32" s="454"/>
      <c r="C32" s="454"/>
      <c r="D32" s="454"/>
      <c r="F32" s="212" t="s">
        <v>590</v>
      </c>
      <c r="G32" s="239">
        <f>SUM(G6:G31)</f>
        <v>1113.4000000000003</v>
      </c>
      <c r="H32" s="458"/>
      <c r="I32" s="454"/>
      <c r="J32" s="454"/>
      <c r="K32" s="454"/>
    </row>
  </sheetData>
  <mergeCells count="9">
    <mergeCell ref="H5:H32"/>
    <mergeCell ref="D5:D32"/>
    <mergeCell ref="I25:K32"/>
    <mergeCell ref="A21:C32"/>
    <mergeCell ref="A1:J1"/>
    <mergeCell ref="K1:K3"/>
    <mergeCell ref="B2:H2"/>
    <mergeCell ref="B3:H3"/>
    <mergeCell ref="A4:K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5"/>
  <sheetViews>
    <sheetView topLeftCell="A16" zoomScale="55" zoomScaleNormal="55" workbookViewId="0">
      <selection activeCell="A46" sqref="A46:XFD67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459"/>
    </row>
    <row r="2" spans="1:11" ht="18" customHeight="1" x14ac:dyDescent="0.25">
      <c r="A2" s="360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459"/>
    </row>
    <row r="3" spans="1:11" ht="36" customHeight="1" x14ac:dyDescent="0.25">
      <c r="A3" s="360">
        <v>1</v>
      </c>
      <c r="B3" s="456" t="s">
        <v>1450</v>
      </c>
      <c r="C3" s="456"/>
      <c r="D3" s="456"/>
      <c r="E3" s="456"/>
      <c r="F3" s="456"/>
      <c r="G3" s="456"/>
      <c r="H3" s="456"/>
      <c r="I3" s="253" t="s">
        <v>571</v>
      </c>
      <c r="J3" s="256">
        <f>C39+G45+K42</f>
        <v>7630.58</v>
      </c>
      <c r="K3" s="459"/>
    </row>
    <row r="4" spans="1:11" ht="37.200000000000003" customHeight="1" x14ac:dyDescent="0.25">
      <c r="A4" s="360">
        <v>2</v>
      </c>
      <c r="B4" s="457" t="s">
        <v>790</v>
      </c>
      <c r="C4" s="457"/>
      <c r="D4" s="457"/>
      <c r="E4" s="457"/>
      <c r="F4" s="457"/>
      <c r="G4" s="457"/>
      <c r="H4" s="457"/>
      <c r="I4" s="253" t="s">
        <v>788</v>
      </c>
      <c r="J4" s="256">
        <v>18.93</v>
      </c>
      <c r="K4" s="459"/>
    </row>
    <row r="5" spans="1:11" ht="8.4" customHeight="1" x14ac:dyDescent="0.25">
      <c r="A5" s="455"/>
      <c r="B5" s="455"/>
      <c r="C5" s="455"/>
      <c r="D5" s="455"/>
      <c r="E5" s="455"/>
      <c r="F5" s="455"/>
      <c r="G5" s="455"/>
      <c r="H5" s="455"/>
      <c r="I5" s="455"/>
      <c r="J5" s="455"/>
      <c r="K5" s="455"/>
    </row>
    <row r="6" spans="1:11" x14ac:dyDescent="0.25">
      <c r="A6" s="226" t="s">
        <v>580</v>
      </c>
      <c r="B6" s="227" t="s">
        <v>693</v>
      </c>
      <c r="C6" s="228" t="s">
        <v>588</v>
      </c>
      <c r="D6" s="453"/>
      <c r="E6" s="249" t="s">
        <v>580</v>
      </c>
      <c r="F6" s="250" t="s">
        <v>693</v>
      </c>
      <c r="G6" s="251" t="s">
        <v>588</v>
      </c>
      <c r="H6" s="458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34" t="s">
        <v>424</v>
      </c>
      <c r="C7" s="244">
        <v>2.7</v>
      </c>
      <c r="D7" s="454"/>
      <c r="E7" s="236">
        <v>33</v>
      </c>
      <c r="F7" s="236" t="s">
        <v>425</v>
      </c>
      <c r="G7" s="239">
        <v>78.44</v>
      </c>
      <c r="H7" s="458"/>
      <c r="I7" s="237">
        <v>71</v>
      </c>
      <c r="J7" s="237" t="s">
        <v>361</v>
      </c>
      <c r="K7" s="238">
        <v>79.469999999999985</v>
      </c>
    </row>
    <row r="8" spans="1:11" x14ac:dyDescent="0.25">
      <c r="A8" s="224">
        <v>2</v>
      </c>
      <c r="B8" s="235" t="s">
        <v>484</v>
      </c>
      <c r="C8" s="246">
        <v>88.33</v>
      </c>
      <c r="D8" s="454"/>
      <c r="E8" s="237">
        <v>34</v>
      </c>
      <c r="F8" s="237" t="s">
        <v>426</v>
      </c>
      <c r="G8" s="238">
        <v>114.9</v>
      </c>
      <c r="H8" s="458"/>
      <c r="I8" s="236">
        <v>72</v>
      </c>
      <c r="J8" s="236" t="s">
        <v>362</v>
      </c>
      <c r="K8" s="239">
        <v>104.97000000000001</v>
      </c>
    </row>
    <row r="9" spans="1:11" x14ac:dyDescent="0.25">
      <c r="A9" s="224">
        <v>3</v>
      </c>
      <c r="B9" s="234" t="s">
        <v>486</v>
      </c>
      <c r="C9" s="244">
        <v>46.7</v>
      </c>
      <c r="D9" s="454"/>
      <c r="E9" s="236">
        <v>35</v>
      </c>
      <c r="F9" s="236" t="s">
        <v>427</v>
      </c>
      <c r="G9" s="239">
        <v>83.580000000000013</v>
      </c>
      <c r="H9" s="458"/>
      <c r="I9" s="237">
        <v>73</v>
      </c>
      <c r="J9" s="237" t="s">
        <v>363</v>
      </c>
      <c r="K9" s="238">
        <v>53.2</v>
      </c>
    </row>
    <row r="10" spans="1:11" x14ac:dyDescent="0.25">
      <c r="A10" s="224">
        <v>4</v>
      </c>
      <c r="B10" s="235" t="s">
        <v>487</v>
      </c>
      <c r="C10" s="246">
        <v>153.72</v>
      </c>
      <c r="D10" s="454"/>
      <c r="E10" s="237">
        <v>36</v>
      </c>
      <c r="F10" s="237" t="s">
        <v>428</v>
      </c>
      <c r="G10" s="238">
        <v>82.39</v>
      </c>
      <c r="H10" s="458"/>
      <c r="I10" s="236">
        <v>74</v>
      </c>
      <c r="J10" s="236" t="s">
        <v>364</v>
      </c>
      <c r="K10" s="239">
        <v>79.010000000000005</v>
      </c>
    </row>
    <row r="11" spans="1:11" x14ac:dyDescent="0.25">
      <c r="A11" s="224">
        <v>5</v>
      </c>
      <c r="B11" s="234" t="s">
        <v>488</v>
      </c>
      <c r="C11" s="244">
        <v>4</v>
      </c>
      <c r="D11" s="454"/>
      <c r="E11" s="236">
        <v>37</v>
      </c>
      <c r="F11" s="236" t="s">
        <v>429</v>
      </c>
      <c r="G11" s="239">
        <v>75.13000000000001</v>
      </c>
      <c r="H11" s="458"/>
      <c r="I11" s="237">
        <v>75</v>
      </c>
      <c r="J11" s="237" t="s">
        <v>365</v>
      </c>
      <c r="K11" s="238">
        <v>79.219999999999985</v>
      </c>
    </row>
    <row r="12" spans="1:11" x14ac:dyDescent="0.25">
      <c r="A12" s="224">
        <v>6</v>
      </c>
      <c r="B12" s="235" t="s">
        <v>490</v>
      </c>
      <c r="C12" s="246">
        <v>5</v>
      </c>
      <c r="D12" s="454"/>
      <c r="E12" s="237">
        <v>38</v>
      </c>
      <c r="F12" s="237" t="s">
        <v>430</v>
      </c>
      <c r="G12" s="238">
        <v>77.59</v>
      </c>
      <c r="H12" s="458"/>
      <c r="I12" s="236">
        <v>76</v>
      </c>
      <c r="J12" s="236" t="s">
        <v>366</v>
      </c>
      <c r="K12" s="239">
        <v>68.36</v>
      </c>
    </row>
    <row r="13" spans="1:11" x14ac:dyDescent="0.25">
      <c r="A13" s="224">
        <v>7</v>
      </c>
      <c r="B13" s="234" t="s">
        <v>660</v>
      </c>
      <c r="C13" s="244">
        <v>72.239999999999995</v>
      </c>
      <c r="D13" s="454"/>
      <c r="E13" s="236">
        <v>39</v>
      </c>
      <c r="F13" s="236" t="s">
        <v>431</v>
      </c>
      <c r="G13" s="239">
        <v>100.44</v>
      </c>
      <c r="H13" s="458"/>
      <c r="I13" s="237">
        <v>77</v>
      </c>
      <c r="J13" s="237" t="s">
        <v>367</v>
      </c>
      <c r="K13" s="238">
        <v>67.850000000000009</v>
      </c>
    </row>
    <row r="14" spans="1:11" x14ac:dyDescent="0.25">
      <c r="A14" s="224">
        <v>8</v>
      </c>
      <c r="B14" s="237" t="s">
        <v>498</v>
      </c>
      <c r="C14" s="238">
        <v>33.089999999999996</v>
      </c>
      <c r="D14" s="454"/>
      <c r="E14" s="237">
        <v>40</v>
      </c>
      <c r="F14" s="237" t="s">
        <v>432</v>
      </c>
      <c r="G14" s="238">
        <v>176.5</v>
      </c>
      <c r="H14" s="458"/>
      <c r="I14" s="236">
        <v>78</v>
      </c>
      <c r="J14" s="236" t="s">
        <v>368</v>
      </c>
      <c r="K14" s="239">
        <v>97.22</v>
      </c>
    </row>
    <row r="15" spans="1:11" x14ac:dyDescent="0.25">
      <c r="A15" s="224">
        <v>9</v>
      </c>
      <c r="B15" s="236" t="s">
        <v>503</v>
      </c>
      <c r="C15" s="239">
        <v>47.46</v>
      </c>
      <c r="D15" s="454"/>
      <c r="E15" s="236">
        <v>41</v>
      </c>
      <c r="F15" s="236" t="s">
        <v>671</v>
      </c>
      <c r="G15" s="239">
        <v>30.650000000000002</v>
      </c>
      <c r="H15" s="458"/>
      <c r="I15" s="237">
        <v>79</v>
      </c>
      <c r="J15" s="237" t="s">
        <v>371</v>
      </c>
      <c r="K15" s="238">
        <v>203.81000000000003</v>
      </c>
    </row>
    <row r="16" spans="1:11" x14ac:dyDescent="0.25">
      <c r="A16" s="224">
        <v>10</v>
      </c>
      <c r="B16" s="237" t="s">
        <v>504</v>
      </c>
      <c r="C16" s="238">
        <v>56.46</v>
      </c>
      <c r="D16" s="454"/>
      <c r="E16" s="237">
        <v>42</v>
      </c>
      <c r="F16" s="237" t="s">
        <v>435</v>
      </c>
      <c r="G16" s="238">
        <v>77.5</v>
      </c>
      <c r="H16" s="458"/>
      <c r="I16" s="236">
        <v>80</v>
      </c>
      <c r="J16" s="236" t="s">
        <v>372</v>
      </c>
      <c r="K16" s="239">
        <v>55.58</v>
      </c>
    </row>
    <row r="17" spans="1:11" x14ac:dyDescent="0.25">
      <c r="A17" s="224">
        <v>11</v>
      </c>
      <c r="B17" s="236" t="s">
        <v>510</v>
      </c>
      <c r="C17" s="239">
        <v>73.900000000000006</v>
      </c>
      <c r="D17" s="454"/>
      <c r="E17" s="236">
        <v>43</v>
      </c>
      <c r="F17" s="236" t="s">
        <v>438</v>
      </c>
      <c r="G17" s="239">
        <v>80.599999999999994</v>
      </c>
      <c r="H17" s="458"/>
      <c r="I17" s="237">
        <v>81</v>
      </c>
      <c r="J17" s="237" t="s">
        <v>375</v>
      </c>
      <c r="K17" s="238">
        <v>48.900000000000006</v>
      </c>
    </row>
    <row r="18" spans="1:11" x14ac:dyDescent="0.25">
      <c r="A18" s="224">
        <v>12</v>
      </c>
      <c r="B18" s="237" t="s">
        <v>511</v>
      </c>
      <c r="C18" s="238">
        <v>82.3</v>
      </c>
      <c r="D18" s="454"/>
      <c r="E18" s="237">
        <v>44</v>
      </c>
      <c r="F18" s="237" t="s">
        <v>439</v>
      </c>
      <c r="G18" s="238">
        <v>18.73</v>
      </c>
      <c r="H18" s="458"/>
      <c r="I18" s="236">
        <v>82</v>
      </c>
      <c r="J18" s="236" t="s">
        <v>376</v>
      </c>
      <c r="K18" s="239">
        <v>78.400000000000006</v>
      </c>
    </row>
    <row r="19" spans="1:11" x14ac:dyDescent="0.25">
      <c r="A19" s="224">
        <v>13</v>
      </c>
      <c r="B19" s="236" t="s">
        <v>512</v>
      </c>
      <c r="C19" s="239">
        <v>78.400000000000006</v>
      </c>
      <c r="D19" s="454"/>
      <c r="E19" s="236">
        <v>45</v>
      </c>
      <c r="F19" s="236" t="s">
        <v>443</v>
      </c>
      <c r="G19" s="239">
        <v>54.7</v>
      </c>
      <c r="H19" s="458"/>
      <c r="I19" s="237">
        <v>83</v>
      </c>
      <c r="J19" s="237" t="s">
        <v>377</v>
      </c>
      <c r="K19" s="238">
        <v>109.79999999999998</v>
      </c>
    </row>
    <row r="20" spans="1:11" x14ac:dyDescent="0.25">
      <c r="A20" s="224">
        <v>14</v>
      </c>
      <c r="B20" s="237" t="s">
        <v>513</v>
      </c>
      <c r="C20" s="238">
        <v>96.3</v>
      </c>
      <c r="D20" s="454"/>
      <c r="E20" s="237">
        <v>46</v>
      </c>
      <c r="F20" s="237" t="s">
        <v>444</v>
      </c>
      <c r="G20" s="238">
        <v>54.199999999999996</v>
      </c>
      <c r="H20" s="458"/>
      <c r="I20" s="236">
        <v>84</v>
      </c>
      <c r="J20" s="236" t="s">
        <v>378</v>
      </c>
      <c r="K20" s="239">
        <v>146.11999999999998</v>
      </c>
    </row>
    <row r="21" spans="1:11" x14ac:dyDescent="0.25">
      <c r="A21" s="224">
        <v>15</v>
      </c>
      <c r="B21" s="236" t="s">
        <v>537</v>
      </c>
      <c r="C21" s="239">
        <v>30.04</v>
      </c>
      <c r="D21" s="454"/>
      <c r="E21" s="236">
        <v>47</v>
      </c>
      <c r="F21" s="236" t="s">
        <v>450</v>
      </c>
      <c r="G21" s="239">
        <v>34.369999999999997</v>
      </c>
      <c r="H21" s="458"/>
      <c r="I21" s="237">
        <v>85</v>
      </c>
      <c r="J21" s="237" t="s">
        <v>689</v>
      </c>
      <c r="K21" s="238">
        <v>84.5</v>
      </c>
    </row>
    <row r="22" spans="1:11" x14ac:dyDescent="0.25">
      <c r="A22" s="224">
        <v>16</v>
      </c>
      <c r="B22" s="237" t="s">
        <v>538</v>
      </c>
      <c r="C22" s="238">
        <v>81.740000000000009</v>
      </c>
      <c r="D22" s="454"/>
      <c r="E22" s="237">
        <v>48</v>
      </c>
      <c r="F22" s="237" t="s">
        <v>451</v>
      </c>
      <c r="G22" s="238">
        <v>152.58000000000001</v>
      </c>
      <c r="H22" s="458"/>
      <c r="I22" s="236">
        <v>86</v>
      </c>
      <c r="J22" s="236" t="s">
        <v>646</v>
      </c>
      <c r="K22" s="239">
        <v>132.80000000000001</v>
      </c>
    </row>
    <row r="23" spans="1:11" x14ac:dyDescent="0.25">
      <c r="A23" s="224">
        <v>17</v>
      </c>
      <c r="B23" s="236" t="s">
        <v>539</v>
      </c>
      <c r="C23" s="239">
        <v>24.84</v>
      </c>
      <c r="D23" s="454"/>
      <c r="E23" s="236">
        <v>49</v>
      </c>
      <c r="F23" s="236" t="s">
        <v>678</v>
      </c>
      <c r="G23" s="239">
        <v>60.5</v>
      </c>
      <c r="H23" s="458"/>
      <c r="I23" s="237">
        <v>87</v>
      </c>
      <c r="J23" s="237" t="s">
        <v>1449</v>
      </c>
      <c r="K23" s="238">
        <v>30.94</v>
      </c>
    </row>
    <row r="24" spans="1:11" x14ac:dyDescent="0.25">
      <c r="A24" s="224">
        <v>18</v>
      </c>
      <c r="B24" s="237" t="s">
        <v>541</v>
      </c>
      <c r="C24" s="238">
        <v>19.600000000000001</v>
      </c>
      <c r="D24" s="454"/>
      <c r="E24" s="237">
        <v>50</v>
      </c>
      <c r="F24" s="237" t="s">
        <v>452</v>
      </c>
      <c r="G24" s="238">
        <v>80.920000000000016</v>
      </c>
      <c r="H24" s="458"/>
      <c r="I24" s="236">
        <v>88</v>
      </c>
      <c r="J24" s="236" t="s">
        <v>690</v>
      </c>
      <c r="K24" s="239">
        <v>77.260000000000005</v>
      </c>
    </row>
    <row r="25" spans="1:11" x14ac:dyDescent="0.25">
      <c r="A25" s="224">
        <v>19</v>
      </c>
      <c r="B25" s="236" t="s">
        <v>542</v>
      </c>
      <c r="C25" s="239">
        <v>85.74</v>
      </c>
      <c r="D25" s="454"/>
      <c r="E25" s="236">
        <v>51</v>
      </c>
      <c r="F25" s="236" t="s">
        <v>453</v>
      </c>
      <c r="G25" s="239">
        <v>78.7</v>
      </c>
      <c r="H25" s="458"/>
      <c r="I25" s="237">
        <v>89</v>
      </c>
      <c r="J25" s="237" t="s">
        <v>647</v>
      </c>
      <c r="K25" s="238">
        <v>84.5</v>
      </c>
    </row>
    <row r="26" spans="1:11" x14ac:dyDescent="0.25">
      <c r="A26" s="224">
        <v>20</v>
      </c>
      <c r="B26" s="237" t="s">
        <v>543</v>
      </c>
      <c r="C26" s="238">
        <v>11.38</v>
      </c>
      <c r="D26" s="454"/>
      <c r="E26" s="237">
        <v>52</v>
      </c>
      <c r="F26" s="237" t="s">
        <v>455</v>
      </c>
      <c r="G26" s="238">
        <v>41</v>
      </c>
      <c r="H26" s="458"/>
      <c r="I26" s="236">
        <v>90</v>
      </c>
      <c r="J26" s="236" t="s">
        <v>648</v>
      </c>
      <c r="K26" s="239">
        <v>70.5</v>
      </c>
    </row>
    <row r="27" spans="1:11" x14ac:dyDescent="0.25">
      <c r="A27" s="224">
        <v>21</v>
      </c>
      <c r="B27" s="236" t="s">
        <v>545</v>
      </c>
      <c r="C27" s="239">
        <v>68.62</v>
      </c>
      <c r="D27" s="454"/>
      <c r="E27" s="236">
        <v>53</v>
      </c>
      <c r="F27" s="236" t="s">
        <v>456</v>
      </c>
      <c r="G27" s="239">
        <v>82.1</v>
      </c>
      <c r="H27" s="458"/>
      <c r="I27" s="237">
        <v>91</v>
      </c>
      <c r="J27" s="237" t="s">
        <v>379</v>
      </c>
      <c r="K27" s="238">
        <v>74.36</v>
      </c>
    </row>
    <row r="28" spans="1:11" x14ac:dyDescent="0.25">
      <c r="A28" s="224">
        <v>22</v>
      </c>
      <c r="B28" s="237" t="s">
        <v>546</v>
      </c>
      <c r="C28" s="238">
        <v>73.78</v>
      </c>
      <c r="D28" s="454"/>
      <c r="E28" s="237">
        <v>54</v>
      </c>
      <c r="F28" s="237" t="s">
        <v>457</v>
      </c>
      <c r="G28" s="238">
        <v>98.6</v>
      </c>
      <c r="H28" s="458"/>
      <c r="I28" s="236">
        <v>92</v>
      </c>
      <c r="J28" s="236" t="s">
        <v>380</v>
      </c>
      <c r="K28" s="239">
        <v>82</v>
      </c>
    </row>
    <row r="29" spans="1:11" x14ac:dyDescent="0.25">
      <c r="A29" s="224">
        <v>23</v>
      </c>
      <c r="B29" s="236" t="s">
        <v>547</v>
      </c>
      <c r="C29" s="239">
        <v>58.500000000000007</v>
      </c>
      <c r="D29" s="454"/>
      <c r="E29" s="236">
        <v>55</v>
      </c>
      <c r="F29" s="236" t="s">
        <v>458</v>
      </c>
      <c r="G29" s="239">
        <v>31.179999999999996</v>
      </c>
      <c r="H29" s="458"/>
      <c r="I29" s="237">
        <v>93</v>
      </c>
      <c r="J29" s="237" t="s">
        <v>649</v>
      </c>
      <c r="K29" s="238">
        <v>67.300000000000011</v>
      </c>
    </row>
    <row r="30" spans="1:11" x14ac:dyDescent="0.25">
      <c r="A30" s="224">
        <v>24</v>
      </c>
      <c r="B30" s="237" t="s">
        <v>548</v>
      </c>
      <c r="C30" s="238">
        <v>9.9799999999999986</v>
      </c>
      <c r="D30" s="454"/>
      <c r="E30" s="237">
        <v>56</v>
      </c>
      <c r="F30" s="237" t="s">
        <v>459</v>
      </c>
      <c r="G30" s="238">
        <v>77.580000000000013</v>
      </c>
      <c r="H30" s="458"/>
      <c r="I30" s="236">
        <v>94</v>
      </c>
      <c r="J30" s="236" t="s">
        <v>383</v>
      </c>
      <c r="K30" s="239">
        <v>110.50999999999999</v>
      </c>
    </row>
    <row r="31" spans="1:11" x14ac:dyDescent="0.25">
      <c r="A31" s="224">
        <v>25</v>
      </c>
      <c r="B31" s="236" t="s">
        <v>549</v>
      </c>
      <c r="C31" s="239">
        <v>11.649999999999999</v>
      </c>
      <c r="D31" s="454"/>
      <c r="E31" s="236">
        <v>57</v>
      </c>
      <c r="F31" s="236" t="s">
        <v>462</v>
      </c>
      <c r="G31" s="239">
        <v>85.8</v>
      </c>
      <c r="H31" s="458"/>
      <c r="I31" s="237">
        <v>95</v>
      </c>
      <c r="J31" s="237" t="s">
        <v>384</v>
      </c>
      <c r="K31" s="238">
        <v>41.2</v>
      </c>
    </row>
    <row r="32" spans="1:11" x14ac:dyDescent="0.25">
      <c r="A32" s="224">
        <v>26</v>
      </c>
      <c r="B32" s="237" t="s">
        <v>551</v>
      </c>
      <c r="C32" s="238">
        <v>64.12</v>
      </c>
      <c r="D32" s="454"/>
      <c r="E32" s="237">
        <v>58</v>
      </c>
      <c r="F32" s="237" t="s">
        <v>463</v>
      </c>
      <c r="G32" s="238">
        <v>83.96</v>
      </c>
      <c r="H32" s="458"/>
      <c r="I32" s="236">
        <v>96</v>
      </c>
      <c r="J32" s="236" t="s">
        <v>385</v>
      </c>
      <c r="K32" s="239">
        <v>83.02000000000001</v>
      </c>
    </row>
    <row r="33" spans="1:11" x14ac:dyDescent="0.25">
      <c r="A33" s="224">
        <v>27</v>
      </c>
      <c r="B33" s="236" t="s">
        <v>552</v>
      </c>
      <c r="C33" s="239">
        <v>69.2</v>
      </c>
      <c r="D33" s="454"/>
      <c r="E33" s="236">
        <v>59</v>
      </c>
      <c r="F33" s="236" t="s">
        <v>464</v>
      </c>
      <c r="G33" s="239">
        <v>75.38</v>
      </c>
      <c r="H33" s="458"/>
      <c r="I33" s="237">
        <v>97</v>
      </c>
      <c r="J33" s="237" t="s">
        <v>386</v>
      </c>
      <c r="K33" s="238">
        <v>35.69</v>
      </c>
    </row>
    <row r="34" spans="1:11" x14ac:dyDescent="0.25">
      <c r="A34" s="224">
        <v>28</v>
      </c>
      <c r="B34" s="237" t="s">
        <v>554</v>
      </c>
      <c r="C34" s="238">
        <v>36.450000000000003</v>
      </c>
      <c r="D34" s="454"/>
      <c r="E34" s="237">
        <v>60</v>
      </c>
      <c r="F34" s="237" t="s">
        <v>466</v>
      </c>
      <c r="G34" s="238">
        <v>84.5</v>
      </c>
      <c r="H34" s="458"/>
      <c r="I34" s="236">
        <v>98</v>
      </c>
      <c r="J34" s="236" t="s">
        <v>387</v>
      </c>
      <c r="K34" s="239">
        <v>38.4</v>
      </c>
    </row>
    <row r="35" spans="1:11" x14ac:dyDescent="0.25">
      <c r="A35" s="224">
        <v>29</v>
      </c>
      <c r="B35" s="236" t="s">
        <v>555</v>
      </c>
      <c r="C35" s="239">
        <v>92.15</v>
      </c>
      <c r="D35" s="454"/>
      <c r="E35" s="236">
        <v>61</v>
      </c>
      <c r="F35" s="236" t="s">
        <v>467</v>
      </c>
      <c r="G35" s="239">
        <v>87.4</v>
      </c>
      <c r="H35" s="458"/>
      <c r="I35" s="237">
        <v>99</v>
      </c>
      <c r="J35" s="237" t="s">
        <v>388</v>
      </c>
      <c r="K35" s="238">
        <v>103.5</v>
      </c>
    </row>
    <row r="36" spans="1:11" x14ac:dyDescent="0.25">
      <c r="A36" s="224">
        <v>30</v>
      </c>
      <c r="B36" s="237" t="s">
        <v>556</v>
      </c>
      <c r="C36" s="238">
        <v>94.82</v>
      </c>
      <c r="D36" s="454"/>
      <c r="E36" s="237">
        <v>62</v>
      </c>
      <c r="F36" s="237" t="s">
        <v>469</v>
      </c>
      <c r="G36" s="238">
        <v>103.34</v>
      </c>
      <c r="H36" s="458"/>
      <c r="I36" s="236">
        <v>100</v>
      </c>
      <c r="J36" s="236" t="s">
        <v>389</v>
      </c>
      <c r="K36" s="239">
        <v>37</v>
      </c>
    </row>
    <row r="37" spans="1:11" x14ac:dyDescent="0.25">
      <c r="A37" s="224">
        <v>31</v>
      </c>
      <c r="B37" s="236" t="s">
        <v>557</v>
      </c>
      <c r="C37" s="239">
        <v>105.7</v>
      </c>
      <c r="D37" s="454"/>
      <c r="E37" s="236">
        <v>63</v>
      </c>
      <c r="F37" s="236" t="s">
        <v>471</v>
      </c>
      <c r="G37" s="239">
        <v>100.7</v>
      </c>
      <c r="H37" s="458"/>
      <c r="I37" s="237">
        <v>101</v>
      </c>
      <c r="J37" s="237" t="s">
        <v>391</v>
      </c>
      <c r="K37" s="238">
        <v>86.32</v>
      </c>
    </row>
    <row r="38" spans="1:11" x14ac:dyDescent="0.25">
      <c r="A38" s="224">
        <v>32</v>
      </c>
      <c r="B38" s="237" t="s">
        <v>558</v>
      </c>
      <c r="C38" s="238">
        <v>78</v>
      </c>
      <c r="D38" s="454"/>
      <c r="E38" s="237">
        <v>64</v>
      </c>
      <c r="F38" s="237" t="s">
        <v>473</v>
      </c>
      <c r="G38" s="238">
        <v>33.099999999999994</v>
      </c>
      <c r="H38" s="458"/>
      <c r="I38" s="236">
        <v>102</v>
      </c>
      <c r="J38" s="236" t="s">
        <v>392</v>
      </c>
      <c r="K38" s="239">
        <v>101.72</v>
      </c>
    </row>
    <row r="39" spans="1:11" x14ac:dyDescent="0.25">
      <c r="A39" s="205"/>
      <c r="B39" s="212" t="s">
        <v>590</v>
      </c>
      <c r="C39" s="364">
        <f>SUM(C7:C38)</f>
        <v>1856.9100000000003</v>
      </c>
      <c r="D39" s="454"/>
      <c r="E39" s="236">
        <v>65</v>
      </c>
      <c r="F39" s="236" t="s">
        <v>475</v>
      </c>
      <c r="G39" s="239">
        <v>38.9</v>
      </c>
      <c r="H39" s="458"/>
      <c r="I39" s="237">
        <v>103</v>
      </c>
      <c r="J39" s="237" t="s">
        <v>393</v>
      </c>
      <c r="K39" s="238">
        <v>83.5</v>
      </c>
    </row>
    <row r="40" spans="1:11" x14ac:dyDescent="0.25">
      <c r="A40" s="453"/>
      <c r="B40" s="453"/>
      <c r="C40" s="453"/>
      <c r="D40" s="454"/>
      <c r="E40" s="237">
        <v>66</v>
      </c>
      <c r="F40" s="237" t="s">
        <v>476</v>
      </c>
      <c r="G40" s="238">
        <v>102.8</v>
      </c>
      <c r="H40" s="458"/>
      <c r="I40" s="236">
        <v>104</v>
      </c>
      <c r="J40" s="236" t="s">
        <v>394</v>
      </c>
      <c r="K40" s="239">
        <v>36.67</v>
      </c>
    </row>
    <row r="41" spans="1:11" x14ac:dyDescent="0.25">
      <c r="A41" s="454"/>
      <c r="B41" s="454"/>
      <c r="C41" s="454"/>
      <c r="D41" s="454"/>
      <c r="E41" s="236">
        <v>67</v>
      </c>
      <c r="F41" s="236" t="s">
        <v>477</v>
      </c>
      <c r="G41" s="239">
        <v>39</v>
      </c>
      <c r="H41" s="458"/>
      <c r="I41" s="237">
        <v>105</v>
      </c>
      <c r="J41" s="237" t="s">
        <v>395</v>
      </c>
      <c r="K41" s="238">
        <v>61.79</v>
      </c>
    </row>
    <row r="42" spans="1:11" x14ac:dyDescent="0.25">
      <c r="A42" s="454"/>
      <c r="B42" s="454"/>
      <c r="C42" s="454"/>
      <c r="D42" s="454"/>
      <c r="E42" s="237">
        <v>68</v>
      </c>
      <c r="F42" s="237" t="s">
        <v>478</v>
      </c>
      <c r="G42" s="238">
        <v>116.25</v>
      </c>
      <c r="H42" s="458"/>
      <c r="I42" s="243"/>
      <c r="J42" s="212" t="s">
        <v>590</v>
      </c>
      <c r="K42" s="239">
        <f>SUM(K7:K41)</f>
        <v>2795.39</v>
      </c>
    </row>
    <row r="43" spans="1:11" x14ac:dyDescent="0.25">
      <c r="A43" s="454"/>
      <c r="B43" s="454"/>
      <c r="C43" s="454"/>
      <c r="D43" s="454"/>
      <c r="E43" s="236">
        <v>69</v>
      </c>
      <c r="F43" s="236" t="s">
        <v>479</v>
      </c>
      <c r="G43" s="239">
        <v>83.5</v>
      </c>
      <c r="H43" s="458"/>
      <c r="I43" s="453"/>
      <c r="J43" s="453"/>
      <c r="K43" s="453"/>
    </row>
    <row r="44" spans="1:11" x14ac:dyDescent="0.25">
      <c r="A44" s="454"/>
      <c r="B44" s="454"/>
      <c r="C44" s="454"/>
      <c r="D44" s="454"/>
      <c r="E44" s="237">
        <v>70</v>
      </c>
      <c r="F44" s="237" t="s">
        <v>480</v>
      </c>
      <c r="G44" s="238">
        <v>100.77</v>
      </c>
      <c r="H44" s="458"/>
      <c r="I44" s="454"/>
      <c r="J44" s="454"/>
      <c r="K44" s="454"/>
    </row>
    <row r="45" spans="1:11" x14ac:dyDescent="0.25">
      <c r="A45" s="454"/>
      <c r="B45" s="454"/>
      <c r="C45" s="454"/>
      <c r="D45" s="454"/>
      <c r="F45" s="212" t="s">
        <v>590</v>
      </c>
      <c r="G45" s="239">
        <f>SUM(G7:G44)</f>
        <v>2978.28</v>
      </c>
      <c r="H45" s="458"/>
      <c r="I45" s="454"/>
      <c r="J45" s="454"/>
      <c r="K45" s="454"/>
    </row>
  </sheetData>
  <mergeCells count="10">
    <mergeCell ref="I43:K45"/>
    <mergeCell ref="A40:C45"/>
    <mergeCell ref="D6:D45"/>
    <mergeCell ref="H6:H45"/>
    <mergeCell ref="A1:J1"/>
    <mergeCell ref="K1:K4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activeCell="E18" sqref="E18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  <c r="I1" s="449"/>
      <c r="J1" s="449"/>
      <c r="K1" s="459"/>
    </row>
    <row r="2" spans="1:11" ht="18" customHeight="1" x14ac:dyDescent="0.25">
      <c r="A2" s="233" t="s">
        <v>580</v>
      </c>
      <c r="B2" s="449" t="s">
        <v>789</v>
      </c>
      <c r="C2" s="449"/>
      <c r="D2" s="449"/>
      <c r="E2" s="449"/>
      <c r="F2" s="449"/>
      <c r="G2" s="449"/>
      <c r="H2" s="449"/>
      <c r="I2" s="255" t="s">
        <v>583</v>
      </c>
      <c r="J2" s="255" t="s">
        <v>584</v>
      </c>
      <c r="K2" s="459"/>
    </row>
    <row r="3" spans="1:11" ht="36" customHeight="1" x14ac:dyDescent="0.25">
      <c r="A3" s="233">
        <v>1</v>
      </c>
      <c r="B3" s="456" t="s">
        <v>791</v>
      </c>
      <c r="C3" s="456"/>
      <c r="D3" s="456"/>
      <c r="E3" s="456"/>
      <c r="F3" s="456"/>
      <c r="G3" s="456"/>
      <c r="H3" s="456"/>
      <c r="I3" s="253" t="s">
        <v>571</v>
      </c>
      <c r="J3" s="256">
        <f>C35+G40+K31</f>
        <v>9286.130000000001</v>
      </c>
      <c r="K3" s="459"/>
    </row>
    <row r="4" spans="1:11" ht="37.200000000000003" customHeight="1" x14ac:dyDescent="0.25">
      <c r="A4" s="233">
        <v>2</v>
      </c>
      <c r="B4" s="457" t="s">
        <v>790</v>
      </c>
      <c r="C4" s="457"/>
      <c r="D4" s="457"/>
      <c r="E4" s="457"/>
      <c r="F4" s="457"/>
      <c r="G4" s="457"/>
      <c r="H4" s="457"/>
      <c r="I4" s="253" t="s">
        <v>788</v>
      </c>
      <c r="J4" s="256">
        <v>18.93</v>
      </c>
      <c r="K4" s="459"/>
    </row>
    <row r="5" spans="1:11" ht="8.4" customHeight="1" x14ac:dyDescent="0.25">
      <c r="A5" s="455"/>
      <c r="B5" s="455"/>
      <c r="C5" s="455"/>
      <c r="D5" s="455"/>
      <c r="E5" s="455"/>
      <c r="F5" s="455"/>
      <c r="G5" s="455"/>
      <c r="H5" s="455"/>
      <c r="I5" s="455"/>
      <c r="J5" s="455"/>
      <c r="K5" s="455"/>
    </row>
    <row r="6" spans="1:11" x14ac:dyDescent="0.25">
      <c r="A6" s="226" t="s">
        <v>580</v>
      </c>
      <c r="B6" s="227" t="s">
        <v>693</v>
      </c>
      <c r="C6" s="228" t="s">
        <v>588</v>
      </c>
      <c r="D6" s="453"/>
      <c r="E6" s="249" t="s">
        <v>580</v>
      </c>
      <c r="F6" s="250" t="s">
        <v>693</v>
      </c>
      <c r="G6" s="251" t="s">
        <v>588</v>
      </c>
      <c r="H6" s="454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454"/>
      <c r="E7" s="243">
        <v>29</v>
      </c>
      <c r="F7" s="234" t="s">
        <v>729</v>
      </c>
      <c r="G7" s="244">
        <v>48</v>
      </c>
      <c r="H7" s="454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454"/>
      <c r="E8" s="245">
        <v>30</v>
      </c>
      <c r="F8" s="235" t="s">
        <v>730</v>
      </c>
      <c r="G8" s="246">
        <v>110.2</v>
      </c>
      <c r="H8" s="454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454"/>
      <c r="E9" s="243">
        <v>31</v>
      </c>
      <c r="F9" s="234" t="s">
        <v>731</v>
      </c>
      <c r="G9" s="244">
        <v>76</v>
      </c>
      <c r="H9" s="454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454"/>
      <c r="E10" s="245">
        <v>32</v>
      </c>
      <c r="F10" s="235" t="s">
        <v>732</v>
      </c>
      <c r="G10" s="246">
        <v>108.3</v>
      </c>
      <c r="H10" s="454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454"/>
      <c r="E11" s="243">
        <v>33</v>
      </c>
      <c r="F11" s="234" t="s">
        <v>733</v>
      </c>
      <c r="G11" s="244">
        <v>43.9</v>
      </c>
      <c r="H11" s="454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454"/>
      <c r="E12" s="245">
        <v>34</v>
      </c>
      <c r="F12" s="235" t="s">
        <v>734</v>
      </c>
      <c r="G12" s="246">
        <v>127.2</v>
      </c>
      <c r="H12" s="454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454"/>
      <c r="E13" s="243">
        <v>35</v>
      </c>
      <c r="F13" s="234" t="s">
        <v>735</v>
      </c>
      <c r="G13" s="244">
        <v>92.5</v>
      </c>
      <c r="H13" s="454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454"/>
      <c r="E14" s="245">
        <v>36</v>
      </c>
      <c r="F14" s="237" t="s">
        <v>736</v>
      </c>
      <c r="G14" s="238">
        <v>287.7</v>
      </c>
      <c r="H14" s="454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454"/>
      <c r="E15" s="243">
        <v>37</v>
      </c>
      <c r="F15" s="236" t="s">
        <v>737</v>
      </c>
      <c r="G15" s="239">
        <v>80.3</v>
      </c>
      <c r="H15" s="454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454"/>
      <c r="E16" s="245">
        <v>38</v>
      </c>
      <c r="F16" s="237" t="s">
        <v>738</v>
      </c>
      <c r="G16" s="238">
        <v>266.39999999999998</v>
      </c>
      <c r="H16" s="454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454"/>
      <c r="E17" s="243">
        <v>39</v>
      </c>
      <c r="F17" s="236" t="s">
        <v>739</v>
      </c>
      <c r="G17" s="239">
        <v>106.3</v>
      </c>
      <c r="H17" s="454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454"/>
      <c r="E18" s="245">
        <v>40</v>
      </c>
      <c r="F18" s="237" t="s">
        <v>740</v>
      </c>
      <c r="G18" s="238">
        <v>104.5</v>
      </c>
      <c r="H18" s="454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454"/>
      <c r="E19" s="243">
        <v>41</v>
      </c>
      <c r="F19" s="236" t="s">
        <v>741</v>
      </c>
      <c r="G19" s="239">
        <v>102.3</v>
      </c>
      <c r="H19" s="454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454"/>
      <c r="E20" s="245">
        <v>42</v>
      </c>
      <c r="F20" s="237" t="s">
        <v>742</v>
      </c>
      <c r="G20" s="238">
        <v>105.3</v>
      </c>
      <c r="H20" s="454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454"/>
      <c r="E21" s="243">
        <v>43</v>
      </c>
      <c r="F21" s="236" t="s">
        <v>743</v>
      </c>
      <c r="G21" s="239">
        <v>173.9</v>
      </c>
      <c r="H21" s="454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454"/>
      <c r="E22" s="245">
        <v>44</v>
      </c>
      <c r="F22" s="237" t="s">
        <v>744</v>
      </c>
      <c r="G22" s="238">
        <v>78.7</v>
      </c>
      <c r="H22" s="454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454"/>
      <c r="E23" s="243">
        <v>45</v>
      </c>
      <c r="F23" s="236" t="s">
        <v>745</v>
      </c>
      <c r="G23" s="239">
        <v>73.8</v>
      </c>
      <c r="H23" s="454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454"/>
      <c r="E24" s="245">
        <v>46</v>
      </c>
      <c r="F24" s="237" t="s">
        <v>746</v>
      </c>
      <c r="G24" s="238">
        <v>103.6</v>
      </c>
      <c r="H24" s="454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454"/>
      <c r="E25" s="243">
        <v>47</v>
      </c>
      <c r="F25" s="236" t="s">
        <v>747</v>
      </c>
      <c r="G25" s="239">
        <v>94.6</v>
      </c>
      <c r="H25" s="454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454"/>
      <c r="E26" s="245">
        <v>48</v>
      </c>
      <c r="F26" s="237" t="s">
        <v>748</v>
      </c>
      <c r="G26" s="238">
        <v>15</v>
      </c>
      <c r="H26" s="454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454"/>
      <c r="E27" s="243">
        <v>49</v>
      </c>
      <c r="F27" s="236" t="s">
        <v>749</v>
      </c>
      <c r="G27" s="239">
        <v>10</v>
      </c>
      <c r="H27" s="454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454"/>
      <c r="E28" s="245">
        <v>50</v>
      </c>
      <c r="F28" s="237" t="s">
        <v>750</v>
      </c>
      <c r="G28" s="238">
        <v>10</v>
      </c>
      <c r="H28" s="454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454"/>
      <c r="E29" s="243">
        <v>51</v>
      </c>
      <c r="F29" s="236" t="s">
        <v>751</v>
      </c>
      <c r="G29" s="239">
        <v>170</v>
      </c>
      <c r="H29" s="454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454"/>
      <c r="E30" s="245">
        <v>52</v>
      </c>
      <c r="F30" s="237" t="s">
        <v>752</v>
      </c>
      <c r="G30" s="238">
        <v>90.38</v>
      </c>
      <c r="H30" s="454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454"/>
      <c r="E31" s="243">
        <v>53</v>
      </c>
      <c r="F31" s="236" t="s">
        <v>753</v>
      </c>
      <c r="G31" s="239">
        <v>93.81</v>
      </c>
      <c r="H31" s="454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454"/>
      <c r="E32" s="245">
        <v>54</v>
      </c>
      <c r="F32" s="237" t="s">
        <v>754</v>
      </c>
      <c r="G32" s="238">
        <v>93.37</v>
      </c>
      <c r="H32" s="454"/>
      <c r="I32" s="453"/>
      <c r="J32" s="453"/>
      <c r="K32" s="453"/>
    </row>
    <row r="33" spans="1:11" x14ac:dyDescent="0.25">
      <c r="A33" s="224">
        <v>27</v>
      </c>
      <c r="B33" s="221" t="s">
        <v>727</v>
      </c>
      <c r="C33" s="225">
        <v>82.94</v>
      </c>
      <c r="D33" s="454"/>
      <c r="E33" s="243">
        <v>55</v>
      </c>
      <c r="F33" s="236" t="s">
        <v>755</v>
      </c>
      <c r="G33" s="239">
        <f>82+107.45</f>
        <v>189.45</v>
      </c>
      <c r="H33" s="454"/>
      <c r="I33" s="454"/>
      <c r="J33" s="454"/>
      <c r="K33" s="454"/>
    </row>
    <row r="34" spans="1:11" x14ac:dyDescent="0.25">
      <c r="A34" s="224">
        <v>28</v>
      </c>
      <c r="B34" s="221" t="s">
        <v>728</v>
      </c>
      <c r="C34" s="225">
        <v>71.62</v>
      </c>
      <c r="D34" s="454"/>
      <c r="E34" s="245">
        <v>56</v>
      </c>
      <c r="F34" s="237" t="s">
        <v>756</v>
      </c>
      <c r="G34" s="238">
        <v>130.38</v>
      </c>
      <c r="H34" s="454"/>
      <c r="I34" s="454"/>
      <c r="J34" s="454"/>
      <c r="K34" s="454"/>
    </row>
    <row r="35" spans="1:11" x14ac:dyDescent="0.25">
      <c r="A35" s="205"/>
      <c r="B35" s="212" t="s">
        <v>590</v>
      </c>
      <c r="C35" s="207">
        <f>SUM(C7:C34)</f>
        <v>3113.3399999999997</v>
      </c>
      <c r="D35" s="454"/>
      <c r="E35" s="243">
        <v>57</v>
      </c>
      <c r="F35" s="236" t="s">
        <v>757</v>
      </c>
      <c r="G35" s="239">
        <v>90.9</v>
      </c>
      <c r="H35" s="454"/>
      <c r="I35" s="454"/>
      <c r="J35" s="454"/>
      <c r="K35" s="454"/>
    </row>
    <row r="36" spans="1:11" x14ac:dyDescent="0.25">
      <c r="A36" s="453"/>
      <c r="B36" s="453"/>
      <c r="C36" s="453"/>
      <c r="D36" s="454"/>
      <c r="E36" s="245">
        <v>58</v>
      </c>
      <c r="F36" s="237" t="s">
        <v>758</v>
      </c>
      <c r="G36" s="238">
        <v>86.81</v>
      </c>
      <c r="H36" s="454"/>
      <c r="I36" s="454"/>
      <c r="J36" s="454"/>
      <c r="K36" s="454"/>
    </row>
    <row r="37" spans="1:11" x14ac:dyDescent="0.25">
      <c r="A37" s="454"/>
      <c r="B37" s="454"/>
      <c r="C37" s="454"/>
      <c r="D37" s="454"/>
      <c r="E37" s="243">
        <v>59</v>
      </c>
      <c r="F37" s="236" t="s">
        <v>759</v>
      </c>
      <c r="G37" s="239">
        <v>91.84</v>
      </c>
      <c r="H37" s="454"/>
      <c r="I37" s="454"/>
      <c r="J37" s="454"/>
      <c r="K37" s="454"/>
    </row>
    <row r="38" spans="1:11" x14ac:dyDescent="0.25">
      <c r="A38" s="454"/>
      <c r="B38" s="454"/>
      <c r="C38" s="454"/>
      <c r="D38" s="454"/>
      <c r="E38" s="245">
        <v>60</v>
      </c>
      <c r="F38" s="237" t="s">
        <v>760</v>
      </c>
      <c r="G38" s="238">
        <v>133.22999999999999</v>
      </c>
      <c r="H38" s="454"/>
      <c r="I38" s="454"/>
      <c r="J38" s="454"/>
      <c r="K38" s="454"/>
    </row>
    <row r="39" spans="1:11" x14ac:dyDescent="0.25">
      <c r="A39" s="454"/>
      <c r="B39" s="454"/>
      <c r="C39" s="454"/>
      <c r="D39" s="454"/>
      <c r="E39" s="243">
        <v>61</v>
      </c>
      <c r="F39" s="236" t="s">
        <v>761</v>
      </c>
      <c r="G39" s="239">
        <v>70</v>
      </c>
      <c r="H39" s="454"/>
      <c r="I39" s="454"/>
      <c r="J39" s="454"/>
      <c r="K39" s="454"/>
    </row>
    <row r="40" spans="1:11" x14ac:dyDescent="0.25">
      <c r="A40" s="454"/>
      <c r="B40" s="454"/>
      <c r="C40" s="454"/>
      <c r="D40" s="454"/>
      <c r="E40" s="205"/>
      <c r="F40" s="212" t="s">
        <v>590</v>
      </c>
      <c r="G40" s="207">
        <f>SUM(G7:G39)</f>
        <v>3458.67</v>
      </c>
      <c r="H40" s="454"/>
      <c r="I40" s="454"/>
      <c r="J40" s="454"/>
      <c r="K40" s="454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400"/>
  <sheetViews>
    <sheetView topLeftCell="A16" zoomScale="70" zoomScaleNormal="70" workbookViewId="0">
      <selection activeCell="D19" sqref="D19:E20"/>
    </sheetView>
  </sheetViews>
  <sheetFormatPr defaultRowHeight="14.4" x14ac:dyDescent="0.3"/>
  <cols>
    <col min="1" max="1" width="20" style="260" customWidth="1"/>
    <col min="2" max="2" width="21.77734375" style="260" bestFit="1" customWidth="1"/>
    <col min="3" max="3" width="79.88671875" style="260" customWidth="1"/>
    <col min="4" max="5" width="38" style="260" customWidth="1"/>
    <col min="6" max="6" width="16.44140625" style="260" customWidth="1"/>
    <col min="7" max="7" width="16.88671875" style="260" customWidth="1"/>
    <col min="8" max="8" width="16" style="260" customWidth="1"/>
    <col min="9" max="9" width="17.33203125" style="260" customWidth="1"/>
    <col min="10" max="16384" width="8.88671875" style="260"/>
  </cols>
  <sheetData>
    <row r="1" spans="1:9" ht="15" customHeight="1" x14ac:dyDescent="0.3">
      <c r="A1" s="257" t="s">
        <v>804</v>
      </c>
      <c r="B1" s="258"/>
      <c r="C1" s="258"/>
      <c r="D1" s="259" t="s">
        <v>805</v>
      </c>
      <c r="E1" s="259"/>
      <c r="F1" s="259" t="s">
        <v>806</v>
      </c>
      <c r="G1" s="259" t="s">
        <v>807</v>
      </c>
      <c r="H1" s="259" t="s">
        <v>808</v>
      </c>
      <c r="I1" s="259" t="s">
        <v>809</v>
      </c>
    </row>
    <row r="2" spans="1:9" ht="30.75" customHeight="1" x14ac:dyDescent="0.3">
      <c r="A2" s="460" t="s">
        <v>810</v>
      </c>
      <c r="B2" s="460"/>
      <c r="C2" s="460"/>
      <c r="D2" s="460"/>
      <c r="E2" s="460"/>
      <c r="F2" s="460"/>
      <c r="G2" s="460"/>
      <c r="H2" s="460"/>
      <c r="I2" s="460"/>
    </row>
    <row r="3" spans="1:9" ht="15" customHeight="1" x14ac:dyDescent="0.3">
      <c r="A3" s="461" t="s">
        <v>811</v>
      </c>
      <c r="B3" s="461"/>
      <c r="C3" s="461"/>
      <c r="D3" s="461"/>
      <c r="E3" s="461"/>
      <c r="F3" s="461"/>
      <c r="G3" s="461"/>
      <c r="H3" s="461"/>
      <c r="I3" s="461"/>
    </row>
    <row r="4" spans="1:9" ht="15" customHeight="1" x14ac:dyDescent="0.3">
      <c r="A4" s="462" t="s">
        <v>812</v>
      </c>
      <c r="B4" s="462"/>
      <c r="C4" s="462"/>
      <c r="D4" s="462"/>
      <c r="E4" s="462"/>
      <c r="F4" s="462"/>
      <c r="G4" s="462"/>
      <c r="H4" s="462"/>
      <c r="I4" s="462"/>
    </row>
    <row r="5" spans="1:9" ht="40.799999999999997" customHeight="1" x14ac:dyDescent="0.3">
      <c r="A5" s="278" t="s">
        <v>813</v>
      </c>
      <c r="B5" s="270" t="s">
        <v>814</v>
      </c>
      <c r="C5" s="270" t="s">
        <v>581</v>
      </c>
      <c r="D5" s="270" t="s">
        <v>815</v>
      </c>
      <c r="E5" s="270" t="s">
        <v>816</v>
      </c>
      <c r="F5" s="270" t="s">
        <v>583</v>
      </c>
      <c r="G5" s="270" t="s">
        <v>817</v>
      </c>
      <c r="H5" s="270" t="s">
        <v>818</v>
      </c>
      <c r="I5" s="279" t="s">
        <v>819</v>
      </c>
    </row>
    <row r="6" spans="1:9" ht="30" customHeight="1" x14ac:dyDescent="0.3">
      <c r="A6" s="273" t="s">
        <v>820</v>
      </c>
      <c r="B6" s="273"/>
      <c r="C6" s="273"/>
      <c r="D6" s="273"/>
      <c r="E6" s="273"/>
      <c r="F6" s="273"/>
      <c r="G6" s="273"/>
      <c r="H6" s="273"/>
      <c r="I6" s="273"/>
    </row>
    <row r="7" spans="1:9" ht="16.95" customHeight="1" x14ac:dyDescent="0.3">
      <c r="A7" s="274" t="s">
        <v>821</v>
      </c>
      <c r="B7" s="261" t="s">
        <v>822</v>
      </c>
      <c r="C7" s="271" t="s">
        <v>823</v>
      </c>
      <c r="D7" s="272"/>
      <c r="E7" s="272"/>
      <c r="F7" s="272"/>
      <c r="G7" s="272"/>
      <c r="H7" s="272"/>
      <c r="I7" s="272"/>
    </row>
    <row r="8" spans="1:9" ht="16.95" customHeight="1" x14ac:dyDescent="0.3">
      <c r="A8" s="274" t="s">
        <v>824</v>
      </c>
      <c r="B8" s="261" t="s">
        <v>825</v>
      </c>
      <c r="C8" s="271" t="s">
        <v>826</v>
      </c>
      <c r="D8" s="272"/>
      <c r="E8" s="272"/>
      <c r="F8" s="272"/>
      <c r="G8" s="272"/>
      <c r="H8" s="272"/>
      <c r="I8" s="272"/>
    </row>
    <row r="9" spans="1:9" ht="16.95" customHeight="1" x14ac:dyDescent="0.3">
      <c r="A9" s="274" t="s">
        <v>827</v>
      </c>
      <c r="B9" s="261" t="s">
        <v>828</v>
      </c>
      <c r="C9" s="271" t="s">
        <v>829</v>
      </c>
      <c r="D9" s="272"/>
      <c r="E9" s="272"/>
      <c r="F9" s="272"/>
      <c r="G9" s="272"/>
      <c r="H9" s="272"/>
      <c r="I9" s="272"/>
    </row>
    <row r="10" spans="1:9" ht="16.95" customHeight="1" x14ac:dyDescent="0.3">
      <c r="A10" s="274" t="s">
        <v>830</v>
      </c>
      <c r="B10" s="261" t="s">
        <v>831</v>
      </c>
      <c r="C10" s="271" t="s">
        <v>832</v>
      </c>
      <c r="D10" s="272"/>
      <c r="E10" s="272"/>
      <c r="F10" s="272"/>
      <c r="G10" s="272"/>
      <c r="H10" s="272"/>
      <c r="I10" s="272"/>
    </row>
    <row r="11" spans="1:9" ht="16.95" customHeight="1" x14ac:dyDescent="0.3">
      <c r="A11" s="274" t="s">
        <v>833</v>
      </c>
      <c r="B11" s="261" t="s">
        <v>834</v>
      </c>
      <c r="C11" s="271" t="s">
        <v>835</v>
      </c>
      <c r="D11" s="272"/>
      <c r="E11" s="272"/>
      <c r="F11" s="272"/>
      <c r="G11" s="272"/>
      <c r="H11" s="272"/>
      <c r="I11" s="272"/>
    </row>
    <row r="12" spans="1:9" ht="91.05" customHeight="1" x14ac:dyDescent="0.3">
      <c r="A12" s="274" t="s">
        <v>836</v>
      </c>
      <c r="B12" s="261" t="s">
        <v>837</v>
      </c>
      <c r="C12" s="262" t="s">
        <v>838</v>
      </c>
      <c r="D12" s="263"/>
      <c r="E12" s="263" t="s">
        <v>839</v>
      </c>
      <c r="F12" s="263" t="s">
        <v>571</v>
      </c>
      <c r="G12" s="264">
        <v>1</v>
      </c>
      <c r="H12" s="264"/>
      <c r="I12" s="275">
        <v>1707.54</v>
      </c>
    </row>
    <row r="13" spans="1:9" ht="87.45" customHeight="1" x14ac:dyDescent="0.3">
      <c r="A13" s="274" t="s">
        <v>840</v>
      </c>
      <c r="B13" s="261" t="s">
        <v>837</v>
      </c>
      <c r="C13" s="262" t="s">
        <v>838</v>
      </c>
      <c r="D13" s="263"/>
      <c r="E13" s="263" t="s">
        <v>841</v>
      </c>
      <c r="F13" s="263" t="s">
        <v>571</v>
      </c>
      <c r="G13" s="264">
        <v>1</v>
      </c>
      <c r="H13" s="264"/>
      <c r="I13" s="275">
        <v>2357.59</v>
      </c>
    </row>
    <row r="14" spans="1:9" ht="16.95" customHeight="1" x14ac:dyDescent="0.3">
      <c r="A14" s="274" t="s">
        <v>842</v>
      </c>
      <c r="B14" s="261" t="s">
        <v>843</v>
      </c>
      <c r="C14" s="271" t="s">
        <v>844</v>
      </c>
      <c r="D14" s="272"/>
      <c r="E14" s="272"/>
      <c r="F14" s="272"/>
      <c r="G14" s="272"/>
      <c r="H14" s="272"/>
      <c r="I14" s="272"/>
    </row>
    <row r="15" spans="1:9" ht="16.95" customHeight="1" x14ac:dyDescent="0.3">
      <c r="A15" s="274" t="s">
        <v>845</v>
      </c>
      <c r="B15" s="261" t="s">
        <v>846</v>
      </c>
      <c r="C15" s="271" t="s">
        <v>847</v>
      </c>
      <c r="D15" s="272"/>
      <c r="E15" s="272"/>
      <c r="F15" s="272"/>
      <c r="G15" s="272"/>
      <c r="H15" s="272"/>
      <c r="I15" s="272"/>
    </row>
    <row r="16" spans="1:9" ht="16.95" customHeight="1" x14ac:dyDescent="0.3">
      <c r="A16" s="274" t="s">
        <v>848</v>
      </c>
      <c r="B16" s="261" t="s">
        <v>849</v>
      </c>
      <c r="C16" s="271" t="s">
        <v>850</v>
      </c>
      <c r="D16" s="272"/>
      <c r="E16" s="272"/>
      <c r="F16" s="272"/>
      <c r="G16" s="272"/>
      <c r="H16" s="272"/>
      <c r="I16" s="272"/>
    </row>
    <row r="17" spans="1:9" ht="16.95" customHeight="1" x14ac:dyDescent="0.3">
      <c r="A17" s="274" t="s">
        <v>851</v>
      </c>
      <c r="B17" s="261" t="s">
        <v>852</v>
      </c>
      <c r="C17" s="271" t="s">
        <v>853</v>
      </c>
      <c r="D17" s="272"/>
      <c r="E17" s="272"/>
      <c r="F17" s="272"/>
      <c r="G17" s="272"/>
      <c r="H17" s="272"/>
      <c r="I17" s="272"/>
    </row>
    <row r="18" spans="1:9" ht="16.95" customHeight="1" x14ac:dyDescent="0.3">
      <c r="A18" s="274" t="s">
        <v>854</v>
      </c>
      <c r="B18" s="261" t="s">
        <v>855</v>
      </c>
      <c r="C18" s="271" t="s">
        <v>856</v>
      </c>
      <c r="D18" s="272"/>
      <c r="E18" s="272"/>
      <c r="F18" s="272"/>
      <c r="G18" s="272"/>
      <c r="H18" s="272"/>
      <c r="I18" s="272"/>
    </row>
    <row r="19" spans="1:9" ht="36" x14ac:dyDescent="0.3">
      <c r="A19" s="274" t="s">
        <v>857</v>
      </c>
      <c r="B19" s="261" t="s">
        <v>858</v>
      </c>
      <c r="C19" s="262" t="s">
        <v>859</v>
      </c>
      <c r="D19" s="263"/>
      <c r="E19" s="263"/>
      <c r="F19" s="263" t="s">
        <v>571</v>
      </c>
      <c r="G19" s="264">
        <v>1</v>
      </c>
      <c r="H19" s="264"/>
      <c r="I19" s="275">
        <v>0</v>
      </c>
    </row>
    <row r="20" spans="1:9" ht="54" x14ac:dyDescent="0.3">
      <c r="A20" s="274" t="s">
        <v>860</v>
      </c>
      <c r="B20" s="261"/>
      <c r="C20" s="265" t="s">
        <v>861</v>
      </c>
      <c r="D20" s="263"/>
      <c r="E20" s="263"/>
      <c r="F20" s="266" t="s">
        <v>862</v>
      </c>
      <c r="G20" s="267">
        <v>1</v>
      </c>
      <c r="H20" s="267"/>
      <c r="I20" s="276">
        <v>0</v>
      </c>
    </row>
    <row r="21" spans="1:9" ht="18" x14ac:dyDescent="0.3">
      <c r="A21" s="274" t="s">
        <v>863</v>
      </c>
      <c r="B21" s="261"/>
      <c r="C21" s="268" t="s">
        <v>864</v>
      </c>
      <c r="D21" s="263"/>
      <c r="E21" s="263"/>
      <c r="F21" s="266" t="s">
        <v>571</v>
      </c>
      <c r="G21" s="267">
        <v>4.2</v>
      </c>
      <c r="H21" s="267"/>
      <c r="I21" s="276">
        <v>0</v>
      </c>
    </row>
    <row r="22" spans="1:9" ht="18" x14ac:dyDescent="0.3">
      <c r="A22" s="274" t="s">
        <v>865</v>
      </c>
      <c r="B22" s="261"/>
      <c r="C22" s="268" t="s">
        <v>866</v>
      </c>
      <c r="D22" s="263"/>
      <c r="E22" s="263"/>
      <c r="F22" s="266" t="s">
        <v>867</v>
      </c>
      <c r="G22" s="267">
        <v>4.07</v>
      </c>
      <c r="H22" s="269"/>
      <c r="I22" s="277">
        <v>0</v>
      </c>
    </row>
    <row r="23" spans="1:9" ht="18" x14ac:dyDescent="0.3">
      <c r="A23" s="274" t="s">
        <v>868</v>
      </c>
      <c r="B23" s="261"/>
      <c r="C23" s="268" t="s">
        <v>869</v>
      </c>
      <c r="D23" s="263"/>
      <c r="E23" s="263"/>
      <c r="F23" s="266" t="s">
        <v>867</v>
      </c>
      <c r="G23" s="267">
        <v>1.42</v>
      </c>
      <c r="H23" s="269"/>
      <c r="I23" s="277">
        <v>0</v>
      </c>
    </row>
    <row r="24" spans="1:9" ht="36" x14ac:dyDescent="0.3">
      <c r="A24" s="274" t="s">
        <v>870</v>
      </c>
      <c r="B24" s="261" t="s">
        <v>858</v>
      </c>
      <c r="C24" s="262" t="s">
        <v>859</v>
      </c>
      <c r="D24" s="263"/>
      <c r="E24" s="263"/>
      <c r="F24" s="263" t="s">
        <v>571</v>
      </c>
      <c r="G24" s="264">
        <v>1</v>
      </c>
      <c r="H24" s="264"/>
      <c r="I24" s="275">
        <v>0</v>
      </c>
    </row>
    <row r="25" spans="1:9" ht="18" x14ac:dyDescent="0.3">
      <c r="A25" s="274" t="s">
        <v>871</v>
      </c>
      <c r="B25" s="261"/>
      <c r="C25" s="268" t="s">
        <v>866</v>
      </c>
      <c r="D25" s="263"/>
      <c r="E25" s="263"/>
      <c r="F25" s="266" t="s">
        <v>867</v>
      </c>
      <c r="G25" s="267">
        <v>4.07</v>
      </c>
      <c r="H25" s="269"/>
      <c r="I25" s="277">
        <v>0</v>
      </c>
    </row>
    <row r="26" spans="1:9" ht="18" x14ac:dyDescent="0.3">
      <c r="A26" s="274" t="s">
        <v>872</v>
      </c>
      <c r="B26" s="261"/>
      <c r="C26" s="268" t="s">
        <v>869</v>
      </c>
      <c r="D26" s="263"/>
      <c r="E26" s="263"/>
      <c r="F26" s="266" t="s">
        <v>867</v>
      </c>
      <c r="G26" s="267">
        <v>1.42</v>
      </c>
      <c r="H26" s="269"/>
      <c r="I26" s="277">
        <v>0</v>
      </c>
    </row>
    <row r="27" spans="1:9" ht="18" x14ac:dyDescent="0.3">
      <c r="A27" s="274" t="s">
        <v>873</v>
      </c>
      <c r="B27" s="261"/>
      <c r="C27" s="265" t="s">
        <v>874</v>
      </c>
      <c r="D27" s="263"/>
      <c r="E27" s="263"/>
      <c r="F27" s="266" t="s">
        <v>571</v>
      </c>
      <c r="G27" s="267">
        <v>2.1</v>
      </c>
      <c r="H27" s="267"/>
      <c r="I27" s="276">
        <v>0</v>
      </c>
    </row>
    <row r="28" spans="1:9" ht="54" x14ac:dyDescent="0.3">
      <c r="A28" s="274" t="s">
        <v>875</v>
      </c>
      <c r="B28" s="261"/>
      <c r="C28" s="265" t="s">
        <v>861</v>
      </c>
      <c r="D28" s="263"/>
      <c r="E28" s="263"/>
      <c r="F28" s="266" t="s">
        <v>862</v>
      </c>
      <c r="G28" s="267">
        <v>1</v>
      </c>
      <c r="H28" s="267"/>
      <c r="I28" s="276">
        <v>0</v>
      </c>
    </row>
    <row r="29" spans="1:9" ht="108" customHeight="1" x14ac:dyDescent="0.3">
      <c r="A29" s="274" t="s">
        <v>876</v>
      </c>
      <c r="B29" s="261" t="s">
        <v>858</v>
      </c>
      <c r="C29" s="262" t="s">
        <v>859</v>
      </c>
      <c r="D29" s="263"/>
      <c r="E29" s="263" t="s">
        <v>877</v>
      </c>
      <c r="F29" s="263" t="s">
        <v>571</v>
      </c>
      <c r="G29" s="264">
        <v>1</v>
      </c>
      <c r="H29" s="264"/>
      <c r="I29" s="275">
        <v>6.3</v>
      </c>
    </row>
    <row r="30" spans="1:9" ht="54" x14ac:dyDescent="0.3">
      <c r="A30" s="274" t="s">
        <v>878</v>
      </c>
      <c r="B30" s="261"/>
      <c r="C30" s="265" t="s">
        <v>861</v>
      </c>
      <c r="D30" s="263"/>
      <c r="E30" s="263"/>
      <c r="F30" s="266" t="s">
        <v>862</v>
      </c>
      <c r="G30" s="267">
        <v>1</v>
      </c>
      <c r="H30" s="267"/>
      <c r="I30" s="276">
        <v>6.3</v>
      </c>
    </row>
    <row r="31" spans="1:9" ht="18" x14ac:dyDescent="0.3">
      <c r="A31" s="274" t="s">
        <v>879</v>
      </c>
      <c r="B31" s="261"/>
      <c r="C31" s="268" t="s">
        <v>864</v>
      </c>
      <c r="D31" s="263"/>
      <c r="E31" s="263"/>
      <c r="F31" s="266" t="s">
        <v>571</v>
      </c>
      <c r="G31" s="267">
        <v>4.2</v>
      </c>
      <c r="H31" s="267"/>
      <c r="I31" s="276">
        <v>26.46</v>
      </c>
    </row>
    <row r="32" spans="1:9" ht="18" x14ac:dyDescent="0.3">
      <c r="A32" s="274" t="s">
        <v>880</v>
      </c>
      <c r="B32" s="261"/>
      <c r="C32" s="268" t="s">
        <v>866</v>
      </c>
      <c r="D32" s="263"/>
      <c r="E32" s="263"/>
      <c r="F32" s="266" t="s">
        <v>867</v>
      </c>
      <c r="G32" s="267">
        <v>4.07</v>
      </c>
      <c r="H32" s="269"/>
      <c r="I32" s="277">
        <v>25.640999999999998</v>
      </c>
    </row>
    <row r="33" spans="1:9" ht="18" x14ac:dyDescent="0.3">
      <c r="A33" s="274" t="s">
        <v>881</v>
      </c>
      <c r="B33" s="261"/>
      <c r="C33" s="268" t="s">
        <v>869</v>
      </c>
      <c r="D33" s="263"/>
      <c r="E33" s="263"/>
      <c r="F33" s="266" t="s">
        <v>867</v>
      </c>
      <c r="G33" s="267">
        <v>1.42</v>
      </c>
      <c r="H33" s="269"/>
      <c r="I33" s="277">
        <v>8.9459999999999997</v>
      </c>
    </row>
    <row r="34" spans="1:9" ht="118.05" customHeight="1" x14ac:dyDescent="0.3">
      <c r="A34" s="274" t="s">
        <v>882</v>
      </c>
      <c r="B34" s="261" t="s">
        <v>858</v>
      </c>
      <c r="C34" s="262" t="s">
        <v>859</v>
      </c>
      <c r="D34" s="263"/>
      <c r="E34" s="263" t="s">
        <v>883</v>
      </c>
      <c r="F34" s="263" t="s">
        <v>571</v>
      </c>
      <c r="G34" s="264">
        <v>1</v>
      </c>
      <c r="H34" s="264"/>
      <c r="I34" s="275">
        <v>25.4</v>
      </c>
    </row>
    <row r="35" spans="1:9" ht="18" x14ac:dyDescent="0.3">
      <c r="A35" s="274" t="s">
        <v>884</v>
      </c>
      <c r="B35" s="261"/>
      <c r="C35" s="268" t="s">
        <v>866</v>
      </c>
      <c r="D35" s="263"/>
      <c r="E35" s="263"/>
      <c r="F35" s="266" t="s">
        <v>867</v>
      </c>
      <c r="G35" s="267">
        <v>4.07</v>
      </c>
      <c r="H35" s="269"/>
      <c r="I35" s="277">
        <v>103.378</v>
      </c>
    </row>
    <row r="36" spans="1:9" ht="18" x14ac:dyDescent="0.3">
      <c r="A36" s="274" t="s">
        <v>885</v>
      </c>
      <c r="B36" s="261"/>
      <c r="C36" s="268" t="s">
        <v>869</v>
      </c>
      <c r="D36" s="263"/>
      <c r="E36" s="263"/>
      <c r="F36" s="266" t="s">
        <v>867</v>
      </c>
      <c r="G36" s="267">
        <v>1.42</v>
      </c>
      <c r="H36" s="269"/>
      <c r="I36" s="277">
        <v>36.067999999999998</v>
      </c>
    </row>
    <row r="37" spans="1:9" ht="18" x14ac:dyDescent="0.3">
      <c r="A37" s="274" t="s">
        <v>886</v>
      </c>
      <c r="B37" s="261"/>
      <c r="C37" s="265" t="s">
        <v>874</v>
      </c>
      <c r="D37" s="263"/>
      <c r="E37" s="263" t="s">
        <v>887</v>
      </c>
      <c r="F37" s="266" t="s">
        <v>571</v>
      </c>
      <c r="G37" s="267">
        <v>2.1</v>
      </c>
      <c r="H37" s="267"/>
      <c r="I37" s="276">
        <v>53.34</v>
      </c>
    </row>
    <row r="38" spans="1:9" ht="36" x14ac:dyDescent="0.3">
      <c r="A38" s="274" t="s">
        <v>888</v>
      </c>
      <c r="B38" s="261"/>
      <c r="C38" s="265" t="s">
        <v>861</v>
      </c>
      <c r="D38" s="263"/>
      <c r="E38" s="263"/>
      <c r="F38" s="266" t="s">
        <v>862</v>
      </c>
      <c r="G38" s="267">
        <v>1</v>
      </c>
      <c r="H38" s="267"/>
      <c r="I38" s="276">
        <v>25.4</v>
      </c>
    </row>
    <row r="39" spans="1:9" ht="36" x14ac:dyDescent="0.3">
      <c r="A39" s="274" t="s">
        <v>889</v>
      </c>
      <c r="B39" s="261" t="s">
        <v>890</v>
      </c>
      <c r="C39" s="262" t="s">
        <v>891</v>
      </c>
      <c r="D39" s="263" t="s">
        <v>892</v>
      </c>
      <c r="E39" s="263"/>
      <c r="F39" s="263" t="s">
        <v>571</v>
      </c>
      <c r="G39" s="264">
        <v>1</v>
      </c>
      <c r="H39" s="264"/>
      <c r="I39" s="275">
        <v>0</v>
      </c>
    </row>
    <row r="40" spans="1:9" ht="54" x14ac:dyDescent="0.3">
      <c r="A40" s="274" t="s">
        <v>893</v>
      </c>
      <c r="B40" s="261"/>
      <c r="C40" s="265" t="s">
        <v>894</v>
      </c>
      <c r="D40" s="263"/>
      <c r="E40" s="263"/>
      <c r="F40" s="266" t="s">
        <v>862</v>
      </c>
      <c r="G40" s="267">
        <v>1</v>
      </c>
      <c r="H40" s="267"/>
      <c r="I40" s="276">
        <v>0</v>
      </c>
    </row>
    <row r="41" spans="1:9" ht="18" x14ac:dyDescent="0.3">
      <c r="A41" s="274" t="s">
        <v>895</v>
      </c>
      <c r="B41" s="261"/>
      <c r="C41" s="268" t="s">
        <v>896</v>
      </c>
      <c r="D41" s="263"/>
      <c r="E41" s="263"/>
      <c r="F41" s="266" t="s">
        <v>571</v>
      </c>
      <c r="G41" s="267">
        <v>1.2</v>
      </c>
      <c r="H41" s="267"/>
      <c r="I41" s="276">
        <v>0</v>
      </c>
    </row>
    <row r="42" spans="1:9" ht="18" x14ac:dyDescent="0.3">
      <c r="A42" s="274" t="s">
        <v>897</v>
      </c>
      <c r="B42" s="261"/>
      <c r="C42" s="268" t="s">
        <v>866</v>
      </c>
      <c r="D42" s="263"/>
      <c r="E42" s="263"/>
      <c r="F42" s="266" t="s">
        <v>867</v>
      </c>
      <c r="G42" s="267">
        <v>2.1</v>
      </c>
      <c r="H42" s="267"/>
      <c r="I42" s="276">
        <v>0</v>
      </c>
    </row>
    <row r="43" spans="1:9" ht="18" x14ac:dyDescent="0.3">
      <c r="A43" s="274" t="s">
        <v>898</v>
      </c>
      <c r="B43" s="261"/>
      <c r="C43" s="265" t="s">
        <v>899</v>
      </c>
      <c r="D43" s="263"/>
      <c r="E43" s="263"/>
      <c r="F43" s="266" t="s">
        <v>867</v>
      </c>
      <c r="G43" s="267">
        <v>0.8</v>
      </c>
      <c r="H43" s="267"/>
      <c r="I43" s="276">
        <v>0</v>
      </c>
    </row>
    <row r="44" spans="1:9" ht="82.5" customHeight="1" x14ac:dyDescent="0.3">
      <c r="A44" s="274" t="s">
        <v>900</v>
      </c>
      <c r="B44" s="261" t="s">
        <v>890</v>
      </c>
      <c r="C44" s="262" t="s">
        <v>891</v>
      </c>
      <c r="D44" s="263" t="s">
        <v>892</v>
      </c>
      <c r="E44" s="263" t="s">
        <v>901</v>
      </c>
      <c r="F44" s="263" t="s">
        <v>571</v>
      </c>
      <c r="G44" s="264">
        <v>1</v>
      </c>
      <c r="H44" s="264"/>
      <c r="I44" s="275">
        <v>45.4</v>
      </c>
    </row>
    <row r="45" spans="1:9" ht="18" x14ac:dyDescent="0.3">
      <c r="A45" s="274" t="s">
        <v>902</v>
      </c>
      <c r="B45" s="261"/>
      <c r="C45" s="265" t="s">
        <v>899</v>
      </c>
      <c r="D45" s="263"/>
      <c r="E45" s="263"/>
      <c r="F45" s="266" t="s">
        <v>867</v>
      </c>
      <c r="G45" s="267">
        <v>0.8</v>
      </c>
      <c r="H45" s="267"/>
      <c r="I45" s="276">
        <v>36.32</v>
      </c>
    </row>
    <row r="46" spans="1:9" ht="18" x14ac:dyDescent="0.3">
      <c r="A46" s="274" t="s">
        <v>903</v>
      </c>
      <c r="B46" s="261"/>
      <c r="C46" s="268" t="s">
        <v>869</v>
      </c>
      <c r="D46" s="263"/>
      <c r="E46" s="263"/>
      <c r="F46" s="266" t="s">
        <v>867</v>
      </c>
      <c r="G46" s="267">
        <v>0.8</v>
      </c>
      <c r="H46" s="267"/>
      <c r="I46" s="276">
        <v>36.32</v>
      </c>
    </row>
    <row r="47" spans="1:9" ht="18" x14ac:dyDescent="0.3">
      <c r="A47" s="274" t="s">
        <v>904</v>
      </c>
      <c r="B47" s="261"/>
      <c r="C47" s="268" t="s">
        <v>905</v>
      </c>
      <c r="D47" s="263"/>
      <c r="E47" s="263"/>
      <c r="F47" s="266" t="s">
        <v>571</v>
      </c>
      <c r="G47" s="267">
        <v>1.2</v>
      </c>
      <c r="H47" s="267"/>
      <c r="I47" s="276">
        <v>54.48</v>
      </c>
    </row>
    <row r="48" spans="1:9" ht="54" x14ac:dyDescent="0.3">
      <c r="A48" s="274" t="s">
        <v>906</v>
      </c>
      <c r="B48" s="261"/>
      <c r="C48" s="265" t="s">
        <v>894</v>
      </c>
      <c r="D48" s="263"/>
      <c r="E48" s="263"/>
      <c r="F48" s="266" t="s">
        <v>862</v>
      </c>
      <c r="G48" s="267">
        <v>1</v>
      </c>
      <c r="H48" s="267"/>
      <c r="I48" s="276">
        <v>45.4</v>
      </c>
    </row>
    <row r="49" spans="1:9" ht="36" x14ac:dyDescent="0.3">
      <c r="A49" s="274" t="s">
        <v>907</v>
      </c>
      <c r="B49" s="261" t="s">
        <v>908</v>
      </c>
      <c r="C49" s="262" t="s">
        <v>909</v>
      </c>
      <c r="D49" s="263" t="s">
        <v>892</v>
      </c>
      <c r="E49" s="263"/>
      <c r="F49" s="263" t="s">
        <v>571</v>
      </c>
      <c r="G49" s="264">
        <v>1</v>
      </c>
      <c r="H49" s="264"/>
      <c r="I49" s="275">
        <v>0</v>
      </c>
    </row>
    <row r="50" spans="1:9" ht="54" x14ac:dyDescent="0.3">
      <c r="A50" s="274" t="s">
        <v>910</v>
      </c>
      <c r="B50" s="261"/>
      <c r="C50" s="265" t="s">
        <v>911</v>
      </c>
      <c r="D50" s="263"/>
      <c r="E50" s="263"/>
      <c r="F50" s="266" t="s">
        <v>862</v>
      </c>
      <c r="G50" s="267">
        <v>1</v>
      </c>
      <c r="H50" s="267"/>
      <c r="I50" s="276">
        <v>0</v>
      </c>
    </row>
    <row r="51" spans="1:9" ht="18" x14ac:dyDescent="0.3">
      <c r="A51" s="274" t="s">
        <v>912</v>
      </c>
      <c r="B51" s="261"/>
      <c r="C51" s="268" t="s">
        <v>864</v>
      </c>
      <c r="D51" s="263"/>
      <c r="E51" s="263"/>
      <c r="F51" s="266" t="s">
        <v>571</v>
      </c>
      <c r="G51" s="267">
        <v>2.2000000000000002</v>
      </c>
      <c r="H51" s="267"/>
      <c r="I51" s="276">
        <v>0</v>
      </c>
    </row>
    <row r="52" spans="1:9" ht="18" x14ac:dyDescent="0.3">
      <c r="A52" s="274" t="s">
        <v>913</v>
      </c>
      <c r="B52" s="261"/>
      <c r="C52" s="268" t="s">
        <v>866</v>
      </c>
      <c r="D52" s="263"/>
      <c r="E52" s="263"/>
      <c r="F52" s="266" t="s">
        <v>867</v>
      </c>
      <c r="G52" s="267">
        <v>2.1</v>
      </c>
      <c r="H52" s="267"/>
      <c r="I52" s="276">
        <v>0</v>
      </c>
    </row>
    <row r="53" spans="1:9" ht="18" x14ac:dyDescent="0.3">
      <c r="A53" s="274" t="s">
        <v>914</v>
      </c>
      <c r="B53" s="261"/>
      <c r="C53" s="268" t="s">
        <v>869</v>
      </c>
      <c r="D53" s="263"/>
      <c r="E53" s="263"/>
      <c r="F53" s="266" t="s">
        <v>867</v>
      </c>
      <c r="G53" s="267">
        <v>0.8</v>
      </c>
      <c r="H53" s="267"/>
      <c r="I53" s="276">
        <v>0</v>
      </c>
    </row>
    <row r="54" spans="1:9" ht="72" customHeight="1" x14ac:dyDescent="0.3">
      <c r="A54" s="274" t="s">
        <v>915</v>
      </c>
      <c r="B54" s="261" t="s">
        <v>908</v>
      </c>
      <c r="C54" s="262" t="s">
        <v>909</v>
      </c>
      <c r="D54" s="263" t="s">
        <v>892</v>
      </c>
      <c r="E54" s="263" t="s">
        <v>916</v>
      </c>
      <c r="F54" s="263" t="s">
        <v>571</v>
      </c>
      <c r="G54" s="264">
        <v>1</v>
      </c>
      <c r="H54" s="264"/>
      <c r="I54" s="275">
        <v>6.4</v>
      </c>
    </row>
    <row r="55" spans="1:9" ht="18" x14ac:dyDescent="0.3">
      <c r="A55" s="274" t="s">
        <v>917</v>
      </c>
      <c r="B55" s="261"/>
      <c r="C55" s="268" t="s">
        <v>866</v>
      </c>
      <c r="D55" s="263"/>
      <c r="E55" s="263"/>
      <c r="F55" s="266" t="s">
        <v>867</v>
      </c>
      <c r="G55" s="267">
        <v>2.1</v>
      </c>
      <c r="H55" s="267"/>
      <c r="I55" s="276">
        <v>13.44</v>
      </c>
    </row>
    <row r="56" spans="1:9" ht="18" x14ac:dyDescent="0.3">
      <c r="A56" s="274" t="s">
        <v>918</v>
      </c>
      <c r="B56" s="261"/>
      <c r="C56" s="268" t="s">
        <v>869</v>
      </c>
      <c r="D56" s="263"/>
      <c r="E56" s="263"/>
      <c r="F56" s="266" t="s">
        <v>867</v>
      </c>
      <c r="G56" s="267">
        <v>0.8</v>
      </c>
      <c r="H56" s="267"/>
      <c r="I56" s="276">
        <v>5.12</v>
      </c>
    </row>
    <row r="57" spans="1:9" ht="18" x14ac:dyDescent="0.3">
      <c r="A57" s="274" t="s">
        <v>919</v>
      </c>
      <c r="B57" s="261"/>
      <c r="C57" s="268" t="s">
        <v>864</v>
      </c>
      <c r="D57" s="263"/>
      <c r="E57" s="263"/>
      <c r="F57" s="266" t="s">
        <v>571</v>
      </c>
      <c r="G57" s="267">
        <v>2.2000000000000002</v>
      </c>
      <c r="H57" s="267"/>
      <c r="I57" s="276">
        <v>14.08</v>
      </c>
    </row>
    <row r="58" spans="1:9" ht="54" x14ac:dyDescent="0.3">
      <c r="A58" s="274" t="s">
        <v>920</v>
      </c>
      <c r="B58" s="261"/>
      <c r="C58" s="265" t="s">
        <v>911</v>
      </c>
      <c r="D58" s="263"/>
      <c r="E58" s="263"/>
      <c r="F58" s="266" t="s">
        <v>862</v>
      </c>
      <c r="G58" s="267">
        <v>1</v>
      </c>
      <c r="H58" s="267"/>
      <c r="I58" s="276">
        <v>6.4</v>
      </c>
    </row>
    <row r="59" spans="1:9" ht="16.95" customHeight="1" x14ac:dyDescent="0.3">
      <c r="A59" s="274" t="s">
        <v>931</v>
      </c>
      <c r="B59" s="261" t="s">
        <v>932</v>
      </c>
      <c r="C59" s="271" t="s">
        <v>933</v>
      </c>
      <c r="D59" s="272"/>
      <c r="E59" s="272"/>
      <c r="F59" s="272"/>
      <c r="G59" s="272"/>
      <c r="H59" s="272"/>
      <c r="I59" s="272"/>
    </row>
    <row r="60" spans="1:9" ht="16.95" customHeight="1" x14ac:dyDescent="0.3">
      <c r="A60" s="274" t="s">
        <v>934</v>
      </c>
      <c r="B60" s="261" t="s">
        <v>935</v>
      </c>
      <c r="C60" s="271" t="s">
        <v>936</v>
      </c>
      <c r="D60" s="272"/>
      <c r="E60" s="272"/>
      <c r="F60" s="272"/>
      <c r="G60" s="272"/>
      <c r="H60" s="272"/>
      <c r="I60" s="272"/>
    </row>
    <row r="61" spans="1:9" ht="178.8" customHeight="1" x14ac:dyDescent="0.3">
      <c r="A61" s="274" t="s">
        <v>937</v>
      </c>
      <c r="B61" s="261" t="s">
        <v>938</v>
      </c>
      <c r="C61" s="262" t="s">
        <v>939</v>
      </c>
      <c r="D61" s="263"/>
      <c r="E61" s="263" t="s">
        <v>940</v>
      </c>
      <c r="F61" s="263" t="s">
        <v>867</v>
      </c>
      <c r="G61" s="264">
        <v>1</v>
      </c>
      <c r="H61" s="264"/>
      <c r="I61" s="275">
        <v>2012.38</v>
      </c>
    </row>
    <row r="62" spans="1:9" ht="36" x14ac:dyDescent="0.3">
      <c r="A62" s="274" t="s">
        <v>941</v>
      </c>
      <c r="B62" s="261"/>
      <c r="C62" s="268" t="s">
        <v>942</v>
      </c>
      <c r="D62" s="263"/>
      <c r="E62" s="263"/>
      <c r="F62" s="266" t="s">
        <v>921</v>
      </c>
      <c r="G62" s="267">
        <v>0.3</v>
      </c>
      <c r="H62" s="269"/>
      <c r="I62" s="277">
        <v>603.71400000000006</v>
      </c>
    </row>
    <row r="63" spans="1:9" ht="36" x14ac:dyDescent="0.3">
      <c r="A63" s="274" t="s">
        <v>943</v>
      </c>
      <c r="B63" s="261"/>
      <c r="C63" s="265" t="s">
        <v>944</v>
      </c>
      <c r="D63" s="263"/>
      <c r="E63" s="263" t="s">
        <v>945</v>
      </c>
      <c r="F63" s="266" t="s">
        <v>867</v>
      </c>
      <c r="G63" s="267">
        <v>1.1000000000000001</v>
      </c>
      <c r="H63" s="269"/>
      <c r="I63" s="277">
        <v>4427.2359999999999</v>
      </c>
    </row>
    <row r="64" spans="1:9" ht="36" x14ac:dyDescent="0.3">
      <c r="A64" s="274" t="s">
        <v>946</v>
      </c>
      <c r="B64" s="261" t="s">
        <v>947</v>
      </c>
      <c r="C64" s="262" t="s">
        <v>948</v>
      </c>
      <c r="D64" s="263"/>
      <c r="E64" s="263"/>
      <c r="F64" s="263" t="s">
        <v>925</v>
      </c>
      <c r="G64" s="264">
        <v>1</v>
      </c>
      <c r="H64" s="264"/>
      <c r="I64" s="275">
        <v>0</v>
      </c>
    </row>
    <row r="65" spans="1:9" ht="18" x14ac:dyDescent="0.3">
      <c r="A65" s="274" t="s">
        <v>949</v>
      </c>
      <c r="B65" s="261"/>
      <c r="C65" s="265" t="s">
        <v>950</v>
      </c>
      <c r="D65" s="263"/>
      <c r="E65" s="263"/>
      <c r="F65" s="266" t="s">
        <v>923</v>
      </c>
      <c r="G65" s="267">
        <v>1E-3</v>
      </c>
      <c r="H65" s="269"/>
      <c r="I65" s="277">
        <v>0</v>
      </c>
    </row>
    <row r="66" spans="1:9" ht="18" x14ac:dyDescent="0.3">
      <c r="A66" s="274" t="s">
        <v>951</v>
      </c>
      <c r="B66" s="261"/>
      <c r="C66" s="265" t="s">
        <v>922</v>
      </c>
      <c r="D66" s="263"/>
      <c r="E66" s="263"/>
      <c r="F66" s="266" t="s">
        <v>921</v>
      </c>
      <c r="G66" s="267">
        <v>0.41</v>
      </c>
      <c r="H66" s="269"/>
      <c r="I66" s="277">
        <v>0</v>
      </c>
    </row>
    <row r="67" spans="1:9" ht="36" x14ac:dyDescent="0.3">
      <c r="A67" s="274" t="s">
        <v>952</v>
      </c>
      <c r="B67" s="261" t="s">
        <v>947</v>
      </c>
      <c r="C67" s="262" t="s">
        <v>948</v>
      </c>
      <c r="D67" s="263"/>
      <c r="E67" s="263" t="s">
        <v>953</v>
      </c>
      <c r="F67" s="263" t="s">
        <v>925</v>
      </c>
      <c r="G67" s="264">
        <v>1</v>
      </c>
      <c r="H67" s="264"/>
      <c r="I67" s="275">
        <v>357</v>
      </c>
    </row>
    <row r="68" spans="1:9" ht="18" x14ac:dyDescent="0.3">
      <c r="A68" s="274" t="s">
        <v>954</v>
      </c>
      <c r="B68" s="261"/>
      <c r="C68" s="265" t="s">
        <v>922</v>
      </c>
      <c r="D68" s="263"/>
      <c r="E68" s="263"/>
      <c r="F68" s="266" t="s">
        <v>921</v>
      </c>
      <c r="G68" s="267">
        <v>0.41</v>
      </c>
      <c r="H68" s="269"/>
      <c r="I68" s="277">
        <v>146.37</v>
      </c>
    </row>
    <row r="69" spans="1:9" ht="18" x14ac:dyDescent="0.3">
      <c r="A69" s="274" t="s">
        <v>955</v>
      </c>
      <c r="B69" s="261"/>
      <c r="C69" s="265" t="s">
        <v>950</v>
      </c>
      <c r="D69" s="263"/>
      <c r="E69" s="263"/>
      <c r="F69" s="266" t="s">
        <v>923</v>
      </c>
      <c r="G69" s="267">
        <v>1E-3</v>
      </c>
      <c r="H69" s="269"/>
      <c r="I69" s="277">
        <v>0.35699999999999998</v>
      </c>
    </row>
    <row r="70" spans="1:9" ht="67.95" customHeight="1" x14ac:dyDescent="0.3">
      <c r="A70" s="274" t="s">
        <v>956</v>
      </c>
      <c r="B70" s="261" t="s">
        <v>957</v>
      </c>
      <c r="C70" s="262" t="s">
        <v>791</v>
      </c>
      <c r="D70" s="263"/>
      <c r="E70" s="263" t="s">
        <v>958</v>
      </c>
      <c r="F70" s="263" t="s">
        <v>571</v>
      </c>
      <c r="G70" s="264">
        <v>1</v>
      </c>
      <c r="H70" s="264"/>
      <c r="I70" s="275">
        <v>195.78</v>
      </c>
    </row>
    <row r="71" spans="1:9" ht="18" x14ac:dyDescent="0.3">
      <c r="A71" s="274" t="s">
        <v>959</v>
      </c>
      <c r="B71" s="261"/>
      <c r="C71" s="265" t="s">
        <v>960</v>
      </c>
      <c r="D71" s="263"/>
      <c r="E71" s="263"/>
      <c r="F71" s="266" t="s">
        <v>921</v>
      </c>
      <c r="G71" s="267">
        <v>2</v>
      </c>
      <c r="H71" s="267"/>
      <c r="I71" s="276">
        <v>391.56</v>
      </c>
    </row>
    <row r="72" spans="1:9" ht="18" x14ac:dyDescent="0.3">
      <c r="A72" s="274" t="s">
        <v>961</v>
      </c>
      <c r="B72" s="261"/>
      <c r="C72" s="265" t="s">
        <v>962</v>
      </c>
      <c r="D72" s="263"/>
      <c r="E72" s="263"/>
      <c r="F72" s="266" t="s">
        <v>925</v>
      </c>
      <c r="G72" s="267">
        <v>0.3</v>
      </c>
      <c r="H72" s="267"/>
      <c r="I72" s="276">
        <v>58.734000000000002</v>
      </c>
    </row>
    <row r="73" spans="1:9" ht="18" x14ac:dyDescent="0.3">
      <c r="A73" s="274" t="s">
        <v>963</v>
      </c>
      <c r="B73" s="261"/>
      <c r="C73" s="265" t="s">
        <v>926</v>
      </c>
      <c r="D73" s="263"/>
      <c r="E73" s="263"/>
      <c r="F73" s="266" t="s">
        <v>921</v>
      </c>
      <c r="G73" s="267">
        <v>0.15</v>
      </c>
      <c r="H73" s="267"/>
      <c r="I73" s="276">
        <v>29.367000000000001</v>
      </c>
    </row>
    <row r="74" spans="1:9" ht="60.45" customHeight="1" x14ac:dyDescent="0.3">
      <c r="A74" s="274" t="s">
        <v>964</v>
      </c>
      <c r="B74" s="261" t="s">
        <v>957</v>
      </c>
      <c r="C74" s="262" t="s">
        <v>791</v>
      </c>
      <c r="D74" s="263"/>
      <c r="E74" s="263" t="s">
        <v>965</v>
      </c>
      <c r="F74" s="263" t="s">
        <v>571</v>
      </c>
      <c r="G74" s="264">
        <v>1</v>
      </c>
      <c r="H74" s="264"/>
      <c r="I74" s="275">
        <v>936</v>
      </c>
    </row>
    <row r="75" spans="1:9" ht="18" x14ac:dyDescent="0.3">
      <c r="A75" s="274" t="s">
        <v>966</v>
      </c>
      <c r="B75" s="261"/>
      <c r="C75" s="265" t="s">
        <v>926</v>
      </c>
      <c r="D75" s="263"/>
      <c r="E75" s="263"/>
      <c r="F75" s="266" t="s">
        <v>921</v>
      </c>
      <c r="G75" s="267">
        <v>0.15</v>
      </c>
      <c r="H75" s="267"/>
      <c r="I75" s="276">
        <v>140.4</v>
      </c>
    </row>
    <row r="76" spans="1:9" ht="18" x14ac:dyDescent="0.3">
      <c r="A76" s="274" t="s">
        <v>967</v>
      </c>
      <c r="B76" s="261"/>
      <c r="C76" s="265" t="s">
        <v>960</v>
      </c>
      <c r="D76" s="263"/>
      <c r="E76" s="263"/>
      <c r="F76" s="266" t="s">
        <v>921</v>
      </c>
      <c r="G76" s="267">
        <v>2</v>
      </c>
      <c r="H76" s="267"/>
      <c r="I76" s="276">
        <v>1872</v>
      </c>
    </row>
    <row r="77" spans="1:9" ht="61.05" customHeight="1" x14ac:dyDescent="0.3">
      <c r="A77" s="274" t="s">
        <v>968</v>
      </c>
      <c r="B77" s="261" t="s">
        <v>957</v>
      </c>
      <c r="C77" s="262" t="s">
        <v>791</v>
      </c>
      <c r="D77" s="263"/>
      <c r="E77" s="263" t="s">
        <v>969</v>
      </c>
      <c r="F77" s="263" t="s">
        <v>571</v>
      </c>
      <c r="G77" s="264">
        <v>1</v>
      </c>
      <c r="H77" s="264"/>
      <c r="I77" s="275">
        <v>4986.62</v>
      </c>
    </row>
    <row r="78" spans="1:9" ht="36" x14ac:dyDescent="0.3">
      <c r="A78" s="274" t="s">
        <v>970</v>
      </c>
      <c r="B78" s="261"/>
      <c r="C78" s="268" t="s">
        <v>942</v>
      </c>
      <c r="D78" s="263"/>
      <c r="E78" s="263"/>
      <c r="F78" s="266" t="s">
        <v>921</v>
      </c>
      <c r="G78" s="267">
        <v>1.8</v>
      </c>
      <c r="H78" s="267"/>
      <c r="I78" s="276">
        <v>8975.9159999999993</v>
      </c>
    </row>
    <row r="79" spans="1:9" ht="18" x14ac:dyDescent="0.3">
      <c r="A79" s="274" t="s">
        <v>971</v>
      </c>
      <c r="B79" s="261"/>
      <c r="C79" s="265" t="s">
        <v>962</v>
      </c>
      <c r="D79" s="263"/>
      <c r="E79" s="263"/>
      <c r="F79" s="266" t="s">
        <v>925</v>
      </c>
      <c r="G79" s="267">
        <v>0.3</v>
      </c>
      <c r="H79" s="267"/>
      <c r="I79" s="276">
        <v>1495.9860000000001</v>
      </c>
    </row>
    <row r="80" spans="1:9" ht="18" x14ac:dyDescent="0.3">
      <c r="A80" s="274" t="s">
        <v>972</v>
      </c>
      <c r="B80" s="261"/>
      <c r="C80" s="265" t="s">
        <v>926</v>
      </c>
      <c r="D80" s="263"/>
      <c r="E80" s="263"/>
      <c r="F80" s="266" t="s">
        <v>921</v>
      </c>
      <c r="G80" s="267">
        <v>0.15</v>
      </c>
      <c r="H80" s="267"/>
      <c r="I80" s="276">
        <v>747.99300000000005</v>
      </c>
    </row>
    <row r="81" spans="1:9" ht="72" x14ac:dyDescent="0.3">
      <c r="A81" s="274" t="s">
        <v>973</v>
      </c>
      <c r="B81" s="261" t="s">
        <v>957</v>
      </c>
      <c r="C81" s="262" t="s">
        <v>791</v>
      </c>
      <c r="D81" s="263"/>
      <c r="E81" s="263" t="s">
        <v>974</v>
      </c>
      <c r="F81" s="263" t="s">
        <v>571</v>
      </c>
      <c r="G81" s="264">
        <v>1</v>
      </c>
      <c r="H81" s="264"/>
      <c r="I81" s="275">
        <v>25.902000000000001</v>
      </c>
    </row>
    <row r="82" spans="1:9" ht="18" x14ac:dyDescent="0.3">
      <c r="A82" s="274" t="s">
        <v>975</v>
      </c>
      <c r="B82" s="261"/>
      <c r="C82" s="265" t="s">
        <v>926</v>
      </c>
      <c r="D82" s="263"/>
      <c r="E82" s="263"/>
      <c r="F82" s="266" t="s">
        <v>921</v>
      </c>
      <c r="G82" s="267">
        <v>0.15</v>
      </c>
      <c r="H82" s="267"/>
      <c r="I82" s="276">
        <v>3.8849999999999998</v>
      </c>
    </row>
    <row r="83" spans="1:9" ht="36" x14ac:dyDescent="0.3">
      <c r="A83" s="274" t="s">
        <v>976</v>
      </c>
      <c r="B83" s="261"/>
      <c r="C83" s="268" t="s">
        <v>942</v>
      </c>
      <c r="D83" s="263"/>
      <c r="E83" s="263"/>
      <c r="F83" s="266" t="s">
        <v>921</v>
      </c>
      <c r="G83" s="267">
        <v>1.8</v>
      </c>
      <c r="H83" s="267"/>
      <c r="I83" s="276">
        <v>46.624000000000002</v>
      </c>
    </row>
    <row r="84" spans="1:9" ht="78.45" customHeight="1" x14ac:dyDescent="0.3">
      <c r="A84" s="274" t="s">
        <v>977</v>
      </c>
      <c r="B84" s="261" t="s">
        <v>957</v>
      </c>
      <c r="C84" s="262" t="s">
        <v>791</v>
      </c>
      <c r="D84" s="263"/>
      <c r="E84" s="263" t="s">
        <v>978</v>
      </c>
      <c r="F84" s="263" t="s">
        <v>571</v>
      </c>
      <c r="G84" s="264">
        <v>1</v>
      </c>
      <c r="H84" s="264"/>
      <c r="I84" s="275">
        <v>11225.91</v>
      </c>
    </row>
    <row r="85" spans="1:9" ht="36" x14ac:dyDescent="0.3">
      <c r="A85" s="274" t="s">
        <v>979</v>
      </c>
      <c r="B85" s="261"/>
      <c r="C85" s="268" t="s">
        <v>942</v>
      </c>
      <c r="D85" s="263"/>
      <c r="E85" s="263" t="s">
        <v>980</v>
      </c>
      <c r="F85" s="266" t="s">
        <v>921</v>
      </c>
      <c r="G85" s="267">
        <v>1.8</v>
      </c>
      <c r="H85" s="267"/>
      <c r="I85" s="276">
        <v>20206.637999999999</v>
      </c>
    </row>
    <row r="86" spans="1:9" ht="18" x14ac:dyDescent="0.3">
      <c r="A86" s="274" t="s">
        <v>981</v>
      </c>
      <c r="B86" s="261"/>
      <c r="C86" s="265" t="s">
        <v>926</v>
      </c>
      <c r="D86" s="263"/>
      <c r="E86" s="263"/>
      <c r="F86" s="266" t="s">
        <v>921</v>
      </c>
      <c r="G86" s="267">
        <v>0.15</v>
      </c>
      <c r="H86" s="267"/>
      <c r="I86" s="276">
        <v>1683.8869999999999</v>
      </c>
    </row>
    <row r="87" spans="1:9" ht="72" x14ac:dyDescent="0.3">
      <c r="A87" s="274" t="s">
        <v>982</v>
      </c>
      <c r="B87" s="261" t="s">
        <v>957</v>
      </c>
      <c r="C87" s="262" t="s">
        <v>791</v>
      </c>
      <c r="D87" s="263"/>
      <c r="E87" s="263" t="s">
        <v>983</v>
      </c>
      <c r="F87" s="263" t="s">
        <v>571</v>
      </c>
      <c r="G87" s="264">
        <v>1</v>
      </c>
      <c r="H87" s="264"/>
      <c r="I87" s="275">
        <v>25.902000000000001</v>
      </c>
    </row>
    <row r="88" spans="1:9" ht="18" x14ac:dyDescent="0.3">
      <c r="A88" s="274" t="s">
        <v>984</v>
      </c>
      <c r="B88" s="261"/>
      <c r="C88" s="265" t="s">
        <v>926</v>
      </c>
      <c r="D88" s="263"/>
      <c r="E88" s="263"/>
      <c r="F88" s="266" t="s">
        <v>921</v>
      </c>
      <c r="G88" s="267">
        <v>0.15</v>
      </c>
      <c r="H88" s="267"/>
      <c r="I88" s="276">
        <v>3.8849999999999998</v>
      </c>
    </row>
    <row r="89" spans="1:9" ht="36" x14ac:dyDescent="0.3">
      <c r="A89" s="274" t="s">
        <v>985</v>
      </c>
      <c r="B89" s="261"/>
      <c r="C89" s="268" t="s">
        <v>942</v>
      </c>
      <c r="D89" s="263"/>
      <c r="E89" s="263" t="s">
        <v>980</v>
      </c>
      <c r="F89" s="266" t="s">
        <v>921</v>
      </c>
      <c r="G89" s="267">
        <v>1.8</v>
      </c>
      <c r="H89" s="267"/>
      <c r="I89" s="276">
        <v>46.624000000000002</v>
      </c>
    </row>
    <row r="90" spans="1:9" ht="108" x14ac:dyDescent="0.3">
      <c r="A90" s="274" t="s">
        <v>986</v>
      </c>
      <c r="B90" s="261" t="s">
        <v>987</v>
      </c>
      <c r="C90" s="262" t="s">
        <v>988</v>
      </c>
      <c r="D90" s="263" t="s">
        <v>989</v>
      </c>
      <c r="E90" s="263" t="s">
        <v>990</v>
      </c>
      <c r="F90" s="263" t="s">
        <v>571</v>
      </c>
      <c r="G90" s="264">
        <v>1</v>
      </c>
      <c r="H90" s="264"/>
      <c r="I90" s="275">
        <v>1178.82</v>
      </c>
    </row>
    <row r="91" spans="1:9" ht="36" x14ac:dyDescent="0.3">
      <c r="A91" s="274" t="s">
        <v>991</v>
      </c>
      <c r="B91" s="261"/>
      <c r="C91" s="265" t="s">
        <v>992</v>
      </c>
      <c r="D91" s="263"/>
      <c r="E91" s="263" t="s">
        <v>993</v>
      </c>
      <c r="F91" s="266" t="s">
        <v>921</v>
      </c>
      <c r="G91" s="267">
        <v>1.3</v>
      </c>
      <c r="H91" s="269"/>
      <c r="I91" s="277">
        <v>38311.65</v>
      </c>
    </row>
    <row r="92" spans="1:9" ht="18" x14ac:dyDescent="0.3">
      <c r="A92" s="274" t="s">
        <v>994</v>
      </c>
      <c r="B92" s="261"/>
      <c r="C92" s="265" t="s">
        <v>926</v>
      </c>
      <c r="D92" s="263"/>
      <c r="E92" s="263"/>
      <c r="F92" s="266" t="s">
        <v>921</v>
      </c>
      <c r="G92" s="267">
        <v>0.15</v>
      </c>
      <c r="H92" s="267"/>
      <c r="I92" s="276">
        <v>176.82300000000001</v>
      </c>
    </row>
    <row r="93" spans="1:9" ht="18" x14ac:dyDescent="0.3">
      <c r="A93" s="274" t="s">
        <v>995</v>
      </c>
      <c r="B93" s="261"/>
      <c r="C93" s="265" t="s">
        <v>996</v>
      </c>
      <c r="D93" s="263"/>
      <c r="E93" s="263"/>
      <c r="F93" s="266" t="s">
        <v>867</v>
      </c>
      <c r="G93" s="267">
        <v>1</v>
      </c>
      <c r="H93" s="269"/>
      <c r="I93" s="277">
        <v>1178.82</v>
      </c>
    </row>
    <row r="94" spans="1:9" ht="90" x14ac:dyDescent="0.3">
      <c r="A94" s="274" t="s">
        <v>997</v>
      </c>
      <c r="B94" s="261" t="s">
        <v>998</v>
      </c>
      <c r="C94" s="262" t="s">
        <v>999</v>
      </c>
      <c r="D94" s="263"/>
      <c r="E94" s="263" t="s">
        <v>1000</v>
      </c>
      <c r="F94" s="263" t="s">
        <v>571</v>
      </c>
      <c r="G94" s="264">
        <v>1</v>
      </c>
      <c r="H94" s="264"/>
      <c r="I94" s="275">
        <v>301.64</v>
      </c>
    </row>
    <row r="95" spans="1:9" ht="36" x14ac:dyDescent="0.3">
      <c r="A95" s="274" t="s">
        <v>1001</v>
      </c>
      <c r="B95" s="261"/>
      <c r="C95" s="268" t="s">
        <v>1002</v>
      </c>
      <c r="D95" s="263"/>
      <c r="E95" s="263"/>
      <c r="F95" s="266" t="s">
        <v>921</v>
      </c>
      <c r="G95" s="267">
        <v>1</v>
      </c>
      <c r="H95" s="269"/>
      <c r="I95" s="277">
        <v>7541</v>
      </c>
    </row>
    <row r="96" spans="1:9" ht="18" x14ac:dyDescent="0.3">
      <c r="A96" s="274" t="s">
        <v>1003</v>
      </c>
      <c r="B96" s="261"/>
      <c r="C96" s="265" t="s">
        <v>996</v>
      </c>
      <c r="D96" s="263"/>
      <c r="E96" s="263"/>
      <c r="F96" s="266" t="s">
        <v>867</v>
      </c>
      <c r="G96" s="267">
        <v>1</v>
      </c>
      <c r="H96" s="269"/>
      <c r="I96" s="277">
        <v>301.64</v>
      </c>
    </row>
    <row r="97" spans="1:9" ht="18" x14ac:dyDescent="0.3">
      <c r="A97" s="274" t="s">
        <v>1004</v>
      </c>
      <c r="B97" s="261"/>
      <c r="C97" s="265" t="s">
        <v>1005</v>
      </c>
      <c r="D97" s="263"/>
      <c r="E97" s="263"/>
      <c r="F97" s="266" t="s">
        <v>921</v>
      </c>
      <c r="G97" s="267">
        <v>0.25</v>
      </c>
      <c r="H97" s="267"/>
      <c r="I97" s="276">
        <v>75.41</v>
      </c>
    </row>
    <row r="98" spans="1:9" ht="120.6" customHeight="1" x14ac:dyDescent="0.3">
      <c r="A98" s="274" t="s">
        <v>1006</v>
      </c>
      <c r="B98" s="261" t="s">
        <v>998</v>
      </c>
      <c r="C98" s="262" t="s">
        <v>999</v>
      </c>
      <c r="D98" s="263"/>
      <c r="E98" s="263" t="s">
        <v>1007</v>
      </c>
      <c r="F98" s="263" t="s">
        <v>571</v>
      </c>
      <c r="G98" s="264">
        <v>1</v>
      </c>
      <c r="H98" s="264"/>
      <c r="I98" s="275">
        <v>1066.56</v>
      </c>
    </row>
    <row r="99" spans="1:9" ht="18" x14ac:dyDescent="0.3">
      <c r="A99" s="274" t="s">
        <v>1008</v>
      </c>
      <c r="B99" s="261"/>
      <c r="C99" s="265" t="s">
        <v>926</v>
      </c>
      <c r="D99" s="263"/>
      <c r="E99" s="263"/>
      <c r="F99" s="266" t="s">
        <v>921</v>
      </c>
      <c r="G99" s="267">
        <v>0.15</v>
      </c>
      <c r="H99" s="269"/>
      <c r="I99" s="277">
        <v>159.98400000000001</v>
      </c>
    </row>
    <row r="100" spans="1:9" ht="18" x14ac:dyDescent="0.3">
      <c r="A100" s="274" t="s">
        <v>1009</v>
      </c>
      <c r="B100" s="261"/>
      <c r="C100" s="265" t="s">
        <v>996</v>
      </c>
      <c r="D100" s="263"/>
      <c r="E100" s="263"/>
      <c r="F100" s="266" t="s">
        <v>867</v>
      </c>
      <c r="G100" s="267">
        <v>1</v>
      </c>
      <c r="H100" s="269"/>
      <c r="I100" s="277">
        <v>1066.56</v>
      </c>
    </row>
    <row r="101" spans="1:9" ht="36" x14ac:dyDescent="0.3">
      <c r="A101" s="274" t="s">
        <v>1010</v>
      </c>
      <c r="B101" s="261"/>
      <c r="C101" s="268" t="s">
        <v>1002</v>
      </c>
      <c r="D101" s="263"/>
      <c r="E101" s="263"/>
      <c r="F101" s="266" t="s">
        <v>921</v>
      </c>
      <c r="G101" s="267">
        <v>1</v>
      </c>
      <c r="H101" s="269"/>
      <c r="I101" s="277">
        <v>26664</v>
      </c>
    </row>
    <row r="102" spans="1:9" ht="16.95" customHeight="1" x14ac:dyDescent="0.3">
      <c r="A102" s="274" t="s">
        <v>1011</v>
      </c>
      <c r="B102" s="261" t="s">
        <v>1012</v>
      </c>
      <c r="C102" s="271" t="s">
        <v>1013</v>
      </c>
      <c r="D102" s="272"/>
      <c r="E102" s="272"/>
      <c r="F102" s="272"/>
      <c r="G102" s="272"/>
      <c r="H102" s="272"/>
      <c r="I102" s="272"/>
    </row>
    <row r="103" spans="1:9" ht="18" x14ac:dyDescent="0.3">
      <c r="A103" s="274" t="s">
        <v>1014</v>
      </c>
      <c r="B103" s="261" t="s">
        <v>1015</v>
      </c>
      <c r="C103" s="262" t="s">
        <v>1016</v>
      </c>
      <c r="D103" s="263"/>
      <c r="E103" s="263"/>
      <c r="F103" s="263" t="s">
        <v>571</v>
      </c>
      <c r="G103" s="264">
        <v>1</v>
      </c>
      <c r="H103" s="264"/>
      <c r="I103" s="275">
        <v>0</v>
      </c>
    </row>
    <row r="104" spans="1:9" ht="18" x14ac:dyDescent="0.3">
      <c r="A104" s="274" t="s">
        <v>1017</v>
      </c>
      <c r="B104" s="261"/>
      <c r="C104" s="265" t="s">
        <v>1018</v>
      </c>
      <c r="D104" s="263"/>
      <c r="E104" s="263"/>
      <c r="F104" s="266" t="s">
        <v>925</v>
      </c>
      <c r="G104" s="267">
        <v>1.5</v>
      </c>
      <c r="H104" s="267"/>
      <c r="I104" s="276">
        <v>0</v>
      </c>
    </row>
    <row r="105" spans="1:9" ht="18" x14ac:dyDescent="0.3">
      <c r="A105" s="274" t="s">
        <v>1019</v>
      </c>
      <c r="B105" s="261" t="s">
        <v>1015</v>
      </c>
      <c r="C105" s="262" t="s">
        <v>1016</v>
      </c>
      <c r="D105" s="263"/>
      <c r="E105" s="263"/>
      <c r="F105" s="263" t="s">
        <v>571</v>
      </c>
      <c r="G105" s="264">
        <v>1</v>
      </c>
      <c r="H105" s="264"/>
      <c r="I105" s="275">
        <v>0</v>
      </c>
    </row>
    <row r="106" spans="1:9" ht="18" x14ac:dyDescent="0.3">
      <c r="A106" s="274" t="s">
        <v>1020</v>
      </c>
      <c r="B106" s="261"/>
      <c r="C106" s="265" t="s">
        <v>1018</v>
      </c>
      <c r="D106" s="263"/>
      <c r="E106" s="263"/>
      <c r="F106" s="266" t="s">
        <v>925</v>
      </c>
      <c r="G106" s="267">
        <v>1.5</v>
      </c>
      <c r="H106" s="267"/>
      <c r="I106" s="276">
        <v>0</v>
      </c>
    </row>
    <row r="107" spans="1:9" ht="18" x14ac:dyDescent="0.3">
      <c r="A107" s="274" t="s">
        <v>1021</v>
      </c>
      <c r="B107" s="261" t="s">
        <v>1015</v>
      </c>
      <c r="C107" s="262" t="s">
        <v>1016</v>
      </c>
      <c r="D107" s="263"/>
      <c r="E107" s="263"/>
      <c r="F107" s="263" t="s">
        <v>571</v>
      </c>
      <c r="G107" s="264">
        <v>1</v>
      </c>
      <c r="H107" s="264"/>
      <c r="I107" s="275">
        <v>0</v>
      </c>
    </row>
    <row r="108" spans="1:9" ht="18" x14ac:dyDescent="0.3">
      <c r="A108" s="274" t="s">
        <v>1022</v>
      </c>
      <c r="B108" s="261"/>
      <c r="C108" s="265" t="s">
        <v>1018</v>
      </c>
      <c r="D108" s="263"/>
      <c r="E108" s="263"/>
      <c r="F108" s="266" t="s">
        <v>925</v>
      </c>
      <c r="G108" s="267">
        <v>1.5</v>
      </c>
      <c r="H108" s="267"/>
      <c r="I108" s="276">
        <v>0</v>
      </c>
    </row>
    <row r="109" spans="1:9" ht="18" x14ac:dyDescent="0.3">
      <c r="A109" s="274" t="s">
        <v>1023</v>
      </c>
      <c r="B109" s="261" t="s">
        <v>1015</v>
      </c>
      <c r="C109" s="262" t="s">
        <v>1016</v>
      </c>
      <c r="D109" s="263"/>
      <c r="E109" s="263"/>
      <c r="F109" s="263" t="s">
        <v>571</v>
      </c>
      <c r="G109" s="264">
        <v>1</v>
      </c>
      <c r="H109" s="264"/>
      <c r="I109" s="275">
        <v>0</v>
      </c>
    </row>
    <row r="110" spans="1:9" ht="18" x14ac:dyDescent="0.3">
      <c r="A110" s="274" t="s">
        <v>1024</v>
      </c>
      <c r="B110" s="261"/>
      <c r="C110" s="265" t="s">
        <v>1018</v>
      </c>
      <c r="D110" s="263"/>
      <c r="E110" s="263"/>
      <c r="F110" s="266" t="s">
        <v>925</v>
      </c>
      <c r="G110" s="267">
        <v>1.5</v>
      </c>
      <c r="H110" s="267"/>
      <c r="I110" s="276">
        <v>0</v>
      </c>
    </row>
    <row r="111" spans="1:9" ht="18" x14ac:dyDescent="0.3">
      <c r="A111" s="274" t="s">
        <v>1025</v>
      </c>
      <c r="B111" s="261" t="s">
        <v>1015</v>
      </c>
      <c r="C111" s="262" t="s">
        <v>1016</v>
      </c>
      <c r="D111" s="263"/>
      <c r="E111" s="263"/>
      <c r="F111" s="263" t="s">
        <v>571</v>
      </c>
      <c r="G111" s="264">
        <v>1</v>
      </c>
      <c r="H111" s="264"/>
      <c r="I111" s="275">
        <v>0</v>
      </c>
    </row>
    <row r="112" spans="1:9" ht="18" x14ac:dyDescent="0.3">
      <c r="A112" s="274" t="s">
        <v>1026</v>
      </c>
      <c r="B112" s="261"/>
      <c r="C112" s="265" t="s">
        <v>1018</v>
      </c>
      <c r="D112" s="263"/>
      <c r="E112" s="263"/>
      <c r="F112" s="266" t="s">
        <v>925</v>
      </c>
      <c r="G112" s="267">
        <v>1.5</v>
      </c>
      <c r="H112" s="267"/>
      <c r="I112" s="276">
        <v>0</v>
      </c>
    </row>
    <row r="113" spans="1:9" ht="18" x14ac:dyDescent="0.3">
      <c r="A113" s="274" t="s">
        <v>1027</v>
      </c>
      <c r="B113" s="261" t="s">
        <v>1015</v>
      </c>
      <c r="C113" s="262" t="s">
        <v>1016</v>
      </c>
      <c r="D113" s="263"/>
      <c r="E113" s="263"/>
      <c r="F113" s="263" t="s">
        <v>571</v>
      </c>
      <c r="G113" s="264">
        <v>1</v>
      </c>
      <c r="H113" s="264"/>
      <c r="I113" s="275">
        <v>0</v>
      </c>
    </row>
    <row r="114" spans="1:9" ht="18" x14ac:dyDescent="0.3">
      <c r="A114" s="274" t="s">
        <v>1028</v>
      </c>
      <c r="B114" s="261"/>
      <c r="C114" s="265" t="s">
        <v>1018</v>
      </c>
      <c r="D114" s="263"/>
      <c r="E114" s="263"/>
      <c r="F114" s="266" t="s">
        <v>925</v>
      </c>
      <c r="G114" s="267">
        <v>1.5</v>
      </c>
      <c r="H114" s="267"/>
      <c r="I114" s="276">
        <v>0</v>
      </c>
    </row>
    <row r="115" spans="1:9" ht="18" x14ac:dyDescent="0.3">
      <c r="A115" s="274" t="s">
        <v>1029</v>
      </c>
      <c r="B115" s="261" t="s">
        <v>1015</v>
      </c>
      <c r="C115" s="262" t="s">
        <v>1016</v>
      </c>
      <c r="D115" s="263"/>
      <c r="E115" s="263"/>
      <c r="F115" s="263" t="s">
        <v>571</v>
      </c>
      <c r="G115" s="264">
        <v>1</v>
      </c>
      <c r="H115" s="264"/>
      <c r="I115" s="275">
        <v>0</v>
      </c>
    </row>
    <row r="116" spans="1:9" ht="18" x14ac:dyDescent="0.3">
      <c r="A116" s="274" t="s">
        <v>1030</v>
      </c>
      <c r="B116" s="261"/>
      <c r="C116" s="265" t="s">
        <v>1018</v>
      </c>
      <c r="D116" s="263"/>
      <c r="E116" s="263"/>
      <c r="F116" s="266" t="s">
        <v>925</v>
      </c>
      <c r="G116" s="267">
        <v>1.5</v>
      </c>
      <c r="H116" s="267"/>
      <c r="I116" s="276">
        <v>0</v>
      </c>
    </row>
    <row r="117" spans="1:9" ht="18" x14ac:dyDescent="0.3">
      <c r="A117" s="274" t="s">
        <v>1031</v>
      </c>
      <c r="B117" s="261" t="s">
        <v>1015</v>
      </c>
      <c r="C117" s="262" t="s">
        <v>1016</v>
      </c>
      <c r="D117" s="263"/>
      <c r="E117" s="263"/>
      <c r="F117" s="263" t="s">
        <v>571</v>
      </c>
      <c r="G117" s="264">
        <v>1</v>
      </c>
      <c r="H117" s="264"/>
      <c r="I117" s="275">
        <v>0</v>
      </c>
    </row>
    <row r="118" spans="1:9" ht="18" x14ac:dyDescent="0.3">
      <c r="A118" s="274" t="s">
        <v>1032</v>
      </c>
      <c r="B118" s="261"/>
      <c r="C118" s="265" t="s">
        <v>1018</v>
      </c>
      <c r="D118" s="263"/>
      <c r="E118" s="263"/>
      <c r="F118" s="266" t="s">
        <v>925</v>
      </c>
      <c r="G118" s="267">
        <v>1.5</v>
      </c>
      <c r="H118" s="267"/>
      <c r="I118" s="276">
        <v>0</v>
      </c>
    </row>
    <row r="119" spans="1:9" ht="18" x14ac:dyDescent="0.3">
      <c r="A119" s="274" t="s">
        <v>1033</v>
      </c>
      <c r="B119" s="261" t="s">
        <v>1015</v>
      </c>
      <c r="C119" s="262" t="s">
        <v>1016</v>
      </c>
      <c r="D119" s="263"/>
      <c r="E119" s="263"/>
      <c r="F119" s="263" t="s">
        <v>571</v>
      </c>
      <c r="G119" s="264">
        <v>1</v>
      </c>
      <c r="H119" s="264"/>
      <c r="I119" s="275">
        <v>0</v>
      </c>
    </row>
    <row r="120" spans="1:9" ht="18" x14ac:dyDescent="0.3">
      <c r="A120" s="274" t="s">
        <v>1034</v>
      </c>
      <c r="B120" s="261"/>
      <c r="C120" s="265" t="s">
        <v>1018</v>
      </c>
      <c r="D120" s="263"/>
      <c r="E120" s="263"/>
      <c r="F120" s="266" t="s">
        <v>925</v>
      </c>
      <c r="G120" s="267">
        <v>1.5</v>
      </c>
      <c r="H120" s="267"/>
      <c r="I120" s="276">
        <v>0</v>
      </c>
    </row>
    <row r="121" spans="1:9" ht="18" x14ac:dyDescent="0.3">
      <c r="A121" s="274" t="s">
        <v>1035</v>
      </c>
      <c r="B121" s="261" t="s">
        <v>1015</v>
      </c>
      <c r="C121" s="262" t="s">
        <v>1016</v>
      </c>
      <c r="D121" s="263"/>
      <c r="E121" s="263"/>
      <c r="F121" s="263" t="s">
        <v>571</v>
      </c>
      <c r="G121" s="264">
        <v>1</v>
      </c>
      <c r="H121" s="264"/>
      <c r="I121" s="275">
        <v>0</v>
      </c>
    </row>
    <row r="122" spans="1:9" ht="18" x14ac:dyDescent="0.3">
      <c r="A122" s="274" t="s">
        <v>1036</v>
      </c>
      <c r="B122" s="261"/>
      <c r="C122" s="265" t="s">
        <v>1018</v>
      </c>
      <c r="D122" s="263"/>
      <c r="E122" s="263"/>
      <c r="F122" s="266" t="s">
        <v>925</v>
      </c>
      <c r="G122" s="267">
        <v>1.5</v>
      </c>
      <c r="H122" s="267"/>
      <c r="I122" s="276">
        <v>0</v>
      </c>
    </row>
    <row r="123" spans="1:9" ht="18" x14ac:dyDescent="0.3">
      <c r="A123" s="274" t="s">
        <v>1037</v>
      </c>
      <c r="B123" s="261" t="s">
        <v>1015</v>
      </c>
      <c r="C123" s="262" t="s">
        <v>1016</v>
      </c>
      <c r="D123" s="263"/>
      <c r="E123" s="263" t="s">
        <v>1038</v>
      </c>
      <c r="F123" s="263" t="s">
        <v>571</v>
      </c>
      <c r="G123" s="264">
        <v>1</v>
      </c>
      <c r="H123" s="264"/>
      <c r="I123" s="275">
        <v>195.1</v>
      </c>
    </row>
    <row r="124" spans="1:9" ht="18" x14ac:dyDescent="0.3">
      <c r="A124" s="274" t="s">
        <v>1039</v>
      </c>
      <c r="B124" s="261"/>
      <c r="C124" s="265" t="s">
        <v>1018</v>
      </c>
      <c r="D124" s="263"/>
      <c r="E124" s="263"/>
      <c r="F124" s="266" t="s">
        <v>925</v>
      </c>
      <c r="G124" s="267">
        <v>1.5</v>
      </c>
      <c r="H124" s="267"/>
      <c r="I124" s="276">
        <v>292.64999999999998</v>
      </c>
    </row>
    <row r="125" spans="1:9" ht="18" x14ac:dyDescent="0.3">
      <c r="A125" s="274" t="s">
        <v>1040</v>
      </c>
      <c r="B125" s="261" t="s">
        <v>1015</v>
      </c>
      <c r="C125" s="262" t="s">
        <v>1016</v>
      </c>
      <c r="D125" s="263"/>
      <c r="E125" s="263" t="s">
        <v>1041</v>
      </c>
      <c r="F125" s="263" t="s">
        <v>571</v>
      </c>
      <c r="G125" s="264">
        <v>1</v>
      </c>
      <c r="H125" s="264"/>
      <c r="I125" s="275">
        <v>23.1</v>
      </c>
    </row>
    <row r="126" spans="1:9" ht="18" x14ac:dyDescent="0.3">
      <c r="A126" s="274" t="s">
        <v>1042</v>
      </c>
      <c r="B126" s="261"/>
      <c r="C126" s="265" t="s">
        <v>1018</v>
      </c>
      <c r="D126" s="263"/>
      <c r="E126" s="263"/>
      <c r="F126" s="266" t="s">
        <v>925</v>
      </c>
      <c r="G126" s="267">
        <v>1.5</v>
      </c>
      <c r="H126" s="267"/>
      <c r="I126" s="276">
        <v>34.65</v>
      </c>
    </row>
    <row r="127" spans="1:9" ht="18" x14ac:dyDescent="0.3">
      <c r="A127" s="274" t="s">
        <v>1043</v>
      </c>
      <c r="B127" s="261" t="s">
        <v>1015</v>
      </c>
      <c r="C127" s="262" t="s">
        <v>1016</v>
      </c>
      <c r="D127" s="263"/>
      <c r="E127" s="263" t="s">
        <v>1044</v>
      </c>
      <c r="F127" s="263" t="s">
        <v>571</v>
      </c>
      <c r="G127" s="264">
        <v>1</v>
      </c>
      <c r="H127" s="264"/>
      <c r="I127" s="275">
        <v>75</v>
      </c>
    </row>
    <row r="128" spans="1:9" ht="18" x14ac:dyDescent="0.3">
      <c r="A128" s="274" t="s">
        <v>1045</v>
      </c>
      <c r="B128" s="261"/>
      <c r="C128" s="265" t="s">
        <v>1018</v>
      </c>
      <c r="D128" s="263"/>
      <c r="E128" s="263"/>
      <c r="F128" s="266" t="s">
        <v>925</v>
      </c>
      <c r="G128" s="267">
        <v>1.5</v>
      </c>
      <c r="H128" s="267"/>
      <c r="I128" s="276">
        <v>112.5</v>
      </c>
    </row>
    <row r="129" spans="1:9" ht="18" x14ac:dyDescent="0.3">
      <c r="A129" s="274" t="s">
        <v>1046</v>
      </c>
      <c r="B129" s="261" t="s">
        <v>1015</v>
      </c>
      <c r="C129" s="262" t="s">
        <v>1016</v>
      </c>
      <c r="D129" s="263"/>
      <c r="E129" s="263" t="s">
        <v>1047</v>
      </c>
      <c r="F129" s="263" t="s">
        <v>571</v>
      </c>
      <c r="G129" s="264">
        <v>1</v>
      </c>
      <c r="H129" s="264"/>
      <c r="I129" s="275">
        <v>41.8</v>
      </c>
    </row>
    <row r="130" spans="1:9" ht="18" x14ac:dyDescent="0.3">
      <c r="A130" s="274" t="s">
        <v>1048</v>
      </c>
      <c r="B130" s="261"/>
      <c r="C130" s="265" t="s">
        <v>1018</v>
      </c>
      <c r="D130" s="263"/>
      <c r="E130" s="263"/>
      <c r="F130" s="266" t="s">
        <v>925</v>
      </c>
      <c r="G130" s="267">
        <v>1.5</v>
      </c>
      <c r="H130" s="267"/>
      <c r="I130" s="276">
        <v>62.7</v>
      </c>
    </row>
    <row r="131" spans="1:9" ht="18" x14ac:dyDescent="0.3">
      <c r="A131" s="274" t="s">
        <v>1049</v>
      </c>
      <c r="B131" s="261" t="s">
        <v>1015</v>
      </c>
      <c r="C131" s="262" t="s">
        <v>1016</v>
      </c>
      <c r="D131" s="263"/>
      <c r="E131" s="263" t="s">
        <v>1050</v>
      </c>
      <c r="F131" s="263" t="s">
        <v>571</v>
      </c>
      <c r="G131" s="264">
        <v>1</v>
      </c>
      <c r="H131" s="264"/>
      <c r="I131" s="275">
        <v>25.2</v>
      </c>
    </row>
    <row r="132" spans="1:9" ht="18" x14ac:dyDescent="0.3">
      <c r="A132" s="274" t="s">
        <v>1051</v>
      </c>
      <c r="B132" s="261"/>
      <c r="C132" s="265" t="s">
        <v>1018</v>
      </c>
      <c r="D132" s="263"/>
      <c r="E132" s="263"/>
      <c r="F132" s="266" t="s">
        <v>925</v>
      </c>
      <c r="G132" s="267">
        <v>1.5</v>
      </c>
      <c r="H132" s="267"/>
      <c r="I132" s="276">
        <v>37.799999999999997</v>
      </c>
    </row>
    <row r="133" spans="1:9" ht="90" x14ac:dyDescent="0.3">
      <c r="A133" s="274" t="s">
        <v>1052</v>
      </c>
      <c r="B133" s="261" t="s">
        <v>1015</v>
      </c>
      <c r="C133" s="262" t="s">
        <v>1016</v>
      </c>
      <c r="D133" s="263"/>
      <c r="E133" s="263" t="s">
        <v>1053</v>
      </c>
      <c r="F133" s="263" t="s">
        <v>571</v>
      </c>
      <c r="G133" s="264">
        <v>1</v>
      </c>
      <c r="H133" s="264"/>
      <c r="I133" s="275">
        <v>9.3000000000000007</v>
      </c>
    </row>
    <row r="134" spans="1:9" ht="18" x14ac:dyDescent="0.3">
      <c r="A134" s="274" t="s">
        <v>1054</v>
      </c>
      <c r="B134" s="261"/>
      <c r="C134" s="265" t="s">
        <v>1018</v>
      </c>
      <c r="D134" s="263"/>
      <c r="E134" s="263"/>
      <c r="F134" s="266" t="s">
        <v>925</v>
      </c>
      <c r="G134" s="267">
        <v>1.5</v>
      </c>
      <c r="H134" s="267"/>
      <c r="I134" s="276">
        <v>13.95</v>
      </c>
    </row>
    <row r="135" spans="1:9" ht="90" x14ac:dyDescent="0.3">
      <c r="A135" s="274" t="s">
        <v>1055</v>
      </c>
      <c r="B135" s="261" t="s">
        <v>1015</v>
      </c>
      <c r="C135" s="262" t="s">
        <v>1016</v>
      </c>
      <c r="D135" s="263"/>
      <c r="E135" s="263" t="s">
        <v>1056</v>
      </c>
      <c r="F135" s="263" t="s">
        <v>571</v>
      </c>
      <c r="G135" s="264">
        <v>1</v>
      </c>
      <c r="H135" s="264"/>
      <c r="I135" s="275">
        <v>9.4</v>
      </c>
    </row>
    <row r="136" spans="1:9" ht="18" x14ac:dyDescent="0.3">
      <c r="A136" s="274" t="s">
        <v>1057</v>
      </c>
      <c r="B136" s="261"/>
      <c r="C136" s="265" t="s">
        <v>1018</v>
      </c>
      <c r="D136" s="263"/>
      <c r="E136" s="263"/>
      <c r="F136" s="266" t="s">
        <v>925</v>
      </c>
      <c r="G136" s="267">
        <v>1.5</v>
      </c>
      <c r="H136" s="267"/>
      <c r="I136" s="276">
        <v>14.1</v>
      </c>
    </row>
    <row r="137" spans="1:9" ht="18" x14ac:dyDescent="0.3">
      <c r="A137" s="274" t="s">
        <v>1058</v>
      </c>
      <c r="B137" s="261" t="s">
        <v>1015</v>
      </c>
      <c r="C137" s="262" t="s">
        <v>1016</v>
      </c>
      <c r="D137" s="263"/>
      <c r="E137" s="263"/>
      <c r="F137" s="263" t="s">
        <v>571</v>
      </c>
      <c r="G137" s="264">
        <v>1</v>
      </c>
      <c r="H137" s="264"/>
      <c r="I137" s="275">
        <v>0</v>
      </c>
    </row>
    <row r="138" spans="1:9" ht="18" x14ac:dyDescent="0.3">
      <c r="A138" s="274" t="s">
        <v>1059</v>
      </c>
      <c r="B138" s="261"/>
      <c r="C138" s="265" t="s">
        <v>1018</v>
      </c>
      <c r="D138" s="263"/>
      <c r="E138" s="263"/>
      <c r="F138" s="266" t="s">
        <v>925</v>
      </c>
      <c r="G138" s="267">
        <v>1.5</v>
      </c>
      <c r="H138" s="267"/>
      <c r="I138" s="276">
        <v>0</v>
      </c>
    </row>
    <row r="139" spans="1:9" ht="18" x14ac:dyDescent="0.3">
      <c r="A139" s="274" t="s">
        <v>1060</v>
      </c>
      <c r="B139" s="261" t="s">
        <v>1061</v>
      </c>
      <c r="C139" s="262" t="s">
        <v>1062</v>
      </c>
      <c r="D139" s="263"/>
      <c r="E139" s="263"/>
      <c r="F139" s="263" t="s">
        <v>571</v>
      </c>
      <c r="G139" s="264">
        <v>1</v>
      </c>
      <c r="H139" s="264"/>
      <c r="I139" s="275">
        <v>0</v>
      </c>
    </row>
    <row r="140" spans="1:9" ht="18" x14ac:dyDescent="0.3">
      <c r="A140" s="274" t="s">
        <v>1063</v>
      </c>
      <c r="B140" s="261"/>
      <c r="C140" s="265" t="s">
        <v>1064</v>
      </c>
      <c r="D140" s="263"/>
      <c r="E140" s="263"/>
      <c r="F140" s="266" t="s">
        <v>925</v>
      </c>
      <c r="G140" s="267">
        <v>1</v>
      </c>
      <c r="H140" s="267"/>
      <c r="I140" s="276">
        <v>0</v>
      </c>
    </row>
    <row r="141" spans="1:9" ht="181.95" customHeight="1" x14ac:dyDescent="0.3">
      <c r="A141" s="274" t="s">
        <v>1065</v>
      </c>
      <c r="B141" s="261" t="s">
        <v>1061</v>
      </c>
      <c r="C141" s="262" t="s">
        <v>1062</v>
      </c>
      <c r="D141" s="263"/>
      <c r="E141" s="263" t="s">
        <v>1066</v>
      </c>
      <c r="F141" s="263" t="s">
        <v>571</v>
      </c>
      <c r="G141" s="264">
        <v>1</v>
      </c>
      <c r="H141" s="264"/>
      <c r="I141" s="275">
        <v>227.3</v>
      </c>
    </row>
    <row r="142" spans="1:9" ht="118.05" customHeight="1" x14ac:dyDescent="0.3">
      <c r="A142" s="274" t="s">
        <v>1067</v>
      </c>
      <c r="B142" s="261"/>
      <c r="C142" s="265" t="s">
        <v>1064</v>
      </c>
      <c r="D142" s="263"/>
      <c r="E142" s="263" t="s">
        <v>1068</v>
      </c>
      <c r="F142" s="266" t="s">
        <v>925</v>
      </c>
      <c r="G142" s="267">
        <v>1</v>
      </c>
      <c r="H142" s="267"/>
      <c r="I142" s="276">
        <v>227.3</v>
      </c>
    </row>
    <row r="143" spans="1:9" ht="18" x14ac:dyDescent="0.3">
      <c r="A143" s="274" t="s">
        <v>1069</v>
      </c>
      <c r="B143" s="261" t="s">
        <v>1070</v>
      </c>
      <c r="C143" s="262" t="s">
        <v>1071</v>
      </c>
      <c r="D143" s="263"/>
      <c r="E143" s="263"/>
      <c r="F143" s="263" t="s">
        <v>571</v>
      </c>
      <c r="G143" s="264">
        <v>1</v>
      </c>
      <c r="H143" s="264"/>
      <c r="I143" s="275">
        <v>0</v>
      </c>
    </row>
    <row r="144" spans="1:9" ht="18" x14ac:dyDescent="0.3">
      <c r="A144" s="274" t="s">
        <v>1072</v>
      </c>
      <c r="B144" s="261"/>
      <c r="C144" s="265" t="s">
        <v>926</v>
      </c>
      <c r="D144" s="263"/>
      <c r="E144" s="263"/>
      <c r="F144" s="266" t="s">
        <v>921</v>
      </c>
      <c r="G144" s="267">
        <v>0.15</v>
      </c>
      <c r="H144" s="267"/>
      <c r="I144" s="276">
        <v>0</v>
      </c>
    </row>
    <row r="145" spans="1:9" ht="18" x14ac:dyDescent="0.3">
      <c r="A145" s="274" t="s">
        <v>1073</v>
      </c>
      <c r="B145" s="261"/>
      <c r="C145" s="265" t="s">
        <v>1074</v>
      </c>
      <c r="D145" s="263"/>
      <c r="E145" s="263"/>
      <c r="F145" s="266" t="s">
        <v>921</v>
      </c>
      <c r="G145" s="267">
        <v>0.3</v>
      </c>
      <c r="H145" s="267"/>
      <c r="I145" s="276">
        <v>0</v>
      </c>
    </row>
    <row r="146" spans="1:9" ht="18" x14ac:dyDescent="0.3">
      <c r="A146" s="274" t="s">
        <v>1075</v>
      </c>
      <c r="B146" s="261" t="s">
        <v>1070</v>
      </c>
      <c r="C146" s="262" t="s">
        <v>1071</v>
      </c>
      <c r="D146" s="263"/>
      <c r="E146" s="263"/>
      <c r="F146" s="263" t="s">
        <v>571</v>
      </c>
      <c r="G146" s="264">
        <v>1</v>
      </c>
      <c r="H146" s="264"/>
      <c r="I146" s="275">
        <v>0</v>
      </c>
    </row>
    <row r="147" spans="1:9" ht="18" x14ac:dyDescent="0.3">
      <c r="A147" s="274" t="s">
        <v>1076</v>
      </c>
      <c r="B147" s="261"/>
      <c r="C147" s="265" t="s">
        <v>1074</v>
      </c>
      <c r="D147" s="263"/>
      <c r="E147" s="263"/>
      <c r="F147" s="266" t="s">
        <v>921</v>
      </c>
      <c r="G147" s="267">
        <v>0.3</v>
      </c>
      <c r="H147" s="267"/>
      <c r="I147" s="276">
        <v>0</v>
      </c>
    </row>
    <row r="148" spans="1:9" ht="18" x14ac:dyDescent="0.3">
      <c r="A148" s="274" t="s">
        <v>1077</v>
      </c>
      <c r="B148" s="261"/>
      <c r="C148" s="265" t="s">
        <v>926</v>
      </c>
      <c r="D148" s="263"/>
      <c r="E148" s="263"/>
      <c r="F148" s="266" t="s">
        <v>921</v>
      </c>
      <c r="G148" s="267">
        <v>0.15</v>
      </c>
      <c r="H148" s="267"/>
      <c r="I148" s="276">
        <v>0</v>
      </c>
    </row>
    <row r="149" spans="1:9" ht="18" x14ac:dyDescent="0.3">
      <c r="A149" s="274" t="s">
        <v>1078</v>
      </c>
      <c r="B149" s="261" t="s">
        <v>1070</v>
      </c>
      <c r="C149" s="262" t="s">
        <v>1071</v>
      </c>
      <c r="D149" s="263"/>
      <c r="E149" s="263"/>
      <c r="F149" s="263" t="s">
        <v>571</v>
      </c>
      <c r="G149" s="264">
        <v>1</v>
      </c>
      <c r="H149" s="264"/>
      <c r="I149" s="275">
        <v>0</v>
      </c>
    </row>
    <row r="150" spans="1:9" ht="18" x14ac:dyDescent="0.3">
      <c r="A150" s="274" t="s">
        <v>1079</v>
      </c>
      <c r="B150" s="261"/>
      <c r="C150" s="265" t="s">
        <v>926</v>
      </c>
      <c r="D150" s="263"/>
      <c r="E150" s="263"/>
      <c r="F150" s="266" t="s">
        <v>921</v>
      </c>
      <c r="G150" s="267">
        <v>0.15</v>
      </c>
      <c r="H150" s="267"/>
      <c r="I150" s="276">
        <v>0</v>
      </c>
    </row>
    <row r="151" spans="1:9" ht="18" x14ac:dyDescent="0.3">
      <c r="A151" s="274" t="s">
        <v>1080</v>
      </c>
      <c r="B151" s="261"/>
      <c r="C151" s="265" t="s">
        <v>1074</v>
      </c>
      <c r="D151" s="263"/>
      <c r="E151" s="263"/>
      <c r="F151" s="266" t="s">
        <v>921</v>
      </c>
      <c r="G151" s="267">
        <v>0.3</v>
      </c>
      <c r="H151" s="267"/>
      <c r="I151" s="276">
        <v>0</v>
      </c>
    </row>
    <row r="152" spans="1:9" ht="18" x14ac:dyDescent="0.3">
      <c r="A152" s="274" t="s">
        <v>1081</v>
      </c>
      <c r="B152" s="261" t="s">
        <v>1070</v>
      </c>
      <c r="C152" s="262" t="s">
        <v>1071</v>
      </c>
      <c r="D152" s="263"/>
      <c r="E152" s="263"/>
      <c r="F152" s="263" t="s">
        <v>571</v>
      </c>
      <c r="G152" s="264">
        <v>1</v>
      </c>
      <c r="H152" s="264"/>
      <c r="I152" s="275">
        <v>0</v>
      </c>
    </row>
    <row r="153" spans="1:9" ht="18" x14ac:dyDescent="0.3">
      <c r="A153" s="274" t="s">
        <v>1082</v>
      </c>
      <c r="B153" s="261"/>
      <c r="C153" s="265" t="s">
        <v>1074</v>
      </c>
      <c r="D153" s="263"/>
      <c r="E153" s="263"/>
      <c r="F153" s="266" t="s">
        <v>921</v>
      </c>
      <c r="G153" s="267">
        <v>0.3</v>
      </c>
      <c r="H153" s="267"/>
      <c r="I153" s="276">
        <v>0</v>
      </c>
    </row>
    <row r="154" spans="1:9" ht="18" x14ac:dyDescent="0.3">
      <c r="A154" s="274" t="s">
        <v>1083</v>
      </c>
      <c r="B154" s="261"/>
      <c r="C154" s="265" t="s">
        <v>926</v>
      </c>
      <c r="D154" s="263"/>
      <c r="E154" s="263"/>
      <c r="F154" s="266" t="s">
        <v>921</v>
      </c>
      <c r="G154" s="267">
        <v>0.15</v>
      </c>
      <c r="H154" s="267"/>
      <c r="I154" s="276">
        <v>0</v>
      </c>
    </row>
    <row r="155" spans="1:9" ht="18" x14ac:dyDescent="0.3">
      <c r="A155" s="274" t="s">
        <v>1084</v>
      </c>
      <c r="B155" s="261" t="s">
        <v>1070</v>
      </c>
      <c r="C155" s="262" t="s">
        <v>1071</v>
      </c>
      <c r="D155" s="263"/>
      <c r="E155" s="263"/>
      <c r="F155" s="263" t="s">
        <v>571</v>
      </c>
      <c r="G155" s="264">
        <v>1</v>
      </c>
      <c r="H155" s="264"/>
      <c r="I155" s="275">
        <v>0</v>
      </c>
    </row>
    <row r="156" spans="1:9" ht="18" x14ac:dyDescent="0.3">
      <c r="A156" s="274" t="s">
        <v>1085</v>
      </c>
      <c r="B156" s="261"/>
      <c r="C156" s="265" t="s">
        <v>926</v>
      </c>
      <c r="D156" s="263"/>
      <c r="E156" s="263"/>
      <c r="F156" s="266" t="s">
        <v>921</v>
      </c>
      <c r="G156" s="267">
        <v>0.15</v>
      </c>
      <c r="H156" s="267"/>
      <c r="I156" s="276">
        <v>0</v>
      </c>
    </row>
    <row r="157" spans="1:9" ht="18" x14ac:dyDescent="0.3">
      <c r="A157" s="274" t="s">
        <v>1086</v>
      </c>
      <c r="B157" s="261"/>
      <c r="C157" s="265" t="s">
        <v>1074</v>
      </c>
      <c r="D157" s="263"/>
      <c r="E157" s="263"/>
      <c r="F157" s="266" t="s">
        <v>921</v>
      </c>
      <c r="G157" s="267">
        <v>0.3</v>
      </c>
      <c r="H157" s="267"/>
      <c r="I157" s="276">
        <v>0</v>
      </c>
    </row>
    <row r="158" spans="1:9" ht="18" x14ac:dyDescent="0.3">
      <c r="A158" s="274" t="s">
        <v>1087</v>
      </c>
      <c r="B158" s="261" t="s">
        <v>1070</v>
      </c>
      <c r="C158" s="262" t="s">
        <v>1071</v>
      </c>
      <c r="D158" s="263"/>
      <c r="E158" s="263"/>
      <c r="F158" s="263" t="s">
        <v>571</v>
      </c>
      <c r="G158" s="264">
        <v>1</v>
      </c>
      <c r="H158" s="264"/>
      <c r="I158" s="275">
        <v>0</v>
      </c>
    </row>
    <row r="159" spans="1:9" ht="18" x14ac:dyDescent="0.3">
      <c r="A159" s="274" t="s">
        <v>1088</v>
      </c>
      <c r="B159" s="261"/>
      <c r="C159" s="265" t="s">
        <v>1074</v>
      </c>
      <c r="D159" s="263"/>
      <c r="E159" s="263"/>
      <c r="F159" s="266" t="s">
        <v>921</v>
      </c>
      <c r="G159" s="267">
        <v>0.3</v>
      </c>
      <c r="H159" s="267"/>
      <c r="I159" s="276">
        <v>0</v>
      </c>
    </row>
    <row r="160" spans="1:9" ht="18" x14ac:dyDescent="0.3">
      <c r="A160" s="274" t="s">
        <v>1089</v>
      </c>
      <c r="B160" s="261"/>
      <c r="C160" s="265" t="s">
        <v>926</v>
      </c>
      <c r="D160" s="263"/>
      <c r="E160" s="263"/>
      <c r="F160" s="266" t="s">
        <v>921</v>
      </c>
      <c r="G160" s="267">
        <v>0.15</v>
      </c>
      <c r="H160" s="267"/>
      <c r="I160" s="276">
        <v>0</v>
      </c>
    </row>
    <row r="161" spans="1:9" ht="18" x14ac:dyDescent="0.3">
      <c r="A161" s="274" t="s">
        <v>1090</v>
      </c>
      <c r="B161" s="261" t="s">
        <v>1070</v>
      </c>
      <c r="C161" s="262" t="s">
        <v>1071</v>
      </c>
      <c r="D161" s="263"/>
      <c r="E161" s="263"/>
      <c r="F161" s="263" t="s">
        <v>571</v>
      </c>
      <c r="G161" s="264">
        <v>1</v>
      </c>
      <c r="H161" s="264"/>
      <c r="I161" s="275">
        <v>0</v>
      </c>
    </row>
    <row r="162" spans="1:9" ht="18" x14ac:dyDescent="0.3">
      <c r="A162" s="274" t="s">
        <v>1091</v>
      </c>
      <c r="B162" s="261"/>
      <c r="C162" s="265" t="s">
        <v>926</v>
      </c>
      <c r="D162" s="263"/>
      <c r="E162" s="263"/>
      <c r="F162" s="266" t="s">
        <v>921</v>
      </c>
      <c r="G162" s="267">
        <v>0.15</v>
      </c>
      <c r="H162" s="267"/>
      <c r="I162" s="276">
        <v>0</v>
      </c>
    </row>
    <row r="163" spans="1:9" ht="18" x14ac:dyDescent="0.3">
      <c r="A163" s="274" t="s">
        <v>1092</v>
      </c>
      <c r="B163" s="261"/>
      <c r="C163" s="265" t="s">
        <v>1074</v>
      </c>
      <c r="D163" s="263"/>
      <c r="E163" s="263"/>
      <c r="F163" s="266" t="s">
        <v>921</v>
      </c>
      <c r="G163" s="267">
        <v>0.3</v>
      </c>
      <c r="H163" s="267"/>
      <c r="I163" s="276">
        <v>0</v>
      </c>
    </row>
    <row r="164" spans="1:9" ht="18" x14ac:dyDescent="0.3">
      <c r="A164" s="274" t="s">
        <v>1093</v>
      </c>
      <c r="B164" s="261" t="s">
        <v>1070</v>
      </c>
      <c r="C164" s="262" t="s">
        <v>1071</v>
      </c>
      <c r="D164" s="263"/>
      <c r="E164" s="263"/>
      <c r="F164" s="263" t="s">
        <v>571</v>
      </c>
      <c r="G164" s="264">
        <v>1</v>
      </c>
      <c r="H164" s="264"/>
      <c r="I164" s="275">
        <v>0</v>
      </c>
    </row>
    <row r="165" spans="1:9" ht="18" x14ac:dyDescent="0.3">
      <c r="A165" s="274" t="s">
        <v>1094</v>
      </c>
      <c r="B165" s="261"/>
      <c r="C165" s="265" t="s">
        <v>1074</v>
      </c>
      <c r="D165" s="263"/>
      <c r="E165" s="263"/>
      <c r="F165" s="266" t="s">
        <v>921</v>
      </c>
      <c r="G165" s="267">
        <v>0.3</v>
      </c>
      <c r="H165" s="267"/>
      <c r="I165" s="276">
        <v>0</v>
      </c>
    </row>
    <row r="166" spans="1:9" ht="18" x14ac:dyDescent="0.3">
      <c r="A166" s="274" t="s">
        <v>1095</v>
      </c>
      <c r="B166" s="261"/>
      <c r="C166" s="265" t="s">
        <v>926</v>
      </c>
      <c r="D166" s="263"/>
      <c r="E166" s="263"/>
      <c r="F166" s="266" t="s">
        <v>921</v>
      </c>
      <c r="G166" s="267">
        <v>0.15</v>
      </c>
      <c r="H166" s="267"/>
      <c r="I166" s="276">
        <v>0</v>
      </c>
    </row>
    <row r="167" spans="1:9" ht="73.05" customHeight="1" x14ac:dyDescent="0.3">
      <c r="A167" s="274" t="s">
        <v>1096</v>
      </c>
      <c r="B167" s="261" t="s">
        <v>1070</v>
      </c>
      <c r="C167" s="262" t="s">
        <v>1071</v>
      </c>
      <c r="D167" s="263"/>
      <c r="E167" s="263" t="s">
        <v>1097</v>
      </c>
      <c r="F167" s="263" t="s">
        <v>571</v>
      </c>
      <c r="G167" s="264">
        <v>1</v>
      </c>
      <c r="H167" s="264"/>
      <c r="I167" s="275">
        <v>276</v>
      </c>
    </row>
    <row r="168" spans="1:9" ht="18" x14ac:dyDescent="0.3">
      <c r="A168" s="274" t="s">
        <v>1098</v>
      </c>
      <c r="B168" s="261"/>
      <c r="C168" s="265" t="s">
        <v>926</v>
      </c>
      <c r="D168" s="263"/>
      <c r="E168" s="263"/>
      <c r="F168" s="266" t="s">
        <v>921</v>
      </c>
      <c r="G168" s="267">
        <v>0.15</v>
      </c>
      <c r="H168" s="267"/>
      <c r="I168" s="276">
        <v>41.4</v>
      </c>
    </row>
    <row r="169" spans="1:9" ht="18" x14ac:dyDescent="0.3">
      <c r="A169" s="274" t="s">
        <v>1099</v>
      </c>
      <c r="B169" s="261"/>
      <c r="C169" s="265" t="s">
        <v>1074</v>
      </c>
      <c r="D169" s="263"/>
      <c r="E169" s="263"/>
      <c r="F169" s="266" t="s">
        <v>921</v>
      </c>
      <c r="G169" s="267">
        <v>0.3</v>
      </c>
      <c r="H169" s="267"/>
      <c r="I169" s="276">
        <v>82.8</v>
      </c>
    </row>
    <row r="170" spans="1:9" ht="73.05" customHeight="1" x14ac:dyDescent="0.3">
      <c r="A170" s="274" t="s">
        <v>1100</v>
      </c>
      <c r="B170" s="261" t="s">
        <v>1070</v>
      </c>
      <c r="C170" s="262" t="s">
        <v>1071</v>
      </c>
      <c r="D170" s="263"/>
      <c r="E170" s="263" t="s">
        <v>1101</v>
      </c>
      <c r="F170" s="263" t="s">
        <v>571</v>
      </c>
      <c r="G170" s="264">
        <v>1</v>
      </c>
      <c r="H170" s="264"/>
      <c r="I170" s="275">
        <v>224.5</v>
      </c>
    </row>
    <row r="171" spans="1:9" ht="18" x14ac:dyDescent="0.3">
      <c r="A171" s="274" t="s">
        <v>1102</v>
      </c>
      <c r="B171" s="261"/>
      <c r="C171" s="265" t="s">
        <v>1074</v>
      </c>
      <c r="D171" s="263"/>
      <c r="E171" s="263"/>
      <c r="F171" s="266" t="s">
        <v>921</v>
      </c>
      <c r="G171" s="267">
        <v>0.3</v>
      </c>
      <c r="H171" s="267"/>
      <c r="I171" s="276">
        <v>67.349999999999994</v>
      </c>
    </row>
    <row r="172" spans="1:9" ht="18" x14ac:dyDescent="0.3">
      <c r="A172" s="274" t="s">
        <v>1103</v>
      </c>
      <c r="B172" s="261"/>
      <c r="C172" s="265" t="s">
        <v>926</v>
      </c>
      <c r="D172" s="263"/>
      <c r="E172" s="263"/>
      <c r="F172" s="266" t="s">
        <v>921</v>
      </c>
      <c r="G172" s="267">
        <v>0.15</v>
      </c>
      <c r="H172" s="267"/>
      <c r="I172" s="276">
        <v>33.674999999999997</v>
      </c>
    </row>
    <row r="173" spans="1:9" ht="79.95" customHeight="1" x14ac:dyDescent="0.3">
      <c r="A173" s="274" t="s">
        <v>1104</v>
      </c>
      <c r="B173" s="261" t="s">
        <v>1070</v>
      </c>
      <c r="C173" s="262" t="s">
        <v>1071</v>
      </c>
      <c r="D173" s="263"/>
      <c r="E173" s="263" t="s">
        <v>1105</v>
      </c>
      <c r="F173" s="263" t="s">
        <v>571</v>
      </c>
      <c r="G173" s="264">
        <v>1</v>
      </c>
      <c r="H173" s="264"/>
      <c r="I173" s="275">
        <v>180</v>
      </c>
    </row>
    <row r="174" spans="1:9" ht="18" x14ac:dyDescent="0.3">
      <c r="A174" s="274" t="s">
        <v>1106</v>
      </c>
      <c r="B174" s="261"/>
      <c r="C174" s="265" t="s">
        <v>926</v>
      </c>
      <c r="D174" s="263"/>
      <c r="E174" s="263"/>
      <c r="F174" s="266" t="s">
        <v>921</v>
      </c>
      <c r="G174" s="267">
        <v>0.15</v>
      </c>
      <c r="H174" s="267"/>
      <c r="I174" s="276">
        <v>27</v>
      </c>
    </row>
    <row r="175" spans="1:9" ht="18" x14ac:dyDescent="0.3">
      <c r="A175" s="274" t="s">
        <v>1107</v>
      </c>
      <c r="B175" s="261"/>
      <c r="C175" s="265" t="s">
        <v>1074</v>
      </c>
      <c r="D175" s="263"/>
      <c r="E175" s="263"/>
      <c r="F175" s="266" t="s">
        <v>921</v>
      </c>
      <c r="G175" s="267">
        <v>0.3</v>
      </c>
      <c r="H175" s="267"/>
      <c r="I175" s="276">
        <v>54</v>
      </c>
    </row>
    <row r="176" spans="1:9" ht="69" customHeight="1" x14ac:dyDescent="0.3">
      <c r="A176" s="274" t="s">
        <v>1108</v>
      </c>
      <c r="B176" s="261" t="s">
        <v>1070</v>
      </c>
      <c r="C176" s="262" t="s">
        <v>1071</v>
      </c>
      <c r="D176" s="263"/>
      <c r="E176" s="263" t="s">
        <v>1109</v>
      </c>
      <c r="F176" s="263" t="s">
        <v>571</v>
      </c>
      <c r="G176" s="264">
        <v>1</v>
      </c>
      <c r="H176" s="264"/>
      <c r="I176" s="275">
        <v>1285.3</v>
      </c>
    </row>
    <row r="177" spans="1:9" ht="18" x14ac:dyDescent="0.3">
      <c r="A177" s="274" t="s">
        <v>1110</v>
      </c>
      <c r="B177" s="261"/>
      <c r="C177" s="265" t="s">
        <v>1074</v>
      </c>
      <c r="D177" s="263"/>
      <c r="E177" s="263"/>
      <c r="F177" s="266" t="s">
        <v>921</v>
      </c>
      <c r="G177" s="267">
        <v>0.3</v>
      </c>
      <c r="H177" s="267"/>
      <c r="I177" s="276">
        <v>385.59</v>
      </c>
    </row>
    <row r="178" spans="1:9" ht="18" x14ac:dyDescent="0.3">
      <c r="A178" s="274" t="s">
        <v>1111</v>
      </c>
      <c r="B178" s="261"/>
      <c r="C178" s="265" t="s">
        <v>926</v>
      </c>
      <c r="D178" s="263"/>
      <c r="E178" s="263"/>
      <c r="F178" s="266" t="s">
        <v>921</v>
      </c>
      <c r="G178" s="267">
        <v>0.15</v>
      </c>
      <c r="H178" s="267"/>
      <c r="I178" s="276">
        <v>192.79499999999999</v>
      </c>
    </row>
    <row r="179" spans="1:9" ht="73.95" customHeight="1" x14ac:dyDescent="0.3">
      <c r="A179" s="274" t="s">
        <v>1112</v>
      </c>
      <c r="B179" s="261" t="s">
        <v>1070</v>
      </c>
      <c r="C179" s="262" t="s">
        <v>1071</v>
      </c>
      <c r="D179" s="263"/>
      <c r="E179" s="263" t="s">
        <v>1113</v>
      </c>
      <c r="F179" s="263" t="s">
        <v>571</v>
      </c>
      <c r="G179" s="264">
        <v>1</v>
      </c>
      <c r="H179" s="264"/>
      <c r="I179" s="275">
        <v>101.4</v>
      </c>
    </row>
    <row r="180" spans="1:9" ht="18" x14ac:dyDescent="0.3">
      <c r="A180" s="274" t="s">
        <v>1114</v>
      </c>
      <c r="B180" s="261"/>
      <c r="C180" s="265" t="s">
        <v>926</v>
      </c>
      <c r="D180" s="263"/>
      <c r="E180" s="263"/>
      <c r="F180" s="266" t="s">
        <v>921</v>
      </c>
      <c r="G180" s="267">
        <v>0.15</v>
      </c>
      <c r="H180" s="267"/>
      <c r="I180" s="276">
        <v>15.21</v>
      </c>
    </row>
    <row r="181" spans="1:9" ht="18" x14ac:dyDescent="0.3">
      <c r="A181" s="274" t="s">
        <v>1115</v>
      </c>
      <c r="B181" s="261"/>
      <c r="C181" s="265" t="s">
        <v>1074</v>
      </c>
      <c r="D181" s="263"/>
      <c r="E181" s="263"/>
      <c r="F181" s="266" t="s">
        <v>921</v>
      </c>
      <c r="G181" s="267">
        <v>0.3</v>
      </c>
      <c r="H181" s="267"/>
      <c r="I181" s="276">
        <v>30.42</v>
      </c>
    </row>
    <row r="182" spans="1:9" ht="78" customHeight="1" x14ac:dyDescent="0.3">
      <c r="A182" s="274" t="s">
        <v>1116</v>
      </c>
      <c r="B182" s="261" t="s">
        <v>1070</v>
      </c>
      <c r="C182" s="262" t="s">
        <v>1071</v>
      </c>
      <c r="D182" s="263"/>
      <c r="E182" s="263" t="s">
        <v>1117</v>
      </c>
      <c r="F182" s="263" t="s">
        <v>571</v>
      </c>
      <c r="G182" s="264">
        <v>1</v>
      </c>
      <c r="H182" s="264"/>
      <c r="I182" s="275">
        <v>23.1</v>
      </c>
    </row>
    <row r="183" spans="1:9" ht="18" x14ac:dyDescent="0.3">
      <c r="A183" s="274" t="s">
        <v>1118</v>
      </c>
      <c r="B183" s="261"/>
      <c r="C183" s="265" t="s">
        <v>1074</v>
      </c>
      <c r="D183" s="263"/>
      <c r="E183" s="263"/>
      <c r="F183" s="266" t="s">
        <v>921</v>
      </c>
      <c r="G183" s="267">
        <v>0.3</v>
      </c>
      <c r="H183" s="267"/>
      <c r="I183" s="276">
        <v>6.93</v>
      </c>
    </row>
    <row r="184" spans="1:9" ht="18" x14ac:dyDescent="0.3">
      <c r="A184" s="274" t="s">
        <v>1119</v>
      </c>
      <c r="B184" s="261"/>
      <c r="C184" s="265" t="s">
        <v>926</v>
      </c>
      <c r="D184" s="263"/>
      <c r="E184" s="263"/>
      <c r="F184" s="266" t="s">
        <v>921</v>
      </c>
      <c r="G184" s="267">
        <v>0.15</v>
      </c>
      <c r="H184" s="267"/>
      <c r="I184" s="276">
        <v>3.4649999999999999</v>
      </c>
    </row>
    <row r="185" spans="1:9" ht="79.95" customHeight="1" x14ac:dyDescent="0.3">
      <c r="A185" s="274" t="s">
        <v>1120</v>
      </c>
      <c r="B185" s="261" t="s">
        <v>1070</v>
      </c>
      <c r="C185" s="262" t="s">
        <v>1071</v>
      </c>
      <c r="D185" s="263"/>
      <c r="E185" s="263" t="s">
        <v>1121</v>
      </c>
      <c r="F185" s="263" t="s">
        <v>571</v>
      </c>
      <c r="G185" s="264">
        <v>1</v>
      </c>
      <c r="H185" s="264"/>
      <c r="I185" s="275">
        <v>18.5</v>
      </c>
    </row>
    <row r="186" spans="1:9" ht="18" x14ac:dyDescent="0.3">
      <c r="A186" s="274" t="s">
        <v>1122</v>
      </c>
      <c r="B186" s="261"/>
      <c r="C186" s="265" t="s">
        <v>926</v>
      </c>
      <c r="D186" s="263"/>
      <c r="E186" s="263"/>
      <c r="F186" s="266" t="s">
        <v>921</v>
      </c>
      <c r="G186" s="267">
        <v>0.15</v>
      </c>
      <c r="H186" s="267"/>
      <c r="I186" s="276">
        <v>2.7749999999999999</v>
      </c>
    </row>
    <row r="187" spans="1:9" ht="18" x14ac:dyDescent="0.3">
      <c r="A187" s="274" t="s">
        <v>1123</v>
      </c>
      <c r="B187" s="261"/>
      <c r="C187" s="265" t="s">
        <v>1074</v>
      </c>
      <c r="D187" s="263"/>
      <c r="E187" s="263"/>
      <c r="F187" s="266" t="s">
        <v>921</v>
      </c>
      <c r="G187" s="267">
        <v>0.3</v>
      </c>
      <c r="H187" s="267"/>
      <c r="I187" s="276">
        <v>5.55</v>
      </c>
    </row>
    <row r="188" spans="1:9" ht="36" x14ac:dyDescent="0.3">
      <c r="A188" s="274" t="s">
        <v>1124</v>
      </c>
      <c r="B188" s="261" t="s">
        <v>1070</v>
      </c>
      <c r="C188" s="262" t="s">
        <v>1071</v>
      </c>
      <c r="D188" s="263"/>
      <c r="E188" s="263" t="s">
        <v>1125</v>
      </c>
      <c r="F188" s="263" t="s">
        <v>571</v>
      </c>
      <c r="G188" s="264">
        <v>1</v>
      </c>
      <c r="H188" s="264"/>
      <c r="I188" s="275">
        <v>253.5</v>
      </c>
    </row>
    <row r="189" spans="1:9" ht="18" x14ac:dyDescent="0.3">
      <c r="A189" s="274" t="s">
        <v>1126</v>
      </c>
      <c r="B189" s="261"/>
      <c r="C189" s="265" t="s">
        <v>1074</v>
      </c>
      <c r="D189" s="263"/>
      <c r="E189" s="263"/>
      <c r="F189" s="266" t="s">
        <v>921</v>
      </c>
      <c r="G189" s="267">
        <v>0.3</v>
      </c>
      <c r="H189" s="267"/>
      <c r="I189" s="276">
        <v>76.05</v>
      </c>
    </row>
    <row r="190" spans="1:9" ht="18" x14ac:dyDescent="0.3">
      <c r="A190" s="274" t="s">
        <v>1127</v>
      </c>
      <c r="B190" s="261"/>
      <c r="C190" s="265" t="s">
        <v>926</v>
      </c>
      <c r="D190" s="263"/>
      <c r="E190" s="263"/>
      <c r="F190" s="266" t="s">
        <v>921</v>
      </c>
      <c r="G190" s="267">
        <v>0.15</v>
      </c>
      <c r="H190" s="267"/>
      <c r="I190" s="276">
        <v>38.024999999999999</v>
      </c>
    </row>
    <row r="191" spans="1:9" ht="76.95" customHeight="1" x14ac:dyDescent="0.3">
      <c r="A191" s="274" t="s">
        <v>1128</v>
      </c>
      <c r="B191" s="261" t="s">
        <v>1070</v>
      </c>
      <c r="C191" s="262" t="s">
        <v>1071</v>
      </c>
      <c r="D191" s="263"/>
      <c r="E191" s="263" t="s">
        <v>1129</v>
      </c>
      <c r="F191" s="263" t="s">
        <v>571</v>
      </c>
      <c r="G191" s="264">
        <v>1</v>
      </c>
      <c r="H191" s="264"/>
      <c r="I191" s="275">
        <v>9391.9419999999991</v>
      </c>
    </row>
    <row r="192" spans="1:9" ht="36" x14ac:dyDescent="0.3">
      <c r="A192" s="274" t="s">
        <v>1130</v>
      </c>
      <c r="B192" s="261"/>
      <c r="C192" s="265" t="s">
        <v>1131</v>
      </c>
      <c r="D192" s="263"/>
      <c r="E192" s="263" t="s">
        <v>1132</v>
      </c>
      <c r="F192" s="266" t="s">
        <v>921</v>
      </c>
      <c r="G192" s="267">
        <v>0.3</v>
      </c>
      <c r="H192" s="267"/>
      <c r="I192" s="276">
        <v>2817.5830000000001</v>
      </c>
    </row>
    <row r="193" spans="1:9" ht="18" x14ac:dyDescent="0.3">
      <c r="A193" s="274" t="s">
        <v>1133</v>
      </c>
      <c r="B193" s="261"/>
      <c r="C193" s="265" t="s">
        <v>926</v>
      </c>
      <c r="D193" s="263"/>
      <c r="E193" s="263" t="s">
        <v>1134</v>
      </c>
      <c r="F193" s="266" t="s">
        <v>921</v>
      </c>
      <c r="G193" s="267">
        <v>0.15</v>
      </c>
      <c r="H193" s="267"/>
      <c r="I193" s="276">
        <v>1408.7909999999999</v>
      </c>
    </row>
    <row r="194" spans="1:9" ht="72" customHeight="1" x14ac:dyDescent="0.3">
      <c r="A194" s="274" t="s">
        <v>1135</v>
      </c>
      <c r="B194" s="261" t="s">
        <v>1070</v>
      </c>
      <c r="C194" s="262" t="s">
        <v>1071</v>
      </c>
      <c r="D194" s="263"/>
      <c r="E194" s="263" t="s">
        <v>1136</v>
      </c>
      <c r="F194" s="263" t="s">
        <v>571</v>
      </c>
      <c r="G194" s="264">
        <v>1</v>
      </c>
      <c r="H194" s="264"/>
      <c r="I194" s="275">
        <v>227.4</v>
      </c>
    </row>
    <row r="195" spans="1:9" ht="18" x14ac:dyDescent="0.3">
      <c r="A195" s="274" t="s">
        <v>1137</v>
      </c>
      <c r="B195" s="261"/>
      <c r="C195" s="265" t="s">
        <v>926</v>
      </c>
      <c r="D195" s="263"/>
      <c r="E195" s="263" t="s">
        <v>1134</v>
      </c>
      <c r="F195" s="266" t="s">
        <v>921</v>
      </c>
      <c r="G195" s="267">
        <v>0.15</v>
      </c>
      <c r="H195" s="267"/>
      <c r="I195" s="276">
        <v>34.11</v>
      </c>
    </row>
    <row r="196" spans="1:9" ht="54" x14ac:dyDescent="0.3">
      <c r="A196" s="274" t="s">
        <v>1138</v>
      </c>
      <c r="B196" s="261"/>
      <c r="C196" s="265" t="s">
        <v>1131</v>
      </c>
      <c r="D196" s="263"/>
      <c r="E196" s="263" t="s">
        <v>1139</v>
      </c>
      <c r="F196" s="266" t="s">
        <v>921</v>
      </c>
      <c r="G196" s="267">
        <v>0.3</v>
      </c>
      <c r="H196" s="267"/>
      <c r="I196" s="276">
        <v>68.22</v>
      </c>
    </row>
    <row r="197" spans="1:9" ht="69" customHeight="1" x14ac:dyDescent="0.3">
      <c r="A197" s="274" t="s">
        <v>1140</v>
      </c>
      <c r="B197" s="261" t="s">
        <v>1070</v>
      </c>
      <c r="C197" s="262" t="s">
        <v>1071</v>
      </c>
      <c r="D197" s="263"/>
      <c r="E197" s="263" t="s">
        <v>1141</v>
      </c>
      <c r="F197" s="263" t="s">
        <v>571</v>
      </c>
      <c r="G197" s="264">
        <v>1</v>
      </c>
      <c r="H197" s="264"/>
      <c r="I197" s="275">
        <v>185.9</v>
      </c>
    </row>
    <row r="198" spans="1:9" ht="54" x14ac:dyDescent="0.3">
      <c r="A198" s="274" t="s">
        <v>1142</v>
      </c>
      <c r="B198" s="261"/>
      <c r="C198" s="265" t="s">
        <v>1131</v>
      </c>
      <c r="D198" s="263"/>
      <c r="E198" s="263" t="s">
        <v>1143</v>
      </c>
      <c r="F198" s="266" t="s">
        <v>921</v>
      </c>
      <c r="G198" s="267">
        <v>0.3</v>
      </c>
      <c r="H198" s="267"/>
      <c r="I198" s="276">
        <v>55.77</v>
      </c>
    </row>
    <row r="199" spans="1:9" ht="18" x14ac:dyDescent="0.3">
      <c r="A199" s="274" t="s">
        <v>1144</v>
      </c>
      <c r="B199" s="261"/>
      <c r="C199" s="265" t="s">
        <v>926</v>
      </c>
      <c r="D199" s="263"/>
      <c r="E199" s="263" t="s">
        <v>1134</v>
      </c>
      <c r="F199" s="266" t="s">
        <v>921</v>
      </c>
      <c r="G199" s="267">
        <v>0.15</v>
      </c>
      <c r="H199" s="267"/>
      <c r="I199" s="276">
        <v>27.885000000000002</v>
      </c>
    </row>
    <row r="200" spans="1:9" ht="78" customHeight="1" x14ac:dyDescent="0.3">
      <c r="A200" s="274" t="s">
        <v>1145</v>
      </c>
      <c r="B200" s="261" t="s">
        <v>1070</v>
      </c>
      <c r="C200" s="262" t="s">
        <v>1071</v>
      </c>
      <c r="D200" s="263"/>
      <c r="E200" s="263" t="s">
        <v>1146</v>
      </c>
      <c r="F200" s="263" t="s">
        <v>571</v>
      </c>
      <c r="G200" s="264">
        <v>1</v>
      </c>
      <c r="H200" s="264"/>
      <c r="I200" s="275">
        <v>65.7</v>
      </c>
    </row>
    <row r="201" spans="1:9" ht="18" x14ac:dyDescent="0.3">
      <c r="A201" s="274" t="s">
        <v>1147</v>
      </c>
      <c r="B201" s="261"/>
      <c r="C201" s="265" t="s">
        <v>926</v>
      </c>
      <c r="D201" s="263"/>
      <c r="E201" s="263" t="s">
        <v>1134</v>
      </c>
      <c r="F201" s="266" t="s">
        <v>921</v>
      </c>
      <c r="G201" s="267">
        <v>0.15</v>
      </c>
      <c r="H201" s="267"/>
      <c r="I201" s="276">
        <v>9.8550000000000004</v>
      </c>
    </row>
    <row r="202" spans="1:9" ht="36" x14ac:dyDescent="0.3">
      <c r="A202" s="274" t="s">
        <v>1148</v>
      </c>
      <c r="B202" s="261"/>
      <c r="C202" s="265" t="s">
        <v>1131</v>
      </c>
      <c r="D202" s="263"/>
      <c r="E202" s="263" t="s">
        <v>1149</v>
      </c>
      <c r="F202" s="266" t="s">
        <v>921</v>
      </c>
      <c r="G202" s="267">
        <v>0.3</v>
      </c>
      <c r="H202" s="267"/>
      <c r="I202" s="276">
        <v>19.71</v>
      </c>
    </row>
    <row r="203" spans="1:9" ht="72" customHeight="1" x14ac:dyDescent="0.3">
      <c r="A203" s="274" t="s">
        <v>1150</v>
      </c>
      <c r="B203" s="261" t="s">
        <v>1070</v>
      </c>
      <c r="C203" s="262" t="s">
        <v>1071</v>
      </c>
      <c r="D203" s="263"/>
      <c r="E203" s="263" t="s">
        <v>1151</v>
      </c>
      <c r="F203" s="263" t="s">
        <v>571</v>
      </c>
      <c r="G203" s="264">
        <v>1</v>
      </c>
      <c r="H203" s="264"/>
      <c r="I203" s="275">
        <v>33</v>
      </c>
    </row>
    <row r="204" spans="1:9" ht="54" x14ac:dyDescent="0.3">
      <c r="A204" s="274" t="s">
        <v>1152</v>
      </c>
      <c r="B204" s="261"/>
      <c r="C204" s="265" t="s">
        <v>1131</v>
      </c>
      <c r="D204" s="263"/>
      <c r="E204" s="263" t="s">
        <v>1153</v>
      </c>
      <c r="F204" s="266" t="s">
        <v>921</v>
      </c>
      <c r="G204" s="267">
        <v>0.3</v>
      </c>
      <c r="H204" s="267"/>
      <c r="I204" s="276">
        <v>9.9</v>
      </c>
    </row>
    <row r="205" spans="1:9" ht="18" x14ac:dyDescent="0.3">
      <c r="A205" s="274" t="s">
        <v>1154</v>
      </c>
      <c r="B205" s="261"/>
      <c r="C205" s="265" t="s">
        <v>926</v>
      </c>
      <c r="D205" s="263"/>
      <c r="E205" s="263" t="s">
        <v>1134</v>
      </c>
      <c r="F205" s="266" t="s">
        <v>921</v>
      </c>
      <c r="G205" s="267">
        <v>0.15</v>
      </c>
      <c r="H205" s="267"/>
      <c r="I205" s="276">
        <v>4.95</v>
      </c>
    </row>
    <row r="206" spans="1:9" ht="64.95" customHeight="1" x14ac:dyDescent="0.3">
      <c r="A206" s="274" t="s">
        <v>1155</v>
      </c>
      <c r="B206" s="261" t="s">
        <v>1070</v>
      </c>
      <c r="C206" s="262" t="s">
        <v>1071</v>
      </c>
      <c r="D206" s="263"/>
      <c r="E206" s="263" t="s">
        <v>1156</v>
      </c>
      <c r="F206" s="263" t="s">
        <v>571</v>
      </c>
      <c r="G206" s="264">
        <v>1</v>
      </c>
      <c r="H206" s="264"/>
      <c r="I206" s="275">
        <v>1203.0999999999999</v>
      </c>
    </row>
    <row r="207" spans="1:9" ht="18" x14ac:dyDescent="0.3">
      <c r="A207" s="274" t="s">
        <v>1157</v>
      </c>
      <c r="B207" s="261"/>
      <c r="C207" s="265" t="s">
        <v>926</v>
      </c>
      <c r="D207" s="263"/>
      <c r="E207" s="263" t="s">
        <v>1134</v>
      </c>
      <c r="F207" s="266" t="s">
        <v>921</v>
      </c>
      <c r="G207" s="267">
        <v>0.15</v>
      </c>
      <c r="H207" s="267"/>
      <c r="I207" s="276">
        <v>180.465</v>
      </c>
    </row>
    <row r="208" spans="1:9" ht="36" x14ac:dyDescent="0.3">
      <c r="A208" s="274" t="s">
        <v>1158</v>
      </c>
      <c r="B208" s="261"/>
      <c r="C208" s="265" t="s">
        <v>1131</v>
      </c>
      <c r="D208" s="263"/>
      <c r="E208" s="263" t="s">
        <v>1159</v>
      </c>
      <c r="F208" s="266" t="s">
        <v>921</v>
      </c>
      <c r="G208" s="267">
        <v>0.3</v>
      </c>
      <c r="H208" s="267"/>
      <c r="I208" s="276">
        <v>360.93</v>
      </c>
    </row>
    <row r="209" spans="1:9" ht="61.95" customHeight="1" x14ac:dyDescent="0.3">
      <c r="A209" s="274" t="s">
        <v>1160</v>
      </c>
      <c r="B209" s="261" t="s">
        <v>1070</v>
      </c>
      <c r="C209" s="262" t="s">
        <v>1071</v>
      </c>
      <c r="D209" s="263"/>
      <c r="E209" s="263" t="s">
        <v>1161</v>
      </c>
      <c r="F209" s="263" t="s">
        <v>571</v>
      </c>
      <c r="G209" s="264">
        <v>1</v>
      </c>
      <c r="H209" s="264"/>
      <c r="I209" s="275">
        <v>104.1</v>
      </c>
    </row>
    <row r="210" spans="1:9" ht="54" x14ac:dyDescent="0.3">
      <c r="A210" s="274" t="s">
        <v>1162</v>
      </c>
      <c r="B210" s="261"/>
      <c r="C210" s="265" t="s">
        <v>1131</v>
      </c>
      <c r="D210" s="263"/>
      <c r="E210" s="263" t="s">
        <v>1163</v>
      </c>
      <c r="F210" s="266" t="s">
        <v>921</v>
      </c>
      <c r="G210" s="267">
        <v>0.3</v>
      </c>
      <c r="H210" s="267"/>
      <c r="I210" s="276">
        <v>31.23</v>
      </c>
    </row>
    <row r="211" spans="1:9" ht="18" x14ac:dyDescent="0.3">
      <c r="A211" s="274" t="s">
        <v>1164</v>
      </c>
      <c r="B211" s="261"/>
      <c r="C211" s="265" t="s">
        <v>926</v>
      </c>
      <c r="D211" s="263"/>
      <c r="E211" s="263" t="s">
        <v>1134</v>
      </c>
      <c r="F211" s="266" t="s">
        <v>921</v>
      </c>
      <c r="G211" s="267">
        <v>0.15</v>
      </c>
      <c r="H211" s="267"/>
      <c r="I211" s="276">
        <v>15.615</v>
      </c>
    </row>
    <row r="212" spans="1:9" ht="18" x14ac:dyDescent="0.3">
      <c r="A212" s="274" t="s">
        <v>1165</v>
      </c>
      <c r="B212" s="261" t="s">
        <v>1166</v>
      </c>
      <c r="C212" s="262" t="s">
        <v>1167</v>
      </c>
      <c r="D212" s="263"/>
      <c r="E212" s="263"/>
      <c r="F212" s="263" t="s">
        <v>571</v>
      </c>
      <c r="G212" s="264">
        <v>1</v>
      </c>
      <c r="H212" s="264"/>
      <c r="I212" s="275">
        <v>0</v>
      </c>
    </row>
    <row r="213" spans="1:9" ht="18" x14ac:dyDescent="0.3">
      <c r="A213" s="274" t="s">
        <v>1168</v>
      </c>
      <c r="B213" s="261"/>
      <c r="C213" s="265" t="s">
        <v>1169</v>
      </c>
      <c r="D213" s="263"/>
      <c r="E213" s="263"/>
      <c r="F213" s="266" t="s">
        <v>921</v>
      </c>
      <c r="G213" s="267">
        <v>0.3</v>
      </c>
      <c r="H213" s="267"/>
      <c r="I213" s="276">
        <v>0</v>
      </c>
    </row>
    <row r="214" spans="1:9" ht="18" x14ac:dyDescent="0.3">
      <c r="A214" s="274" t="s">
        <v>1170</v>
      </c>
      <c r="B214" s="261"/>
      <c r="C214" s="265" t="s">
        <v>926</v>
      </c>
      <c r="D214" s="263"/>
      <c r="E214" s="263"/>
      <c r="F214" s="266" t="s">
        <v>921</v>
      </c>
      <c r="G214" s="267">
        <v>0.1</v>
      </c>
      <c r="H214" s="267"/>
      <c r="I214" s="276">
        <v>0</v>
      </c>
    </row>
    <row r="215" spans="1:9" ht="75" customHeight="1" x14ac:dyDescent="0.3">
      <c r="A215" s="274" t="s">
        <v>1171</v>
      </c>
      <c r="B215" s="261" t="s">
        <v>1166</v>
      </c>
      <c r="C215" s="262" t="s">
        <v>1167</v>
      </c>
      <c r="D215" s="263"/>
      <c r="E215" s="263" t="s">
        <v>1172</v>
      </c>
      <c r="F215" s="263" t="s">
        <v>571</v>
      </c>
      <c r="G215" s="264">
        <v>1</v>
      </c>
      <c r="H215" s="264"/>
      <c r="I215" s="275">
        <v>170.8</v>
      </c>
    </row>
    <row r="216" spans="1:9" ht="18" x14ac:dyDescent="0.3">
      <c r="A216" s="274" t="s">
        <v>1173</v>
      </c>
      <c r="B216" s="261"/>
      <c r="C216" s="265" t="s">
        <v>926</v>
      </c>
      <c r="D216" s="263"/>
      <c r="E216" s="263"/>
      <c r="F216" s="266" t="s">
        <v>921</v>
      </c>
      <c r="G216" s="267">
        <v>0.1</v>
      </c>
      <c r="H216" s="267"/>
      <c r="I216" s="276">
        <v>17.079999999999998</v>
      </c>
    </row>
    <row r="217" spans="1:9" ht="18" x14ac:dyDescent="0.3">
      <c r="A217" s="274" t="s">
        <v>1174</v>
      </c>
      <c r="B217" s="261"/>
      <c r="C217" s="265" t="s">
        <v>1169</v>
      </c>
      <c r="D217" s="263"/>
      <c r="E217" s="263"/>
      <c r="F217" s="266" t="s">
        <v>921</v>
      </c>
      <c r="G217" s="267">
        <v>0.3</v>
      </c>
      <c r="H217" s="267"/>
      <c r="I217" s="276">
        <v>51.24</v>
      </c>
    </row>
    <row r="218" spans="1:9" ht="67.05" customHeight="1" x14ac:dyDescent="0.3">
      <c r="A218" s="274" t="s">
        <v>1175</v>
      </c>
      <c r="B218" s="261" t="s">
        <v>1166</v>
      </c>
      <c r="C218" s="262" t="s">
        <v>1167</v>
      </c>
      <c r="D218" s="263"/>
      <c r="E218" s="263" t="s">
        <v>1176</v>
      </c>
      <c r="F218" s="263" t="s">
        <v>571</v>
      </c>
      <c r="G218" s="264">
        <v>1</v>
      </c>
      <c r="H218" s="264"/>
      <c r="I218" s="275">
        <v>282.81</v>
      </c>
    </row>
    <row r="219" spans="1:9" ht="36" x14ac:dyDescent="0.3">
      <c r="A219" s="274" t="s">
        <v>1177</v>
      </c>
      <c r="B219" s="261"/>
      <c r="C219" s="265" t="s">
        <v>1169</v>
      </c>
      <c r="D219" s="263"/>
      <c r="E219" s="263" t="s">
        <v>1178</v>
      </c>
      <c r="F219" s="266" t="s">
        <v>921</v>
      </c>
      <c r="G219" s="267">
        <v>0.3</v>
      </c>
      <c r="H219" s="267"/>
      <c r="I219" s="276">
        <v>84.843000000000004</v>
      </c>
    </row>
    <row r="220" spans="1:9" ht="18" x14ac:dyDescent="0.3">
      <c r="A220" s="274" t="s">
        <v>1179</v>
      </c>
      <c r="B220" s="261"/>
      <c r="C220" s="265" t="s">
        <v>926</v>
      </c>
      <c r="D220" s="263"/>
      <c r="E220" s="263" t="s">
        <v>1134</v>
      </c>
      <c r="F220" s="266" t="s">
        <v>921</v>
      </c>
      <c r="G220" s="267">
        <v>0.1</v>
      </c>
      <c r="H220" s="267"/>
      <c r="I220" s="276">
        <v>28.280999999999999</v>
      </c>
    </row>
    <row r="221" spans="1:9" ht="36" x14ac:dyDescent="0.3">
      <c r="A221" s="274" t="s">
        <v>1180</v>
      </c>
      <c r="B221" s="261" t="s">
        <v>1181</v>
      </c>
      <c r="C221" s="262" t="s">
        <v>569</v>
      </c>
      <c r="D221" s="263"/>
      <c r="E221" s="263"/>
      <c r="F221" s="263" t="s">
        <v>571</v>
      </c>
      <c r="G221" s="264">
        <v>1</v>
      </c>
      <c r="H221" s="264"/>
      <c r="I221" s="275">
        <v>0</v>
      </c>
    </row>
    <row r="222" spans="1:9" ht="18" x14ac:dyDescent="0.3">
      <c r="A222" s="274" t="s">
        <v>1182</v>
      </c>
      <c r="B222" s="261"/>
      <c r="C222" s="265" t="s">
        <v>927</v>
      </c>
      <c r="D222" s="263"/>
      <c r="E222" s="263"/>
      <c r="F222" s="266" t="s">
        <v>921</v>
      </c>
      <c r="G222" s="267">
        <v>0.25</v>
      </c>
      <c r="H222" s="269"/>
      <c r="I222" s="277">
        <v>0</v>
      </c>
    </row>
    <row r="223" spans="1:9" ht="18" x14ac:dyDescent="0.3">
      <c r="A223" s="274" t="s">
        <v>1183</v>
      </c>
      <c r="B223" s="261"/>
      <c r="C223" s="265" t="s">
        <v>924</v>
      </c>
      <c r="D223" s="263"/>
      <c r="E223" s="263"/>
      <c r="F223" s="266" t="s">
        <v>921</v>
      </c>
      <c r="G223" s="267">
        <v>0.15</v>
      </c>
      <c r="H223" s="267"/>
      <c r="I223" s="276">
        <v>0</v>
      </c>
    </row>
    <row r="224" spans="1:9" ht="18" x14ac:dyDescent="0.3">
      <c r="A224" s="274" t="s">
        <v>1184</v>
      </c>
      <c r="B224" s="261"/>
      <c r="C224" s="268" t="s">
        <v>929</v>
      </c>
      <c r="D224" s="263"/>
      <c r="E224" s="263"/>
      <c r="F224" s="266" t="s">
        <v>921</v>
      </c>
      <c r="G224" s="267">
        <v>1.2</v>
      </c>
      <c r="H224" s="269"/>
      <c r="I224" s="277">
        <v>0</v>
      </c>
    </row>
    <row r="225" spans="1:9" ht="36" x14ac:dyDescent="0.3">
      <c r="A225" s="274" t="s">
        <v>1185</v>
      </c>
      <c r="B225" s="261"/>
      <c r="C225" s="268" t="s">
        <v>1186</v>
      </c>
      <c r="D225" s="263"/>
      <c r="E225" s="263"/>
      <c r="F225" s="266" t="s">
        <v>571</v>
      </c>
      <c r="G225" s="267">
        <v>1.07</v>
      </c>
      <c r="H225" s="269"/>
      <c r="I225" s="277">
        <v>0</v>
      </c>
    </row>
    <row r="226" spans="1:9" ht="36" x14ac:dyDescent="0.3">
      <c r="A226" s="274" t="s">
        <v>1187</v>
      </c>
      <c r="B226" s="261" t="s">
        <v>1181</v>
      </c>
      <c r="C226" s="262" t="s">
        <v>569</v>
      </c>
      <c r="D226" s="263"/>
      <c r="E226" s="263"/>
      <c r="F226" s="263" t="s">
        <v>571</v>
      </c>
      <c r="G226" s="264">
        <v>1</v>
      </c>
      <c r="H226" s="264"/>
      <c r="I226" s="275">
        <v>0</v>
      </c>
    </row>
    <row r="227" spans="1:9" ht="36" x14ac:dyDescent="0.3">
      <c r="A227" s="274" t="s">
        <v>1188</v>
      </c>
      <c r="B227" s="261"/>
      <c r="C227" s="268" t="s">
        <v>1189</v>
      </c>
      <c r="D227" s="263"/>
      <c r="E227" s="263"/>
      <c r="F227" s="266" t="s">
        <v>571</v>
      </c>
      <c r="G227" s="267">
        <v>1.07</v>
      </c>
      <c r="H227" s="269"/>
      <c r="I227" s="277">
        <v>0</v>
      </c>
    </row>
    <row r="228" spans="1:9" ht="18" x14ac:dyDescent="0.3">
      <c r="A228" s="274" t="s">
        <v>1190</v>
      </c>
      <c r="B228" s="261"/>
      <c r="C228" s="268" t="s">
        <v>929</v>
      </c>
      <c r="D228" s="263"/>
      <c r="E228" s="263"/>
      <c r="F228" s="266" t="s">
        <v>921</v>
      </c>
      <c r="G228" s="267">
        <v>1.2</v>
      </c>
      <c r="H228" s="269"/>
      <c r="I228" s="277">
        <v>0</v>
      </c>
    </row>
    <row r="229" spans="1:9" ht="18" x14ac:dyDescent="0.3">
      <c r="A229" s="274" t="s">
        <v>1191</v>
      </c>
      <c r="B229" s="261"/>
      <c r="C229" s="265" t="s">
        <v>924</v>
      </c>
      <c r="D229" s="263"/>
      <c r="E229" s="263"/>
      <c r="F229" s="266" t="s">
        <v>921</v>
      </c>
      <c r="G229" s="267">
        <v>0.15</v>
      </c>
      <c r="H229" s="267"/>
      <c r="I229" s="276">
        <v>0</v>
      </c>
    </row>
    <row r="230" spans="1:9" ht="18" x14ac:dyDescent="0.3">
      <c r="A230" s="274" t="s">
        <v>1192</v>
      </c>
      <c r="B230" s="261"/>
      <c r="C230" s="265" t="s">
        <v>927</v>
      </c>
      <c r="D230" s="263"/>
      <c r="E230" s="263"/>
      <c r="F230" s="266" t="s">
        <v>921</v>
      </c>
      <c r="G230" s="267">
        <v>0.25</v>
      </c>
      <c r="H230" s="269"/>
      <c r="I230" s="277">
        <v>0</v>
      </c>
    </row>
    <row r="231" spans="1:9" ht="36" x14ac:dyDescent="0.3">
      <c r="A231" s="274" t="s">
        <v>1193</v>
      </c>
      <c r="B231" s="261" t="s">
        <v>1181</v>
      </c>
      <c r="C231" s="262" t="s">
        <v>569</v>
      </c>
      <c r="D231" s="263"/>
      <c r="E231" s="263"/>
      <c r="F231" s="263" t="s">
        <v>571</v>
      </c>
      <c r="G231" s="264">
        <v>1</v>
      </c>
      <c r="H231" s="264"/>
      <c r="I231" s="275">
        <v>0</v>
      </c>
    </row>
    <row r="232" spans="1:9" ht="18" x14ac:dyDescent="0.3">
      <c r="A232" s="274" t="s">
        <v>1194</v>
      </c>
      <c r="B232" s="261"/>
      <c r="C232" s="265" t="s">
        <v>927</v>
      </c>
      <c r="D232" s="263"/>
      <c r="E232" s="263"/>
      <c r="F232" s="266" t="s">
        <v>921</v>
      </c>
      <c r="G232" s="267">
        <v>0.25</v>
      </c>
      <c r="H232" s="269"/>
      <c r="I232" s="277">
        <v>0</v>
      </c>
    </row>
    <row r="233" spans="1:9" ht="18" x14ac:dyDescent="0.3">
      <c r="A233" s="274" t="s">
        <v>1195</v>
      </c>
      <c r="B233" s="261"/>
      <c r="C233" s="265" t="s">
        <v>924</v>
      </c>
      <c r="D233" s="263"/>
      <c r="E233" s="263"/>
      <c r="F233" s="266" t="s">
        <v>921</v>
      </c>
      <c r="G233" s="267">
        <v>0.15</v>
      </c>
      <c r="H233" s="267"/>
      <c r="I233" s="276">
        <v>0</v>
      </c>
    </row>
    <row r="234" spans="1:9" ht="18" x14ac:dyDescent="0.3">
      <c r="A234" s="274" t="s">
        <v>1196</v>
      </c>
      <c r="B234" s="261"/>
      <c r="C234" s="268" t="s">
        <v>929</v>
      </c>
      <c r="D234" s="263"/>
      <c r="E234" s="263"/>
      <c r="F234" s="266" t="s">
        <v>921</v>
      </c>
      <c r="G234" s="267">
        <v>1.2</v>
      </c>
      <c r="H234" s="269"/>
      <c r="I234" s="277">
        <v>0</v>
      </c>
    </row>
    <row r="235" spans="1:9" ht="36" x14ac:dyDescent="0.3">
      <c r="A235" s="274" t="s">
        <v>1197</v>
      </c>
      <c r="B235" s="261"/>
      <c r="C235" s="268" t="s">
        <v>1186</v>
      </c>
      <c r="D235" s="263"/>
      <c r="E235" s="263"/>
      <c r="F235" s="266" t="s">
        <v>571</v>
      </c>
      <c r="G235" s="267">
        <v>1.07</v>
      </c>
      <c r="H235" s="269"/>
      <c r="I235" s="277">
        <v>0</v>
      </c>
    </row>
    <row r="236" spans="1:9" ht="36" x14ac:dyDescent="0.3">
      <c r="A236" s="274" t="s">
        <v>1198</v>
      </c>
      <c r="B236" s="261" t="s">
        <v>1181</v>
      </c>
      <c r="C236" s="262" t="s">
        <v>569</v>
      </c>
      <c r="D236" s="263"/>
      <c r="E236" s="263" t="s">
        <v>570</v>
      </c>
      <c r="F236" s="263" t="s">
        <v>571</v>
      </c>
      <c r="G236" s="264">
        <v>1</v>
      </c>
      <c r="H236" s="264"/>
      <c r="I236" s="275">
        <v>1163</v>
      </c>
    </row>
    <row r="237" spans="1:9" ht="72" x14ac:dyDescent="0.3">
      <c r="A237" s="274" t="s">
        <v>1199</v>
      </c>
      <c r="B237" s="261"/>
      <c r="C237" s="268" t="s">
        <v>1186</v>
      </c>
      <c r="D237" s="263"/>
      <c r="E237" s="263" t="s">
        <v>928</v>
      </c>
      <c r="F237" s="266" t="s">
        <v>571</v>
      </c>
      <c r="G237" s="267">
        <v>1.07</v>
      </c>
      <c r="H237" s="269"/>
      <c r="I237" s="277">
        <v>1244.4100000000001</v>
      </c>
    </row>
    <row r="238" spans="1:9" ht="18" x14ac:dyDescent="0.3">
      <c r="A238" s="274" t="s">
        <v>1200</v>
      </c>
      <c r="B238" s="261"/>
      <c r="C238" s="268" t="s">
        <v>929</v>
      </c>
      <c r="D238" s="263"/>
      <c r="E238" s="263"/>
      <c r="F238" s="266" t="s">
        <v>921</v>
      </c>
      <c r="G238" s="267">
        <v>1.2</v>
      </c>
      <c r="H238" s="269"/>
      <c r="I238" s="277">
        <v>1395.6</v>
      </c>
    </row>
    <row r="239" spans="1:9" ht="18" x14ac:dyDescent="0.3">
      <c r="A239" s="274" t="s">
        <v>1201</v>
      </c>
      <c r="B239" s="261"/>
      <c r="C239" s="265" t="s">
        <v>924</v>
      </c>
      <c r="D239" s="263"/>
      <c r="E239" s="263"/>
      <c r="F239" s="266" t="s">
        <v>921</v>
      </c>
      <c r="G239" s="267">
        <v>0.15</v>
      </c>
      <c r="H239" s="267"/>
      <c r="I239" s="276">
        <v>174.45</v>
      </c>
    </row>
    <row r="240" spans="1:9" ht="18" x14ac:dyDescent="0.3">
      <c r="A240" s="274" t="s">
        <v>1202</v>
      </c>
      <c r="B240" s="261"/>
      <c r="C240" s="265" t="s">
        <v>927</v>
      </c>
      <c r="D240" s="263"/>
      <c r="E240" s="263"/>
      <c r="F240" s="266" t="s">
        <v>921</v>
      </c>
      <c r="G240" s="267">
        <v>0.25</v>
      </c>
      <c r="H240" s="269"/>
      <c r="I240" s="277">
        <v>290.75</v>
      </c>
    </row>
    <row r="241" spans="1:9" ht="36" x14ac:dyDescent="0.3">
      <c r="A241" s="274" t="s">
        <v>1203</v>
      </c>
      <c r="B241" s="261" t="s">
        <v>1181</v>
      </c>
      <c r="C241" s="262" t="s">
        <v>569</v>
      </c>
      <c r="D241" s="263"/>
      <c r="E241" s="263" t="s">
        <v>572</v>
      </c>
      <c r="F241" s="263" t="s">
        <v>571</v>
      </c>
      <c r="G241" s="264">
        <v>1</v>
      </c>
      <c r="H241" s="264"/>
      <c r="I241" s="275">
        <v>593.5</v>
      </c>
    </row>
    <row r="242" spans="1:9" ht="18" x14ac:dyDescent="0.3">
      <c r="A242" s="274" t="s">
        <v>1204</v>
      </c>
      <c r="B242" s="261"/>
      <c r="C242" s="265" t="s">
        <v>927</v>
      </c>
      <c r="D242" s="263"/>
      <c r="E242" s="263"/>
      <c r="F242" s="266" t="s">
        <v>921</v>
      </c>
      <c r="G242" s="267">
        <v>0.25</v>
      </c>
      <c r="H242" s="269"/>
      <c r="I242" s="277">
        <v>148.375</v>
      </c>
    </row>
    <row r="243" spans="1:9" ht="18" x14ac:dyDescent="0.3">
      <c r="A243" s="274" t="s">
        <v>1205</v>
      </c>
      <c r="B243" s="261"/>
      <c r="C243" s="265" t="s">
        <v>924</v>
      </c>
      <c r="D243" s="263"/>
      <c r="E243" s="263"/>
      <c r="F243" s="266" t="s">
        <v>921</v>
      </c>
      <c r="G243" s="267">
        <v>0.15</v>
      </c>
      <c r="H243" s="267"/>
      <c r="I243" s="276">
        <v>89.025000000000006</v>
      </c>
    </row>
    <row r="244" spans="1:9" ht="18" x14ac:dyDescent="0.3">
      <c r="A244" s="274" t="s">
        <v>1206</v>
      </c>
      <c r="B244" s="261"/>
      <c r="C244" s="268" t="s">
        <v>929</v>
      </c>
      <c r="D244" s="263"/>
      <c r="E244" s="263"/>
      <c r="F244" s="266" t="s">
        <v>921</v>
      </c>
      <c r="G244" s="267">
        <v>1.2</v>
      </c>
      <c r="H244" s="269"/>
      <c r="I244" s="277">
        <v>712.2</v>
      </c>
    </row>
    <row r="245" spans="1:9" ht="36" x14ac:dyDescent="0.3">
      <c r="A245" s="274" t="s">
        <v>1207</v>
      </c>
      <c r="B245" s="261"/>
      <c r="C245" s="268" t="s">
        <v>1189</v>
      </c>
      <c r="D245" s="263"/>
      <c r="E245" s="263"/>
      <c r="F245" s="266" t="s">
        <v>571</v>
      </c>
      <c r="G245" s="267">
        <v>1.07</v>
      </c>
      <c r="H245" s="269"/>
      <c r="I245" s="277">
        <v>635.04499999999996</v>
      </c>
    </row>
    <row r="246" spans="1:9" ht="36" x14ac:dyDescent="0.3">
      <c r="A246" s="274" t="s">
        <v>1208</v>
      </c>
      <c r="B246" s="261" t="s">
        <v>1181</v>
      </c>
      <c r="C246" s="262" t="s">
        <v>569</v>
      </c>
      <c r="D246" s="263"/>
      <c r="E246" s="263" t="s">
        <v>573</v>
      </c>
      <c r="F246" s="263" t="s">
        <v>571</v>
      </c>
      <c r="G246" s="264">
        <v>1</v>
      </c>
      <c r="H246" s="264"/>
      <c r="I246" s="275">
        <v>46</v>
      </c>
    </row>
    <row r="247" spans="1:9" ht="36" x14ac:dyDescent="0.3">
      <c r="A247" s="274" t="s">
        <v>1209</v>
      </c>
      <c r="B247" s="261"/>
      <c r="C247" s="268" t="s">
        <v>1186</v>
      </c>
      <c r="D247" s="263"/>
      <c r="E247" s="263"/>
      <c r="F247" s="266" t="s">
        <v>571</v>
      </c>
      <c r="G247" s="267">
        <v>1.07</v>
      </c>
      <c r="H247" s="269"/>
      <c r="I247" s="277">
        <v>49.22</v>
      </c>
    </row>
    <row r="248" spans="1:9" ht="18" x14ac:dyDescent="0.3">
      <c r="A248" s="274" t="s">
        <v>1210</v>
      </c>
      <c r="B248" s="261"/>
      <c r="C248" s="268" t="s">
        <v>929</v>
      </c>
      <c r="D248" s="263"/>
      <c r="E248" s="263"/>
      <c r="F248" s="266" t="s">
        <v>921</v>
      </c>
      <c r="G248" s="267">
        <v>1.2</v>
      </c>
      <c r="H248" s="269"/>
      <c r="I248" s="277">
        <v>55.2</v>
      </c>
    </row>
    <row r="249" spans="1:9" ht="18" x14ac:dyDescent="0.3">
      <c r="A249" s="274" t="s">
        <v>1211</v>
      </c>
      <c r="B249" s="261"/>
      <c r="C249" s="265" t="s">
        <v>924</v>
      </c>
      <c r="D249" s="263"/>
      <c r="E249" s="263"/>
      <c r="F249" s="266" t="s">
        <v>921</v>
      </c>
      <c r="G249" s="267">
        <v>0.15</v>
      </c>
      <c r="H249" s="267"/>
      <c r="I249" s="276">
        <v>6.9</v>
      </c>
    </row>
    <row r="250" spans="1:9" ht="18" x14ac:dyDescent="0.3">
      <c r="A250" s="274" t="s">
        <v>1212</v>
      </c>
      <c r="B250" s="261"/>
      <c r="C250" s="265" t="s">
        <v>927</v>
      </c>
      <c r="D250" s="263"/>
      <c r="E250" s="263"/>
      <c r="F250" s="266" t="s">
        <v>921</v>
      </c>
      <c r="G250" s="267">
        <v>0.25</v>
      </c>
      <c r="H250" s="269"/>
      <c r="I250" s="277">
        <v>11.5</v>
      </c>
    </row>
    <row r="251" spans="1:9" ht="91.05" customHeight="1" x14ac:dyDescent="0.3">
      <c r="A251" s="274" t="s">
        <v>1213</v>
      </c>
      <c r="B251" s="261" t="s">
        <v>1181</v>
      </c>
      <c r="C251" s="262" t="s">
        <v>569</v>
      </c>
      <c r="D251" s="263"/>
      <c r="E251" s="263" t="s">
        <v>1214</v>
      </c>
      <c r="F251" s="263" t="s">
        <v>571</v>
      </c>
      <c r="G251" s="264">
        <v>1</v>
      </c>
      <c r="H251" s="264"/>
      <c r="I251" s="275">
        <v>67.87</v>
      </c>
    </row>
    <row r="252" spans="1:9" ht="36" x14ac:dyDescent="0.3">
      <c r="A252" s="274" t="s">
        <v>1215</v>
      </c>
      <c r="B252" s="261"/>
      <c r="C252" s="265" t="s">
        <v>1216</v>
      </c>
      <c r="D252" s="263"/>
      <c r="E252" s="263" t="s">
        <v>1217</v>
      </c>
      <c r="F252" s="266" t="s">
        <v>921</v>
      </c>
      <c r="G252" s="267">
        <v>0.17699999999999999</v>
      </c>
      <c r="H252" s="269"/>
      <c r="I252" s="277">
        <v>12.013</v>
      </c>
    </row>
    <row r="253" spans="1:9" ht="18" x14ac:dyDescent="0.3">
      <c r="A253" s="274" t="s">
        <v>1218</v>
      </c>
      <c r="B253" s="261"/>
      <c r="C253" s="265" t="s">
        <v>924</v>
      </c>
      <c r="D253" s="263"/>
      <c r="E253" s="263"/>
      <c r="F253" s="266" t="s">
        <v>921</v>
      </c>
      <c r="G253" s="267">
        <v>0.15</v>
      </c>
      <c r="H253" s="267"/>
      <c r="I253" s="276">
        <v>10.180999999999999</v>
      </c>
    </row>
    <row r="254" spans="1:9" ht="18" x14ac:dyDescent="0.3">
      <c r="A254" s="274" t="s">
        <v>1219</v>
      </c>
      <c r="B254" s="261"/>
      <c r="C254" s="268" t="s">
        <v>929</v>
      </c>
      <c r="D254" s="263"/>
      <c r="E254" s="263"/>
      <c r="F254" s="266" t="s">
        <v>921</v>
      </c>
      <c r="G254" s="267">
        <v>1.2</v>
      </c>
      <c r="H254" s="269"/>
      <c r="I254" s="277">
        <v>244.33199999999999</v>
      </c>
    </row>
    <row r="255" spans="1:9" ht="54" x14ac:dyDescent="0.3">
      <c r="A255" s="274" t="s">
        <v>1220</v>
      </c>
      <c r="B255" s="261"/>
      <c r="C255" s="268" t="s">
        <v>1186</v>
      </c>
      <c r="D255" s="263"/>
      <c r="E255" s="263" t="s">
        <v>1221</v>
      </c>
      <c r="F255" s="266" t="s">
        <v>571</v>
      </c>
      <c r="G255" s="267">
        <v>1.07</v>
      </c>
      <c r="H255" s="269"/>
      <c r="I255" s="277">
        <v>72.620999999999995</v>
      </c>
    </row>
    <row r="256" spans="1:9" ht="85.95" customHeight="1" x14ac:dyDescent="0.3">
      <c r="A256" s="274" t="s">
        <v>1222</v>
      </c>
      <c r="B256" s="261" t="s">
        <v>1181</v>
      </c>
      <c r="C256" s="262" t="s">
        <v>569</v>
      </c>
      <c r="D256" s="263"/>
      <c r="E256" s="263" t="s">
        <v>1223</v>
      </c>
      <c r="F256" s="263" t="s">
        <v>571</v>
      </c>
      <c r="G256" s="264">
        <v>1</v>
      </c>
      <c r="H256" s="264"/>
      <c r="I256" s="275">
        <v>115.5</v>
      </c>
    </row>
    <row r="257" spans="1:9" ht="54" x14ac:dyDescent="0.3">
      <c r="A257" s="274" t="s">
        <v>1224</v>
      </c>
      <c r="B257" s="261"/>
      <c r="C257" s="268" t="s">
        <v>1186</v>
      </c>
      <c r="D257" s="263"/>
      <c r="E257" s="263" t="s">
        <v>1221</v>
      </c>
      <c r="F257" s="266" t="s">
        <v>571</v>
      </c>
      <c r="G257" s="267">
        <v>1.07</v>
      </c>
      <c r="H257" s="269"/>
      <c r="I257" s="277">
        <v>123.58499999999999</v>
      </c>
    </row>
    <row r="258" spans="1:9" ht="36" x14ac:dyDescent="0.3">
      <c r="A258" s="274" t="s">
        <v>1225</v>
      </c>
      <c r="B258" s="261"/>
      <c r="C258" s="268" t="s">
        <v>929</v>
      </c>
      <c r="D258" s="263"/>
      <c r="E258" s="263" t="s">
        <v>1226</v>
      </c>
      <c r="F258" s="266" t="s">
        <v>921</v>
      </c>
      <c r="G258" s="267">
        <v>1.2</v>
      </c>
      <c r="H258" s="269"/>
      <c r="I258" s="277">
        <v>415.8</v>
      </c>
    </row>
    <row r="259" spans="1:9" ht="18" x14ac:dyDescent="0.3">
      <c r="A259" s="274" t="s">
        <v>1227</v>
      </c>
      <c r="B259" s="261"/>
      <c r="C259" s="265" t="s">
        <v>924</v>
      </c>
      <c r="D259" s="263"/>
      <c r="E259" s="263"/>
      <c r="F259" s="266" t="s">
        <v>921</v>
      </c>
      <c r="G259" s="267">
        <v>0.15</v>
      </c>
      <c r="H259" s="267"/>
      <c r="I259" s="276">
        <v>17.324999999999999</v>
      </c>
    </row>
    <row r="260" spans="1:9" ht="18" x14ac:dyDescent="0.3">
      <c r="A260" s="274" t="s">
        <v>1228</v>
      </c>
      <c r="B260" s="261"/>
      <c r="C260" s="265" t="s">
        <v>927</v>
      </c>
      <c r="D260" s="263"/>
      <c r="E260" s="263"/>
      <c r="F260" s="266" t="s">
        <v>921</v>
      </c>
      <c r="G260" s="267">
        <v>0.25</v>
      </c>
      <c r="H260" s="269"/>
      <c r="I260" s="277">
        <v>28.875</v>
      </c>
    </row>
    <row r="261" spans="1:9" ht="96" customHeight="1" x14ac:dyDescent="0.3">
      <c r="A261" s="274" t="s">
        <v>1229</v>
      </c>
      <c r="B261" s="261" t="s">
        <v>1181</v>
      </c>
      <c r="C261" s="262" t="s">
        <v>569</v>
      </c>
      <c r="D261" s="263"/>
      <c r="E261" s="263" t="s">
        <v>1230</v>
      </c>
      <c r="F261" s="263" t="s">
        <v>571</v>
      </c>
      <c r="G261" s="264">
        <v>1</v>
      </c>
      <c r="H261" s="264"/>
      <c r="I261" s="275">
        <v>628.91</v>
      </c>
    </row>
    <row r="262" spans="1:9" ht="18" x14ac:dyDescent="0.3">
      <c r="A262" s="274" t="s">
        <v>1231</v>
      </c>
      <c r="B262" s="261"/>
      <c r="C262" s="265" t="s">
        <v>927</v>
      </c>
      <c r="D262" s="263"/>
      <c r="E262" s="263"/>
      <c r="F262" s="266" t="s">
        <v>921</v>
      </c>
      <c r="G262" s="267">
        <v>0.25</v>
      </c>
      <c r="H262" s="269"/>
      <c r="I262" s="277">
        <v>157.22800000000001</v>
      </c>
    </row>
    <row r="263" spans="1:9" ht="18" x14ac:dyDescent="0.3">
      <c r="A263" s="274" t="s">
        <v>1232</v>
      </c>
      <c r="B263" s="261"/>
      <c r="C263" s="265" t="s">
        <v>924</v>
      </c>
      <c r="D263" s="263"/>
      <c r="E263" s="263"/>
      <c r="F263" s="266" t="s">
        <v>921</v>
      </c>
      <c r="G263" s="267">
        <v>0.15</v>
      </c>
      <c r="H263" s="267"/>
      <c r="I263" s="276">
        <v>94.337000000000003</v>
      </c>
    </row>
    <row r="264" spans="1:9" ht="36" x14ac:dyDescent="0.3">
      <c r="A264" s="274" t="s">
        <v>1233</v>
      </c>
      <c r="B264" s="261"/>
      <c r="C264" s="268" t="s">
        <v>929</v>
      </c>
      <c r="D264" s="263"/>
      <c r="E264" s="263" t="s">
        <v>1226</v>
      </c>
      <c r="F264" s="266" t="s">
        <v>921</v>
      </c>
      <c r="G264" s="267">
        <v>1.2</v>
      </c>
      <c r="H264" s="269"/>
      <c r="I264" s="277">
        <v>2264.076</v>
      </c>
    </row>
    <row r="265" spans="1:9" ht="36" x14ac:dyDescent="0.3">
      <c r="A265" s="274" t="s">
        <v>1234</v>
      </c>
      <c r="B265" s="261"/>
      <c r="C265" s="268" t="s">
        <v>1189</v>
      </c>
      <c r="D265" s="263"/>
      <c r="E265" s="263"/>
      <c r="F265" s="266" t="s">
        <v>571</v>
      </c>
      <c r="G265" s="267">
        <v>1.07</v>
      </c>
      <c r="H265" s="269"/>
      <c r="I265" s="277">
        <v>672.93399999999997</v>
      </c>
    </row>
    <row r="266" spans="1:9" ht="85.05" customHeight="1" x14ac:dyDescent="0.3">
      <c r="A266" s="274" t="s">
        <v>1235</v>
      </c>
      <c r="B266" s="261" t="s">
        <v>1181</v>
      </c>
      <c r="C266" s="262" t="s">
        <v>569</v>
      </c>
      <c r="D266" s="263"/>
      <c r="E266" s="263" t="s">
        <v>1236</v>
      </c>
      <c r="F266" s="263" t="s">
        <v>571</v>
      </c>
      <c r="G266" s="264">
        <v>1</v>
      </c>
      <c r="H266" s="264"/>
      <c r="I266" s="275">
        <v>2.3199999999999998</v>
      </c>
    </row>
    <row r="267" spans="1:9" ht="54" x14ac:dyDescent="0.3">
      <c r="A267" s="274" t="s">
        <v>1237</v>
      </c>
      <c r="B267" s="261"/>
      <c r="C267" s="268" t="s">
        <v>1186</v>
      </c>
      <c r="D267" s="263"/>
      <c r="E267" s="263" t="s">
        <v>1221</v>
      </c>
      <c r="F267" s="266" t="s">
        <v>571</v>
      </c>
      <c r="G267" s="267">
        <v>1.07</v>
      </c>
      <c r="H267" s="269"/>
      <c r="I267" s="277">
        <v>2.4820000000000002</v>
      </c>
    </row>
    <row r="268" spans="1:9" ht="18" x14ac:dyDescent="0.3">
      <c r="A268" s="274" t="s">
        <v>1238</v>
      </c>
      <c r="B268" s="261"/>
      <c r="C268" s="268" t="s">
        <v>929</v>
      </c>
      <c r="D268" s="263"/>
      <c r="E268" s="263"/>
      <c r="F268" s="266" t="s">
        <v>921</v>
      </c>
      <c r="G268" s="267">
        <v>1.2</v>
      </c>
      <c r="H268" s="269"/>
      <c r="I268" s="277">
        <v>8.3520000000000003</v>
      </c>
    </row>
    <row r="269" spans="1:9" ht="18" x14ac:dyDescent="0.3">
      <c r="A269" s="274" t="s">
        <v>1239</v>
      </c>
      <c r="B269" s="261"/>
      <c r="C269" s="265" t="s">
        <v>924</v>
      </c>
      <c r="D269" s="263"/>
      <c r="E269" s="263"/>
      <c r="F269" s="266" t="s">
        <v>921</v>
      </c>
      <c r="G269" s="267">
        <v>0.15</v>
      </c>
      <c r="H269" s="267"/>
      <c r="I269" s="276">
        <v>0.34799999999999998</v>
      </c>
    </row>
    <row r="270" spans="1:9" ht="18" x14ac:dyDescent="0.3">
      <c r="A270" s="274" t="s">
        <v>1240</v>
      </c>
      <c r="B270" s="261"/>
      <c r="C270" s="265" t="s">
        <v>927</v>
      </c>
      <c r="D270" s="263"/>
      <c r="E270" s="263"/>
      <c r="F270" s="266" t="s">
        <v>921</v>
      </c>
      <c r="G270" s="267">
        <v>0.25</v>
      </c>
      <c r="H270" s="269"/>
      <c r="I270" s="277">
        <v>0.57999999999999996</v>
      </c>
    </row>
    <row r="271" spans="1:9" ht="36" x14ac:dyDescent="0.3">
      <c r="A271" s="274" t="s">
        <v>1241</v>
      </c>
      <c r="B271" s="261" t="s">
        <v>1242</v>
      </c>
      <c r="C271" s="262" t="s">
        <v>574</v>
      </c>
      <c r="D271" s="263"/>
      <c r="E271" s="263"/>
      <c r="F271" s="263" t="s">
        <v>571</v>
      </c>
      <c r="G271" s="264">
        <v>1</v>
      </c>
      <c r="H271" s="264"/>
      <c r="I271" s="275">
        <v>0</v>
      </c>
    </row>
    <row r="272" spans="1:9" ht="18" x14ac:dyDescent="0.3">
      <c r="A272" s="274" t="s">
        <v>1243</v>
      </c>
      <c r="B272" s="261"/>
      <c r="C272" s="268" t="s">
        <v>1244</v>
      </c>
      <c r="D272" s="263"/>
      <c r="E272" s="263"/>
      <c r="F272" s="266" t="s">
        <v>571</v>
      </c>
      <c r="G272" s="267">
        <v>1.1000000000000001</v>
      </c>
      <c r="H272" s="269"/>
      <c r="I272" s="277">
        <v>0</v>
      </c>
    </row>
    <row r="273" spans="1:9" ht="18" x14ac:dyDescent="0.3">
      <c r="A273" s="274" t="s">
        <v>1245</v>
      </c>
      <c r="B273" s="261"/>
      <c r="C273" s="268" t="s">
        <v>929</v>
      </c>
      <c r="D273" s="263"/>
      <c r="E273" s="263"/>
      <c r="F273" s="266" t="s">
        <v>921</v>
      </c>
      <c r="G273" s="267">
        <v>1.2</v>
      </c>
      <c r="H273" s="269"/>
      <c r="I273" s="277">
        <v>0</v>
      </c>
    </row>
    <row r="274" spans="1:9" ht="18" x14ac:dyDescent="0.3">
      <c r="A274" s="274" t="s">
        <v>1246</v>
      </c>
      <c r="B274" s="261"/>
      <c r="C274" s="265" t="s">
        <v>927</v>
      </c>
      <c r="D274" s="263"/>
      <c r="E274" s="263"/>
      <c r="F274" s="266" t="s">
        <v>921</v>
      </c>
      <c r="G274" s="267">
        <v>0.25</v>
      </c>
      <c r="H274" s="269"/>
      <c r="I274" s="277">
        <v>0</v>
      </c>
    </row>
    <row r="275" spans="1:9" ht="18" x14ac:dyDescent="0.3">
      <c r="A275" s="274" t="s">
        <v>1247</v>
      </c>
      <c r="B275" s="261"/>
      <c r="C275" s="265" t="s">
        <v>924</v>
      </c>
      <c r="D275" s="263"/>
      <c r="E275" s="263"/>
      <c r="F275" s="266" t="s">
        <v>921</v>
      </c>
      <c r="G275" s="267">
        <v>0.15</v>
      </c>
      <c r="H275" s="267"/>
      <c r="I275" s="276">
        <v>0</v>
      </c>
    </row>
    <row r="276" spans="1:9" ht="36" x14ac:dyDescent="0.3">
      <c r="A276" s="274" t="s">
        <v>1248</v>
      </c>
      <c r="B276" s="261" t="s">
        <v>1242</v>
      </c>
      <c r="C276" s="262" t="s">
        <v>574</v>
      </c>
      <c r="D276" s="263"/>
      <c r="E276" s="263"/>
      <c r="F276" s="263" t="s">
        <v>571</v>
      </c>
      <c r="G276" s="264">
        <v>1</v>
      </c>
      <c r="H276" s="264"/>
      <c r="I276" s="275">
        <v>0</v>
      </c>
    </row>
    <row r="277" spans="1:9" ht="18" x14ac:dyDescent="0.3">
      <c r="A277" s="274" t="s">
        <v>1249</v>
      </c>
      <c r="B277" s="261"/>
      <c r="C277" s="265" t="s">
        <v>924</v>
      </c>
      <c r="D277" s="263"/>
      <c r="E277" s="263"/>
      <c r="F277" s="266" t="s">
        <v>921</v>
      </c>
      <c r="G277" s="267">
        <v>0.15</v>
      </c>
      <c r="H277" s="267"/>
      <c r="I277" s="276">
        <v>0</v>
      </c>
    </row>
    <row r="278" spans="1:9" ht="18" x14ac:dyDescent="0.3">
      <c r="A278" s="274" t="s">
        <v>1250</v>
      </c>
      <c r="B278" s="261"/>
      <c r="C278" s="265" t="s">
        <v>927</v>
      </c>
      <c r="D278" s="263"/>
      <c r="E278" s="263"/>
      <c r="F278" s="266" t="s">
        <v>921</v>
      </c>
      <c r="G278" s="267">
        <v>0.25</v>
      </c>
      <c r="H278" s="269"/>
      <c r="I278" s="277">
        <v>0</v>
      </c>
    </row>
    <row r="279" spans="1:9" ht="18" x14ac:dyDescent="0.3">
      <c r="A279" s="274" t="s">
        <v>1251</v>
      </c>
      <c r="B279" s="261"/>
      <c r="C279" s="268" t="s">
        <v>929</v>
      </c>
      <c r="D279" s="263"/>
      <c r="E279" s="263"/>
      <c r="F279" s="266" t="s">
        <v>921</v>
      </c>
      <c r="G279" s="267">
        <v>1.2</v>
      </c>
      <c r="H279" s="269"/>
      <c r="I279" s="277">
        <v>0</v>
      </c>
    </row>
    <row r="280" spans="1:9" ht="18" x14ac:dyDescent="0.3">
      <c r="A280" s="274" t="s">
        <v>1252</v>
      </c>
      <c r="B280" s="261"/>
      <c r="C280" s="268" t="s">
        <v>1244</v>
      </c>
      <c r="D280" s="263"/>
      <c r="E280" s="263"/>
      <c r="F280" s="266" t="s">
        <v>571</v>
      </c>
      <c r="G280" s="267">
        <v>1.1000000000000001</v>
      </c>
      <c r="H280" s="269"/>
      <c r="I280" s="277">
        <v>0</v>
      </c>
    </row>
    <row r="281" spans="1:9" ht="36" x14ac:dyDescent="0.3">
      <c r="A281" s="274" t="s">
        <v>1253</v>
      </c>
      <c r="B281" s="261" t="s">
        <v>1242</v>
      </c>
      <c r="C281" s="262" t="s">
        <v>574</v>
      </c>
      <c r="D281" s="263"/>
      <c r="E281" s="263"/>
      <c r="F281" s="263" t="s">
        <v>571</v>
      </c>
      <c r="G281" s="264">
        <v>1</v>
      </c>
      <c r="H281" s="264"/>
      <c r="I281" s="275">
        <v>0</v>
      </c>
    </row>
    <row r="282" spans="1:9" ht="18" x14ac:dyDescent="0.3">
      <c r="A282" s="274" t="s">
        <v>1254</v>
      </c>
      <c r="B282" s="261"/>
      <c r="C282" s="268" t="s">
        <v>1244</v>
      </c>
      <c r="D282" s="263"/>
      <c r="E282" s="263"/>
      <c r="F282" s="266" t="s">
        <v>571</v>
      </c>
      <c r="G282" s="267">
        <v>1.1000000000000001</v>
      </c>
      <c r="H282" s="269"/>
      <c r="I282" s="277">
        <v>0</v>
      </c>
    </row>
    <row r="283" spans="1:9" ht="18" x14ac:dyDescent="0.3">
      <c r="A283" s="274" t="s">
        <v>1255</v>
      </c>
      <c r="B283" s="261"/>
      <c r="C283" s="268" t="s">
        <v>929</v>
      </c>
      <c r="D283" s="263"/>
      <c r="E283" s="263"/>
      <c r="F283" s="266" t="s">
        <v>921</v>
      </c>
      <c r="G283" s="267">
        <v>1.2</v>
      </c>
      <c r="H283" s="269"/>
      <c r="I283" s="277">
        <v>0</v>
      </c>
    </row>
    <row r="284" spans="1:9" ht="18" x14ac:dyDescent="0.3">
      <c r="A284" s="274" t="s">
        <v>1256</v>
      </c>
      <c r="B284" s="261"/>
      <c r="C284" s="265" t="s">
        <v>927</v>
      </c>
      <c r="D284" s="263"/>
      <c r="E284" s="263"/>
      <c r="F284" s="266" t="s">
        <v>921</v>
      </c>
      <c r="G284" s="267">
        <v>0.25</v>
      </c>
      <c r="H284" s="269"/>
      <c r="I284" s="277">
        <v>0</v>
      </c>
    </row>
    <row r="285" spans="1:9" ht="18" x14ac:dyDescent="0.3">
      <c r="A285" s="274" t="s">
        <v>1257</v>
      </c>
      <c r="B285" s="261"/>
      <c r="C285" s="265" t="s">
        <v>924</v>
      </c>
      <c r="D285" s="263"/>
      <c r="E285" s="263"/>
      <c r="F285" s="266" t="s">
        <v>921</v>
      </c>
      <c r="G285" s="267">
        <v>0.15</v>
      </c>
      <c r="H285" s="267"/>
      <c r="I285" s="276">
        <v>0</v>
      </c>
    </row>
    <row r="286" spans="1:9" ht="36" x14ac:dyDescent="0.3">
      <c r="A286" s="274" t="s">
        <v>1258</v>
      </c>
      <c r="B286" s="261" t="s">
        <v>1242</v>
      </c>
      <c r="C286" s="262" t="s">
        <v>574</v>
      </c>
      <c r="D286" s="263"/>
      <c r="E286" s="263"/>
      <c r="F286" s="263" t="s">
        <v>571</v>
      </c>
      <c r="G286" s="264">
        <v>1</v>
      </c>
      <c r="H286" s="264"/>
      <c r="I286" s="275">
        <v>0</v>
      </c>
    </row>
    <row r="287" spans="1:9" ht="18" x14ac:dyDescent="0.3">
      <c r="A287" s="274" t="s">
        <v>1259</v>
      </c>
      <c r="B287" s="261"/>
      <c r="C287" s="265" t="s">
        <v>924</v>
      </c>
      <c r="D287" s="263"/>
      <c r="E287" s="263"/>
      <c r="F287" s="266" t="s">
        <v>921</v>
      </c>
      <c r="G287" s="267">
        <v>0.15</v>
      </c>
      <c r="H287" s="267"/>
      <c r="I287" s="276">
        <v>0</v>
      </c>
    </row>
    <row r="288" spans="1:9" ht="18" x14ac:dyDescent="0.3">
      <c r="A288" s="274" t="s">
        <v>1260</v>
      </c>
      <c r="B288" s="261"/>
      <c r="C288" s="265" t="s">
        <v>927</v>
      </c>
      <c r="D288" s="263"/>
      <c r="E288" s="263"/>
      <c r="F288" s="266" t="s">
        <v>921</v>
      </c>
      <c r="G288" s="267">
        <v>0.25</v>
      </c>
      <c r="H288" s="269"/>
      <c r="I288" s="277">
        <v>0</v>
      </c>
    </row>
    <row r="289" spans="1:9" ht="18" x14ac:dyDescent="0.3">
      <c r="A289" s="274" t="s">
        <v>1261</v>
      </c>
      <c r="B289" s="261"/>
      <c r="C289" s="268" t="s">
        <v>929</v>
      </c>
      <c r="D289" s="263"/>
      <c r="E289" s="263"/>
      <c r="F289" s="266" t="s">
        <v>921</v>
      </c>
      <c r="G289" s="267">
        <v>1.2</v>
      </c>
      <c r="H289" s="269"/>
      <c r="I289" s="277">
        <v>0</v>
      </c>
    </row>
    <row r="290" spans="1:9" ht="18" x14ac:dyDescent="0.3">
      <c r="A290" s="274" t="s">
        <v>1262</v>
      </c>
      <c r="B290" s="261"/>
      <c r="C290" s="268" t="s">
        <v>1244</v>
      </c>
      <c r="D290" s="263"/>
      <c r="E290" s="263"/>
      <c r="F290" s="266" t="s">
        <v>571</v>
      </c>
      <c r="G290" s="267">
        <v>1.1000000000000001</v>
      </c>
      <c r="H290" s="269"/>
      <c r="I290" s="277">
        <v>0</v>
      </c>
    </row>
    <row r="291" spans="1:9" ht="36" x14ac:dyDescent="0.3">
      <c r="A291" s="274" t="s">
        <v>1263</v>
      </c>
      <c r="B291" s="261" t="s">
        <v>1242</v>
      </c>
      <c r="C291" s="262" t="s">
        <v>574</v>
      </c>
      <c r="D291" s="263"/>
      <c r="E291" s="263" t="s">
        <v>575</v>
      </c>
      <c r="F291" s="263" t="s">
        <v>571</v>
      </c>
      <c r="G291" s="264">
        <v>1</v>
      </c>
      <c r="H291" s="264"/>
      <c r="I291" s="275">
        <v>320.39999999999998</v>
      </c>
    </row>
    <row r="292" spans="1:9" ht="72" x14ac:dyDescent="0.3">
      <c r="A292" s="274" t="s">
        <v>1264</v>
      </c>
      <c r="B292" s="261"/>
      <c r="C292" s="268" t="s">
        <v>1244</v>
      </c>
      <c r="D292" s="263"/>
      <c r="E292" s="263" t="s">
        <v>1265</v>
      </c>
      <c r="F292" s="266" t="s">
        <v>571</v>
      </c>
      <c r="G292" s="267">
        <v>1.1000000000000001</v>
      </c>
      <c r="H292" s="269"/>
      <c r="I292" s="277">
        <v>352.44</v>
      </c>
    </row>
    <row r="293" spans="1:9" ht="18" x14ac:dyDescent="0.3">
      <c r="A293" s="274" t="s">
        <v>1266</v>
      </c>
      <c r="B293" s="261"/>
      <c r="C293" s="268" t="s">
        <v>929</v>
      </c>
      <c r="D293" s="263"/>
      <c r="E293" s="263"/>
      <c r="F293" s="266" t="s">
        <v>921</v>
      </c>
      <c r="G293" s="267">
        <v>1.2</v>
      </c>
      <c r="H293" s="269"/>
      <c r="I293" s="277">
        <v>384.48</v>
      </c>
    </row>
    <row r="294" spans="1:9" ht="18" x14ac:dyDescent="0.3">
      <c r="A294" s="274" t="s">
        <v>1267</v>
      </c>
      <c r="B294" s="261"/>
      <c r="C294" s="265" t="s">
        <v>927</v>
      </c>
      <c r="D294" s="263"/>
      <c r="E294" s="263"/>
      <c r="F294" s="266" t="s">
        <v>921</v>
      </c>
      <c r="G294" s="267">
        <v>0.25</v>
      </c>
      <c r="H294" s="269"/>
      <c r="I294" s="277">
        <v>80.099999999999994</v>
      </c>
    </row>
    <row r="295" spans="1:9" ht="18" x14ac:dyDescent="0.3">
      <c r="A295" s="274" t="s">
        <v>1268</v>
      </c>
      <c r="B295" s="261"/>
      <c r="C295" s="265" t="s">
        <v>924</v>
      </c>
      <c r="D295" s="263"/>
      <c r="E295" s="263"/>
      <c r="F295" s="266" t="s">
        <v>921</v>
      </c>
      <c r="G295" s="267">
        <v>0.15</v>
      </c>
      <c r="H295" s="267"/>
      <c r="I295" s="276">
        <v>48.06</v>
      </c>
    </row>
    <row r="296" spans="1:9" ht="36" x14ac:dyDescent="0.3">
      <c r="A296" s="274" t="s">
        <v>1269</v>
      </c>
      <c r="B296" s="261" t="s">
        <v>1242</v>
      </c>
      <c r="C296" s="262" t="s">
        <v>574</v>
      </c>
      <c r="D296" s="263"/>
      <c r="E296" s="263" t="s">
        <v>576</v>
      </c>
      <c r="F296" s="263" t="s">
        <v>571</v>
      </c>
      <c r="G296" s="264">
        <v>1</v>
      </c>
      <c r="H296" s="264"/>
      <c r="I296" s="275">
        <v>249.1</v>
      </c>
    </row>
    <row r="297" spans="1:9" ht="18" x14ac:dyDescent="0.3">
      <c r="A297" s="274" t="s">
        <v>1270</v>
      </c>
      <c r="B297" s="261"/>
      <c r="C297" s="265" t="s">
        <v>924</v>
      </c>
      <c r="D297" s="263"/>
      <c r="E297" s="263"/>
      <c r="F297" s="266" t="s">
        <v>921</v>
      </c>
      <c r="G297" s="267">
        <v>0.15</v>
      </c>
      <c r="H297" s="267"/>
      <c r="I297" s="276">
        <v>37.365000000000002</v>
      </c>
    </row>
    <row r="298" spans="1:9" ht="18" x14ac:dyDescent="0.3">
      <c r="A298" s="274" t="s">
        <v>1271</v>
      </c>
      <c r="B298" s="261"/>
      <c r="C298" s="265" t="s">
        <v>927</v>
      </c>
      <c r="D298" s="263"/>
      <c r="E298" s="263"/>
      <c r="F298" s="266" t="s">
        <v>921</v>
      </c>
      <c r="G298" s="267">
        <v>0.25</v>
      </c>
      <c r="H298" s="269"/>
      <c r="I298" s="277">
        <v>62.274999999999999</v>
      </c>
    </row>
    <row r="299" spans="1:9" ht="18" x14ac:dyDescent="0.3">
      <c r="A299" s="274" t="s">
        <v>1272</v>
      </c>
      <c r="B299" s="261"/>
      <c r="C299" s="268" t="s">
        <v>929</v>
      </c>
      <c r="D299" s="263"/>
      <c r="E299" s="263"/>
      <c r="F299" s="266" t="s">
        <v>921</v>
      </c>
      <c r="G299" s="267">
        <v>1.2</v>
      </c>
      <c r="H299" s="269"/>
      <c r="I299" s="277">
        <v>298.92</v>
      </c>
    </row>
    <row r="300" spans="1:9" ht="72" x14ac:dyDescent="0.3">
      <c r="A300" s="274" t="s">
        <v>1273</v>
      </c>
      <c r="B300" s="261"/>
      <c r="C300" s="268" t="s">
        <v>1244</v>
      </c>
      <c r="D300" s="263"/>
      <c r="E300" s="263" t="s">
        <v>1274</v>
      </c>
      <c r="F300" s="266" t="s">
        <v>571</v>
      </c>
      <c r="G300" s="267">
        <v>1.1000000000000001</v>
      </c>
      <c r="H300" s="269"/>
      <c r="I300" s="277">
        <v>274.01</v>
      </c>
    </row>
    <row r="301" spans="1:9" ht="36" x14ac:dyDescent="0.3">
      <c r="A301" s="274" t="s">
        <v>1275</v>
      </c>
      <c r="B301" s="261" t="s">
        <v>1242</v>
      </c>
      <c r="C301" s="262" t="s">
        <v>574</v>
      </c>
      <c r="D301" s="263"/>
      <c r="E301" s="263" t="s">
        <v>577</v>
      </c>
      <c r="F301" s="263" t="s">
        <v>571</v>
      </c>
      <c r="G301" s="264">
        <v>1</v>
      </c>
      <c r="H301" s="264"/>
      <c r="I301" s="275">
        <v>238.4</v>
      </c>
    </row>
    <row r="302" spans="1:9" ht="72" x14ac:dyDescent="0.3">
      <c r="A302" s="274" t="s">
        <v>1276</v>
      </c>
      <c r="B302" s="261"/>
      <c r="C302" s="268" t="s">
        <v>1244</v>
      </c>
      <c r="D302" s="263"/>
      <c r="E302" s="263" t="s">
        <v>930</v>
      </c>
      <c r="F302" s="266" t="s">
        <v>571</v>
      </c>
      <c r="G302" s="267">
        <v>1.1000000000000001</v>
      </c>
      <c r="H302" s="269"/>
      <c r="I302" s="277">
        <v>262.24</v>
      </c>
    </row>
    <row r="303" spans="1:9" ht="18" x14ac:dyDescent="0.3">
      <c r="A303" s="274" t="s">
        <v>1277</v>
      </c>
      <c r="B303" s="261"/>
      <c r="C303" s="268" t="s">
        <v>929</v>
      </c>
      <c r="D303" s="263"/>
      <c r="E303" s="263"/>
      <c r="F303" s="266" t="s">
        <v>921</v>
      </c>
      <c r="G303" s="267">
        <v>1.2</v>
      </c>
      <c r="H303" s="269"/>
      <c r="I303" s="277">
        <v>286.08</v>
      </c>
    </row>
    <row r="304" spans="1:9" ht="18" x14ac:dyDescent="0.3">
      <c r="A304" s="274" t="s">
        <v>1278</v>
      </c>
      <c r="B304" s="261"/>
      <c r="C304" s="265" t="s">
        <v>927</v>
      </c>
      <c r="D304" s="263"/>
      <c r="E304" s="263"/>
      <c r="F304" s="266" t="s">
        <v>921</v>
      </c>
      <c r="G304" s="267">
        <v>0.25</v>
      </c>
      <c r="H304" s="269"/>
      <c r="I304" s="277">
        <v>59.6</v>
      </c>
    </row>
    <row r="305" spans="1:9" ht="18" x14ac:dyDescent="0.3">
      <c r="A305" s="274" t="s">
        <v>1279</v>
      </c>
      <c r="B305" s="261"/>
      <c r="C305" s="265" t="s">
        <v>924</v>
      </c>
      <c r="D305" s="263"/>
      <c r="E305" s="263"/>
      <c r="F305" s="266" t="s">
        <v>921</v>
      </c>
      <c r="G305" s="267">
        <v>0.15</v>
      </c>
      <c r="H305" s="267"/>
      <c r="I305" s="276">
        <v>35.76</v>
      </c>
    </row>
    <row r="306" spans="1:9" ht="36" x14ac:dyDescent="0.3">
      <c r="A306" s="274" t="s">
        <v>1280</v>
      </c>
      <c r="B306" s="261" t="s">
        <v>1242</v>
      </c>
      <c r="C306" s="262" t="s">
        <v>574</v>
      </c>
      <c r="D306" s="263"/>
      <c r="E306" s="263" t="s">
        <v>578</v>
      </c>
      <c r="F306" s="263" t="s">
        <v>571</v>
      </c>
      <c r="G306" s="264">
        <v>1</v>
      </c>
      <c r="H306" s="264"/>
      <c r="I306" s="275">
        <v>6.1</v>
      </c>
    </row>
    <row r="307" spans="1:9" ht="18" x14ac:dyDescent="0.3">
      <c r="A307" s="274" t="s">
        <v>1281</v>
      </c>
      <c r="B307" s="261"/>
      <c r="C307" s="265" t="s">
        <v>924</v>
      </c>
      <c r="D307" s="263"/>
      <c r="E307" s="263"/>
      <c r="F307" s="266" t="s">
        <v>921</v>
      </c>
      <c r="G307" s="267">
        <v>0.15</v>
      </c>
      <c r="H307" s="267"/>
      <c r="I307" s="276">
        <v>0.91500000000000004</v>
      </c>
    </row>
    <row r="308" spans="1:9" ht="18" x14ac:dyDescent="0.3">
      <c r="A308" s="274" t="s">
        <v>1282</v>
      </c>
      <c r="B308" s="261"/>
      <c r="C308" s="265" t="s">
        <v>927</v>
      </c>
      <c r="D308" s="263"/>
      <c r="E308" s="263"/>
      <c r="F308" s="266" t="s">
        <v>921</v>
      </c>
      <c r="G308" s="267">
        <v>0.25</v>
      </c>
      <c r="H308" s="269"/>
      <c r="I308" s="277">
        <v>1.5249999999999999</v>
      </c>
    </row>
    <row r="309" spans="1:9" ht="18" x14ac:dyDescent="0.3">
      <c r="A309" s="274" t="s">
        <v>1283</v>
      </c>
      <c r="B309" s="261"/>
      <c r="C309" s="268" t="s">
        <v>929</v>
      </c>
      <c r="D309" s="263"/>
      <c r="E309" s="263"/>
      <c r="F309" s="266" t="s">
        <v>921</v>
      </c>
      <c r="G309" s="267">
        <v>1.2</v>
      </c>
      <c r="H309" s="269"/>
      <c r="I309" s="277">
        <v>7.32</v>
      </c>
    </row>
    <row r="310" spans="1:9" ht="18" x14ac:dyDescent="0.3">
      <c r="A310" s="274" t="s">
        <v>1284</v>
      </c>
      <c r="B310" s="261"/>
      <c r="C310" s="268" t="s">
        <v>1244</v>
      </c>
      <c r="D310" s="263"/>
      <c r="E310" s="263"/>
      <c r="F310" s="266" t="s">
        <v>571</v>
      </c>
      <c r="G310" s="267">
        <v>1.1000000000000001</v>
      </c>
      <c r="H310" s="269"/>
      <c r="I310" s="277">
        <v>6.71</v>
      </c>
    </row>
    <row r="311" spans="1:9" ht="144" x14ac:dyDescent="0.3">
      <c r="A311" s="274" t="s">
        <v>1285</v>
      </c>
      <c r="B311" s="261" t="s">
        <v>1242</v>
      </c>
      <c r="C311" s="262" t="s">
        <v>574</v>
      </c>
      <c r="D311" s="263"/>
      <c r="E311" s="263" t="s">
        <v>1286</v>
      </c>
      <c r="F311" s="263" t="s">
        <v>571</v>
      </c>
      <c r="G311" s="264">
        <v>1</v>
      </c>
      <c r="H311" s="264"/>
      <c r="I311" s="275">
        <v>454.34</v>
      </c>
    </row>
    <row r="312" spans="1:9" ht="72" x14ac:dyDescent="0.3">
      <c r="A312" s="274" t="s">
        <v>1287</v>
      </c>
      <c r="B312" s="261"/>
      <c r="C312" s="268" t="s">
        <v>1244</v>
      </c>
      <c r="D312" s="263"/>
      <c r="E312" s="263" t="s">
        <v>1265</v>
      </c>
      <c r="F312" s="266" t="s">
        <v>571</v>
      </c>
      <c r="G312" s="267">
        <v>1.1000000000000001</v>
      </c>
      <c r="H312" s="269"/>
      <c r="I312" s="277">
        <v>499.774</v>
      </c>
    </row>
    <row r="313" spans="1:9" ht="18" x14ac:dyDescent="0.3">
      <c r="A313" s="274" t="s">
        <v>1288</v>
      </c>
      <c r="B313" s="261"/>
      <c r="C313" s="268" t="s">
        <v>929</v>
      </c>
      <c r="D313" s="263"/>
      <c r="E313" s="263"/>
      <c r="F313" s="266" t="s">
        <v>921</v>
      </c>
      <c r="G313" s="267">
        <v>1.2</v>
      </c>
      <c r="H313" s="269"/>
      <c r="I313" s="277">
        <v>1635.624</v>
      </c>
    </row>
    <row r="314" spans="1:9" ht="18" x14ac:dyDescent="0.3">
      <c r="A314" s="274" t="s">
        <v>1289</v>
      </c>
      <c r="B314" s="261"/>
      <c r="C314" s="265" t="s">
        <v>927</v>
      </c>
      <c r="D314" s="263"/>
      <c r="E314" s="263"/>
      <c r="F314" s="266" t="s">
        <v>921</v>
      </c>
      <c r="G314" s="267">
        <v>0.25</v>
      </c>
      <c r="H314" s="269"/>
      <c r="I314" s="277">
        <v>113.58499999999999</v>
      </c>
    </row>
    <row r="315" spans="1:9" ht="18" x14ac:dyDescent="0.3">
      <c r="A315" s="274" t="s">
        <v>1290</v>
      </c>
      <c r="B315" s="261"/>
      <c r="C315" s="265" t="s">
        <v>924</v>
      </c>
      <c r="D315" s="263"/>
      <c r="E315" s="263"/>
      <c r="F315" s="266" t="s">
        <v>921</v>
      </c>
      <c r="G315" s="267">
        <v>0.15</v>
      </c>
      <c r="H315" s="267"/>
      <c r="I315" s="276">
        <v>68.150999999999996</v>
      </c>
    </row>
    <row r="316" spans="1:9" ht="144" x14ac:dyDescent="0.3">
      <c r="A316" s="274" t="s">
        <v>1291</v>
      </c>
      <c r="B316" s="261" t="s">
        <v>1242</v>
      </c>
      <c r="C316" s="262" t="s">
        <v>574</v>
      </c>
      <c r="D316" s="263"/>
      <c r="E316" s="263" t="s">
        <v>1292</v>
      </c>
      <c r="F316" s="263" t="s">
        <v>571</v>
      </c>
      <c r="G316" s="264">
        <v>1</v>
      </c>
      <c r="H316" s="264"/>
      <c r="I316" s="275">
        <v>274.39999999999998</v>
      </c>
    </row>
    <row r="317" spans="1:9" ht="18" x14ac:dyDescent="0.3">
      <c r="A317" s="274" t="s">
        <v>1293</v>
      </c>
      <c r="B317" s="261"/>
      <c r="C317" s="265" t="s">
        <v>924</v>
      </c>
      <c r="D317" s="263"/>
      <c r="E317" s="263"/>
      <c r="F317" s="266" t="s">
        <v>921</v>
      </c>
      <c r="G317" s="267">
        <v>0.15</v>
      </c>
      <c r="H317" s="267"/>
      <c r="I317" s="276">
        <v>41.16</v>
      </c>
    </row>
    <row r="318" spans="1:9" ht="18" x14ac:dyDescent="0.3">
      <c r="A318" s="274" t="s">
        <v>1294</v>
      </c>
      <c r="B318" s="261"/>
      <c r="C318" s="265" t="s">
        <v>927</v>
      </c>
      <c r="D318" s="263"/>
      <c r="E318" s="263"/>
      <c r="F318" s="266" t="s">
        <v>921</v>
      </c>
      <c r="G318" s="267">
        <v>0.25</v>
      </c>
      <c r="H318" s="269"/>
      <c r="I318" s="277">
        <v>68.599999999999994</v>
      </c>
    </row>
    <row r="319" spans="1:9" ht="18" x14ac:dyDescent="0.3">
      <c r="A319" s="274" t="s">
        <v>1295</v>
      </c>
      <c r="B319" s="261"/>
      <c r="C319" s="268" t="s">
        <v>929</v>
      </c>
      <c r="D319" s="263"/>
      <c r="E319" s="263"/>
      <c r="F319" s="266" t="s">
        <v>921</v>
      </c>
      <c r="G319" s="267">
        <v>1.2</v>
      </c>
      <c r="H319" s="269"/>
      <c r="I319" s="277">
        <v>987.84</v>
      </c>
    </row>
    <row r="320" spans="1:9" ht="72" x14ac:dyDescent="0.3">
      <c r="A320" s="274" t="s">
        <v>1296</v>
      </c>
      <c r="B320" s="261"/>
      <c r="C320" s="268" t="s">
        <v>1297</v>
      </c>
      <c r="D320" s="263"/>
      <c r="E320" s="263" t="s">
        <v>1274</v>
      </c>
      <c r="F320" s="266" t="s">
        <v>571</v>
      </c>
      <c r="G320" s="267">
        <v>0.1</v>
      </c>
      <c r="H320" s="269"/>
      <c r="I320" s="277">
        <v>27.44</v>
      </c>
    </row>
    <row r="321" spans="1:9" ht="162" x14ac:dyDescent="0.3">
      <c r="A321" s="274" t="s">
        <v>1298</v>
      </c>
      <c r="B321" s="261" t="s">
        <v>1242</v>
      </c>
      <c r="C321" s="262" t="s">
        <v>574</v>
      </c>
      <c r="D321" s="263"/>
      <c r="E321" s="263" t="s">
        <v>1299</v>
      </c>
      <c r="F321" s="263" t="s">
        <v>571</v>
      </c>
      <c r="G321" s="264">
        <v>1</v>
      </c>
      <c r="H321" s="264"/>
      <c r="I321" s="275">
        <v>86.72</v>
      </c>
    </row>
    <row r="322" spans="1:9" ht="72" x14ac:dyDescent="0.3">
      <c r="A322" s="274" t="s">
        <v>1300</v>
      </c>
      <c r="B322" s="261"/>
      <c r="C322" s="268" t="s">
        <v>1244</v>
      </c>
      <c r="D322" s="263"/>
      <c r="E322" s="263" t="s">
        <v>930</v>
      </c>
      <c r="F322" s="266" t="s">
        <v>571</v>
      </c>
      <c r="G322" s="267">
        <v>1.1000000000000001</v>
      </c>
      <c r="H322" s="269"/>
      <c r="I322" s="277">
        <v>95.391999999999996</v>
      </c>
    </row>
    <row r="323" spans="1:9" ht="18" x14ac:dyDescent="0.3">
      <c r="A323" s="274" t="s">
        <v>1301</v>
      </c>
      <c r="B323" s="261"/>
      <c r="C323" s="268" t="s">
        <v>929</v>
      </c>
      <c r="D323" s="263"/>
      <c r="E323" s="263"/>
      <c r="F323" s="266" t="s">
        <v>921</v>
      </c>
      <c r="G323" s="267">
        <v>1.2</v>
      </c>
      <c r="H323" s="269"/>
      <c r="I323" s="277">
        <v>312.19200000000001</v>
      </c>
    </row>
    <row r="324" spans="1:9" ht="18" x14ac:dyDescent="0.3">
      <c r="A324" s="274" t="s">
        <v>1302</v>
      </c>
      <c r="B324" s="261"/>
      <c r="C324" s="265" t="s">
        <v>927</v>
      </c>
      <c r="D324" s="263"/>
      <c r="E324" s="263"/>
      <c r="F324" s="266" t="s">
        <v>921</v>
      </c>
      <c r="G324" s="267">
        <v>0.25</v>
      </c>
      <c r="H324" s="269"/>
      <c r="I324" s="277">
        <v>21.68</v>
      </c>
    </row>
    <row r="325" spans="1:9" ht="18" x14ac:dyDescent="0.3">
      <c r="A325" s="274" t="s">
        <v>1303</v>
      </c>
      <c r="B325" s="261"/>
      <c r="C325" s="265" t="s">
        <v>924</v>
      </c>
      <c r="D325" s="263"/>
      <c r="E325" s="263"/>
      <c r="F325" s="266" t="s">
        <v>921</v>
      </c>
      <c r="G325" s="267">
        <v>0.15</v>
      </c>
      <c r="H325" s="267"/>
      <c r="I325" s="276">
        <v>13.007999999999999</v>
      </c>
    </row>
    <row r="326" spans="1:9" ht="162" x14ac:dyDescent="0.3">
      <c r="A326" s="274" t="s">
        <v>1304</v>
      </c>
      <c r="B326" s="261" t="s">
        <v>1242</v>
      </c>
      <c r="C326" s="262" t="s">
        <v>574</v>
      </c>
      <c r="D326" s="263"/>
      <c r="E326" s="263" t="s">
        <v>1305</v>
      </c>
      <c r="F326" s="263" t="s">
        <v>571</v>
      </c>
      <c r="G326" s="264">
        <v>1</v>
      </c>
      <c r="H326" s="264"/>
      <c r="I326" s="275">
        <v>284.92</v>
      </c>
    </row>
    <row r="327" spans="1:9" ht="18" x14ac:dyDescent="0.3">
      <c r="A327" s="274" t="s">
        <v>1306</v>
      </c>
      <c r="B327" s="261"/>
      <c r="C327" s="265" t="s">
        <v>924</v>
      </c>
      <c r="D327" s="263"/>
      <c r="E327" s="263"/>
      <c r="F327" s="266" t="s">
        <v>921</v>
      </c>
      <c r="G327" s="267">
        <v>0.15</v>
      </c>
      <c r="H327" s="267"/>
      <c r="I327" s="276">
        <v>42.738</v>
      </c>
    </row>
    <row r="328" spans="1:9" ht="18" x14ac:dyDescent="0.3">
      <c r="A328" s="274" t="s">
        <v>1307</v>
      </c>
      <c r="B328" s="261"/>
      <c r="C328" s="265" t="s">
        <v>927</v>
      </c>
      <c r="D328" s="263"/>
      <c r="E328" s="263"/>
      <c r="F328" s="266" t="s">
        <v>921</v>
      </c>
      <c r="G328" s="267">
        <v>0.25</v>
      </c>
      <c r="H328" s="269"/>
      <c r="I328" s="277">
        <v>71.23</v>
      </c>
    </row>
    <row r="329" spans="1:9" ht="36" x14ac:dyDescent="0.3">
      <c r="A329" s="274" t="s">
        <v>1308</v>
      </c>
      <c r="B329" s="261"/>
      <c r="C329" s="268" t="s">
        <v>929</v>
      </c>
      <c r="D329" s="263"/>
      <c r="E329" s="263" t="s">
        <v>1226</v>
      </c>
      <c r="F329" s="266" t="s">
        <v>921</v>
      </c>
      <c r="G329" s="267">
        <v>1.2</v>
      </c>
      <c r="H329" s="269"/>
      <c r="I329" s="277">
        <v>1025.712</v>
      </c>
    </row>
    <row r="330" spans="1:9" ht="72" x14ac:dyDescent="0.3">
      <c r="A330" s="274" t="s">
        <v>1309</v>
      </c>
      <c r="B330" s="261"/>
      <c r="C330" s="268" t="s">
        <v>1244</v>
      </c>
      <c r="D330" s="263"/>
      <c r="E330" s="263" t="s">
        <v>930</v>
      </c>
      <c r="F330" s="266" t="s">
        <v>571</v>
      </c>
      <c r="G330" s="267">
        <v>1.1000000000000001</v>
      </c>
      <c r="H330" s="269"/>
      <c r="I330" s="277">
        <v>313.41199999999998</v>
      </c>
    </row>
    <row r="331" spans="1:9" ht="16.95" customHeight="1" x14ac:dyDescent="0.3">
      <c r="A331" s="274" t="s">
        <v>1310</v>
      </c>
      <c r="B331" s="261" t="s">
        <v>1311</v>
      </c>
      <c r="C331" s="271" t="s">
        <v>1312</v>
      </c>
      <c r="D331" s="272"/>
      <c r="E331" s="272"/>
      <c r="F331" s="272"/>
      <c r="G331" s="272"/>
      <c r="H331" s="272"/>
      <c r="I331" s="272"/>
    </row>
    <row r="332" spans="1:9" ht="108" x14ac:dyDescent="0.3">
      <c r="A332" s="274" t="s">
        <v>1313</v>
      </c>
      <c r="B332" s="261" t="s">
        <v>1314</v>
      </c>
      <c r="C332" s="262" t="s">
        <v>1315</v>
      </c>
      <c r="D332" s="263"/>
      <c r="E332" s="263" t="s">
        <v>1316</v>
      </c>
      <c r="F332" s="263" t="s">
        <v>571</v>
      </c>
      <c r="G332" s="264">
        <v>1</v>
      </c>
      <c r="H332" s="264"/>
      <c r="I332" s="275">
        <v>409.83</v>
      </c>
    </row>
    <row r="333" spans="1:9" ht="36" x14ac:dyDescent="0.3">
      <c r="A333" s="274" t="s">
        <v>1317</v>
      </c>
      <c r="B333" s="261"/>
      <c r="C333" s="268" t="s">
        <v>1318</v>
      </c>
      <c r="D333" s="263"/>
      <c r="E333" s="263"/>
      <c r="F333" s="266" t="s">
        <v>921</v>
      </c>
      <c r="G333" s="267">
        <v>1.1000000000000001</v>
      </c>
      <c r="H333" s="269"/>
      <c r="I333" s="277">
        <v>11270.325000000001</v>
      </c>
    </row>
    <row r="334" spans="1:9" ht="18" x14ac:dyDescent="0.3">
      <c r="A334" s="274" t="s">
        <v>1319</v>
      </c>
      <c r="B334" s="261"/>
      <c r="C334" s="265" t="s">
        <v>1320</v>
      </c>
      <c r="D334" s="263"/>
      <c r="E334" s="263"/>
      <c r="F334" s="266" t="s">
        <v>571</v>
      </c>
      <c r="G334" s="267">
        <v>1.1000000000000001</v>
      </c>
      <c r="H334" s="267"/>
      <c r="I334" s="276">
        <v>450.81299999999999</v>
      </c>
    </row>
    <row r="335" spans="1:9" ht="18" x14ac:dyDescent="0.3">
      <c r="A335" s="274" t="s">
        <v>1321</v>
      </c>
      <c r="B335" s="261"/>
      <c r="C335" s="265" t="s">
        <v>1322</v>
      </c>
      <c r="D335" s="263"/>
      <c r="E335" s="263"/>
      <c r="F335" s="266" t="s">
        <v>867</v>
      </c>
      <c r="G335" s="267">
        <v>1</v>
      </c>
      <c r="H335" s="267"/>
      <c r="I335" s="276">
        <v>409.83</v>
      </c>
    </row>
    <row r="336" spans="1:9" ht="18" x14ac:dyDescent="0.3">
      <c r="A336" s="274" t="s">
        <v>1323</v>
      </c>
      <c r="B336" s="261"/>
      <c r="C336" s="265" t="s">
        <v>1005</v>
      </c>
      <c r="D336" s="263"/>
      <c r="E336" s="263"/>
      <c r="F336" s="266" t="s">
        <v>921</v>
      </c>
      <c r="G336" s="267">
        <v>0.25</v>
      </c>
      <c r="H336" s="267"/>
      <c r="I336" s="276">
        <v>102.458</v>
      </c>
    </row>
    <row r="337" spans="1:9" ht="108" x14ac:dyDescent="0.3">
      <c r="A337" s="274" t="s">
        <v>1324</v>
      </c>
      <c r="B337" s="261" t="s">
        <v>1314</v>
      </c>
      <c r="C337" s="262" t="s">
        <v>1315</v>
      </c>
      <c r="D337" s="263"/>
      <c r="E337" s="263" t="s">
        <v>1325</v>
      </c>
      <c r="F337" s="263" t="s">
        <v>571</v>
      </c>
      <c r="G337" s="264">
        <v>1</v>
      </c>
      <c r="H337" s="264"/>
      <c r="I337" s="275">
        <v>44.15</v>
      </c>
    </row>
    <row r="338" spans="1:9" ht="18" x14ac:dyDescent="0.3">
      <c r="A338" s="274" t="s">
        <v>1326</v>
      </c>
      <c r="B338" s="261"/>
      <c r="C338" s="265" t="s">
        <v>926</v>
      </c>
      <c r="D338" s="263"/>
      <c r="E338" s="263"/>
      <c r="F338" s="266" t="s">
        <v>921</v>
      </c>
      <c r="G338" s="267">
        <v>0.15</v>
      </c>
      <c r="H338" s="267"/>
      <c r="I338" s="276">
        <v>6.6230000000000002</v>
      </c>
    </row>
    <row r="339" spans="1:9" ht="18" x14ac:dyDescent="0.3">
      <c r="A339" s="274" t="s">
        <v>1327</v>
      </c>
      <c r="B339" s="261"/>
      <c r="C339" s="265" t="s">
        <v>1322</v>
      </c>
      <c r="D339" s="263"/>
      <c r="E339" s="263"/>
      <c r="F339" s="266" t="s">
        <v>867</v>
      </c>
      <c r="G339" s="267">
        <v>1</v>
      </c>
      <c r="H339" s="267"/>
      <c r="I339" s="276">
        <v>44.15</v>
      </c>
    </row>
    <row r="340" spans="1:9" ht="18" x14ac:dyDescent="0.3">
      <c r="A340" s="274" t="s">
        <v>1328</v>
      </c>
      <c r="B340" s="261"/>
      <c r="C340" s="265" t="s">
        <v>1320</v>
      </c>
      <c r="D340" s="263"/>
      <c r="E340" s="263"/>
      <c r="F340" s="266" t="s">
        <v>571</v>
      </c>
      <c r="G340" s="267">
        <v>1.1000000000000001</v>
      </c>
      <c r="H340" s="267"/>
      <c r="I340" s="276">
        <v>48.564999999999998</v>
      </c>
    </row>
    <row r="341" spans="1:9" ht="36" x14ac:dyDescent="0.3">
      <c r="A341" s="274" t="s">
        <v>1329</v>
      </c>
      <c r="B341" s="261"/>
      <c r="C341" s="268" t="s">
        <v>1318</v>
      </c>
      <c r="D341" s="263"/>
      <c r="E341" s="263"/>
      <c r="F341" s="266" t="s">
        <v>921</v>
      </c>
      <c r="G341" s="267">
        <v>1.1000000000000001</v>
      </c>
      <c r="H341" s="269"/>
      <c r="I341" s="277">
        <v>1214.125</v>
      </c>
    </row>
    <row r="342" spans="1:9" ht="144" x14ac:dyDescent="0.3">
      <c r="A342" s="274" t="s">
        <v>1330</v>
      </c>
      <c r="B342" s="261" t="s">
        <v>1314</v>
      </c>
      <c r="C342" s="262" t="s">
        <v>1315</v>
      </c>
      <c r="D342" s="263"/>
      <c r="E342" s="263" t="s">
        <v>1331</v>
      </c>
      <c r="F342" s="263" t="s">
        <v>571</v>
      </c>
      <c r="G342" s="264">
        <v>1</v>
      </c>
      <c r="H342" s="264"/>
      <c r="I342" s="275">
        <v>43.47</v>
      </c>
    </row>
    <row r="343" spans="1:9" ht="36" x14ac:dyDescent="0.3">
      <c r="A343" s="274" t="s">
        <v>1332</v>
      </c>
      <c r="B343" s="261"/>
      <c r="C343" s="265" t="s">
        <v>1333</v>
      </c>
      <c r="D343" s="263"/>
      <c r="E343" s="263" t="s">
        <v>993</v>
      </c>
      <c r="F343" s="266" t="s">
        <v>921</v>
      </c>
      <c r="G343" s="267">
        <v>1.8</v>
      </c>
      <c r="H343" s="269"/>
      <c r="I343" s="277">
        <v>1956.15</v>
      </c>
    </row>
    <row r="344" spans="1:9" ht="18" x14ac:dyDescent="0.3">
      <c r="A344" s="274" t="s">
        <v>1334</v>
      </c>
      <c r="B344" s="261"/>
      <c r="C344" s="265" t="s">
        <v>1320</v>
      </c>
      <c r="D344" s="263"/>
      <c r="E344" s="263"/>
      <c r="F344" s="266" t="s">
        <v>571</v>
      </c>
      <c r="G344" s="267">
        <v>1.1000000000000001</v>
      </c>
      <c r="H344" s="267"/>
      <c r="I344" s="276">
        <v>47.817</v>
      </c>
    </row>
    <row r="345" spans="1:9" ht="18" x14ac:dyDescent="0.3">
      <c r="A345" s="274" t="s">
        <v>1335</v>
      </c>
      <c r="B345" s="261"/>
      <c r="C345" s="265" t="s">
        <v>1322</v>
      </c>
      <c r="D345" s="263"/>
      <c r="E345" s="263"/>
      <c r="F345" s="266" t="s">
        <v>867</v>
      </c>
      <c r="G345" s="267">
        <v>1</v>
      </c>
      <c r="H345" s="267"/>
      <c r="I345" s="276">
        <v>43.47</v>
      </c>
    </row>
    <row r="346" spans="1:9" ht="18" x14ac:dyDescent="0.3">
      <c r="A346" s="274" t="s">
        <v>1336</v>
      </c>
      <c r="B346" s="261"/>
      <c r="C346" s="265" t="s">
        <v>926</v>
      </c>
      <c r="D346" s="263"/>
      <c r="E346" s="263"/>
      <c r="F346" s="266" t="s">
        <v>921</v>
      </c>
      <c r="G346" s="267">
        <v>0.15</v>
      </c>
      <c r="H346" s="267"/>
      <c r="I346" s="276">
        <v>6.5209999999999999</v>
      </c>
    </row>
    <row r="347" spans="1:9" ht="97.95" customHeight="1" x14ac:dyDescent="0.3">
      <c r="A347" s="274" t="s">
        <v>1337</v>
      </c>
      <c r="B347" s="261" t="s">
        <v>1314</v>
      </c>
      <c r="C347" s="262" t="s">
        <v>1315</v>
      </c>
      <c r="D347" s="263"/>
      <c r="E347" s="263" t="s">
        <v>1338</v>
      </c>
      <c r="F347" s="263" t="s">
        <v>571</v>
      </c>
      <c r="G347" s="264">
        <v>1</v>
      </c>
      <c r="H347" s="264"/>
      <c r="I347" s="275">
        <v>53.76</v>
      </c>
    </row>
    <row r="348" spans="1:9" ht="18" x14ac:dyDescent="0.3">
      <c r="A348" s="274" t="s">
        <v>1339</v>
      </c>
      <c r="B348" s="261"/>
      <c r="C348" s="265" t="s">
        <v>926</v>
      </c>
      <c r="D348" s="263"/>
      <c r="E348" s="263"/>
      <c r="F348" s="266" t="s">
        <v>921</v>
      </c>
      <c r="G348" s="267">
        <v>0.15</v>
      </c>
      <c r="H348" s="267"/>
      <c r="I348" s="276">
        <v>8.0640000000000001</v>
      </c>
    </row>
    <row r="349" spans="1:9" ht="18" x14ac:dyDescent="0.3">
      <c r="A349" s="274" t="s">
        <v>1340</v>
      </c>
      <c r="B349" s="261"/>
      <c r="C349" s="265" t="s">
        <v>1322</v>
      </c>
      <c r="D349" s="263"/>
      <c r="E349" s="263"/>
      <c r="F349" s="266" t="s">
        <v>867</v>
      </c>
      <c r="G349" s="267">
        <v>1</v>
      </c>
      <c r="H349" s="267"/>
      <c r="I349" s="276">
        <v>53.76</v>
      </c>
    </row>
    <row r="350" spans="1:9" ht="18" x14ac:dyDescent="0.3">
      <c r="A350" s="274" t="s">
        <v>1341</v>
      </c>
      <c r="B350" s="261"/>
      <c r="C350" s="265" t="s">
        <v>1320</v>
      </c>
      <c r="D350" s="263"/>
      <c r="E350" s="263"/>
      <c r="F350" s="266" t="s">
        <v>571</v>
      </c>
      <c r="G350" s="267">
        <v>1.1000000000000001</v>
      </c>
      <c r="H350" s="267"/>
      <c r="I350" s="276">
        <v>59.136000000000003</v>
      </c>
    </row>
    <row r="351" spans="1:9" ht="36" x14ac:dyDescent="0.3">
      <c r="A351" s="274" t="s">
        <v>1342</v>
      </c>
      <c r="B351" s="261"/>
      <c r="C351" s="265" t="s">
        <v>1333</v>
      </c>
      <c r="D351" s="263"/>
      <c r="E351" s="263" t="s">
        <v>993</v>
      </c>
      <c r="F351" s="266" t="s">
        <v>921</v>
      </c>
      <c r="G351" s="267">
        <v>1.8</v>
      </c>
      <c r="H351" s="269"/>
      <c r="I351" s="277">
        <v>2419.1999999999998</v>
      </c>
    </row>
    <row r="352" spans="1:9" ht="88.05" customHeight="1" x14ac:dyDescent="0.3">
      <c r="A352" s="274" t="s">
        <v>1343</v>
      </c>
      <c r="B352" s="261" t="s">
        <v>1314</v>
      </c>
      <c r="C352" s="262" t="s">
        <v>1315</v>
      </c>
      <c r="D352" s="263"/>
      <c r="E352" s="263" t="s">
        <v>1344</v>
      </c>
      <c r="F352" s="263" t="s">
        <v>571</v>
      </c>
      <c r="G352" s="264">
        <v>1</v>
      </c>
      <c r="H352" s="264"/>
      <c r="I352" s="275">
        <v>181.82</v>
      </c>
    </row>
    <row r="353" spans="1:9" ht="36" x14ac:dyDescent="0.3">
      <c r="A353" s="274" t="s">
        <v>1345</v>
      </c>
      <c r="B353" s="261"/>
      <c r="C353" s="268" t="s">
        <v>1318</v>
      </c>
      <c r="D353" s="263"/>
      <c r="E353" s="263"/>
      <c r="F353" s="266" t="s">
        <v>921</v>
      </c>
      <c r="G353" s="267">
        <v>1.1000000000000001</v>
      </c>
      <c r="H353" s="269"/>
      <c r="I353" s="277">
        <v>5000.05</v>
      </c>
    </row>
    <row r="354" spans="1:9" ht="18" x14ac:dyDescent="0.3">
      <c r="A354" s="274" t="s">
        <v>1346</v>
      </c>
      <c r="B354" s="261"/>
      <c r="C354" s="265" t="s">
        <v>1320</v>
      </c>
      <c r="D354" s="263"/>
      <c r="E354" s="263"/>
      <c r="F354" s="266" t="s">
        <v>571</v>
      </c>
      <c r="G354" s="267">
        <v>1.1000000000000001</v>
      </c>
      <c r="H354" s="267"/>
      <c r="I354" s="276">
        <v>200.00200000000001</v>
      </c>
    </row>
    <row r="355" spans="1:9" ht="18" x14ac:dyDescent="0.3">
      <c r="A355" s="274" t="s">
        <v>1347</v>
      </c>
      <c r="B355" s="261"/>
      <c r="C355" s="265" t="s">
        <v>1322</v>
      </c>
      <c r="D355" s="263"/>
      <c r="E355" s="263"/>
      <c r="F355" s="266" t="s">
        <v>867</v>
      </c>
      <c r="G355" s="267">
        <v>1</v>
      </c>
      <c r="H355" s="267"/>
      <c r="I355" s="276">
        <v>181.82</v>
      </c>
    </row>
    <row r="356" spans="1:9" ht="18" x14ac:dyDescent="0.3">
      <c r="A356" s="274" t="s">
        <v>1348</v>
      </c>
      <c r="B356" s="261"/>
      <c r="C356" s="265" t="s">
        <v>1005</v>
      </c>
      <c r="D356" s="263"/>
      <c r="E356" s="263"/>
      <c r="F356" s="266" t="s">
        <v>921</v>
      </c>
      <c r="G356" s="267">
        <v>0.25</v>
      </c>
      <c r="H356" s="267"/>
      <c r="I356" s="276">
        <v>45.454999999999998</v>
      </c>
    </row>
    <row r="357" spans="1:9" ht="90" x14ac:dyDescent="0.3">
      <c r="A357" s="274" t="s">
        <v>1349</v>
      </c>
      <c r="B357" s="261" t="s">
        <v>1314</v>
      </c>
      <c r="C357" s="262" t="s">
        <v>1315</v>
      </c>
      <c r="D357" s="263"/>
      <c r="E357" s="263" t="s">
        <v>1350</v>
      </c>
      <c r="F357" s="263" t="s">
        <v>571</v>
      </c>
      <c r="G357" s="264">
        <v>1</v>
      </c>
      <c r="H357" s="264"/>
      <c r="I357" s="275">
        <v>1.03</v>
      </c>
    </row>
    <row r="358" spans="1:9" ht="18" x14ac:dyDescent="0.3">
      <c r="A358" s="274" t="s">
        <v>1351</v>
      </c>
      <c r="B358" s="261"/>
      <c r="C358" s="265" t="s">
        <v>1005</v>
      </c>
      <c r="D358" s="263"/>
      <c r="E358" s="263"/>
      <c r="F358" s="266" t="s">
        <v>921</v>
      </c>
      <c r="G358" s="267">
        <v>0.25</v>
      </c>
      <c r="H358" s="267"/>
      <c r="I358" s="276">
        <v>0.25800000000000001</v>
      </c>
    </row>
    <row r="359" spans="1:9" ht="18" x14ac:dyDescent="0.3">
      <c r="A359" s="274" t="s">
        <v>1352</v>
      </c>
      <c r="B359" s="261"/>
      <c r="C359" s="265" t="s">
        <v>1322</v>
      </c>
      <c r="D359" s="263"/>
      <c r="E359" s="263"/>
      <c r="F359" s="266" t="s">
        <v>867</v>
      </c>
      <c r="G359" s="267">
        <v>1</v>
      </c>
      <c r="H359" s="267"/>
      <c r="I359" s="276">
        <v>1.03</v>
      </c>
    </row>
    <row r="360" spans="1:9" ht="18" x14ac:dyDescent="0.3">
      <c r="A360" s="274" t="s">
        <v>1353</v>
      </c>
      <c r="B360" s="261"/>
      <c r="C360" s="265" t="s">
        <v>1320</v>
      </c>
      <c r="D360" s="263"/>
      <c r="E360" s="263"/>
      <c r="F360" s="266" t="s">
        <v>571</v>
      </c>
      <c r="G360" s="267">
        <v>1.1000000000000001</v>
      </c>
      <c r="H360" s="267"/>
      <c r="I360" s="276">
        <v>1.133</v>
      </c>
    </row>
    <row r="361" spans="1:9" ht="36" x14ac:dyDescent="0.3">
      <c r="A361" s="274" t="s">
        <v>1354</v>
      </c>
      <c r="B361" s="261"/>
      <c r="C361" s="265" t="s">
        <v>1333</v>
      </c>
      <c r="D361" s="263"/>
      <c r="E361" s="263" t="s">
        <v>993</v>
      </c>
      <c r="F361" s="266" t="s">
        <v>921</v>
      </c>
      <c r="G361" s="267">
        <v>1.8</v>
      </c>
      <c r="H361" s="269"/>
      <c r="I361" s="277">
        <v>46.35</v>
      </c>
    </row>
    <row r="362" spans="1:9" ht="90" x14ac:dyDescent="0.3">
      <c r="A362" s="274" t="s">
        <v>1355</v>
      </c>
      <c r="B362" s="261" t="s">
        <v>1314</v>
      </c>
      <c r="C362" s="262" t="s">
        <v>1315</v>
      </c>
      <c r="D362" s="263"/>
      <c r="E362" s="263" t="s">
        <v>1356</v>
      </c>
      <c r="F362" s="263" t="s">
        <v>571</v>
      </c>
      <c r="G362" s="264">
        <v>1</v>
      </c>
      <c r="H362" s="264"/>
      <c r="I362" s="275">
        <v>6.22</v>
      </c>
    </row>
    <row r="363" spans="1:9" ht="36" x14ac:dyDescent="0.3">
      <c r="A363" s="274" t="s">
        <v>1357</v>
      </c>
      <c r="B363" s="261"/>
      <c r="C363" s="265" t="s">
        <v>1333</v>
      </c>
      <c r="D363" s="263"/>
      <c r="E363" s="263" t="s">
        <v>1358</v>
      </c>
      <c r="F363" s="266" t="s">
        <v>921</v>
      </c>
      <c r="G363" s="267">
        <v>1.8</v>
      </c>
      <c r="H363" s="269"/>
      <c r="I363" s="277">
        <v>111.96</v>
      </c>
    </row>
    <row r="364" spans="1:9" ht="18" x14ac:dyDescent="0.3">
      <c r="A364" s="274" t="s">
        <v>1359</v>
      </c>
      <c r="B364" s="261"/>
      <c r="C364" s="265" t="s">
        <v>1005</v>
      </c>
      <c r="D364" s="263"/>
      <c r="E364" s="263"/>
      <c r="F364" s="266" t="s">
        <v>921</v>
      </c>
      <c r="G364" s="267">
        <v>0.25</v>
      </c>
      <c r="H364" s="267"/>
      <c r="I364" s="276">
        <v>1.5549999999999999</v>
      </c>
    </row>
    <row r="365" spans="1:9" ht="90" x14ac:dyDescent="0.3">
      <c r="A365" s="274" t="s">
        <v>1360</v>
      </c>
      <c r="B365" s="261" t="s">
        <v>1314</v>
      </c>
      <c r="C365" s="262" t="s">
        <v>1315</v>
      </c>
      <c r="D365" s="263"/>
      <c r="E365" s="263" t="s">
        <v>1361</v>
      </c>
      <c r="F365" s="263" t="s">
        <v>571</v>
      </c>
      <c r="G365" s="264">
        <v>1</v>
      </c>
      <c r="H365" s="264"/>
      <c r="I365" s="275">
        <v>77.31</v>
      </c>
    </row>
    <row r="366" spans="1:9" ht="18" x14ac:dyDescent="0.3">
      <c r="A366" s="274" t="s">
        <v>1362</v>
      </c>
      <c r="B366" s="261"/>
      <c r="C366" s="265" t="s">
        <v>1005</v>
      </c>
      <c r="D366" s="263"/>
      <c r="E366" s="263"/>
      <c r="F366" s="266" t="s">
        <v>921</v>
      </c>
      <c r="G366" s="267">
        <v>0.25</v>
      </c>
      <c r="H366" s="267"/>
      <c r="I366" s="276">
        <v>19.327999999999999</v>
      </c>
    </row>
    <row r="367" spans="1:9" ht="18" x14ac:dyDescent="0.3">
      <c r="A367" s="274" t="s">
        <v>1363</v>
      </c>
      <c r="B367" s="261"/>
      <c r="C367" s="265" t="s">
        <v>1322</v>
      </c>
      <c r="D367" s="263"/>
      <c r="E367" s="263"/>
      <c r="F367" s="266" t="s">
        <v>867</v>
      </c>
      <c r="G367" s="267">
        <v>1</v>
      </c>
      <c r="H367" s="267"/>
      <c r="I367" s="276">
        <v>77.31</v>
      </c>
    </row>
    <row r="368" spans="1:9" ht="18" x14ac:dyDescent="0.3">
      <c r="A368" s="274" t="s">
        <v>1364</v>
      </c>
      <c r="B368" s="261"/>
      <c r="C368" s="265" t="s">
        <v>1320</v>
      </c>
      <c r="D368" s="263"/>
      <c r="E368" s="263"/>
      <c r="F368" s="266" t="s">
        <v>571</v>
      </c>
      <c r="G368" s="267">
        <v>1.1000000000000001</v>
      </c>
      <c r="H368" s="267"/>
      <c r="I368" s="276">
        <v>85.040999999999997</v>
      </c>
    </row>
    <row r="369" spans="1:9" ht="36" x14ac:dyDescent="0.3">
      <c r="A369" s="274" t="s">
        <v>1365</v>
      </c>
      <c r="B369" s="261"/>
      <c r="C369" s="268" t="s">
        <v>1318</v>
      </c>
      <c r="D369" s="263"/>
      <c r="E369" s="263"/>
      <c r="F369" s="266" t="s">
        <v>921</v>
      </c>
      <c r="G369" s="267">
        <v>1.1000000000000001</v>
      </c>
      <c r="H369" s="269"/>
      <c r="I369" s="277">
        <v>2126.0250000000001</v>
      </c>
    </row>
    <row r="370" spans="1:9" ht="90" x14ac:dyDescent="0.3">
      <c r="A370" s="274" t="s">
        <v>1366</v>
      </c>
      <c r="B370" s="261" t="s">
        <v>1367</v>
      </c>
      <c r="C370" s="262" t="s">
        <v>1368</v>
      </c>
      <c r="D370" s="263"/>
      <c r="E370" s="263" t="s">
        <v>1369</v>
      </c>
      <c r="F370" s="263" t="s">
        <v>571</v>
      </c>
      <c r="G370" s="264">
        <v>1</v>
      </c>
      <c r="H370" s="264"/>
      <c r="I370" s="275">
        <v>279.94</v>
      </c>
    </row>
    <row r="371" spans="1:9" ht="18" x14ac:dyDescent="0.3">
      <c r="A371" s="274" t="s">
        <v>1370</v>
      </c>
      <c r="B371" s="261"/>
      <c r="C371" s="265" t="s">
        <v>962</v>
      </c>
      <c r="D371" s="263"/>
      <c r="E371" s="263"/>
      <c r="F371" s="266" t="s">
        <v>925</v>
      </c>
      <c r="G371" s="267">
        <v>0.3</v>
      </c>
      <c r="H371" s="267"/>
      <c r="I371" s="276">
        <v>83.981999999999999</v>
      </c>
    </row>
    <row r="372" spans="1:9" ht="36" x14ac:dyDescent="0.3">
      <c r="A372" s="274" t="s">
        <v>1371</v>
      </c>
      <c r="B372" s="261"/>
      <c r="C372" s="268" t="s">
        <v>942</v>
      </c>
      <c r="D372" s="263"/>
      <c r="E372" s="263"/>
      <c r="F372" s="266" t="s">
        <v>921</v>
      </c>
      <c r="G372" s="267">
        <v>4.5</v>
      </c>
      <c r="H372" s="267"/>
      <c r="I372" s="276">
        <v>1259.73</v>
      </c>
    </row>
    <row r="373" spans="1:9" ht="18" x14ac:dyDescent="0.3">
      <c r="A373" s="274" t="s">
        <v>1372</v>
      </c>
      <c r="B373" s="261"/>
      <c r="C373" s="265" t="s">
        <v>926</v>
      </c>
      <c r="D373" s="263"/>
      <c r="E373" s="263"/>
      <c r="F373" s="266" t="s">
        <v>921</v>
      </c>
      <c r="G373" s="267">
        <v>0.15</v>
      </c>
      <c r="H373" s="267"/>
      <c r="I373" s="276">
        <v>41.991</v>
      </c>
    </row>
    <row r="374" spans="1:9" ht="90" x14ac:dyDescent="0.3">
      <c r="A374" s="274" t="s">
        <v>1373</v>
      </c>
      <c r="B374" s="261" t="s">
        <v>1367</v>
      </c>
      <c r="C374" s="262" t="s">
        <v>1368</v>
      </c>
      <c r="D374" s="263"/>
      <c r="E374" s="263" t="s">
        <v>1374</v>
      </c>
      <c r="F374" s="263" t="s">
        <v>571</v>
      </c>
      <c r="G374" s="264">
        <v>1</v>
      </c>
      <c r="H374" s="264"/>
      <c r="I374" s="275">
        <v>305.22000000000003</v>
      </c>
    </row>
    <row r="375" spans="1:9" ht="18" x14ac:dyDescent="0.3">
      <c r="A375" s="274" t="s">
        <v>1375</v>
      </c>
      <c r="B375" s="261"/>
      <c r="C375" s="265" t="s">
        <v>926</v>
      </c>
      <c r="D375" s="263"/>
      <c r="E375" s="263"/>
      <c r="F375" s="266" t="s">
        <v>921</v>
      </c>
      <c r="G375" s="267">
        <v>0.15</v>
      </c>
      <c r="H375" s="267"/>
      <c r="I375" s="276">
        <v>45.783000000000001</v>
      </c>
    </row>
    <row r="376" spans="1:9" ht="36" x14ac:dyDescent="0.3">
      <c r="A376" s="274" t="s">
        <v>1376</v>
      </c>
      <c r="B376" s="261"/>
      <c r="C376" s="268" t="s">
        <v>942</v>
      </c>
      <c r="D376" s="263"/>
      <c r="E376" s="263" t="s">
        <v>980</v>
      </c>
      <c r="F376" s="266" t="s">
        <v>921</v>
      </c>
      <c r="G376" s="267">
        <v>4.5</v>
      </c>
      <c r="H376" s="267"/>
      <c r="I376" s="276">
        <v>1373.49</v>
      </c>
    </row>
    <row r="377" spans="1:9" ht="108" customHeight="1" x14ac:dyDescent="0.3">
      <c r="A377" s="274" t="s">
        <v>1377</v>
      </c>
      <c r="B377" s="261" t="s">
        <v>1367</v>
      </c>
      <c r="C377" s="262" t="s">
        <v>1368</v>
      </c>
      <c r="D377" s="263"/>
      <c r="E377" s="263" t="s">
        <v>1378</v>
      </c>
      <c r="F377" s="263" t="s">
        <v>571</v>
      </c>
      <c r="G377" s="264">
        <v>1</v>
      </c>
      <c r="H377" s="264"/>
      <c r="I377" s="275">
        <v>895.56100000000004</v>
      </c>
    </row>
    <row r="378" spans="1:9" ht="18" x14ac:dyDescent="0.3">
      <c r="A378" s="274" t="s">
        <v>1379</v>
      </c>
      <c r="B378" s="261"/>
      <c r="C378" s="265" t="s">
        <v>1380</v>
      </c>
      <c r="D378" s="263"/>
      <c r="E378" s="263"/>
      <c r="F378" s="266" t="s">
        <v>925</v>
      </c>
      <c r="G378" s="267">
        <v>0.3</v>
      </c>
      <c r="H378" s="269"/>
      <c r="I378" s="277">
        <v>591.07000000000005</v>
      </c>
    </row>
    <row r="379" spans="1:9" ht="115.05" customHeight="1" x14ac:dyDescent="0.3">
      <c r="A379" s="274" t="s">
        <v>1381</v>
      </c>
      <c r="B379" s="261" t="s">
        <v>1367</v>
      </c>
      <c r="C379" s="262" t="s">
        <v>1368</v>
      </c>
      <c r="D379" s="263"/>
      <c r="E379" s="263" t="s">
        <v>1382</v>
      </c>
      <c r="F379" s="263" t="s">
        <v>571</v>
      </c>
      <c r="G379" s="264">
        <v>1</v>
      </c>
      <c r="H379" s="264"/>
      <c r="I379" s="275">
        <v>789.13300000000004</v>
      </c>
    </row>
    <row r="380" spans="1:9" ht="18" x14ac:dyDescent="0.3">
      <c r="A380" s="274" t="s">
        <v>1383</v>
      </c>
      <c r="B380" s="261"/>
      <c r="C380" s="265" t="s">
        <v>1380</v>
      </c>
      <c r="D380" s="263"/>
      <c r="E380" s="263"/>
      <c r="F380" s="266" t="s">
        <v>925</v>
      </c>
      <c r="G380" s="267">
        <v>0.3</v>
      </c>
      <c r="H380" s="269"/>
      <c r="I380" s="277">
        <v>1302.069</v>
      </c>
    </row>
    <row r="381" spans="1:9" ht="18" x14ac:dyDescent="0.3">
      <c r="A381" s="274" t="s">
        <v>1384</v>
      </c>
      <c r="B381" s="261" t="s">
        <v>1385</v>
      </c>
      <c r="C381" s="262" t="s">
        <v>1386</v>
      </c>
      <c r="D381" s="263"/>
      <c r="E381" s="263"/>
      <c r="F381" s="263" t="s">
        <v>571</v>
      </c>
      <c r="G381" s="264">
        <v>1</v>
      </c>
      <c r="H381" s="264"/>
      <c r="I381" s="275">
        <v>0</v>
      </c>
    </row>
    <row r="382" spans="1:9" ht="18" x14ac:dyDescent="0.3">
      <c r="A382" s="274" t="s">
        <v>1387</v>
      </c>
      <c r="B382" s="261"/>
      <c r="C382" s="265" t="s">
        <v>1388</v>
      </c>
      <c r="D382" s="263"/>
      <c r="E382" s="263"/>
      <c r="F382" s="266" t="s">
        <v>925</v>
      </c>
      <c r="G382" s="267">
        <v>1</v>
      </c>
      <c r="H382" s="269"/>
      <c r="I382" s="277">
        <v>0</v>
      </c>
    </row>
    <row r="383" spans="1:9" ht="18" x14ac:dyDescent="0.3">
      <c r="A383" s="274" t="s">
        <v>1389</v>
      </c>
      <c r="B383" s="261"/>
      <c r="C383" s="265" t="s">
        <v>1390</v>
      </c>
      <c r="D383" s="263"/>
      <c r="E383" s="263"/>
      <c r="F383" s="266" t="s">
        <v>867</v>
      </c>
      <c r="G383" s="267">
        <v>1</v>
      </c>
      <c r="H383" s="269"/>
      <c r="I383" s="277">
        <v>0</v>
      </c>
    </row>
    <row r="384" spans="1:9" ht="18" x14ac:dyDescent="0.3">
      <c r="A384" s="274" t="s">
        <v>1391</v>
      </c>
      <c r="B384" s="261"/>
      <c r="C384" s="265" t="s">
        <v>899</v>
      </c>
      <c r="D384" s="263"/>
      <c r="E384" s="263"/>
      <c r="F384" s="266" t="s">
        <v>867</v>
      </c>
      <c r="G384" s="267">
        <v>1</v>
      </c>
      <c r="H384" s="269"/>
      <c r="I384" s="277">
        <v>0</v>
      </c>
    </row>
    <row r="385" spans="1:9" ht="18" x14ac:dyDescent="0.3">
      <c r="A385" s="274" t="s">
        <v>1392</v>
      </c>
      <c r="B385" s="261"/>
      <c r="C385" s="265" t="s">
        <v>1393</v>
      </c>
      <c r="D385" s="263"/>
      <c r="E385" s="263"/>
      <c r="F385" s="266" t="s">
        <v>571</v>
      </c>
      <c r="G385" s="267">
        <v>1.1000000000000001</v>
      </c>
      <c r="H385" s="269"/>
      <c r="I385" s="277">
        <v>0</v>
      </c>
    </row>
    <row r="386" spans="1:9" ht="18" x14ac:dyDescent="0.3">
      <c r="A386" s="274" t="s">
        <v>1394</v>
      </c>
      <c r="B386" s="261" t="s">
        <v>1385</v>
      </c>
      <c r="C386" s="262" t="s">
        <v>1386</v>
      </c>
      <c r="D386" s="263"/>
      <c r="E386" s="263"/>
      <c r="F386" s="263" t="s">
        <v>571</v>
      </c>
      <c r="G386" s="264">
        <v>1</v>
      </c>
      <c r="H386" s="264"/>
      <c r="I386" s="275">
        <v>0</v>
      </c>
    </row>
    <row r="387" spans="1:9" ht="18" x14ac:dyDescent="0.3">
      <c r="A387" s="274" t="s">
        <v>1395</v>
      </c>
      <c r="B387" s="261"/>
      <c r="C387" s="268" t="s">
        <v>905</v>
      </c>
      <c r="D387" s="263"/>
      <c r="E387" s="263"/>
      <c r="F387" s="266" t="s">
        <v>571</v>
      </c>
      <c r="G387" s="267">
        <v>1.1000000000000001</v>
      </c>
      <c r="H387" s="269"/>
      <c r="I387" s="277">
        <v>0</v>
      </c>
    </row>
    <row r="388" spans="1:9" ht="18" x14ac:dyDescent="0.3">
      <c r="A388" s="274" t="s">
        <v>1396</v>
      </c>
      <c r="B388" s="261"/>
      <c r="C388" s="265" t="s">
        <v>1390</v>
      </c>
      <c r="D388" s="263"/>
      <c r="E388" s="263"/>
      <c r="F388" s="266" t="s">
        <v>867</v>
      </c>
      <c r="G388" s="267">
        <v>1</v>
      </c>
      <c r="H388" s="269"/>
      <c r="I388" s="277">
        <v>0</v>
      </c>
    </row>
    <row r="389" spans="1:9" ht="18" x14ac:dyDescent="0.3">
      <c r="A389" s="274" t="s">
        <v>1397</v>
      </c>
      <c r="B389" s="261"/>
      <c r="C389" s="265" t="s">
        <v>899</v>
      </c>
      <c r="D389" s="263"/>
      <c r="E389" s="263"/>
      <c r="F389" s="266" t="s">
        <v>867</v>
      </c>
      <c r="G389" s="267">
        <v>1</v>
      </c>
      <c r="H389" s="269"/>
      <c r="I389" s="277">
        <v>0</v>
      </c>
    </row>
    <row r="390" spans="1:9" ht="18" x14ac:dyDescent="0.3">
      <c r="A390" s="274" t="s">
        <v>1398</v>
      </c>
      <c r="B390" s="261"/>
      <c r="C390" s="265" t="s">
        <v>1388</v>
      </c>
      <c r="D390" s="263"/>
      <c r="E390" s="263"/>
      <c r="F390" s="266" t="s">
        <v>925</v>
      </c>
      <c r="G390" s="267">
        <v>1</v>
      </c>
      <c r="H390" s="269"/>
      <c r="I390" s="277">
        <v>0</v>
      </c>
    </row>
    <row r="391" spans="1:9" ht="90" x14ac:dyDescent="0.3">
      <c r="A391" s="274" t="s">
        <v>1399</v>
      </c>
      <c r="B391" s="261" t="s">
        <v>1385</v>
      </c>
      <c r="C391" s="262" t="s">
        <v>1386</v>
      </c>
      <c r="D391" s="263"/>
      <c r="E391" s="263" t="s">
        <v>1400</v>
      </c>
      <c r="F391" s="263" t="s">
        <v>571</v>
      </c>
      <c r="G391" s="264">
        <v>1</v>
      </c>
      <c r="H391" s="264"/>
      <c r="I391" s="275">
        <v>118.4</v>
      </c>
    </row>
    <row r="392" spans="1:9" ht="18" x14ac:dyDescent="0.3">
      <c r="A392" s="274" t="s">
        <v>1401</v>
      </c>
      <c r="B392" s="261"/>
      <c r="C392" s="265" t="s">
        <v>1388</v>
      </c>
      <c r="D392" s="263"/>
      <c r="E392" s="263"/>
      <c r="F392" s="266" t="s">
        <v>925</v>
      </c>
      <c r="G392" s="267">
        <v>1</v>
      </c>
      <c r="H392" s="269"/>
      <c r="I392" s="277">
        <v>123</v>
      </c>
    </row>
    <row r="393" spans="1:9" ht="18" x14ac:dyDescent="0.3">
      <c r="A393" s="274" t="s">
        <v>1402</v>
      </c>
      <c r="B393" s="261"/>
      <c r="C393" s="265" t="s">
        <v>1390</v>
      </c>
      <c r="D393" s="263"/>
      <c r="E393" s="263"/>
      <c r="F393" s="266" t="s">
        <v>867</v>
      </c>
      <c r="G393" s="267">
        <v>1</v>
      </c>
      <c r="H393" s="269"/>
      <c r="I393" s="277">
        <v>592</v>
      </c>
    </row>
    <row r="394" spans="1:9" ht="18" x14ac:dyDescent="0.3">
      <c r="A394" s="274" t="s">
        <v>1403</v>
      </c>
      <c r="B394" s="261"/>
      <c r="C394" s="265" t="s">
        <v>899</v>
      </c>
      <c r="D394" s="263"/>
      <c r="E394" s="263"/>
      <c r="F394" s="266" t="s">
        <v>867</v>
      </c>
      <c r="G394" s="267">
        <v>1</v>
      </c>
      <c r="H394" s="269"/>
      <c r="I394" s="277">
        <v>178</v>
      </c>
    </row>
    <row r="395" spans="1:9" ht="18" x14ac:dyDescent="0.3">
      <c r="A395" s="274" t="s">
        <v>1404</v>
      </c>
      <c r="B395" s="261"/>
      <c r="C395" s="265" t="s">
        <v>1393</v>
      </c>
      <c r="D395" s="263"/>
      <c r="E395" s="263"/>
      <c r="F395" s="266" t="s">
        <v>571</v>
      </c>
      <c r="G395" s="267">
        <v>1.1000000000000001</v>
      </c>
      <c r="H395" s="269"/>
      <c r="I395" s="277">
        <v>130.24</v>
      </c>
    </row>
    <row r="396" spans="1:9" ht="100.05" customHeight="1" x14ac:dyDescent="0.3">
      <c r="A396" s="274" t="s">
        <v>1405</v>
      </c>
      <c r="B396" s="261" t="s">
        <v>1385</v>
      </c>
      <c r="C396" s="262" t="s">
        <v>1386</v>
      </c>
      <c r="D396" s="263"/>
      <c r="E396" s="263" t="s">
        <v>1406</v>
      </c>
      <c r="F396" s="263" t="s">
        <v>571</v>
      </c>
      <c r="G396" s="264">
        <v>1</v>
      </c>
      <c r="H396" s="264"/>
      <c r="I396" s="275">
        <v>358.7</v>
      </c>
    </row>
    <row r="397" spans="1:9" ht="18" x14ac:dyDescent="0.3">
      <c r="A397" s="274" t="s">
        <v>1407</v>
      </c>
      <c r="B397" s="261"/>
      <c r="C397" s="268" t="s">
        <v>905</v>
      </c>
      <c r="D397" s="263"/>
      <c r="E397" s="263"/>
      <c r="F397" s="266" t="s">
        <v>571</v>
      </c>
      <c r="G397" s="267">
        <v>1.1000000000000001</v>
      </c>
      <c r="H397" s="269"/>
      <c r="I397" s="277">
        <v>394.57</v>
      </c>
    </row>
    <row r="398" spans="1:9" ht="18" x14ac:dyDescent="0.3">
      <c r="A398" s="274" t="s">
        <v>1408</v>
      </c>
      <c r="B398" s="261"/>
      <c r="C398" s="265" t="s">
        <v>1390</v>
      </c>
      <c r="D398" s="263"/>
      <c r="E398" s="263"/>
      <c r="F398" s="266" t="s">
        <v>867</v>
      </c>
      <c r="G398" s="267">
        <v>1</v>
      </c>
      <c r="H398" s="269"/>
      <c r="I398" s="277">
        <v>1794</v>
      </c>
    </row>
    <row r="399" spans="1:9" ht="18" x14ac:dyDescent="0.3">
      <c r="A399" s="274" t="s">
        <v>1409</v>
      </c>
      <c r="B399" s="261"/>
      <c r="C399" s="265" t="s">
        <v>899</v>
      </c>
      <c r="D399" s="263"/>
      <c r="E399" s="263"/>
      <c r="F399" s="266" t="s">
        <v>867</v>
      </c>
      <c r="G399" s="267">
        <v>1</v>
      </c>
      <c r="H399" s="269"/>
      <c r="I399" s="277">
        <v>539</v>
      </c>
    </row>
    <row r="400" spans="1:9" ht="18" x14ac:dyDescent="0.3">
      <c r="A400" s="280" t="s">
        <v>1410</v>
      </c>
      <c r="B400" s="281"/>
      <c r="C400" s="282" t="s">
        <v>1388</v>
      </c>
      <c r="D400" s="283"/>
      <c r="E400" s="283"/>
      <c r="F400" s="284" t="s">
        <v>925</v>
      </c>
      <c r="G400" s="285">
        <v>1</v>
      </c>
      <c r="H400" s="286"/>
      <c r="I400" s="287">
        <v>374</v>
      </c>
    </row>
  </sheetData>
  <mergeCells count="3">
    <mergeCell ref="A2:I2"/>
    <mergeCell ref="A3:I3"/>
    <mergeCell ref="A4:I4"/>
  </mergeCells>
  <pageMargins left="0.7" right="0.7" top="0.75" bottom="0.75" header="0.3" footer="0.3"/>
  <pageSetup paperSize="9" scale="30" orientation="portrait" horizontalDpi="0" verticalDpi="0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88" t="s">
        <v>796</v>
      </c>
      <c r="D12" s="288">
        <v>6.1</v>
      </c>
      <c r="E12" s="288">
        <v>0</v>
      </c>
      <c r="F12" s="288">
        <v>0</v>
      </c>
      <c r="G12" s="288">
        <f t="shared" si="0"/>
        <v>6.1</v>
      </c>
    </row>
    <row r="13" spans="3:7" x14ac:dyDescent="0.25">
      <c r="C13" s="288" t="s">
        <v>797</v>
      </c>
      <c r="D13" s="288">
        <v>12.8</v>
      </c>
      <c r="E13" s="288">
        <v>11.3</v>
      </c>
      <c r="F13" s="288">
        <v>0</v>
      </c>
      <c r="G13" s="288">
        <f t="shared" si="0"/>
        <v>24.1</v>
      </c>
    </row>
    <row r="14" spans="3:7" x14ac:dyDescent="0.25">
      <c r="C14" s="288" t="s">
        <v>801</v>
      </c>
      <c r="D14" s="288">
        <v>0</v>
      </c>
      <c r="E14" s="288">
        <v>0.4</v>
      </c>
      <c r="F14" s="288">
        <v>0</v>
      </c>
      <c r="G14" s="288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</row>
    <row r="2" spans="1:8" ht="18" customHeight="1" x14ac:dyDescent="0.25">
      <c r="A2" s="289" t="s">
        <v>580</v>
      </c>
      <c r="B2" s="449" t="s">
        <v>789</v>
      </c>
      <c r="C2" s="449"/>
      <c r="D2" s="449"/>
      <c r="E2" s="449"/>
      <c r="F2" s="289" t="s">
        <v>582</v>
      </c>
      <c r="G2" s="255" t="s">
        <v>583</v>
      </c>
      <c r="H2" s="255" t="s">
        <v>584</v>
      </c>
    </row>
    <row r="3" spans="1:8" ht="50.4" customHeight="1" x14ac:dyDescent="0.25">
      <c r="A3" s="289">
        <v>1</v>
      </c>
      <c r="B3" s="456" t="s">
        <v>569</v>
      </c>
      <c r="C3" s="456"/>
      <c r="D3" s="456"/>
      <c r="E3" s="456"/>
      <c r="F3" s="290" t="s">
        <v>1416</v>
      </c>
      <c r="G3" s="253" t="s">
        <v>571</v>
      </c>
      <c r="H3" s="256">
        <f>D22</f>
        <v>1153.1373000000001</v>
      </c>
    </row>
    <row r="4" spans="1:8" ht="19.2" customHeight="1" x14ac:dyDescent="0.25">
      <c r="A4" s="453"/>
      <c r="B4" s="453"/>
      <c r="C4" s="453"/>
      <c r="D4" s="453"/>
      <c r="E4" s="453"/>
      <c r="F4" s="453"/>
      <c r="G4" s="453"/>
      <c r="H4" s="453"/>
    </row>
    <row r="5" spans="1:8" x14ac:dyDescent="0.25">
      <c r="A5" s="253" t="s">
        <v>580</v>
      </c>
      <c r="B5" s="253" t="s">
        <v>1412</v>
      </c>
      <c r="C5" s="253" t="s">
        <v>1413</v>
      </c>
      <c r="D5" s="253" t="s">
        <v>1414</v>
      </c>
      <c r="E5" s="463"/>
      <c r="F5" s="454"/>
      <c r="G5" s="454"/>
      <c r="H5" s="454"/>
    </row>
    <row r="6" spans="1:8" x14ac:dyDescent="0.25">
      <c r="A6" s="253">
        <v>1</v>
      </c>
      <c r="B6" s="303" t="s">
        <v>517</v>
      </c>
      <c r="C6" s="253" t="s">
        <v>571</v>
      </c>
      <c r="D6" s="256">
        <v>110.625</v>
      </c>
      <c r="E6" s="463"/>
      <c r="F6" s="454"/>
      <c r="G6" s="454"/>
      <c r="H6" s="454"/>
    </row>
    <row r="7" spans="1:8" x14ac:dyDescent="0.25">
      <c r="A7" s="253">
        <v>2</v>
      </c>
      <c r="B7" s="303" t="s">
        <v>518</v>
      </c>
      <c r="C7" s="253" t="s">
        <v>571</v>
      </c>
      <c r="D7" s="256">
        <v>50.179500000000004</v>
      </c>
      <c r="E7" s="463"/>
      <c r="F7" s="454"/>
      <c r="G7" s="454"/>
      <c r="H7" s="454"/>
    </row>
    <row r="8" spans="1:8" x14ac:dyDescent="0.25">
      <c r="A8" s="253">
        <v>3</v>
      </c>
      <c r="B8" s="303" t="s">
        <v>519</v>
      </c>
      <c r="C8" s="253" t="s">
        <v>571</v>
      </c>
      <c r="D8" s="256">
        <v>169.3005</v>
      </c>
      <c r="E8" s="463"/>
      <c r="F8" s="454"/>
      <c r="G8" s="454"/>
      <c r="H8" s="454"/>
    </row>
    <row r="9" spans="1:8" x14ac:dyDescent="0.25">
      <c r="A9" s="253">
        <v>4</v>
      </c>
      <c r="B9" s="303" t="s">
        <v>520</v>
      </c>
      <c r="C9" s="253" t="s">
        <v>571</v>
      </c>
      <c r="D9" s="256">
        <v>60.356999999999999</v>
      </c>
      <c r="E9" s="463"/>
      <c r="F9" s="454"/>
      <c r="G9" s="454"/>
      <c r="H9" s="454"/>
    </row>
    <row r="10" spans="1:8" x14ac:dyDescent="0.25">
      <c r="A10" s="253">
        <v>5</v>
      </c>
      <c r="B10" s="303" t="s">
        <v>521</v>
      </c>
      <c r="C10" s="253" t="s">
        <v>571</v>
      </c>
      <c r="D10" s="256">
        <v>50.268000000000001</v>
      </c>
      <c r="E10" s="463"/>
      <c r="F10" s="454"/>
      <c r="G10" s="454"/>
      <c r="H10" s="454"/>
    </row>
    <row r="11" spans="1:8" x14ac:dyDescent="0.25">
      <c r="A11" s="253">
        <v>6</v>
      </c>
      <c r="B11" s="303" t="s">
        <v>522</v>
      </c>
      <c r="C11" s="253" t="s">
        <v>571</v>
      </c>
      <c r="D11" s="256">
        <v>86.375999999999991</v>
      </c>
      <c r="E11" s="463"/>
      <c r="F11" s="454"/>
      <c r="G11" s="454"/>
      <c r="H11" s="454"/>
    </row>
    <row r="12" spans="1:8" x14ac:dyDescent="0.25">
      <c r="A12" s="253">
        <v>7</v>
      </c>
      <c r="B12" s="303" t="s">
        <v>523</v>
      </c>
      <c r="C12" s="253" t="s">
        <v>571</v>
      </c>
      <c r="D12" s="256">
        <v>48.497999999999998</v>
      </c>
      <c r="E12" s="463"/>
      <c r="F12" s="454"/>
      <c r="G12" s="454"/>
      <c r="H12" s="454"/>
    </row>
    <row r="13" spans="1:8" x14ac:dyDescent="0.25">
      <c r="A13" s="253">
        <v>8</v>
      </c>
      <c r="B13" s="303" t="s">
        <v>525</v>
      </c>
      <c r="C13" s="253" t="s">
        <v>571</v>
      </c>
      <c r="D13" s="256">
        <v>48.409500000000001</v>
      </c>
      <c r="E13" s="463"/>
      <c r="F13" s="454"/>
      <c r="G13" s="454"/>
      <c r="H13" s="454"/>
    </row>
    <row r="14" spans="1:8" x14ac:dyDescent="0.25">
      <c r="A14" s="253">
        <v>9</v>
      </c>
      <c r="B14" s="303" t="s">
        <v>526</v>
      </c>
      <c r="C14" s="253" t="s">
        <v>571</v>
      </c>
      <c r="D14" s="256">
        <v>36.816000000000003</v>
      </c>
      <c r="E14" s="463"/>
      <c r="F14" s="454"/>
      <c r="G14" s="454"/>
      <c r="H14" s="454"/>
    </row>
    <row r="15" spans="1:8" x14ac:dyDescent="0.25">
      <c r="A15" s="253">
        <v>10</v>
      </c>
      <c r="B15" s="303" t="s">
        <v>528</v>
      </c>
      <c r="C15" s="253" t="s">
        <v>571</v>
      </c>
      <c r="D15" s="256">
        <v>44.25</v>
      </c>
      <c r="E15" s="463"/>
      <c r="F15" s="454"/>
      <c r="G15" s="454"/>
      <c r="H15" s="454"/>
    </row>
    <row r="16" spans="1:8" x14ac:dyDescent="0.25">
      <c r="A16" s="253">
        <v>11</v>
      </c>
      <c r="B16" s="303" t="s">
        <v>532</v>
      </c>
      <c r="C16" s="253" t="s">
        <v>571</v>
      </c>
      <c r="D16" s="256">
        <v>20.514299999999999</v>
      </c>
      <c r="E16" s="463"/>
      <c r="F16" s="454"/>
      <c r="G16" s="454"/>
      <c r="H16" s="454"/>
    </row>
    <row r="17" spans="1:8" x14ac:dyDescent="0.25">
      <c r="A17" s="253">
        <v>12</v>
      </c>
      <c r="B17" s="303" t="s">
        <v>533</v>
      </c>
      <c r="C17" s="253" t="s">
        <v>571</v>
      </c>
      <c r="D17" s="256">
        <v>39.5595</v>
      </c>
      <c r="E17" s="463"/>
      <c r="F17" s="454"/>
      <c r="G17" s="454"/>
      <c r="H17" s="454"/>
    </row>
    <row r="18" spans="1:8" x14ac:dyDescent="0.25">
      <c r="A18" s="253">
        <v>13</v>
      </c>
      <c r="B18" s="303" t="s">
        <v>534</v>
      </c>
      <c r="C18" s="253" t="s">
        <v>571</v>
      </c>
      <c r="D18" s="256">
        <v>39.471000000000004</v>
      </c>
      <c r="E18" s="463"/>
      <c r="F18" s="454"/>
      <c r="G18" s="454"/>
      <c r="H18" s="454"/>
    </row>
    <row r="19" spans="1:8" x14ac:dyDescent="0.25">
      <c r="A19" s="253">
        <v>14</v>
      </c>
      <c r="B19" s="303" t="s">
        <v>535</v>
      </c>
      <c r="C19" s="253" t="s">
        <v>571</v>
      </c>
      <c r="D19" s="256">
        <v>59.472000000000001</v>
      </c>
      <c r="E19" s="463"/>
      <c r="F19" s="454"/>
      <c r="G19" s="454"/>
      <c r="H19" s="454"/>
    </row>
    <row r="20" spans="1:8" x14ac:dyDescent="0.25">
      <c r="A20" s="253">
        <v>15</v>
      </c>
      <c r="B20" s="303" t="s">
        <v>536</v>
      </c>
      <c r="C20" s="253" t="s">
        <v>571</v>
      </c>
      <c r="D20" s="256">
        <v>175.49550000000002</v>
      </c>
      <c r="E20" s="463"/>
      <c r="F20" s="454"/>
      <c r="G20" s="454"/>
      <c r="H20" s="454"/>
    </row>
    <row r="21" spans="1:8" x14ac:dyDescent="0.25">
      <c r="A21" s="253">
        <v>16</v>
      </c>
      <c r="B21" s="303" t="s">
        <v>560</v>
      </c>
      <c r="C21" s="253" t="s">
        <v>571</v>
      </c>
      <c r="D21" s="256">
        <v>113.5455</v>
      </c>
      <c r="E21" s="463"/>
      <c r="F21" s="454"/>
      <c r="G21" s="454"/>
      <c r="H21" s="454"/>
    </row>
    <row r="22" spans="1:8" x14ac:dyDescent="0.25">
      <c r="A22" s="253"/>
      <c r="B22" s="253" t="s">
        <v>1415</v>
      </c>
      <c r="C22" s="253" t="s">
        <v>571</v>
      </c>
      <c r="D22" s="256">
        <f>SUM(D6:D21)</f>
        <v>1153.1373000000001</v>
      </c>
      <c r="E22" s="463"/>
      <c r="F22" s="454"/>
      <c r="G22" s="454"/>
      <c r="H22" s="454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</row>
    <row r="2" spans="1:8" ht="18" customHeight="1" x14ac:dyDescent="0.25">
      <c r="A2" s="304" t="s">
        <v>580</v>
      </c>
      <c r="B2" s="449" t="s">
        <v>789</v>
      </c>
      <c r="C2" s="449"/>
      <c r="D2" s="449"/>
      <c r="E2" s="449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56" t="s">
        <v>1071</v>
      </c>
      <c r="C3" s="456"/>
      <c r="D3" s="456"/>
      <c r="E3" s="456"/>
      <c r="F3" s="305" t="s">
        <v>1417</v>
      </c>
      <c r="G3" s="253" t="s">
        <v>571</v>
      </c>
      <c r="H3" s="256">
        <f>D9</f>
        <v>1254.2</v>
      </c>
    </row>
    <row r="4" spans="1:8" ht="19.2" customHeight="1" x14ac:dyDescent="0.25">
      <c r="A4" s="453"/>
      <c r="B4" s="453"/>
      <c r="C4" s="453"/>
      <c r="D4" s="453"/>
      <c r="E4" s="453"/>
      <c r="F4" s="453"/>
      <c r="G4" s="453"/>
      <c r="H4" s="453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463"/>
      <c r="F5" s="454"/>
      <c r="G5" s="454"/>
      <c r="H5" s="454"/>
    </row>
    <row r="6" spans="1:8" x14ac:dyDescent="0.25">
      <c r="A6" s="253">
        <v>1</v>
      </c>
      <c r="B6" s="303" t="s">
        <v>1420</v>
      </c>
      <c r="C6" s="253" t="s">
        <v>571</v>
      </c>
      <c r="D6" s="256">
        <v>659.2</v>
      </c>
      <c r="E6" s="463"/>
      <c r="F6" s="454"/>
      <c r="G6" s="454"/>
      <c r="H6" s="454"/>
    </row>
    <row r="7" spans="1:8" x14ac:dyDescent="0.25">
      <c r="A7" s="253">
        <v>2</v>
      </c>
      <c r="B7" s="303" t="s">
        <v>1421</v>
      </c>
      <c r="C7" s="253" t="s">
        <v>571</v>
      </c>
      <c r="D7" s="256">
        <v>203.4</v>
      </c>
      <c r="E7" s="463"/>
      <c r="F7" s="454"/>
      <c r="G7" s="454"/>
      <c r="H7" s="454"/>
    </row>
    <row r="8" spans="1:8" x14ac:dyDescent="0.25">
      <c r="A8" s="253">
        <v>3</v>
      </c>
      <c r="B8" s="303" t="s">
        <v>1422</v>
      </c>
      <c r="C8" s="253" t="s">
        <v>571</v>
      </c>
      <c r="D8" s="256">
        <v>391.6</v>
      </c>
      <c r="E8" s="463"/>
      <c r="F8" s="454"/>
      <c r="G8" s="454"/>
      <c r="H8" s="454"/>
    </row>
    <row r="9" spans="1:8" x14ac:dyDescent="0.25">
      <c r="A9" s="253"/>
      <c r="B9" s="253" t="s">
        <v>1415</v>
      </c>
      <c r="C9" s="253" t="s">
        <v>571</v>
      </c>
      <c r="D9" s="256">
        <f>SUM(D6:D8)</f>
        <v>1254.2</v>
      </c>
      <c r="E9" s="463"/>
      <c r="F9" s="454"/>
      <c r="G9" s="454"/>
      <c r="H9" s="454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sqref="A1:H1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449" t="s">
        <v>586</v>
      </c>
      <c r="B1" s="449"/>
      <c r="C1" s="449"/>
      <c r="D1" s="449"/>
      <c r="E1" s="449"/>
      <c r="F1" s="449"/>
      <c r="G1" s="449"/>
      <c r="H1" s="449"/>
    </row>
    <row r="2" spans="1:8" ht="18" customHeight="1" x14ac:dyDescent="0.25">
      <c r="A2" s="304" t="s">
        <v>580</v>
      </c>
      <c r="B2" s="449" t="s">
        <v>789</v>
      </c>
      <c r="C2" s="449"/>
      <c r="D2" s="449"/>
      <c r="E2" s="449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456" t="s">
        <v>1071</v>
      </c>
      <c r="C3" s="456"/>
      <c r="D3" s="456"/>
      <c r="E3" s="456"/>
      <c r="F3" s="305" t="s">
        <v>1423</v>
      </c>
      <c r="G3" s="253" t="s">
        <v>571</v>
      </c>
      <c r="H3" s="256">
        <f>D9</f>
        <v>0</v>
      </c>
    </row>
    <row r="4" spans="1:8" ht="19.2" customHeight="1" x14ac:dyDescent="0.25">
      <c r="A4" s="314"/>
      <c r="B4" s="314"/>
      <c r="C4" s="314"/>
      <c r="D4" s="314"/>
      <c r="E4" s="314"/>
      <c r="F4" s="314"/>
      <c r="G4" s="314"/>
      <c r="H4" s="31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15"/>
      <c r="F5" s="252"/>
      <c r="G5" s="252"/>
      <c r="H5" s="252">
        <v>276</v>
      </c>
    </row>
    <row r="6" spans="1:8" x14ac:dyDescent="0.25">
      <c r="A6" s="253">
        <v>1</v>
      </c>
      <c r="B6" s="303"/>
      <c r="C6" s="253" t="s">
        <v>571</v>
      </c>
      <c r="D6" s="256"/>
      <c r="E6" s="315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303"/>
      <c r="C7" s="253" t="s">
        <v>571</v>
      </c>
      <c r="D7" s="256"/>
      <c r="E7" s="315"/>
      <c r="F7" s="252"/>
      <c r="G7" s="252"/>
      <c r="H7" s="252"/>
    </row>
    <row r="8" spans="1:8" x14ac:dyDescent="0.25">
      <c r="A8" s="253">
        <v>3</v>
      </c>
      <c r="B8" s="303"/>
      <c r="C8" s="253" t="s">
        <v>571</v>
      </c>
      <c r="D8" s="256"/>
      <c r="E8" s="315"/>
      <c r="F8" s="252"/>
      <c r="G8" s="252"/>
      <c r="H8" s="252"/>
    </row>
    <row r="9" spans="1:8" x14ac:dyDescent="0.25">
      <c r="A9" s="253"/>
      <c r="B9" s="253" t="s">
        <v>1415</v>
      </c>
      <c r="C9" s="253" t="s">
        <v>571</v>
      </c>
      <c r="D9" s="256">
        <f>SUM(D6:D8)</f>
        <v>0</v>
      </c>
      <c r="E9" s="315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62</vt:i4>
      </vt:variant>
    </vt:vector>
  </HeadingPairs>
  <TitlesOfParts>
    <vt:vector size="62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6.2леса</vt:lpstr>
      <vt:lpstr>3.8Деф</vt:lpstr>
      <vt:lpstr>3.3ШтРем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1.3.1FK12</vt:lpstr>
      <vt:lpstr>4.1-WD6 5</vt:lpstr>
      <vt:lpstr>1.4.1FK16 и 4 Ост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3.7-Шп.фин.отк</vt:lpstr>
      <vt:lpstr>3.6-Шп.Баз.отк</vt:lpstr>
      <vt:lpstr>3.5-Шп.фин</vt:lpstr>
      <vt:lpstr>3.4-Шп.Баз</vt:lpstr>
      <vt:lpstr>5.1-Шп.Баз прошл</vt:lpstr>
      <vt:lpstr>КП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2026-05-28T12:30:37Z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