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0" yWindow="0" windowWidth="12312" windowHeight="8340" firstSheet="36" activeTab="38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923" sheetId="89" r:id="rId18"/>
    <sheet name="912" sheetId="88" r:id="rId19"/>
    <sheet name="874" sheetId="87" r:id="rId20"/>
    <sheet name="839" sheetId="86" r:id="rId21"/>
    <sheet name="733" sheetId="84" r:id="rId22"/>
    <sheet name="696" sheetId="83" r:id="rId23"/>
    <sheet name="666" sheetId="82" r:id="rId24"/>
    <sheet name="549" sheetId="85" r:id="rId25"/>
    <sheet name="545" sheetId="81" r:id="rId26"/>
    <sheet name="542" sheetId="80" r:id="rId27"/>
    <sheet name="538" sheetId="79" r:id="rId28"/>
    <sheet name="522" sheetId="78" r:id="rId29"/>
    <sheet name="518" sheetId="77" r:id="rId30"/>
    <sheet name="501" sheetId="76" r:id="rId31"/>
    <sheet name="488" sheetId="75" r:id="rId32"/>
    <sheet name="WD" sheetId="68" r:id="rId33"/>
    <sheet name="6.5ПГП4в" sheetId="71" r:id="rId34"/>
    <sheet name="6.4блк4в" sheetId="70" r:id="rId35"/>
    <sheet name="6.3крп4в" sheetId="69" r:id="rId36"/>
    <sheet name="6.2леса" sheetId="60" r:id="rId37"/>
    <sheet name="3.8Деф" sheetId="65" r:id="rId38"/>
    <sheet name="4.2РВР" sheetId="67" r:id="rId39"/>
    <sheet name="4.1" sheetId="66" r:id="rId40"/>
    <sheet name="3.3ШтРем" sheetId="59" r:id="rId41"/>
    <sheet name="Лист1" sheetId="51" state="hidden" r:id="rId42"/>
    <sheet name="-1эт" sheetId="18" state="hidden" r:id="rId43"/>
    <sheet name="1эт" sheetId="19" state="hidden" r:id="rId44"/>
    <sheet name="2эт" sheetId="20" state="hidden" r:id="rId45"/>
    <sheet name="3эт" sheetId="21" state="hidden" r:id="rId46"/>
    <sheet name="-1этСтен" sheetId="22" state="hidden" r:id="rId47"/>
    <sheet name="1этСтен" sheetId="23" state="hidden" r:id="rId48"/>
    <sheet name="2этСтен" sheetId="24" state="hidden" r:id="rId49"/>
    <sheet name="3этСтен" sheetId="25" state="hidden" r:id="rId50"/>
    <sheet name="Из КП" sheetId="27" r:id="rId51"/>
    <sheet name="1.1-Ст" sheetId="28" r:id="rId52"/>
    <sheet name="1.1п" sheetId="30" r:id="rId53"/>
    <sheet name="1.2-Ст" sheetId="32" r:id="rId54"/>
    <sheet name="1.2п" sheetId="31" state="hidden" r:id="rId55"/>
    <sheet name="1.3-Ст" sheetId="33" r:id="rId56"/>
    <sheet name="1.3п" sheetId="35" r:id="rId57"/>
    <sheet name="1.3.1FK12" sheetId="57" r:id="rId58"/>
    <sheet name="4.1-WD6 5" sheetId="58" r:id="rId59"/>
    <sheet name="1.4.1FK16 и 4 Ост" sheetId="55" r:id="rId60"/>
    <sheet name="1.4-Ст" sheetId="34" r:id="rId61"/>
    <sheet name="2.1-Ст" sheetId="39" r:id="rId62"/>
    <sheet name="2.1п" sheetId="36" r:id="rId63"/>
    <sheet name="2.2-Ст" sheetId="40" r:id="rId64"/>
    <sheet name="2.2п" sheetId="37" r:id="rId65"/>
    <sheet name="2.3-Ст" sheetId="41" r:id="rId66"/>
    <sheet name="2.3п" sheetId="38" r:id="rId67"/>
    <sheet name="3.1-Ст" sheetId="45" r:id="rId68"/>
    <sheet name="3.1п" sheetId="42" r:id="rId69"/>
    <sheet name="3.2-Ст" sheetId="46" r:id="rId70"/>
    <sheet name="3.2п" sheetId="44" r:id="rId71"/>
    <sheet name="3.3п" sheetId="43" r:id="rId72"/>
    <sheet name="1Дм" sheetId="47" r:id="rId73"/>
    <sheet name="3.7-Шп.фин.отк" sheetId="63" r:id="rId74"/>
    <sheet name="3.6-Шп.Баз.отк" sheetId="64" r:id="rId75"/>
    <sheet name="5.5Фн4в" sheetId="74" r:id="rId76"/>
    <sheet name="5.4Бз4в" sheetId="73" r:id="rId77"/>
    <sheet name="3.5-Шп.фин" sheetId="62" r:id="rId78"/>
    <sheet name="3.4-Шп.Баз" sheetId="61" r:id="rId79"/>
    <sheet name="5.2Баз4в" sheetId="72" r:id="rId80"/>
    <sheet name="5.1-Шп.Баз прошл" sheetId="48" r:id="rId81"/>
    <sheet name="Перегр" sheetId="49" r:id="rId82"/>
    <sheet name="1.5-FK9" sheetId="52" r:id="rId83"/>
    <sheet name="1.6-FK13" sheetId="53" r:id="rId84"/>
    <sheet name="1.7-FK2" sheetId="54" r:id="rId85"/>
  </sheets>
  <calcPr calcId="152511"/>
</workbook>
</file>

<file path=xl/calcChain.xml><?xml version="1.0" encoding="utf-8"?>
<calcChain xmlns="http://schemas.openxmlformats.org/spreadsheetml/2006/main">
  <c r="G28" i="67" l="1"/>
  <c r="G33" i="67"/>
  <c r="G24" i="67"/>
  <c r="C15" i="67"/>
  <c r="C44" i="67"/>
  <c r="C34" i="67"/>
  <c r="C24" i="67"/>
  <c r="C23" i="67"/>
  <c r="C37" i="67"/>
  <c r="G36" i="67" l="1"/>
  <c r="D19" i="70"/>
  <c r="D30" i="70" s="1"/>
  <c r="O4" i="70" s="1"/>
  <c r="D21" i="70"/>
  <c r="N19" i="70"/>
  <c r="N26" i="70" s="1"/>
  <c r="O6" i="70" s="1"/>
  <c r="N34" i="70"/>
  <c r="O8" i="70" s="1"/>
  <c r="I34" i="70"/>
  <c r="O7" i="70" s="1"/>
  <c r="C33" i="71"/>
  <c r="C32" i="71"/>
  <c r="I28" i="71"/>
  <c r="D25" i="71"/>
  <c r="N24" i="71"/>
  <c r="D34" i="70"/>
  <c r="O3" i="70" s="1"/>
  <c r="I21" i="70"/>
  <c r="O5" i="70" s="1"/>
  <c r="J18" i="68" l="1"/>
  <c r="G18" i="68"/>
  <c r="E18" i="68"/>
  <c r="I15" i="66" l="1"/>
  <c r="G15" i="66"/>
  <c r="C17" i="66"/>
  <c r="I12" i="66"/>
  <c r="G12" i="66"/>
  <c r="F12" i="66"/>
  <c r="D12" i="66"/>
  <c r="C12" i="66"/>
  <c r="B12" i="66"/>
  <c r="E12" i="66"/>
  <c r="C15" i="66"/>
  <c r="C16" i="66" s="1"/>
  <c r="J4" i="66" s="1"/>
  <c r="B14" i="66"/>
  <c r="C18" i="66" l="1"/>
  <c r="I16" i="66"/>
  <c r="I18" i="66" s="1"/>
  <c r="J9" i="66" l="1"/>
  <c r="G16" i="66"/>
  <c r="F16" i="66"/>
  <c r="E16" i="66"/>
  <c r="D16" i="66"/>
  <c r="B16" i="66"/>
  <c r="J5" i="66" l="1"/>
  <c r="D18" i="66"/>
  <c r="J3" i="66"/>
  <c r="B18" i="66"/>
  <c r="J6" i="66"/>
  <c r="E18" i="66"/>
  <c r="J7" i="66"/>
  <c r="F18" i="66"/>
  <c r="J8" i="66"/>
  <c r="G18" i="66"/>
  <c r="G3" i="65"/>
  <c r="G26" i="65" l="1"/>
  <c r="G5" i="65" s="1"/>
  <c r="C26" i="65"/>
  <c r="G4" i="65" l="1"/>
  <c r="G18" i="64"/>
  <c r="K19" i="64"/>
  <c r="C11" i="64"/>
  <c r="G17" i="63"/>
  <c r="K15" i="63"/>
  <c r="C8" i="63"/>
  <c r="J3" i="63" s="1"/>
  <c r="K24" i="62"/>
  <c r="G32" i="62"/>
  <c r="C20" i="62"/>
  <c r="G45" i="61"/>
  <c r="K42" i="61"/>
  <c r="C39" i="61"/>
  <c r="J3" i="61" s="1"/>
  <c r="J3" i="64" l="1"/>
  <c r="J3" i="62"/>
  <c r="C7" i="60" l="1"/>
  <c r="C14" i="60"/>
  <c r="C13" i="60"/>
  <c r="C12" i="60"/>
  <c r="C11" i="60"/>
  <c r="C10" i="60"/>
  <c r="C9" i="60"/>
  <c r="C8" i="60"/>
  <c r="C6" i="60"/>
  <c r="C15" i="60" l="1"/>
  <c r="E3" i="60" s="1"/>
  <c r="D14" i="59" l="1"/>
  <c r="F14" i="59"/>
  <c r="C14" i="59"/>
  <c r="E14" i="59"/>
  <c r="G14" i="59"/>
  <c r="B14" i="59"/>
  <c r="K4" i="58" l="1"/>
  <c r="K3" i="58"/>
  <c r="D11" i="57" l="1"/>
  <c r="D16" i="57"/>
  <c r="I12" i="57"/>
  <c r="K4" i="55"/>
  <c r="K3" i="57" l="1"/>
  <c r="C26" i="55"/>
  <c r="D26" i="55" s="1"/>
  <c r="C20" i="55"/>
  <c r="D20" i="55" s="1"/>
  <c r="D25" i="55"/>
  <c r="D24" i="55"/>
  <c r="D23" i="55"/>
  <c r="D22" i="55"/>
  <c r="D21" i="55"/>
  <c r="D19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D27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</calcChain>
</file>

<file path=xl/sharedStrings.xml><?xml version="1.0" encoding="utf-8"?>
<sst xmlns="http://schemas.openxmlformats.org/spreadsheetml/2006/main" count="7229" uniqueCount="1027">
  <si>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</si>
  <si>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</si>
  <si>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</si>
  <si>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</si>
  <si>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</si>
  <si>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</si>
  <si>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</si>
  <si>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</si>
  <si>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</si>
  <si>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</si>
  <si>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</si>
  <si>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</si>
  <si>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</si>
  <si>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</si>
  <si>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</si>
  <si>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</si>
  <si>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</si>
  <si>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</si>
  <si>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</si>
  <si>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</si>
  <si>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</si>
  <si>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</si>
  <si>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</si>
  <si>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</si>
  <si>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</si>
  <si>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</si>
  <si>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</si>
  <si>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</si>
  <si>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</si>
  <si>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</si>
  <si>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</si>
  <si>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</si>
  <si>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</si>
  <si>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</si>
  <si>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</si>
  <si>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</si>
  <si>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</si>
  <si>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</si>
  <si>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</si>
  <si>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</si>
  <si>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</si>
  <si>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</si>
  <si>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</si>
  <si>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</si>
  <si>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</si>
  <si>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</si>
  <si>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</si>
  <si>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</si>
  <si>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</si>
  <si>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</si>
  <si>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</si>
  <si>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</si>
  <si>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</si>
  <si>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</si>
  <si>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</si>
  <si>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</si>
  <si>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</si>
  <si>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</si>
  <si>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</si>
  <si>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</si>
  <si>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</si>
  <si>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</si>
  <si>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</si>
  <si>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</si>
  <si>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</si>
  <si>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</si>
  <si>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</si>
  <si>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</si>
  <si>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</si>
  <si>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</si>
  <si>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</si>
  <si>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</si>
  <si>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</si>
  <si>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</si>
  <si>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</si>
  <si>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</si>
  <si>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</si>
  <si>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</si>
  <si>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</si>
  <si>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</si>
  <si>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</si>
  <si>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</si>
  <si>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</si>
  <si>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</si>
  <si>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</si>
  <si>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</si>
  <si>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</si>
  <si>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</si>
  <si>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</si>
  <si>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</si>
  <si>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</si>
  <si>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</si>
  <si>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</si>
  <si>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</si>
  <si>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</si>
  <si>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</si>
  <si>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</si>
  <si>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</si>
  <si>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</si>
  <si>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</si>
  <si>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</si>
  <si>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</si>
  <si>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</si>
  <si>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</si>
  <si>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</si>
  <si>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</si>
  <si>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</si>
  <si>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</si>
  <si>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</si>
  <si>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</si>
  <si>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</si>
  <si>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</si>
  <si>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</si>
  <si>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</si>
  <si>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</si>
  <si>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</si>
  <si>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</si>
  <si>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</si>
  <si>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</si>
  <si>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</si>
  <si>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</si>
  <si>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</si>
  <si>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</si>
  <si>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</si>
  <si>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</si>
  <si>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</si>
  <si>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</si>
  <si>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</si>
  <si>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</si>
  <si>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</si>
  <si>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</si>
  <si>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</si>
  <si>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</si>
  <si>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</si>
  <si>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</si>
  <si>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</si>
  <si>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</si>
  <si>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</si>
  <si>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</si>
  <si>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</si>
  <si>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</si>
  <si>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</si>
  <si>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</si>
  <si>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</si>
  <si>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</si>
  <si>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</si>
  <si>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</si>
  <si>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</si>
  <si>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</si>
  <si>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</si>
  <si>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</si>
  <si>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</si>
  <si>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</si>
  <si>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</si>
  <si>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</si>
  <si>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</si>
  <si>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</si>
  <si>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</si>
  <si>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</si>
  <si>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</si>
  <si>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</si>
  <si>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</si>
  <si>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</si>
  <si>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</si>
  <si>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</si>
  <si>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</si>
  <si>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</si>
  <si>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</si>
  <si>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</si>
  <si>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</si>
  <si>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</si>
  <si>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</si>
  <si>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</si>
  <si>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</si>
  <si>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</si>
  <si>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</si>
  <si>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</si>
  <si>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</si>
  <si>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</si>
  <si>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</si>
  <si>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</si>
  <si>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</si>
  <si>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</si>
  <si>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</si>
  <si>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</si>
  <si>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</si>
  <si>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</si>
  <si>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</si>
  <si>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</si>
  <si>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</si>
  <si>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</si>
  <si>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</si>
  <si>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</si>
  <si>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</si>
  <si>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</si>
  <si>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</si>
  <si>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</si>
  <si>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</si>
  <si>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</si>
  <si>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</si>
  <si>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</si>
  <si>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</si>
  <si>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</si>
  <si>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</si>
  <si>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</si>
  <si>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</si>
  <si>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</si>
  <si>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</si>
  <si>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</si>
  <si>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</si>
  <si>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</si>
  <si>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</si>
  <si>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</si>
  <si>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</si>
  <si>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</si>
  <si>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</si>
  <si>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</si>
  <si>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</si>
  <si>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</si>
  <si>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</si>
  <si>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</si>
  <si>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</si>
  <si>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</si>
  <si>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</si>
  <si>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</si>
  <si>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</si>
  <si>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</si>
  <si>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</si>
  <si>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</si>
  <si>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</si>
  <si>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</si>
  <si>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</si>
  <si>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</si>
  <si>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</si>
  <si>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</si>
  <si>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</si>
  <si>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</si>
  <si>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</si>
  <si>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</si>
  <si>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</si>
  <si>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</si>
  <si>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</si>
  <si>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</si>
  <si>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</si>
  <si>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</si>
  <si>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</si>
  <si>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</si>
  <si>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</si>
  <si>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</si>
  <si>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</si>
  <si>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</si>
  <si>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</si>
  <si>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</si>
  <si>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</si>
  <si>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</si>
  <si>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</si>
  <si>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</si>
  <si>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</si>
  <si>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</si>
  <si>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</si>
  <si>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</si>
  <si>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</si>
  <si>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</si>
  <si>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</si>
  <si>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</si>
  <si>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</si>
  <si>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</si>
  <si>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</si>
  <si>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</si>
  <si>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</si>
  <si>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</si>
  <si>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</si>
  <si>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</si>
  <si>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</si>
  <si>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</si>
  <si>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</si>
  <si>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</si>
  <si>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</si>
  <si>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</si>
  <si>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</si>
  <si>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</si>
  <si>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</si>
  <si>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</si>
  <si>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</si>
  <si>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</si>
  <si>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</si>
  <si>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</si>
  <si>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</si>
  <si>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</si>
  <si>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</si>
  <si>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</si>
  <si>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</si>
  <si>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</si>
  <si>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</si>
  <si>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</si>
  <si>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</si>
  <si>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</si>
  <si>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</si>
  <si>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</si>
  <si>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</si>
  <si>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</si>
  <si>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</si>
  <si>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</si>
  <si>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</si>
  <si>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</si>
  <si>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</si>
  <si>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</si>
  <si>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</si>
  <si>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</si>
  <si>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</si>
  <si>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</si>
  <si>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</si>
  <si>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</si>
  <si>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</si>
  <si>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</si>
  <si>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</si>
  <si>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</si>
  <si>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</si>
  <si>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</si>
  <si>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</si>
  <si>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</si>
  <si>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</si>
  <si>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</si>
  <si>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</si>
  <si>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</si>
  <si>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</si>
  <si>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</si>
  <si>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</si>
  <si>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</si>
  <si>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</si>
  <si>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</si>
  <si>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</si>
  <si>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</si>
  <si>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</si>
  <si>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</si>
  <si>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</si>
  <si>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</si>
  <si>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</si>
  <si>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</si>
  <si>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</si>
  <si>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</si>
  <si>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</si>
  <si>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</si>
  <si>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</si>
  <si>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</si>
  <si>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</si>
  <si>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</si>
  <si>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</si>
  <si>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</si>
  <si>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</si>
  <si>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</si>
  <si>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</si>
  <si>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</si>
  <si>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</si>
  <si>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</si>
  <si>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</si>
  <si>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</si>
  <si>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</si>
  <si>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</si>
  <si>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</si>
  <si>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</si>
  <si>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</si>
  <si>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</si>
  <si>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</si>
  <si>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</si>
  <si>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</si>
  <si>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</si>
  <si>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</si>
  <si>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</si>
  <si>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</si>
  <si>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</si>
  <si>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</si>
  <si>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</si>
  <si>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</si>
  <si>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</si>
  <si>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</si>
  <si>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</si>
  <si>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</si>
  <si>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</si>
  <si>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</si>
  <si>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</si>
  <si>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</si>
  <si>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</si>
  <si>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</si>
  <si>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</si>
  <si>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</si>
  <si>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</si>
  <si>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</si>
  <si>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</si>
  <si>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</si>
  <si>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</si>
  <si>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</si>
  <si>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</si>
  <si>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</si>
  <si>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</si>
  <si>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</si>
  <si>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</si>
  <si>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</si>
  <si>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</si>
  <si>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</si>
  <si>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</si>
  <si>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</si>
  <si>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</si>
  <si>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</si>
  <si>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</si>
  <si>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</si>
  <si>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</si>
  <si>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</si>
  <si>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</si>
  <si>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</si>
  <si>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</si>
  <si>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</si>
  <si>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</si>
  <si>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</si>
  <si>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</si>
  <si>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</si>
  <si>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</si>
  <si>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</si>
  <si>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</si>
  <si>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</si>
  <si>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</si>
  <si>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</si>
  <si>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</si>
  <si>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</si>
  <si>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</si>
  <si>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</si>
  <si>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</si>
  <si>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</si>
  <si>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</si>
  <si>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</si>
  <si>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</si>
  <si>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</si>
  <si>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</si>
  <si>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</si>
  <si>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</si>
  <si>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</si>
  <si>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</si>
  <si>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</si>
  <si>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</si>
  <si>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</si>
  <si>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</si>
  <si>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</si>
  <si>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</si>
  <si>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</si>
  <si>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</si>
  <si>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</si>
  <si>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</si>
  <si>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</si>
  <si>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</si>
  <si>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</si>
  <si>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</si>
  <si>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</si>
  <si>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</si>
  <si>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</si>
  <si>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</si>
  <si>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</si>
  <si>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</si>
  <si>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</si>
  <si>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</si>
  <si>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</si>
  <si>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</si>
  <si>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</si>
  <si>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</si>
  <si>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</si>
  <si>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</si>
  <si>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</si>
  <si>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</si>
  <si>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</si>
  <si>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</si>
  <si>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</si>
  <si>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</si>
  <si>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</si>
  <si>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</si>
  <si>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</si>
  <si>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</si>
  <si>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</si>
  <si>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</si>
  <si>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</si>
  <si>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</si>
  <si>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</si>
  <si>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</si>
  <si>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</si>
  <si>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</si>
  <si>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</si>
  <si>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</si>
  <si>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</si>
  <si>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</si>
  <si>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</si>
  <si>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</si>
  <si>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</si>
  <si>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</si>
  <si>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</si>
  <si>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</si>
  <si>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</si>
  <si>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</si>
  <si>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</si>
  <si>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</si>
  <si>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</si>
  <si>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</si>
  <si>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</si>
  <si>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</si>
  <si>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</si>
  <si>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</si>
  <si>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</si>
  <si>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</si>
  <si>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</si>
  <si>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</si>
  <si>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</si>
  <si>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</si>
  <si>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</si>
  <si>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</si>
  <si>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</si>
  <si>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</si>
  <si>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</si>
  <si>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</si>
  <si>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</si>
  <si>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</si>
  <si>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</si>
  <si>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</si>
  <si>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</si>
  <si>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</si>
  <si>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</si>
  <si>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</si>
  <si>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</si>
  <si>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</si>
  <si>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</si>
  <si>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</si>
  <si>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</si>
  <si>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</si>
  <si>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</si>
  <si>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</si>
  <si>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</si>
  <si>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</si>
  <si>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</si>
  <si>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</si>
  <si>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</si>
  <si>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</si>
  <si>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</si>
  <si>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</si>
  <si>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</si>
  <si>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</si>
  <si>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</si>
  <si>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</si>
  <si>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</si>
  <si>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</si>
  <si>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</si>
  <si>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</si>
  <si>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</si>
  <si>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</si>
  <si>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</si>
  <si>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</si>
  <si>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</si>
  <si>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</si>
  <si>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</si>
  <si>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</si>
  <si>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</si>
  <si>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</si>
  <si>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</si>
  <si>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</si>
  <si>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</si>
  <si>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</si>
  <si>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</si>
  <si>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</si>
  <si>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</si>
  <si>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</si>
  <si>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</si>
  <si>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</si>
  <si>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</si>
  <si>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</si>
  <si>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</si>
  <si>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</si>
  <si>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</si>
  <si>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</si>
  <si>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</si>
  <si>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</si>
  <si>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</si>
  <si>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</si>
  <si>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</si>
  <si>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</si>
  <si>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</si>
  <si>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</si>
  <si>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</si>
  <si>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</si>
  <si>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</si>
  <si>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</si>
  <si>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</si>
  <si>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</si>
  <si>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</si>
  <si>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</si>
  <si>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</si>
  <si>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</si>
  <si>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</si>
  <si>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</si>
  <si>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</si>
  <si>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</si>
  <si>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</si>
  <si>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</si>
  <si>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</si>
  <si>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</si>
  <si>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</si>
  <si>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</si>
  <si>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</si>
  <si>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</si>
  <si>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</si>
  <si>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</si>
  <si>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</si>
  <si>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</si>
  <si>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</si>
  <si>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</si>
  <si>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</si>
  <si>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</si>
  <si>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</si>
  <si>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</si>
  <si>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</si>
  <si>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</si>
  <si>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</si>
  <si>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</si>
  <si>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</si>
  <si>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</si>
  <si>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</si>
  <si>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</si>
  <si>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</si>
  <si>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</si>
  <si>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</si>
  <si>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</si>
  <si>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</si>
  <si>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</si>
  <si>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</si>
  <si>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</si>
  <si>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</si>
  <si>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</si>
  <si>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</si>
  <si>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</si>
  <si>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</si>
  <si>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</si>
  <si>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</si>
  <si>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</si>
  <si>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</si>
  <si>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</si>
  <si>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</si>
  <si>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</si>
  <si>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</si>
  <si>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</si>
  <si>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</si>
  <si>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</si>
  <si>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</si>
  <si>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</si>
  <si>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</si>
  <si>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</si>
  <si>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</si>
  <si>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</si>
  <si>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</si>
  <si>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</si>
  <si>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</si>
  <si>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</si>
  <si>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</si>
  <si>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</si>
  <si>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</si>
  <si>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</si>
  <si>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</si>
  <si>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</si>
  <si>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</si>
  <si>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</si>
  <si>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</si>
  <si>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</si>
  <si>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</si>
  <si>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</si>
  <si>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</si>
  <si>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</si>
  <si>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</si>
  <si>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</si>
  <si>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</si>
  <si>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</si>
  <si>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</si>
  <si>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</si>
  <si>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</si>
  <si>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</si>
  <si>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</si>
  <si>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</si>
  <si>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</si>
  <si>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</si>
  <si>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</si>
  <si>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</si>
  <si>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</si>
  <si>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</si>
  <si>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</si>
  <si>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</si>
  <si>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</si>
  <si>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</si>
  <si>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</si>
  <si>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</si>
  <si>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</si>
  <si>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</si>
  <si>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</si>
  <si>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</si>
  <si>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</si>
  <si>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</si>
  <si>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</si>
  <si>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</si>
  <si>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</si>
  <si>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</si>
  <si>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</si>
  <si>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</si>
  <si>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</si>
  <si>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</si>
  <si>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</si>
  <si>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</si>
  <si>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</si>
  <si>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</si>
  <si>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</si>
  <si>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</si>
  <si>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</si>
  <si>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</si>
  <si>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</si>
  <si>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</si>
  <si>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</si>
  <si>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</si>
  <si>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</si>
  <si>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</si>
  <si>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</si>
  <si>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</si>
  <si>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</si>
  <si>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</si>
  <si>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</si>
  <si>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</si>
  <si>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</si>
  <si>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</si>
  <si>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</si>
  <si>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</si>
  <si>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</si>
  <si>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</si>
  <si>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</si>
  <si>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</si>
  <si>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</si>
  <si>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</si>
  <si>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</si>
  <si>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</si>
  <si>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</si>
  <si>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</si>
  <si>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</si>
  <si>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</si>
  <si>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</si>
  <si>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</si>
  <si>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</si>
  <si>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</si>
  <si>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</si>
  <si>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</si>
  <si>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</si>
  <si>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</si>
  <si>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</si>
  <si>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</si>
  <si>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</si>
  <si>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</si>
  <si>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</si>
  <si>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</si>
  <si>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</si>
  <si>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</si>
  <si>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</si>
  <si>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</si>
  <si>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</si>
  <si>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</si>
  <si>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</si>
  <si>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</si>
  <si>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</si>
  <si>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</si>
  <si>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</si>
  <si>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</si>
  <si>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</si>
  <si>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</si>
  <si>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</si>
  <si>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</si>
  <si>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</si>
  <si>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</si>
  <si>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</si>
  <si>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</si>
  <si>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</si>
  <si>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</si>
  <si>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</si>
  <si>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</si>
  <si>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</si>
  <si>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</si>
  <si>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</si>
  <si>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</si>
  <si>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</si>
  <si>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</si>
  <si>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</si>
  <si>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</si>
  <si>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</si>
  <si>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</si>
  <si>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</si>
  <si>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</si>
  <si>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</si>
  <si>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</si>
  <si>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</si>
  <si>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</si>
  <si>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</si>
  <si>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</si>
  <si>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</si>
  <si>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</si>
  <si>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</si>
  <si>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</si>
  <si>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</si>
  <si>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</si>
  <si>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</si>
  <si>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10</t>
  </si>
  <si>
    <t>6</t>
  </si>
  <si>
    <t>Монтаж, демонтаж, аренда строительных лесов</t>
  </si>
  <si>
    <t>м3</t>
  </si>
  <si>
    <t>Лакокрасочные работы СКБ / окраска стен / в 2 слоя</t>
  </si>
  <si>
    <t>Штукатурка поверхностей откосов сухими смесями с предварительной огрунтовкой поверхности / толщ. свыше 20 мм</t>
  </si>
  <si>
    <t>Зашивка приборов отопления / ГВЛВ / в 2 слоя на каркасе</t>
  </si>
  <si>
    <t>1, 2, 3 этажи. Тип:WD6. ГКЛ 2 слоя КНАУФ-Файерборд (толщина 12,5 мм) на металлическом каркасе с решеткой для воздухообмена.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</si>
  <si>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</si>
  <si>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</si>
  <si>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</si>
  <si>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</si>
  <si>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</si>
  <si>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</si>
  <si>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</si>
  <si>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</si>
  <si>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</si>
  <si>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</si>
  <si>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</si>
  <si>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</si>
  <si>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</si>
  <si>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</si>
  <si>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</si>
  <si>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</si>
  <si>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</si>
  <si>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</si>
  <si>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</si>
  <si>
    <t>Сумма:</t>
  </si>
  <si>
    <t>Гипсовая по бетону + Бетонконтакт, м2</t>
  </si>
  <si>
    <t>Гипсовая по Блоку ячеистому, кирпичу и ПГП + Грунт глубокого проникновения, м2</t>
  </si>
  <si>
    <t>Гипсовая по блоку, кирпичу и ПГП + грунт глубокого проникновения, м2</t>
  </si>
  <si>
    <t>Цементная + Грунт глубокого проникновения (по бетону, блоку ячеистому и ПГП под плитку), м2</t>
  </si>
  <si>
    <t xml:space="preserve">Штукатурка стен  </t>
  </si>
  <si>
    <t>Штукатурка колонн и простенков до 500 мм</t>
  </si>
  <si>
    <t>1 этаж</t>
  </si>
  <si>
    <t>2 этаж</t>
  </si>
  <si>
    <t>3 этаж</t>
  </si>
  <si>
    <r>
      <rPr>
        <b/>
        <sz val="12"/>
        <rFont val="ГОСТ тип А"/>
        <family val="2"/>
        <charset val="204"/>
      </rPr>
      <t xml:space="preserve">Гипсовая </t>
    </r>
    <r>
      <rPr>
        <sz val="12"/>
        <rFont val="ГОСТ тип А"/>
        <family val="2"/>
        <charset val="204"/>
      </rPr>
      <t xml:space="preserve">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</si>
  <si>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 ячеистому, кирпичу и ПГП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</si>
  <si>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Цементная</t>
    </r>
    <r>
      <rPr>
        <sz val="12"/>
        <rFont val="ГОСТ тип А"/>
        <family val="2"/>
        <charset val="204"/>
      </rPr>
      <t xml:space="preserve">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плитку),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</si>
  <si>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</si>
  <si>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блоку, кирпичу и ПГП + грунт глубокого проникновения, м2</t>
    </r>
  </si>
  <si>
    <r>
      <rPr>
        <b/>
        <sz val="12"/>
        <rFont val="ГОСТ тип А"/>
        <family val="2"/>
        <charset val="204"/>
      </rPr>
      <t>Цементная + 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плитку, м2</t>
    </r>
  </si>
  <si>
    <t>№ п.п</t>
  </si>
  <si>
    <t>№ пом</t>
  </si>
  <si>
    <t>Объем, м2:</t>
  </si>
  <si>
    <t>ММП(1.04)</t>
  </si>
  <si>
    <t>3.22</t>
  </si>
  <si>
    <t>Ремонт гипсовой шпаклевки стен, колонн, простенок ш. до 500 мм. Базовый слой 2 мм.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</si>
  <si>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</si>
  <si>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</si>
  <si>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</si>
  <si>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</si>
  <si>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</si>
  <si>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</si>
  <si>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</si>
  <si>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</si>
  <si>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</si>
  <si>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</si>
  <si>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</si>
  <si>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</si>
  <si>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</si>
  <si>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</si>
  <si>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</si>
  <si>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</si>
  <si>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</si>
  <si>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</si>
  <si>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</si>
  <si>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</si>
  <si>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</si>
  <si>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</si>
  <si>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</si>
  <si>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</si>
  <si>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</si>
  <si>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</si>
  <si>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</si>
  <si>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53</t>
  </si>
  <si>
    <t>54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</si>
  <si>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</si>
  <si>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</si>
  <si>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</si>
  <si>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</si>
  <si>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</si>
  <si>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</si>
  <si>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</si>
  <si>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</si>
  <si>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</si>
  <si>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</si>
  <si>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</si>
  <si>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55</t>
  </si>
  <si>
    <t>56</t>
  </si>
  <si>
    <t>57</t>
  </si>
  <si>
    <t>58</t>
  </si>
  <si>
    <t>4</t>
  </si>
  <si>
    <t>5</t>
  </si>
  <si>
    <t>7</t>
  </si>
  <si>
    <t>8</t>
  </si>
  <si>
    <t>9</t>
  </si>
  <si>
    <t>11</t>
  </si>
  <si>
    <t>12</t>
  </si>
  <si>
    <t>13</t>
  </si>
  <si>
    <t>14</t>
  </si>
  <si>
    <t>Ремонт гипсовой шпаклевки откосов. Базовый слой 2 мм.</t>
  </si>
  <si>
    <t>Ремонт гипсовой шпаклевки откосов. Финишный слой.</t>
  </si>
  <si>
    <t>Ремонт гипсовой шпаклевки стен, колонн, простенок ш. до 500 мм. Финишный слой.</t>
  </si>
  <si>
    <t xml:space="preserve">Пом. </t>
  </si>
  <si>
    <t>Шпаклевка, шлифовка</t>
  </si>
  <si>
    <t>Покраска</t>
  </si>
  <si>
    <t>Демонтаж шпаклевки.</t>
  </si>
  <si>
    <t>Покраска стен 2 слоя</t>
  </si>
  <si>
    <t>Подготовка поверхности СКБ / стен / ЖБ /
Ремонт гипсовой шпаклевки откосов. Финишный слой 5 мм.</t>
  </si>
  <si>
    <t>Штукатурка откосов т. 60 мм, шириной 320 мм.</t>
  </si>
  <si>
    <t>Шпаклевка стен, базовая</t>
  </si>
  <si>
    <t>Шпаклевка стен, финишная</t>
  </si>
  <si>
    <t>Гипсовыми смесями базовая + грунтовка глубокого проникновения</t>
  </si>
  <si>
    <t>Гипсовыми смесями финишная + грунтовка глубокого проникновения</t>
  </si>
  <si>
    <t>КНАУФ (по ПГП под плитку), м2</t>
  </si>
  <si>
    <t>Штукатурка стен ,  колонн и простенков до 500 мм</t>
  </si>
  <si>
    <t>Затарка материала вручную на 2-й и 3-й этаж</t>
  </si>
  <si>
    <t>Штукатурка стен сухими смесями с установкой маяков с предварительной огрунтовкой / толщ. от 11,5 мм до 16 мм</t>
  </si>
  <si>
    <t>Штукатурка стен сухими смесями с установкой маяков с предварительной огрунтовкой / толщ. от 21,5 до 26 мм</t>
  </si>
  <si>
    <t>Штукатурка стен цементным, цементно-песчаным раствором с предварительной огрунтовкой / толщ. до 20 мм / высотой до 4 метров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</si>
  <si>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</si>
  <si>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НЗ № 1702 от 17.02.2026, поз. №№ 3 и 5</t>
  </si>
  <si>
    <t>НЗ № 1702 от 17.02.2026, поз. № 1</t>
  </si>
  <si>
    <t>НЗ № 1702 от 17.02.2026, поз. №№ 2 и 4</t>
  </si>
  <si>
    <t>НЗ № 1702 от 17.02.2026, поз. № № 9 и 10</t>
  </si>
  <si>
    <t>НЗ № 1702 от 17.02.2026, поз. № 7</t>
  </si>
  <si>
    <t>НЗ № 1702 от 17.02.2026, поз. № 6</t>
  </si>
  <si>
    <t>НЗ № 1702 от 17.02.2026, поз. № 8</t>
  </si>
  <si>
    <t>Затарка материала вручную</t>
  </si>
  <si>
    <t>НЗ № 1702 от 17.02.2026, поз. № 11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</si>
  <si>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</si>
  <si>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Поз.</t>
  </si>
  <si>
    <t>Ед.изм.</t>
  </si>
  <si>
    <t>Кладка внутренних стен из блоков ячеистого бетона без устройства перемычек, включая армирование, устройство примыканий</t>
  </si>
  <si>
    <t>Объем.</t>
  </si>
  <si>
    <t>3,15</t>
  </si>
  <si>
    <t>коридор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</si>
  <si>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</si>
  <si>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3.24</t>
  </si>
  <si>
    <t>3.27</t>
  </si>
  <si>
    <t>Подвал</t>
  </si>
  <si>
    <t>1-й этаж</t>
  </si>
  <si>
    <t>3-й этаж</t>
  </si>
  <si>
    <t>Подвал. Внутренние стены из газобетона толщ. 200 мм</t>
  </si>
  <si>
    <t xml:space="preserve"> 1-й этаж. Внутренние стены из газобетона толщ. 200 мм</t>
  </si>
  <si>
    <t>2-й этаж. Внутренние стены из газобетона толщ. 200 мм</t>
  </si>
  <si>
    <t>3-й этаж. Внутренние стены из газобетона толщ. 200 мм</t>
  </si>
  <si>
    <t>2-й этаж</t>
  </si>
  <si>
    <t>Подготовка поверхности СКБ / стен / ГКЛ, ПГП / 2мм</t>
  </si>
  <si>
    <t xml:space="preserve"> Шпаклевка стен по зашивкам под окраску гипсовая базовая. WD5, WD6, WD8, WD10, WD11, WD12, WD13.</t>
  </si>
  <si>
    <t>Шпаклевка стен по зашивкам под окраску гипсовая финишная. WD5, WD6, WD8, WD10, WD11, WD12, WD13.</t>
  </si>
  <si>
    <t>Шпаклевка люков ревизионных под окраску гипсовая базовая</t>
  </si>
  <si>
    <t>Шпаклевка люков ревизионных под окраску гипсовая финишная</t>
  </si>
  <si>
    <t>1-й, 2-й и 3-й этаж стены, колонны и простенки шириной до 500 мм. Грунтовка, шпатлевка на гипсовой основе. Базовый слой 2 мм.</t>
  </si>
  <si>
    <t>Шпаклевка технических ниш ЭОМ. Базовый слой.</t>
  </si>
  <si>
    <t>Шпаклевка технических ниш ЭОМ. Финишный слой.</t>
  </si>
  <si>
    <t>1-й, 2-й и 3-й этаж стены, колонны и простенки шириной до 500 мм. Грунтовка, шпатлевка на гипсовой основе. Финишный слой 2 мм.</t>
  </si>
  <si>
    <t>Штукатурка внутренних стен по утеплителю по стеклотканевой сетке / толщ. до 10мм</t>
  </si>
  <si>
    <t>Стены тамбуров по утеплителю и пом. 1.51 (загрузочная). Базовый армированный штукатурный слой - клеевой состав с армирующей стеклосеткой 10 мм</t>
  </si>
  <si>
    <t>Заделка отверстий в стенах в местах прохода коммуникаций / до 150 см2</t>
  </si>
  <si>
    <t>шт</t>
  </si>
  <si>
    <t>Подвал. Грунтовка, шпатлевка на цементной основе стен, колонн и простенков шириной до 500 мм. Финишный слой 2 мм</t>
  </si>
  <si>
    <t>Подвал. Грунтовка, шпатлевка на цементной основе стен, колонн и простенков шириной до 500 мм. Базовый слой 2 мм</t>
  </si>
  <si>
    <t>Зенитный фонарь и второй свет пом.2.008.  грунтовка, шпатлевка на гипсовой основе (до 2 мм) в 2 раза, (Базовый слой)</t>
  </si>
  <si>
    <t>Зенитный фонарь и второй свет пом.2.008.  грунтовка, шпатлевка на гипсовой основе (до 2 мм) в 2 раза, (Финишный слой)</t>
  </si>
  <si>
    <t>Штукатурка стен гипсовыми смесями с предварительной огрунтовкой СКБ / толщ. от 21 до 40 мм / высотой от 4,01 до 8 метров</t>
  </si>
  <si>
    <t>Цементная штукатурка стен толщиной 20 мм. Грунт глубокого проникновения. За исключением слицовки. 1-3 этажи + Подвал</t>
  </si>
  <si>
    <t>Гипсовая штукатурка стен по бетону толщиной 20 мм. Бетонконтакт. За исключением объема штукатурки выше 4,0 м. и слицовки. 1-3 этажи</t>
  </si>
  <si>
    <t>Гипсовая штукатурка стен по кирпичу, газоблоку и ПГП толщиной до 20мм в технических нишах ЭОМ.</t>
  </si>
  <si>
    <t>Гипсовая штукатурка стен по блоку, ПГП толщиной 20 мм. Грунт глубокого проникновения. За исключением объема штукатурки выше 4,0 м. и слицовки. 1-3 этажи</t>
  </si>
  <si>
    <t>Штукатурка стен по ПГП под облицовку плиткой и стен выше плитки толщиной 20 мм.</t>
  </si>
  <si>
    <t>Гипсовая штукатурка стен по бетону толщиной 20 мм. Бетонконтакт. Объем  штукатурки выше 4,0 м. 1-3 этажи</t>
  </si>
  <si>
    <t>Гипсовая штукатурка стен по блоку, ПГП толщиной 20 мм. Грунт глубокого проникновения. Объем  штукатурки выше 4,0 м. 1-3 этажи</t>
  </si>
  <si>
    <t>Гипсовая штукатурка стенок зенитного фонаря и второго света пом. 2.007 по бетону  средняя толщина 20 мм.</t>
  </si>
  <si>
    <t>FK1. Покраска Gutver Prometeks RAL 9016 (белый) - Матовая краска. Класс пожарной опасности: КМ0 (подвал, 1, 2, 3 этажи)</t>
  </si>
  <si>
    <t>FK8.1. Покраска по WD12 и WD13, Gutver Prometeks RAL 6005 Матовая краска. Класс пожарной опасности: КМ0</t>
  </si>
  <si>
    <t>FK1. Покраска ниш ЭОМ и СС Gutver Prometeks RAL 9016 (белый) Матовая.  Класс пожарной опасности: КМ0</t>
  </si>
  <si>
    <t>Подвал. Покраска стен и откосов Gutver Prometeks RAL 9016 (белый) Матовая, влагостойкая, моющаяся краска. КМ0</t>
  </si>
  <si>
    <t>Подвал. Покраска торцов ЛМ Gutver Prometeks RAL 9016 (белый) - Матовая, влагостойкая, моющаяся краска. КМ0</t>
  </si>
  <si>
    <t>Выравнивание поверхностей откосов толщ. до 5 мм с предварительной огрунтовкой поверхности</t>
  </si>
  <si>
    <t>Монтаж ревизионных люков доступа</t>
  </si>
  <si>
    <t>КР28.4. Плитка Kerama Marazzi 8000N Белое солнце 20x30, белая, глянцевая, моноколор. Затирка: Церезит CE 40, цвет серебристо-серый 04. Горизонтальная и вертикальная отделка подоконников и откосов</t>
  </si>
  <si>
    <t>FK16. Облицовка плиткой люков ревизионных "Стил" Керамическая плитка Kerama Marazzi, калейдоскоп 5009, размер 200х200х6,9, КМ0. Затирка: Церезит CE 40, цвет серебристо-серый 04, шов 2мм</t>
  </si>
  <si>
    <t>FK9. Облицовка плиткой люков ревизионных "Стил" Настенная плитка Kerama Marazzi 8000N Белое солнце 20x30, белая, глянцевая, моноколор .Затирка: Церезит CE 40, цвет серебристо-серый 04</t>
  </si>
  <si>
    <t>FK12.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</si>
  <si>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FK10. Облицовка плиткой люков ревизионных "Стил" Керамогранит Грани Таганая, арт. GT202M, цвет кристально молочный, размер 600*600 мм, толщина 10мм, матовый. Затирка: Церезит CE 40, цвет серебристо-серый 04</t>
  </si>
  <si>
    <t>FK12. Облицовка плиткой люков ревизионных "Стил"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</si>
  <si>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FK4. Облицовка плиткой люков ревизионных "Стил" Керамогранит Грани Таганая Профи, арт. GT079M, цвет зеленый чай, размер 600*600 мм, толщина 10мм, матовый. Затирка: Церезит CE 40, цвет серебристо-серый 04</t>
  </si>
  <si>
    <t>Люк технический Хаммер "Стил" скрытого монтажа 600*600. Тип: T-29(п), T-35(п), T-34(п), T-41(п), T-54(п).</t>
  </si>
  <si>
    <t>Люк технический Хаммер "Стил" скрытого монтажа 500*600. Тип: T-01(п)</t>
  </si>
  <si>
    <t>Люк технический Хаммер "Стил" скрытого монтажа 400*600. Тип: T-16(п), T-17(п),</t>
  </si>
  <si>
    <t>Люк технический Хаммер "Стил" скрытого монтажа 350*600. Тип: T-36(п)</t>
  </si>
  <si>
    <t>Люк технический Хаммер "Стил" скрытого монтажа 500*500. Тип: T-18(п), T-26(п)</t>
  </si>
  <si>
    <t>Люк технический Хаммер "Стил" скрытого монтажа 400*500. Тип: T-10(п), T-11(п), T-21(п), T-28(п)</t>
  </si>
  <si>
    <t>Люк технический Хаммер "Стил" скрытого монтажа 400*400. Тип: T-02(п), T-03(п), T-06(п), T-12(п), T-15(п), T-20(п), T-55(п)</t>
  </si>
  <si>
    <t>Люк технический Хаммер "Стил" скрытого монтажа 300*400. Тип: T-04(п), T-05(п)</t>
  </si>
  <si>
    <t>Люк технический Хаммер "Стил" скрытого монтажа 400*300. Тип: T-07(п)</t>
  </si>
  <si>
    <t>Люк технический Хаммер "Стил" скрытого монтажа 300*300. Тип: T-08(п), T-24(п)</t>
  </si>
  <si>
    <t>Люк технический Хаммер "Стил" скрытого монтажа 200*300. Тип: T-09(п)(л), T-13(п), T-19(п), T-23(п), T-30(п), T-31(п), T-32(п), T-33(п)</t>
  </si>
  <si>
    <t>КР25.4. Керамогранит Kerama Marazzi Монтиони SG511520R, 20х119,5 бежевый светлый. Раскладка 1/2 вдоль подоконника. Горизонтальная отделка подоконников и откосов</t>
  </si>
  <si>
    <t>КР-3.1. Керамогранит Грани Таганая Профи, арт. GT009М, цвет светло-серый, размер 600*600 мм, толщина 10мм, матовый. Затирка: Церезит CE 40, цвет серебристо-серый 04. Бортики душевых полы и стены</t>
  </si>
  <si>
    <t>Цементная штукатурка откосов оконных, витражных, дверных, средняя толщина с перекрытием примыкания 60 мм (основная толщина 20 мм), без рассвета - откос прямой. Грунт глубокого проникновения.</t>
  </si>
  <si>
    <t>Гипсовая штукатурка откосов оконных, витражных, дверных, средняя толщина с перекрытием примыкания 60мм (основная толщина 20 мм), без рассвета - откос прямой. Бетонконтакт.</t>
  </si>
  <si>
    <t>Цементная штукатурка колонн, простенков по бетону и кирпичу до 500мм, толщиной до 20 мм. По технологии откосов. Грунт глубокого проникновения. (не учтено в площади стен) 1-3 этажи + подвал</t>
  </si>
  <si>
    <t>Гипсовая штукатурка по бетону колонн, простенков до 500мм, толщиной 20 мм. По технологии откосов. Бетонконтакт. (не учтено в площади стен)  1-3 этажи</t>
  </si>
  <si>
    <t>Гипсовая штукатурка по блоку ячеистому, кирпичу и ПГП простенков до 500мм, толщиной 20 мм. По технологии откосов. Грунт глубокого проникновения. (не учтено в площади стен). 1-3 этажи</t>
  </si>
  <si>
    <t>Гипсовая штукатурка 20 мм торцов ЛМ и площадок</t>
  </si>
  <si>
    <t>Гипсовая штукатурка балок (по типу откосов) в составе потолка CF1.1, СF1.2, СF13.1, СF13.2</t>
  </si>
  <si>
    <t>Шпаклевка гипсовая базовая. Балки в составе CF1.1, СF1.2, СF13.1, СF13.2</t>
  </si>
  <si>
    <t>Шпаклевка гипсовая финишная. Балки в составе CF1.1, СF1.2, СF13.1, СF13.2</t>
  </si>
  <si>
    <t>Шпаклевка цементная базовая Откосы оконные, витражные и дверные под окраску.</t>
  </si>
  <si>
    <t>Шпаклевка цементная финишная Откосы оконные, витражные и дверные под окраску.</t>
  </si>
  <si>
    <t>Шпаклевка гипсовая базовая Откосы оконные, витражные и дверные (этажи 1, 2, 3).</t>
  </si>
  <si>
    <t>Шпаклевка гипсовая финишная Откосы оконны, витражные и дверные (этажи 1, 2, 3).</t>
  </si>
  <si>
    <t>1-й, 2-й и 3-й этаж. Шпаклевка гипсовая базовая торцов лестничных маршей</t>
  </si>
  <si>
    <t>1-й, 2-й и 3-й этаж. Шпаклевка гипсовая финишная торцов лестничных маршей</t>
  </si>
  <si>
    <t>№</t>
  </si>
  <si>
    <t>Объем, м2.</t>
  </si>
  <si>
    <t>Штукатурка стен цементным, цементно-песчаным раствором с предварительной огрунтовкой / толщ. до 20 мм / высотой до 4 метров. Пом 2.39</t>
  </si>
  <si>
    <t>Штукатурка стен цементным, цементно-песчаным раствором с предварительной огрунтовкой / толщ. от 21 до 40 мм / высотой до 4 метров. Пом. 1.66</t>
  </si>
  <si>
    <t>Штукатурка поверхностей откосов сухими смесями с предварительной огрунтовкой поверхности / толщ. свыше 20 мм. Пом. 2.24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</si>
</sst>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0.000"/>
  </numFmts>
  <fonts count="39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family val="1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name val="XO Thames"/>
      <family val="1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  <font>
      <sz val="10"/>
      <color rgb="FFFF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3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/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theme="4"/>
      </bottom>
      <diagonal/>
    </border>
    <border>
      <left/>
      <right/>
      <top style="thin">
        <color indexed="64"/>
      </top>
      <bottom style="thin">
        <color rgb="FF000000"/>
      </bottom>
      <diagonal/>
    </border>
  </borders>
  <cellStyleXfs count="4">
    <xf numFmtId="0" fontId="0" fillId="0" borderId="0"/>
    <xf numFmtId="0" fontId="27" fillId="0" borderId="0"/>
    <xf numFmtId="43" fontId="30" fillId="0" borderId="0" applyFont="0" applyFill="0" applyBorder="0" applyAlignment="0" applyProtection="0"/>
    <xf numFmtId="0" fontId="1" fillId="0" borderId="0"/>
  </cellStyleXfs>
  <cellXfs count="554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4" fillId="0" borderId="16" xfId="0" applyFont="1" applyFill="1" applyBorder="1" applyAlignment="1">
      <alignment horizontal="center" vertical="center" wrapText="1"/>
    </xf>
    <xf numFmtId="164" fontId="16" fillId="0" borderId="16" xfId="0" applyNumberFormat="1" applyFont="1" applyFill="1" applyBorder="1" applyAlignment="1">
      <alignment horizontal="center" vertical="center" shrinkToFit="1"/>
    </xf>
    <xf numFmtId="0" fontId="14" fillId="0" borderId="4" xfId="0" applyFont="1" applyFill="1" applyBorder="1" applyAlignment="1">
      <alignment horizontal="center" vertical="center" wrapText="1"/>
    </xf>
    <xf numFmtId="164" fontId="16" fillId="0" borderId="4" xfId="0" applyNumberFormat="1" applyFont="1" applyFill="1" applyBorder="1" applyAlignment="1">
      <alignment horizontal="center" vertical="center" shrinkToFit="1"/>
    </xf>
    <xf numFmtId="164" fontId="16" fillId="0" borderId="8" xfId="0" applyNumberFormat="1" applyFont="1" applyFill="1" applyBorder="1" applyAlignment="1">
      <alignment horizontal="center" vertical="center" shrinkToFit="1"/>
    </xf>
    <xf numFmtId="0" fontId="14" fillId="0" borderId="9" xfId="0" applyFont="1" applyFill="1" applyBorder="1" applyAlignment="1">
      <alignment horizontal="center" vertical="center" wrapText="1"/>
    </xf>
    <xf numFmtId="164" fontId="16" fillId="0" borderId="9" xfId="0" applyNumberFormat="1" applyFont="1" applyFill="1" applyBorder="1" applyAlignment="1">
      <alignment horizontal="center" vertical="center" shrinkToFi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 wrapText="1"/>
    </xf>
    <xf numFmtId="164" fontId="13" fillId="0" borderId="0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 shrinkToFi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164" fontId="16" fillId="2" borderId="16" xfId="0" applyNumberFormat="1" applyFont="1" applyFill="1" applyBorder="1" applyAlignment="1">
      <alignment horizontal="center" vertical="center" shrinkToFit="1"/>
    </xf>
    <xf numFmtId="0" fontId="14" fillId="2" borderId="10" xfId="0" applyFont="1" applyFill="1" applyBorder="1" applyAlignment="1">
      <alignment horizontal="center" vertical="center" wrapText="1"/>
    </xf>
    <xf numFmtId="164" fontId="16" fillId="2" borderId="10" xfId="0" applyNumberFormat="1" applyFont="1" applyFill="1" applyBorder="1" applyAlignment="1">
      <alignment horizontal="center" vertical="center" shrinkToFit="1"/>
    </xf>
    <xf numFmtId="0" fontId="14" fillId="2" borderId="4" xfId="0" applyFont="1" applyFill="1" applyBorder="1" applyAlignment="1">
      <alignment horizontal="center" vertical="center" wrapText="1"/>
    </xf>
    <xf numFmtId="164" fontId="16" fillId="2" borderId="4" xfId="0" applyNumberFormat="1" applyFont="1" applyFill="1" applyBorder="1" applyAlignment="1">
      <alignment horizontal="center" vertical="center" shrinkToFit="1"/>
    </xf>
    <xf numFmtId="0" fontId="14" fillId="2" borderId="8" xfId="0" applyFont="1" applyFill="1" applyBorder="1" applyAlignment="1">
      <alignment horizontal="center" vertical="center" wrapText="1"/>
    </xf>
    <xf numFmtId="164" fontId="16" fillId="2" borderId="8" xfId="0" applyNumberFormat="1" applyFont="1" applyFill="1" applyBorder="1" applyAlignment="1">
      <alignment horizontal="center" vertical="center" shrinkToFit="1"/>
    </xf>
    <xf numFmtId="0" fontId="14" fillId="2" borderId="9" xfId="0" applyFont="1" applyFill="1" applyBorder="1" applyAlignment="1">
      <alignment horizontal="center" vertical="center" wrapText="1"/>
    </xf>
    <xf numFmtId="2" fontId="14" fillId="0" borderId="16" xfId="0" applyNumberFormat="1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vertical="center" wrapText="1"/>
    </xf>
    <xf numFmtId="49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2" fontId="20" fillId="0" borderId="16" xfId="0" applyNumberFormat="1" applyFont="1" applyBorder="1" applyAlignment="1">
      <alignment horizontal="center" vertical="center"/>
    </xf>
    <xf numFmtId="0" fontId="21" fillId="0" borderId="16" xfId="0" applyFont="1" applyBorder="1"/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164" fontId="20" fillId="0" borderId="16" xfId="0" applyNumberFormat="1" applyFont="1" applyBorder="1" applyAlignment="1">
      <alignment horizontal="right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164" fontId="21" fillId="0" borderId="16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left" vertical="center" wrapText="1"/>
    </xf>
    <xf numFmtId="0" fontId="21" fillId="0" borderId="16" xfId="0" applyFont="1" applyBorder="1" applyAlignment="1">
      <alignment horizontal="right" vertical="center" wrapText="1"/>
    </xf>
    <xf numFmtId="0" fontId="18" fillId="0" borderId="5" xfId="0" applyFont="1" applyBorder="1" applyAlignment="1">
      <alignment horizontal="left" vertical="center" wrapText="1"/>
    </xf>
    <xf numFmtId="165" fontId="17" fillId="0" borderId="16" xfId="0" applyNumberFormat="1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6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lef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/>
    <xf numFmtId="0" fontId="20" fillId="0" borderId="16" xfId="0" applyFont="1" applyFill="1" applyBorder="1" applyAlignment="1">
      <alignment horizontal="center" vertical="center"/>
    </xf>
    <xf numFmtId="164" fontId="20" fillId="0" borderId="16" xfId="0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wrapText="1"/>
    </xf>
    <xf numFmtId="164" fontId="21" fillId="0" borderId="16" xfId="0" applyNumberFormat="1" applyFont="1" applyFill="1" applyBorder="1" applyAlignment="1">
      <alignment horizontal="center" vertical="center"/>
    </xf>
    <xf numFmtId="49" fontId="23" fillId="0" borderId="16" xfId="0" applyNumberFormat="1" applyFont="1" applyFill="1" applyBorder="1" applyAlignment="1">
      <alignment horizontal="center" vertical="center" wrapText="1"/>
    </xf>
    <xf numFmtId="49" fontId="23" fillId="0" borderId="16" xfId="0" applyNumberFormat="1" applyFont="1" applyFill="1" applyBorder="1" applyAlignment="1">
      <alignment vertical="center" wrapText="1"/>
    </xf>
    <xf numFmtId="4" fontId="24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right" vertical="center" wrapText="1"/>
    </xf>
    <xf numFmtId="0" fontId="21" fillId="0" borderId="24" xfId="0" applyFont="1" applyFill="1" applyBorder="1" applyAlignment="1">
      <alignment horizontal="center" vertical="center"/>
    </xf>
    <xf numFmtId="164" fontId="21" fillId="0" borderId="28" xfId="0" applyNumberFormat="1" applyFont="1" applyFill="1" applyBorder="1" applyAlignment="1">
      <alignment horizontal="center" vertical="center"/>
    </xf>
    <xf numFmtId="4" fontId="24" fillId="0" borderId="28" xfId="0" applyNumberFormat="1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30" xfId="0" applyFont="1" applyFill="1" applyBorder="1" applyAlignment="1">
      <alignment horizontal="right" vertical="center" wrapText="1"/>
    </xf>
    <xf numFmtId="164" fontId="21" fillId="0" borderId="31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top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2" fillId="0" borderId="16" xfId="0" applyNumberFormat="1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4" fontId="22" fillId="0" borderId="19" xfId="0" applyNumberFormat="1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center" wrapText="1"/>
    </xf>
    <xf numFmtId="164" fontId="21" fillId="0" borderId="17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top"/>
    </xf>
    <xf numFmtId="2" fontId="20" fillId="0" borderId="16" xfId="0" applyNumberFormat="1" applyFont="1" applyFill="1" applyBorder="1" applyAlignment="1">
      <alignment horizontal="right" vertical="center"/>
    </xf>
    <xf numFmtId="2" fontId="21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49" fontId="22" fillId="3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5" fillId="3" borderId="16" xfId="0" applyNumberFormat="1" applyFont="1" applyFill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/>
    </xf>
    <xf numFmtId="4" fontId="25" fillId="3" borderId="37" xfId="0" applyNumberFormat="1" applyFont="1" applyFill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 wrapText="1"/>
    </xf>
    <xf numFmtId="164" fontId="20" fillId="0" borderId="35" xfId="0" applyNumberFormat="1" applyFont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4" fontId="22" fillId="3" borderId="37" xfId="0" applyNumberFormat="1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4" fontId="22" fillId="0" borderId="37" xfId="0" applyNumberFormat="1" applyFont="1" applyBorder="1" applyAlignment="1">
      <alignment horizontal="center" vertical="center"/>
    </xf>
    <xf numFmtId="49" fontId="25" fillId="0" borderId="38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64" fontId="20" fillId="0" borderId="41" xfId="0" applyNumberFormat="1" applyFont="1" applyBorder="1" applyAlignment="1">
      <alignment horizontal="center" vertical="center"/>
    </xf>
    <xf numFmtId="0" fontId="18" fillId="0" borderId="0" xfId="0" applyFont="1" applyFill="1" applyBorder="1" applyAlignment="1">
      <alignment vertical="top"/>
    </xf>
    <xf numFmtId="0" fontId="18" fillId="0" borderId="16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top"/>
    </xf>
    <xf numFmtId="2" fontId="18" fillId="0" borderId="16" xfId="0" applyNumberFormat="1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left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6" xfId="0" applyNumberFormat="1" applyFont="1" applyFill="1" applyBorder="1" applyAlignment="1">
      <alignment horizontal="center" vertical="center" wrapText="1"/>
    </xf>
    <xf numFmtId="0" fontId="29" fillId="0" borderId="4" xfId="0" applyFont="1" applyFill="1" applyBorder="1" applyAlignment="1">
      <alignment horizontal="center" vertical="center" wrapText="1"/>
    </xf>
    <xf numFmtId="164" fontId="29" fillId="0" borderId="4" xfId="0" applyNumberFormat="1" applyFont="1" applyFill="1" applyBorder="1" applyAlignment="1">
      <alignment horizontal="center" vertical="center" shrinkToFit="1"/>
    </xf>
    <xf numFmtId="0" fontId="29" fillId="0" borderId="8" xfId="0" applyFont="1" applyFill="1" applyBorder="1" applyAlignment="1">
      <alignment horizontal="center" vertical="center" wrapText="1"/>
    </xf>
    <xf numFmtId="164" fontId="29" fillId="0" borderId="8" xfId="0" applyNumberFormat="1" applyFont="1" applyFill="1" applyBorder="1" applyAlignment="1">
      <alignment horizontal="center" vertical="center" shrinkToFit="1"/>
    </xf>
    <xf numFmtId="164" fontId="29" fillId="0" borderId="11" xfId="0" applyNumberFormat="1" applyFont="1" applyFill="1" applyBorder="1" applyAlignment="1">
      <alignment horizontal="center" vertical="center" shrinkToFit="1"/>
    </xf>
    <xf numFmtId="0" fontId="29" fillId="0" borderId="16" xfId="0" applyFont="1" applyFill="1" applyBorder="1" applyAlignment="1">
      <alignment horizontal="center" vertical="center" wrapText="1"/>
    </xf>
    <xf numFmtId="164" fontId="29" fillId="0" borderId="16" xfId="0" applyNumberFormat="1" applyFont="1" applyFill="1" applyBorder="1" applyAlignment="1">
      <alignment horizontal="center" vertical="center" shrinkToFit="1"/>
    </xf>
    <xf numFmtId="49" fontId="18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17" fillId="0" borderId="0" xfId="0" applyFont="1" applyFill="1" applyBorder="1" applyAlignment="1">
      <alignment horizontal="left" vertical="top"/>
    </xf>
    <xf numFmtId="49" fontId="20" fillId="0" borderId="16" xfId="0" applyNumberFormat="1" applyFont="1" applyBorder="1" applyAlignment="1">
      <alignment horizontal="center"/>
    </xf>
    <xf numFmtId="0" fontId="17" fillId="0" borderId="16" xfId="0" applyFont="1" applyFill="1" applyBorder="1" applyAlignment="1">
      <alignment horizontal="center"/>
    </xf>
    <xf numFmtId="0" fontId="17" fillId="0" borderId="16" xfId="0" applyFont="1" applyBorder="1" applyAlignment="1">
      <alignment horizontal="center" wrapText="1"/>
    </xf>
    <xf numFmtId="2" fontId="20" fillId="0" borderId="16" xfId="0" applyNumberFormat="1" applyFont="1" applyBorder="1" applyAlignment="1">
      <alignment horizontal="center"/>
    </xf>
    <xf numFmtId="49" fontId="17" fillId="0" borderId="16" xfId="0" applyNumberFormat="1" applyFont="1" applyFill="1" applyBorder="1" applyAlignment="1">
      <alignment horizontal="center"/>
    </xf>
    <xf numFmtId="0" fontId="17" fillId="0" borderId="16" xfId="0" applyFont="1" applyFill="1" applyBorder="1" applyAlignment="1">
      <alignment horizontal="center" wrapText="1"/>
    </xf>
    <xf numFmtId="164" fontId="17" fillId="0" borderId="16" xfId="0" applyNumberFormat="1" applyFont="1" applyFill="1" applyBorder="1" applyAlignment="1">
      <alignment horizontal="center"/>
    </xf>
    <xf numFmtId="0" fontId="18" fillId="0" borderId="42" xfId="0" applyFont="1" applyFill="1" applyBorder="1" applyAlignment="1">
      <alignment vertical="top"/>
    </xf>
    <xf numFmtId="0" fontId="18" fillId="0" borderId="43" xfId="0" applyFont="1" applyFill="1" applyBorder="1" applyAlignment="1">
      <alignment vertical="top"/>
    </xf>
    <xf numFmtId="0" fontId="20" fillId="0" borderId="16" xfId="0" applyFont="1" applyBorder="1" applyAlignment="1">
      <alignment horizontal="center" vertical="center"/>
    </xf>
    <xf numFmtId="2" fontId="20" fillId="0" borderId="16" xfId="2" applyNumberFormat="1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2" fontId="17" fillId="0" borderId="16" xfId="0" applyNumberFormat="1" applyFont="1" applyFill="1" applyBorder="1" applyAlignment="1">
      <alignment horizontal="center" vertical="center"/>
    </xf>
    <xf numFmtId="49" fontId="31" fillId="3" borderId="16" xfId="0" applyNumberFormat="1" applyFont="1" applyFill="1" applyBorder="1" applyAlignment="1">
      <alignment horizontal="center" vertical="center"/>
    </xf>
    <xf numFmtId="2" fontId="31" fillId="3" borderId="16" xfId="0" applyNumberFormat="1" applyFont="1" applyFill="1" applyBorder="1" applyAlignment="1">
      <alignment horizontal="center" vertical="center"/>
    </xf>
    <xf numFmtId="49" fontId="31" fillId="0" borderId="16" xfId="0" applyNumberFormat="1" applyFont="1" applyBorder="1" applyAlignment="1">
      <alignment horizontal="center" vertical="center"/>
    </xf>
    <xf numFmtId="2" fontId="31" fillId="0" borderId="16" xfId="0" applyNumberFormat="1" applyFont="1" applyBorder="1" applyAlignment="1">
      <alignment horizontal="center" vertical="center"/>
    </xf>
    <xf numFmtId="2" fontId="31" fillId="3" borderId="16" xfId="0" applyNumberFormat="1" applyFont="1" applyFill="1" applyBorder="1" applyAlignment="1">
      <alignment horizontal="right" vertical="center"/>
    </xf>
    <xf numFmtId="2" fontId="31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center" vertical="center" wrapText="1"/>
    </xf>
    <xf numFmtId="0" fontId="32" fillId="0" borderId="16" xfId="0" applyFont="1" applyBorder="1" applyAlignment="1">
      <alignment horizontal="center" vertical="center" wrapText="1"/>
    </xf>
    <xf numFmtId="0" fontId="33" fillId="0" borderId="0" xfId="3" applyNumberFormat="1" applyFont="1"/>
    <xf numFmtId="49" fontId="22" fillId="0" borderId="16" xfId="3" applyNumberFormat="1" applyFont="1" applyBorder="1" applyAlignment="1">
      <alignment horizontal="center" vertical="center" wrapText="1"/>
    </xf>
    <xf numFmtId="0" fontId="21" fillId="0" borderId="36" xfId="3" applyFont="1" applyFill="1" applyBorder="1" applyAlignment="1">
      <alignment horizontal="center" vertical="center"/>
    </xf>
    <xf numFmtId="0" fontId="21" fillId="3" borderId="36" xfId="3" applyFont="1" applyFill="1" applyBorder="1" applyAlignment="1">
      <alignment horizontal="center" vertical="center"/>
    </xf>
    <xf numFmtId="49" fontId="22" fillId="3" borderId="16" xfId="3" applyNumberFormat="1" applyFont="1" applyFill="1" applyBorder="1" applyAlignment="1">
      <alignment horizontal="center" vertical="center" wrapText="1"/>
    </xf>
    <xf numFmtId="4" fontId="22" fillId="3" borderId="37" xfId="3" applyNumberFormat="1" applyFont="1" applyFill="1" applyBorder="1" applyAlignment="1">
      <alignment horizontal="center" vertical="center"/>
    </xf>
    <xf numFmtId="4" fontId="22" fillId="0" borderId="37" xfId="3" applyNumberFormat="1" applyFont="1" applyBorder="1" applyAlignment="1">
      <alignment horizontal="center" vertical="center"/>
    </xf>
    <xf numFmtId="0" fontId="20" fillId="0" borderId="40" xfId="3" applyFont="1" applyBorder="1" applyAlignment="1">
      <alignment horizontal="center" vertical="center"/>
    </xf>
    <xf numFmtId="2" fontId="18" fillId="0" borderId="16" xfId="3" applyNumberFormat="1" applyFont="1" applyFill="1" applyBorder="1" applyAlignment="1">
      <alignment horizontal="center" vertical="center"/>
    </xf>
    <xf numFmtId="0" fontId="18" fillId="0" borderId="16" xfId="3" applyFont="1" applyFill="1" applyBorder="1" applyAlignment="1">
      <alignment horizontal="center" vertical="center"/>
    </xf>
    <xf numFmtId="0" fontId="21" fillId="0" borderId="16" xfId="3" applyFont="1" applyFill="1" applyBorder="1" applyAlignment="1">
      <alignment horizontal="center" vertical="center" wrapText="1"/>
    </xf>
    <xf numFmtId="0" fontId="18" fillId="0" borderId="16" xfId="3" applyFont="1" applyFill="1" applyBorder="1" applyAlignment="1">
      <alignment vertical="top"/>
    </xf>
    <xf numFmtId="0" fontId="34" fillId="0" borderId="16" xfId="3" applyFont="1" applyFill="1" applyBorder="1" applyAlignment="1">
      <alignment horizontal="center" vertical="center" wrapText="1"/>
    </xf>
    <xf numFmtId="0" fontId="35" fillId="0" borderId="16" xfId="3" applyFont="1" applyFill="1" applyBorder="1" applyAlignment="1">
      <alignment vertical="top"/>
    </xf>
    <xf numFmtId="0" fontId="35" fillId="0" borderId="16" xfId="3" applyFont="1" applyFill="1" applyBorder="1" applyAlignment="1">
      <alignment horizontal="center" vertical="center"/>
    </xf>
    <xf numFmtId="2" fontId="35" fillId="0" borderId="16" xfId="3" applyNumberFormat="1" applyFont="1" applyFill="1" applyBorder="1" applyAlignment="1">
      <alignment horizontal="center" vertical="center"/>
    </xf>
    <xf numFmtId="0" fontId="34" fillId="4" borderId="16" xfId="3" applyFont="1" applyFill="1" applyBorder="1" applyAlignment="1">
      <alignment horizontal="center" vertical="center" wrapText="1"/>
    </xf>
    <xf numFmtId="0" fontId="35" fillId="4" borderId="16" xfId="3" applyFont="1" applyFill="1" applyBorder="1" applyAlignment="1">
      <alignment horizontal="center" vertical="center"/>
    </xf>
    <xf numFmtId="2" fontId="35" fillId="4" borderId="16" xfId="3" applyNumberFormat="1" applyFont="1" applyFill="1" applyBorder="1" applyAlignment="1">
      <alignment horizontal="center" vertical="center"/>
    </xf>
    <xf numFmtId="0" fontId="37" fillId="0" borderId="36" xfId="3" applyFont="1" applyFill="1" applyBorder="1" applyAlignment="1">
      <alignment horizontal="center" vertical="center"/>
    </xf>
    <xf numFmtId="0" fontId="37" fillId="0" borderId="0" xfId="3" applyNumberFormat="1" applyFont="1"/>
    <xf numFmtId="0" fontId="37" fillId="0" borderId="0" xfId="3" applyNumberFormat="1" applyFont="1" applyFill="1"/>
    <xf numFmtId="2" fontId="37" fillId="0" borderId="16" xfId="3" applyNumberFormat="1" applyFont="1" applyBorder="1"/>
    <xf numFmtId="4" fontId="37" fillId="0" borderId="16" xfId="0" applyNumberFormat="1" applyFont="1" applyFill="1" applyBorder="1" applyAlignment="1">
      <alignment horizontal="center" vertical="center" wrapText="1"/>
    </xf>
    <xf numFmtId="2" fontId="37" fillId="4" borderId="16" xfId="3" applyNumberFormat="1" applyFont="1" applyFill="1" applyBorder="1"/>
    <xf numFmtId="4" fontId="36" fillId="0" borderId="16" xfId="0" applyNumberFormat="1" applyFont="1" applyFill="1" applyBorder="1" applyAlignment="1">
      <alignment horizontal="center" vertical="center" wrapText="1"/>
    </xf>
    <xf numFmtId="1" fontId="37" fillId="0" borderId="16" xfId="3" applyNumberFormat="1" applyFont="1" applyBorder="1" applyAlignment="1">
      <alignment horizontal="center" vertical="center"/>
    </xf>
    <xf numFmtId="49" fontId="37" fillId="0" borderId="16" xfId="3" applyNumberFormat="1" applyFont="1" applyBorder="1" applyAlignment="1">
      <alignment horizontal="center" vertical="center"/>
    </xf>
    <xf numFmtId="2" fontId="37" fillId="0" borderId="16" xfId="3" applyNumberFormat="1" applyFont="1" applyBorder="1" applyAlignment="1">
      <alignment horizontal="center" vertical="center"/>
    </xf>
    <xf numFmtId="2" fontId="37" fillId="4" borderId="16" xfId="3" applyNumberFormat="1" applyFont="1" applyFill="1" applyBorder="1" applyAlignment="1">
      <alignment horizontal="center" vertical="center"/>
    </xf>
    <xf numFmtId="2" fontId="37" fillId="4" borderId="16" xfId="3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 wrapText="1"/>
    </xf>
    <xf numFmtId="0" fontId="34" fillId="0" borderId="16" xfId="3" applyFont="1" applyFill="1" applyBorder="1" applyAlignment="1">
      <alignment horizontal="center" vertical="center" wrapText="1"/>
    </xf>
    <xf numFmtId="2" fontId="37" fillId="4" borderId="16" xfId="3" applyNumberFormat="1" applyFont="1" applyFill="1" applyBorder="1"/>
    <xf numFmtId="2" fontId="37" fillId="0" borderId="16" xfId="3" applyNumberFormat="1" applyFont="1" applyBorder="1"/>
    <xf numFmtId="4" fontId="22" fillId="0" borderId="39" xfId="0" applyNumberFormat="1" applyFont="1" applyBorder="1" applyAlignment="1">
      <alignment horizontal="center" vertical="center"/>
    </xf>
    <xf numFmtId="4" fontId="22" fillId="3" borderId="39" xfId="0" applyNumberFormat="1" applyFont="1" applyFill="1" applyBorder="1" applyAlignment="1">
      <alignment horizontal="center" vertical="center"/>
    </xf>
    <xf numFmtId="1" fontId="37" fillId="0" borderId="16" xfId="3" applyNumberFormat="1" applyFont="1" applyBorder="1"/>
    <xf numFmtId="49" fontId="37" fillId="0" borderId="16" xfId="3" applyNumberFormat="1" applyFont="1" applyBorder="1" applyAlignment="1">
      <alignment horizontal="right"/>
    </xf>
    <xf numFmtId="2" fontId="37" fillId="4" borderId="16" xfId="3" applyNumberFormat="1" applyFont="1" applyFill="1" applyBorder="1" applyAlignment="1">
      <alignment horizontal="right"/>
    </xf>
    <xf numFmtId="0" fontId="37" fillId="0" borderId="16" xfId="3" applyFont="1" applyFill="1" applyBorder="1" applyAlignment="1">
      <alignment horizontal="center" vertical="center"/>
    </xf>
    <xf numFmtId="2" fontId="37" fillId="4" borderId="16" xfId="3" applyNumberFormat="1" applyFont="1" applyFill="1" applyBorder="1"/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4" fillId="0" borderId="16" xfId="3" applyFont="1" applyFill="1" applyBorder="1" applyAlignment="1">
      <alignment horizontal="center" vertical="center" wrapText="1"/>
    </xf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4" fillId="5" borderId="16" xfId="3" applyFont="1" applyFill="1" applyBorder="1" applyAlignment="1">
      <alignment horizontal="center" vertical="center" wrapText="1"/>
    </xf>
    <xf numFmtId="0" fontId="35" fillId="5" borderId="16" xfId="3" applyFont="1" applyFill="1" applyBorder="1" applyAlignment="1">
      <alignment horizontal="center" vertical="center"/>
    </xf>
    <xf numFmtId="2" fontId="35" fillId="5" borderId="16" xfId="3" applyNumberFormat="1" applyFont="1" applyFill="1" applyBorder="1" applyAlignment="1">
      <alignment horizontal="center" vertical="center"/>
    </xf>
    <xf numFmtId="166" fontId="35" fillId="0" borderId="16" xfId="3" applyNumberFormat="1" applyFont="1" applyFill="1" applyBorder="1" applyAlignment="1">
      <alignment horizontal="center" vertical="center"/>
    </xf>
    <xf numFmtId="0" fontId="37" fillId="0" borderId="16" xfId="3" applyNumberFormat="1" applyFont="1" applyBorder="1" applyAlignment="1">
      <alignment vertical="center"/>
    </xf>
    <xf numFmtId="0" fontId="37" fillId="0" borderId="16" xfId="3" applyNumberFormat="1" applyFont="1" applyFill="1" applyBorder="1" applyAlignment="1">
      <alignment vertical="center"/>
    </xf>
    <xf numFmtId="0" fontId="37" fillId="5" borderId="16" xfId="3" applyNumberFormat="1" applyFont="1" applyFill="1" applyBorder="1" applyAlignment="1">
      <alignment vertical="center"/>
    </xf>
    <xf numFmtId="0" fontId="34" fillId="0" borderId="16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center" vertical="center" wrapText="1"/>
    </xf>
    <xf numFmtId="0" fontId="34" fillId="0" borderId="16" xfId="3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30" fillId="0" borderId="0" xfId="0" applyFont="1" applyFill="1" applyBorder="1" applyAlignment="1">
      <alignment horizontal="left" vertical="top"/>
    </xf>
    <xf numFmtId="0" fontId="34" fillId="0" borderId="16" xfId="3" applyFont="1" applyFill="1" applyBorder="1" applyAlignment="1">
      <alignment horizontal="left" vertical="center" wrapText="1"/>
    </xf>
    <xf numFmtId="0" fontId="37" fillId="0" borderId="0" xfId="3" applyNumberFormat="1" applyFont="1" applyAlignment="1">
      <alignment horizontal="center" vertical="center"/>
    </xf>
    <xf numFmtId="0" fontId="20" fillId="0" borderId="45" xfId="0" applyFont="1" applyFill="1" applyBorder="1" applyAlignment="1">
      <alignment horizontal="center" vertical="center"/>
    </xf>
    <xf numFmtId="0" fontId="20" fillId="0" borderId="44" xfId="0" applyFont="1" applyFill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31" fillId="0" borderId="16" xfId="0" applyFont="1" applyFill="1" applyBorder="1" applyAlignment="1">
      <alignment horizontal="center" vertical="center"/>
    </xf>
    <xf numFmtId="49" fontId="31" fillId="0" borderId="16" xfId="0" applyNumberFormat="1" applyFont="1" applyFill="1" applyBorder="1" applyAlignment="1">
      <alignment horizontal="center" vertical="center" wrapText="1"/>
    </xf>
    <xf numFmtId="0" fontId="31" fillId="0" borderId="16" xfId="0" applyFont="1" applyFill="1" applyBorder="1" applyAlignment="1">
      <alignment horizontal="center" vertical="center" wrapText="1"/>
    </xf>
    <xf numFmtId="0" fontId="31" fillId="0" borderId="36" xfId="0" applyFont="1" applyBorder="1" applyAlignment="1">
      <alignment horizontal="center" vertical="center"/>
    </xf>
    <xf numFmtId="49" fontId="31" fillId="0" borderId="16" xfId="0" applyNumberFormat="1" applyFont="1" applyBorder="1" applyAlignment="1">
      <alignment horizontal="center" vertical="center" wrapText="1"/>
    </xf>
    <xf numFmtId="0" fontId="31" fillId="3" borderId="36" xfId="0" applyFont="1" applyFill="1" applyBorder="1" applyAlignment="1">
      <alignment horizontal="center" vertical="center"/>
    </xf>
    <xf numFmtId="49" fontId="31" fillId="3" borderId="16" xfId="0" applyNumberFormat="1" applyFont="1" applyFill="1" applyBorder="1" applyAlignment="1">
      <alignment horizontal="center" vertical="center" wrapText="1"/>
    </xf>
    <xf numFmtId="0" fontId="31" fillId="3" borderId="16" xfId="0" applyFont="1" applyFill="1" applyBorder="1" applyAlignment="1">
      <alignment horizontal="center" vertical="center" wrapText="1"/>
    </xf>
    <xf numFmtId="0" fontId="31" fillId="3" borderId="37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2" fontId="31" fillId="0" borderId="37" xfId="0" applyNumberFormat="1" applyFont="1" applyBorder="1" applyAlignment="1">
      <alignment horizontal="center" vertical="center" wrapText="1"/>
    </xf>
    <xf numFmtId="2" fontId="31" fillId="3" borderId="37" xfId="0" applyNumberFormat="1" applyFont="1" applyFill="1" applyBorder="1" applyAlignment="1">
      <alignment horizontal="center" vertical="center" wrapText="1"/>
    </xf>
    <xf numFmtId="2" fontId="31" fillId="0" borderId="16" xfId="0" applyNumberFormat="1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2" fontId="17" fillId="5" borderId="16" xfId="0" applyNumberFormat="1" applyFont="1" applyFill="1" applyBorder="1" applyAlignment="1">
      <alignment horizontal="center" vertical="center"/>
    </xf>
    <xf numFmtId="0" fontId="19" fillId="0" borderId="45" xfId="0" applyFont="1" applyFill="1" applyBorder="1" applyAlignment="1">
      <alignment horizontal="center" vertical="center"/>
    </xf>
    <xf numFmtId="0" fontId="19" fillId="0" borderId="44" xfId="0" applyFont="1" applyFill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 wrapText="1"/>
    </xf>
    <xf numFmtId="0" fontId="19" fillId="0" borderId="16" xfId="0" applyFont="1" applyFill="1" applyBorder="1" applyAlignment="1">
      <alignment horizontal="center" vertical="center" wrapText="1"/>
    </xf>
    <xf numFmtId="2" fontId="19" fillId="0" borderId="16" xfId="0" applyNumberFormat="1" applyFont="1" applyFill="1" applyBorder="1" applyAlignment="1">
      <alignment horizontal="center" vertical="center" wrapText="1"/>
    </xf>
    <xf numFmtId="0" fontId="19" fillId="3" borderId="36" xfId="0" applyFont="1" applyFill="1" applyBorder="1" applyAlignment="1">
      <alignment horizontal="center" vertical="center"/>
    </xf>
    <xf numFmtId="49" fontId="19" fillId="3" borderId="16" xfId="0" applyNumberFormat="1" applyFont="1" applyFill="1" applyBorder="1" applyAlignment="1">
      <alignment horizontal="center" vertical="center" wrapText="1"/>
    </xf>
    <xf numFmtId="0" fontId="19" fillId="3" borderId="16" xfId="0" applyFont="1" applyFill="1" applyBorder="1" applyAlignment="1">
      <alignment horizontal="center" vertical="center" wrapText="1"/>
    </xf>
    <xf numFmtId="2" fontId="19" fillId="3" borderId="37" xfId="0" applyNumberFormat="1" applyFont="1" applyFill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/>
    </xf>
    <xf numFmtId="49" fontId="19" fillId="0" borderId="16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2" fontId="19" fillId="0" borderId="37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38" fillId="0" borderId="0" xfId="0" applyFont="1" applyFill="1" applyBorder="1" applyAlignment="1">
      <alignment horizontal="left" vertical="top"/>
    </xf>
    <xf numFmtId="0" fontId="19" fillId="0" borderId="47" xfId="0" applyFont="1" applyBorder="1" applyAlignment="1">
      <alignment horizontal="center" vertical="center"/>
    </xf>
    <xf numFmtId="49" fontId="19" fillId="0" borderId="38" xfId="0" applyNumberFormat="1" applyFont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2" fontId="19" fillId="0" borderId="39" xfId="0" applyNumberFormat="1" applyFont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vertical="center" wrapText="1"/>
    </xf>
    <xf numFmtId="0" fontId="18" fillId="0" borderId="0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21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8" fillId="0" borderId="0" xfId="0" applyFont="1" applyFill="1" applyBorder="1" applyAlignment="1">
      <alignment horizontal="center" vertical="top"/>
    </xf>
    <xf numFmtId="0" fontId="17" fillId="0" borderId="19" xfId="0" applyFont="1" applyBorder="1" applyAlignment="1">
      <alignment vertical="center" wrapText="1"/>
    </xf>
    <xf numFmtId="0" fontId="17" fillId="0" borderId="21" xfId="0" applyFont="1" applyBorder="1" applyAlignment="1">
      <alignment vertical="center" wrapText="1"/>
    </xf>
    <xf numFmtId="0" fontId="17" fillId="0" borderId="19" xfId="0" applyFont="1" applyFill="1" applyBorder="1" applyAlignment="1">
      <alignment vertical="center" wrapText="1"/>
    </xf>
    <xf numFmtId="0" fontId="17" fillId="0" borderId="20" xfId="0" applyFont="1" applyFill="1" applyBorder="1" applyAlignment="1">
      <alignment vertical="center" wrapText="1"/>
    </xf>
    <xf numFmtId="0" fontId="17" fillId="0" borderId="21" xfId="0" applyFont="1" applyFill="1" applyBorder="1" applyAlignment="1">
      <alignment vertical="center" wrapText="1"/>
    </xf>
    <xf numFmtId="0" fontId="17" fillId="0" borderId="19" xfId="0" applyFont="1" applyBorder="1" applyAlignment="1">
      <alignment vertical="center"/>
    </xf>
    <xf numFmtId="0" fontId="17" fillId="0" borderId="21" xfId="0" applyFont="1" applyBorder="1" applyAlignment="1">
      <alignment vertical="center"/>
    </xf>
    <xf numFmtId="0" fontId="17" fillId="5" borderId="19" xfId="0" applyFont="1" applyFill="1" applyBorder="1" applyAlignment="1">
      <alignment vertical="center" wrapText="1"/>
    </xf>
    <xf numFmtId="0" fontId="17" fillId="5" borderId="21" xfId="0" applyFont="1" applyFill="1" applyBorder="1" applyAlignment="1">
      <alignment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5" borderId="20" xfId="0" applyFont="1" applyFill="1" applyBorder="1" applyAlignment="1">
      <alignment vertical="center" wrapText="1"/>
    </xf>
    <xf numFmtId="0" fontId="17" fillId="0" borderId="20" xfId="0" applyFont="1" applyBorder="1" applyAlignment="1">
      <alignment vertical="center" wrapText="1"/>
    </xf>
    <xf numFmtId="0" fontId="17" fillId="5" borderId="16" xfId="0" applyFont="1" applyFill="1" applyBorder="1" applyAlignment="1">
      <alignment vertical="center" wrapText="1"/>
    </xf>
    <xf numFmtId="0" fontId="17" fillId="0" borderId="0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Fill="1" applyBorder="1" applyAlignment="1">
      <alignment horizontal="center" vertical="top"/>
    </xf>
    <xf numFmtId="0" fontId="0" fillId="0" borderId="3" xfId="0" applyFill="1" applyBorder="1" applyAlignment="1">
      <alignment horizontal="center" vertical="top"/>
    </xf>
    <xf numFmtId="0" fontId="17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vertical="center" wrapText="1"/>
    </xf>
    <xf numFmtId="0" fontId="0" fillId="0" borderId="52" xfId="0" applyFill="1" applyBorder="1" applyAlignment="1">
      <alignment horizontal="center" vertical="top"/>
    </xf>
    <xf numFmtId="0" fontId="34" fillId="0" borderId="16" xfId="3" applyFont="1" applyFill="1" applyBorder="1" applyAlignment="1">
      <alignment horizontal="center" vertical="center" wrapText="1"/>
    </xf>
    <xf numFmtId="0" fontId="37" fillId="0" borderId="43" xfId="3" applyNumberFormat="1" applyFont="1" applyFill="1" applyBorder="1" applyAlignment="1">
      <alignment horizontal="center"/>
    </xf>
    <xf numFmtId="0" fontId="37" fillId="0" borderId="0" xfId="3" applyNumberFormat="1" applyFont="1" applyFill="1" applyAlignment="1">
      <alignment horizontal="center"/>
    </xf>
    <xf numFmtId="0" fontId="34" fillId="0" borderId="42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center" vertical="center" wrapText="1"/>
    </xf>
    <xf numFmtId="0" fontId="34" fillId="0" borderId="20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left" vertical="center" wrapText="1"/>
    </xf>
    <xf numFmtId="0" fontId="34" fillId="0" borderId="20" xfId="3" applyFont="1" applyFill="1" applyBorder="1" applyAlignment="1">
      <alignment horizontal="left" vertical="center" wrapText="1"/>
    </xf>
    <xf numFmtId="0" fontId="34" fillId="0" borderId="21" xfId="3" applyFont="1" applyFill="1" applyBorder="1" applyAlignment="1">
      <alignment horizontal="center" vertical="center" wrapText="1"/>
    </xf>
    <xf numFmtId="0" fontId="34" fillId="4" borderId="19" xfId="3" applyFont="1" applyFill="1" applyBorder="1" applyAlignment="1">
      <alignment horizontal="left" vertical="center" wrapText="1"/>
    </xf>
    <xf numFmtId="0" fontId="34" fillId="4" borderId="20" xfId="3" applyFont="1" applyFill="1" applyBorder="1" applyAlignment="1">
      <alignment horizontal="left" vertical="center" wrapText="1"/>
    </xf>
    <xf numFmtId="0" fontId="34" fillId="4" borderId="21" xfId="3" applyFont="1" applyFill="1" applyBorder="1" applyAlignment="1">
      <alignment horizontal="left" vertical="center" wrapText="1"/>
    </xf>
    <xf numFmtId="0" fontId="34" fillId="0" borderId="21" xfId="3" applyFont="1" applyFill="1" applyBorder="1" applyAlignment="1">
      <alignment horizontal="left" vertical="center" wrapText="1"/>
    </xf>
    <xf numFmtId="0" fontId="34" fillId="0" borderId="17" xfId="3" applyFont="1" applyFill="1" applyBorder="1" applyAlignment="1">
      <alignment horizontal="center" vertical="center" wrapText="1"/>
    </xf>
    <xf numFmtId="0" fontId="34" fillId="0" borderId="18" xfId="3" applyFont="1" applyFill="1" applyBorder="1" applyAlignment="1">
      <alignment horizontal="center" vertical="center" wrapText="1"/>
    </xf>
    <xf numFmtId="0" fontId="35" fillId="5" borderId="16" xfId="3" applyFont="1" applyFill="1" applyBorder="1" applyAlignment="1">
      <alignment vertical="center" wrapText="1"/>
    </xf>
    <xf numFmtId="0" fontId="34" fillId="5" borderId="16" xfId="3" applyFont="1" applyFill="1" applyBorder="1" applyAlignment="1">
      <alignment horizontal="left" vertical="center" wrapText="1"/>
    </xf>
    <xf numFmtId="0" fontId="34" fillId="0" borderId="16" xfId="3" applyFont="1" applyFill="1" applyBorder="1" applyAlignment="1">
      <alignment horizontal="left" vertical="center" wrapText="1"/>
    </xf>
    <xf numFmtId="0" fontId="35" fillId="0" borderId="16" xfId="3" applyFont="1" applyFill="1" applyBorder="1" applyAlignment="1">
      <alignment vertical="center" wrapText="1"/>
    </xf>
    <xf numFmtId="0" fontId="35" fillId="0" borderId="16" xfId="3" applyFont="1" applyFill="1" applyBorder="1" applyAlignment="1">
      <alignment horizontal="center" vertical="center" wrapText="1"/>
    </xf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7" fillId="5" borderId="16" xfId="3" applyNumberFormat="1" applyFont="1" applyFill="1" applyBorder="1" applyAlignment="1">
      <alignment vertical="center"/>
    </xf>
    <xf numFmtId="0" fontId="37" fillId="0" borderId="16" xfId="3" applyNumberFormat="1" applyFont="1" applyFill="1" applyBorder="1" applyAlignment="1">
      <alignment vertical="center"/>
    </xf>
    <xf numFmtId="0" fontId="35" fillId="0" borderId="16" xfId="0" applyFont="1" applyFill="1" applyBorder="1" applyAlignment="1">
      <alignment vertical="center" wrapText="1"/>
    </xf>
    <xf numFmtId="2" fontId="37" fillId="4" borderId="16" xfId="3" applyNumberFormat="1" applyFont="1" applyFill="1" applyBorder="1"/>
    <xf numFmtId="0" fontId="35" fillId="5" borderId="16" xfId="0" applyFont="1" applyFill="1" applyBorder="1" applyAlignment="1">
      <alignment vertical="center" wrapText="1"/>
    </xf>
    <xf numFmtId="0" fontId="37" fillId="0" borderId="16" xfId="3" applyNumberFormat="1" applyFont="1" applyBorder="1" applyAlignment="1">
      <alignment vertical="center"/>
    </xf>
    <xf numFmtId="2" fontId="37" fillId="0" borderId="19" xfId="3" applyNumberFormat="1" applyFont="1" applyBorder="1" applyAlignment="1">
      <alignment horizontal="center"/>
    </xf>
    <xf numFmtId="2" fontId="37" fillId="0" borderId="21" xfId="3" applyNumberFormat="1" applyFont="1" applyBorder="1" applyAlignment="1">
      <alignment horizontal="center"/>
    </xf>
    <xf numFmtId="0" fontId="35" fillId="4" borderId="19" xfId="3" applyFont="1" applyFill="1" applyBorder="1" applyAlignment="1">
      <alignment horizontal="left" vertical="center" wrapText="1"/>
    </xf>
    <xf numFmtId="0" fontId="35" fillId="4" borderId="20" xfId="3" applyFont="1" applyFill="1" applyBorder="1" applyAlignment="1">
      <alignment horizontal="left" vertical="center" wrapText="1"/>
    </xf>
    <xf numFmtId="0" fontId="35" fillId="0" borderId="19" xfId="3" applyFont="1" applyFill="1" applyBorder="1" applyAlignment="1">
      <alignment horizontal="left" vertical="center" wrapText="1"/>
    </xf>
    <xf numFmtId="0" fontId="35" fillId="0" borderId="20" xfId="3" applyFont="1" applyFill="1" applyBorder="1" applyAlignment="1">
      <alignment horizontal="left" vertical="center" wrapTex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17" fillId="0" borderId="45" xfId="0" applyFont="1" applyFill="1" applyBorder="1" applyAlignment="1">
      <alignment horizontal="center" vertical="center"/>
    </xf>
    <xf numFmtId="0" fontId="17" fillId="0" borderId="42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0" borderId="32" xfId="3" applyFont="1" applyBorder="1" applyAlignment="1">
      <alignment horizontal="center" vertical="center" wrapText="1"/>
    </xf>
    <xf numFmtId="0" fontId="33" fillId="0" borderId="43" xfId="3" applyNumberFormat="1" applyFont="1" applyBorder="1" applyAlignment="1">
      <alignment horizontal="center"/>
    </xf>
    <xf numFmtId="0" fontId="33" fillId="0" borderId="0" xfId="3" applyNumberFormat="1" applyFont="1" applyAlignment="1">
      <alignment horizontal="center"/>
    </xf>
    <xf numFmtId="0" fontId="21" fillId="0" borderId="19" xfId="3" applyFont="1" applyFill="1" applyBorder="1" applyAlignment="1">
      <alignment horizontal="left" vertical="center" wrapText="1"/>
    </xf>
    <xf numFmtId="0" fontId="21" fillId="0" borderId="20" xfId="3" applyFont="1" applyFill="1" applyBorder="1" applyAlignment="1">
      <alignment horizontal="left" vertical="center" wrapText="1"/>
    </xf>
    <xf numFmtId="0" fontId="21" fillId="0" borderId="21" xfId="3" applyFont="1" applyFill="1" applyBorder="1" applyAlignment="1">
      <alignment horizontal="left" vertical="center" wrapText="1"/>
    </xf>
    <xf numFmtId="0" fontId="18" fillId="0" borderId="19" xfId="3" applyFont="1" applyFill="1" applyBorder="1" applyAlignment="1">
      <alignment horizontal="left" vertical="center" wrapText="1"/>
    </xf>
    <xf numFmtId="0" fontId="18" fillId="0" borderId="20" xfId="3" applyFont="1" applyFill="1" applyBorder="1" applyAlignment="1">
      <alignment horizontal="left" vertical="center" wrapText="1"/>
    </xf>
    <xf numFmtId="0" fontId="18" fillId="0" borderId="21" xfId="3" applyFont="1" applyFill="1" applyBorder="1" applyAlignment="1">
      <alignment horizontal="left" vertical="center" wrapText="1"/>
    </xf>
    <xf numFmtId="0" fontId="21" fillId="0" borderId="16" xfId="3" applyFont="1" applyFill="1" applyBorder="1" applyAlignment="1">
      <alignment horizontal="center" vertical="center" wrapText="1"/>
    </xf>
    <xf numFmtId="0" fontId="21" fillId="0" borderId="42" xfId="3" applyFont="1" applyFill="1" applyBorder="1" applyAlignment="1">
      <alignment horizontal="center" vertical="center" wrapText="1"/>
    </xf>
    <xf numFmtId="0" fontId="21" fillId="0" borderId="19" xfId="3" applyFont="1" applyFill="1" applyBorder="1" applyAlignment="1">
      <alignment horizontal="center" vertical="center" wrapText="1"/>
    </xf>
    <xf numFmtId="0" fontId="21" fillId="0" borderId="20" xfId="3" applyFont="1" applyFill="1" applyBorder="1" applyAlignment="1">
      <alignment horizontal="center" vertical="center" wrapText="1"/>
    </xf>
    <xf numFmtId="0" fontId="21" fillId="0" borderId="21" xfId="3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44" xfId="0" applyFont="1" applyFill="1" applyBorder="1" applyAlignment="1">
      <alignment horizontal="center" vertical="top"/>
    </xf>
    <xf numFmtId="0" fontId="17" fillId="0" borderId="42" xfId="0" applyFont="1" applyFill="1" applyBorder="1" applyAlignment="1">
      <alignment horizontal="center" vertical="top"/>
    </xf>
    <xf numFmtId="0" fontId="21" fillId="0" borderId="25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9" xfId="0" applyFont="1" applyFill="1" applyBorder="1" applyAlignment="1">
      <alignment horizontal="center" vertical="center" wrapText="1"/>
    </xf>
    <xf numFmtId="0" fontId="21" fillId="0" borderId="20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18" fillId="0" borderId="42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center" vertical="top"/>
    </xf>
    <xf numFmtId="0" fontId="21" fillId="0" borderId="0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21" fillId="0" borderId="16" xfId="0" applyFont="1" applyFill="1" applyBorder="1" applyAlignment="1">
      <alignment horizontal="left" vertical="top" wrapText="1"/>
    </xf>
    <xf numFmtId="0" fontId="18" fillId="0" borderId="14" xfId="0" applyFont="1" applyFill="1" applyBorder="1" applyAlignment="1">
      <alignment horizontal="center" vertical="top"/>
    </xf>
    <xf numFmtId="0" fontId="21" fillId="0" borderId="43" xfId="0" applyFont="1" applyFill="1" applyBorder="1" applyAlignment="1">
      <alignment horizontal="center" vertical="center" wrapText="1"/>
    </xf>
    <xf numFmtId="0" fontId="18" fillId="0" borderId="43" xfId="0" applyFont="1" applyFill="1" applyBorder="1" applyAlignment="1">
      <alignment horizontal="center" vertical="top"/>
    </xf>
    <xf numFmtId="0" fontId="37" fillId="0" borderId="0" xfId="3" applyNumberFormat="1" applyFont="1" applyFill="1" applyBorder="1" applyAlignment="1">
      <alignment horizontal="center" vertical="center"/>
    </xf>
    <xf numFmtId="0" fontId="37" fillId="0" borderId="16" xfId="3" applyNumberFormat="1" applyFont="1" applyFill="1" applyBorder="1" applyAlignment="1">
      <alignment horizontal="center" vertical="center"/>
    </xf>
    <xf numFmtId="0" fontId="34" fillId="0" borderId="16" xfId="0" applyFont="1" applyFill="1" applyBorder="1" applyAlignment="1">
      <alignment horizontal="center" vertical="center" wrapText="1"/>
    </xf>
    <xf numFmtId="0" fontId="37" fillId="0" borderId="0" xfId="3" applyNumberFormat="1" applyFont="1" applyFill="1" applyBorder="1" applyAlignment="1">
      <alignment horizontal="center" vertical="center"/>
    </xf>
    <xf numFmtId="0" fontId="37" fillId="0" borderId="42" xfId="3" applyNumberFormat="1" applyFont="1" applyFill="1" applyBorder="1" applyAlignment="1">
      <alignment horizontal="center" vertical="center"/>
    </xf>
    <xf numFmtId="0" fontId="37" fillId="0" borderId="18" xfId="3" applyNumberFormat="1" applyFont="1" applyFill="1" applyBorder="1" applyAlignment="1">
      <alignment horizontal="center" vertical="center"/>
    </xf>
    <xf numFmtId="49" fontId="37" fillId="0" borderId="16" xfId="3" applyNumberFormat="1" applyFont="1" applyFill="1" applyBorder="1" applyAlignment="1">
      <alignment horizontal="center" vertical="center"/>
    </xf>
    <xf numFmtId="0" fontId="37" fillId="5" borderId="16" xfId="3" applyNumberFormat="1" applyFont="1" applyFill="1" applyBorder="1" applyAlignment="1">
      <alignment horizontal="center" vertical="center"/>
    </xf>
    <xf numFmtId="0" fontId="37" fillId="0" borderId="16" xfId="3" applyNumberFormat="1" applyFont="1" applyBorder="1" applyAlignment="1">
      <alignment horizontal="center" vertical="center"/>
    </xf>
  </cellXfs>
  <cellStyles count="4">
    <cellStyle name="Обычный" xfId="0" builtinId="0"/>
    <cellStyle name="Обычный 2" xfId="1"/>
    <cellStyle name="Обычный 3" xfId="3"/>
    <cellStyle name="Финансовый" xfId="2" builtinId="3"/>
  </cellStyles>
  <dxfs count="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1" name="Таблица1612" displayName="Таблица1612" ref="A7:D25" totalsRowShown="0" headerRowDxfId="72" dataDxfId="70" headerRowBorderDxfId="71" tableBorderDxfId="69" totalsRowBorderDxfId="68">
  <autoFilter ref="A7:D25"/>
  <sortState ref="A9:F66">
    <sortCondition ref="A2:A60"/>
  </sortState>
  <tableColumns count="4">
    <tableColumn id="5" name="Этаж" dataDxfId="67"/>
    <tableColumn id="1" name="Пом." dataDxfId="66"/>
    <tableColumn id="3" name="Ед. изм." dataDxfId="65"/>
    <tableColumn id="4" name="Объем." dataDxfId="6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2" name="Таблица161213" displayName="Таблица161213" ref="F7:I27" totalsRowShown="0" headerRowDxfId="63" dataDxfId="61" headerRowBorderDxfId="62" tableBorderDxfId="60" totalsRowBorderDxfId="59">
  <autoFilter ref="F7:I27"/>
  <sortState ref="F8:K65">
    <sortCondition ref="F2:F60"/>
  </sortState>
  <tableColumns count="4">
    <tableColumn id="5" name="Этаж" dataDxfId="58"/>
    <tableColumn id="1" name="Пом." dataDxfId="57"/>
    <tableColumn id="3" name="Ед. изм." dataDxfId="56"/>
    <tableColumn id="4" name="Объем." dataDxfId="5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10" name="Таблица16" displayName="Таблица16" ref="A10:D30" totalsRowShown="0" headerRowDxfId="54" dataDxfId="52" headerRowBorderDxfId="53" tableBorderDxfId="51" totalsRowBorderDxfId="50">
  <autoFilter ref="A10:D30"/>
  <sortState ref="A6:F63">
    <sortCondition ref="A2:A60"/>
  </sortState>
  <tableColumns count="4">
    <tableColumn id="5" name="Этаж" dataDxfId="49"/>
    <tableColumn id="1" name="Пом." dataDxfId="48"/>
    <tableColumn id="3" name="Ед. изм." dataDxfId="47"/>
    <tableColumn id="4" name="Объем." dataDxfId="46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45"/>
    <tableColumn id="2" name="Газобетон" dataDxfId="44"/>
    <tableColumn id="3" name="ПГП" dataDxfId="43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1" name="Таблица1" displayName="Таблица1" ref="A4:D43" totalsRowShown="0" headerRowBorderDxfId="42" tableBorderDxfId="41" totalsRowBorderDxfId="40">
  <autoFilter ref="A4:D43"/>
  <tableColumns count="4">
    <tableColumn id="1" name="№ п.п." dataDxfId="39"/>
    <tableColumn id="2" name="Пом.:" dataDxfId="38"/>
    <tableColumn id="3" name="Помещения:2" dataDxfId="37"/>
    <tableColumn id="4" name="Объем, м²" dataDxfId="36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2" name="Таблица13" displayName="Таблица13" ref="A6:C34" totalsRowShown="0" headerRowBorderDxfId="35" tableBorderDxfId="34" totalsRowBorderDxfId="33">
  <autoFilter ref="A6:C34"/>
  <tableColumns count="3">
    <tableColumn id="1" name="№ п.п." dataDxfId="32"/>
    <tableColumn id="2" name="Пом.:" dataDxfId="31"/>
    <tableColumn id="4" name="Объем, м²" dataDxfId="30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8" name="Таблица134789" displayName="Таблица134789" ref="A5:C7" totalsRowShown="0" headerRowBorderDxfId="29" tableBorderDxfId="28" totalsRowBorderDxfId="27">
  <autoFilter ref="A5:C7"/>
  <tableColumns count="3">
    <tableColumn id="1" name="№ п.п." dataDxfId="26"/>
    <tableColumn id="2" name="Пом.:" dataDxfId="25"/>
    <tableColumn id="4" name="Объем, м²" dataDxfId="24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9" name="Таблица134710" displayName="Таблица134710" ref="A5:C10" totalsRowShown="0" headerRowBorderDxfId="23" tableBorderDxfId="22" totalsRowBorderDxfId="21">
  <autoFilter ref="A5:C10"/>
  <tableColumns count="3">
    <tableColumn id="1" name="№ п.п." dataDxfId="20"/>
    <tableColumn id="2" name="Пом.:" dataDxfId="19"/>
    <tableColumn id="4" name="Объем, м²" dataDxfId="18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7" name="Таблица13478" displayName="Таблица13478" ref="A5:C19" totalsRowShown="0" headerRowBorderDxfId="17" tableBorderDxfId="16" totalsRowBorderDxfId="15">
  <autoFilter ref="A5:C19"/>
  <tableColumns count="3">
    <tableColumn id="1" name="№ п.п." dataDxfId="14"/>
    <tableColumn id="2" name="Пом.:" dataDxfId="13"/>
    <tableColumn id="4" name="Объем, м²" dataDxfId="1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6" name="Таблица1347" displayName="Таблица1347" ref="A6:C38" totalsRowShown="0" headerRowBorderDxfId="11" tableBorderDxfId="10" totalsRowBorderDxfId="9">
  <autoFilter ref="A6:C38"/>
  <tableColumns count="3">
    <tableColumn id="1" name="№ п.п." dataDxfId="8"/>
    <tableColumn id="2" name="Пом.:" dataDxfId="7"/>
    <tableColumn id="4" name="Объем, м²" dataDxfId="6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3" name="Таблица134" displayName="Таблица134" ref="A6:C34" totalsRowShown="0" headerRowBorderDxfId="5" tableBorderDxfId="4" totalsRowBorderDxfId="3">
  <autoFilter ref="A6:C34"/>
  <tableColumns count="3">
    <tableColumn id="1" name="№ п.п." dataDxfId="2"/>
    <tableColumn id="2" name="Пом.:" dataDxfId="1"/>
    <tableColumn id="4" name="Объем, м²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3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414" t="s">
        <v>0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</row>
    <row r="2" spans="1:17" ht="19.5" customHeight="1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412" t="s">
        <v>4</v>
      </c>
      <c r="N2" s="412"/>
      <c r="O2" s="415" t="s">
        <v>5</v>
      </c>
      <c r="P2" s="415"/>
      <c r="Q2" s="416" t="s">
        <v>6</v>
      </c>
    </row>
    <row r="3" spans="1:17" ht="19.5" customHeight="1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419" t="s">
        <v>10</v>
      </c>
      <c r="J3" s="419"/>
      <c r="K3" s="420" t="s">
        <v>11</v>
      </c>
      <c r="L3" s="420"/>
      <c r="M3" s="412" t="s">
        <v>12</v>
      </c>
      <c r="N3" s="413" t="s">
        <v>13</v>
      </c>
      <c r="O3" s="412" t="s">
        <v>12</v>
      </c>
      <c r="P3" s="417" t="s">
        <v>14</v>
      </c>
      <c r="Q3" s="416"/>
    </row>
    <row r="4" spans="1:17" ht="46.35" customHeight="1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412"/>
      <c r="N4" s="413"/>
      <c r="O4" s="412"/>
      <c r="P4" s="417"/>
      <c r="Q4" s="416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414" t="s">
        <v>0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</row>
    <row r="2" spans="1:17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412" t="s">
        <v>4</v>
      </c>
      <c r="N2" s="412"/>
      <c r="O2" s="415" t="s">
        <v>5</v>
      </c>
      <c r="P2" s="415"/>
      <c r="Q2" s="416" t="s">
        <v>6</v>
      </c>
    </row>
    <row r="3" spans="1:17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419" t="s">
        <v>10</v>
      </c>
      <c r="J3" s="419"/>
      <c r="K3" s="420" t="s">
        <v>11</v>
      </c>
      <c r="L3" s="420"/>
      <c r="M3" s="412" t="s">
        <v>12</v>
      </c>
      <c r="N3" s="413" t="s">
        <v>13</v>
      </c>
      <c r="O3" s="412" t="s">
        <v>12</v>
      </c>
      <c r="P3" s="417" t="s">
        <v>14</v>
      </c>
      <c r="Q3" s="416"/>
    </row>
    <row r="4" spans="1:17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412"/>
      <c r="N4" s="413"/>
      <c r="O4" s="412"/>
      <c r="P4" s="417"/>
      <c r="Q4" s="416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29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9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19" t="s">
        <v>10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9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21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1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19" t="s">
        <v>10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1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37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37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19" t="s">
        <v>10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37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49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49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49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27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7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7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28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8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8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36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36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36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35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35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35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1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1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09" t="s">
        <v>63</v>
      </c>
      <c r="J3" s="109"/>
      <c r="K3" s="109" t="s">
        <v>64</v>
      </c>
      <c r="L3" s="109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1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2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2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09" t="s">
        <v>63</v>
      </c>
      <c r="J3" s="109"/>
      <c r="K3" s="109" t="s">
        <v>64</v>
      </c>
      <c r="L3" s="109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2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1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1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09" t="s">
        <v>63</v>
      </c>
      <c r="J3" s="109"/>
      <c r="K3" s="109" t="s">
        <v>64</v>
      </c>
      <c r="L3" s="109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1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34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34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09" t="s">
        <v>63</v>
      </c>
      <c r="J3" s="109"/>
      <c r="K3" s="109" t="s">
        <v>64</v>
      </c>
      <c r="L3" s="109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34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1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1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09" t="s">
        <v>63</v>
      </c>
      <c r="J3" s="109"/>
      <c r="K3" s="109" t="s">
        <v>64</v>
      </c>
      <c r="L3" s="109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1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8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07"/>
      <c r="N2" s="107"/>
      <c r="O2" s="107"/>
      <c r="P2" s="107"/>
      <c r="Q2" s="412" t="s">
        <v>4</v>
      </c>
      <c r="R2" s="412"/>
      <c r="S2" s="415" t="s">
        <v>5</v>
      </c>
      <c r="T2" s="415"/>
      <c r="U2" s="108" t="s">
        <v>6</v>
      </c>
    </row>
    <row r="3" spans="1:28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09" t="s">
        <v>63</v>
      </c>
      <c r="J3" s="109"/>
      <c r="K3" s="109" t="s">
        <v>64</v>
      </c>
      <c r="L3" s="109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08"/>
    </row>
    <row r="4" spans="1:28" ht="34.799999999999997" x14ac:dyDescent="0.25">
      <c r="A4" s="413"/>
      <c r="B4" s="412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12"/>
      <c r="R4" s="413"/>
      <c r="S4" s="412"/>
      <c r="T4" s="417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425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425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425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425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425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425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37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19"/>
      <c r="N2" s="119"/>
      <c r="O2" s="119"/>
      <c r="P2" s="119"/>
      <c r="Q2" s="412" t="s">
        <v>4</v>
      </c>
      <c r="R2" s="412"/>
      <c r="S2" s="415" t="s">
        <v>5</v>
      </c>
      <c r="T2" s="415"/>
      <c r="U2" s="120" t="s">
        <v>6</v>
      </c>
    </row>
    <row r="3" spans="1:37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23" t="s">
        <v>813</v>
      </c>
      <c r="H3" s="419"/>
      <c r="I3" s="117" t="s">
        <v>63</v>
      </c>
      <c r="J3" s="117"/>
      <c r="K3" s="117" t="s">
        <v>64</v>
      </c>
      <c r="L3" s="117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20"/>
    </row>
    <row r="4" spans="1:37" ht="34.799999999999997" x14ac:dyDescent="0.25">
      <c r="A4" s="413"/>
      <c r="B4" s="412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412"/>
      <c r="R4" s="413"/>
      <c r="S4" s="412"/>
      <c r="T4" s="417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3"/>
  <sheetViews>
    <sheetView zoomScale="40" zoomScaleNormal="40" workbookViewId="0">
      <selection activeCell="I12" sqref="I12"/>
    </sheetView>
  </sheetViews>
  <sheetFormatPr defaultRowHeight="18" x14ac:dyDescent="0.25"/>
  <cols>
    <col min="1" max="1" width="7.5546875" style="220" bestFit="1" customWidth="1"/>
    <col min="2" max="2" width="25.5546875" style="220" customWidth="1"/>
    <col min="3" max="3" width="53.664062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54" x14ac:dyDescent="0.25">
      <c r="A3" s="410">
        <v>1</v>
      </c>
      <c r="B3" s="407" t="s">
        <v>986</v>
      </c>
      <c r="C3" s="407" t="s">
        <v>994</v>
      </c>
      <c r="D3" s="253" t="s">
        <v>966</v>
      </c>
      <c r="E3" s="256">
        <v>39</v>
      </c>
    </row>
    <row r="4" spans="1:5" ht="36" x14ac:dyDescent="0.25">
      <c r="A4" s="411">
        <v>2</v>
      </c>
      <c r="B4" s="407" t="s">
        <v>986</v>
      </c>
      <c r="C4" s="407" t="s">
        <v>995</v>
      </c>
      <c r="D4" s="253" t="s">
        <v>966</v>
      </c>
      <c r="E4" s="256">
        <v>3</v>
      </c>
    </row>
    <row r="5" spans="1:5" ht="36" x14ac:dyDescent="0.25">
      <c r="A5" s="411">
        <v>3</v>
      </c>
      <c r="B5" s="407" t="s">
        <v>986</v>
      </c>
      <c r="C5" s="407" t="s">
        <v>996</v>
      </c>
      <c r="D5" s="253" t="s">
        <v>966</v>
      </c>
      <c r="E5" s="256">
        <v>4</v>
      </c>
    </row>
    <row r="6" spans="1:5" ht="36" x14ac:dyDescent="0.25">
      <c r="A6" s="411">
        <v>4</v>
      </c>
      <c r="B6" s="407" t="s">
        <v>986</v>
      </c>
      <c r="C6" s="407" t="s">
        <v>997</v>
      </c>
      <c r="D6" s="253" t="s">
        <v>966</v>
      </c>
      <c r="E6" s="256">
        <v>2</v>
      </c>
    </row>
    <row r="7" spans="1:5" ht="36" x14ac:dyDescent="0.25">
      <c r="A7" s="411">
        <v>5</v>
      </c>
      <c r="B7" s="407" t="s">
        <v>986</v>
      </c>
      <c r="C7" s="407" t="s">
        <v>998</v>
      </c>
      <c r="D7" s="253" t="s">
        <v>966</v>
      </c>
      <c r="E7" s="256">
        <v>2</v>
      </c>
    </row>
    <row r="8" spans="1:5" ht="54" x14ac:dyDescent="0.25">
      <c r="A8" s="411">
        <v>6</v>
      </c>
      <c r="B8" s="407" t="s">
        <v>986</v>
      </c>
      <c r="C8" s="407" t="s">
        <v>999</v>
      </c>
      <c r="D8" s="253" t="s">
        <v>966</v>
      </c>
      <c r="E8" s="256">
        <v>15</v>
      </c>
    </row>
    <row r="9" spans="1:5" ht="54" x14ac:dyDescent="0.25">
      <c r="A9" s="411">
        <v>7</v>
      </c>
      <c r="B9" s="407" t="s">
        <v>986</v>
      </c>
      <c r="C9" s="407" t="s">
        <v>1000</v>
      </c>
      <c r="D9" s="253" t="s">
        <v>966</v>
      </c>
      <c r="E9" s="256">
        <v>32</v>
      </c>
    </row>
    <row r="10" spans="1:5" ht="36" x14ac:dyDescent="0.25">
      <c r="A10" s="411">
        <v>8</v>
      </c>
      <c r="B10" s="407" t="s">
        <v>986</v>
      </c>
      <c r="C10" s="407" t="s">
        <v>1001</v>
      </c>
      <c r="D10" s="253" t="s">
        <v>966</v>
      </c>
      <c r="E10" s="256">
        <v>8</v>
      </c>
    </row>
    <row r="11" spans="1:5" ht="36" x14ac:dyDescent="0.25">
      <c r="A11" s="411">
        <v>9</v>
      </c>
      <c r="B11" s="407" t="s">
        <v>986</v>
      </c>
      <c r="C11" s="407" t="s">
        <v>1002</v>
      </c>
      <c r="D11" s="253" t="s">
        <v>966</v>
      </c>
      <c r="E11" s="256">
        <v>3</v>
      </c>
    </row>
    <row r="12" spans="1:5" ht="36" x14ac:dyDescent="0.25">
      <c r="A12" s="411">
        <v>10</v>
      </c>
      <c r="B12" s="407" t="s">
        <v>986</v>
      </c>
      <c r="C12" s="407" t="s">
        <v>1003</v>
      </c>
      <c r="D12" s="253" t="s">
        <v>966</v>
      </c>
      <c r="E12" s="256">
        <v>2</v>
      </c>
    </row>
    <row r="13" spans="1:5" ht="54" x14ac:dyDescent="0.25">
      <c r="A13" s="411">
        <v>11</v>
      </c>
      <c r="B13" s="407" t="s">
        <v>986</v>
      </c>
      <c r="C13" s="407" t="s">
        <v>1004</v>
      </c>
      <c r="D13" s="253" t="s">
        <v>966</v>
      </c>
      <c r="E13" s="256">
        <v>36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21"/>
  <sheetViews>
    <sheetView topLeftCell="A2" zoomScale="70" zoomScaleNormal="70" workbookViewId="0">
      <selection activeCell="G16" sqref="G16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6" ht="18" customHeight="1" x14ac:dyDescent="0.25">
      <c r="A1" s="426" t="s">
        <v>586</v>
      </c>
      <c r="B1" s="426"/>
      <c r="C1" s="426"/>
      <c r="D1" s="426"/>
      <c r="E1" s="426"/>
    </row>
    <row r="2" spans="1:6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6" ht="72" x14ac:dyDescent="0.25">
      <c r="A3" s="410">
        <v>1</v>
      </c>
      <c r="B3" s="407" t="s">
        <v>810</v>
      </c>
      <c r="C3" s="407" t="s">
        <v>811</v>
      </c>
      <c r="D3" s="253" t="s">
        <v>571</v>
      </c>
      <c r="E3" s="256">
        <v>23.4</v>
      </c>
    </row>
    <row r="4" spans="1:6" ht="126" x14ac:dyDescent="0.25">
      <c r="A4" s="410">
        <v>2</v>
      </c>
      <c r="B4" s="407" t="s">
        <v>810</v>
      </c>
      <c r="C4" s="407" t="s">
        <v>812</v>
      </c>
      <c r="D4" s="253" t="s">
        <v>571</v>
      </c>
      <c r="E4" s="256">
        <v>22.56</v>
      </c>
    </row>
    <row r="10" spans="1:6" x14ac:dyDescent="0.25">
      <c r="E10" s="220">
        <v>1</v>
      </c>
    </row>
    <row r="11" spans="1:6" x14ac:dyDescent="0.25">
      <c r="E11" s="220">
        <v>5</v>
      </c>
      <c r="F11" s="220">
        <v>203.6</v>
      </c>
    </row>
    <row r="12" spans="1:6" x14ac:dyDescent="0.25">
      <c r="E12" s="220">
        <v>6</v>
      </c>
      <c r="F12" s="220">
        <v>75.3</v>
      </c>
    </row>
    <row r="15" spans="1:6" x14ac:dyDescent="0.25">
      <c r="E15" s="220">
        <v>2</v>
      </c>
    </row>
    <row r="16" spans="1:6" x14ac:dyDescent="0.25">
      <c r="E16" s="220">
        <v>5</v>
      </c>
      <c r="F16" s="220">
        <v>177.4</v>
      </c>
    </row>
    <row r="17" spans="5:6" x14ac:dyDescent="0.25">
      <c r="E17" s="220">
        <v>6</v>
      </c>
      <c r="F17" s="220">
        <v>12</v>
      </c>
    </row>
    <row r="19" spans="5:6" x14ac:dyDescent="0.25">
      <c r="E19" s="220">
        <v>3</v>
      </c>
    </row>
    <row r="20" spans="5:6" x14ac:dyDescent="0.25">
      <c r="E20" s="220">
        <v>5</v>
      </c>
      <c r="F20" s="220">
        <v>20.5</v>
      </c>
    </row>
    <row r="21" spans="5:6" x14ac:dyDescent="0.25">
      <c r="E21" s="220">
        <v>6</v>
      </c>
      <c r="F21" s="220">
        <v>4.3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"/>
  <sheetViews>
    <sheetView zoomScale="70" zoomScaleNormal="70" workbookViewId="0">
      <selection activeCell="A10" sqref="A10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54" x14ac:dyDescent="0.25">
      <c r="A3" s="410">
        <v>1</v>
      </c>
      <c r="B3" s="407" t="s">
        <v>985</v>
      </c>
      <c r="C3" s="407" t="s">
        <v>1014</v>
      </c>
      <c r="D3" s="253" t="s">
        <v>571</v>
      </c>
      <c r="E3" s="256">
        <v>352.35</v>
      </c>
    </row>
    <row r="4" spans="1:5" ht="54" x14ac:dyDescent="0.25">
      <c r="A4" s="410">
        <v>2</v>
      </c>
      <c r="B4" s="407" t="s">
        <v>985</v>
      </c>
      <c r="C4" s="407" t="s">
        <v>1015</v>
      </c>
      <c r="D4" s="253" t="s">
        <v>571</v>
      </c>
      <c r="E4" s="256">
        <v>352.35</v>
      </c>
    </row>
    <row r="5" spans="1:5" ht="54" x14ac:dyDescent="0.25">
      <c r="A5" s="410">
        <v>3</v>
      </c>
      <c r="B5" s="407" t="s">
        <v>985</v>
      </c>
      <c r="C5" s="407" t="s">
        <v>1016</v>
      </c>
      <c r="D5" s="253" t="s">
        <v>571</v>
      </c>
      <c r="E5" s="256">
        <v>15.75</v>
      </c>
    </row>
    <row r="6" spans="1:5" ht="54" x14ac:dyDescent="0.25">
      <c r="A6" s="410">
        <v>4</v>
      </c>
      <c r="B6" s="407" t="s">
        <v>985</v>
      </c>
      <c r="C6" s="407" t="s">
        <v>1017</v>
      </c>
      <c r="D6" s="253" t="s">
        <v>571</v>
      </c>
      <c r="E6" s="256">
        <v>15.75</v>
      </c>
    </row>
    <row r="7" spans="1:5" ht="54" x14ac:dyDescent="0.25">
      <c r="A7" s="410">
        <v>5</v>
      </c>
      <c r="B7" s="407" t="s">
        <v>985</v>
      </c>
      <c r="C7" s="407" t="s">
        <v>1018</v>
      </c>
      <c r="D7" s="253" t="s">
        <v>571</v>
      </c>
      <c r="E7" s="256">
        <v>259.20999999999998</v>
      </c>
    </row>
    <row r="8" spans="1:5" ht="54" x14ac:dyDescent="0.25">
      <c r="A8" s="410">
        <v>6</v>
      </c>
      <c r="B8" s="407" t="s">
        <v>985</v>
      </c>
      <c r="C8" s="407" t="s">
        <v>1019</v>
      </c>
      <c r="D8" s="253" t="s">
        <v>571</v>
      </c>
      <c r="E8" s="256">
        <v>284.49</v>
      </c>
    </row>
    <row r="9" spans="1:5" ht="54" x14ac:dyDescent="0.25">
      <c r="A9" s="410">
        <v>7</v>
      </c>
      <c r="B9" s="407" t="s">
        <v>985</v>
      </c>
      <c r="C9" s="407" t="s">
        <v>1020</v>
      </c>
      <c r="D9" s="253" t="s">
        <v>571</v>
      </c>
      <c r="E9" s="256">
        <v>13.5</v>
      </c>
    </row>
    <row r="10" spans="1:5" ht="54" x14ac:dyDescent="0.25">
      <c r="A10" s="410">
        <v>8</v>
      </c>
      <c r="B10" s="407" t="s">
        <v>985</v>
      </c>
      <c r="C10" s="407" t="s">
        <v>1021</v>
      </c>
      <c r="D10" s="253" t="s">
        <v>571</v>
      </c>
      <c r="E10" s="256">
        <v>13.5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"/>
  <sheetViews>
    <sheetView zoomScale="70" zoomScaleNormal="70" workbookViewId="0">
      <selection activeCell="D5" sqref="D5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108" x14ac:dyDescent="0.25">
      <c r="A3" s="410">
        <v>1</v>
      </c>
      <c r="B3" s="407" t="s">
        <v>809</v>
      </c>
      <c r="C3" s="407" t="s">
        <v>1007</v>
      </c>
      <c r="D3" s="253" t="s">
        <v>571</v>
      </c>
      <c r="E3" s="256">
        <v>54.79</v>
      </c>
    </row>
    <row r="4" spans="1:5" ht="90" x14ac:dyDescent="0.25">
      <c r="A4" s="410">
        <v>2</v>
      </c>
      <c r="B4" s="407" t="s">
        <v>809</v>
      </c>
      <c r="C4" s="407" t="s">
        <v>1008</v>
      </c>
      <c r="D4" s="253" t="s">
        <v>571</v>
      </c>
      <c r="E4" s="256">
        <v>181.82</v>
      </c>
    </row>
    <row r="5" spans="1:5" ht="108" x14ac:dyDescent="0.25">
      <c r="A5" s="410">
        <v>3</v>
      </c>
      <c r="B5" s="407" t="s">
        <v>809</v>
      </c>
      <c r="C5" s="407" t="s">
        <v>1009</v>
      </c>
      <c r="D5" s="253" t="s">
        <v>571</v>
      </c>
      <c r="E5" s="256">
        <v>29.792999999999999</v>
      </c>
    </row>
    <row r="6" spans="1:5" ht="72" x14ac:dyDescent="0.25">
      <c r="A6" s="410">
        <v>4</v>
      </c>
      <c r="B6" s="407" t="s">
        <v>809</v>
      </c>
      <c r="C6" s="407" t="s">
        <v>1010</v>
      </c>
      <c r="D6" s="253" t="s">
        <v>571</v>
      </c>
      <c r="E6" s="256">
        <v>302.02999999999997</v>
      </c>
    </row>
    <row r="7" spans="1:5" ht="90" x14ac:dyDescent="0.25">
      <c r="A7" s="410">
        <v>5</v>
      </c>
      <c r="B7" s="407" t="s">
        <v>809</v>
      </c>
      <c r="C7" s="407" t="s">
        <v>1011</v>
      </c>
      <c r="D7" s="253" t="s">
        <v>571</v>
      </c>
      <c r="E7" s="256">
        <v>151.94999999999999</v>
      </c>
    </row>
    <row r="8" spans="1:5" ht="72" x14ac:dyDescent="0.25">
      <c r="A8" s="410">
        <v>6</v>
      </c>
      <c r="B8" s="407" t="s">
        <v>809</v>
      </c>
      <c r="C8" s="407" t="s">
        <v>1012</v>
      </c>
      <c r="D8" s="253" t="s">
        <v>571</v>
      </c>
      <c r="E8" s="256">
        <v>13.5</v>
      </c>
    </row>
    <row r="9" spans="1:5" ht="72" x14ac:dyDescent="0.25">
      <c r="A9" s="410">
        <v>7</v>
      </c>
      <c r="B9" s="407" t="s">
        <v>809</v>
      </c>
      <c r="C9" s="407" t="s">
        <v>1013</v>
      </c>
      <c r="D9" s="253" t="s">
        <v>571</v>
      </c>
      <c r="E9" s="256">
        <v>352.35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3"/>
  <sheetViews>
    <sheetView zoomScale="40" zoomScaleNormal="40" workbookViewId="0">
      <selection activeCell="J12" sqref="J12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79.777343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569</v>
      </c>
      <c r="C3" s="407" t="s">
        <v>573</v>
      </c>
      <c r="D3" s="253" t="s">
        <v>571</v>
      </c>
      <c r="E3" s="256">
        <v>46</v>
      </c>
    </row>
    <row r="4" spans="1:5" ht="54" x14ac:dyDescent="0.25">
      <c r="A4" s="410">
        <v>2</v>
      </c>
      <c r="B4" s="407" t="s">
        <v>569</v>
      </c>
      <c r="C4" s="407" t="s">
        <v>987</v>
      </c>
      <c r="D4" s="253" t="s">
        <v>571</v>
      </c>
      <c r="E4" s="256">
        <v>16.739999999999998</v>
      </c>
    </row>
    <row r="5" spans="1:5" ht="54" x14ac:dyDescent="0.25">
      <c r="A5" s="410">
        <v>3</v>
      </c>
      <c r="B5" s="407" t="s">
        <v>569</v>
      </c>
      <c r="C5" s="407" t="s">
        <v>988</v>
      </c>
      <c r="D5" s="253" t="s">
        <v>571</v>
      </c>
      <c r="E5" s="256">
        <v>3.49</v>
      </c>
    </row>
    <row r="6" spans="1:5" ht="54" x14ac:dyDescent="0.25">
      <c r="A6" s="410">
        <v>4</v>
      </c>
      <c r="B6" s="407" t="s">
        <v>569</v>
      </c>
      <c r="C6" s="407" t="s">
        <v>989</v>
      </c>
      <c r="D6" s="253" t="s">
        <v>571</v>
      </c>
      <c r="E6" s="256">
        <v>0.16</v>
      </c>
    </row>
    <row r="7" spans="1:5" ht="54" x14ac:dyDescent="0.25">
      <c r="A7" s="410">
        <v>5</v>
      </c>
      <c r="B7" s="407" t="s">
        <v>574</v>
      </c>
      <c r="C7" s="407" t="s">
        <v>578</v>
      </c>
      <c r="D7" s="253" t="s">
        <v>571</v>
      </c>
      <c r="E7" s="256">
        <v>6.1</v>
      </c>
    </row>
    <row r="8" spans="1:5" ht="54" x14ac:dyDescent="0.25">
      <c r="A8" s="410">
        <v>6</v>
      </c>
      <c r="B8" s="407" t="s">
        <v>574</v>
      </c>
      <c r="C8" s="407" t="s">
        <v>1005</v>
      </c>
      <c r="D8" s="253" t="s">
        <v>571</v>
      </c>
      <c r="E8" s="256">
        <v>20.100000000000001</v>
      </c>
    </row>
    <row r="9" spans="1:5" ht="54" x14ac:dyDescent="0.25">
      <c r="A9" s="410">
        <v>7</v>
      </c>
      <c r="B9" s="407" t="s">
        <v>574</v>
      </c>
      <c r="C9" s="407" t="s">
        <v>1006</v>
      </c>
      <c r="D9" s="253" t="s">
        <v>571</v>
      </c>
      <c r="E9" s="256">
        <v>2.6</v>
      </c>
    </row>
    <row r="10" spans="1:5" ht="54" x14ac:dyDescent="0.25">
      <c r="A10" s="410">
        <v>8</v>
      </c>
      <c r="B10" s="407" t="s">
        <v>574</v>
      </c>
      <c r="C10" s="407" t="s">
        <v>990</v>
      </c>
      <c r="D10" s="253" t="s">
        <v>571</v>
      </c>
      <c r="E10" s="256">
        <v>322.39999999999998</v>
      </c>
    </row>
    <row r="11" spans="1:5" ht="72" x14ac:dyDescent="0.25">
      <c r="A11" s="410">
        <v>9</v>
      </c>
      <c r="B11" s="407" t="s">
        <v>574</v>
      </c>
      <c r="C11" s="407" t="s">
        <v>991</v>
      </c>
      <c r="D11" s="253" t="s">
        <v>571</v>
      </c>
      <c r="E11" s="256">
        <v>0.18</v>
      </c>
    </row>
    <row r="12" spans="1:5" ht="72" x14ac:dyDescent="0.25">
      <c r="A12" s="410">
        <v>10</v>
      </c>
      <c r="B12" s="407" t="s">
        <v>574</v>
      </c>
      <c r="C12" s="407" t="s">
        <v>992</v>
      </c>
      <c r="D12" s="253" t="s">
        <v>571</v>
      </c>
      <c r="E12" s="256">
        <v>8.09</v>
      </c>
    </row>
    <row r="13" spans="1:5" ht="72" x14ac:dyDescent="0.25">
      <c r="A13" s="410">
        <v>11</v>
      </c>
      <c r="B13" s="407" t="s">
        <v>574</v>
      </c>
      <c r="C13" s="407" t="s">
        <v>993</v>
      </c>
      <c r="D13" s="253" t="s">
        <v>571</v>
      </c>
      <c r="E13" s="256">
        <v>9.31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808</v>
      </c>
      <c r="C3" s="407" t="s">
        <v>983</v>
      </c>
      <c r="D3" s="253" t="s">
        <v>571</v>
      </c>
      <c r="E3" s="256">
        <v>1102.05</v>
      </c>
    </row>
    <row r="4" spans="1:5" ht="54" x14ac:dyDescent="0.25">
      <c r="A4" s="409">
        <v>2</v>
      </c>
      <c r="B4" s="407" t="s">
        <v>808</v>
      </c>
      <c r="C4" s="407" t="s">
        <v>984</v>
      </c>
      <c r="D4" s="253" t="s">
        <v>571</v>
      </c>
      <c r="E4" s="256">
        <v>4.6500000000000004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7.1093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808</v>
      </c>
      <c r="C3" s="407" t="s">
        <v>980</v>
      </c>
      <c r="D3" s="253" t="s">
        <v>571</v>
      </c>
      <c r="E3" s="256">
        <v>10794.83</v>
      </c>
    </row>
    <row r="4" spans="1:5" ht="54" x14ac:dyDescent="0.25">
      <c r="A4" s="409">
        <v>2</v>
      </c>
      <c r="B4" s="407" t="s">
        <v>808</v>
      </c>
      <c r="C4" s="407" t="s">
        <v>981</v>
      </c>
      <c r="D4" s="253" t="s">
        <v>571</v>
      </c>
      <c r="E4" s="256">
        <v>72.2</v>
      </c>
    </row>
    <row r="5" spans="1:5" ht="54" x14ac:dyDescent="0.25">
      <c r="A5" s="409">
        <v>3</v>
      </c>
      <c r="B5" s="407" t="s">
        <v>808</v>
      </c>
      <c r="C5" s="407" t="s">
        <v>982</v>
      </c>
      <c r="D5" s="253" t="s">
        <v>571</v>
      </c>
      <c r="E5" s="256">
        <v>25.902000000000001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9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8.777343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971</v>
      </c>
      <c r="C3" s="407" t="s">
        <v>973</v>
      </c>
      <c r="D3" s="253" t="s">
        <v>571</v>
      </c>
      <c r="E3" s="256">
        <v>203.2</v>
      </c>
    </row>
    <row r="4" spans="1:5" ht="72" x14ac:dyDescent="0.25">
      <c r="A4" s="409">
        <v>2</v>
      </c>
      <c r="B4" s="407" t="s">
        <v>971</v>
      </c>
      <c r="C4" s="407" t="s">
        <v>974</v>
      </c>
      <c r="D4" s="253" t="s">
        <v>571</v>
      </c>
      <c r="E4" s="256">
        <v>25.9</v>
      </c>
    </row>
    <row r="5" spans="1:5" ht="90" x14ac:dyDescent="0.25">
      <c r="A5" s="409">
        <v>3</v>
      </c>
      <c r="B5" s="407" t="s">
        <v>971</v>
      </c>
      <c r="C5" s="407" t="s">
        <v>975</v>
      </c>
      <c r="D5" s="253" t="s">
        <v>571</v>
      </c>
      <c r="E5" s="256">
        <v>854.15</v>
      </c>
    </row>
    <row r="6" spans="1:5" ht="72" x14ac:dyDescent="0.25">
      <c r="A6" s="409">
        <v>4</v>
      </c>
      <c r="B6" s="407" t="s">
        <v>971</v>
      </c>
      <c r="C6" s="407" t="s">
        <v>976</v>
      </c>
      <c r="D6" s="253" t="s">
        <v>571</v>
      </c>
      <c r="E6" s="256">
        <v>1075.53</v>
      </c>
    </row>
    <row r="7" spans="1:5" ht="72" x14ac:dyDescent="0.25">
      <c r="A7" s="409">
        <v>5</v>
      </c>
      <c r="B7" s="407" t="s">
        <v>971</v>
      </c>
      <c r="C7" s="407" t="s">
        <v>977</v>
      </c>
      <c r="D7" s="253" t="s">
        <v>571</v>
      </c>
      <c r="E7" s="256">
        <v>54.322000000000003</v>
      </c>
    </row>
    <row r="8" spans="1:5" ht="72" x14ac:dyDescent="0.25">
      <c r="A8" s="409">
        <v>6</v>
      </c>
      <c r="B8" s="407" t="s">
        <v>971</v>
      </c>
      <c r="C8" s="407" t="s">
        <v>978</v>
      </c>
      <c r="D8" s="253" t="s">
        <v>571</v>
      </c>
      <c r="E8" s="256">
        <v>85.21</v>
      </c>
    </row>
    <row r="9" spans="1:5" ht="72" x14ac:dyDescent="0.25">
      <c r="A9" s="409">
        <v>7</v>
      </c>
      <c r="B9" s="407" t="s">
        <v>971</v>
      </c>
      <c r="C9" s="407" t="s">
        <v>979</v>
      </c>
      <c r="D9" s="253" t="s">
        <v>571</v>
      </c>
      <c r="E9" s="256">
        <v>37.9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8.777343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926</v>
      </c>
      <c r="C3" s="407" t="s">
        <v>972</v>
      </c>
      <c r="D3" s="253" t="s">
        <v>571</v>
      </c>
      <c r="E3" s="256">
        <v>455.65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85" zoomScaleNormal="85" workbookViewId="0">
      <selection activeCell="E4" sqref="E4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970</v>
      </c>
      <c r="D3" s="253" t="s">
        <v>571</v>
      </c>
      <c r="E3" s="256">
        <v>90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85" zoomScaleNormal="85" workbookViewId="0">
      <selection activeCell="E4" sqref="E4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969</v>
      </c>
      <c r="D3" s="253" t="s">
        <v>571</v>
      </c>
      <c r="E3" s="256">
        <v>90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967</v>
      </c>
      <c r="D3" s="253" t="s">
        <v>571</v>
      </c>
      <c r="E3" s="256">
        <v>953.76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968</v>
      </c>
      <c r="D3" s="253" t="s">
        <v>571</v>
      </c>
      <c r="E3" s="256">
        <v>213.54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3"/>
  <sheetViews>
    <sheetView workbookViewId="0">
      <selection sqref="A1:D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9.109375" style="220" bestFit="1" customWidth="1"/>
    <col min="4" max="4" width="7.5546875" style="220" bestFit="1" customWidth="1"/>
    <col min="5" max="16384" width="8.88671875" style="220"/>
  </cols>
  <sheetData>
    <row r="1" spans="1:4" ht="18" customHeight="1" x14ac:dyDescent="0.25">
      <c r="A1" s="426" t="s">
        <v>586</v>
      </c>
      <c r="B1" s="426"/>
      <c r="C1" s="426"/>
      <c r="D1" s="426"/>
    </row>
    <row r="2" spans="1:4" s="408" customFormat="1" ht="18" customHeight="1" x14ac:dyDescent="0.25">
      <c r="A2" s="409" t="s">
        <v>580</v>
      </c>
      <c r="B2" s="409" t="s">
        <v>789</v>
      </c>
      <c r="C2" s="253" t="s">
        <v>583</v>
      </c>
      <c r="D2" s="253" t="s">
        <v>584</v>
      </c>
    </row>
    <row r="3" spans="1:4" ht="54" x14ac:dyDescent="0.25">
      <c r="A3" s="409">
        <v>1</v>
      </c>
      <c r="B3" s="407" t="s">
        <v>965</v>
      </c>
      <c r="C3" s="253" t="s">
        <v>966</v>
      </c>
      <c r="D3" s="256">
        <v>357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963</v>
      </c>
      <c r="C3" s="407" t="s">
        <v>964</v>
      </c>
      <c r="D3" s="253" t="s">
        <v>571</v>
      </c>
      <c r="E3" s="256">
        <v>145.30000000000001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D9:J18"/>
  <sheetViews>
    <sheetView workbookViewId="0"/>
  </sheetViews>
  <sheetFormatPr defaultRowHeight="13.2" x14ac:dyDescent="0.25"/>
  <sheetData>
    <row r="9" spans="4:10" x14ac:dyDescent="0.25">
      <c r="F9">
        <v>2</v>
      </c>
      <c r="G9">
        <v>6.4</v>
      </c>
    </row>
    <row r="10" spans="4:10" x14ac:dyDescent="0.25">
      <c r="D10" s="357" t="s">
        <v>792</v>
      </c>
      <c r="E10">
        <v>85.4</v>
      </c>
      <c r="F10">
        <v>6</v>
      </c>
      <c r="G10">
        <v>28.7</v>
      </c>
      <c r="J10">
        <v>4.3</v>
      </c>
    </row>
    <row r="11" spans="4:10" x14ac:dyDescent="0.25">
      <c r="D11">
        <v>1</v>
      </c>
      <c r="E11">
        <v>198.6</v>
      </c>
      <c r="F11">
        <v>1</v>
      </c>
      <c r="G11">
        <v>28.7</v>
      </c>
    </row>
    <row r="12" spans="4:10" x14ac:dyDescent="0.25">
      <c r="D12">
        <v>4</v>
      </c>
      <c r="E12">
        <v>4.3</v>
      </c>
      <c r="F12">
        <v>5</v>
      </c>
      <c r="G12">
        <v>154.5</v>
      </c>
      <c r="I12">
        <v>5</v>
      </c>
      <c r="J12">
        <v>20.6</v>
      </c>
    </row>
    <row r="13" spans="4:10" x14ac:dyDescent="0.25">
      <c r="D13">
        <v>5</v>
      </c>
      <c r="E13">
        <v>183.6</v>
      </c>
      <c r="F13">
        <v>10</v>
      </c>
      <c r="G13">
        <v>11.3</v>
      </c>
    </row>
    <row r="14" spans="4:10" x14ac:dyDescent="0.25">
      <c r="D14">
        <v>8</v>
      </c>
      <c r="E14">
        <v>6.1</v>
      </c>
      <c r="F14">
        <v>11</v>
      </c>
      <c r="G14">
        <v>45.4</v>
      </c>
    </row>
    <row r="15" spans="4:10" x14ac:dyDescent="0.25">
      <c r="D15">
        <v>10</v>
      </c>
      <c r="E15">
        <v>14.2</v>
      </c>
      <c r="F15">
        <v>13</v>
      </c>
      <c r="G15">
        <v>34.200000000000003</v>
      </c>
    </row>
    <row r="18" spans="5:10" x14ac:dyDescent="0.25">
      <c r="E18">
        <f>SUM(E9:E15)</f>
        <v>492.2</v>
      </c>
      <c r="G18">
        <f>SUM(G9:G15)</f>
        <v>309.2</v>
      </c>
      <c r="J18">
        <f>SUM(J9:J15)</f>
        <v>24.900000000000002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3"/>
  <sheetViews>
    <sheetView workbookViewId="0">
      <selection sqref="A1:O1"/>
    </sheetView>
  </sheetViews>
  <sheetFormatPr defaultRowHeight="13.2" x14ac:dyDescent="0.25"/>
  <cols>
    <col min="5" max="5" width="2.88671875" customWidth="1"/>
    <col min="6" max="6" width="7.6640625" customWidth="1"/>
    <col min="10" max="10" width="4.109375" customWidth="1"/>
    <col min="11" max="11" width="7.6640625" customWidth="1"/>
    <col min="12" max="12" width="10.44140625" customWidth="1"/>
  </cols>
  <sheetData>
    <row r="1" spans="1:16" ht="18" x14ac:dyDescent="0.25">
      <c r="A1" s="427" t="s">
        <v>579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9"/>
    </row>
    <row r="2" spans="1:16" s="197" customFormat="1" ht="18" customHeight="1" x14ac:dyDescent="0.25">
      <c r="A2" s="173" t="s">
        <v>580</v>
      </c>
      <c r="B2" s="173" t="s">
        <v>937</v>
      </c>
      <c r="C2" s="443" t="s">
        <v>581</v>
      </c>
      <c r="D2" s="444"/>
      <c r="E2" s="444"/>
      <c r="F2" s="444"/>
      <c r="G2" s="444"/>
      <c r="H2" s="444"/>
      <c r="I2" s="444"/>
      <c r="J2" s="444"/>
      <c r="K2" s="445"/>
      <c r="L2" s="439" t="s">
        <v>582</v>
      </c>
      <c r="M2" s="440"/>
      <c r="N2" s="356" t="s">
        <v>583</v>
      </c>
      <c r="O2" s="356" t="s">
        <v>584</v>
      </c>
    </row>
    <row r="3" spans="1:16" ht="60" customHeight="1" x14ac:dyDescent="0.25">
      <c r="A3" s="355">
        <v>1</v>
      </c>
      <c r="B3" s="355">
        <v>67</v>
      </c>
      <c r="C3" s="436" t="s">
        <v>943</v>
      </c>
      <c r="D3" s="437"/>
      <c r="E3" s="437"/>
      <c r="F3" s="437"/>
      <c r="G3" s="437"/>
      <c r="H3" s="437"/>
      <c r="I3" s="437"/>
      <c r="J3" s="437"/>
      <c r="K3" s="438"/>
      <c r="L3" s="434" t="s">
        <v>947</v>
      </c>
      <c r="M3" s="435"/>
      <c r="N3" s="356" t="s">
        <v>571</v>
      </c>
      <c r="O3" s="356">
        <v>718.5</v>
      </c>
      <c r="P3">
        <v>719.88</v>
      </c>
    </row>
    <row r="4" spans="1:16" ht="58.8" customHeight="1" x14ac:dyDescent="0.25">
      <c r="A4" s="379">
        <v>2</v>
      </c>
      <c r="B4" s="379">
        <v>72</v>
      </c>
      <c r="C4" s="441" t="s">
        <v>943</v>
      </c>
      <c r="D4" s="446"/>
      <c r="E4" s="446"/>
      <c r="F4" s="446"/>
      <c r="G4" s="446"/>
      <c r="H4" s="446"/>
      <c r="I4" s="446"/>
      <c r="J4" s="446"/>
      <c r="K4" s="442"/>
      <c r="L4" s="441" t="s">
        <v>953</v>
      </c>
      <c r="M4" s="442"/>
      <c r="N4" s="380" t="s">
        <v>571</v>
      </c>
      <c r="O4" s="381">
        <v>802.6</v>
      </c>
      <c r="P4">
        <v>804.46</v>
      </c>
    </row>
    <row r="5" spans="1:16" ht="63" customHeight="1" x14ac:dyDescent="0.25">
      <c r="A5" s="355">
        <v>3</v>
      </c>
      <c r="B5" s="355">
        <v>77</v>
      </c>
      <c r="C5" s="436" t="s">
        <v>943</v>
      </c>
      <c r="D5" s="437"/>
      <c r="E5" s="437"/>
      <c r="F5" s="437"/>
      <c r="G5" s="437"/>
      <c r="H5" s="437"/>
      <c r="I5" s="437"/>
      <c r="J5" s="437"/>
      <c r="K5" s="438"/>
      <c r="L5" s="434" t="s">
        <v>948</v>
      </c>
      <c r="M5" s="435"/>
      <c r="N5" s="356" t="s">
        <v>571</v>
      </c>
      <c r="O5" s="356">
        <v>374.22999999999996</v>
      </c>
      <c r="P5">
        <v>377.82</v>
      </c>
    </row>
    <row r="6" spans="1:16" ht="16.2" customHeight="1" x14ac:dyDescent="0.25">
      <c r="A6" s="430"/>
      <c r="B6" s="430"/>
      <c r="C6" s="430"/>
      <c r="D6" s="430"/>
      <c r="E6" s="430"/>
      <c r="F6" s="430"/>
      <c r="G6" s="430"/>
      <c r="H6" s="430"/>
      <c r="I6" s="430"/>
      <c r="J6" s="430"/>
      <c r="K6" s="430"/>
      <c r="L6" s="430"/>
      <c r="M6" s="430"/>
      <c r="N6" s="430"/>
      <c r="O6" s="430"/>
    </row>
    <row r="7" spans="1:16" ht="18" x14ac:dyDescent="0.25">
      <c r="A7" s="382" t="s">
        <v>821</v>
      </c>
      <c r="B7" s="383" t="s">
        <v>652</v>
      </c>
      <c r="C7" s="382" t="s">
        <v>583</v>
      </c>
      <c r="D7" s="382" t="s">
        <v>940</v>
      </c>
      <c r="E7" s="431"/>
      <c r="F7" s="382" t="s">
        <v>821</v>
      </c>
      <c r="G7" s="383" t="s">
        <v>652</v>
      </c>
      <c r="H7" s="382" t="s">
        <v>583</v>
      </c>
      <c r="I7" s="382" t="s">
        <v>940</v>
      </c>
      <c r="J7" s="432"/>
      <c r="K7" s="384" t="s">
        <v>821</v>
      </c>
      <c r="L7" s="385" t="s">
        <v>652</v>
      </c>
      <c r="M7" s="386" t="s">
        <v>583</v>
      </c>
      <c r="N7" s="387" t="s">
        <v>940</v>
      </c>
      <c r="O7" s="433"/>
    </row>
    <row r="8" spans="1:16" ht="18" x14ac:dyDescent="0.25">
      <c r="A8" s="195">
        <v>1</v>
      </c>
      <c r="B8" s="388" t="s">
        <v>483</v>
      </c>
      <c r="C8" s="389" t="s">
        <v>571</v>
      </c>
      <c r="D8" s="390">
        <v>41.32</v>
      </c>
      <c r="E8" s="431"/>
      <c r="F8" s="195">
        <v>2</v>
      </c>
      <c r="G8" s="388" t="s">
        <v>427</v>
      </c>
      <c r="H8" s="389" t="s">
        <v>571</v>
      </c>
      <c r="I8" s="390">
        <v>23.92</v>
      </c>
      <c r="J8" s="432"/>
      <c r="K8" s="391">
        <v>3</v>
      </c>
      <c r="L8" s="392" t="s">
        <v>366</v>
      </c>
      <c r="M8" s="393" t="s">
        <v>571</v>
      </c>
      <c r="N8" s="394">
        <v>19.86</v>
      </c>
      <c r="O8" s="433"/>
    </row>
    <row r="9" spans="1:16" ht="18" x14ac:dyDescent="0.25">
      <c r="A9" s="195">
        <v>1</v>
      </c>
      <c r="B9" s="388" t="s">
        <v>485</v>
      </c>
      <c r="C9" s="389" t="s">
        <v>571</v>
      </c>
      <c r="D9" s="390">
        <v>24.56</v>
      </c>
      <c r="E9" s="431"/>
      <c r="F9" s="195">
        <v>2</v>
      </c>
      <c r="G9" s="388" t="s">
        <v>428</v>
      </c>
      <c r="H9" s="389" t="s">
        <v>571</v>
      </c>
      <c r="I9" s="390">
        <v>12.879999999999999</v>
      </c>
      <c r="J9" s="432"/>
      <c r="K9" s="395">
        <v>3</v>
      </c>
      <c r="L9" s="396" t="s">
        <v>688</v>
      </c>
      <c r="M9" s="397" t="s">
        <v>571</v>
      </c>
      <c r="N9" s="398">
        <v>25.76</v>
      </c>
      <c r="O9" s="433"/>
    </row>
    <row r="10" spans="1:16" ht="18" x14ac:dyDescent="0.25">
      <c r="A10" s="195">
        <v>1</v>
      </c>
      <c r="B10" s="388" t="s">
        <v>488</v>
      </c>
      <c r="C10" s="389" t="s">
        <v>571</v>
      </c>
      <c r="D10" s="390">
        <v>11.96</v>
      </c>
      <c r="E10" s="431"/>
      <c r="F10" s="195">
        <v>2</v>
      </c>
      <c r="G10" s="388" t="s">
        <v>432</v>
      </c>
      <c r="H10" s="389" t="s">
        <v>571</v>
      </c>
      <c r="I10" s="390">
        <v>14.96</v>
      </c>
      <c r="J10" s="432"/>
      <c r="K10" s="391">
        <v>3</v>
      </c>
      <c r="L10" s="392" t="s">
        <v>371</v>
      </c>
      <c r="M10" s="393" t="s">
        <v>571</v>
      </c>
      <c r="N10" s="394">
        <v>25.439999999999998</v>
      </c>
      <c r="O10" s="433"/>
    </row>
    <row r="11" spans="1:16" ht="18" x14ac:dyDescent="0.25">
      <c r="A11" s="195">
        <v>1</v>
      </c>
      <c r="B11" s="388" t="s">
        <v>489</v>
      </c>
      <c r="C11" s="389" t="s">
        <v>571</v>
      </c>
      <c r="D11" s="390">
        <v>6.44</v>
      </c>
      <c r="E11" s="431"/>
      <c r="F11" s="195">
        <v>2</v>
      </c>
      <c r="G11" s="388" t="s">
        <v>434</v>
      </c>
      <c r="H11" s="389" t="s">
        <v>571</v>
      </c>
      <c r="I11" s="390">
        <v>37.64</v>
      </c>
      <c r="J11" s="432"/>
      <c r="K11" s="395">
        <v>3</v>
      </c>
      <c r="L11" s="396" t="s">
        <v>378</v>
      </c>
      <c r="M11" s="397" t="s">
        <v>571</v>
      </c>
      <c r="N11" s="398">
        <v>2.4</v>
      </c>
      <c r="O11" s="433"/>
    </row>
    <row r="12" spans="1:16" ht="18" x14ac:dyDescent="0.25">
      <c r="A12" s="195">
        <v>1</v>
      </c>
      <c r="B12" s="388" t="s">
        <v>490</v>
      </c>
      <c r="C12" s="389" t="s">
        <v>571</v>
      </c>
      <c r="D12" s="390">
        <v>8.24</v>
      </c>
      <c r="E12" s="431"/>
      <c r="F12" s="195">
        <v>2</v>
      </c>
      <c r="G12" s="388" t="s">
        <v>436</v>
      </c>
      <c r="H12" s="389" t="s">
        <v>571</v>
      </c>
      <c r="I12" s="390">
        <v>40.270000000000003</v>
      </c>
      <c r="J12" s="432"/>
      <c r="K12" s="391">
        <v>3</v>
      </c>
      <c r="L12" s="392" t="s">
        <v>646</v>
      </c>
      <c r="M12" s="393" t="s">
        <v>571</v>
      </c>
      <c r="N12" s="394">
        <v>13.6</v>
      </c>
      <c r="O12" s="433"/>
    </row>
    <row r="13" spans="1:16" ht="18" x14ac:dyDescent="0.25">
      <c r="A13" s="195">
        <v>1</v>
      </c>
      <c r="B13" s="388" t="s">
        <v>499</v>
      </c>
      <c r="C13" s="389" t="s">
        <v>571</v>
      </c>
      <c r="D13" s="390">
        <v>12.52</v>
      </c>
      <c r="E13" s="431"/>
      <c r="F13" s="195">
        <v>2</v>
      </c>
      <c r="G13" s="388" t="s">
        <v>437</v>
      </c>
      <c r="H13" s="389" t="s">
        <v>571</v>
      </c>
      <c r="I13" s="390">
        <v>47.9</v>
      </c>
      <c r="J13" s="432"/>
      <c r="K13" s="395">
        <v>3</v>
      </c>
      <c r="L13" s="396" t="s">
        <v>851</v>
      </c>
      <c r="M13" s="397" t="s">
        <v>571</v>
      </c>
      <c r="N13" s="398">
        <v>26.05</v>
      </c>
      <c r="O13" s="433"/>
    </row>
    <row r="14" spans="1:16" ht="18" x14ac:dyDescent="0.25">
      <c r="A14" s="195">
        <v>1</v>
      </c>
      <c r="B14" s="388" t="s">
        <v>500</v>
      </c>
      <c r="C14" s="389" t="s">
        <v>571</v>
      </c>
      <c r="D14" s="390">
        <v>25.8</v>
      </c>
      <c r="E14" s="431"/>
      <c r="F14" s="195">
        <v>2</v>
      </c>
      <c r="G14" s="388" t="s">
        <v>440</v>
      </c>
      <c r="H14" s="389" t="s">
        <v>571</v>
      </c>
      <c r="I14" s="390">
        <v>37.4</v>
      </c>
      <c r="J14" s="432"/>
      <c r="K14" s="391">
        <v>3</v>
      </c>
      <c r="L14" s="392" t="s">
        <v>944</v>
      </c>
      <c r="M14" s="393" t="s">
        <v>571</v>
      </c>
      <c r="N14" s="394">
        <v>19.04</v>
      </c>
      <c r="O14" s="433"/>
    </row>
    <row r="15" spans="1:16" ht="18" x14ac:dyDescent="0.25">
      <c r="A15" s="195">
        <v>1</v>
      </c>
      <c r="B15" s="388" t="s">
        <v>502</v>
      </c>
      <c r="C15" s="389" t="s">
        <v>571</v>
      </c>
      <c r="D15" s="390">
        <v>28</v>
      </c>
      <c r="E15" s="431"/>
      <c r="F15" s="195">
        <v>2</v>
      </c>
      <c r="G15" s="388" t="s">
        <v>444</v>
      </c>
      <c r="H15" s="389" t="s">
        <v>571</v>
      </c>
      <c r="I15" s="390">
        <v>14.26</v>
      </c>
      <c r="J15" s="432"/>
      <c r="K15" s="395">
        <v>3</v>
      </c>
      <c r="L15" s="396" t="s">
        <v>648</v>
      </c>
      <c r="M15" s="397" t="s">
        <v>571</v>
      </c>
      <c r="N15" s="398">
        <v>19.920000000000002</v>
      </c>
      <c r="O15" s="433"/>
    </row>
    <row r="16" spans="1:16" ht="18" x14ac:dyDescent="0.25">
      <c r="A16" s="195">
        <v>1</v>
      </c>
      <c r="B16" s="388" t="s">
        <v>505</v>
      </c>
      <c r="C16" s="389" t="s">
        <v>571</v>
      </c>
      <c r="D16" s="390">
        <v>11.35</v>
      </c>
      <c r="E16" s="431"/>
      <c r="F16" s="195">
        <v>2</v>
      </c>
      <c r="G16" s="388" t="s">
        <v>447</v>
      </c>
      <c r="H16" s="389" t="s">
        <v>571</v>
      </c>
      <c r="I16" s="390">
        <v>30.56</v>
      </c>
      <c r="J16" s="432"/>
      <c r="K16" s="391">
        <v>3</v>
      </c>
      <c r="L16" s="392" t="s">
        <v>945</v>
      </c>
      <c r="M16" s="393" t="s">
        <v>571</v>
      </c>
      <c r="N16" s="394">
        <v>66.680000000000007</v>
      </c>
      <c r="O16" s="433"/>
    </row>
    <row r="17" spans="1:15" ht="18" x14ac:dyDescent="0.25">
      <c r="A17" s="195">
        <v>1</v>
      </c>
      <c r="B17" s="388" t="s">
        <v>508</v>
      </c>
      <c r="C17" s="389" t="s">
        <v>571</v>
      </c>
      <c r="D17" s="390">
        <v>24.76</v>
      </c>
      <c r="E17" s="431"/>
      <c r="F17" s="195">
        <v>2</v>
      </c>
      <c r="G17" s="388" t="s">
        <v>448</v>
      </c>
      <c r="H17" s="389" t="s">
        <v>571</v>
      </c>
      <c r="I17" s="390">
        <v>30.56</v>
      </c>
      <c r="J17" s="432"/>
      <c r="K17" s="395">
        <v>3</v>
      </c>
      <c r="L17" s="396" t="s">
        <v>379</v>
      </c>
      <c r="M17" s="397" t="s">
        <v>571</v>
      </c>
      <c r="N17" s="398">
        <v>31.06</v>
      </c>
      <c r="O17" s="433"/>
    </row>
    <row r="18" spans="1:15" ht="18" x14ac:dyDescent="0.25">
      <c r="A18" s="195">
        <v>1</v>
      </c>
      <c r="B18" s="388" t="s">
        <v>513</v>
      </c>
      <c r="C18" s="389" t="s">
        <v>571</v>
      </c>
      <c r="D18" s="390">
        <v>13.6</v>
      </c>
      <c r="E18" s="431"/>
      <c r="F18" s="195">
        <v>2</v>
      </c>
      <c r="G18" s="388" t="s">
        <v>457</v>
      </c>
      <c r="H18" s="389" t="s">
        <v>571</v>
      </c>
      <c r="I18" s="390">
        <v>13.6</v>
      </c>
      <c r="J18" s="432"/>
      <c r="K18" s="391">
        <v>3</v>
      </c>
      <c r="L18" s="392" t="s">
        <v>381</v>
      </c>
      <c r="M18" s="393" t="s">
        <v>571</v>
      </c>
      <c r="N18" s="394">
        <v>19.399999999999999</v>
      </c>
      <c r="O18" s="433"/>
    </row>
    <row r="19" spans="1:15" ht="18" x14ac:dyDescent="0.25">
      <c r="A19" s="195">
        <v>1</v>
      </c>
      <c r="B19" s="388" t="s">
        <v>515</v>
      </c>
      <c r="C19" s="389" t="s">
        <v>571</v>
      </c>
      <c r="D19" s="390">
        <v>42.36</v>
      </c>
      <c r="E19" s="431"/>
      <c r="F19" s="195">
        <v>2</v>
      </c>
      <c r="G19" s="388" t="s">
        <v>458</v>
      </c>
      <c r="H19" s="389" t="s">
        <v>571</v>
      </c>
      <c r="I19" s="390">
        <v>27.84</v>
      </c>
      <c r="J19" s="432"/>
      <c r="K19" s="395">
        <v>3</v>
      </c>
      <c r="L19" s="396" t="s">
        <v>382</v>
      </c>
      <c r="M19" s="397" t="s">
        <v>571</v>
      </c>
      <c r="N19" s="398">
        <v>76.08</v>
      </c>
      <c r="O19" s="433"/>
    </row>
    <row r="20" spans="1:15" ht="18" x14ac:dyDescent="0.25">
      <c r="A20" s="195">
        <v>1</v>
      </c>
      <c r="B20" s="388" t="s">
        <v>543</v>
      </c>
      <c r="C20" s="389" t="s">
        <v>571</v>
      </c>
      <c r="D20" s="390">
        <v>17.84</v>
      </c>
      <c r="E20" s="431"/>
      <c r="F20" s="195">
        <v>2</v>
      </c>
      <c r="G20" s="388" t="s">
        <v>461</v>
      </c>
      <c r="H20" s="389" t="s">
        <v>571</v>
      </c>
      <c r="I20" s="390">
        <v>94.36</v>
      </c>
      <c r="J20" s="432"/>
      <c r="K20" s="391">
        <v>3</v>
      </c>
      <c r="L20" s="392" t="s">
        <v>383</v>
      </c>
      <c r="M20" s="393" t="s">
        <v>571</v>
      </c>
      <c r="N20" s="394">
        <v>8.7200000000000006</v>
      </c>
      <c r="O20" s="433"/>
    </row>
    <row r="21" spans="1:15" ht="18" x14ac:dyDescent="0.25">
      <c r="A21" s="195">
        <v>1</v>
      </c>
      <c r="B21" s="388" t="s">
        <v>544</v>
      </c>
      <c r="C21" s="389" t="s">
        <v>571</v>
      </c>
      <c r="D21" s="390">
        <v>94.68</v>
      </c>
      <c r="E21" s="431"/>
      <c r="F21" s="195">
        <v>2</v>
      </c>
      <c r="G21" s="388" t="s">
        <v>465</v>
      </c>
      <c r="H21" s="389" t="s">
        <v>571</v>
      </c>
      <c r="I21" s="390">
        <v>17.440000000000001</v>
      </c>
      <c r="J21" s="432"/>
      <c r="K21" s="395">
        <v>3</v>
      </c>
      <c r="L21" s="396" t="s">
        <v>385</v>
      </c>
      <c r="M21" s="397" t="s">
        <v>571</v>
      </c>
      <c r="N21" s="398">
        <v>3.8</v>
      </c>
      <c r="O21" s="433"/>
    </row>
    <row r="22" spans="1:15" ht="18" x14ac:dyDescent="0.25">
      <c r="A22" s="195">
        <v>1</v>
      </c>
      <c r="B22" s="388" t="s">
        <v>549</v>
      </c>
      <c r="C22" s="389" t="s">
        <v>571</v>
      </c>
      <c r="D22" s="390">
        <v>17.440000000000001</v>
      </c>
      <c r="E22" s="431"/>
      <c r="F22" s="195">
        <v>2</v>
      </c>
      <c r="G22" s="388" t="s">
        <v>468</v>
      </c>
      <c r="H22" s="389" t="s">
        <v>571</v>
      </c>
      <c r="I22" s="390">
        <v>94.36</v>
      </c>
      <c r="J22" s="432"/>
      <c r="K22" s="391">
        <v>3</v>
      </c>
      <c r="L22" s="392" t="s">
        <v>390</v>
      </c>
      <c r="M22" s="393" t="s">
        <v>571</v>
      </c>
      <c r="N22" s="394">
        <v>9.64</v>
      </c>
      <c r="O22" s="433"/>
    </row>
    <row r="23" spans="1:15" ht="18" x14ac:dyDescent="0.25">
      <c r="A23" s="195">
        <v>1</v>
      </c>
      <c r="B23" s="388" t="s">
        <v>550</v>
      </c>
      <c r="C23" s="389" t="s">
        <v>571</v>
      </c>
      <c r="D23" s="390">
        <v>94.32</v>
      </c>
      <c r="E23" s="431"/>
      <c r="F23" s="195">
        <v>2</v>
      </c>
      <c r="G23" s="388" t="s">
        <v>469</v>
      </c>
      <c r="H23" s="389" t="s">
        <v>571</v>
      </c>
      <c r="I23" s="390">
        <v>8.32</v>
      </c>
      <c r="J23" s="432"/>
      <c r="K23" s="395">
        <v>3</v>
      </c>
      <c r="L23" s="396" t="s">
        <v>392</v>
      </c>
      <c r="M23" s="397" t="s">
        <v>571</v>
      </c>
      <c r="N23" s="398">
        <v>6.78</v>
      </c>
      <c r="O23" s="433"/>
    </row>
    <row r="24" spans="1:15" ht="18" x14ac:dyDescent="0.25">
      <c r="A24" s="195">
        <v>1</v>
      </c>
      <c r="B24" s="388" t="s">
        <v>553</v>
      </c>
      <c r="C24" s="389" t="s">
        <v>571</v>
      </c>
      <c r="D24" s="390">
        <v>42.589999999999996</v>
      </c>
      <c r="E24" s="431"/>
      <c r="F24" s="195">
        <v>2</v>
      </c>
      <c r="G24" s="388" t="s">
        <v>471</v>
      </c>
      <c r="H24" s="389" t="s">
        <v>571</v>
      </c>
      <c r="I24" s="390">
        <v>5.12</v>
      </c>
      <c r="J24" s="432"/>
      <c r="K24" s="399"/>
      <c r="L24" s="396" t="s">
        <v>622</v>
      </c>
      <c r="M24" s="397" t="s">
        <v>571</v>
      </c>
      <c r="N24" s="399">
        <f>SUM(N8:N23)</f>
        <v>374.22999999999996</v>
      </c>
      <c r="O24" s="433"/>
    </row>
    <row r="25" spans="1:15" ht="18" x14ac:dyDescent="0.25">
      <c r="A25" s="195"/>
      <c r="B25" s="388" t="s">
        <v>622</v>
      </c>
      <c r="C25" s="389" t="s">
        <v>571</v>
      </c>
      <c r="D25" s="389">
        <f>SUM(D8:D24)</f>
        <v>517.78</v>
      </c>
      <c r="E25" s="431"/>
      <c r="F25" s="195">
        <v>2</v>
      </c>
      <c r="G25" s="388" t="s">
        <v>472</v>
      </c>
      <c r="H25" s="389" t="s">
        <v>571</v>
      </c>
      <c r="I25" s="390">
        <v>13.04</v>
      </c>
      <c r="J25" s="432"/>
      <c r="K25" s="400"/>
      <c r="L25" s="400"/>
      <c r="M25" s="400"/>
      <c r="N25" s="400"/>
      <c r="O25" s="433"/>
    </row>
    <row r="26" spans="1:15" ht="18" x14ac:dyDescent="0.25">
      <c r="A26" s="400"/>
      <c r="B26" s="400"/>
      <c r="C26" s="400"/>
      <c r="D26" s="400"/>
      <c r="E26" s="431"/>
      <c r="F26" s="195">
        <v>2</v>
      </c>
      <c r="G26" s="388" t="s">
        <v>474</v>
      </c>
      <c r="H26" s="389" t="s">
        <v>571</v>
      </c>
      <c r="I26" s="390">
        <v>20.72</v>
      </c>
      <c r="J26" s="432"/>
      <c r="K26" s="400"/>
      <c r="L26" s="400"/>
      <c r="M26" s="400"/>
      <c r="N26" s="400"/>
      <c r="O26" s="433"/>
    </row>
    <row r="27" spans="1:15" ht="18" x14ac:dyDescent="0.25">
      <c r="A27" s="400"/>
      <c r="B27" s="400"/>
      <c r="C27" s="400"/>
      <c r="D27" s="400"/>
      <c r="E27" s="431"/>
      <c r="F27" s="195">
        <v>2</v>
      </c>
      <c r="G27" s="388" t="s">
        <v>478</v>
      </c>
      <c r="H27" s="389" t="s">
        <v>571</v>
      </c>
      <c r="I27" s="390">
        <v>6.8</v>
      </c>
      <c r="J27" s="432"/>
      <c r="K27" s="400"/>
      <c r="L27" s="400"/>
      <c r="M27" s="400"/>
      <c r="N27" s="400"/>
      <c r="O27" s="433"/>
    </row>
    <row r="28" spans="1:15" ht="18" x14ac:dyDescent="0.25">
      <c r="A28" s="400"/>
      <c r="B28" s="400"/>
      <c r="C28" s="400"/>
      <c r="D28" s="400"/>
      <c r="E28" s="431"/>
      <c r="F28" s="401"/>
      <c r="G28" s="402" t="s">
        <v>622</v>
      </c>
      <c r="H28" s="403" t="s">
        <v>571</v>
      </c>
      <c r="I28" s="404">
        <f>SUM(I8:I27)</f>
        <v>591.95000000000005</v>
      </c>
      <c r="J28" s="432"/>
      <c r="K28" s="400"/>
      <c r="L28" s="400"/>
      <c r="M28" s="400"/>
      <c r="N28" s="400"/>
      <c r="O28" s="433"/>
    </row>
    <row r="29" spans="1:15" x14ac:dyDescent="0.25">
      <c r="A29" s="400"/>
      <c r="B29" s="400"/>
      <c r="C29" s="400"/>
      <c r="D29" s="400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O29" s="400"/>
    </row>
    <row r="32" spans="1:15" x14ac:dyDescent="0.25">
      <c r="B32">
        <v>13</v>
      </c>
      <c r="C32">
        <f>3.64*4</f>
        <v>14.56</v>
      </c>
    </row>
    <row r="33" spans="2:3" x14ac:dyDescent="0.25">
      <c r="B33">
        <v>15</v>
      </c>
      <c r="C33">
        <f>3.64*4</f>
        <v>14.56</v>
      </c>
    </row>
  </sheetData>
  <mergeCells count="13">
    <mergeCell ref="A1:O1"/>
    <mergeCell ref="A6:O6"/>
    <mergeCell ref="E7:E28"/>
    <mergeCell ref="J7:J28"/>
    <mergeCell ref="O7:O28"/>
    <mergeCell ref="L5:M5"/>
    <mergeCell ref="C5:K5"/>
    <mergeCell ref="L2:M2"/>
    <mergeCell ref="L3:M3"/>
    <mergeCell ref="L4:M4"/>
    <mergeCell ref="C2:K2"/>
    <mergeCell ref="C3:K3"/>
    <mergeCell ref="C4:K4"/>
  </mergeCells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4"/>
  <sheetViews>
    <sheetView workbookViewId="0">
      <selection sqref="A1:O1"/>
    </sheetView>
  </sheetViews>
  <sheetFormatPr defaultRowHeight="13.2" x14ac:dyDescent="0.25"/>
  <cols>
    <col min="5" max="5" width="2.88671875" customWidth="1"/>
    <col min="6" max="6" width="7.6640625" customWidth="1"/>
    <col min="7" max="7" width="10.109375" customWidth="1"/>
    <col min="10" max="10" width="4.109375" customWidth="1"/>
    <col min="11" max="11" width="7.6640625" customWidth="1"/>
    <col min="12" max="12" width="10.44140625" customWidth="1"/>
  </cols>
  <sheetData>
    <row r="1" spans="1:16" ht="18" x14ac:dyDescent="0.25">
      <c r="A1" s="427" t="s">
        <v>579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9"/>
    </row>
    <row r="2" spans="1:16" s="197" customFormat="1" ht="18" customHeight="1" x14ac:dyDescent="0.25">
      <c r="A2" s="173" t="s">
        <v>580</v>
      </c>
      <c r="B2" s="173" t="s">
        <v>937</v>
      </c>
      <c r="C2" s="456" t="s">
        <v>581</v>
      </c>
      <c r="D2" s="456"/>
      <c r="E2" s="456"/>
      <c r="F2" s="456"/>
      <c r="G2" s="456"/>
      <c r="H2" s="456"/>
      <c r="I2" s="454" t="s">
        <v>582</v>
      </c>
      <c r="J2" s="454"/>
      <c r="K2" s="454"/>
      <c r="L2" s="454"/>
      <c r="M2" s="454"/>
      <c r="N2" s="356" t="s">
        <v>583</v>
      </c>
      <c r="O2" s="356" t="s">
        <v>584</v>
      </c>
    </row>
    <row r="3" spans="1:16" ht="71.400000000000006" customHeight="1" x14ac:dyDescent="0.25">
      <c r="A3" s="355">
        <v>1</v>
      </c>
      <c r="B3" s="355">
        <v>20</v>
      </c>
      <c r="C3" s="457" t="s">
        <v>939</v>
      </c>
      <c r="D3" s="457"/>
      <c r="E3" s="457"/>
      <c r="F3" s="457"/>
      <c r="G3" s="457"/>
      <c r="H3" s="457"/>
      <c r="I3" s="455" t="s">
        <v>949</v>
      </c>
      <c r="J3" s="455"/>
      <c r="K3" s="455"/>
      <c r="L3" s="455"/>
      <c r="M3" s="455"/>
      <c r="N3" s="356" t="s">
        <v>807</v>
      </c>
      <c r="O3" s="356">
        <f>D34</f>
        <v>1.79</v>
      </c>
    </row>
    <row r="4" spans="1:16" ht="71.400000000000006" customHeight="1" x14ac:dyDescent="0.25">
      <c r="A4" s="379">
        <v>2</v>
      </c>
      <c r="B4" s="379">
        <v>37</v>
      </c>
      <c r="C4" s="448" t="s">
        <v>939</v>
      </c>
      <c r="D4" s="448"/>
      <c r="E4" s="448"/>
      <c r="F4" s="448"/>
      <c r="G4" s="448"/>
      <c r="H4" s="448"/>
      <c r="I4" s="448" t="s">
        <v>950</v>
      </c>
      <c r="J4" s="448"/>
      <c r="K4" s="448"/>
      <c r="L4" s="448"/>
      <c r="M4" s="448"/>
      <c r="N4" s="380" t="s">
        <v>807</v>
      </c>
      <c r="O4" s="380">
        <f>D30</f>
        <v>58.045000000000002</v>
      </c>
    </row>
    <row r="5" spans="1:16" ht="71.400000000000006" customHeight="1" x14ac:dyDescent="0.25">
      <c r="A5" s="355">
        <v>3</v>
      </c>
      <c r="B5" s="355">
        <v>44</v>
      </c>
      <c r="C5" s="457" t="s">
        <v>939</v>
      </c>
      <c r="D5" s="457"/>
      <c r="E5" s="457"/>
      <c r="F5" s="457"/>
      <c r="G5" s="457"/>
      <c r="H5" s="457"/>
      <c r="I5" s="455" t="s">
        <v>951</v>
      </c>
      <c r="J5" s="455"/>
      <c r="K5" s="455"/>
      <c r="L5" s="455"/>
      <c r="M5" s="455"/>
      <c r="N5" s="356" t="s">
        <v>807</v>
      </c>
      <c r="O5" s="356">
        <f>I21</f>
        <v>15.92</v>
      </c>
    </row>
    <row r="6" spans="1:16" ht="71.400000000000006" customHeight="1" x14ac:dyDescent="0.25">
      <c r="A6" s="379">
        <v>4</v>
      </c>
      <c r="B6" s="379">
        <v>51</v>
      </c>
      <c r="C6" s="448" t="s">
        <v>939</v>
      </c>
      <c r="D6" s="448"/>
      <c r="E6" s="448"/>
      <c r="F6" s="448"/>
      <c r="G6" s="448"/>
      <c r="H6" s="448"/>
      <c r="I6" s="448" t="s">
        <v>952</v>
      </c>
      <c r="J6" s="448"/>
      <c r="K6" s="448"/>
      <c r="L6" s="448"/>
      <c r="M6" s="448"/>
      <c r="N6" s="380" t="s">
        <v>807</v>
      </c>
      <c r="O6" s="380">
        <f>N26</f>
        <v>53.38000000000001</v>
      </c>
    </row>
    <row r="7" spans="1:16" ht="71.400000000000006" customHeight="1" x14ac:dyDescent="0.25">
      <c r="A7" s="355">
        <v>5</v>
      </c>
      <c r="B7" s="355">
        <v>131</v>
      </c>
      <c r="C7" s="457" t="s">
        <v>939</v>
      </c>
      <c r="D7" s="457"/>
      <c r="E7" s="457"/>
      <c r="F7" s="457"/>
      <c r="G7" s="457"/>
      <c r="H7" s="457"/>
      <c r="I7" s="434" t="s">
        <v>950</v>
      </c>
      <c r="J7" s="447"/>
      <c r="K7" s="447"/>
      <c r="L7" s="447"/>
      <c r="M7" s="435"/>
      <c r="N7" s="356" t="s">
        <v>807</v>
      </c>
      <c r="O7" s="356">
        <f>I34</f>
        <v>9.2799999999999994</v>
      </c>
      <c r="P7">
        <v>9.4</v>
      </c>
    </row>
    <row r="8" spans="1:16" ht="71.400000000000006" customHeight="1" x14ac:dyDescent="0.25">
      <c r="A8" s="379">
        <v>6</v>
      </c>
      <c r="B8" s="379">
        <v>138</v>
      </c>
      <c r="C8" s="448" t="s">
        <v>939</v>
      </c>
      <c r="D8" s="448"/>
      <c r="E8" s="448"/>
      <c r="F8" s="448"/>
      <c r="G8" s="448"/>
      <c r="H8" s="448"/>
      <c r="I8" s="448" t="s">
        <v>952</v>
      </c>
      <c r="J8" s="448"/>
      <c r="K8" s="448"/>
      <c r="L8" s="448"/>
      <c r="M8" s="448"/>
      <c r="N8" s="380" t="s">
        <v>807</v>
      </c>
      <c r="O8" s="380">
        <f>N34</f>
        <v>0.42</v>
      </c>
      <c r="P8">
        <v>0.45</v>
      </c>
    </row>
    <row r="9" spans="1:16" ht="16.2" customHeight="1" x14ac:dyDescent="0.25">
      <c r="A9" s="430"/>
      <c r="B9" s="430"/>
      <c r="C9" s="430"/>
      <c r="D9" s="430"/>
      <c r="E9" s="430"/>
      <c r="F9" s="430"/>
      <c r="G9" s="430"/>
      <c r="H9" s="430"/>
      <c r="I9" s="430"/>
      <c r="J9" s="430"/>
      <c r="K9" s="430"/>
      <c r="L9" s="430"/>
      <c r="M9" s="430"/>
      <c r="N9" s="430"/>
      <c r="O9" s="430"/>
    </row>
    <row r="10" spans="1:16" ht="18" x14ac:dyDescent="0.25">
      <c r="A10" s="360" t="s">
        <v>821</v>
      </c>
      <c r="B10" s="361" t="s">
        <v>652</v>
      </c>
      <c r="C10" s="360" t="s">
        <v>583</v>
      </c>
      <c r="D10" s="360" t="s">
        <v>940</v>
      </c>
      <c r="E10" s="449"/>
      <c r="F10" s="362" t="s">
        <v>821</v>
      </c>
      <c r="G10" s="363" t="s">
        <v>652</v>
      </c>
      <c r="H10" s="364" t="s">
        <v>583</v>
      </c>
      <c r="I10" s="365" t="s">
        <v>940</v>
      </c>
      <c r="J10" s="451"/>
      <c r="K10" s="362" t="s">
        <v>821</v>
      </c>
      <c r="L10" s="363" t="s">
        <v>652</v>
      </c>
      <c r="M10" s="364" t="s">
        <v>583</v>
      </c>
      <c r="N10" s="365" t="s">
        <v>940</v>
      </c>
      <c r="O10" s="452"/>
    </row>
    <row r="11" spans="1:16" ht="18" x14ac:dyDescent="0.25">
      <c r="A11" s="366">
        <v>1</v>
      </c>
      <c r="B11" s="367" t="s">
        <v>484</v>
      </c>
      <c r="C11" s="368" t="s">
        <v>807</v>
      </c>
      <c r="D11" s="378">
        <v>3.45</v>
      </c>
      <c r="E11" s="449"/>
      <c r="F11" s="369">
        <v>2</v>
      </c>
      <c r="G11" s="370" t="s">
        <v>444</v>
      </c>
      <c r="H11" s="287" t="s">
        <v>807</v>
      </c>
      <c r="I11" s="376">
        <v>2.31</v>
      </c>
      <c r="J11" s="451"/>
      <c r="K11" s="371">
        <v>3</v>
      </c>
      <c r="L11" s="372" t="s">
        <v>361</v>
      </c>
      <c r="M11" s="373" t="s">
        <v>807</v>
      </c>
      <c r="N11" s="377">
        <v>5.8849999999999998</v>
      </c>
      <c r="O11" s="452"/>
    </row>
    <row r="12" spans="1:16" ht="18" x14ac:dyDescent="0.25">
      <c r="A12" s="366">
        <v>1</v>
      </c>
      <c r="B12" s="367" t="s">
        <v>485</v>
      </c>
      <c r="C12" s="368" t="s">
        <v>807</v>
      </c>
      <c r="D12" s="378">
        <v>2.88</v>
      </c>
      <c r="E12" s="449"/>
      <c r="F12" s="371">
        <v>2</v>
      </c>
      <c r="G12" s="372" t="s">
        <v>480</v>
      </c>
      <c r="H12" s="373" t="s">
        <v>807</v>
      </c>
      <c r="I12" s="377">
        <v>0.6</v>
      </c>
      <c r="J12" s="451"/>
      <c r="K12" s="369">
        <v>3</v>
      </c>
      <c r="L12" s="370" t="s">
        <v>362</v>
      </c>
      <c r="M12" s="287" t="s">
        <v>807</v>
      </c>
      <c r="N12" s="376">
        <v>4.59</v>
      </c>
      <c r="O12" s="452"/>
    </row>
    <row r="13" spans="1:16" ht="18" x14ac:dyDescent="0.25">
      <c r="A13" s="366">
        <v>1</v>
      </c>
      <c r="B13" s="367" t="s">
        <v>487</v>
      </c>
      <c r="C13" s="368" t="s">
        <v>807</v>
      </c>
      <c r="D13" s="378">
        <v>3.93</v>
      </c>
      <c r="E13" s="449"/>
      <c r="F13" s="369">
        <v>2</v>
      </c>
      <c r="G13" s="370" t="s">
        <v>424</v>
      </c>
      <c r="H13" s="287" t="s">
        <v>807</v>
      </c>
      <c r="I13" s="376">
        <v>1.98</v>
      </c>
      <c r="J13" s="451"/>
      <c r="K13" s="371">
        <v>3</v>
      </c>
      <c r="L13" s="372" t="s">
        <v>363</v>
      </c>
      <c r="M13" s="373" t="s">
        <v>807</v>
      </c>
      <c r="N13" s="377">
        <v>2.72</v>
      </c>
      <c r="O13" s="452"/>
    </row>
    <row r="14" spans="1:16" ht="18" x14ac:dyDescent="0.25">
      <c r="A14" s="366">
        <v>1</v>
      </c>
      <c r="B14" s="367" t="s">
        <v>504</v>
      </c>
      <c r="C14" s="368" t="s">
        <v>807</v>
      </c>
      <c r="D14" s="378">
        <v>4.4450000000000003</v>
      </c>
      <c r="E14" s="449"/>
      <c r="F14" s="371">
        <v>2</v>
      </c>
      <c r="G14" s="372" t="s">
        <v>451</v>
      </c>
      <c r="H14" s="373" t="s">
        <v>807</v>
      </c>
      <c r="I14" s="377">
        <v>0.875</v>
      </c>
      <c r="J14" s="451"/>
      <c r="K14" s="369">
        <v>3</v>
      </c>
      <c r="L14" s="370" t="s">
        <v>364</v>
      </c>
      <c r="M14" s="287" t="s">
        <v>807</v>
      </c>
      <c r="N14" s="376">
        <v>1.89</v>
      </c>
      <c r="O14" s="452"/>
    </row>
    <row r="15" spans="1:16" ht="18" x14ac:dyDescent="0.25">
      <c r="A15" s="366">
        <v>1</v>
      </c>
      <c r="B15" s="367" t="s">
        <v>507</v>
      </c>
      <c r="C15" s="368" t="s">
        <v>807</v>
      </c>
      <c r="D15" s="378">
        <v>0.76</v>
      </c>
      <c r="E15" s="449"/>
      <c r="F15" s="369">
        <v>2</v>
      </c>
      <c r="G15" s="370" t="s">
        <v>455</v>
      </c>
      <c r="H15" s="287" t="s">
        <v>807</v>
      </c>
      <c r="I15" s="376">
        <v>2.0750000000000002</v>
      </c>
      <c r="J15" s="451"/>
      <c r="K15" s="369">
        <v>3</v>
      </c>
      <c r="L15" s="370" t="s">
        <v>395</v>
      </c>
      <c r="M15" s="287" t="s">
        <v>807</v>
      </c>
      <c r="N15" s="376">
        <v>0.69499999999999995</v>
      </c>
      <c r="O15" s="452"/>
    </row>
    <row r="16" spans="1:16" ht="18" x14ac:dyDescent="0.25">
      <c r="A16" s="366">
        <v>1</v>
      </c>
      <c r="B16" s="367" t="s">
        <v>508</v>
      </c>
      <c r="C16" s="368" t="s">
        <v>807</v>
      </c>
      <c r="D16" s="378">
        <v>4.92</v>
      </c>
      <c r="E16" s="449"/>
      <c r="F16" s="371">
        <v>2</v>
      </c>
      <c r="G16" s="372" t="s">
        <v>428</v>
      </c>
      <c r="H16" s="373" t="s">
        <v>807</v>
      </c>
      <c r="I16" s="377">
        <v>0.88</v>
      </c>
      <c r="J16" s="451"/>
      <c r="K16" s="371">
        <v>3</v>
      </c>
      <c r="L16" s="372" t="s">
        <v>941</v>
      </c>
      <c r="M16" s="373" t="s">
        <v>807</v>
      </c>
      <c r="N16" s="377">
        <v>2.91</v>
      </c>
      <c r="O16" s="452"/>
    </row>
    <row r="17" spans="1:15" ht="18" x14ac:dyDescent="0.25">
      <c r="A17" s="366">
        <v>1</v>
      </c>
      <c r="B17" s="367" t="s">
        <v>489</v>
      </c>
      <c r="C17" s="368" t="s">
        <v>807</v>
      </c>
      <c r="D17" s="378">
        <v>1.89</v>
      </c>
      <c r="E17" s="449"/>
      <c r="F17" s="369">
        <v>2</v>
      </c>
      <c r="G17" s="370" t="s">
        <v>472</v>
      </c>
      <c r="H17" s="287" t="s">
        <v>807</v>
      </c>
      <c r="I17" s="376">
        <v>0.68</v>
      </c>
      <c r="J17" s="451"/>
      <c r="K17" s="369">
        <v>3</v>
      </c>
      <c r="L17" s="370" t="s">
        <v>377</v>
      </c>
      <c r="M17" s="287" t="s">
        <v>807</v>
      </c>
      <c r="N17" s="376">
        <v>2.1549999999999998</v>
      </c>
      <c r="O17" s="452"/>
    </row>
    <row r="18" spans="1:15" ht="18" x14ac:dyDescent="0.25">
      <c r="A18" s="366">
        <v>1</v>
      </c>
      <c r="B18" s="367" t="s">
        <v>488</v>
      </c>
      <c r="C18" s="368" t="s">
        <v>807</v>
      </c>
      <c r="D18" s="378">
        <v>0.97499999999999998</v>
      </c>
      <c r="E18" s="449"/>
      <c r="F18" s="369">
        <v>2</v>
      </c>
      <c r="G18" s="370" t="s">
        <v>473</v>
      </c>
      <c r="H18" s="287" t="s">
        <v>807</v>
      </c>
      <c r="I18" s="376">
        <v>2.2599999999999998</v>
      </c>
      <c r="J18" s="451"/>
      <c r="K18" s="371">
        <v>3</v>
      </c>
      <c r="L18" s="372" t="s">
        <v>378</v>
      </c>
      <c r="M18" s="373" t="s">
        <v>807</v>
      </c>
      <c r="N18" s="377">
        <v>6.3049999999999997</v>
      </c>
      <c r="O18" s="452"/>
    </row>
    <row r="19" spans="1:15" ht="18" x14ac:dyDescent="0.25">
      <c r="A19" s="366">
        <v>1</v>
      </c>
      <c r="B19" s="367" t="s">
        <v>517</v>
      </c>
      <c r="C19" s="368" t="s">
        <v>807</v>
      </c>
      <c r="D19" s="378">
        <f>6.25+0.46</f>
        <v>6.71</v>
      </c>
      <c r="E19" s="449"/>
      <c r="F19" s="371">
        <v>2</v>
      </c>
      <c r="G19" s="372" t="s">
        <v>755</v>
      </c>
      <c r="H19" s="373" t="s">
        <v>807</v>
      </c>
      <c r="I19" s="377">
        <v>2.9</v>
      </c>
      <c r="J19" s="451"/>
      <c r="K19" s="369">
        <v>3</v>
      </c>
      <c r="L19" s="370" t="s">
        <v>371</v>
      </c>
      <c r="M19" s="287" t="s">
        <v>807</v>
      </c>
      <c r="N19" s="376">
        <f>5.2+0.895</f>
        <v>6.0950000000000006</v>
      </c>
      <c r="O19" s="452"/>
    </row>
    <row r="20" spans="1:15" ht="18" x14ac:dyDescent="0.25">
      <c r="A20" s="366">
        <v>1</v>
      </c>
      <c r="B20" s="367" t="s">
        <v>519</v>
      </c>
      <c r="C20" s="368" t="s">
        <v>807</v>
      </c>
      <c r="D20" s="378">
        <v>2.04</v>
      </c>
      <c r="E20" s="449"/>
      <c r="F20" s="369">
        <v>2</v>
      </c>
      <c r="G20" s="370" t="s">
        <v>469</v>
      </c>
      <c r="H20" s="287" t="s">
        <v>807</v>
      </c>
      <c r="I20" s="376">
        <v>1.36</v>
      </c>
      <c r="J20" s="451"/>
      <c r="K20" s="371">
        <v>3</v>
      </c>
      <c r="L20" s="372" t="s">
        <v>851</v>
      </c>
      <c r="M20" s="373" t="s">
        <v>807</v>
      </c>
      <c r="N20" s="377">
        <v>2.2000000000000002</v>
      </c>
      <c r="O20" s="452"/>
    </row>
    <row r="21" spans="1:15" ht="18" x14ac:dyDescent="0.25">
      <c r="A21" s="366">
        <v>1</v>
      </c>
      <c r="B21" s="367" t="s">
        <v>516</v>
      </c>
      <c r="C21" s="368" t="s">
        <v>807</v>
      </c>
      <c r="D21" s="378">
        <f>6.05+5</f>
        <v>11.05</v>
      </c>
      <c r="E21" s="449"/>
      <c r="F21" s="375"/>
      <c r="G21" s="370" t="s">
        <v>622</v>
      </c>
      <c r="H21" s="287" t="s">
        <v>807</v>
      </c>
      <c r="I21" s="375">
        <f>SUM(I11:I20)</f>
        <v>15.92</v>
      </c>
      <c r="J21" s="451"/>
      <c r="K21" s="369">
        <v>3</v>
      </c>
      <c r="L21" s="370" t="s">
        <v>391</v>
      </c>
      <c r="M21" s="287" t="s">
        <v>807</v>
      </c>
      <c r="N21" s="376">
        <v>2.2549999999999999</v>
      </c>
      <c r="O21" s="452"/>
    </row>
    <row r="22" spans="1:15" ht="18" x14ac:dyDescent="0.25">
      <c r="A22" s="366">
        <v>1</v>
      </c>
      <c r="B22" s="367" t="s">
        <v>560</v>
      </c>
      <c r="C22" s="368" t="s">
        <v>807</v>
      </c>
      <c r="D22" s="378">
        <v>1.2</v>
      </c>
      <c r="E22" s="449"/>
      <c r="F22" s="452"/>
      <c r="G22" s="452"/>
      <c r="H22" s="452"/>
      <c r="I22" s="452"/>
      <c r="J22" s="451"/>
      <c r="K22" s="371">
        <v>3</v>
      </c>
      <c r="L22" s="372" t="s">
        <v>385</v>
      </c>
      <c r="M22" s="373" t="s">
        <v>807</v>
      </c>
      <c r="N22" s="377">
        <v>3.875</v>
      </c>
      <c r="O22" s="452"/>
    </row>
    <row r="23" spans="1:15" ht="18" x14ac:dyDescent="0.25">
      <c r="A23" s="366">
        <v>1</v>
      </c>
      <c r="B23" s="367" t="s">
        <v>509</v>
      </c>
      <c r="C23" s="368" t="s">
        <v>807</v>
      </c>
      <c r="D23" s="378">
        <v>5.2</v>
      </c>
      <c r="E23" s="449"/>
      <c r="F23" s="452"/>
      <c r="G23" s="452"/>
      <c r="H23" s="452"/>
      <c r="I23" s="452"/>
      <c r="J23" s="451"/>
      <c r="K23" s="369">
        <v>3</v>
      </c>
      <c r="L23" s="370" t="s">
        <v>383</v>
      </c>
      <c r="M23" s="287" t="s">
        <v>807</v>
      </c>
      <c r="N23" s="376">
        <v>2.97</v>
      </c>
      <c r="O23" s="452"/>
    </row>
    <row r="24" spans="1:15" ht="18" x14ac:dyDescent="0.25">
      <c r="A24" s="366">
        <v>1</v>
      </c>
      <c r="B24" s="367" t="s">
        <v>541</v>
      </c>
      <c r="C24" s="368" t="s">
        <v>807</v>
      </c>
      <c r="D24" s="378">
        <v>0.79500000000000004</v>
      </c>
      <c r="E24" s="449"/>
      <c r="F24" s="452"/>
      <c r="G24" s="452"/>
      <c r="H24" s="452"/>
      <c r="I24" s="452"/>
      <c r="J24" s="451"/>
      <c r="K24" s="371">
        <v>3</v>
      </c>
      <c r="L24" s="372" t="s">
        <v>392</v>
      </c>
      <c r="M24" s="373" t="s">
        <v>807</v>
      </c>
      <c r="N24" s="377">
        <v>3.6349999999999998</v>
      </c>
      <c r="O24" s="452"/>
    </row>
    <row r="25" spans="1:15" ht="18" x14ac:dyDescent="0.25">
      <c r="A25" s="366">
        <v>1</v>
      </c>
      <c r="B25" s="367" t="s">
        <v>553</v>
      </c>
      <c r="C25" s="368" t="s">
        <v>807</v>
      </c>
      <c r="D25" s="378">
        <v>1.2</v>
      </c>
      <c r="E25" s="449"/>
      <c r="F25" s="452"/>
      <c r="G25" s="452"/>
      <c r="H25" s="452"/>
      <c r="I25" s="452"/>
      <c r="J25" s="451"/>
      <c r="K25" s="369">
        <v>3</v>
      </c>
      <c r="L25" s="370" t="s">
        <v>371</v>
      </c>
      <c r="M25" s="287" t="s">
        <v>807</v>
      </c>
      <c r="N25" s="376">
        <v>5.2</v>
      </c>
      <c r="O25" s="452"/>
    </row>
    <row r="26" spans="1:15" ht="18" x14ac:dyDescent="0.25">
      <c r="A26" s="366">
        <v>1</v>
      </c>
      <c r="B26" s="367" t="s">
        <v>555</v>
      </c>
      <c r="C26" s="368" t="s">
        <v>807</v>
      </c>
      <c r="D26" s="378">
        <v>2.2650000000000001</v>
      </c>
      <c r="E26" s="449"/>
      <c r="F26" s="452"/>
      <c r="G26" s="452"/>
      <c r="H26" s="452"/>
      <c r="I26" s="452"/>
      <c r="J26" s="451"/>
      <c r="K26" s="375"/>
      <c r="L26" s="370" t="s">
        <v>622</v>
      </c>
      <c r="M26" s="287" t="s">
        <v>807</v>
      </c>
      <c r="N26" s="375">
        <f>SUM(N11:N25)</f>
        <v>53.38000000000001</v>
      </c>
      <c r="O26" s="452"/>
    </row>
    <row r="27" spans="1:15" ht="18" x14ac:dyDescent="0.25">
      <c r="A27" s="366">
        <v>1</v>
      </c>
      <c r="B27" s="367" t="s">
        <v>539</v>
      </c>
      <c r="C27" s="368" t="s">
        <v>807</v>
      </c>
      <c r="D27" s="378">
        <v>1.3</v>
      </c>
      <c r="E27" s="449"/>
      <c r="F27" s="452"/>
      <c r="G27" s="452"/>
      <c r="H27" s="452"/>
      <c r="I27" s="452"/>
      <c r="J27" s="451"/>
      <c r="K27" s="449"/>
      <c r="L27" s="449"/>
      <c r="M27" s="449"/>
      <c r="N27" s="449"/>
      <c r="O27" s="452"/>
    </row>
    <row r="28" spans="1:15" ht="18" x14ac:dyDescent="0.25">
      <c r="A28" s="366">
        <v>1</v>
      </c>
      <c r="B28" s="367" t="s">
        <v>537</v>
      </c>
      <c r="C28" s="368" t="s">
        <v>807</v>
      </c>
      <c r="D28" s="378">
        <v>0.88500000000000001</v>
      </c>
      <c r="E28" s="449"/>
      <c r="F28" s="452"/>
      <c r="G28" s="452"/>
      <c r="H28" s="452"/>
      <c r="I28" s="452"/>
      <c r="J28" s="451"/>
      <c r="K28" s="449"/>
      <c r="L28" s="449"/>
      <c r="M28" s="449"/>
      <c r="N28" s="449"/>
      <c r="O28" s="452"/>
    </row>
    <row r="29" spans="1:15" ht="18" x14ac:dyDescent="0.25">
      <c r="A29" s="366">
        <v>1</v>
      </c>
      <c r="B29" s="367" t="s">
        <v>540</v>
      </c>
      <c r="C29" s="368" t="s">
        <v>807</v>
      </c>
      <c r="D29" s="378">
        <v>2.15</v>
      </c>
      <c r="E29" s="449"/>
      <c r="F29" s="452"/>
      <c r="G29" s="452"/>
      <c r="H29" s="452"/>
      <c r="I29" s="452"/>
      <c r="J29" s="451"/>
      <c r="K29" s="449"/>
      <c r="L29" s="449"/>
      <c r="M29" s="449"/>
      <c r="N29" s="449"/>
      <c r="O29" s="452"/>
    </row>
    <row r="30" spans="1:15" ht="18" x14ac:dyDescent="0.25">
      <c r="A30" s="366"/>
      <c r="B30" s="367" t="s">
        <v>622</v>
      </c>
      <c r="C30" s="368" t="s">
        <v>807</v>
      </c>
      <c r="D30" s="368">
        <f>SUM(D11:D29)</f>
        <v>58.045000000000002</v>
      </c>
      <c r="E30" s="449"/>
      <c r="F30" s="452"/>
      <c r="G30" s="452"/>
      <c r="H30" s="452"/>
      <c r="I30" s="452"/>
      <c r="J30" s="451"/>
      <c r="K30" s="449"/>
      <c r="L30" s="449"/>
      <c r="M30" s="449"/>
      <c r="N30" s="449"/>
      <c r="O30" s="452"/>
    </row>
    <row r="31" spans="1:15" ht="13.2" customHeight="1" x14ac:dyDescent="0.25">
      <c r="A31" s="458"/>
      <c r="B31" s="458"/>
      <c r="C31" s="458"/>
      <c r="D31" s="458"/>
      <c r="E31" s="449"/>
      <c r="F31" s="453"/>
      <c r="G31" s="453"/>
      <c r="H31" s="453"/>
      <c r="I31" s="453"/>
      <c r="J31" s="451"/>
      <c r="K31" s="450"/>
      <c r="L31" s="450"/>
      <c r="M31" s="450"/>
      <c r="N31" s="450"/>
      <c r="O31" s="452"/>
    </row>
    <row r="32" spans="1:15" ht="18" x14ac:dyDescent="0.25">
      <c r="A32" s="362" t="s">
        <v>821</v>
      </c>
      <c r="B32" s="363" t="s">
        <v>652</v>
      </c>
      <c r="C32" s="364" t="s">
        <v>583</v>
      </c>
      <c r="D32" s="365" t="s">
        <v>940</v>
      </c>
      <c r="E32" s="449"/>
      <c r="F32" s="362" t="s">
        <v>821</v>
      </c>
      <c r="G32" s="363" t="s">
        <v>652</v>
      </c>
      <c r="H32" s="364" t="s">
        <v>583</v>
      </c>
      <c r="I32" s="365" t="s">
        <v>940</v>
      </c>
      <c r="J32" s="451"/>
      <c r="K32" s="362" t="s">
        <v>821</v>
      </c>
      <c r="L32" s="363" t="s">
        <v>652</v>
      </c>
      <c r="M32" s="364" t="s">
        <v>583</v>
      </c>
      <c r="N32" s="365" t="s">
        <v>940</v>
      </c>
      <c r="O32" s="452"/>
    </row>
    <row r="33" spans="1:15" ht="36" x14ac:dyDescent="0.25">
      <c r="A33" s="371">
        <v>-1</v>
      </c>
      <c r="B33" s="372" t="s">
        <v>942</v>
      </c>
      <c r="C33" s="373" t="s">
        <v>807</v>
      </c>
      <c r="D33" s="374">
        <v>1.79</v>
      </c>
      <c r="E33" s="449"/>
      <c r="F33" s="369">
        <v>1</v>
      </c>
      <c r="G33" s="372" t="s">
        <v>556</v>
      </c>
      <c r="H33" s="373" t="s">
        <v>807</v>
      </c>
      <c r="I33" s="374">
        <v>9.2799999999999994</v>
      </c>
      <c r="J33" s="451"/>
      <c r="K33" s="369">
        <v>3</v>
      </c>
      <c r="L33" s="372" t="s">
        <v>365</v>
      </c>
      <c r="M33" s="373" t="s">
        <v>807</v>
      </c>
      <c r="N33" s="374">
        <v>0.42</v>
      </c>
      <c r="O33" s="452"/>
    </row>
    <row r="34" spans="1:15" ht="18" x14ac:dyDescent="0.25">
      <c r="A34" s="375"/>
      <c r="B34" s="370" t="s">
        <v>622</v>
      </c>
      <c r="C34" s="287" t="s">
        <v>807</v>
      </c>
      <c r="D34" s="375">
        <f>D33</f>
        <v>1.79</v>
      </c>
      <c r="E34" s="449"/>
      <c r="F34" s="375"/>
      <c r="G34" s="370" t="s">
        <v>622</v>
      </c>
      <c r="H34" s="287" t="s">
        <v>807</v>
      </c>
      <c r="I34" s="375">
        <f>I33</f>
        <v>9.2799999999999994</v>
      </c>
      <c r="J34" s="451"/>
      <c r="K34" s="375"/>
      <c r="L34" s="370" t="s">
        <v>622</v>
      </c>
      <c r="M34" s="287" t="s">
        <v>807</v>
      </c>
      <c r="N34" s="375">
        <f>N33</f>
        <v>0.42</v>
      </c>
      <c r="O34" s="452"/>
    </row>
  </sheetData>
  <mergeCells count="22">
    <mergeCell ref="I6:M6"/>
    <mergeCell ref="F22:I31"/>
    <mergeCell ref="O10:O34"/>
    <mergeCell ref="A1:O1"/>
    <mergeCell ref="I2:M2"/>
    <mergeCell ref="I3:M3"/>
    <mergeCell ref="I4:M4"/>
    <mergeCell ref="I5:M5"/>
    <mergeCell ref="C2:H2"/>
    <mergeCell ref="C3:H3"/>
    <mergeCell ref="C4:H4"/>
    <mergeCell ref="C5:H5"/>
    <mergeCell ref="C6:H6"/>
    <mergeCell ref="A31:D31"/>
    <mergeCell ref="A9:O9"/>
    <mergeCell ref="C7:H7"/>
    <mergeCell ref="I7:M7"/>
    <mergeCell ref="C8:H8"/>
    <mergeCell ref="I8:M8"/>
    <mergeCell ref="K27:N31"/>
    <mergeCell ref="J10:J34"/>
    <mergeCell ref="E10:E34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0"/>
  <sheetViews>
    <sheetView workbookViewId="0">
      <selection sqref="A1:F1"/>
    </sheetView>
  </sheetViews>
  <sheetFormatPr defaultRowHeight="15.6" x14ac:dyDescent="0.3"/>
  <cols>
    <col min="1" max="1" width="7.109375" style="318" customWidth="1"/>
    <col min="2" max="2" width="5" style="318" customWidth="1"/>
    <col min="3" max="3" width="39.109375" style="318" customWidth="1"/>
    <col min="4" max="4" width="25" style="318" customWidth="1"/>
    <col min="5" max="5" width="8.77734375" style="318" customWidth="1"/>
    <col min="6" max="6" width="9.44140625" style="318" customWidth="1"/>
    <col min="7" max="16384" width="8.88671875" style="318"/>
  </cols>
  <sheetData>
    <row r="1" spans="1:6" x14ac:dyDescent="0.3">
      <c r="A1" s="459" t="s">
        <v>586</v>
      </c>
      <c r="B1" s="459"/>
      <c r="C1" s="459"/>
      <c r="D1" s="459"/>
      <c r="E1" s="459"/>
      <c r="F1" s="459"/>
    </row>
    <row r="2" spans="1:6" s="359" customFormat="1" x14ac:dyDescent="0.25">
      <c r="A2" s="352" t="s">
        <v>580</v>
      </c>
      <c r="B2" s="353" t="s">
        <v>937</v>
      </c>
      <c r="C2" s="352" t="s">
        <v>789</v>
      </c>
      <c r="D2" s="352" t="s">
        <v>582</v>
      </c>
      <c r="E2" s="352" t="s">
        <v>938</v>
      </c>
      <c r="F2" s="312" t="s">
        <v>584</v>
      </c>
    </row>
    <row r="3" spans="1:6" ht="82.2" customHeight="1" x14ac:dyDescent="0.3">
      <c r="A3" s="352">
        <v>1</v>
      </c>
      <c r="B3" s="353">
        <v>28</v>
      </c>
      <c r="C3" s="354" t="s">
        <v>936</v>
      </c>
      <c r="D3" s="354" t="s">
        <v>946</v>
      </c>
      <c r="E3" s="312" t="s">
        <v>571</v>
      </c>
      <c r="F3" s="313">
        <v>361.26</v>
      </c>
    </row>
    <row r="4" spans="1:6" ht="78" x14ac:dyDescent="0.3">
      <c r="A4" s="352">
        <v>2</v>
      </c>
      <c r="B4" s="353">
        <v>60</v>
      </c>
      <c r="C4" s="354" t="s">
        <v>936</v>
      </c>
      <c r="D4" s="354" t="s">
        <v>946</v>
      </c>
      <c r="E4" s="312" t="s">
        <v>571</v>
      </c>
      <c r="F4" s="313">
        <v>113.26</v>
      </c>
    </row>
    <row r="8" spans="1:6" x14ac:dyDescent="0.3">
      <c r="A8" s="459" t="s">
        <v>586</v>
      </c>
      <c r="B8" s="459"/>
      <c r="C8" s="459"/>
      <c r="D8" s="459"/>
      <c r="E8" s="459"/>
      <c r="F8" s="459"/>
    </row>
    <row r="9" spans="1:6" x14ac:dyDescent="0.3">
      <c r="A9" s="352" t="s">
        <v>580</v>
      </c>
      <c r="B9" s="353" t="s">
        <v>937</v>
      </c>
      <c r="C9" s="352" t="s">
        <v>789</v>
      </c>
      <c r="D9" s="352" t="s">
        <v>582</v>
      </c>
      <c r="E9" s="352" t="s">
        <v>938</v>
      </c>
      <c r="F9" s="312" t="s">
        <v>584</v>
      </c>
    </row>
    <row r="10" spans="1:6" ht="78" x14ac:dyDescent="0.3">
      <c r="A10" s="352">
        <v>1</v>
      </c>
      <c r="B10" s="353">
        <v>60</v>
      </c>
      <c r="C10" s="354" t="s">
        <v>936</v>
      </c>
      <c r="D10" s="358" t="s">
        <v>946</v>
      </c>
      <c r="E10" s="312" t="s">
        <v>571</v>
      </c>
      <c r="F10" s="313">
        <v>113.26</v>
      </c>
    </row>
  </sheetData>
  <mergeCells count="2">
    <mergeCell ref="A8:F8"/>
    <mergeCell ref="A1:F1"/>
  </mergeCells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15"/>
  <sheetViews>
    <sheetView workbookViewId="0">
      <selection sqref="A1:E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7.109375" style="318" customWidth="1"/>
    <col min="4" max="4" width="8.77734375" style="318" customWidth="1"/>
    <col min="5" max="5" width="9.44140625" style="318" customWidth="1"/>
    <col min="6" max="16384" width="8.88671875" style="318"/>
  </cols>
  <sheetData>
    <row r="1" spans="1:5" x14ac:dyDescent="0.3">
      <c r="A1" s="459" t="s">
        <v>586</v>
      </c>
      <c r="B1" s="459"/>
      <c r="C1" s="459"/>
      <c r="D1" s="459"/>
      <c r="E1" s="459"/>
    </row>
    <row r="2" spans="1:5" x14ac:dyDescent="0.3">
      <c r="A2" s="310" t="s">
        <v>580</v>
      </c>
      <c r="B2" s="463" t="s">
        <v>789</v>
      </c>
      <c r="C2" s="464"/>
      <c r="D2" s="311" t="s">
        <v>583</v>
      </c>
      <c r="E2" s="311" t="s">
        <v>584</v>
      </c>
    </row>
    <row r="3" spans="1:5" ht="38.4" customHeight="1" x14ac:dyDescent="0.3">
      <c r="A3" s="310">
        <v>1</v>
      </c>
      <c r="B3" s="465" t="s">
        <v>806</v>
      </c>
      <c r="C3" s="466"/>
      <c r="D3" s="312" t="s">
        <v>571</v>
      </c>
      <c r="E3" s="313">
        <f>C15</f>
        <v>2258.46</v>
      </c>
    </row>
    <row r="4" spans="1:5" x14ac:dyDescent="0.3">
      <c r="A4" s="462"/>
      <c r="B4" s="462"/>
      <c r="C4" s="462"/>
      <c r="D4" s="462"/>
      <c r="E4" s="462"/>
    </row>
    <row r="5" spans="1:5" s="319" customFormat="1" ht="17.399999999999999" customHeight="1" x14ac:dyDescent="0.3">
      <c r="A5" s="317" t="s">
        <v>847</v>
      </c>
      <c r="B5" s="323" t="s">
        <v>848</v>
      </c>
      <c r="C5" s="323" t="s">
        <v>849</v>
      </c>
      <c r="D5" s="460"/>
      <c r="E5" s="461"/>
    </row>
    <row r="6" spans="1:5" x14ac:dyDescent="0.3">
      <c r="A6" s="324">
        <v>1</v>
      </c>
      <c r="B6" s="325" t="s">
        <v>850</v>
      </c>
      <c r="C6" s="326">
        <f>11*7.5*2+2.5*2*10+120.31+201.62+14*2*7.5+3*2*2.5</f>
        <v>761.93000000000006</v>
      </c>
      <c r="D6" s="460"/>
      <c r="E6" s="461"/>
    </row>
    <row r="7" spans="1:5" x14ac:dyDescent="0.3">
      <c r="A7" s="324">
        <v>2</v>
      </c>
      <c r="B7" s="325" t="s">
        <v>442</v>
      </c>
      <c r="C7" s="326">
        <f>32*2*7.5</f>
        <v>480</v>
      </c>
      <c r="D7" s="460"/>
      <c r="E7" s="461"/>
    </row>
    <row r="8" spans="1:5" x14ac:dyDescent="0.3">
      <c r="A8" s="324">
        <v>3</v>
      </c>
      <c r="B8" s="325" t="s">
        <v>371</v>
      </c>
      <c r="C8" s="326">
        <f>35*2*7.5+165.26</f>
        <v>690.26</v>
      </c>
      <c r="D8" s="460"/>
      <c r="E8" s="461"/>
    </row>
    <row r="9" spans="1:5" x14ac:dyDescent="0.3">
      <c r="A9" s="324">
        <v>4</v>
      </c>
      <c r="B9" s="325" t="s">
        <v>454</v>
      </c>
      <c r="C9" s="326">
        <f>8*2*2.4</f>
        <v>38.4</v>
      </c>
      <c r="D9" s="460"/>
      <c r="E9" s="461"/>
    </row>
    <row r="10" spans="1:5" x14ac:dyDescent="0.3">
      <c r="A10" s="324">
        <v>5</v>
      </c>
      <c r="B10" s="325" t="s">
        <v>376</v>
      </c>
      <c r="C10" s="326">
        <f>8*2*3.2+5.28</f>
        <v>56.480000000000004</v>
      </c>
      <c r="D10" s="460"/>
      <c r="E10" s="461"/>
    </row>
    <row r="11" spans="1:5" x14ac:dyDescent="0.3">
      <c r="A11" s="324">
        <v>6</v>
      </c>
      <c r="B11" s="325" t="s">
        <v>689</v>
      </c>
      <c r="C11" s="326">
        <f>8*2*3.2+4.91</f>
        <v>56.11</v>
      </c>
      <c r="D11" s="460"/>
      <c r="E11" s="461"/>
    </row>
    <row r="12" spans="1:5" x14ac:dyDescent="0.3">
      <c r="A12" s="324">
        <v>7</v>
      </c>
      <c r="B12" s="325" t="s">
        <v>646</v>
      </c>
      <c r="C12" s="326">
        <f>9*2*3.2+6.26</f>
        <v>63.86</v>
      </c>
      <c r="D12" s="460"/>
      <c r="E12" s="461"/>
    </row>
    <row r="13" spans="1:5" x14ac:dyDescent="0.3">
      <c r="A13" s="324">
        <v>8</v>
      </c>
      <c r="B13" s="325" t="s">
        <v>388</v>
      </c>
      <c r="C13" s="326">
        <f>10*2*2.5+4.95</f>
        <v>54.95</v>
      </c>
      <c r="D13" s="460"/>
      <c r="E13" s="461"/>
    </row>
    <row r="14" spans="1:5" x14ac:dyDescent="0.3">
      <c r="A14" s="324">
        <v>9</v>
      </c>
      <c r="B14" s="325" t="s">
        <v>393</v>
      </c>
      <c r="C14" s="326">
        <f>8*2*3.2+5.27</f>
        <v>56.47</v>
      </c>
      <c r="D14" s="460"/>
      <c r="E14" s="461"/>
    </row>
    <row r="15" spans="1:5" x14ac:dyDescent="0.3">
      <c r="A15" s="326"/>
      <c r="B15" s="328" t="s">
        <v>622</v>
      </c>
      <c r="C15" s="327">
        <f>SUM(C6:C14)</f>
        <v>2258.46</v>
      </c>
      <c r="D15" s="460"/>
      <c r="E15" s="461"/>
    </row>
  </sheetData>
  <mergeCells count="5">
    <mergeCell ref="D5:E15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6"/>
  <sheetViews>
    <sheetView workbookViewId="0">
      <selection sqref="A1:G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4.5546875" style="318" customWidth="1"/>
    <col min="4" max="4" width="8.77734375" style="318" customWidth="1"/>
    <col min="5" max="5" width="6.44140625" style="318" customWidth="1"/>
    <col min="6" max="6" width="8.77734375" style="318" customWidth="1"/>
    <col min="7" max="7" width="12" style="318" customWidth="1"/>
    <col min="8" max="16384" width="8.88671875" style="318"/>
  </cols>
  <sheetData>
    <row r="1" spans="1:7" x14ac:dyDescent="0.3">
      <c r="A1" s="459" t="s">
        <v>586</v>
      </c>
      <c r="B1" s="459"/>
      <c r="C1" s="459"/>
      <c r="D1" s="459"/>
      <c r="E1" s="459"/>
      <c r="F1" s="459"/>
      <c r="G1" s="459"/>
    </row>
    <row r="2" spans="1:7" ht="15.6" customHeight="1" x14ac:dyDescent="0.3">
      <c r="A2" s="330" t="s">
        <v>580</v>
      </c>
      <c r="B2" s="463" t="s">
        <v>789</v>
      </c>
      <c r="C2" s="464"/>
      <c r="D2" s="464"/>
      <c r="E2" s="467"/>
      <c r="F2" s="311" t="s">
        <v>583</v>
      </c>
      <c r="G2" s="311" t="s">
        <v>584</v>
      </c>
    </row>
    <row r="3" spans="1:7" ht="18.600000000000001" customHeight="1" x14ac:dyDescent="0.3">
      <c r="A3" s="314">
        <v>1</v>
      </c>
      <c r="B3" s="468" t="s">
        <v>912</v>
      </c>
      <c r="C3" s="469"/>
      <c r="D3" s="469"/>
      <c r="E3" s="470"/>
      <c r="F3" s="315" t="s">
        <v>571</v>
      </c>
      <c r="G3" s="316">
        <f>C26</f>
        <v>396.23999999999995</v>
      </c>
    </row>
    <row r="4" spans="1:7" ht="52.2" customHeight="1" x14ac:dyDescent="0.3">
      <c r="A4" s="330">
        <v>2</v>
      </c>
      <c r="B4" s="465" t="s">
        <v>914</v>
      </c>
      <c r="C4" s="466"/>
      <c r="D4" s="466"/>
      <c r="E4" s="471"/>
      <c r="F4" s="312" t="s">
        <v>571</v>
      </c>
      <c r="G4" s="313">
        <f>G3</f>
        <v>396.23999999999995</v>
      </c>
    </row>
    <row r="5" spans="1:7" ht="17.399999999999999" customHeight="1" x14ac:dyDescent="0.3">
      <c r="A5" s="330">
        <v>3</v>
      </c>
      <c r="B5" s="465" t="s">
        <v>913</v>
      </c>
      <c r="C5" s="466"/>
      <c r="D5" s="466"/>
      <c r="E5" s="471"/>
      <c r="F5" s="312" t="s">
        <v>571</v>
      </c>
      <c r="G5" s="313">
        <f>G26</f>
        <v>214.84999999999997</v>
      </c>
    </row>
    <row r="6" spans="1:7" x14ac:dyDescent="0.3">
      <c r="A6" s="459"/>
      <c r="B6" s="459"/>
      <c r="C6" s="459"/>
      <c r="D6" s="459"/>
      <c r="E6" s="459"/>
      <c r="F6" s="459"/>
      <c r="G6" s="459"/>
    </row>
    <row r="7" spans="1:7" x14ac:dyDescent="0.3">
      <c r="A7" s="459" t="s">
        <v>910</v>
      </c>
      <c r="B7" s="459"/>
      <c r="C7" s="459"/>
      <c r="D7" s="459"/>
      <c r="E7" s="459" t="s">
        <v>911</v>
      </c>
      <c r="F7" s="459"/>
      <c r="G7" s="459"/>
    </row>
    <row r="8" spans="1:7" s="319" customFormat="1" ht="19.8" customHeight="1" x14ac:dyDescent="0.3">
      <c r="A8" s="338" t="s">
        <v>580</v>
      </c>
      <c r="B8" s="323" t="s">
        <v>909</v>
      </c>
      <c r="C8" s="323" t="s">
        <v>849</v>
      </c>
      <c r="D8" s="459"/>
      <c r="E8" s="338" t="s">
        <v>580</v>
      </c>
      <c r="F8" s="323" t="s">
        <v>909</v>
      </c>
      <c r="G8" s="323" t="s">
        <v>849</v>
      </c>
    </row>
    <row r="9" spans="1:7" x14ac:dyDescent="0.3">
      <c r="A9" s="335">
        <v>1</v>
      </c>
      <c r="B9" s="336" t="s">
        <v>488</v>
      </c>
      <c r="C9" s="332">
        <v>16.100000000000001</v>
      </c>
      <c r="D9" s="459"/>
      <c r="E9" s="335">
        <v>1</v>
      </c>
      <c r="F9" s="336" t="s">
        <v>488</v>
      </c>
      <c r="G9" s="332">
        <v>10</v>
      </c>
    </row>
    <row r="10" spans="1:7" x14ac:dyDescent="0.3">
      <c r="A10" s="335">
        <v>2</v>
      </c>
      <c r="B10" s="336" t="s">
        <v>489</v>
      </c>
      <c r="C10" s="332">
        <v>22.09</v>
      </c>
      <c r="D10" s="459"/>
      <c r="E10" s="335">
        <v>2</v>
      </c>
      <c r="F10" s="336" t="s">
        <v>489</v>
      </c>
      <c r="G10" s="332">
        <v>4</v>
      </c>
    </row>
    <row r="11" spans="1:7" x14ac:dyDescent="0.3">
      <c r="A11" s="335">
        <v>3</v>
      </c>
      <c r="B11" s="336" t="s">
        <v>490</v>
      </c>
      <c r="C11" s="332">
        <v>11.36</v>
      </c>
      <c r="D11" s="459"/>
      <c r="E11" s="335">
        <v>3</v>
      </c>
      <c r="F11" s="336" t="s">
        <v>490</v>
      </c>
      <c r="G11" s="332">
        <v>2.04</v>
      </c>
    </row>
    <row r="12" spans="1:7" x14ac:dyDescent="0.3">
      <c r="A12" s="335">
        <v>4</v>
      </c>
      <c r="B12" s="336" t="s">
        <v>491</v>
      </c>
      <c r="C12" s="332">
        <v>22.18</v>
      </c>
      <c r="D12" s="459"/>
      <c r="E12" s="335">
        <v>4</v>
      </c>
      <c r="F12" s="336" t="s">
        <v>491</v>
      </c>
      <c r="G12" s="332">
        <v>17.41</v>
      </c>
    </row>
    <row r="13" spans="1:7" x14ac:dyDescent="0.3">
      <c r="A13" s="335">
        <v>5</v>
      </c>
      <c r="B13" s="336" t="s">
        <v>425</v>
      </c>
      <c r="C13" s="332">
        <v>21.18</v>
      </c>
      <c r="D13" s="459"/>
      <c r="E13" s="335">
        <v>5</v>
      </c>
      <c r="F13" s="336" t="s">
        <v>425</v>
      </c>
      <c r="G13" s="332">
        <v>9.18</v>
      </c>
    </row>
    <row r="14" spans="1:7" x14ac:dyDescent="0.3">
      <c r="A14" s="335">
        <v>6</v>
      </c>
      <c r="B14" s="336" t="s">
        <v>426</v>
      </c>
      <c r="C14" s="332">
        <v>39.82</v>
      </c>
      <c r="D14" s="459"/>
      <c r="E14" s="335">
        <v>6</v>
      </c>
      <c r="F14" s="336" t="s">
        <v>426</v>
      </c>
      <c r="G14" s="332">
        <v>21.74</v>
      </c>
    </row>
    <row r="15" spans="1:7" x14ac:dyDescent="0.3">
      <c r="A15" s="335">
        <v>7</v>
      </c>
      <c r="B15" s="336" t="s">
        <v>428</v>
      </c>
      <c r="C15" s="332">
        <v>24.84</v>
      </c>
      <c r="D15" s="459"/>
      <c r="E15" s="335">
        <v>7</v>
      </c>
      <c r="F15" s="336" t="s">
        <v>428</v>
      </c>
      <c r="G15" s="332">
        <v>8.02</v>
      </c>
    </row>
    <row r="16" spans="1:7" x14ac:dyDescent="0.3">
      <c r="A16" s="335">
        <v>8</v>
      </c>
      <c r="B16" s="336" t="s">
        <v>429</v>
      </c>
      <c r="C16" s="332">
        <v>23.21</v>
      </c>
      <c r="D16" s="459"/>
      <c r="E16" s="335">
        <v>8</v>
      </c>
      <c r="F16" s="336" t="s">
        <v>429</v>
      </c>
      <c r="G16" s="332">
        <v>17.16</v>
      </c>
    </row>
    <row r="17" spans="1:7" x14ac:dyDescent="0.3">
      <c r="A17" s="335">
        <v>9</v>
      </c>
      <c r="B17" s="336" t="s">
        <v>430</v>
      </c>
      <c r="C17" s="332">
        <v>23.94</v>
      </c>
      <c r="D17" s="459"/>
      <c r="E17" s="335">
        <v>9</v>
      </c>
      <c r="F17" s="336" t="s">
        <v>430</v>
      </c>
      <c r="G17" s="332">
        <v>23.94</v>
      </c>
    </row>
    <row r="18" spans="1:7" x14ac:dyDescent="0.3">
      <c r="A18" s="335">
        <v>10</v>
      </c>
      <c r="B18" s="336" t="s">
        <v>431</v>
      </c>
      <c r="C18" s="332">
        <v>26.34</v>
      </c>
      <c r="D18" s="459"/>
      <c r="E18" s="335">
        <v>10</v>
      </c>
      <c r="F18" s="336" t="s">
        <v>431</v>
      </c>
      <c r="G18" s="332">
        <v>26.34</v>
      </c>
    </row>
    <row r="19" spans="1:7" x14ac:dyDescent="0.3">
      <c r="A19" s="335">
        <v>11</v>
      </c>
      <c r="B19" s="336" t="s">
        <v>361</v>
      </c>
      <c r="C19" s="332">
        <v>7.42</v>
      </c>
      <c r="D19" s="459"/>
      <c r="E19" s="335">
        <v>11</v>
      </c>
      <c r="F19" s="336" t="s">
        <v>361</v>
      </c>
      <c r="G19" s="332">
        <v>0</v>
      </c>
    </row>
    <row r="20" spans="1:7" x14ac:dyDescent="0.3">
      <c r="A20" s="335">
        <v>12</v>
      </c>
      <c r="B20" s="336" t="s">
        <v>362</v>
      </c>
      <c r="C20" s="332">
        <v>32.06</v>
      </c>
      <c r="D20" s="459"/>
      <c r="E20" s="335">
        <v>12</v>
      </c>
      <c r="F20" s="336" t="s">
        <v>362</v>
      </c>
      <c r="G20" s="332">
        <v>10</v>
      </c>
    </row>
    <row r="21" spans="1:7" x14ac:dyDescent="0.3">
      <c r="A21" s="335">
        <v>13</v>
      </c>
      <c r="B21" s="336" t="s">
        <v>364</v>
      </c>
      <c r="C21" s="332">
        <v>22.84</v>
      </c>
      <c r="D21" s="459"/>
      <c r="E21" s="335">
        <v>13</v>
      </c>
      <c r="F21" s="336" t="s">
        <v>364</v>
      </c>
      <c r="G21" s="332">
        <v>12</v>
      </c>
    </row>
    <row r="22" spans="1:7" x14ac:dyDescent="0.3">
      <c r="A22" s="335">
        <v>14</v>
      </c>
      <c r="B22" s="336" t="s">
        <v>365</v>
      </c>
      <c r="C22" s="332">
        <v>24.84</v>
      </c>
      <c r="D22" s="459"/>
      <c r="E22" s="335">
        <v>14</v>
      </c>
      <c r="F22" s="336" t="s">
        <v>365</v>
      </c>
      <c r="G22" s="332">
        <v>14</v>
      </c>
    </row>
    <row r="23" spans="1:7" x14ac:dyDescent="0.3">
      <c r="A23" s="335">
        <v>15</v>
      </c>
      <c r="B23" s="336" t="s">
        <v>366</v>
      </c>
      <c r="C23" s="332">
        <v>25.86</v>
      </c>
      <c r="D23" s="459"/>
      <c r="E23" s="335">
        <v>15</v>
      </c>
      <c r="F23" s="336" t="s">
        <v>366</v>
      </c>
      <c r="G23" s="332">
        <v>14.26</v>
      </c>
    </row>
    <row r="24" spans="1:7" x14ac:dyDescent="0.3">
      <c r="A24" s="335">
        <v>16</v>
      </c>
      <c r="B24" s="336" t="s">
        <v>367</v>
      </c>
      <c r="C24" s="332">
        <v>26.16</v>
      </c>
      <c r="D24" s="459"/>
      <c r="E24" s="335">
        <v>16</v>
      </c>
      <c r="F24" s="336" t="s">
        <v>367</v>
      </c>
      <c r="G24" s="332">
        <v>14.94</v>
      </c>
    </row>
    <row r="25" spans="1:7" x14ac:dyDescent="0.3">
      <c r="A25" s="335">
        <v>17</v>
      </c>
      <c r="B25" s="336" t="s">
        <v>368</v>
      </c>
      <c r="C25" s="332">
        <v>26</v>
      </c>
      <c r="D25" s="459"/>
      <c r="E25" s="335">
        <v>17</v>
      </c>
      <c r="F25" s="336" t="s">
        <v>368</v>
      </c>
      <c r="G25" s="332">
        <v>9.82</v>
      </c>
    </row>
    <row r="26" spans="1:7" x14ac:dyDescent="0.3">
      <c r="A26" s="332"/>
      <c r="B26" s="337" t="s">
        <v>622</v>
      </c>
      <c r="C26" s="331">
        <f>SUM(C9:C25)</f>
        <v>396.23999999999995</v>
      </c>
      <c r="D26" s="459"/>
      <c r="E26" s="332"/>
      <c r="F26" s="337" t="s">
        <v>622</v>
      </c>
      <c r="G26" s="331">
        <f>SUM(G9:G25)</f>
        <v>214.84999999999997</v>
      </c>
    </row>
  </sheetData>
  <mergeCells count="9">
    <mergeCell ref="A7:C7"/>
    <mergeCell ref="E7:G7"/>
    <mergeCell ref="D7:D26"/>
    <mergeCell ref="A6:G6"/>
    <mergeCell ref="A1:G1"/>
    <mergeCell ref="B2:E2"/>
    <mergeCell ref="B3:E3"/>
    <mergeCell ref="B5:E5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I44"/>
  <sheetViews>
    <sheetView tabSelected="1" zoomScaleNormal="100" workbookViewId="0">
      <selection activeCell="L9" sqref="L9"/>
    </sheetView>
  </sheetViews>
  <sheetFormatPr defaultRowHeight="15.6" x14ac:dyDescent="0.3"/>
  <cols>
    <col min="1" max="3" width="9.6640625" style="318" customWidth="1"/>
    <col min="4" max="4" width="5.88671875" style="318" customWidth="1"/>
    <col min="5" max="7" width="9.6640625" style="318" customWidth="1"/>
    <col min="8" max="8" width="8.77734375" style="318" customWidth="1"/>
    <col min="9" max="16384" width="8.88671875" style="318"/>
  </cols>
  <sheetData>
    <row r="1" spans="1:9" x14ac:dyDescent="0.3">
      <c r="A1" s="472" t="s">
        <v>586</v>
      </c>
      <c r="B1" s="473"/>
      <c r="C1" s="473"/>
      <c r="D1" s="473"/>
      <c r="E1" s="473"/>
      <c r="F1" s="473"/>
      <c r="G1" s="473"/>
      <c r="H1" s="473"/>
      <c r="I1" s="473"/>
    </row>
    <row r="2" spans="1:9" x14ac:dyDescent="0.3">
      <c r="A2" s="342" t="s">
        <v>580</v>
      </c>
      <c r="B2" s="463" t="s">
        <v>789</v>
      </c>
      <c r="C2" s="464"/>
      <c r="D2" s="464"/>
      <c r="E2" s="464"/>
      <c r="F2" s="464"/>
      <c r="G2" s="467"/>
      <c r="H2" s="311" t="s">
        <v>583</v>
      </c>
      <c r="I2" s="311" t="s">
        <v>584</v>
      </c>
    </row>
    <row r="3" spans="1:9" ht="30" customHeight="1" x14ac:dyDescent="0.3">
      <c r="A3" s="552">
        <v>1</v>
      </c>
      <c r="B3" s="485" t="s">
        <v>923</v>
      </c>
      <c r="C3" s="485"/>
      <c r="D3" s="485"/>
      <c r="E3" s="485"/>
      <c r="F3" s="485"/>
      <c r="G3" s="485"/>
      <c r="H3" s="346" t="s">
        <v>571</v>
      </c>
      <c r="I3" s="347">
        <v>482.3</v>
      </c>
    </row>
    <row r="4" spans="1:9" ht="30" customHeight="1" x14ac:dyDescent="0.3">
      <c r="A4" s="546">
        <v>2</v>
      </c>
      <c r="B4" s="483" t="s">
        <v>924</v>
      </c>
      <c r="C4" s="483"/>
      <c r="D4" s="483"/>
      <c r="E4" s="483"/>
      <c r="F4" s="483"/>
      <c r="G4" s="483"/>
      <c r="H4" s="312" t="s">
        <v>571</v>
      </c>
      <c r="I4" s="313">
        <v>499.5</v>
      </c>
    </row>
    <row r="5" spans="1:9" ht="30" customHeight="1" x14ac:dyDescent="0.3">
      <c r="A5" s="552">
        <v>3</v>
      </c>
      <c r="B5" s="485" t="s">
        <v>924</v>
      </c>
      <c r="C5" s="485"/>
      <c r="D5" s="485"/>
      <c r="E5" s="485"/>
      <c r="F5" s="485"/>
      <c r="G5" s="485"/>
      <c r="H5" s="346" t="s">
        <v>571</v>
      </c>
      <c r="I5" s="347">
        <v>82.45</v>
      </c>
    </row>
    <row r="6" spans="1:9" ht="30" customHeight="1" x14ac:dyDescent="0.3">
      <c r="A6" s="546">
        <v>4</v>
      </c>
      <c r="B6" s="483" t="s">
        <v>791</v>
      </c>
      <c r="C6" s="483"/>
      <c r="D6" s="483"/>
      <c r="E6" s="483"/>
      <c r="F6" s="483"/>
      <c r="G6" s="483"/>
      <c r="H6" s="312" t="s">
        <v>571</v>
      </c>
      <c r="I6" s="313">
        <v>1102.79</v>
      </c>
    </row>
    <row r="7" spans="1:9" ht="44.4" customHeight="1" x14ac:dyDescent="0.3">
      <c r="A7" s="552">
        <v>5</v>
      </c>
      <c r="B7" s="485" t="s">
        <v>1024</v>
      </c>
      <c r="C7" s="485"/>
      <c r="D7" s="485"/>
      <c r="E7" s="485"/>
      <c r="F7" s="485"/>
      <c r="G7" s="485"/>
      <c r="H7" s="346" t="s">
        <v>571</v>
      </c>
      <c r="I7" s="347">
        <v>4.8</v>
      </c>
    </row>
    <row r="8" spans="1:9" ht="44.4" customHeight="1" x14ac:dyDescent="0.3">
      <c r="A8" s="546">
        <v>6</v>
      </c>
      <c r="B8" s="483" t="s">
        <v>1025</v>
      </c>
      <c r="C8" s="483"/>
      <c r="D8" s="483"/>
      <c r="E8" s="483"/>
      <c r="F8" s="483"/>
      <c r="G8" s="483"/>
      <c r="H8" s="312" t="s">
        <v>571</v>
      </c>
      <c r="I8" s="313">
        <v>78.33</v>
      </c>
    </row>
    <row r="9" spans="1:9" ht="44.4" customHeight="1" x14ac:dyDescent="0.3">
      <c r="A9" s="552">
        <v>7</v>
      </c>
      <c r="B9" s="485" t="s">
        <v>1026</v>
      </c>
      <c r="C9" s="485"/>
      <c r="D9" s="485"/>
      <c r="E9" s="485"/>
      <c r="F9" s="485"/>
      <c r="G9" s="485"/>
      <c r="H9" s="346" t="s">
        <v>571</v>
      </c>
      <c r="I9" s="347">
        <v>3</v>
      </c>
    </row>
    <row r="10" spans="1:9" x14ac:dyDescent="0.3">
      <c r="A10" s="553">
        <v>8</v>
      </c>
      <c r="B10" s="483" t="s">
        <v>934</v>
      </c>
      <c r="C10" s="483"/>
      <c r="D10" s="483"/>
      <c r="E10" s="483"/>
      <c r="F10" s="483"/>
      <c r="G10" s="483"/>
      <c r="H10" s="312" t="s">
        <v>788</v>
      </c>
      <c r="I10" s="348">
        <v>21.091999999999999</v>
      </c>
    </row>
    <row r="11" spans="1:9" s="545" customFormat="1" x14ac:dyDescent="0.25">
      <c r="A11" s="549"/>
      <c r="B11" s="549"/>
      <c r="C11" s="549"/>
      <c r="D11" s="549"/>
      <c r="E11" s="549"/>
      <c r="F11" s="549"/>
      <c r="G11" s="549"/>
      <c r="H11" s="549"/>
      <c r="I11" s="549"/>
    </row>
    <row r="12" spans="1:9" s="545" customFormat="1" x14ac:dyDescent="0.25">
      <c r="A12" s="546" t="s">
        <v>1022</v>
      </c>
      <c r="B12" s="546" t="s">
        <v>652</v>
      </c>
      <c r="C12" s="546" t="s">
        <v>1023</v>
      </c>
      <c r="D12" s="548"/>
      <c r="E12" s="546" t="s">
        <v>1022</v>
      </c>
      <c r="F12" s="546" t="s">
        <v>652</v>
      </c>
      <c r="G12" s="546" t="s">
        <v>1023</v>
      </c>
      <c r="H12" s="548"/>
      <c r="I12" s="548"/>
    </row>
    <row r="13" spans="1:9" s="545" customFormat="1" x14ac:dyDescent="0.25">
      <c r="A13" s="546">
        <v>1</v>
      </c>
      <c r="B13" s="546" t="s">
        <v>488</v>
      </c>
      <c r="C13" s="547">
        <v>14</v>
      </c>
      <c r="D13" s="548"/>
      <c r="E13" s="546">
        <v>1</v>
      </c>
      <c r="F13" s="546" t="s">
        <v>426</v>
      </c>
      <c r="G13" s="547">
        <v>28</v>
      </c>
      <c r="H13" s="548"/>
      <c r="I13" s="548"/>
    </row>
    <row r="14" spans="1:9" s="545" customFormat="1" x14ac:dyDescent="0.25">
      <c r="A14" s="546">
        <v>2</v>
      </c>
      <c r="B14" s="546" t="s">
        <v>489</v>
      </c>
      <c r="C14" s="547">
        <v>10.5</v>
      </c>
      <c r="D14" s="548"/>
      <c r="E14" s="546">
        <v>2</v>
      </c>
      <c r="F14" s="546" t="s">
        <v>426</v>
      </c>
      <c r="G14" s="547">
        <v>14</v>
      </c>
      <c r="H14" s="548"/>
      <c r="I14" s="548"/>
    </row>
    <row r="15" spans="1:9" s="545" customFormat="1" x14ac:dyDescent="0.25">
      <c r="A15" s="546">
        <v>3</v>
      </c>
      <c r="B15" s="546" t="s">
        <v>490</v>
      </c>
      <c r="C15" s="547">
        <f>31 + 8.3</f>
        <v>39.299999999999997</v>
      </c>
      <c r="D15" s="548"/>
      <c r="E15" s="546">
        <v>3</v>
      </c>
      <c r="F15" s="546" t="s">
        <v>427</v>
      </c>
      <c r="G15" s="547">
        <v>40</v>
      </c>
      <c r="H15" s="548"/>
      <c r="I15" s="548"/>
    </row>
    <row r="16" spans="1:9" s="545" customFormat="1" x14ac:dyDescent="0.25">
      <c r="A16" s="546">
        <v>4</v>
      </c>
      <c r="B16" s="546" t="s">
        <v>491</v>
      </c>
      <c r="C16" s="547">
        <v>1.9</v>
      </c>
      <c r="D16" s="548"/>
      <c r="E16" s="546">
        <v>4</v>
      </c>
      <c r="F16" s="546" t="s">
        <v>428</v>
      </c>
      <c r="G16" s="547">
        <v>10</v>
      </c>
      <c r="H16" s="548"/>
      <c r="I16" s="548"/>
    </row>
    <row r="17" spans="1:9" s="545" customFormat="1" x14ac:dyDescent="0.25">
      <c r="A17" s="546">
        <v>5</v>
      </c>
      <c r="B17" s="546" t="s">
        <v>496</v>
      </c>
      <c r="C17" s="547">
        <v>33</v>
      </c>
      <c r="D17" s="548"/>
      <c r="E17" s="546">
        <v>5</v>
      </c>
      <c r="F17" s="546" t="s">
        <v>430</v>
      </c>
      <c r="G17" s="547">
        <v>20</v>
      </c>
      <c r="H17" s="548"/>
      <c r="I17" s="548"/>
    </row>
    <row r="18" spans="1:9" s="545" customFormat="1" x14ac:dyDescent="0.25">
      <c r="A18" s="546">
        <v>6</v>
      </c>
      <c r="B18" s="546" t="s">
        <v>660</v>
      </c>
      <c r="C18" s="547">
        <v>2.9</v>
      </c>
      <c r="D18" s="548"/>
      <c r="E18" s="546">
        <v>6</v>
      </c>
      <c r="F18" s="546" t="s">
        <v>431</v>
      </c>
      <c r="G18" s="547">
        <v>16</v>
      </c>
      <c r="H18" s="548"/>
      <c r="I18" s="548"/>
    </row>
    <row r="19" spans="1:9" s="545" customFormat="1" x14ac:dyDescent="0.25">
      <c r="A19" s="546">
        <v>7</v>
      </c>
      <c r="B19" s="546" t="s">
        <v>498</v>
      </c>
      <c r="C19" s="547">
        <v>3.9</v>
      </c>
      <c r="D19" s="548"/>
      <c r="E19" s="546">
        <v>7</v>
      </c>
      <c r="F19" s="546" t="s">
        <v>432</v>
      </c>
      <c r="G19" s="547">
        <v>7.2</v>
      </c>
      <c r="H19" s="548"/>
      <c r="I19" s="548"/>
    </row>
    <row r="20" spans="1:9" s="545" customFormat="1" x14ac:dyDescent="0.25">
      <c r="A20" s="546">
        <v>8</v>
      </c>
      <c r="B20" s="546" t="s">
        <v>499</v>
      </c>
      <c r="C20" s="547">
        <v>15.4</v>
      </c>
      <c r="D20" s="548"/>
      <c r="E20" s="546">
        <v>8</v>
      </c>
      <c r="F20" s="546" t="s">
        <v>434</v>
      </c>
      <c r="G20" s="547">
        <v>12.8</v>
      </c>
      <c r="H20" s="548"/>
      <c r="I20" s="548"/>
    </row>
    <row r="21" spans="1:9" s="545" customFormat="1" x14ac:dyDescent="0.25">
      <c r="A21" s="546">
        <v>9</v>
      </c>
      <c r="B21" s="546" t="s">
        <v>501</v>
      </c>
      <c r="C21" s="547">
        <v>34</v>
      </c>
      <c r="D21" s="548"/>
      <c r="E21" s="546">
        <v>9</v>
      </c>
      <c r="F21" s="546" t="s">
        <v>436</v>
      </c>
      <c r="G21" s="547">
        <v>29</v>
      </c>
      <c r="H21" s="548"/>
      <c r="I21" s="548"/>
    </row>
    <row r="22" spans="1:9" s="545" customFormat="1" x14ac:dyDescent="0.25">
      <c r="A22" s="546">
        <v>10</v>
      </c>
      <c r="B22" s="546" t="s">
        <v>502</v>
      </c>
      <c r="C22" s="547">
        <v>4.5</v>
      </c>
      <c r="D22" s="548"/>
      <c r="E22" s="546">
        <v>10</v>
      </c>
      <c r="F22" s="546" t="s">
        <v>444</v>
      </c>
      <c r="G22" s="547">
        <v>18.7</v>
      </c>
      <c r="H22" s="548"/>
      <c r="I22" s="548"/>
    </row>
    <row r="23" spans="1:9" s="545" customFormat="1" x14ac:dyDescent="0.25">
      <c r="A23" s="546">
        <v>11</v>
      </c>
      <c r="B23" s="546" t="s">
        <v>505</v>
      </c>
      <c r="C23" s="547">
        <f xml:space="preserve"> 14.4 + 13.2</f>
        <v>27.6</v>
      </c>
      <c r="D23" s="548"/>
      <c r="E23" s="546">
        <v>11</v>
      </c>
      <c r="F23" s="546" t="s">
        <v>451</v>
      </c>
      <c r="G23" s="547">
        <v>14</v>
      </c>
      <c r="H23" s="548"/>
      <c r="I23" s="548"/>
    </row>
    <row r="24" spans="1:9" s="545" customFormat="1" x14ac:dyDescent="0.25">
      <c r="A24" s="546">
        <v>12</v>
      </c>
      <c r="B24" s="546" t="s">
        <v>508</v>
      </c>
      <c r="C24" s="547">
        <f xml:space="preserve"> 23 + 17.6</f>
        <v>40.6</v>
      </c>
      <c r="D24" s="548"/>
      <c r="E24" s="546">
        <v>12</v>
      </c>
      <c r="F24" s="546" t="s">
        <v>452</v>
      </c>
      <c r="G24" s="547">
        <f>6.8+31</f>
        <v>37.799999999999997</v>
      </c>
      <c r="H24" s="548"/>
      <c r="I24" s="548"/>
    </row>
    <row r="25" spans="1:9" s="545" customFormat="1" x14ac:dyDescent="0.25">
      <c r="A25" s="546">
        <v>13</v>
      </c>
      <c r="B25" s="551" t="s">
        <v>545</v>
      </c>
      <c r="C25" s="547">
        <v>7</v>
      </c>
      <c r="D25" s="548"/>
      <c r="E25" s="546">
        <v>13</v>
      </c>
      <c r="F25" s="546" t="s">
        <v>458</v>
      </c>
      <c r="G25" s="547">
        <v>16.5</v>
      </c>
      <c r="H25" s="548"/>
      <c r="I25" s="548"/>
    </row>
    <row r="26" spans="1:9" s="545" customFormat="1" x14ac:dyDescent="0.25">
      <c r="A26" s="546">
        <v>14</v>
      </c>
      <c r="B26" s="551" t="s">
        <v>532</v>
      </c>
      <c r="C26" s="547">
        <v>13.5</v>
      </c>
      <c r="D26" s="548"/>
      <c r="E26" s="546">
        <v>14</v>
      </c>
      <c r="F26" s="546" t="s">
        <v>463</v>
      </c>
      <c r="G26" s="547">
        <v>0.9</v>
      </c>
      <c r="H26" s="548"/>
      <c r="I26" s="548"/>
    </row>
    <row r="27" spans="1:9" s="545" customFormat="1" x14ac:dyDescent="0.25">
      <c r="A27" s="546">
        <v>15</v>
      </c>
      <c r="B27" s="546" t="s">
        <v>515</v>
      </c>
      <c r="C27" s="547">
        <v>30.5</v>
      </c>
      <c r="D27" s="548"/>
      <c r="E27" s="546">
        <v>15</v>
      </c>
      <c r="F27" s="546" t="s">
        <v>464</v>
      </c>
      <c r="G27" s="547">
        <v>15</v>
      </c>
      <c r="H27" s="548"/>
      <c r="I27" s="548"/>
    </row>
    <row r="28" spans="1:9" s="545" customFormat="1" x14ac:dyDescent="0.25">
      <c r="A28" s="546">
        <v>16</v>
      </c>
      <c r="B28" s="546" t="s">
        <v>516</v>
      </c>
      <c r="C28" s="547">
        <v>23.7</v>
      </c>
      <c r="D28" s="548"/>
      <c r="E28" s="546">
        <v>16</v>
      </c>
      <c r="F28" s="546" t="s">
        <v>465</v>
      </c>
      <c r="G28" s="547">
        <f>2.7+36</f>
        <v>38.700000000000003</v>
      </c>
      <c r="H28" s="548"/>
      <c r="I28" s="548"/>
    </row>
    <row r="29" spans="1:9" s="545" customFormat="1" x14ac:dyDescent="0.25">
      <c r="A29" s="546">
        <v>17</v>
      </c>
      <c r="B29" s="546" t="s">
        <v>538</v>
      </c>
      <c r="C29" s="547">
        <v>17</v>
      </c>
      <c r="D29" s="548"/>
      <c r="E29" s="546">
        <v>17</v>
      </c>
      <c r="F29" s="546" t="s">
        <v>469</v>
      </c>
      <c r="G29" s="547">
        <v>10.5</v>
      </c>
      <c r="H29" s="548"/>
      <c r="I29" s="548"/>
    </row>
    <row r="30" spans="1:9" s="545" customFormat="1" x14ac:dyDescent="0.25">
      <c r="A30" s="546">
        <v>18</v>
      </c>
      <c r="B30" s="546" t="s">
        <v>538</v>
      </c>
      <c r="C30" s="547">
        <v>11</v>
      </c>
      <c r="D30" s="548"/>
      <c r="E30" s="546">
        <v>18</v>
      </c>
      <c r="F30" s="546" t="s">
        <v>471</v>
      </c>
      <c r="G30" s="547">
        <v>3.5</v>
      </c>
      <c r="H30" s="548"/>
      <c r="I30" s="548"/>
    </row>
    <row r="31" spans="1:9" s="545" customFormat="1" x14ac:dyDescent="0.25">
      <c r="A31" s="546">
        <v>19</v>
      </c>
      <c r="B31" s="546" t="s">
        <v>543</v>
      </c>
      <c r="C31" s="547">
        <v>14.5</v>
      </c>
      <c r="D31" s="548"/>
      <c r="E31" s="546">
        <v>19</v>
      </c>
      <c r="F31" s="546" t="s">
        <v>472</v>
      </c>
      <c r="G31" s="547">
        <v>38</v>
      </c>
      <c r="H31" s="548"/>
      <c r="I31" s="548"/>
    </row>
    <row r="32" spans="1:9" s="545" customFormat="1" x14ac:dyDescent="0.25">
      <c r="A32" s="546">
        <v>20</v>
      </c>
      <c r="B32" s="546" t="s">
        <v>546</v>
      </c>
      <c r="C32" s="547">
        <v>37.5</v>
      </c>
      <c r="D32" s="548"/>
      <c r="E32" s="546">
        <v>20</v>
      </c>
      <c r="F32" s="546" t="s">
        <v>478</v>
      </c>
      <c r="G32" s="547">
        <v>12.6</v>
      </c>
      <c r="H32" s="548"/>
      <c r="I32" s="548"/>
    </row>
    <row r="33" spans="1:9" s="545" customFormat="1" x14ac:dyDescent="0.25">
      <c r="A33" s="546">
        <v>21</v>
      </c>
      <c r="B33" s="546" t="s">
        <v>553</v>
      </c>
      <c r="C33" s="547">
        <v>19</v>
      </c>
      <c r="D33" s="548"/>
      <c r="E33" s="546">
        <v>21</v>
      </c>
      <c r="F33" s="546" t="s">
        <v>362</v>
      </c>
      <c r="G33" s="547">
        <f>3.6+55.5</f>
        <v>59.1</v>
      </c>
      <c r="H33" s="548"/>
      <c r="I33" s="548"/>
    </row>
    <row r="34" spans="1:9" s="545" customFormat="1" x14ac:dyDescent="0.25">
      <c r="A34" s="546">
        <v>22</v>
      </c>
      <c r="B34" s="546" t="s">
        <v>555</v>
      </c>
      <c r="C34" s="547">
        <f xml:space="preserve"> 30.5 + 2.7</f>
        <v>33.200000000000003</v>
      </c>
      <c r="D34" s="548"/>
      <c r="E34" s="546">
        <v>22</v>
      </c>
      <c r="F34" s="546" t="s">
        <v>363</v>
      </c>
      <c r="G34" s="547">
        <v>33.5</v>
      </c>
      <c r="H34" s="548"/>
      <c r="I34" s="548"/>
    </row>
    <row r="35" spans="1:9" s="545" customFormat="1" x14ac:dyDescent="0.25">
      <c r="A35" s="546">
        <v>23</v>
      </c>
      <c r="B35" s="546" t="s">
        <v>556</v>
      </c>
      <c r="C35" s="547">
        <v>44.3</v>
      </c>
      <c r="D35" s="548"/>
      <c r="E35" s="546">
        <v>23</v>
      </c>
      <c r="F35" s="546" t="s">
        <v>364</v>
      </c>
      <c r="G35" s="547">
        <v>23.7</v>
      </c>
      <c r="H35" s="548"/>
      <c r="I35" s="548"/>
    </row>
    <row r="36" spans="1:9" s="545" customFormat="1" x14ac:dyDescent="0.25">
      <c r="A36" s="546">
        <v>24</v>
      </c>
      <c r="B36" s="546" t="s">
        <v>559</v>
      </c>
      <c r="C36" s="547">
        <v>3.5</v>
      </c>
      <c r="D36" s="548"/>
      <c r="F36" s="546" t="s">
        <v>622</v>
      </c>
      <c r="G36" s="546">
        <f>SUM(G13:G35)</f>
        <v>499.5</v>
      </c>
      <c r="H36" s="548"/>
      <c r="I36" s="548"/>
    </row>
    <row r="37" spans="1:9" s="545" customFormat="1" x14ac:dyDescent="0.25">
      <c r="B37" s="546" t="s">
        <v>622</v>
      </c>
      <c r="C37" s="546">
        <f>SUM(C13:C36)</f>
        <v>482.3</v>
      </c>
      <c r="D37" s="548"/>
      <c r="E37" s="548"/>
      <c r="F37" s="548"/>
      <c r="G37" s="548"/>
      <c r="H37" s="548"/>
      <c r="I37" s="548"/>
    </row>
    <row r="38" spans="1:9" s="545" customFormat="1" x14ac:dyDescent="0.25">
      <c r="A38" s="550"/>
      <c r="B38" s="550"/>
      <c r="C38" s="550"/>
      <c r="D38" s="548"/>
      <c r="E38" s="548"/>
      <c r="F38" s="548"/>
      <c r="G38" s="548"/>
      <c r="H38" s="548"/>
      <c r="I38" s="548"/>
    </row>
    <row r="39" spans="1:9" s="545" customFormat="1" x14ac:dyDescent="0.25">
      <c r="A39" s="546" t="s">
        <v>1022</v>
      </c>
      <c r="B39" s="546" t="s">
        <v>652</v>
      </c>
      <c r="C39" s="546" t="s">
        <v>1023</v>
      </c>
      <c r="D39" s="548"/>
      <c r="E39" s="548"/>
      <c r="F39" s="548"/>
      <c r="G39" s="548"/>
      <c r="H39" s="548"/>
      <c r="I39" s="548"/>
    </row>
    <row r="40" spans="1:9" s="545" customFormat="1" x14ac:dyDescent="0.25">
      <c r="A40" s="546">
        <v>1</v>
      </c>
      <c r="B40" s="546" t="s">
        <v>365</v>
      </c>
      <c r="C40" s="547">
        <v>18</v>
      </c>
      <c r="D40" s="548"/>
      <c r="E40" s="548"/>
      <c r="F40" s="548"/>
      <c r="G40" s="548"/>
      <c r="H40" s="548"/>
      <c r="I40" s="548"/>
    </row>
    <row r="41" spans="1:9" s="545" customFormat="1" x14ac:dyDescent="0.25">
      <c r="A41" s="546">
        <v>2</v>
      </c>
      <c r="B41" s="546" t="s">
        <v>366</v>
      </c>
      <c r="C41" s="547">
        <v>22</v>
      </c>
      <c r="D41" s="548"/>
      <c r="E41" s="548"/>
      <c r="F41" s="548"/>
      <c r="G41" s="548"/>
      <c r="H41" s="548"/>
      <c r="I41" s="548"/>
    </row>
    <row r="42" spans="1:9" s="545" customFormat="1" x14ac:dyDescent="0.25">
      <c r="A42" s="546">
        <v>3</v>
      </c>
      <c r="B42" s="546" t="s">
        <v>367</v>
      </c>
      <c r="C42" s="547">
        <v>20.45</v>
      </c>
      <c r="D42" s="548"/>
      <c r="E42" s="548"/>
      <c r="F42" s="548"/>
      <c r="G42" s="548"/>
      <c r="H42" s="548"/>
      <c r="I42" s="548"/>
    </row>
    <row r="43" spans="1:9" s="545" customFormat="1" x14ac:dyDescent="0.25">
      <c r="A43" s="546">
        <v>4</v>
      </c>
      <c r="B43" s="546" t="s">
        <v>371</v>
      </c>
      <c r="C43" s="547">
        <v>22</v>
      </c>
      <c r="D43" s="548"/>
      <c r="E43" s="548"/>
      <c r="F43" s="548"/>
      <c r="G43" s="548"/>
      <c r="H43" s="548"/>
      <c r="I43" s="548"/>
    </row>
    <row r="44" spans="1:9" s="545" customFormat="1" x14ac:dyDescent="0.3">
      <c r="A44" s="318"/>
      <c r="B44" s="546" t="s">
        <v>622</v>
      </c>
      <c r="C44" s="546">
        <f>SUM(C40:C43)</f>
        <v>82.45</v>
      </c>
      <c r="D44" s="548"/>
      <c r="E44" s="548"/>
      <c r="F44" s="548"/>
      <c r="G44" s="548"/>
      <c r="H44" s="548"/>
      <c r="I44" s="548"/>
    </row>
  </sheetData>
  <mergeCells count="15">
    <mergeCell ref="A11:I11"/>
    <mergeCell ref="D12:D44"/>
    <mergeCell ref="A38:C38"/>
    <mergeCell ref="H12:I44"/>
    <mergeCell ref="E37:G44"/>
    <mergeCell ref="A1:I1"/>
    <mergeCell ref="B2:G2"/>
    <mergeCell ref="B3:G3"/>
    <mergeCell ref="B4:G4"/>
    <mergeCell ref="B5:G5"/>
    <mergeCell ref="B6:G6"/>
    <mergeCell ref="B7:G7"/>
    <mergeCell ref="B8:G8"/>
    <mergeCell ref="B9:G9"/>
    <mergeCell ref="B10:G10"/>
  </mergeCells>
  <pageMargins left="0.7" right="0.7" top="0.75" bottom="0.75" header="0.3" footer="0.3"/>
  <pageSetup paperSize="9"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8"/>
  <sheetViews>
    <sheetView workbookViewId="0">
      <selection sqref="A1:J1"/>
    </sheetView>
  </sheetViews>
  <sheetFormatPr defaultRowHeight="15.6" x14ac:dyDescent="0.3"/>
  <cols>
    <col min="1" max="1" width="8.88671875" style="318"/>
    <col min="2" max="2" width="16.21875" style="318" customWidth="1"/>
    <col min="3" max="3" width="19.44140625" style="318" customWidth="1"/>
    <col min="4" max="4" width="16.21875" style="318" customWidth="1"/>
    <col min="5" max="5" width="17.33203125" style="318" customWidth="1"/>
    <col min="6" max="6" width="15.44140625" style="318" customWidth="1"/>
    <col min="7" max="7" width="6.21875" style="318" customWidth="1"/>
    <col min="8" max="8" width="8.33203125" style="318" customWidth="1"/>
    <col min="9" max="9" width="8.44140625" style="318" customWidth="1"/>
    <col min="10" max="10" width="8.77734375" style="318" customWidth="1"/>
    <col min="11" max="16384" width="8.88671875" style="318"/>
  </cols>
  <sheetData>
    <row r="1" spans="1:10" ht="15.6" customHeight="1" x14ac:dyDescent="0.3">
      <c r="A1" s="459" t="s">
        <v>586</v>
      </c>
      <c r="B1" s="459"/>
      <c r="C1" s="459"/>
      <c r="D1" s="459"/>
      <c r="E1" s="459"/>
      <c r="F1" s="459"/>
      <c r="G1" s="459"/>
      <c r="H1" s="459"/>
      <c r="I1" s="459"/>
      <c r="J1" s="459"/>
    </row>
    <row r="2" spans="1:10" ht="15.6" customHeight="1" x14ac:dyDescent="0.3">
      <c r="A2" s="342" t="s">
        <v>580</v>
      </c>
      <c r="B2" s="459" t="s">
        <v>789</v>
      </c>
      <c r="C2" s="459"/>
      <c r="D2" s="459"/>
      <c r="E2" s="459" t="s">
        <v>582</v>
      </c>
      <c r="F2" s="459"/>
      <c r="G2" s="459"/>
      <c r="H2" s="459"/>
      <c r="I2" s="311" t="s">
        <v>583</v>
      </c>
      <c r="J2" s="311" t="s">
        <v>584</v>
      </c>
    </row>
    <row r="3" spans="1:10" x14ac:dyDescent="0.3">
      <c r="A3" s="342">
        <v>1</v>
      </c>
      <c r="B3" s="476" t="s">
        <v>921</v>
      </c>
      <c r="C3" s="476"/>
      <c r="D3" s="476"/>
      <c r="E3" s="478" t="s">
        <v>832</v>
      </c>
      <c r="F3" s="478"/>
      <c r="G3" s="478"/>
      <c r="H3" s="478"/>
      <c r="I3" s="312" t="s">
        <v>571</v>
      </c>
      <c r="J3" s="313">
        <f>B16</f>
        <v>5.8900000000000006</v>
      </c>
    </row>
    <row r="4" spans="1:10" ht="33" customHeight="1" x14ac:dyDescent="0.3">
      <c r="A4" s="345">
        <v>2</v>
      </c>
      <c r="B4" s="475" t="s">
        <v>836</v>
      </c>
      <c r="C4" s="475"/>
      <c r="D4" s="475"/>
      <c r="E4" s="474" t="s">
        <v>833</v>
      </c>
      <c r="F4" s="474"/>
      <c r="G4" s="474"/>
      <c r="H4" s="474"/>
      <c r="I4" s="346" t="s">
        <v>571</v>
      </c>
      <c r="J4" s="347">
        <f>C16</f>
        <v>312.35999999999996</v>
      </c>
    </row>
    <row r="5" spans="1:10" ht="42.6" customHeight="1" x14ac:dyDescent="0.3">
      <c r="A5" s="342">
        <v>3</v>
      </c>
      <c r="B5" s="476" t="s">
        <v>836</v>
      </c>
      <c r="C5" s="476"/>
      <c r="D5" s="476"/>
      <c r="E5" s="477" t="s">
        <v>835</v>
      </c>
      <c r="F5" s="477"/>
      <c r="G5" s="477"/>
      <c r="H5" s="477"/>
      <c r="I5" s="312" t="s">
        <v>571</v>
      </c>
      <c r="J5" s="313">
        <f>D16</f>
        <v>23.16</v>
      </c>
    </row>
    <row r="6" spans="1:10" ht="42.6" customHeight="1" x14ac:dyDescent="0.3">
      <c r="A6" s="342">
        <v>4</v>
      </c>
      <c r="B6" s="476" t="s">
        <v>836</v>
      </c>
      <c r="C6" s="476"/>
      <c r="D6" s="476"/>
      <c r="E6" s="477" t="s">
        <v>920</v>
      </c>
      <c r="F6" s="477"/>
      <c r="G6" s="477"/>
      <c r="H6" s="477"/>
      <c r="I6" s="312" t="s">
        <v>571</v>
      </c>
      <c r="J6" s="313">
        <f>E16</f>
        <v>32.46</v>
      </c>
    </row>
    <row r="7" spans="1:10" x14ac:dyDescent="0.3">
      <c r="A7" s="345">
        <v>5</v>
      </c>
      <c r="B7" s="475" t="s">
        <v>915</v>
      </c>
      <c r="C7" s="475"/>
      <c r="D7" s="475"/>
      <c r="E7" s="474" t="s">
        <v>832</v>
      </c>
      <c r="F7" s="474"/>
      <c r="G7" s="474"/>
      <c r="H7" s="474"/>
      <c r="I7" s="346" t="s">
        <v>571</v>
      </c>
      <c r="J7" s="347">
        <f>F16</f>
        <v>0</v>
      </c>
    </row>
    <row r="8" spans="1:10" ht="33" customHeight="1" x14ac:dyDescent="0.3">
      <c r="A8" s="342">
        <v>6</v>
      </c>
      <c r="B8" s="476" t="s">
        <v>916</v>
      </c>
      <c r="C8" s="476"/>
      <c r="D8" s="476"/>
      <c r="E8" s="477" t="s">
        <v>918</v>
      </c>
      <c r="F8" s="477"/>
      <c r="G8" s="477"/>
      <c r="H8" s="477"/>
      <c r="I8" s="312" t="s">
        <v>571</v>
      </c>
      <c r="J8" s="313">
        <f>G16</f>
        <v>834.24</v>
      </c>
    </row>
    <row r="9" spans="1:10" ht="33" customHeight="1" x14ac:dyDescent="0.3">
      <c r="A9" s="345">
        <v>7</v>
      </c>
      <c r="B9" s="475" t="s">
        <v>917</v>
      </c>
      <c r="C9" s="475"/>
      <c r="D9" s="475"/>
      <c r="E9" s="474" t="s">
        <v>919</v>
      </c>
      <c r="F9" s="474"/>
      <c r="G9" s="474"/>
      <c r="H9" s="474"/>
      <c r="I9" s="346" t="s">
        <v>571</v>
      </c>
      <c r="J9" s="347">
        <f>I16</f>
        <v>268.55</v>
      </c>
    </row>
    <row r="10" spans="1:10" x14ac:dyDescent="0.3">
      <c r="A10" s="342">
        <v>8</v>
      </c>
      <c r="B10" s="465" t="s">
        <v>922</v>
      </c>
      <c r="C10" s="466"/>
      <c r="D10" s="466"/>
      <c r="E10" s="466"/>
      <c r="F10" s="466"/>
      <c r="G10" s="466"/>
      <c r="H10" s="471"/>
      <c r="I10" s="312" t="s">
        <v>788</v>
      </c>
      <c r="J10" s="348">
        <v>21.091999999999999</v>
      </c>
    </row>
    <row r="11" spans="1:10" x14ac:dyDescent="0.3">
      <c r="A11" s="462"/>
      <c r="B11" s="462"/>
      <c r="C11" s="462"/>
      <c r="D11" s="462"/>
      <c r="E11" s="462"/>
      <c r="F11" s="462"/>
      <c r="G11" s="462"/>
      <c r="H11" s="462"/>
    </row>
    <row r="12" spans="1:10" s="319" customFormat="1" ht="127.8" customHeight="1" x14ac:dyDescent="0.3">
      <c r="A12" s="317"/>
      <c r="B12" s="340" t="str">
        <f xml:space="preserve"> B3 &amp; ", " &amp; E3</f>
        <v>Штукатурка стен ,  колонн и простенков до 500 мм, Гипсовая по бетону + Бетонконтакт, м2</v>
      </c>
      <c r="C12" s="343" t="str">
        <f xml:space="preserve"> B4 &amp; ", " &amp; E4</f>
        <v>Штукатурка стен  , Гипсовая по Блоку ячеистому, кирпичу и ПГП + Грунт глубокого проникновения, м2</v>
      </c>
      <c r="D12" s="340" t="str">
        <f xml:space="preserve"> B5 &amp; ", " &amp; E5</f>
        <v>Штукатурка стен  , Цементная + Грунт глубокого проникновения (по бетону, блоку ячеистому и ПГП под плитку), м2</v>
      </c>
      <c r="E12" s="340" t="str">
        <f xml:space="preserve"> B6 &amp; ", " &amp; E6</f>
        <v>Штукатурка стен  , КНАУФ (по ПГП под плитку), м2</v>
      </c>
      <c r="F12" s="340" t="str">
        <f xml:space="preserve"> B7 &amp; ", " &amp; E7</f>
        <v>Штукатурка откосов т. 60 мм, шириной 320 мм., Гипсовая по бетону + Бетонконтакт, м2</v>
      </c>
      <c r="G12" s="479" t="str">
        <f xml:space="preserve"> B8 &amp; ", " &amp; E8</f>
        <v>Шпаклевка стен, базовая, Гипсовыми смесями базовая + грунтовка глубокого проникновения</v>
      </c>
      <c r="H12" s="479"/>
      <c r="I12" s="479" t="str">
        <f xml:space="preserve"> B9 &amp; ", " &amp; E9</f>
        <v>Шпаклевка стен, финишная, Гипсовыми смесями финишная + грунтовка глубокого проникновения</v>
      </c>
      <c r="J12" s="479"/>
    </row>
    <row r="13" spans="1:10" x14ac:dyDescent="0.3">
      <c r="A13" s="341" t="s">
        <v>838</v>
      </c>
      <c r="B13" s="341">
        <v>0</v>
      </c>
      <c r="C13" s="344">
        <v>144.22</v>
      </c>
      <c r="D13" s="341">
        <v>19.86</v>
      </c>
      <c r="E13" s="341">
        <v>5.3</v>
      </c>
      <c r="F13" s="341"/>
      <c r="G13" s="480">
        <v>108.59</v>
      </c>
      <c r="H13" s="480"/>
      <c r="I13" s="480">
        <v>2.56</v>
      </c>
      <c r="J13" s="480"/>
    </row>
    <row r="14" spans="1:10" x14ac:dyDescent="0.3">
      <c r="A14" s="341" t="s">
        <v>839</v>
      </c>
      <c r="B14" s="341">
        <f>1.19+4.7</f>
        <v>5.8900000000000006</v>
      </c>
      <c r="C14" s="344">
        <v>114.56</v>
      </c>
      <c r="D14" s="341">
        <v>3.3</v>
      </c>
      <c r="E14" s="341">
        <v>21.59</v>
      </c>
      <c r="F14" s="341"/>
      <c r="G14" s="480">
        <v>278.02999999999997</v>
      </c>
      <c r="H14" s="480"/>
      <c r="I14" s="480">
        <v>82.13</v>
      </c>
      <c r="J14" s="480"/>
    </row>
    <row r="15" spans="1:10" x14ac:dyDescent="0.3">
      <c r="A15" s="341" t="s">
        <v>840</v>
      </c>
      <c r="B15" s="341">
        <v>0</v>
      </c>
      <c r="C15" s="344">
        <f>6.05+3.02+15.01+11.34+4.54+4.78+8.84</f>
        <v>53.58</v>
      </c>
      <c r="D15" s="341">
        <v>0</v>
      </c>
      <c r="E15" s="341">
        <v>5.57</v>
      </c>
      <c r="F15" s="341"/>
      <c r="G15" s="480">
        <f>16.55+19.26+15.01+19.84+11.03+16.06+16.3+8.84+324.73</f>
        <v>447.62</v>
      </c>
      <c r="H15" s="480"/>
      <c r="I15" s="480">
        <f>16.55+19.26+15.01+19.84+11.03+16.06+16.3+69.81</f>
        <v>183.86</v>
      </c>
      <c r="J15" s="480"/>
    </row>
    <row r="16" spans="1:10" x14ac:dyDescent="0.3">
      <c r="A16" s="341"/>
      <c r="B16" s="339">
        <f>SUM(B13:B15)</f>
        <v>5.8900000000000006</v>
      </c>
      <c r="C16" s="339">
        <f>SUM(C13:C15)</f>
        <v>312.35999999999996</v>
      </c>
      <c r="D16" s="339">
        <f>SUM(D13:D15)</f>
        <v>23.16</v>
      </c>
      <c r="E16" s="339">
        <f>SUM(E13:E15)</f>
        <v>32.46</v>
      </c>
      <c r="F16" s="339">
        <f>SUM(F13:F15)</f>
        <v>0</v>
      </c>
      <c r="G16" s="484">
        <f t="shared" ref="G16:I16" si="0">SUM(G13:G15)</f>
        <v>834.24</v>
      </c>
      <c r="H16" s="484"/>
      <c r="I16" s="484">
        <f t="shared" si="0"/>
        <v>268.55</v>
      </c>
      <c r="J16" s="484"/>
    </row>
    <row r="17" spans="1:11" x14ac:dyDescent="0.3">
      <c r="B17" s="344">
        <v>0</v>
      </c>
      <c r="C17" s="344">
        <f>6.05+3.02+15.01+11.34+4.54+4.78+8.84</f>
        <v>53.58</v>
      </c>
      <c r="D17" s="344">
        <v>0</v>
      </c>
      <c r="E17" s="344">
        <v>5.57</v>
      </c>
      <c r="F17" s="344"/>
      <c r="G17" s="480">
        <v>834.24</v>
      </c>
      <c r="H17" s="480"/>
      <c r="I17" s="480">
        <v>268.55</v>
      </c>
      <c r="J17" s="480"/>
    </row>
    <row r="18" spans="1:11" x14ac:dyDescent="0.3">
      <c r="B18" s="344">
        <f t="shared" ref="B18:G18" si="1">B16-B17</f>
        <v>5.8900000000000006</v>
      </c>
      <c r="C18" s="344">
        <f t="shared" si="1"/>
        <v>258.77999999999997</v>
      </c>
      <c r="D18" s="344">
        <f t="shared" si="1"/>
        <v>23.16</v>
      </c>
      <c r="E18" s="344">
        <f t="shared" si="1"/>
        <v>26.89</v>
      </c>
      <c r="F18" s="344">
        <f t="shared" si="1"/>
        <v>0</v>
      </c>
      <c r="G18" s="487">
        <f t="shared" si="1"/>
        <v>0</v>
      </c>
      <c r="H18" s="488"/>
      <c r="I18" s="487">
        <f>I16-I17</f>
        <v>0</v>
      </c>
      <c r="J18" s="488"/>
    </row>
    <row r="21" spans="1:11" ht="31.2" customHeight="1" x14ac:dyDescent="0.3">
      <c r="A21" s="351">
        <v>1</v>
      </c>
      <c r="B21" s="485" t="s">
        <v>923</v>
      </c>
      <c r="C21" s="485"/>
      <c r="D21" s="485"/>
      <c r="E21" s="485"/>
      <c r="F21" s="481" t="s">
        <v>927</v>
      </c>
      <c r="G21" s="481"/>
      <c r="H21" s="481"/>
      <c r="I21" s="481"/>
      <c r="J21" s="346" t="s">
        <v>571</v>
      </c>
      <c r="K21" s="347">
        <v>482.3</v>
      </c>
    </row>
    <row r="22" spans="1:11" ht="31.2" customHeight="1" x14ac:dyDescent="0.3">
      <c r="A22" s="350">
        <v>2</v>
      </c>
      <c r="B22" s="483" t="s">
        <v>924</v>
      </c>
      <c r="C22" s="483"/>
      <c r="D22" s="483"/>
      <c r="E22" s="483"/>
      <c r="F22" s="482" t="s">
        <v>928</v>
      </c>
      <c r="G22" s="482"/>
      <c r="H22" s="482"/>
      <c r="I22" s="482"/>
      <c r="J22" s="312" t="s">
        <v>571</v>
      </c>
      <c r="K22" s="313">
        <v>499.5</v>
      </c>
    </row>
    <row r="23" spans="1:11" ht="31.2" customHeight="1" x14ac:dyDescent="0.3">
      <c r="A23" s="351">
        <v>3</v>
      </c>
      <c r="B23" s="485" t="s">
        <v>924</v>
      </c>
      <c r="C23" s="485"/>
      <c r="D23" s="485"/>
      <c r="E23" s="485"/>
      <c r="F23" s="481" t="s">
        <v>929</v>
      </c>
      <c r="G23" s="481"/>
      <c r="H23" s="481"/>
      <c r="I23" s="481"/>
      <c r="J23" s="346" t="s">
        <v>571</v>
      </c>
      <c r="K23" s="347">
        <v>82.45</v>
      </c>
    </row>
    <row r="24" spans="1:11" ht="31.2" customHeight="1" x14ac:dyDescent="0.3">
      <c r="A24" s="350">
        <v>4</v>
      </c>
      <c r="B24" s="483" t="s">
        <v>791</v>
      </c>
      <c r="C24" s="483"/>
      <c r="D24" s="483"/>
      <c r="E24" s="483"/>
      <c r="F24" s="482" t="s">
        <v>930</v>
      </c>
      <c r="G24" s="482"/>
      <c r="H24" s="482"/>
      <c r="I24" s="482"/>
      <c r="J24" s="312" t="s">
        <v>571</v>
      </c>
      <c r="K24" s="313">
        <v>1102.79</v>
      </c>
    </row>
    <row r="25" spans="1:11" ht="36" customHeight="1" x14ac:dyDescent="0.3">
      <c r="A25" s="351">
        <v>5</v>
      </c>
      <c r="B25" s="485" t="s">
        <v>925</v>
      </c>
      <c r="C25" s="485"/>
      <c r="D25" s="485"/>
      <c r="E25" s="485"/>
      <c r="F25" s="481" t="s">
        <v>931</v>
      </c>
      <c r="G25" s="481"/>
      <c r="H25" s="481"/>
      <c r="I25" s="481"/>
      <c r="J25" s="346" t="s">
        <v>571</v>
      </c>
      <c r="K25" s="347">
        <v>4.8</v>
      </c>
    </row>
    <row r="26" spans="1:11" ht="48.6" customHeight="1" x14ac:dyDescent="0.3">
      <c r="A26" s="350">
        <v>6</v>
      </c>
      <c r="B26" s="483" t="s">
        <v>926</v>
      </c>
      <c r="C26" s="483"/>
      <c r="D26" s="483"/>
      <c r="E26" s="483"/>
      <c r="F26" s="482" t="s">
        <v>932</v>
      </c>
      <c r="G26" s="482"/>
      <c r="H26" s="482"/>
      <c r="I26" s="482"/>
      <c r="J26" s="312" t="s">
        <v>571</v>
      </c>
      <c r="K26" s="313">
        <v>78.33</v>
      </c>
    </row>
    <row r="27" spans="1:11" ht="31.2" customHeight="1" x14ac:dyDescent="0.3">
      <c r="A27" s="351">
        <v>7</v>
      </c>
      <c r="B27" s="485" t="s">
        <v>809</v>
      </c>
      <c r="C27" s="485"/>
      <c r="D27" s="485"/>
      <c r="E27" s="485"/>
      <c r="F27" s="481" t="s">
        <v>933</v>
      </c>
      <c r="G27" s="481"/>
      <c r="H27" s="481"/>
      <c r="I27" s="481"/>
      <c r="J27" s="346" t="s">
        <v>571</v>
      </c>
      <c r="K27" s="347">
        <v>3</v>
      </c>
    </row>
    <row r="28" spans="1:11" x14ac:dyDescent="0.3">
      <c r="A28" s="349">
        <v>8</v>
      </c>
      <c r="B28" s="483" t="s">
        <v>934</v>
      </c>
      <c r="C28" s="483"/>
      <c r="D28" s="483"/>
      <c r="E28" s="483"/>
      <c r="F28" s="486" t="s">
        <v>935</v>
      </c>
      <c r="G28" s="486"/>
      <c r="H28" s="486"/>
      <c r="I28" s="486"/>
      <c r="J28" s="312" t="s">
        <v>788</v>
      </c>
      <c r="K28" s="348">
        <v>21.091999999999999</v>
      </c>
    </row>
  </sheetData>
  <mergeCells count="49">
    <mergeCell ref="B27:E27"/>
    <mergeCell ref="B28:E28"/>
    <mergeCell ref="F27:I27"/>
    <mergeCell ref="F28:I28"/>
    <mergeCell ref="G17:H17"/>
    <mergeCell ref="I17:J17"/>
    <mergeCell ref="G18:H18"/>
    <mergeCell ref="I18:J18"/>
    <mergeCell ref="B21:E21"/>
    <mergeCell ref="F21:I21"/>
    <mergeCell ref="B22:E22"/>
    <mergeCell ref="B23:E23"/>
    <mergeCell ref="B24:E24"/>
    <mergeCell ref="B25:E25"/>
    <mergeCell ref="F26:I26"/>
    <mergeCell ref="F22:I22"/>
    <mergeCell ref="F23:I23"/>
    <mergeCell ref="F24:I24"/>
    <mergeCell ref="F25:I25"/>
    <mergeCell ref="B26:E26"/>
    <mergeCell ref="B10:H10"/>
    <mergeCell ref="G15:H15"/>
    <mergeCell ref="G16:H16"/>
    <mergeCell ref="G14:H14"/>
    <mergeCell ref="I12:J12"/>
    <mergeCell ref="I13:J13"/>
    <mergeCell ref="I14:J14"/>
    <mergeCell ref="I15:J15"/>
    <mergeCell ref="I16:J16"/>
    <mergeCell ref="E9:H9"/>
    <mergeCell ref="A11:H11"/>
    <mergeCell ref="G12:H12"/>
    <mergeCell ref="G13:H13"/>
    <mergeCell ref="B9:D9"/>
    <mergeCell ref="E2:H2"/>
    <mergeCell ref="B2:D2"/>
    <mergeCell ref="B3:D3"/>
    <mergeCell ref="A1:J1"/>
    <mergeCell ref="B6:D6"/>
    <mergeCell ref="E6:H6"/>
    <mergeCell ref="E3:H3"/>
    <mergeCell ref="E4:H4"/>
    <mergeCell ref="E5:H5"/>
    <mergeCell ref="E7:H7"/>
    <mergeCell ref="B4:D4"/>
    <mergeCell ref="B5:D5"/>
    <mergeCell ref="B7:D7"/>
    <mergeCell ref="B8:D8"/>
    <mergeCell ref="E8:H8"/>
  </mergeCells>
  <pageMargins left="0.7" right="0.7" top="0.75" bottom="0.75" header="0.3" footer="0.3"/>
  <pageSetup paperSize="9" orientation="portrait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H14"/>
  <sheetViews>
    <sheetView workbookViewId="0">
      <selection sqref="A1:H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7.109375" style="318" customWidth="1"/>
    <col min="4" max="4" width="17.6640625" style="318" customWidth="1"/>
    <col min="5" max="5" width="15.21875" style="318" customWidth="1"/>
    <col min="6" max="6" width="18.5546875" style="318" customWidth="1"/>
    <col min="7" max="7" width="8.77734375" style="318" customWidth="1"/>
    <col min="8" max="8" width="9.44140625" style="318" customWidth="1"/>
    <col min="9" max="16384" width="8.88671875" style="318"/>
  </cols>
  <sheetData>
    <row r="1" spans="1:8" x14ac:dyDescent="0.3">
      <c r="A1" s="459" t="s">
        <v>586</v>
      </c>
      <c r="B1" s="459"/>
      <c r="C1" s="459"/>
      <c r="D1" s="459"/>
      <c r="E1" s="459"/>
      <c r="F1" s="459"/>
      <c r="G1" s="459"/>
      <c r="H1" s="459"/>
    </row>
    <row r="2" spans="1:8" x14ac:dyDescent="0.3">
      <c r="A2" s="310" t="s">
        <v>580</v>
      </c>
      <c r="B2" s="463" t="s">
        <v>789</v>
      </c>
      <c r="C2" s="464"/>
      <c r="D2" s="463" t="s">
        <v>582</v>
      </c>
      <c r="E2" s="464"/>
      <c r="F2" s="464"/>
      <c r="G2" s="311" t="s">
        <v>583</v>
      </c>
      <c r="H2" s="311" t="s">
        <v>584</v>
      </c>
    </row>
    <row r="3" spans="1:8" ht="38.4" customHeight="1" x14ac:dyDescent="0.3">
      <c r="A3" s="310">
        <v>1</v>
      </c>
      <c r="B3" s="465" t="s">
        <v>836</v>
      </c>
      <c r="C3" s="466"/>
      <c r="D3" s="491" t="s">
        <v>832</v>
      </c>
      <c r="E3" s="492"/>
      <c r="F3" s="492"/>
      <c r="G3" s="312" t="s">
        <v>571</v>
      </c>
      <c r="H3" s="313">
        <v>2019.5709999999997</v>
      </c>
    </row>
    <row r="4" spans="1:8" ht="38.4" customHeight="1" x14ac:dyDescent="0.3">
      <c r="A4" s="314">
        <v>2</v>
      </c>
      <c r="B4" s="468" t="s">
        <v>837</v>
      </c>
      <c r="C4" s="469"/>
      <c r="D4" s="489" t="s">
        <v>832</v>
      </c>
      <c r="E4" s="490"/>
      <c r="F4" s="490"/>
      <c r="G4" s="315" t="s">
        <v>571</v>
      </c>
      <c r="H4" s="316">
        <v>187.29249999999999</v>
      </c>
    </row>
    <row r="5" spans="1:8" ht="38.4" customHeight="1" x14ac:dyDescent="0.3">
      <c r="A5" s="310">
        <v>3</v>
      </c>
      <c r="B5" s="465" t="s">
        <v>836</v>
      </c>
      <c r="C5" s="466"/>
      <c r="D5" s="491" t="s">
        <v>833</v>
      </c>
      <c r="E5" s="492"/>
      <c r="F5" s="492"/>
      <c r="G5" s="312" t="s">
        <v>571</v>
      </c>
      <c r="H5" s="313">
        <v>921.35473500000012</v>
      </c>
    </row>
    <row r="6" spans="1:8" ht="38.4" customHeight="1" x14ac:dyDescent="0.3">
      <c r="A6" s="314">
        <v>4</v>
      </c>
      <c r="B6" s="468" t="s">
        <v>837</v>
      </c>
      <c r="C6" s="469"/>
      <c r="D6" s="489" t="s">
        <v>834</v>
      </c>
      <c r="E6" s="490"/>
      <c r="F6" s="490"/>
      <c r="G6" s="315" t="s">
        <v>571</v>
      </c>
      <c r="H6" s="316">
        <v>1.6559999999999999</v>
      </c>
    </row>
    <row r="7" spans="1:8" ht="38.4" customHeight="1" x14ac:dyDescent="0.3">
      <c r="A7" s="310">
        <v>5</v>
      </c>
      <c r="B7" s="465" t="s">
        <v>836</v>
      </c>
      <c r="C7" s="466"/>
      <c r="D7" s="491" t="s">
        <v>835</v>
      </c>
      <c r="E7" s="492"/>
      <c r="F7" s="492"/>
      <c r="G7" s="312" t="s">
        <v>571</v>
      </c>
      <c r="H7" s="313">
        <v>308.42155000000002</v>
      </c>
    </row>
    <row r="8" spans="1:8" ht="38.4" customHeight="1" x14ac:dyDescent="0.3">
      <c r="A8" s="314">
        <v>6</v>
      </c>
      <c r="B8" s="468" t="s">
        <v>837</v>
      </c>
      <c r="C8" s="469"/>
      <c r="D8" s="489" t="s">
        <v>835</v>
      </c>
      <c r="E8" s="490"/>
      <c r="F8" s="490"/>
      <c r="G8" s="315" t="s">
        <v>571</v>
      </c>
      <c r="H8" s="316">
        <v>21.026000000000003</v>
      </c>
    </row>
    <row r="9" spans="1:8" x14ac:dyDescent="0.3">
      <c r="A9" s="462"/>
      <c r="B9" s="462"/>
      <c r="C9" s="462"/>
      <c r="D9" s="462"/>
      <c r="E9" s="462"/>
      <c r="F9" s="462"/>
      <c r="G9" s="462"/>
      <c r="H9" s="462"/>
    </row>
    <row r="10" spans="1:8" s="319" customFormat="1" ht="99.6" customHeight="1" x14ac:dyDescent="0.3">
      <c r="A10" s="317"/>
      <c r="B10" s="321" t="s">
        <v>841</v>
      </c>
      <c r="C10" s="321" t="s">
        <v>844</v>
      </c>
      <c r="D10" s="321" t="s">
        <v>842</v>
      </c>
      <c r="E10" s="321" t="s">
        <v>845</v>
      </c>
      <c r="F10" s="321" t="s">
        <v>843</v>
      </c>
      <c r="G10" s="479" t="s">
        <v>846</v>
      </c>
      <c r="H10" s="479"/>
    </row>
    <row r="11" spans="1:8" x14ac:dyDescent="0.3">
      <c r="A11" s="320" t="s">
        <v>838</v>
      </c>
      <c r="B11" s="320">
        <v>654.87799999999993</v>
      </c>
      <c r="C11" s="320">
        <v>20.842499999999998</v>
      </c>
      <c r="D11" s="320">
        <v>257.89698500000003</v>
      </c>
      <c r="E11" s="320">
        <v>0</v>
      </c>
      <c r="F11" s="320">
        <v>107.64855000000001</v>
      </c>
      <c r="G11" s="480">
        <v>9.2690000000000019</v>
      </c>
      <c r="H11" s="480"/>
    </row>
    <row r="12" spans="1:8" x14ac:dyDescent="0.3">
      <c r="A12" s="320" t="s">
        <v>839</v>
      </c>
      <c r="B12" s="320">
        <v>653.30674999999985</v>
      </c>
      <c r="C12" s="320">
        <v>82.800750000000008</v>
      </c>
      <c r="D12" s="320">
        <v>322.58204999999998</v>
      </c>
      <c r="E12" s="320">
        <v>1.6559999999999999</v>
      </c>
      <c r="F12" s="320">
        <v>172.68799999999999</v>
      </c>
      <c r="G12" s="480">
        <v>10.587</v>
      </c>
      <c r="H12" s="480"/>
    </row>
    <row r="13" spans="1:8" x14ac:dyDescent="0.3">
      <c r="A13" s="320" t="s">
        <v>840</v>
      </c>
      <c r="B13" s="320">
        <v>711.38625000000002</v>
      </c>
      <c r="C13" s="320">
        <v>83.649249999999995</v>
      </c>
      <c r="D13" s="320">
        <v>340.87569999999999</v>
      </c>
      <c r="E13" s="320">
        <v>0</v>
      </c>
      <c r="F13" s="320">
        <v>28.084999999999997</v>
      </c>
      <c r="G13" s="480">
        <v>1.17</v>
      </c>
      <c r="H13" s="480"/>
    </row>
    <row r="14" spans="1:8" x14ac:dyDescent="0.3">
      <c r="A14" s="320"/>
      <c r="B14" s="322">
        <f>SUM(B11:B13)</f>
        <v>2019.5709999999999</v>
      </c>
      <c r="C14" s="322">
        <f>SUM(C11:C13)</f>
        <v>187.29250000000002</v>
      </c>
      <c r="D14" s="322">
        <f>SUM(D11:D13)</f>
        <v>921.35473500000012</v>
      </c>
      <c r="E14" s="322">
        <f>SUM(E11:E13)</f>
        <v>1.6559999999999999</v>
      </c>
      <c r="F14" s="322">
        <f>SUM(F11:F13)</f>
        <v>308.42154999999997</v>
      </c>
      <c r="G14" s="484">
        <f t="shared" ref="G14" si="0">SUM(G11:G13)</f>
        <v>21.026000000000003</v>
      </c>
      <c r="H14" s="484"/>
    </row>
  </sheetData>
  <mergeCells count="21">
    <mergeCell ref="G14:H14"/>
    <mergeCell ref="A9:H9"/>
    <mergeCell ref="B5:C5"/>
    <mergeCell ref="D5:F5"/>
    <mergeCell ref="B6:C6"/>
    <mergeCell ref="D6:F6"/>
    <mergeCell ref="B7:C7"/>
    <mergeCell ref="D7:F7"/>
    <mergeCell ref="B8:C8"/>
    <mergeCell ref="D8:F8"/>
    <mergeCell ref="G10:H10"/>
    <mergeCell ref="G11:H11"/>
    <mergeCell ref="G12:H12"/>
    <mergeCell ref="G13:H13"/>
    <mergeCell ref="B4:C4"/>
    <mergeCell ref="D4:F4"/>
    <mergeCell ref="A1:H1"/>
    <mergeCell ref="B2:C2"/>
    <mergeCell ref="D2:F2"/>
    <mergeCell ref="B3:C3"/>
    <mergeCell ref="D3:F3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workbookViewId="0"/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62" t="s">
        <v>571</v>
      </c>
    </row>
    <row r="4" spans="1:3" ht="34.799999999999997" x14ac:dyDescent="0.25">
      <c r="A4" s="104" t="s">
        <v>1</v>
      </c>
      <c r="B4" s="198" t="s">
        <v>813</v>
      </c>
      <c r="C4" s="261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60" t="s">
        <v>95</v>
      </c>
      <c r="B16" s="121">
        <v>31.6</v>
      </c>
      <c r="C16" s="121">
        <v>26.2</v>
      </c>
    </row>
    <row r="17" spans="1:3" ht="14.4" x14ac:dyDescent="0.25">
      <c r="A17" s="260" t="s">
        <v>99</v>
      </c>
      <c r="B17" s="121">
        <v>0</v>
      </c>
      <c r="C17" s="121">
        <v>30.1</v>
      </c>
    </row>
    <row r="18" spans="1:3" ht="14.4" x14ac:dyDescent="0.25">
      <c r="A18" s="260" t="s">
        <v>103</v>
      </c>
      <c r="B18" s="121">
        <v>0</v>
      </c>
      <c r="C18" s="121">
        <v>27.6</v>
      </c>
    </row>
    <row r="19" spans="1:3" ht="14.4" x14ac:dyDescent="0.25">
      <c r="A19" s="260" t="s">
        <v>106</v>
      </c>
      <c r="B19" s="121">
        <v>0</v>
      </c>
      <c r="C19" s="121">
        <v>30.4</v>
      </c>
    </row>
    <row r="20" spans="1:3" ht="14.4" x14ac:dyDescent="0.25">
      <c r="A20" s="260" t="s">
        <v>110</v>
      </c>
      <c r="B20" s="121">
        <v>4.8</v>
      </c>
      <c r="C20" s="121">
        <v>16.7</v>
      </c>
    </row>
    <row r="21" spans="1:3" ht="14.4" x14ac:dyDescent="0.25">
      <c r="A21" s="260" t="s">
        <v>114</v>
      </c>
      <c r="B21" s="121">
        <v>5.3</v>
      </c>
      <c r="C21" s="121">
        <v>39.1</v>
      </c>
    </row>
    <row r="22" spans="1:3" ht="14.4" x14ac:dyDescent="0.25">
      <c r="A22" s="260" t="s">
        <v>118</v>
      </c>
      <c r="B22" s="121">
        <v>3</v>
      </c>
      <c r="C22" s="121">
        <v>49</v>
      </c>
    </row>
    <row r="23" spans="1:3" ht="14.4" x14ac:dyDescent="0.25">
      <c r="A23" s="263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60" t="s">
        <v>92</v>
      </c>
      <c r="B25" s="121">
        <v>14.3</v>
      </c>
      <c r="C25" s="87">
        <v>21.7</v>
      </c>
    </row>
    <row r="26" spans="1:3" ht="14.4" x14ac:dyDescent="0.25">
      <c r="A26" s="260" t="s">
        <v>97</v>
      </c>
      <c r="B26" s="121">
        <v>9</v>
      </c>
      <c r="C26" s="87">
        <v>20.9</v>
      </c>
    </row>
    <row r="27" spans="1:3" ht="14.4" x14ac:dyDescent="0.25">
      <c r="A27" s="260" t="s">
        <v>101</v>
      </c>
      <c r="B27" s="121">
        <v>12.2</v>
      </c>
      <c r="C27" s="87">
        <v>12.6</v>
      </c>
    </row>
    <row r="28" spans="1:3" ht="14.4" x14ac:dyDescent="0.25">
      <c r="A28" s="260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67" t="s">
        <v>505</v>
      </c>
      <c r="B31" s="268">
        <v>40.799999999999997</v>
      </c>
      <c r="C31" s="269">
        <v>0</v>
      </c>
    </row>
    <row r="32" spans="1:3" ht="14.4" x14ac:dyDescent="0.25">
      <c r="A32" s="267" t="s">
        <v>506</v>
      </c>
      <c r="B32" s="268">
        <v>37.299999999999997</v>
      </c>
      <c r="C32" s="269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65" t="s">
        <v>509</v>
      </c>
      <c r="B35" s="266">
        <v>117.7</v>
      </c>
      <c r="C35" s="266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60" t="s">
        <v>135</v>
      </c>
      <c r="B41" s="121">
        <v>0</v>
      </c>
      <c r="C41" s="121">
        <v>38.9</v>
      </c>
    </row>
    <row r="42" spans="1:3" ht="14.4" x14ac:dyDescent="0.25">
      <c r="A42" s="260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60" t="s">
        <v>154</v>
      </c>
      <c r="B50" s="121">
        <v>0</v>
      </c>
      <c r="C50" s="121">
        <v>48.2</v>
      </c>
    </row>
    <row r="51" spans="1:3" ht="14.4" x14ac:dyDescent="0.25">
      <c r="A51" s="260" t="s">
        <v>156</v>
      </c>
      <c r="B51" s="121">
        <v>0</v>
      </c>
      <c r="C51" s="121">
        <v>54.7</v>
      </c>
    </row>
    <row r="52" spans="1:3" ht="14.4" x14ac:dyDescent="0.25">
      <c r="A52" s="260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60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60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65" t="s">
        <v>539</v>
      </c>
      <c r="B65" s="266">
        <v>29.6</v>
      </c>
      <c r="C65" s="266">
        <v>0</v>
      </c>
    </row>
    <row r="66" spans="1:3" ht="14.4" x14ac:dyDescent="0.25">
      <c r="A66" s="265" t="s">
        <v>540</v>
      </c>
      <c r="B66" s="266">
        <v>8.8000000000000007</v>
      </c>
      <c r="C66" s="266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65" t="s">
        <v>542</v>
      </c>
      <c r="B68" s="266">
        <v>6.4</v>
      </c>
      <c r="C68" s="266">
        <v>38.299999999999997</v>
      </c>
    </row>
    <row r="69" spans="1:3" ht="14.4" x14ac:dyDescent="0.25">
      <c r="A69" s="267" t="s">
        <v>543</v>
      </c>
      <c r="B69" s="268">
        <v>5.2</v>
      </c>
      <c r="C69" s="268">
        <v>35</v>
      </c>
    </row>
    <row r="70" spans="1:3" ht="14.4" x14ac:dyDescent="0.25">
      <c r="A70" s="260" t="s">
        <v>191</v>
      </c>
      <c r="B70" s="121">
        <v>0</v>
      </c>
      <c r="C70" s="121">
        <v>79.900000000000006</v>
      </c>
    </row>
    <row r="71" spans="1:3" ht="14.4" x14ac:dyDescent="0.25">
      <c r="A71" s="260" t="s">
        <v>193</v>
      </c>
      <c r="B71" s="121">
        <v>11.5</v>
      </c>
      <c r="C71" s="121">
        <v>33.5</v>
      </c>
    </row>
    <row r="72" spans="1:3" ht="14.4" x14ac:dyDescent="0.25">
      <c r="A72" s="265" t="s">
        <v>546</v>
      </c>
      <c r="B72" s="266">
        <v>33.1</v>
      </c>
      <c r="C72" s="266">
        <v>19.2</v>
      </c>
    </row>
    <row r="73" spans="1:3" ht="14.4" x14ac:dyDescent="0.25">
      <c r="A73" s="265" t="s">
        <v>547</v>
      </c>
      <c r="B73" s="266">
        <v>6.3</v>
      </c>
      <c r="C73" s="266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65" t="s">
        <v>549</v>
      </c>
      <c r="B75" s="266">
        <v>5.0999999999999996</v>
      </c>
      <c r="C75" s="266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60" t="s">
        <v>202</v>
      </c>
      <c r="B78" s="121">
        <v>8.1</v>
      </c>
      <c r="C78" s="121">
        <v>19.899999999999999</v>
      </c>
    </row>
    <row r="79" spans="1:3" ht="14.4" x14ac:dyDescent="0.25">
      <c r="A79" s="260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60" t="s">
        <v>213</v>
      </c>
      <c r="B85" s="121">
        <v>4.8</v>
      </c>
      <c r="C85" s="121">
        <v>9.1</v>
      </c>
    </row>
    <row r="86" spans="1:3" ht="14.4" x14ac:dyDescent="0.25">
      <c r="A86" s="260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270" t="s">
        <v>425</v>
      </c>
      <c r="B88" s="271">
        <v>51.2</v>
      </c>
      <c r="C88" s="271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270" t="s">
        <v>428</v>
      </c>
      <c r="B91" s="271">
        <v>15.4</v>
      </c>
      <c r="C91" s="271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270" t="s">
        <v>431</v>
      </c>
      <c r="B94" s="271">
        <v>31.7</v>
      </c>
      <c r="C94" s="271">
        <v>0</v>
      </c>
    </row>
    <row r="95" spans="1:3" ht="14.4" x14ac:dyDescent="0.25">
      <c r="A95" s="270" t="s">
        <v>432</v>
      </c>
      <c r="B95" s="271">
        <v>81.400000000000006</v>
      </c>
      <c r="C95" s="271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64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270" t="s">
        <v>450</v>
      </c>
      <c r="B114" s="271">
        <v>30.6</v>
      </c>
      <c r="C114" s="271">
        <v>0</v>
      </c>
    </row>
    <row r="115" spans="1:3" ht="14.4" x14ac:dyDescent="0.25">
      <c r="A115" s="270" t="s">
        <v>451</v>
      </c>
      <c r="B115" s="271">
        <v>85.3</v>
      </c>
      <c r="C115" s="271">
        <v>42.8</v>
      </c>
    </row>
    <row r="116" spans="1:3" ht="14.4" x14ac:dyDescent="0.25">
      <c r="A116" s="270" t="s">
        <v>452</v>
      </c>
      <c r="B116" s="271">
        <v>123.1</v>
      </c>
      <c r="C116" s="271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60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65" t="s">
        <v>463</v>
      </c>
      <c r="B127" s="271">
        <v>27.9</v>
      </c>
      <c r="C127" s="271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60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65" t="s">
        <v>472</v>
      </c>
      <c r="B136" s="271">
        <v>4.5</v>
      </c>
      <c r="C136" s="271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65" t="s">
        <v>474</v>
      </c>
      <c r="B138" s="266">
        <v>13.2</v>
      </c>
      <c r="C138" s="266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65" t="s">
        <v>478</v>
      </c>
      <c r="B142" s="266">
        <v>79.099999999999994</v>
      </c>
      <c r="C142" s="266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60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270" t="s">
        <v>371</v>
      </c>
      <c r="B155" s="271">
        <v>124.2</v>
      </c>
      <c r="C155" s="271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270" t="s">
        <v>378</v>
      </c>
      <c r="B162" s="271">
        <v>117.1</v>
      </c>
      <c r="C162" s="271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65" t="s">
        <v>385</v>
      </c>
      <c r="B169" s="266">
        <v>64.400000000000006</v>
      </c>
      <c r="C169" s="266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65" t="s">
        <v>390</v>
      </c>
      <c r="B174" s="266">
        <v>12.8</v>
      </c>
      <c r="C174" s="266">
        <v>11.5</v>
      </c>
    </row>
    <row r="175" spans="1:3" ht="14.4" x14ac:dyDescent="0.25">
      <c r="A175" s="265" t="s">
        <v>391</v>
      </c>
      <c r="B175" s="266">
        <v>43.9</v>
      </c>
      <c r="C175" s="266">
        <v>4.9000000000000004</v>
      </c>
    </row>
    <row r="176" spans="1:3" ht="14.4" x14ac:dyDescent="0.25">
      <c r="A176" s="265" t="s">
        <v>392</v>
      </c>
      <c r="B176" s="266">
        <v>115.9</v>
      </c>
      <c r="C176" s="266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60" t="s">
        <v>353</v>
      </c>
      <c r="B178" s="121">
        <v>31.5</v>
      </c>
      <c r="C178" s="121">
        <v>0</v>
      </c>
    </row>
    <row r="179" spans="1:3" ht="14.4" x14ac:dyDescent="0.25">
      <c r="A179" s="267" t="s">
        <v>395</v>
      </c>
      <c r="B179" s="268">
        <v>37.6</v>
      </c>
      <c r="C179" s="268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414" t="s">
        <v>0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</row>
    <row r="2" spans="1:17" ht="19.5" customHeight="1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412" t="s">
        <v>4</v>
      </c>
      <c r="N2" s="412"/>
      <c r="O2" s="415" t="s">
        <v>5</v>
      </c>
      <c r="P2" s="415"/>
      <c r="Q2" s="416" t="s">
        <v>6</v>
      </c>
    </row>
    <row r="3" spans="1:17" ht="19.5" customHeight="1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419" t="s">
        <v>10</v>
      </c>
      <c r="J3" s="419"/>
      <c r="K3" s="420" t="s">
        <v>11</v>
      </c>
      <c r="L3" s="420"/>
      <c r="M3" s="412" t="s">
        <v>12</v>
      </c>
      <c r="N3" s="413" t="s">
        <v>13</v>
      </c>
      <c r="O3" s="412" t="s">
        <v>12</v>
      </c>
      <c r="P3" s="417" t="s">
        <v>14</v>
      </c>
      <c r="Q3" s="416"/>
    </row>
    <row r="4" spans="1:17" ht="46.35" customHeight="1" x14ac:dyDescent="0.25">
      <c r="A4" s="413"/>
      <c r="B4" s="41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412"/>
      <c r="N4" s="413"/>
      <c r="O4" s="412"/>
      <c r="P4" s="417"/>
      <c r="Q4" s="416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421" t="s">
        <v>0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29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33"/>
      <c r="N2" s="133"/>
      <c r="O2" s="133"/>
      <c r="P2" s="133"/>
      <c r="Q2" s="412" t="s">
        <v>4</v>
      </c>
      <c r="R2" s="412"/>
      <c r="S2" s="415" t="s">
        <v>5</v>
      </c>
      <c r="T2" s="415"/>
      <c r="U2" s="134" t="s">
        <v>6</v>
      </c>
    </row>
    <row r="3" spans="1:29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80" t="s">
        <v>63</v>
      </c>
      <c r="J3" s="81"/>
      <c r="K3" s="80" t="s">
        <v>64</v>
      </c>
      <c r="L3" s="81"/>
      <c r="M3" s="419" t="s">
        <v>10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34"/>
    </row>
    <row r="4" spans="1:29" ht="34.799999999999997" x14ac:dyDescent="0.25">
      <c r="A4" s="413"/>
      <c r="B4" s="41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412"/>
      <c r="R4" s="413"/>
      <c r="S4" s="412"/>
      <c r="T4" s="417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1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33"/>
      <c r="N2" s="133"/>
      <c r="O2" s="133"/>
      <c r="P2" s="133"/>
      <c r="Q2" s="412" t="s">
        <v>4</v>
      </c>
      <c r="R2" s="412"/>
      <c r="S2" s="415" t="s">
        <v>5</v>
      </c>
      <c r="T2" s="415"/>
      <c r="U2" s="134" t="s">
        <v>6</v>
      </c>
    </row>
    <row r="3" spans="1:21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35" t="s">
        <v>63</v>
      </c>
      <c r="J3" s="135"/>
      <c r="K3" s="135" t="s">
        <v>64</v>
      </c>
      <c r="L3" s="135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34"/>
    </row>
    <row r="4" spans="1:21" ht="34.799999999999997" x14ac:dyDescent="0.25">
      <c r="A4" s="413"/>
      <c r="B4" s="41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412"/>
      <c r="R4" s="413"/>
      <c r="S4" s="412"/>
      <c r="T4" s="417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424" t="s">
        <v>359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</row>
    <row r="2" spans="1:21" ht="17.399999999999999" x14ac:dyDescent="0.25">
      <c r="A2" s="413" t="s">
        <v>1</v>
      </c>
      <c r="B2" s="412" t="s">
        <v>2</v>
      </c>
      <c r="C2" s="414" t="s">
        <v>3</v>
      </c>
      <c r="D2" s="414"/>
      <c r="E2" s="414"/>
      <c r="F2" s="414"/>
      <c r="G2" s="414"/>
      <c r="H2" s="414"/>
      <c r="I2" s="414"/>
      <c r="J2" s="414"/>
      <c r="K2" s="414"/>
      <c r="L2" s="414"/>
      <c r="M2" s="133"/>
      <c r="N2" s="133"/>
      <c r="O2" s="133"/>
      <c r="P2" s="133"/>
      <c r="Q2" s="412" t="s">
        <v>4</v>
      </c>
      <c r="R2" s="412"/>
      <c r="S2" s="415" t="s">
        <v>5</v>
      </c>
      <c r="T2" s="415"/>
      <c r="U2" s="134" t="s">
        <v>6</v>
      </c>
    </row>
    <row r="3" spans="1:21" ht="17.399999999999999" x14ac:dyDescent="0.25">
      <c r="A3" s="413"/>
      <c r="B3" s="412"/>
      <c r="C3" s="415" t="s">
        <v>7</v>
      </c>
      <c r="D3" s="415"/>
      <c r="E3" s="418" t="s">
        <v>8</v>
      </c>
      <c r="F3" s="418"/>
      <c r="G3" s="419" t="s">
        <v>9</v>
      </c>
      <c r="H3" s="419"/>
      <c r="I3" s="135" t="s">
        <v>63</v>
      </c>
      <c r="J3" s="135"/>
      <c r="K3" s="135" t="s">
        <v>64</v>
      </c>
      <c r="L3" s="135"/>
      <c r="M3" s="423" t="s">
        <v>358</v>
      </c>
      <c r="N3" s="419"/>
      <c r="O3" s="420" t="s">
        <v>11</v>
      </c>
      <c r="P3" s="420"/>
      <c r="Q3" s="412" t="s">
        <v>12</v>
      </c>
      <c r="R3" s="413" t="s">
        <v>13</v>
      </c>
      <c r="S3" s="412" t="s">
        <v>12</v>
      </c>
      <c r="T3" s="417" t="s">
        <v>14</v>
      </c>
      <c r="U3" s="134"/>
    </row>
    <row r="4" spans="1:21" ht="34.799999999999997" x14ac:dyDescent="0.25">
      <c r="A4" s="413"/>
      <c r="B4" s="412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412"/>
      <c r="R4" s="413"/>
      <c r="S4" s="412"/>
      <c r="T4" s="417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493" t="s">
        <v>561</v>
      </c>
      <c r="B1" s="493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80.900000000000006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127.29999999999998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358.8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123.10000000000001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55.900000000000006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123.49999999999999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89.600000000000009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57.1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297.60000000000002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409.6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93.100000000000009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107.1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63.800000000000004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214.8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35.5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35.799999999999997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69.699999999999989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85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81.3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457.8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332.3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62.9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133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110.50000000000001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298.10000000000002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384.9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185.10000000000002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220.6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494" t="s">
        <v>561</v>
      </c>
      <c r="B1" s="495"/>
    </row>
    <row r="2" spans="1:7" ht="17.25" customHeight="1" x14ac:dyDescent="0.25">
      <c r="A2" s="496" t="s">
        <v>565</v>
      </c>
      <c r="B2" s="153"/>
    </row>
    <row r="3" spans="1:7" ht="17.25" customHeight="1" x14ac:dyDescent="0.25">
      <c r="A3" s="493"/>
      <c r="B3" s="153"/>
    </row>
    <row r="4" spans="1:7" ht="26.4" x14ac:dyDescent="0.25">
      <c r="A4" s="493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4.9000000000000004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21.799999999999997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18.700000000000003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436.7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60.300000000000004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28.5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39.300000000000004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146.6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109.89999999999999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101.2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102.9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166.2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74.3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26.999999999999996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71.900000000000006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15.1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52.8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53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57.400000000000006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35.400000000000006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23.7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33.199999999999996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46.199999999999996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43.6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49.5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56.2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74.7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82.7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168.49999999999997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257.10000000000002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103.49999999999999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71.100000000000009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68.400000000000006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87.600000000000009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44.699999999999996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40.9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217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116.6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48.3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181.5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60.8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49.8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92.199999999999989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46.5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44.000000000000007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44.6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35.5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24.8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42.9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36.9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8.8999999999999986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19.900000000000002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40.9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39.6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36.599999999999994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60.6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197.90000000000003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29.7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104.5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47.6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28.1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14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83.899999999999991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32.900000000000006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78.8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75.3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84.500000000000014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58.600000000000009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14.500000000000002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33.500000000000007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81.999999999999986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77.800000000000011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78.8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28.7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60.8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97.5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128.9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137.1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106.99999999999999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32.299999999999997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119.50000000000001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496" t="s">
        <v>564</v>
      </c>
      <c r="B1" s="493"/>
    </row>
    <row r="2" spans="1:7" ht="17.25" customHeight="1" x14ac:dyDescent="0.25">
      <c r="A2" s="496" t="s">
        <v>565</v>
      </c>
      <c r="B2" s="153"/>
    </row>
    <row r="3" spans="1:7" ht="17.25" customHeight="1" x14ac:dyDescent="0.25">
      <c r="A3" s="493"/>
      <c r="B3" s="153"/>
    </row>
    <row r="4" spans="1:7" ht="26.4" x14ac:dyDescent="0.25">
      <c r="A4" s="493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74.8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103.1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121.20000000000002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89.2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103.20000000000002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99.4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99.7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101.6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171.8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30.7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42.6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70.900000000000006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48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28.599999999999994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73.999999999999986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31.699999999999996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44.099999999999994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75.699999999999989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586.70000000000005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101.39999999999999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43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31.000000000000004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44.500000000000007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69.399999999999991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70.199999999999989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22.9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41.699999999999996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282.39999999999998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263.2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73.500000000000014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74.899999999999991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45.3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73.5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91.2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39.9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77.300000000000011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30.200000000000003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81.599999999999994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76.100000000000009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84.200000000000017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74.099999999999994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34.5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72.5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79.599999999999994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80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104.69999999999999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32.999999999999993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94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33.1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79.399999999999991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27.9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28.899999999999995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96.399999999999991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33.4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136.6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74.899999999999991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105.60000000000001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496" t="s">
        <v>564</v>
      </c>
      <c r="B1" s="493"/>
    </row>
    <row r="2" spans="1:7" ht="12.75" customHeight="1" x14ac:dyDescent="0.25">
      <c r="A2" s="496" t="s">
        <v>565</v>
      </c>
      <c r="B2" s="153"/>
    </row>
    <row r="3" spans="1:7" ht="12.75" customHeight="1" x14ac:dyDescent="0.25">
      <c r="A3" s="493"/>
      <c r="B3" s="153"/>
    </row>
    <row r="4" spans="1:7" ht="26.4" x14ac:dyDescent="0.25">
      <c r="A4" s="493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workbookViewId="0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97" t="s">
        <v>586</v>
      </c>
      <c r="B1" s="498"/>
      <c r="C1" s="499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97" t="s">
        <v>586</v>
      </c>
      <c r="B1" s="498"/>
      <c r="C1" s="499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C3" sqref="C3:C1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97" t="s">
        <v>586</v>
      </c>
      <c r="B1" s="498"/>
      <c r="C1" s="499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K16"/>
  <sheetViews>
    <sheetView topLeftCell="A4" workbookViewId="0">
      <selection activeCell="A5" sqref="A5:I16"/>
    </sheetView>
  </sheetViews>
  <sheetFormatPr defaultRowHeight="18" x14ac:dyDescent="0.25"/>
  <cols>
    <col min="1" max="1" width="7.21875" style="275" customWidth="1"/>
    <col min="2" max="2" width="10.88671875" style="275" customWidth="1"/>
    <col min="3" max="3" width="8" style="275" customWidth="1"/>
    <col min="4" max="4" width="12" style="275" customWidth="1"/>
    <col min="5" max="5" width="7.109375" style="275" customWidth="1"/>
    <col min="6" max="6" width="7.6640625" style="275" customWidth="1"/>
    <col min="7" max="7" width="9.33203125" style="275" customWidth="1"/>
    <col min="8" max="8" width="9.88671875" style="275" customWidth="1"/>
    <col min="9" max="9" width="12.109375" style="275" customWidth="1"/>
    <col min="10" max="10" width="7.88671875" style="275" customWidth="1"/>
    <col min="11" max="11" width="10.109375" style="275" customWidth="1"/>
    <col min="12" max="16384" width="8.88671875" style="275"/>
  </cols>
  <sheetData>
    <row r="1" spans="1:11" x14ac:dyDescent="0.25">
      <c r="A1" s="501" t="s">
        <v>579</v>
      </c>
      <c r="B1" s="501"/>
      <c r="C1" s="501"/>
      <c r="D1" s="501"/>
      <c r="E1" s="501"/>
      <c r="F1" s="501"/>
      <c r="G1" s="501"/>
      <c r="H1" s="501"/>
      <c r="I1" s="501"/>
      <c r="J1" s="501"/>
      <c r="K1" s="501"/>
    </row>
    <row r="2" spans="1:11" ht="36" x14ac:dyDescent="0.25">
      <c r="A2" s="173" t="s">
        <v>580</v>
      </c>
      <c r="B2" s="454" t="s">
        <v>581</v>
      </c>
      <c r="C2" s="454"/>
      <c r="D2" s="454"/>
      <c r="E2" s="454"/>
      <c r="F2" s="454"/>
      <c r="G2" s="456" t="s">
        <v>582</v>
      </c>
      <c r="H2" s="456"/>
      <c r="I2" s="456"/>
      <c r="J2" s="296" t="s">
        <v>583</v>
      </c>
      <c r="K2" s="175" t="s">
        <v>584</v>
      </c>
    </row>
    <row r="3" spans="1:11" ht="54" customHeight="1" x14ac:dyDescent="0.25">
      <c r="A3" s="288">
        <v>1</v>
      </c>
      <c r="B3" s="502" t="s">
        <v>585</v>
      </c>
      <c r="C3" s="502"/>
      <c r="D3" s="502"/>
      <c r="E3" s="502"/>
      <c r="F3" s="502"/>
      <c r="G3" s="503" t="s">
        <v>623</v>
      </c>
      <c r="H3" s="501"/>
      <c r="I3" s="501"/>
      <c r="J3" s="288" t="s">
        <v>571</v>
      </c>
      <c r="K3" s="286">
        <f>D11+I12+D16</f>
        <v>266.53699999999998</v>
      </c>
    </row>
    <row r="4" spans="1:11" x14ac:dyDescent="0.35">
      <c r="A4" s="500"/>
      <c r="B4" s="500"/>
      <c r="C4" s="500"/>
      <c r="D4" s="500"/>
      <c r="E4" s="500"/>
      <c r="F4" s="500"/>
      <c r="G4" s="500"/>
      <c r="H4" s="500"/>
      <c r="I4" s="500"/>
      <c r="J4" s="500"/>
      <c r="K4" s="500"/>
    </row>
    <row r="5" spans="1:11" ht="36" x14ac:dyDescent="0.25">
      <c r="A5" s="287" t="s">
        <v>828</v>
      </c>
      <c r="B5" s="287" t="s">
        <v>826</v>
      </c>
      <c r="C5" s="287" t="s">
        <v>827</v>
      </c>
      <c r="D5" s="287" t="s">
        <v>829</v>
      </c>
      <c r="E5" s="507"/>
      <c r="F5" s="287" t="s">
        <v>828</v>
      </c>
      <c r="G5" s="287" t="s">
        <v>826</v>
      </c>
      <c r="H5" s="287" t="s">
        <v>827</v>
      </c>
      <c r="I5" s="287" t="s">
        <v>829</v>
      </c>
      <c r="J5" s="504"/>
      <c r="K5" s="504"/>
    </row>
    <row r="6" spans="1:11" x14ac:dyDescent="0.25">
      <c r="A6" s="290" t="s">
        <v>483</v>
      </c>
      <c r="B6" s="291">
        <v>1.8</v>
      </c>
      <c r="C6" s="291">
        <v>8.0399999999999991</v>
      </c>
      <c r="D6" s="294">
        <v>14.472</v>
      </c>
      <c r="E6" s="507"/>
      <c r="F6" s="290" t="s">
        <v>439</v>
      </c>
      <c r="G6" s="291">
        <v>1.8</v>
      </c>
      <c r="H6" s="291">
        <v>11.84</v>
      </c>
      <c r="I6" s="294">
        <v>21.312000000000001</v>
      </c>
      <c r="J6" s="504"/>
      <c r="K6" s="504"/>
    </row>
    <row r="7" spans="1:11" x14ac:dyDescent="0.25">
      <c r="A7" s="292" t="s">
        <v>500</v>
      </c>
      <c r="B7" s="293">
        <v>1.8</v>
      </c>
      <c r="C7" s="293">
        <v>6.9</v>
      </c>
      <c r="D7" s="295">
        <v>12.420000000000002</v>
      </c>
      <c r="E7" s="507"/>
      <c r="F7" s="292" t="s">
        <v>440</v>
      </c>
      <c r="G7" s="293">
        <v>0.85</v>
      </c>
      <c r="H7" s="293">
        <v>7.4</v>
      </c>
      <c r="I7" s="295">
        <v>6.29</v>
      </c>
      <c r="J7" s="504"/>
      <c r="K7" s="504"/>
    </row>
    <row r="8" spans="1:11" x14ac:dyDescent="0.25">
      <c r="A8" s="290" t="s">
        <v>527</v>
      </c>
      <c r="B8" s="291">
        <v>1.8</v>
      </c>
      <c r="C8" s="291">
        <v>6.7</v>
      </c>
      <c r="D8" s="294">
        <v>12.06</v>
      </c>
      <c r="E8" s="507"/>
      <c r="F8" s="290" t="s">
        <v>440</v>
      </c>
      <c r="G8" s="291">
        <v>4</v>
      </c>
      <c r="H8" s="291">
        <v>13.3</v>
      </c>
      <c r="I8" s="294">
        <v>53.2</v>
      </c>
      <c r="J8" s="504"/>
      <c r="K8" s="504"/>
    </row>
    <row r="9" spans="1:11" x14ac:dyDescent="0.25">
      <c r="A9" s="292" t="s">
        <v>493</v>
      </c>
      <c r="B9" s="293">
        <v>1.8</v>
      </c>
      <c r="C9" s="293">
        <v>7.96</v>
      </c>
      <c r="D9" s="295">
        <v>14.327999999999999</v>
      </c>
      <c r="E9" s="507"/>
      <c r="F9" s="292" t="s">
        <v>436</v>
      </c>
      <c r="G9" s="293">
        <v>0.85</v>
      </c>
      <c r="H9" s="293">
        <v>6.9</v>
      </c>
      <c r="I9" s="295">
        <v>5.8650000000000002</v>
      </c>
      <c r="J9" s="504"/>
      <c r="K9" s="504"/>
    </row>
    <row r="10" spans="1:11" x14ac:dyDescent="0.25">
      <c r="A10" s="290" t="s">
        <v>494</v>
      </c>
      <c r="B10" s="291">
        <v>1.8</v>
      </c>
      <c r="C10" s="291">
        <v>19.350000000000001</v>
      </c>
      <c r="D10" s="294">
        <v>34.830000000000005</v>
      </c>
      <c r="E10" s="507"/>
      <c r="F10" s="290" t="s">
        <v>436</v>
      </c>
      <c r="G10" s="291">
        <v>4</v>
      </c>
      <c r="H10" s="291">
        <v>13.4</v>
      </c>
      <c r="I10" s="294">
        <v>53.6</v>
      </c>
      <c r="J10" s="504"/>
      <c r="K10" s="504"/>
    </row>
    <row r="11" spans="1:11" x14ac:dyDescent="0.25">
      <c r="A11" s="508"/>
      <c r="B11" s="509"/>
      <c r="C11" s="288" t="s">
        <v>622</v>
      </c>
      <c r="D11" s="289">
        <f>SUM(D6:D10)</f>
        <v>88.110000000000014</v>
      </c>
      <c r="E11" s="507"/>
      <c r="F11" s="292" t="s">
        <v>671</v>
      </c>
      <c r="G11" s="293">
        <v>1.8</v>
      </c>
      <c r="H11" s="293">
        <v>13.2</v>
      </c>
      <c r="I11" s="295">
        <v>23.759999999999998</v>
      </c>
      <c r="J11" s="504"/>
      <c r="K11" s="504"/>
    </row>
    <row r="12" spans="1:11" x14ac:dyDescent="0.25">
      <c r="A12" s="504"/>
      <c r="B12" s="504"/>
      <c r="C12" s="504"/>
      <c r="D12" s="504"/>
      <c r="E12" s="504"/>
      <c r="F12" s="504"/>
      <c r="G12" s="504"/>
      <c r="H12" s="288" t="s">
        <v>622</v>
      </c>
      <c r="I12" s="289">
        <f>SUM(I6:I11)</f>
        <v>164.02699999999999</v>
      </c>
      <c r="J12" s="504"/>
      <c r="K12" s="504"/>
    </row>
    <row r="13" spans="1:11" x14ac:dyDescent="0.25">
      <c r="A13" s="504"/>
      <c r="B13" s="504"/>
      <c r="C13" s="504"/>
      <c r="D13" s="504"/>
      <c r="E13" s="504"/>
      <c r="F13" s="504"/>
      <c r="G13" s="504"/>
      <c r="H13" s="508"/>
      <c r="I13" s="509"/>
      <c r="J13" s="504"/>
      <c r="K13" s="504"/>
    </row>
    <row r="14" spans="1:11" ht="36" x14ac:dyDescent="0.25">
      <c r="A14" s="287" t="s">
        <v>828</v>
      </c>
      <c r="B14" s="287" t="s">
        <v>826</v>
      </c>
      <c r="C14" s="287" t="s">
        <v>827</v>
      </c>
      <c r="D14" s="287" t="s">
        <v>829</v>
      </c>
      <c r="E14" s="505"/>
      <c r="F14" s="506"/>
      <c r="G14" s="506"/>
      <c r="H14" s="506"/>
      <c r="I14" s="506"/>
      <c r="J14" s="504"/>
      <c r="K14" s="504"/>
    </row>
    <row r="15" spans="1:11" x14ac:dyDescent="0.25">
      <c r="A15" s="290" t="s">
        <v>369</v>
      </c>
      <c r="B15" s="291">
        <v>1.8</v>
      </c>
      <c r="C15" s="291">
        <v>8</v>
      </c>
      <c r="D15" s="294">
        <v>14.4</v>
      </c>
      <c r="E15" s="505"/>
      <c r="F15" s="506"/>
      <c r="G15" s="506"/>
      <c r="H15" s="506"/>
      <c r="I15" s="506"/>
      <c r="J15" s="504"/>
      <c r="K15" s="504"/>
    </row>
    <row r="16" spans="1:11" x14ac:dyDescent="0.25">
      <c r="A16" s="508"/>
      <c r="B16" s="509"/>
      <c r="C16" s="288" t="s">
        <v>622</v>
      </c>
      <c r="D16" s="289">
        <f>SUM(D15:D15)</f>
        <v>14.4</v>
      </c>
      <c r="E16" s="505"/>
      <c r="F16" s="506"/>
      <c r="G16" s="506"/>
      <c r="H16" s="506"/>
      <c r="I16" s="506"/>
      <c r="J16" s="504"/>
      <c r="K16" s="504"/>
    </row>
  </sheetData>
  <mergeCells count="13">
    <mergeCell ref="J5:K16"/>
    <mergeCell ref="E14:I16"/>
    <mergeCell ref="A12:G13"/>
    <mergeCell ref="E5:E11"/>
    <mergeCell ref="A16:B16"/>
    <mergeCell ref="A11:B11"/>
    <mergeCell ref="H13:I13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9"/>
  <sheetViews>
    <sheetView workbookViewId="0">
      <selection sqref="A1:K1"/>
    </sheetView>
  </sheetViews>
  <sheetFormatPr defaultRowHeight="15" x14ac:dyDescent="0.25"/>
  <cols>
    <col min="1" max="1" width="8.88671875" style="298"/>
    <col min="2" max="2" width="11.109375" style="298" bestFit="1" customWidth="1"/>
    <col min="3" max="3" width="13.21875" style="298" customWidth="1"/>
    <col min="4" max="4" width="10.21875" style="298" customWidth="1"/>
    <col min="5" max="5" width="8.88671875" style="298" customWidth="1"/>
    <col min="6" max="6" width="13.44140625" style="298" customWidth="1"/>
    <col min="7" max="7" width="14.6640625" style="298" customWidth="1"/>
    <col min="8" max="8" width="4.21875" style="298" customWidth="1"/>
    <col min="9" max="9" width="13" style="298" customWidth="1"/>
    <col min="10" max="10" width="10.5546875" style="298" bestFit="1" customWidth="1"/>
    <col min="11" max="11" width="11.33203125" style="298" customWidth="1"/>
    <col min="12" max="16384" width="8.88671875" style="298"/>
  </cols>
  <sheetData>
    <row r="1" spans="1:11" ht="18" customHeight="1" x14ac:dyDescent="0.25">
      <c r="A1" s="521" t="s">
        <v>586</v>
      </c>
      <c r="B1" s="521"/>
      <c r="C1" s="521"/>
      <c r="D1" s="521"/>
      <c r="E1" s="521"/>
      <c r="F1" s="521"/>
      <c r="G1" s="521"/>
      <c r="H1" s="521"/>
      <c r="I1" s="521"/>
      <c r="J1" s="521"/>
      <c r="K1" s="521"/>
    </row>
    <row r="2" spans="1:11" ht="18" customHeight="1" x14ac:dyDescent="0.25">
      <c r="A2" s="308" t="s">
        <v>580</v>
      </c>
      <c r="B2" s="523" t="s">
        <v>789</v>
      </c>
      <c r="C2" s="524"/>
      <c r="D2" s="525"/>
      <c r="E2" s="523" t="s">
        <v>582</v>
      </c>
      <c r="F2" s="524"/>
      <c r="G2" s="524"/>
      <c r="H2" s="524"/>
      <c r="I2" s="525"/>
      <c r="J2" s="309" t="s">
        <v>583</v>
      </c>
      <c r="K2" s="309" t="s">
        <v>584</v>
      </c>
    </row>
    <row r="3" spans="1:11" ht="57.6" customHeight="1" x14ac:dyDescent="0.25">
      <c r="A3" s="308">
        <v>1</v>
      </c>
      <c r="B3" s="515" t="s">
        <v>810</v>
      </c>
      <c r="C3" s="516"/>
      <c r="D3" s="517"/>
      <c r="E3" s="518" t="s">
        <v>811</v>
      </c>
      <c r="F3" s="519"/>
      <c r="G3" s="519"/>
      <c r="H3" s="519"/>
      <c r="I3" s="520"/>
      <c r="J3" s="307" t="s">
        <v>571</v>
      </c>
      <c r="K3" s="306">
        <f>E8</f>
        <v>117.60000000000001</v>
      </c>
    </row>
    <row r="4" spans="1:11" ht="111" customHeight="1" x14ac:dyDescent="0.25">
      <c r="A4" s="308">
        <v>2</v>
      </c>
      <c r="B4" s="515" t="s">
        <v>810</v>
      </c>
      <c r="C4" s="516"/>
      <c r="D4" s="517"/>
      <c r="E4" s="518" t="s">
        <v>812</v>
      </c>
      <c r="F4" s="519"/>
      <c r="G4" s="519"/>
      <c r="H4" s="519"/>
      <c r="I4" s="520"/>
      <c r="J4" s="307" t="s">
        <v>571</v>
      </c>
      <c r="K4" s="306">
        <f>E9</f>
        <v>356.9</v>
      </c>
    </row>
    <row r="5" spans="1:11" ht="18" x14ac:dyDescent="0.25">
      <c r="A5" s="522"/>
      <c r="B5" s="522"/>
      <c r="C5" s="522"/>
      <c r="D5" s="522"/>
      <c r="E5" s="522"/>
      <c r="F5" s="522"/>
      <c r="G5" s="522"/>
      <c r="H5" s="522"/>
      <c r="I5" s="522"/>
      <c r="J5" s="522"/>
      <c r="K5" s="522"/>
    </row>
    <row r="6" spans="1:11" ht="18" x14ac:dyDescent="0.25">
      <c r="A6" s="305"/>
      <c r="B6" s="510" t="s">
        <v>821</v>
      </c>
      <c r="C6" s="511"/>
      <c r="D6" s="511"/>
      <c r="E6" s="512"/>
      <c r="F6" s="513"/>
      <c r="G6" s="514"/>
      <c r="H6" s="514"/>
      <c r="I6" s="514"/>
      <c r="J6" s="514"/>
      <c r="K6" s="514"/>
    </row>
    <row r="7" spans="1:11" ht="18" x14ac:dyDescent="0.25">
      <c r="A7" s="301" t="s">
        <v>591</v>
      </c>
      <c r="B7" s="302">
        <v>1</v>
      </c>
      <c r="C7" s="302" t="s">
        <v>823</v>
      </c>
      <c r="D7" s="302">
        <v>3</v>
      </c>
      <c r="E7" s="301" t="s">
        <v>831</v>
      </c>
      <c r="F7" s="513"/>
      <c r="G7" s="514"/>
      <c r="H7" s="514"/>
      <c r="I7" s="514"/>
      <c r="J7" s="514"/>
      <c r="K7" s="514"/>
    </row>
    <row r="8" spans="1:11" ht="18" x14ac:dyDescent="0.25">
      <c r="A8" s="300" t="s">
        <v>792</v>
      </c>
      <c r="B8" s="299">
        <v>84.9</v>
      </c>
      <c r="C8" s="304">
        <v>28.4</v>
      </c>
      <c r="D8" s="299">
        <v>4.3</v>
      </c>
      <c r="E8" s="300">
        <v>117.60000000000001</v>
      </c>
      <c r="F8" s="513"/>
      <c r="G8" s="514"/>
      <c r="H8" s="514"/>
      <c r="I8" s="514"/>
      <c r="J8" s="514"/>
      <c r="K8" s="514"/>
    </row>
    <row r="9" spans="1:11" ht="18" x14ac:dyDescent="0.25">
      <c r="A9" s="301" t="s">
        <v>795</v>
      </c>
      <c r="B9" s="302">
        <v>182.7</v>
      </c>
      <c r="C9" s="303">
        <v>153.80000000000001</v>
      </c>
      <c r="D9" s="302">
        <v>20.399999999999999</v>
      </c>
      <c r="E9" s="301">
        <v>356.9</v>
      </c>
      <c r="F9" s="513"/>
      <c r="G9" s="514"/>
      <c r="H9" s="514"/>
      <c r="I9" s="514"/>
      <c r="J9" s="514"/>
      <c r="K9" s="514"/>
    </row>
  </sheetData>
  <mergeCells count="10">
    <mergeCell ref="B6:E6"/>
    <mergeCell ref="F6:K9"/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K30"/>
  <sheetViews>
    <sheetView workbookViewId="0">
      <selection sqref="A1:K1"/>
    </sheetView>
  </sheetViews>
  <sheetFormatPr defaultRowHeight="18" x14ac:dyDescent="0.25"/>
  <cols>
    <col min="1" max="1" width="7.21875" style="275" customWidth="1"/>
    <col min="2" max="2" width="10.88671875" style="275" customWidth="1"/>
    <col min="3" max="3" width="8" style="275" customWidth="1"/>
    <col min="4" max="4" width="12" style="275" customWidth="1"/>
    <col min="5" max="5" width="7.109375" style="275" customWidth="1"/>
    <col min="6" max="6" width="7.6640625" style="275" customWidth="1"/>
    <col min="7" max="7" width="9.33203125" style="275" customWidth="1"/>
    <col min="8" max="8" width="9.88671875" style="275" customWidth="1"/>
    <col min="9" max="9" width="12.109375" style="275" customWidth="1"/>
    <col min="10" max="10" width="7.88671875" style="275" customWidth="1"/>
    <col min="11" max="11" width="10.109375" style="275" customWidth="1"/>
    <col min="12" max="16384" width="8.88671875" style="275"/>
  </cols>
  <sheetData>
    <row r="1" spans="1:11" x14ac:dyDescent="0.25">
      <c r="A1" s="501" t="s">
        <v>579</v>
      </c>
      <c r="B1" s="501"/>
      <c r="C1" s="501"/>
      <c r="D1" s="501"/>
      <c r="E1" s="501"/>
      <c r="F1" s="501"/>
      <c r="G1" s="501"/>
      <c r="H1" s="501"/>
      <c r="I1" s="501"/>
      <c r="J1" s="501"/>
      <c r="K1" s="501"/>
    </row>
    <row r="2" spans="1:11" ht="36" x14ac:dyDescent="0.25">
      <c r="A2" s="173" t="s">
        <v>580</v>
      </c>
      <c r="B2" s="454" t="s">
        <v>581</v>
      </c>
      <c r="C2" s="454"/>
      <c r="D2" s="454"/>
      <c r="E2" s="454"/>
      <c r="F2" s="454"/>
      <c r="G2" s="456" t="s">
        <v>582</v>
      </c>
      <c r="H2" s="456"/>
      <c r="I2" s="456"/>
      <c r="J2" s="177" t="s">
        <v>583</v>
      </c>
      <c r="K2" s="175" t="s">
        <v>584</v>
      </c>
    </row>
    <row r="3" spans="1:11" ht="54" customHeight="1" x14ac:dyDescent="0.25">
      <c r="A3" s="285">
        <v>1</v>
      </c>
      <c r="B3" s="502" t="s">
        <v>585</v>
      </c>
      <c r="C3" s="502"/>
      <c r="D3" s="502"/>
      <c r="E3" s="502"/>
      <c r="F3" s="502"/>
      <c r="G3" s="503" t="s">
        <v>624</v>
      </c>
      <c r="H3" s="501"/>
      <c r="I3" s="501"/>
      <c r="J3" s="285" t="s">
        <v>571</v>
      </c>
      <c r="K3" s="286">
        <f>D16+I15+D27</f>
        <v>129.5916</v>
      </c>
    </row>
    <row r="4" spans="1:11" ht="52.8" customHeight="1" x14ac:dyDescent="0.25">
      <c r="A4" s="288">
        <v>1</v>
      </c>
      <c r="B4" s="502" t="s">
        <v>585</v>
      </c>
      <c r="C4" s="502"/>
      <c r="D4" s="502"/>
      <c r="E4" s="502"/>
      <c r="F4" s="502"/>
      <c r="G4" s="503" t="s">
        <v>830</v>
      </c>
      <c r="H4" s="501"/>
      <c r="I4" s="501"/>
      <c r="J4" s="288" t="s">
        <v>571</v>
      </c>
      <c r="K4" s="286">
        <f>C30</f>
        <v>15.5</v>
      </c>
    </row>
    <row r="5" spans="1:11" ht="8.4" customHeight="1" x14ac:dyDescent="0.35">
      <c r="A5" s="500"/>
      <c r="B5" s="500"/>
      <c r="C5" s="500"/>
      <c r="D5" s="500"/>
      <c r="E5" s="500"/>
      <c r="F5" s="500"/>
      <c r="G5" s="500"/>
      <c r="H5" s="500"/>
      <c r="I5" s="500"/>
      <c r="J5" s="500"/>
      <c r="K5" s="500"/>
    </row>
    <row r="6" spans="1:11" ht="36" x14ac:dyDescent="0.25">
      <c r="A6" s="287" t="s">
        <v>828</v>
      </c>
      <c r="B6" s="287" t="s">
        <v>826</v>
      </c>
      <c r="C6" s="287" t="s">
        <v>827</v>
      </c>
      <c r="D6" s="287" t="s">
        <v>829</v>
      </c>
      <c r="E6" s="504"/>
      <c r="F6" s="287" t="s">
        <v>828</v>
      </c>
      <c r="G6" s="287" t="s">
        <v>826</v>
      </c>
      <c r="H6" s="287" t="s">
        <v>827</v>
      </c>
      <c r="I6" s="287" t="s">
        <v>829</v>
      </c>
      <c r="J6" s="504"/>
      <c r="K6" s="504"/>
    </row>
    <row r="7" spans="1:11" x14ac:dyDescent="0.25">
      <c r="A7" s="290" t="s">
        <v>503</v>
      </c>
      <c r="B7" s="291">
        <v>1.8</v>
      </c>
      <c r="C7" s="291">
        <v>1.2</v>
      </c>
      <c r="D7" s="294">
        <f>B7*C7</f>
        <v>2.16</v>
      </c>
      <c r="E7" s="504"/>
      <c r="F7" s="290" t="s">
        <v>444</v>
      </c>
      <c r="G7" s="291">
        <v>1.8</v>
      </c>
      <c r="H7" s="291">
        <v>1.1499999999999999</v>
      </c>
      <c r="I7" s="294">
        <f>G7*H7</f>
        <v>2.0699999999999998</v>
      </c>
      <c r="J7" s="504"/>
      <c r="K7" s="504"/>
    </row>
    <row r="8" spans="1:11" x14ac:dyDescent="0.25">
      <c r="A8" s="292" t="s">
        <v>504</v>
      </c>
      <c r="B8" s="293">
        <v>1.8</v>
      </c>
      <c r="C8" s="293">
        <v>1.8</v>
      </c>
      <c r="D8" s="295">
        <f t="shared" ref="D8:D14" si="0">B8*C8</f>
        <v>3.24</v>
      </c>
      <c r="E8" s="504"/>
      <c r="F8" s="292" t="s">
        <v>425</v>
      </c>
      <c r="G8" s="293">
        <v>1.8</v>
      </c>
      <c r="H8" s="293">
        <v>2.06</v>
      </c>
      <c r="I8" s="295">
        <f t="shared" ref="I8:I14" si="1">G8*H8</f>
        <v>3.7080000000000002</v>
      </c>
      <c r="J8" s="504"/>
      <c r="K8" s="504"/>
    </row>
    <row r="9" spans="1:11" x14ac:dyDescent="0.25">
      <c r="A9" s="290" t="s">
        <v>488</v>
      </c>
      <c r="B9" s="291">
        <v>1.8</v>
      </c>
      <c r="C9" s="291">
        <v>1.85</v>
      </c>
      <c r="D9" s="294">
        <f t="shared" si="0"/>
        <v>3.33</v>
      </c>
      <c r="E9" s="504"/>
      <c r="F9" s="290" t="s">
        <v>426</v>
      </c>
      <c r="G9" s="291">
        <v>1.8</v>
      </c>
      <c r="H9" s="291">
        <v>1.23</v>
      </c>
      <c r="I9" s="294">
        <f t="shared" si="1"/>
        <v>2.214</v>
      </c>
      <c r="J9" s="504"/>
      <c r="K9" s="504"/>
    </row>
    <row r="10" spans="1:11" x14ac:dyDescent="0.25">
      <c r="A10" s="292" t="s">
        <v>489</v>
      </c>
      <c r="B10" s="293">
        <v>1.8</v>
      </c>
      <c r="C10" s="293">
        <v>1.23</v>
      </c>
      <c r="D10" s="295">
        <f t="shared" si="0"/>
        <v>2.214</v>
      </c>
      <c r="E10" s="504"/>
      <c r="F10" s="292" t="s">
        <v>427</v>
      </c>
      <c r="G10" s="293">
        <v>1.8</v>
      </c>
      <c r="H10" s="293">
        <f>1.83+1.8</f>
        <v>3.63</v>
      </c>
      <c r="I10" s="295">
        <f t="shared" si="1"/>
        <v>6.5339999999999998</v>
      </c>
      <c r="J10" s="504"/>
      <c r="K10" s="504"/>
    </row>
    <row r="11" spans="1:11" x14ac:dyDescent="0.25">
      <c r="A11" s="290" t="s">
        <v>490</v>
      </c>
      <c r="B11" s="291">
        <v>1.8</v>
      </c>
      <c r="C11" s="291">
        <v>1.41</v>
      </c>
      <c r="D11" s="294">
        <f t="shared" si="0"/>
        <v>2.5379999999999998</v>
      </c>
      <c r="E11" s="504"/>
      <c r="F11" s="290" t="s">
        <v>428</v>
      </c>
      <c r="G11" s="291">
        <v>1.8</v>
      </c>
      <c r="H11" s="291">
        <v>1.41</v>
      </c>
      <c r="I11" s="294">
        <f t="shared" si="1"/>
        <v>2.5379999999999998</v>
      </c>
      <c r="J11" s="504"/>
      <c r="K11" s="504"/>
    </row>
    <row r="12" spans="1:11" x14ac:dyDescent="0.25">
      <c r="A12" s="292" t="s">
        <v>491</v>
      </c>
      <c r="B12" s="293">
        <v>1.8</v>
      </c>
      <c r="C12" s="293">
        <f>2.86+1.812</f>
        <v>4.6719999999999997</v>
      </c>
      <c r="D12" s="295">
        <f t="shared" si="0"/>
        <v>8.4095999999999993</v>
      </c>
      <c r="E12" s="504"/>
      <c r="F12" s="292" t="s">
        <v>429</v>
      </c>
      <c r="G12" s="293">
        <v>1.8</v>
      </c>
      <c r="H12" s="293">
        <v>2.72</v>
      </c>
      <c r="I12" s="295">
        <f t="shared" si="1"/>
        <v>4.8960000000000008</v>
      </c>
      <c r="J12" s="504"/>
      <c r="K12" s="504"/>
    </row>
    <row r="13" spans="1:11" x14ac:dyDescent="0.25">
      <c r="A13" s="290" t="s">
        <v>495</v>
      </c>
      <c r="B13" s="291">
        <v>4</v>
      </c>
      <c r="C13" s="291">
        <f>D13/B13</f>
        <v>5.6749999999999998</v>
      </c>
      <c r="D13" s="294">
        <v>22.7</v>
      </c>
      <c r="E13" s="504"/>
      <c r="F13" s="290" t="s">
        <v>430</v>
      </c>
      <c r="G13" s="291">
        <v>1.8</v>
      </c>
      <c r="H13" s="291">
        <v>1.41</v>
      </c>
      <c r="I13" s="294">
        <f t="shared" si="1"/>
        <v>2.5379999999999998</v>
      </c>
      <c r="J13" s="504"/>
      <c r="K13" s="504"/>
    </row>
    <row r="14" spans="1:11" x14ac:dyDescent="0.25">
      <c r="A14" s="292" t="s">
        <v>496</v>
      </c>
      <c r="B14" s="293">
        <v>1.8</v>
      </c>
      <c r="C14" s="293">
        <v>1</v>
      </c>
      <c r="D14" s="295">
        <f t="shared" si="0"/>
        <v>1.8</v>
      </c>
      <c r="E14" s="504"/>
      <c r="F14" s="292" t="s">
        <v>431</v>
      </c>
      <c r="G14" s="293">
        <v>1.8</v>
      </c>
      <c r="H14" s="293">
        <v>1.4</v>
      </c>
      <c r="I14" s="295">
        <f t="shared" si="1"/>
        <v>2.52</v>
      </c>
      <c r="J14" s="504"/>
      <c r="K14" s="504"/>
    </row>
    <row r="15" spans="1:11" x14ac:dyDescent="0.25">
      <c r="A15" s="290" t="s">
        <v>531</v>
      </c>
      <c r="B15" s="291">
        <v>4</v>
      </c>
      <c r="C15" s="291">
        <f>D15/B15</f>
        <v>6.625</v>
      </c>
      <c r="D15" s="294">
        <v>26.5</v>
      </c>
      <c r="E15" s="504"/>
      <c r="F15" s="190"/>
      <c r="G15" s="190"/>
      <c r="H15" s="285" t="s">
        <v>622</v>
      </c>
      <c r="I15" s="289">
        <f>SUM(I7:I14)</f>
        <v>27.018000000000001</v>
      </c>
      <c r="J15" s="504"/>
      <c r="K15" s="504"/>
    </row>
    <row r="16" spans="1:11" x14ac:dyDescent="0.25">
      <c r="A16" s="190"/>
      <c r="B16" s="190"/>
      <c r="C16" s="285" t="s">
        <v>622</v>
      </c>
      <c r="D16" s="289">
        <f>SUM(D7:D15)</f>
        <v>72.891599999999997</v>
      </c>
      <c r="E16" s="504"/>
      <c r="F16" s="504"/>
      <c r="G16" s="504"/>
      <c r="H16" s="504"/>
      <c r="I16" s="504"/>
      <c r="J16" s="504"/>
      <c r="K16" s="504"/>
    </row>
    <row r="17" spans="1:11" ht="9" customHeight="1" x14ac:dyDescent="0.25">
      <c r="A17" s="526"/>
      <c r="B17" s="526"/>
      <c r="C17" s="526"/>
      <c r="D17" s="526"/>
      <c r="E17" s="504"/>
      <c r="F17" s="504"/>
      <c r="G17" s="504"/>
      <c r="H17" s="504"/>
      <c r="I17" s="504"/>
      <c r="J17" s="504"/>
      <c r="K17" s="504"/>
    </row>
    <row r="18" spans="1:11" ht="36" x14ac:dyDescent="0.25">
      <c r="A18" s="287" t="s">
        <v>828</v>
      </c>
      <c r="B18" s="287" t="s">
        <v>826</v>
      </c>
      <c r="C18" s="287" t="s">
        <v>827</v>
      </c>
      <c r="D18" s="287" t="s">
        <v>829</v>
      </c>
      <c r="E18" s="504"/>
      <c r="F18" s="504"/>
      <c r="G18" s="504"/>
      <c r="H18" s="504"/>
      <c r="I18" s="504"/>
      <c r="J18" s="504"/>
      <c r="K18" s="504"/>
    </row>
    <row r="19" spans="1:11" x14ac:dyDescent="0.25">
      <c r="A19" s="290" t="s">
        <v>361</v>
      </c>
      <c r="B19" s="291">
        <v>1.8</v>
      </c>
      <c r="C19" s="291">
        <v>2.06</v>
      </c>
      <c r="D19" s="294">
        <f>B19*C19</f>
        <v>3.7080000000000002</v>
      </c>
      <c r="E19" s="504"/>
      <c r="F19" s="504"/>
      <c r="G19" s="504"/>
      <c r="H19" s="504"/>
      <c r="I19" s="504"/>
      <c r="J19" s="504"/>
      <c r="K19" s="504"/>
    </row>
    <row r="20" spans="1:11" x14ac:dyDescent="0.25">
      <c r="A20" s="292" t="s">
        <v>362</v>
      </c>
      <c r="B20" s="293">
        <v>1.8</v>
      </c>
      <c r="C20" s="293">
        <f>1.23+1.36</f>
        <v>2.59</v>
      </c>
      <c r="D20" s="295">
        <f t="shared" ref="D20:D26" si="2">B20*C20</f>
        <v>4.6619999999999999</v>
      </c>
      <c r="E20" s="504"/>
      <c r="F20" s="504"/>
      <c r="G20" s="504"/>
      <c r="H20" s="504"/>
      <c r="I20" s="504"/>
      <c r="J20" s="504"/>
      <c r="K20" s="504"/>
    </row>
    <row r="21" spans="1:11" x14ac:dyDescent="0.25">
      <c r="A21" s="290" t="s">
        <v>364</v>
      </c>
      <c r="B21" s="291">
        <v>1.8</v>
      </c>
      <c r="C21" s="291">
        <v>1.43</v>
      </c>
      <c r="D21" s="294">
        <f t="shared" si="2"/>
        <v>2.5739999999999998</v>
      </c>
      <c r="E21" s="504"/>
      <c r="F21" s="504"/>
      <c r="G21" s="504"/>
      <c r="H21" s="504"/>
      <c r="I21" s="504"/>
      <c r="J21" s="504"/>
      <c r="K21" s="504"/>
    </row>
    <row r="22" spans="1:11" x14ac:dyDescent="0.25">
      <c r="A22" s="292" t="s">
        <v>365</v>
      </c>
      <c r="B22" s="293">
        <v>1.8</v>
      </c>
      <c r="C22" s="293">
        <v>1.41</v>
      </c>
      <c r="D22" s="295">
        <f t="shared" si="2"/>
        <v>2.5379999999999998</v>
      </c>
      <c r="E22" s="504"/>
      <c r="F22" s="504"/>
      <c r="G22" s="504"/>
      <c r="H22" s="504"/>
      <c r="I22" s="504"/>
      <c r="J22" s="504"/>
      <c r="K22" s="504"/>
    </row>
    <row r="23" spans="1:11" x14ac:dyDescent="0.25">
      <c r="A23" s="290" t="s">
        <v>366</v>
      </c>
      <c r="B23" s="291">
        <v>1.8</v>
      </c>
      <c r="C23" s="291">
        <v>2.72</v>
      </c>
      <c r="D23" s="294">
        <f t="shared" si="2"/>
        <v>4.8960000000000008</v>
      </c>
      <c r="E23" s="504"/>
      <c r="F23" s="504"/>
      <c r="G23" s="504"/>
      <c r="H23" s="504"/>
      <c r="I23" s="504"/>
      <c r="J23" s="504"/>
      <c r="K23" s="504"/>
    </row>
    <row r="24" spans="1:11" x14ac:dyDescent="0.25">
      <c r="A24" s="292" t="s">
        <v>367</v>
      </c>
      <c r="B24" s="293">
        <v>1.8</v>
      </c>
      <c r="C24" s="293">
        <v>1.41</v>
      </c>
      <c r="D24" s="295">
        <f t="shared" si="2"/>
        <v>2.5379999999999998</v>
      </c>
      <c r="E24" s="504"/>
      <c r="F24" s="504"/>
      <c r="G24" s="504"/>
      <c r="H24" s="504"/>
      <c r="I24" s="504"/>
      <c r="J24" s="504"/>
      <c r="K24" s="504"/>
    </row>
    <row r="25" spans="1:11" x14ac:dyDescent="0.25">
      <c r="A25" s="290" t="s">
        <v>368</v>
      </c>
      <c r="B25" s="291">
        <v>1.8</v>
      </c>
      <c r="C25" s="291">
        <v>1.2</v>
      </c>
      <c r="D25" s="294">
        <f t="shared" si="2"/>
        <v>2.16</v>
      </c>
      <c r="E25" s="504"/>
      <c r="F25" s="504"/>
      <c r="G25" s="504"/>
      <c r="H25" s="504"/>
      <c r="I25" s="504"/>
      <c r="J25" s="504"/>
      <c r="K25" s="504"/>
    </row>
    <row r="26" spans="1:11" x14ac:dyDescent="0.25">
      <c r="A26" s="292" t="s">
        <v>385</v>
      </c>
      <c r="B26" s="293">
        <v>1.8</v>
      </c>
      <c r="C26" s="293">
        <f>1.87+1.8</f>
        <v>3.67</v>
      </c>
      <c r="D26" s="295">
        <f t="shared" si="2"/>
        <v>6.6059999999999999</v>
      </c>
      <c r="E26" s="504"/>
      <c r="F26" s="504"/>
      <c r="G26" s="504"/>
      <c r="H26" s="504"/>
      <c r="I26" s="504"/>
      <c r="J26" s="504"/>
      <c r="K26" s="504"/>
    </row>
    <row r="27" spans="1:11" x14ac:dyDescent="0.25">
      <c r="A27" s="190"/>
      <c r="B27" s="190"/>
      <c r="C27" s="285" t="s">
        <v>622</v>
      </c>
      <c r="D27" s="289">
        <f>SUM(D19:D26)</f>
        <v>29.682000000000002</v>
      </c>
      <c r="E27" s="504"/>
      <c r="F27" s="504"/>
      <c r="G27" s="504"/>
      <c r="H27" s="504"/>
      <c r="I27" s="504"/>
      <c r="J27" s="504"/>
      <c r="K27" s="504"/>
    </row>
    <row r="28" spans="1:11" ht="10.199999999999999" customHeight="1" x14ac:dyDescent="0.25">
      <c r="E28" s="504"/>
      <c r="F28" s="504"/>
      <c r="G28" s="504"/>
      <c r="H28" s="504"/>
      <c r="I28" s="504"/>
      <c r="J28" s="504"/>
      <c r="K28" s="504"/>
    </row>
    <row r="29" spans="1:11" ht="46.8" x14ac:dyDescent="0.25">
      <c r="A29" s="297" t="s">
        <v>828</v>
      </c>
      <c r="B29" s="297" t="s">
        <v>591</v>
      </c>
      <c r="C29" s="297" t="s">
        <v>829</v>
      </c>
      <c r="D29" s="505"/>
      <c r="E29" s="506"/>
      <c r="F29" s="506"/>
      <c r="G29" s="506"/>
      <c r="H29" s="506"/>
      <c r="I29" s="506"/>
      <c r="J29" s="506"/>
      <c r="K29" s="506"/>
    </row>
    <row r="30" spans="1:11" x14ac:dyDescent="0.25">
      <c r="A30" s="290" t="s">
        <v>373</v>
      </c>
      <c r="B30" s="291" t="s">
        <v>603</v>
      </c>
      <c r="C30" s="291">
        <v>15.5</v>
      </c>
      <c r="D30" s="505"/>
      <c r="E30" s="506"/>
      <c r="F30" s="506"/>
      <c r="G30" s="506"/>
      <c r="H30" s="506"/>
      <c r="I30" s="506"/>
      <c r="J30" s="506"/>
      <c r="K30" s="506"/>
    </row>
  </sheetData>
  <mergeCells count="13">
    <mergeCell ref="E6:E28"/>
    <mergeCell ref="A17:D17"/>
    <mergeCell ref="D29:K30"/>
    <mergeCell ref="J6:K28"/>
    <mergeCell ref="F16:I28"/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sqref="A1:F1"/>
    </sheetView>
  </sheetViews>
  <sheetFormatPr defaultRowHeight="18" x14ac:dyDescent="0.25"/>
  <cols>
    <col min="1" max="1" width="8.6640625" style="275" customWidth="1"/>
    <col min="2" max="2" width="45.77734375" style="275" customWidth="1"/>
    <col min="3" max="3" width="7.5546875" style="275" customWidth="1"/>
    <col min="4" max="4" width="8.33203125" style="275" customWidth="1"/>
    <col min="5" max="5" width="11.6640625" style="275" customWidth="1"/>
    <col min="6" max="6" width="8.109375" style="275" bestFit="1" customWidth="1"/>
    <col min="7" max="16384" width="8.88671875" style="275"/>
  </cols>
  <sheetData>
    <row r="1" spans="1:6" x14ac:dyDescent="0.25">
      <c r="A1" s="501" t="s">
        <v>579</v>
      </c>
      <c r="B1" s="501"/>
      <c r="C1" s="501"/>
      <c r="D1" s="501"/>
      <c r="E1" s="501"/>
      <c r="F1" s="501"/>
    </row>
    <row r="2" spans="1:6" ht="36" customHeight="1" x14ac:dyDescent="0.25">
      <c r="A2" s="173" t="s">
        <v>580</v>
      </c>
      <c r="B2" s="177" t="s">
        <v>581</v>
      </c>
      <c r="C2" s="443" t="s">
        <v>582</v>
      </c>
      <c r="D2" s="445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527" t="s">
        <v>624</v>
      </c>
      <c r="D3" s="528"/>
      <c r="E3" s="188" t="s">
        <v>571</v>
      </c>
      <c r="F3" s="179">
        <f>F17</f>
        <v>438.23200000000003</v>
      </c>
    </row>
    <row r="4" spans="1:6" x14ac:dyDescent="0.25">
      <c r="A4" s="530"/>
      <c r="B4" s="530"/>
      <c r="C4" s="530"/>
      <c r="D4" s="530"/>
      <c r="E4" s="530"/>
      <c r="F4" s="530"/>
    </row>
    <row r="5" spans="1:6" x14ac:dyDescent="0.35">
      <c r="A5" s="506"/>
      <c r="B5" s="529"/>
      <c r="C5" s="276" t="s">
        <v>580</v>
      </c>
      <c r="D5" s="277" t="s">
        <v>814</v>
      </c>
      <c r="E5" s="278" t="s">
        <v>583</v>
      </c>
      <c r="F5" s="279" t="s">
        <v>584</v>
      </c>
    </row>
    <row r="6" spans="1:6" x14ac:dyDescent="0.35">
      <c r="A6" s="506"/>
      <c r="B6" s="529"/>
      <c r="C6" s="277">
        <v>1</v>
      </c>
      <c r="D6" s="280" t="s">
        <v>496</v>
      </c>
      <c r="E6" s="281" t="s">
        <v>571</v>
      </c>
      <c r="F6" s="282">
        <v>56</v>
      </c>
    </row>
    <row r="7" spans="1:6" x14ac:dyDescent="0.35">
      <c r="A7" s="506"/>
      <c r="B7" s="529"/>
      <c r="C7" s="277">
        <v>2</v>
      </c>
      <c r="D7" s="280" t="s">
        <v>497</v>
      </c>
      <c r="E7" s="281" t="s">
        <v>571</v>
      </c>
      <c r="F7" s="282">
        <v>53.6</v>
      </c>
    </row>
    <row r="8" spans="1:6" x14ac:dyDescent="0.35">
      <c r="A8" s="506"/>
      <c r="B8" s="529"/>
      <c r="C8" s="277">
        <v>3</v>
      </c>
      <c r="D8" s="280" t="s">
        <v>499</v>
      </c>
      <c r="E8" s="281" t="s">
        <v>571</v>
      </c>
      <c r="F8" s="282">
        <v>39</v>
      </c>
    </row>
    <row r="9" spans="1:6" x14ac:dyDescent="0.35">
      <c r="A9" s="506"/>
      <c r="B9" s="529"/>
      <c r="C9" s="277">
        <v>4</v>
      </c>
      <c r="D9" s="280" t="s">
        <v>501</v>
      </c>
      <c r="E9" s="281" t="s">
        <v>571</v>
      </c>
      <c r="F9" s="282">
        <v>42</v>
      </c>
    </row>
    <row r="10" spans="1:6" x14ac:dyDescent="0.35">
      <c r="A10" s="506"/>
      <c r="B10" s="529"/>
      <c r="C10" s="277">
        <v>5</v>
      </c>
      <c r="D10" s="280" t="s">
        <v>516</v>
      </c>
      <c r="E10" s="281" t="s">
        <v>571</v>
      </c>
      <c r="F10" s="282">
        <f>2.24*1.8</f>
        <v>4.0320000000000009</v>
      </c>
    </row>
    <row r="11" spans="1:6" x14ac:dyDescent="0.35">
      <c r="A11" s="506"/>
      <c r="B11" s="529"/>
      <c r="C11" s="277">
        <v>6</v>
      </c>
      <c r="D11" s="280" t="s">
        <v>553</v>
      </c>
      <c r="E11" s="281" t="s">
        <v>571</v>
      </c>
      <c r="F11" s="282">
        <v>37</v>
      </c>
    </row>
    <row r="12" spans="1:6" x14ac:dyDescent="0.35">
      <c r="A12" s="506"/>
      <c r="B12" s="529"/>
      <c r="C12" s="277">
        <v>7</v>
      </c>
      <c r="D12" s="280" t="s">
        <v>433</v>
      </c>
      <c r="E12" s="281" t="s">
        <v>571</v>
      </c>
      <c r="F12" s="282">
        <v>29.5</v>
      </c>
    </row>
    <row r="13" spans="1:6" x14ac:dyDescent="0.35">
      <c r="A13" s="506"/>
      <c r="B13" s="529"/>
      <c r="C13" s="277">
        <v>8</v>
      </c>
      <c r="D13" s="280" t="s">
        <v>446</v>
      </c>
      <c r="E13" s="281" t="s">
        <v>571</v>
      </c>
      <c r="F13" s="282">
        <v>47.3</v>
      </c>
    </row>
    <row r="14" spans="1:6" x14ac:dyDescent="0.35">
      <c r="A14" s="506"/>
      <c r="B14" s="529"/>
      <c r="C14" s="277">
        <v>9</v>
      </c>
      <c r="D14" s="280" t="s">
        <v>474</v>
      </c>
      <c r="E14" s="281" t="s">
        <v>571</v>
      </c>
      <c r="F14" s="282">
        <v>33</v>
      </c>
    </row>
    <row r="15" spans="1:6" x14ac:dyDescent="0.35">
      <c r="A15" s="506"/>
      <c r="B15" s="529"/>
      <c r="C15" s="277">
        <v>10</v>
      </c>
      <c r="D15" s="280" t="s">
        <v>374</v>
      </c>
      <c r="E15" s="281" t="s">
        <v>571</v>
      </c>
      <c r="F15" s="282">
        <v>58</v>
      </c>
    </row>
    <row r="16" spans="1:6" x14ac:dyDescent="0.35">
      <c r="A16" s="506"/>
      <c r="B16" s="529"/>
      <c r="C16" s="277">
        <v>11</v>
      </c>
      <c r="D16" s="280" t="s">
        <v>390</v>
      </c>
      <c r="E16" s="281" t="s">
        <v>571</v>
      </c>
      <c r="F16" s="282">
        <v>38.799999999999997</v>
      </c>
    </row>
    <row r="17" spans="1:6" x14ac:dyDescent="0.35">
      <c r="A17" s="506"/>
      <c r="B17" s="529"/>
      <c r="C17" s="277"/>
      <c r="D17" s="277" t="s">
        <v>622</v>
      </c>
      <c r="E17" s="281" t="s">
        <v>571</v>
      </c>
      <c r="F17" s="282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531" t="s">
        <v>586</v>
      </c>
      <c r="B1" s="532"/>
      <c r="C1" s="532"/>
      <c r="D1" s="533"/>
    </row>
    <row r="2" spans="1:4" ht="18.600000000000001" thickBot="1" x14ac:dyDescent="0.3">
      <c r="A2" s="531" t="s">
        <v>650</v>
      </c>
      <c r="B2" s="532"/>
      <c r="C2" s="532"/>
      <c r="D2" s="533"/>
    </row>
    <row r="3" spans="1:4" ht="39.6" customHeight="1" x14ac:dyDescent="0.25">
      <c r="A3" s="531" t="s">
        <v>700</v>
      </c>
      <c r="B3" s="532"/>
      <c r="C3" s="532"/>
      <c r="D3" s="533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426" t="s">
        <v>586</v>
      </c>
      <c r="B1" s="426"/>
      <c r="C1" s="426"/>
      <c r="D1" s="426"/>
    </row>
    <row r="2" spans="1:4" ht="18" x14ac:dyDescent="0.25">
      <c r="A2" s="426" t="s">
        <v>650</v>
      </c>
      <c r="B2" s="426"/>
      <c r="C2" s="426"/>
      <c r="D2" s="426"/>
    </row>
    <row r="3" spans="1:4" ht="37.799999999999997" customHeight="1" x14ac:dyDescent="0.25">
      <c r="A3" s="426" t="s">
        <v>701</v>
      </c>
      <c r="B3" s="426"/>
      <c r="C3" s="426"/>
      <c r="D3" s="426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426" t="s">
        <v>586</v>
      </c>
      <c r="B1" s="426"/>
      <c r="C1" s="426"/>
      <c r="D1" s="426"/>
    </row>
    <row r="2" spans="1:4" ht="18" x14ac:dyDescent="0.25">
      <c r="A2" s="426" t="s">
        <v>650</v>
      </c>
      <c r="B2" s="426"/>
      <c r="C2" s="426"/>
      <c r="D2" s="426"/>
    </row>
    <row r="3" spans="1:4" ht="18" x14ac:dyDescent="0.25">
      <c r="A3" s="426" t="s">
        <v>702</v>
      </c>
      <c r="B3" s="426"/>
      <c r="C3" s="426"/>
      <c r="D3" s="426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26" t="s">
        <v>586</v>
      </c>
      <c r="B1" s="426"/>
      <c r="C1" s="426"/>
      <c r="D1" s="426"/>
    </row>
    <row r="2" spans="1:4" ht="18" customHeight="1" x14ac:dyDescent="0.25">
      <c r="A2" s="534" t="s">
        <v>654</v>
      </c>
      <c r="B2" s="535"/>
      <c r="C2" s="535"/>
      <c r="D2" s="536"/>
    </row>
    <row r="3" spans="1:4" ht="50.4" customHeight="1" x14ac:dyDescent="0.25">
      <c r="A3" s="426" t="s">
        <v>653</v>
      </c>
      <c r="B3" s="426"/>
      <c r="C3" s="426"/>
      <c r="D3" s="426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26" t="s">
        <v>586</v>
      </c>
      <c r="B1" s="426"/>
      <c r="C1" s="426"/>
      <c r="D1" s="426"/>
    </row>
    <row r="2" spans="1:4" ht="18" customHeight="1" x14ac:dyDescent="0.25">
      <c r="A2" s="534" t="s">
        <v>654</v>
      </c>
      <c r="B2" s="535"/>
      <c r="C2" s="535"/>
      <c r="D2" s="536"/>
    </row>
    <row r="3" spans="1:4" ht="24" customHeight="1" x14ac:dyDescent="0.25">
      <c r="A3" s="426" t="s">
        <v>699</v>
      </c>
      <c r="B3" s="426"/>
      <c r="C3" s="426"/>
      <c r="D3" s="426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426" t="s">
        <v>586</v>
      </c>
      <c r="B1" s="426"/>
      <c r="C1" s="426"/>
      <c r="D1" s="426"/>
    </row>
    <row r="2" spans="1:4" ht="18" customHeight="1" x14ac:dyDescent="0.25">
      <c r="A2" s="534" t="s">
        <v>692</v>
      </c>
      <c r="B2" s="535"/>
      <c r="C2" s="535"/>
      <c r="D2" s="536"/>
    </row>
    <row r="3" spans="1:4" ht="34.799999999999997" customHeight="1" x14ac:dyDescent="0.25">
      <c r="A3" s="426" t="s">
        <v>653</v>
      </c>
      <c r="B3" s="426"/>
      <c r="C3" s="426"/>
      <c r="D3" s="426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  <c r="I1" s="426"/>
      <c r="J1" s="426"/>
      <c r="K1" s="254"/>
    </row>
    <row r="2" spans="1:11" ht="18" customHeight="1" x14ac:dyDescent="0.25">
      <c r="A2" s="232" t="s">
        <v>580</v>
      </c>
      <c r="B2" s="426" t="s">
        <v>789</v>
      </c>
      <c r="C2" s="426"/>
      <c r="D2" s="426"/>
      <c r="E2" s="426"/>
      <c r="F2" s="426"/>
      <c r="G2" s="426"/>
      <c r="H2" s="426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540" t="s">
        <v>786</v>
      </c>
      <c r="C3" s="540"/>
      <c r="D3" s="540"/>
      <c r="E3" s="540"/>
      <c r="F3" s="540"/>
      <c r="G3" s="540"/>
      <c r="H3" s="540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541" t="s">
        <v>787</v>
      </c>
      <c r="C4" s="541"/>
      <c r="D4" s="541"/>
      <c r="E4" s="541"/>
      <c r="F4" s="541"/>
      <c r="G4" s="541"/>
      <c r="H4" s="541"/>
      <c r="I4" s="253" t="s">
        <v>788</v>
      </c>
      <c r="J4" s="253">
        <v>30.25</v>
      </c>
      <c r="K4" s="252"/>
    </row>
    <row r="5" spans="1:11" ht="8.4" customHeight="1" x14ac:dyDescent="0.25">
      <c r="A5" s="539"/>
      <c r="B5" s="539"/>
      <c r="C5" s="539"/>
      <c r="D5" s="539"/>
      <c r="E5" s="539"/>
      <c r="F5" s="539"/>
      <c r="G5" s="539"/>
      <c r="H5" s="539"/>
      <c r="I5" s="539"/>
      <c r="J5" s="539"/>
      <c r="K5" s="539"/>
    </row>
    <row r="6" spans="1:11" x14ac:dyDescent="0.25">
      <c r="A6" s="226" t="s">
        <v>580</v>
      </c>
      <c r="B6" s="227" t="s">
        <v>693</v>
      </c>
      <c r="C6" s="228" t="s">
        <v>588</v>
      </c>
      <c r="D6" s="537"/>
      <c r="E6" s="249" t="s">
        <v>580</v>
      </c>
      <c r="F6" s="250" t="s">
        <v>693</v>
      </c>
      <c r="G6" s="251" t="s">
        <v>588</v>
      </c>
      <c r="H6" s="538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538"/>
      <c r="E7" s="243">
        <v>29</v>
      </c>
      <c r="F7" s="234" t="s">
        <v>729</v>
      </c>
      <c r="G7" s="244">
        <v>48</v>
      </c>
      <c r="H7" s="538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538"/>
      <c r="E8" s="245">
        <v>30</v>
      </c>
      <c r="F8" s="235" t="s">
        <v>730</v>
      </c>
      <c r="G8" s="246">
        <v>110.2</v>
      </c>
      <c r="H8" s="538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538"/>
      <c r="E9" s="243">
        <v>31</v>
      </c>
      <c r="F9" s="234" t="s">
        <v>731</v>
      </c>
      <c r="G9" s="244">
        <v>76</v>
      </c>
      <c r="H9" s="538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538"/>
      <c r="E10" s="245">
        <v>32</v>
      </c>
      <c r="F10" s="235" t="s">
        <v>732</v>
      </c>
      <c r="G10" s="246">
        <v>108.3</v>
      </c>
      <c r="H10" s="538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538"/>
      <c r="E11" s="243">
        <v>33</v>
      </c>
      <c r="F11" s="234" t="s">
        <v>733</v>
      </c>
      <c r="G11" s="244">
        <v>43.9</v>
      </c>
      <c r="H11" s="538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538"/>
      <c r="E12" s="245">
        <v>34</v>
      </c>
      <c r="F12" s="235" t="s">
        <v>734</v>
      </c>
      <c r="G12" s="246">
        <v>127.2</v>
      </c>
      <c r="H12" s="538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538"/>
      <c r="E13" s="243">
        <v>35</v>
      </c>
      <c r="F13" s="234" t="s">
        <v>735</v>
      </c>
      <c r="G13" s="244">
        <v>92.5</v>
      </c>
      <c r="H13" s="538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538"/>
      <c r="E14" s="245">
        <v>36</v>
      </c>
      <c r="F14" s="237" t="s">
        <v>736</v>
      </c>
      <c r="G14" s="238">
        <v>287.7</v>
      </c>
      <c r="H14" s="538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538"/>
      <c r="E15" s="243">
        <v>37</v>
      </c>
      <c r="F15" s="236" t="s">
        <v>737</v>
      </c>
      <c r="G15" s="239">
        <v>80.3</v>
      </c>
      <c r="H15" s="538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538"/>
      <c r="E16" s="245">
        <v>38</v>
      </c>
      <c r="F16" s="237" t="s">
        <v>738</v>
      </c>
      <c r="G16" s="238">
        <v>266.39999999999998</v>
      </c>
      <c r="H16" s="538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538"/>
      <c r="E17" s="243">
        <v>39</v>
      </c>
      <c r="F17" s="236" t="s">
        <v>739</v>
      </c>
      <c r="G17" s="239">
        <v>106.3</v>
      </c>
      <c r="H17" s="538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538"/>
      <c r="E18" s="245">
        <v>40</v>
      </c>
      <c r="F18" s="237" t="s">
        <v>740</v>
      </c>
      <c r="G18" s="238">
        <v>104.5</v>
      </c>
      <c r="H18" s="538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538"/>
      <c r="E19" s="243">
        <v>41</v>
      </c>
      <c r="F19" s="236" t="s">
        <v>741</v>
      </c>
      <c r="G19" s="239">
        <v>102.3</v>
      </c>
      <c r="H19" s="538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538"/>
      <c r="E20" s="245">
        <v>42</v>
      </c>
      <c r="F20" s="237" t="s">
        <v>742</v>
      </c>
      <c r="G20" s="238">
        <v>105.3</v>
      </c>
      <c r="H20" s="538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538"/>
      <c r="E21" s="243">
        <v>43</v>
      </c>
      <c r="F21" s="236" t="s">
        <v>743</v>
      </c>
      <c r="G21" s="239">
        <v>173.9</v>
      </c>
      <c r="H21" s="538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538"/>
      <c r="E22" s="245">
        <v>44</v>
      </c>
      <c r="F22" s="237" t="s">
        <v>744</v>
      </c>
      <c r="G22" s="238">
        <v>78.7</v>
      </c>
      <c r="H22" s="538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538"/>
      <c r="E23" s="243">
        <v>45</v>
      </c>
      <c r="F23" s="236" t="s">
        <v>745</v>
      </c>
      <c r="G23" s="239">
        <v>73.8</v>
      </c>
      <c r="H23" s="538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538"/>
      <c r="E24" s="245">
        <v>46</v>
      </c>
      <c r="F24" s="237" t="s">
        <v>746</v>
      </c>
      <c r="G24" s="238">
        <v>103.6</v>
      </c>
      <c r="H24" s="538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538"/>
      <c r="E25" s="243">
        <v>47</v>
      </c>
      <c r="F25" s="236" t="s">
        <v>747</v>
      </c>
      <c r="G25" s="239">
        <v>94.6</v>
      </c>
      <c r="H25" s="538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538"/>
      <c r="E26" s="245">
        <v>48</v>
      </c>
      <c r="F26" s="237" t="s">
        <v>748</v>
      </c>
      <c r="G26" s="238">
        <v>15</v>
      </c>
      <c r="H26" s="538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538"/>
      <c r="E27" s="243">
        <v>49</v>
      </c>
      <c r="F27" s="236" t="s">
        <v>749</v>
      </c>
      <c r="G27" s="239">
        <v>10</v>
      </c>
      <c r="H27" s="538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538"/>
      <c r="E28" s="245">
        <v>50</v>
      </c>
      <c r="F28" s="237" t="s">
        <v>750</v>
      </c>
      <c r="G28" s="238">
        <v>10</v>
      </c>
      <c r="H28" s="538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538"/>
      <c r="E29" s="243">
        <v>51</v>
      </c>
      <c r="F29" s="236" t="s">
        <v>751</v>
      </c>
      <c r="G29" s="239">
        <v>170</v>
      </c>
      <c r="H29" s="538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538"/>
      <c r="E30" s="245">
        <v>52</v>
      </c>
      <c r="F30" s="237" t="s">
        <v>752</v>
      </c>
      <c r="G30" s="238">
        <v>90.38</v>
      </c>
      <c r="H30" s="538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538"/>
      <c r="E31" s="243">
        <v>53</v>
      </c>
      <c r="F31" s="236" t="s">
        <v>753</v>
      </c>
      <c r="G31" s="239">
        <v>93.81</v>
      </c>
      <c r="H31" s="538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538"/>
      <c r="E32" s="245">
        <v>54</v>
      </c>
      <c r="F32" s="237" t="s">
        <v>754</v>
      </c>
      <c r="G32" s="238">
        <v>93.37</v>
      </c>
      <c r="H32" s="538"/>
      <c r="I32" s="537"/>
      <c r="J32" s="537"/>
      <c r="K32" s="537"/>
    </row>
    <row r="33" spans="1:11" x14ac:dyDescent="0.25">
      <c r="A33" s="224">
        <v>27</v>
      </c>
      <c r="B33" s="221" t="s">
        <v>727</v>
      </c>
      <c r="C33" s="225">
        <v>82.94</v>
      </c>
      <c r="D33" s="538"/>
      <c r="E33" s="243">
        <v>55</v>
      </c>
      <c r="F33" s="236" t="s">
        <v>755</v>
      </c>
      <c r="G33" s="239">
        <f>82+107.45</f>
        <v>189.45</v>
      </c>
      <c r="H33" s="538"/>
      <c r="I33" s="538"/>
      <c r="J33" s="538"/>
      <c r="K33" s="538"/>
    </row>
    <row r="34" spans="1:11" x14ac:dyDescent="0.25">
      <c r="A34" s="224">
        <v>28</v>
      </c>
      <c r="B34" s="221" t="s">
        <v>728</v>
      </c>
      <c r="C34" s="225">
        <v>71.62</v>
      </c>
      <c r="D34" s="538"/>
      <c r="E34" s="245">
        <v>56</v>
      </c>
      <c r="F34" s="237" t="s">
        <v>756</v>
      </c>
      <c r="G34" s="238">
        <v>130.38</v>
      </c>
      <c r="H34" s="538"/>
      <c r="I34" s="538"/>
      <c r="J34" s="538"/>
      <c r="K34" s="538"/>
    </row>
    <row r="35" spans="1:11" x14ac:dyDescent="0.25">
      <c r="A35" s="205"/>
      <c r="B35" s="212" t="s">
        <v>590</v>
      </c>
      <c r="C35" s="207">
        <f>SUM(C7:C34)</f>
        <v>3113.3399999999997</v>
      </c>
      <c r="D35" s="538"/>
      <c r="E35" s="243">
        <v>57</v>
      </c>
      <c r="F35" s="236" t="s">
        <v>757</v>
      </c>
      <c r="G35" s="239">
        <v>90.9</v>
      </c>
      <c r="H35" s="538"/>
      <c r="I35" s="538"/>
      <c r="J35" s="538"/>
      <c r="K35" s="538"/>
    </row>
    <row r="36" spans="1:11" x14ac:dyDescent="0.25">
      <c r="A36" s="537"/>
      <c r="B36" s="537"/>
      <c r="C36" s="537"/>
      <c r="D36" s="538"/>
      <c r="E36" s="245">
        <v>58</v>
      </c>
      <c r="F36" s="237" t="s">
        <v>758</v>
      </c>
      <c r="G36" s="238">
        <v>86.81</v>
      </c>
      <c r="H36" s="538"/>
      <c r="I36" s="538"/>
      <c r="J36" s="538"/>
      <c r="K36" s="538"/>
    </row>
    <row r="37" spans="1:11" x14ac:dyDescent="0.25">
      <c r="A37" s="538"/>
      <c r="B37" s="538"/>
      <c r="C37" s="538"/>
      <c r="D37" s="538"/>
      <c r="E37" s="243">
        <v>59</v>
      </c>
      <c r="F37" s="236" t="s">
        <v>759</v>
      </c>
      <c r="G37" s="239">
        <v>91.84</v>
      </c>
      <c r="H37" s="538"/>
      <c r="I37" s="538"/>
      <c r="J37" s="538"/>
      <c r="K37" s="538"/>
    </row>
    <row r="38" spans="1:11" x14ac:dyDescent="0.25">
      <c r="A38" s="538"/>
      <c r="B38" s="538"/>
      <c r="C38" s="538"/>
      <c r="D38" s="538"/>
      <c r="E38" s="245">
        <v>60</v>
      </c>
      <c r="F38" s="237" t="s">
        <v>760</v>
      </c>
      <c r="G38" s="238">
        <v>133.22999999999999</v>
      </c>
      <c r="H38" s="538"/>
      <c r="I38" s="538"/>
      <c r="J38" s="538"/>
      <c r="K38" s="538"/>
    </row>
    <row r="39" spans="1:11" x14ac:dyDescent="0.25">
      <c r="A39" s="538"/>
      <c r="B39" s="538"/>
      <c r="C39" s="538"/>
      <c r="D39" s="538"/>
      <c r="E39" s="243">
        <v>61</v>
      </c>
      <c r="F39" s="236" t="s">
        <v>761</v>
      </c>
      <c r="G39" s="239">
        <v>70</v>
      </c>
      <c r="H39" s="538"/>
      <c r="I39" s="538"/>
      <c r="J39" s="538"/>
      <c r="K39" s="538"/>
    </row>
    <row r="40" spans="1:11" x14ac:dyDescent="0.25">
      <c r="A40" s="538"/>
      <c r="B40" s="538"/>
      <c r="C40" s="538"/>
      <c r="D40" s="538"/>
      <c r="E40" s="205"/>
      <c r="F40" s="212" t="s">
        <v>590</v>
      </c>
      <c r="G40" s="207">
        <f>SUM(G7:G39)</f>
        <v>3458.67</v>
      </c>
      <c r="H40" s="538"/>
      <c r="I40" s="538"/>
      <c r="J40" s="538"/>
      <c r="K40" s="538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7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  <c r="I1" s="426"/>
      <c r="J1" s="426"/>
      <c r="K1" s="543"/>
    </row>
    <row r="2" spans="1:11" ht="18" customHeight="1" x14ac:dyDescent="0.25">
      <c r="A2" s="329" t="s">
        <v>580</v>
      </c>
      <c r="B2" s="426" t="s">
        <v>789</v>
      </c>
      <c r="C2" s="426"/>
      <c r="D2" s="426"/>
      <c r="E2" s="426"/>
      <c r="F2" s="426"/>
      <c r="G2" s="426"/>
      <c r="H2" s="426"/>
      <c r="I2" s="255" t="s">
        <v>583</v>
      </c>
      <c r="J2" s="255" t="s">
        <v>584</v>
      </c>
      <c r="K2" s="543"/>
    </row>
    <row r="3" spans="1:11" ht="36" customHeight="1" x14ac:dyDescent="0.25">
      <c r="A3" s="329">
        <v>1</v>
      </c>
      <c r="B3" s="540" t="s">
        <v>907</v>
      </c>
      <c r="C3" s="540"/>
      <c r="D3" s="540"/>
      <c r="E3" s="540"/>
      <c r="F3" s="540"/>
      <c r="G3" s="540"/>
      <c r="H3" s="540"/>
      <c r="I3" s="253" t="s">
        <v>571</v>
      </c>
      <c r="J3" s="256">
        <f>C8+G17+K15</f>
        <v>81.929999999999993</v>
      </c>
      <c r="K3" s="543"/>
    </row>
    <row r="4" spans="1:11" ht="8.4" customHeight="1" x14ac:dyDescent="0.25">
      <c r="A4" s="539"/>
      <c r="B4" s="539"/>
      <c r="C4" s="539"/>
      <c r="D4" s="539"/>
      <c r="E4" s="539"/>
      <c r="F4" s="539"/>
      <c r="G4" s="539"/>
      <c r="H4" s="539"/>
      <c r="I4" s="539"/>
      <c r="J4" s="539"/>
      <c r="K4" s="539"/>
    </row>
    <row r="5" spans="1:11" x14ac:dyDescent="0.25">
      <c r="A5" s="226" t="s">
        <v>580</v>
      </c>
      <c r="B5" s="227" t="s">
        <v>693</v>
      </c>
      <c r="C5" s="228" t="s">
        <v>588</v>
      </c>
      <c r="D5" s="537"/>
      <c r="E5" s="249" t="s">
        <v>580</v>
      </c>
      <c r="F5" s="250" t="s">
        <v>693</v>
      </c>
      <c r="G5" s="251" t="s">
        <v>588</v>
      </c>
      <c r="H5" s="542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487</v>
      </c>
      <c r="C6" s="244">
        <v>7.06</v>
      </c>
      <c r="D6" s="538"/>
      <c r="E6" s="236" t="s">
        <v>824</v>
      </c>
      <c r="F6" s="236" t="s">
        <v>425</v>
      </c>
      <c r="G6" s="239">
        <v>4.22</v>
      </c>
      <c r="H6" s="542"/>
      <c r="I6" s="237" t="s">
        <v>905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488</v>
      </c>
      <c r="C7" s="246">
        <v>5.0999999999999996</v>
      </c>
      <c r="D7" s="538"/>
      <c r="E7" s="237" t="s">
        <v>897</v>
      </c>
      <c r="F7" s="237" t="s">
        <v>426</v>
      </c>
      <c r="G7" s="238">
        <v>5.78</v>
      </c>
      <c r="H7" s="542"/>
      <c r="I7" s="236" t="s">
        <v>853</v>
      </c>
      <c r="J7" s="236" t="s">
        <v>362</v>
      </c>
      <c r="K7" s="239">
        <v>6.62</v>
      </c>
    </row>
    <row r="8" spans="1:11" x14ac:dyDescent="0.25">
      <c r="A8" s="205"/>
      <c r="B8" s="212" t="s">
        <v>590</v>
      </c>
      <c r="C8" s="333">
        <f>SUM(C6:C7)</f>
        <v>12.16</v>
      </c>
      <c r="D8" s="538"/>
      <c r="E8" s="236" t="s">
        <v>898</v>
      </c>
      <c r="F8" s="236" t="s">
        <v>427</v>
      </c>
      <c r="G8" s="239">
        <v>1.56</v>
      </c>
      <c r="H8" s="542"/>
      <c r="I8" s="237" t="s">
        <v>854</v>
      </c>
      <c r="J8" s="237" t="s">
        <v>363</v>
      </c>
      <c r="K8" s="238">
        <v>1.56</v>
      </c>
    </row>
    <row r="9" spans="1:11" x14ac:dyDescent="0.25">
      <c r="A9" s="537"/>
      <c r="B9" s="537"/>
      <c r="C9" s="537"/>
      <c r="D9" s="538"/>
      <c r="E9" s="237" t="s">
        <v>805</v>
      </c>
      <c r="F9" s="237" t="s">
        <v>428</v>
      </c>
      <c r="G9" s="238">
        <v>4.22</v>
      </c>
      <c r="H9" s="542"/>
      <c r="I9" s="236" t="s">
        <v>855</v>
      </c>
      <c r="J9" s="236" t="s">
        <v>364</v>
      </c>
      <c r="K9" s="239">
        <v>3.96</v>
      </c>
    </row>
    <row r="10" spans="1:11" x14ac:dyDescent="0.25">
      <c r="A10" s="538"/>
      <c r="B10" s="538"/>
      <c r="C10" s="538"/>
      <c r="D10" s="538"/>
      <c r="E10" s="236" t="s">
        <v>899</v>
      </c>
      <c r="F10" s="236" t="s">
        <v>429</v>
      </c>
      <c r="G10" s="239">
        <v>3.24</v>
      </c>
      <c r="H10" s="542"/>
      <c r="I10" s="237" t="s">
        <v>856</v>
      </c>
      <c r="J10" s="237" t="s">
        <v>365</v>
      </c>
      <c r="K10" s="238">
        <v>4.22</v>
      </c>
    </row>
    <row r="11" spans="1:11" x14ac:dyDescent="0.25">
      <c r="A11" s="538"/>
      <c r="B11" s="538"/>
      <c r="C11" s="538"/>
      <c r="D11" s="538"/>
      <c r="E11" s="237" t="s">
        <v>900</v>
      </c>
      <c r="F11" s="237" t="s">
        <v>430</v>
      </c>
      <c r="G11" s="238">
        <v>4.22</v>
      </c>
      <c r="H11" s="542"/>
      <c r="I11" s="236" t="s">
        <v>857</v>
      </c>
      <c r="J11" s="236" t="s">
        <v>366</v>
      </c>
      <c r="K11" s="239">
        <v>4.2</v>
      </c>
    </row>
    <row r="12" spans="1:11" x14ac:dyDescent="0.25">
      <c r="A12" s="538"/>
      <c r="B12" s="538"/>
      <c r="C12" s="538"/>
      <c r="D12" s="538"/>
      <c r="E12" s="236" t="s">
        <v>901</v>
      </c>
      <c r="F12" s="236" t="s">
        <v>431</v>
      </c>
      <c r="G12" s="239">
        <v>3.9</v>
      </c>
      <c r="H12" s="542"/>
      <c r="I12" s="237" t="s">
        <v>858</v>
      </c>
      <c r="J12" s="237" t="s">
        <v>367</v>
      </c>
      <c r="K12" s="238">
        <v>4.22</v>
      </c>
    </row>
    <row r="13" spans="1:11" x14ac:dyDescent="0.25">
      <c r="A13" s="538"/>
      <c r="B13" s="538"/>
      <c r="C13" s="538"/>
      <c r="D13" s="538"/>
      <c r="E13" s="237" t="s">
        <v>804</v>
      </c>
      <c r="F13" s="237" t="s">
        <v>435</v>
      </c>
      <c r="G13" s="238">
        <v>1.5</v>
      </c>
      <c r="H13" s="542"/>
      <c r="I13" s="236" t="s">
        <v>859</v>
      </c>
      <c r="J13" s="236" t="s">
        <v>368</v>
      </c>
      <c r="K13" s="239">
        <v>2.78</v>
      </c>
    </row>
    <row r="14" spans="1:11" x14ac:dyDescent="0.25">
      <c r="A14" s="538"/>
      <c r="B14" s="538"/>
      <c r="C14" s="538"/>
      <c r="D14" s="538"/>
      <c r="E14" s="236" t="s">
        <v>902</v>
      </c>
      <c r="F14" s="236" t="s">
        <v>438</v>
      </c>
      <c r="G14" s="239">
        <v>1.42</v>
      </c>
      <c r="H14" s="542"/>
      <c r="I14" s="237" t="s">
        <v>860</v>
      </c>
      <c r="J14" s="237" t="s">
        <v>371</v>
      </c>
      <c r="K14" s="238">
        <v>5.96</v>
      </c>
    </row>
    <row r="15" spans="1:11" x14ac:dyDescent="0.25">
      <c r="A15" s="538"/>
      <c r="B15" s="538"/>
      <c r="C15" s="538"/>
      <c r="D15" s="538"/>
      <c r="E15" s="237" t="s">
        <v>903</v>
      </c>
      <c r="F15" s="237" t="s">
        <v>439</v>
      </c>
      <c r="G15" s="238">
        <v>0.65</v>
      </c>
      <c r="H15" s="542"/>
      <c r="I15" s="243"/>
      <c r="J15" s="212" t="s">
        <v>590</v>
      </c>
      <c r="K15" s="239">
        <f>SUM(K6:K14)</f>
        <v>37.739999999999995</v>
      </c>
    </row>
    <row r="16" spans="1:11" x14ac:dyDescent="0.25">
      <c r="A16" s="538"/>
      <c r="B16" s="538"/>
      <c r="C16" s="538"/>
      <c r="D16" s="538"/>
      <c r="E16" s="236" t="s">
        <v>904</v>
      </c>
      <c r="F16" s="236" t="s">
        <v>444</v>
      </c>
      <c r="G16" s="239">
        <v>1.32</v>
      </c>
      <c r="H16" s="542"/>
      <c r="I16" s="537"/>
      <c r="J16" s="537"/>
      <c r="K16" s="537"/>
    </row>
    <row r="17" spans="1:11" x14ac:dyDescent="0.25">
      <c r="A17" s="538"/>
      <c r="B17" s="538"/>
      <c r="C17" s="538"/>
      <c r="D17" s="538"/>
      <c r="F17" s="212" t="s">
        <v>590</v>
      </c>
      <c r="G17" s="239">
        <f>SUM(G6:G16)</f>
        <v>32.03</v>
      </c>
      <c r="H17" s="542"/>
      <c r="I17" s="538"/>
      <c r="J17" s="538"/>
      <c r="K17" s="538"/>
    </row>
  </sheetData>
  <mergeCells count="9">
    <mergeCell ref="A9:C17"/>
    <mergeCell ref="H5:H17"/>
    <mergeCell ref="D5:D17"/>
    <mergeCell ref="I16:K17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9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  <c r="I1" s="426"/>
      <c r="J1" s="426"/>
      <c r="K1" s="543"/>
    </row>
    <row r="2" spans="1:11" ht="18" customHeight="1" x14ac:dyDescent="0.25">
      <c r="A2" s="329" t="s">
        <v>580</v>
      </c>
      <c r="B2" s="426" t="s">
        <v>789</v>
      </c>
      <c r="C2" s="426"/>
      <c r="D2" s="426"/>
      <c r="E2" s="426"/>
      <c r="F2" s="426"/>
      <c r="G2" s="426"/>
      <c r="H2" s="426"/>
      <c r="I2" s="255" t="s">
        <v>583</v>
      </c>
      <c r="J2" s="255" t="s">
        <v>584</v>
      </c>
      <c r="K2" s="543"/>
    </row>
    <row r="3" spans="1:11" ht="36" customHeight="1" x14ac:dyDescent="0.25">
      <c r="A3" s="329">
        <v>1</v>
      </c>
      <c r="B3" s="540" t="s">
        <v>906</v>
      </c>
      <c r="C3" s="540"/>
      <c r="D3" s="540"/>
      <c r="E3" s="540"/>
      <c r="F3" s="540"/>
      <c r="G3" s="540"/>
      <c r="H3" s="540"/>
      <c r="I3" s="253" t="s">
        <v>571</v>
      </c>
      <c r="J3" s="256">
        <f>C11+G18+K19</f>
        <v>108.21</v>
      </c>
      <c r="K3" s="543"/>
    </row>
    <row r="4" spans="1:11" ht="8.4" customHeight="1" x14ac:dyDescent="0.25">
      <c r="A4" s="539"/>
      <c r="B4" s="539"/>
      <c r="C4" s="539"/>
      <c r="D4" s="539"/>
      <c r="E4" s="539"/>
      <c r="F4" s="539"/>
      <c r="G4" s="539"/>
      <c r="H4" s="539"/>
      <c r="I4" s="539"/>
      <c r="J4" s="539"/>
      <c r="K4" s="539"/>
    </row>
    <row r="5" spans="1:11" x14ac:dyDescent="0.25">
      <c r="A5" s="226" t="s">
        <v>580</v>
      </c>
      <c r="B5" s="227" t="s">
        <v>693</v>
      </c>
      <c r="C5" s="228" t="s">
        <v>588</v>
      </c>
      <c r="D5" s="537"/>
      <c r="E5" s="249" t="s">
        <v>580</v>
      </c>
      <c r="F5" s="250" t="s">
        <v>693</v>
      </c>
      <c r="G5" s="251" t="s">
        <v>588</v>
      </c>
      <c r="H5" s="538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484</v>
      </c>
      <c r="C6" s="244">
        <v>1.06</v>
      </c>
      <c r="D6" s="538"/>
      <c r="E6" s="236" t="s">
        <v>805</v>
      </c>
      <c r="F6" s="236" t="s">
        <v>425</v>
      </c>
      <c r="G6" s="239">
        <v>4.22</v>
      </c>
      <c r="H6" s="538"/>
      <c r="I6" s="237" t="s">
        <v>856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487</v>
      </c>
      <c r="C7" s="246">
        <v>7.06</v>
      </c>
      <c r="D7" s="538"/>
      <c r="E7" s="237" t="s">
        <v>899</v>
      </c>
      <c r="F7" s="237" t="s">
        <v>426</v>
      </c>
      <c r="G7" s="238">
        <v>5.78</v>
      </c>
      <c r="H7" s="538"/>
      <c r="I7" s="236" t="s">
        <v>856</v>
      </c>
      <c r="J7" s="236" t="s">
        <v>362</v>
      </c>
      <c r="K7" s="239">
        <v>6.62</v>
      </c>
    </row>
    <row r="8" spans="1:11" x14ac:dyDescent="0.25">
      <c r="A8" s="224">
        <v>3</v>
      </c>
      <c r="B8" s="234" t="s">
        <v>488</v>
      </c>
      <c r="C8" s="244">
        <v>5.0999999999999996</v>
      </c>
      <c r="D8" s="538"/>
      <c r="E8" s="236" t="s">
        <v>900</v>
      </c>
      <c r="F8" s="236" t="s">
        <v>427</v>
      </c>
      <c r="G8" s="239">
        <v>1.56</v>
      </c>
      <c r="H8" s="538"/>
      <c r="I8" s="237" t="s">
        <v>856</v>
      </c>
      <c r="J8" s="237" t="s">
        <v>363</v>
      </c>
      <c r="K8" s="238">
        <v>1.56</v>
      </c>
    </row>
    <row r="9" spans="1:11" x14ac:dyDescent="0.25">
      <c r="A9" s="224">
        <v>4</v>
      </c>
      <c r="B9" s="235" t="s">
        <v>660</v>
      </c>
      <c r="C9" s="246">
        <v>1.42</v>
      </c>
      <c r="D9" s="538"/>
      <c r="E9" s="237" t="s">
        <v>901</v>
      </c>
      <c r="F9" s="237" t="s">
        <v>428</v>
      </c>
      <c r="G9" s="238">
        <v>4.22</v>
      </c>
      <c r="H9" s="538"/>
      <c r="I9" s="236" t="s">
        <v>856</v>
      </c>
      <c r="J9" s="236" t="s">
        <v>364</v>
      </c>
      <c r="K9" s="239">
        <v>3.96</v>
      </c>
    </row>
    <row r="10" spans="1:11" x14ac:dyDescent="0.25">
      <c r="A10" s="224">
        <v>5</v>
      </c>
      <c r="B10" s="234" t="s">
        <v>511</v>
      </c>
      <c r="C10" s="244">
        <v>1.18</v>
      </c>
      <c r="D10" s="538"/>
      <c r="E10" s="236" t="s">
        <v>804</v>
      </c>
      <c r="F10" s="236" t="s">
        <v>429</v>
      </c>
      <c r="G10" s="239">
        <v>3.24</v>
      </c>
      <c r="H10" s="538"/>
      <c r="I10" s="237" t="s">
        <v>856</v>
      </c>
      <c r="J10" s="237" t="s">
        <v>365</v>
      </c>
      <c r="K10" s="238">
        <v>4.22</v>
      </c>
    </row>
    <row r="11" spans="1:11" x14ac:dyDescent="0.25">
      <c r="A11" s="205"/>
      <c r="B11" s="212" t="s">
        <v>590</v>
      </c>
      <c r="C11" s="334">
        <f>SUM(C6:C10)</f>
        <v>15.819999999999999</v>
      </c>
      <c r="D11" s="538"/>
      <c r="E11" s="237" t="s">
        <v>902</v>
      </c>
      <c r="F11" s="237" t="s">
        <v>430</v>
      </c>
      <c r="G11" s="238">
        <v>4.22</v>
      </c>
      <c r="H11" s="538"/>
      <c r="I11" s="236" t="s">
        <v>856</v>
      </c>
      <c r="J11" s="236" t="s">
        <v>366</v>
      </c>
      <c r="K11" s="239">
        <v>4.2</v>
      </c>
    </row>
    <row r="12" spans="1:11" x14ac:dyDescent="0.25">
      <c r="A12" s="537"/>
      <c r="B12" s="537"/>
      <c r="C12" s="537"/>
      <c r="D12" s="538"/>
      <c r="E12" s="236" t="s">
        <v>903</v>
      </c>
      <c r="F12" s="236" t="s">
        <v>431</v>
      </c>
      <c r="G12" s="239">
        <v>3.9</v>
      </c>
      <c r="H12" s="538"/>
      <c r="I12" s="237" t="s">
        <v>856</v>
      </c>
      <c r="J12" s="237" t="s">
        <v>367</v>
      </c>
      <c r="K12" s="238">
        <v>4.22</v>
      </c>
    </row>
    <row r="13" spans="1:11" x14ac:dyDescent="0.25">
      <c r="A13" s="538"/>
      <c r="B13" s="538"/>
      <c r="C13" s="538"/>
      <c r="D13" s="538"/>
      <c r="E13" s="237" t="s">
        <v>904</v>
      </c>
      <c r="F13" s="237" t="s">
        <v>435</v>
      </c>
      <c r="G13" s="238">
        <v>1.5</v>
      </c>
      <c r="H13" s="538"/>
      <c r="I13" s="236" t="s">
        <v>856</v>
      </c>
      <c r="J13" s="236" t="s">
        <v>368</v>
      </c>
      <c r="K13" s="239">
        <v>2.78</v>
      </c>
    </row>
    <row r="14" spans="1:11" x14ac:dyDescent="0.25">
      <c r="A14" s="538"/>
      <c r="B14" s="538"/>
      <c r="C14" s="538"/>
      <c r="D14" s="538"/>
      <c r="E14" s="236" t="s">
        <v>905</v>
      </c>
      <c r="F14" s="236" t="s">
        <v>438</v>
      </c>
      <c r="G14" s="239">
        <v>1.42</v>
      </c>
      <c r="H14" s="538"/>
      <c r="I14" s="237" t="s">
        <v>856</v>
      </c>
      <c r="J14" s="237" t="s">
        <v>371</v>
      </c>
      <c r="K14" s="238">
        <v>5.96</v>
      </c>
    </row>
    <row r="15" spans="1:11" x14ac:dyDescent="0.25">
      <c r="A15" s="538"/>
      <c r="B15" s="538"/>
      <c r="C15" s="538"/>
      <c r="D15" s="538"/>
      <c r="E15" s="237" t="s">
        <v>853</v>
      </c>
      <c r="F15" s="237" t="s">
        <v>439</v>
      </c>
      <c r="G15" s="238">
        <v>0.65</v>
      </c>
      <c r="H15" s="538"/>
      <c r="I15" s="236" t="s">
        <v>856</v>
      </c>
      <c r="J15" s="236" t="s">
        <v>377</v>
      </c>
      <c r="K15" s="239">
        <v>2.36</v>
      </c>
    </row>
    <row r="16" spans="1:11" x14ac:dyDescent="0.25">
      <c r="A16" s="538"/>
      <c r="B16" s="538"/>
      <c r="C16" s="538"/>
      <c r="D16" s="538"/>
      <c r="E16" s="236" t="s">
        <v>854</v>
      </c>
      <c r="F16" s="236" t="s">
        <v>444</v>
      </c>
      <c r="G16" s="239">
        <v>1.32</v>
      </c>
      <c r="H16" s="538"/>
      <c r="I16" s="237" t="s">
        <v>856</v>
      </c>
      <c r="J16" s="237" t="s">
        <v>383</v>
      </c>
      <c r="K16" s="238">
        <v>3</v>
      </c>
    </row>
    <row r="17" spans="1:11" x14ac:dyDescent="0.25">
      <c r="A17" s="538"/>
      <c r="B17" s="538"/>
      <c r="C17" s="538"/>
      <c r="D17" s="538"/>
      <c r="E17" s="237" t="s">
        <v>855</v>
      </c>
      <c r="F17" s="237" t="s">
        <v>451</v>
      </c>
      <c r="G17" s="238">
        <v>5.64</v>
      </c>
      <c r="H17" s="538"/>
      <c r="I17" s="236" t="s">
        <v>856</v>
      </c>
      <c r="J17" s="236" t="s">
        <v>385</v>
      </c>
      <c r="K17" s="239">
        <v>5</v>
      </c>
    </row>
    <row r="18" spans="1:11" x14ac:dyDescent="0.25">
      <c r="A18" s="538"/>
      <c r="B18" s="538"/>
      <c r="C18" s="538"/>
      <c r="D18" s="538"/>
      <c r="F18" s="212" t="s">
        <v>590</v>
      </c>
      <c r="G18" s="239">
        <f>SUM(G6:G17)</f>
        <v>37.67</v>
      </c>
      <c r="H18" s="538"/>
      <c r="I18" s="237" t="s">
        <v>856</v>
      </c>
      <c r="J18" s="237" t="s">
        <v>395</v>
      </c>
      <c r="K18" s="238">
        <v>6.62</v>
      </c>
    </row>
    <row r="19" spans="1:11" x14ac:dyDescent="0.25">
      <c r="A19" s="538"/>
      <c r="B19" s="538"/>
      <c r="C19" s="538"/>
      <c r="D19" s="538"/>
      <c r="E19" s="538"/>
      <c r="F19" s="538"/>
      <c r="G19" s="538"/>
      <c r="H19" s="538"/>
      <c r="I19" s="243"/>
      <c r="J19" s="212" t="s">
        <v>590</v>
      </c>
      <c r="K19" s="239">
        <f>SUM(K6:K18)</f>
        <v>54.719999999999992</v>
      </c>
    </row>
  </sheetData>
  <mergeCells count="9">
    <mergeCell ref="K1:K3"/>
    <mergeCell ref="B2:H2"/>
    <mergeCell ref="B3:H3"/>
    <mergeCell ref="A4:K4"/>
    <mergeCell ref="H5:H19"/>
    <mergeCell ref="D5:D19"/>
    <mergeCell ref="E19:G19"/>
    <mergeCell ref="A12:C19"/>
    <mergeCell ref="A1:J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8.88671875" style="220"/>
    <col min="5" max="5" width="12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6" t="s">
        <v>580</v>
      </c>
      <c r="B2" s="406" t="s">
        <v>789</v>
      </c>
      <c r="C2" s="406" t="s">
        <v>582</v>
      </c>
      <c r="D2" s="253" t="s">
        <v>583</v>
      </c>
      <c r="E2" s="253" t="s">
        <v>584</v>
      </c>
    </row>
    <row r="3" spans="1:5" ht="54" customHeight="1" x14ac:dyDescent="0.25">
      <c r="A3" s="406">
        <v>1</v>
      </c>
      <c r="B3" s="407" t="s">
        <v>791</v>
      </c>
      <c r="C3" s="407" t="s">
        <v>962</v>
      </c>
      <c r="D3" s="253" t="s">
        <v>571</v>
      </c>
      <c r="E3" s="256">
        <v>11214.3</v>
      </c>
    </row>
    <row r="4" spans="1:5" ht="54" x14ac:dyDescent="0.25">
      <c r="A4" s="406">
        <v>2</v>
      </c>
      <c r="B4" s="407" t="s">
        <v>791</v>
      </c>
      <c r="C4" s="407" t="s">
        <v>961</v>
      </c>
      <c r="D4" s="253" t="s">
        <v>571</v>
      </c>
      <c r="E4" s="256">
        <v>25.7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8.88671875" style="220"/>
    <col min="5" max="5" width="12.21875" style="220" bestFit="1" customWidth="1"/>
    <col min="6" max="16384" width="8.88671875" style="220"/>
  </cols>
  <sheetData>
    <row r="1" spans="1:5" ht="18" customHeight="1" x14ac:dyDescent="0.25">
      <c r="A1" s="426" t="s">
        <v>586</v>
      </c>
      <c r="B1" s="426"/>
      <c r="C1" s="426"/>
      <c r="D1" s="426"/>
      <c r="E1" s="426"/>
    </row>
    <row r="2" spans="1:5" s="408" customFormat="1" ht="18" customHeight="1" x14ac:dyDescent="0.25">
      <c r="A2" s="406" t="s">
        <v>580</v>
      </c>
      <c r="B2" s="406" t="s">
        <v>789</v>
      </c>
      <c r="C2" s="406" t="s">
        <v>582</v>
      </c>
      <c r="D2" s="253" t="s">
        <v>583</v>
      </c>
      <c r="E2" s="253" t="s">
        <v>584</v>
      </c>
    </row>
    <row r="3" spans="1:5" ht="54" customHeight="1" x14ac:dyDescent="0.25">
      <c r="A3" s="406">
        <v>1</v>
      </c>
      <c r="B3" s="407" t="s">
        <v>791</v>
      </c>
      <c r="C3" s="407" t="s">
        <v>959</v>
      </c>
      <c r="D3" s="253" t="s">
        <v>571</v>
      </c>
      <c r="E3" s="256">
        <v>4827.2</v>
      </c>
    </row>
    <row r="4" spans="1:5" ht="54" x14ac:dyDescent="0.25">
      <c r="A4" s="406">
        <v>2</v>
      </c>
      <c r="B4" s="407" t="s">
        <v>791</v>
      </c>
      <c r="C4" s="407" t="s">
        <v>960</v>
      </c>
      <c r="D4" s="253" t="s">
        <v>571</v>
      </c>
      <c r="E4" s="256">
        <v>25.7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32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  <c r="I1" s="426"/>
      <c r="J1" s="426"/>
      <c r="K1" s="543"/>
    </row>
    <row r="2" spans="1:11" ht="18" customHeight="1" x14ac:dyDescent="0.25">
      <c r="A2" s="329" t="s">
        <v>580</v>
      </c>
      <c r="B2" s="426" t="s">
        <v>789</v>
      </c>
      <c r="C2" s="426"/>
      <c r="D2" s="426"/>
      <c r="E2" s="426"/>
      <c r="F2" s="426"/>
      <c r="G2" s="426"/>
      <c r="H2" s="426"/>
      <c r="I2" s="255" t="s">
        <v>583</v>
      </c>
      <c r="J2" s="255" t="s">
        <v>584</v>
      </c>
      <c r="K2" s="543"/>
    </row>
    <row r="3" spans="1:11" ht="36" customHeight="1" x14ac:dyDescent="0.25">
      <c r="A3" s="329">
        <v>1</v>
      </c>
      <c r="B3" s="540" t="s">
        <v>908</v>
      </c>
      <c r="C3" s="540"/>
      <c r="D3" s="540"/>
      <c r="E3" s="540"/>
      <c r="F3" s="540"/>
      <c r="G3" s="540"/>
      <c r="H3" s="540"/>
      <c r="I3" s="253" t="s">
        <v>571</v>
      </c>
      <c r="J3" s="256">
        <f>C20+G32+K24</f>
        <v>2049.8800000000006</v>
      </c>
      <c r="K3" s="543"/>
    </row>
    <row r="4" spans="1:11" ht="8.4" customHeight="1" x14ac:dyDescent="0.25">
      <c r="A4" s="539"/>
      <c r="B4" s="539"/>
      <c r="C4" s="539"/>
      <c r="D4" s="539"/>
      <c r="E4" s="539"/>
      <c r="F4" s="539"/>
      <c r="G4" s="539"/>
      <c r="H4" s="539"/>
      <c r="I4" s="539"/>
      <c r="J4" s="539"/>
      <c r="K4" s="539"/>
    </row>
    <row r="5" spans="1:11" x14ac:dyDescent="0.25">
      <c r="A5" s="226" t="s">
        <v>580</v>
      </c>
      <c r="B5" s="227" t="s">
        <v>693</v>
      </c>
      <c r="C5" s="228" t="s">
        <v>588</v>
      </c>
      <c r="D5" s="537"/>
      <c r="E5" s="249" t="s">
        <v>580</v>
      </c>
      <c r="F5" s="250" t="s">
        <v>693</v>
      </c>
      <c r="G5" s="251" t="s">
        <v>588</v>
      </c>
      <c r="H5" s="542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424</v>
      </c>
      <c r="C6" s="244">
        <v>2.7</v>
      </c>
      <c r="D6" s="538"/>
      <c r="E6" s="236" t="s">
        <v>853</v>
      </c>
      <c r="F6" s="236" t="s">
        <v>425</v>
      </c>
      <c r="G6" s="239">
        <v>70.289999999999992</v>
      </c>
      <c r="H6" s="542"/>
      <c r="I6" s="237" t="s">
        <v>879</v>
      </c>
      <c r="J6" s="237" t="s">
        <v>361</v>
      </c>
      <c r="K6" s="238">
        <v>73.419999999999987</v>
      </c>
    </row>
    <row r="7" spans="1:11" x14ac:dyDescent="0.25">
      <c r="A7" s="224">
        <v>2</v>
      </c>
      <c r="B7" s="235" t="s">
        <v>484</v>
      </c>
      <c r="C7" s="246">
        <v>1.98</v>
      </c>
      <c r="D7" s="538"/>
      <c r="E7" s="237" t="s">
        <v>854</v>
      </c>
      <c r="F7" s="237" t="s">
        <v>426</v>
      </c>
      <c r="G7" s="238">
        <v>100.47</v>
      </c>
      <c r="H7" s="542"/>
      <c r="I7" s="236" t="s">
        <v>882</v>
      </c>
      <c r="J7" s="236" t="s">
        <v>362</v>
      </c>
      <c r="K7" s="239">
        <v>91.710000000000008</v>
      </c>
    </row>
    <row r="8" spans="1:11" x14ac:dyDescent="0.25">
      <c r="A8" s="224">
        <v>3</v>
      </c>
      <c r="B8" s="234" t="s">
        <v>487</v>
      </c>
      <c r="C8" s="244">
        <v>153.72</v>
      </c>
      <c r="D8" s="538"/>
      <c r="E8" s="236" t="s">
        <v>855</v>
      </c>
      <c r="F8" s="236" t="s">
        <v>427</v>
      </c>
      <c r="G8" s="239">
        <v>73.830000000000013</v>
      </c>
      <c r="H8" s="542"/>
      <c r="I8" s="237" t="s">
        <v>883</v>
      </c>
      <c r="J8" s="237" t="s">
        <v>363</v>
      </c>
      <c r="K8" s="238">
        <v>48.550000000000004</v>
      </c>
    </row>
    <row r="9" spans="1:11" x14ac:dyDescent="0.25">
      <c r="A9" s="224">
        <v>4</v>
      </c>
      <c r="B9" s="235" t="s">
        <v>488</v>
      </c>
      <c r="C9" s="246">
        <v>4.59</v>
      </c>
      <c r="D9" s="538"/>
      <c r="E9" s="237" t="s">
        <v>856</v>
      </c>
      <c r="F9" s="237" t="s">
        <v>428</v>
      </c>
      <c r="G9" s="238">
        <v>72.25</v>
      </c>
      <c r="H9" s="542"/>
      <c r="I9" s="236" t="s">
        <v>884</v>
      </c>
      <c r="J9" s="236" t="s">
        <v>364</v>
      </c>
      <c r="K9" s="239">
        <v>66.53</v>
      </c>
    </row>
    <row r="10" spans="1:11" x14ac:dyDescent="0.25">
      <c r="A10" s="224">
        <v>5</v>
      </c>
      <c r="B10" s="234" t="s">
        <v>490</v>
      </c>
      <c r="C10" s="244">
        <v>5.0999999999999996</v>
      </c>
      <c r="D10" s="538"/>
      <c r="E10" s="236" t="s">
        <v>857</v>
      </c>
      <c r="F10" s="236" t="s">
        <v>429</v>
      </c>
      <c r="G10" s="239">
        <v>63.230000000000011</v>
      </c>
      <c r="H10" s="542"/>
      <c r="I10" s="237" t="s">
        <v>885</v>
      </c>
      <c r="J10" s="237" t="s">
        <v>365</v>
      </c>
      <c r="K10" s="238">
        <v>72.97999999999999</v>
      </c>
    </row>
    <row r="11" spans="1:11" x14ac:dyDescent="0.25">
      <c r="A11" s="224">
        <v>6</v>
      </c>
      <c r="B11" s="235" t="s">
        <v>491</v>
      </c>
      <c r="C11" s="246">
        <v>9.9600000000000009</v>
      </c>
      <c r="D11" s="538"/>
      <c r="E11" s="237" t="s">
        <v>858</v>
      </c>
      <c r="F11" s="237" t="s">
        <v>430</v>
      </c>
      <c r="G11" s="238">
        <v>68.62</v>
      </c>
      <c r="H11" s="542"/>
      <c r="I11" s="236" t="s">
        <v>886</v>
      </c>
      <c r="J11" s="236" t="s">
        <v>366</v>
      </c>
      <c r="K11" s="239">
        <v>62.12</v>
      </c>
    </row>
    <row r="12" spans="1:11" x14ac:dyDescent="0.25">
      <c r="A12" s="224">
        <v>7</v>
      </c>
      <c r="B12" s="234" t="s">
        <v>660</v>
      </c>
      <c r="C12" s="244">
        <v>2.1</v>
      </c>
      <c r="D12" s="538"/>
      <c r="E12" s="236" t="s">
        <v>859</v>
      </c>
      <c r="F12" s="236" t="s">
        <v>431</v>
      </c>
      <c r="G12" s="239">
        <v>86.399999999999991</v>
      </c>
      <c r="H12" s="542"/>
      <c r="I12" s="237" t="s">
        <v>887</v>
      </c>
      <c r="J12" s="237" t="s">
        <v>367</v>
      </c>
      <c r="K12" s="238">
        <v>58.88</v>
      </c>
    </row>
    <row r="13" spans="1:11" x14ac:dyDescent="0.25">
      <c r="A13" s="224">
        <v>8</v>
      </c>
      <c r="B13" s="237" t="s">
        <v>538</v>
      </c>
      <c r="C13" s="238">
        <v>5.64</v>
      </c>
      <c r="D13" s="538"/>
      <c r="E13" s="237" t="s">
        <v>860</v>
      </c>
      <c r="F13" s="237" t="s">
        <v>432</v>
      </c>
      <c r="G13" s="238">
        <v>123.55000000000001</v>
      </c>
      <c r="H13" s="542"/>
      <c r="I13" s="236" t="s">
        <v>888</v>
      </c>
      <c r="J13" s="236" t="s">
        <v>371</v>
      </c>
      <c r="K13" s="239">
        <v>203.81000000000003</v>
      </c>
    </row>
    <row r="14" spans="1:11" x14ac:dyDescent="0.25">
      <c r="A14" s="224">
        <v>9</v>
      </c>
      <c r="B14" s="236" t="s">
        <v>539</v>
      </c>
      <c r="C14" s="239">
        <v>7.370000000000001</v>
      </c>
      <c r="D14" s="538"/>
      <c r="E14" s="236" t="s">
        <v>861</v>
      </c>
      <c r="F14" s="236" t="s">
        <v>671</v>
      </c>
      <c r="G14" s="239">
        <v>30.650000000000002</v>
      </c>
      <c r="H14" s="542"/>
      <c r="I14" s="237" t="s">
        <v>889</v>
      </c>
      <c r="J14" s="237" t="s">
        <v>377</v>
      </c>
      <c r="K14" s="238">
        <v>3.71</v>
      </c>
    </row>
    <row r="15" spans="1:11" x14ac:dyDescent="0.25">
      <c r="A15" s="224">
        <v>10</v>
      </c>
      <c r="B15" s="237" t="s">
        <v>542</v>
      </c>
      <c r="C15" s="238">
        <v>1.45</v>
      </c>
      <c r="D15" s="538"/>
      <c r="E15" s="237" t="s">
        <v>862</v>
      </c>
      <c r="F15" s="237" t="s">
        <v>435</v>
      </c>
      <c r="G15" s="238">
        <v>77.5</v>
      </c>
      <c r="H15" s="542"/>
      <c r="I15" s="236" t="s">
        <v>890</v>
      </c>
      <c r="J15" s="236" t="s">
        <v>690</v>
      </c>
      <c r="K15" s="239">
        <v>1.45</v>
      </c>
    </row>
    <row r="16" spans="1:11" x14ac:dyDescent="0.25">
      <c r="A16" s="224">
        <v>11</v>
      </c>
      <c r="B16" s="236" t="s">
        <v>545</v>
      </c>
      <c r="C16" s="239">
        <v>5.75</v>
      </c>
      <c r="D16" s="538"/>
      <c r="E16" s="236" t="s">
        <v>863</v>
      </c>
      <c r="F16" s="236" t="s">
        <v>438</v>
      </c>
      <c r="G16" s="239">
        <v>80.599999999999994</v>
      </c>
      <c r="H16" s="542"/>
      <c r="I16" s="237" t="s">
        <v>891</v>
      </c>
      <c r="J16" s="237" t="s">
        <v>647</v>
      </c>
      <c r="K16" s="238">
        <v>5.75</v>
      </c>
    </row>
    <row r="17" spans="1:11" x14ac:dyDescent="0.25">
      <c r="A17" s="224">
        <v>12</v>
      </c>
      <c r="B17" s="237" t="s">
        <v>546</v>
      </c>
      <c r="C17" s="238">
        <v>3.27</v>
      </c>
      <c r="D17" s="538"/>
      <c r="E17" s="237" t="s">
        <v>864</v>
      </c>
      <c r="F17" s="237" t="s">
        <v>439</v>
      </c>
      <c r="G17" s="238">
        <v>18.73</v>
      </c>
      <c r="H17" s="542"/>
      <c r="I17" s="236" t="s">
        <v>892</v>
      </c>
      <c r="J17" s="236" t="s">
        <v>648</v>
      </c>
      <c r="K17" s="239">
        <v>3.27</v>
      </c>
    </row>
    <row r="18" spans="1:11" x14ac:dyDescent="0.25">
      <c r="A18" s="224">
        <v>13</v>
      </c>
      <c r="B18" s="236" t="s">
        <v>551</v>
      </c>
      <c r="C18" s="239">
        <v>5.75</v>
      </c>
      <c r="D18" s="538"/>
      <c r="E18" s="236" t="s">
        <v>865</v>
      </c>
      <c r="F18" s="236" t="s">
        <v>443</v>
      </c>
      <c r="G18" s="239">
        <v>54.7</v>
      </c>
      <c r="H18" s="542"/>
      <c r="I18" s="237" t="s">
        <v>880</v>
      </c>
      <c r="J18" s="237" t="s">
        <v>379</v>
      </c>
      <c r="K18" s="238">
        <v>1.45</v>
      </c>
    </row>
    <row r="19" spans="1:11" x14ac:dyDescent="0.25">
      <c r="A19" s="224">
        <v>14</v>
      </c>
      <c r="B19" s="237" t="s">
        <v>552</v>
      </c>
      <c r="C19" s="238">
        <v>4.8899999999999997</v>
      </c>
      <c r="D19" s="538"/>
      <c r="E19" s="237" t="s">
        <v>866</v>
      </c>
      <c r="F19" s="237" t="s">
        <v>444</v>
      </c>
      <c r="G19" s="238">
        <v>54.199999999999996</v>
      </c>
      <c r="H19" s="542"/>
      <c r="I19" s="236" t="s">
        <v>881</v>
      </c>
      <c r="J19" s="236" t="s">
        <v>380</v>
      </c>
      <c r="K19" s="239">
        <v>5.75</v>
      </c>
    </row>
    <row r="20" spans="1:11" x14ac:dyDescent="0.25">
      <c r="A20" s="205"/>
      <c r="B20" s="212" t="s">
        <v>590</v>
      </c>
      <c r="C20" s="333">
        <f>SUM(C6:C19)</f>
        <v>214.26999999999998</v>
      </c>
      <c r="D20" s="538"/>
      <c r="E20" s="236" t="s">
        <v>867</v>
      </c>
      <c r="F20" s="236" t="s">
        <v>451</v>
      </c>
      <c r="G20" s="239">
        <v>7.56</v>
      </c>
      <c r="H20" s="542"/>
      <c r="I20" s="237" t="s">
        <v>893</v>
      </c>
      <c r="J20" s="237" t="s">
        <v>649</v>
      </c>
      <c r="K20" s="238">
        <v>4.8899999999999997</v>
      </c>
    </row>
    <row r="21" spans="1:11" x14ac:dyDescent="0.25">
      <c r="A21" s="537"/>
      <c r="B21" s="537"/>
      <c r="C21" s="537"/>
      <c r="D21" s="538"/>
      <c r="E21" s="237" t="s">
        <v>868</v>
      </c>
      <c r="F21" s="237" t="s">
        <v>678</v>
      </c>
      <c r="G21" s="238">
        <v>60.5</v>
      </c>
      <c r="H21" s="542"/>
      <c r="I21" s="236" t="s">
        <v>894</v>
      </c>
      <c r="J21" s="236" t="s">
        <v>383</v>
      </c>
      <c r="K21" s="239">
        <v>5.28</v>
      </c>
    </row>
    <row r="22" spans="1:11" x14ac:dyDescent="0.25">
      <c r="A22" s="538"/>
      <c r="B22" s="538"/>
      <c r="C22" s="538"/>
      <c r="D22" s="538"/>
      <c r="E22" s="236" t="s">
        <v>869</v>
      </c>
      <c r="F22" s="236" t="s">
        <v>459</v>
      </c>
      <c r="G22" s="239">
        <v>1.45</v>
      </c>
      <c r="H22" s="542"/>
      <c r="I22" s="237" t="s">
        <v>895</v>
      </c>
      <c r="J22" s="237" t="s">
        <v>385</v>
      </c>
      <c r="K22" s="238">
        <v>5.4</v>
      </c>
    </row>
    <row r="23" spans="1:11" x14ac:dyDescent="0.25">
      <c r="A23" s="538"/>
      <c r="B23" s="538"/>
      <c r="C23" s="538"/>
      <c r="D23" s="538"/>
      <c r="E23" s="237" t="s">
        <v>870</v>
      </c>
      <c r="F23" s="237" t="s">
        <v>462</v>
      </c>
      <c r="G23" s="238">
        <v>5.75</v>
      </c>
      <c r="H23" s="542"/>
      <c r="I23" s="236" t="s">
        <v>896</v>
      </c>
      <c r="J23" s="236" t="s">
        <v>395</v>
      </c>
      <c r="K23" s="239">
        <v>7.26</v>
      </c>
    </row>
    <row r="24" spans="1:11" x14ac:dyDescent="0.25">
      <c r="A24" s="538"/>
      <c r="B24" s="538"/>
      <c r="C24" s="538"/>
      <c r="D24" s="538"/>
      <c r="E24" s="236" t="s">
        <v>871</v>
      </c>
      <c r="F24" s="236" t="s">
        <v>463</v>
      </c>
      <c r="G24" s="239">
        <v>3.27</v>
      </c>
      <c r="H24" s="542"/>
      <c r="I24" s="243"/>
      <c r="J24" s="212" t="s">
        <v>590</v>
      </c>
      <c r="K24" s="239">
        <f>SUM(K6:K23)</f>
        <v>722.21000000000015</v>
      </c>
    </row>
    <row r="25" spans="1:11" x14ac:dyDescent="0.25">
      <c r="A25" s="538"/>
      <c r="B25" s="538"/>
      <c r="C25" s="538"/>
      <c r="D25" s="538"/>
      <c r="E25" s="237" t="s">
        <v>872</v>
      </c>
      <c r="F25" s="237" t="s">
        <v>464</v>
      </c>
      <c r="G25" s="238">
        <v>1.45</v>
      </c>
      <c r="H25" s="542"/>
      <c r="I25" s="537"/>
      <c r="J25" s="537"/>
      <c r="K25" s="537"/>
    </row>
    <row r="26" spans="1:11" x14ac:dyDescent="0.25">
      <c r="A26" s="538"/>
      <c r="B26" s="538"/>
      <c r="C26" s="538"/>
      <c r="D26" s="538"/>
      <c r="E26" s="236" t="s">
        <v>873</v>
      </c>
      <c r="F26" s="236" t="s">
        <v>466</v>
      </c>
      <c r="G26" s="239">
        <v>5.75</v>
      </c>
      <c r="H26" s="542"/>
      <c r="I26" s="538"/>
      <c r="J26" s="538"/>
      <c r="K26" s="538"/>
    </row>
    <row r="27" spans="1:11" x14ac:dyDescent="0.25">
      <c r="A27" s="538"/>
      <c r="B27" s="538"/>
      <c r="C27" s="538"/>
      <c r="D27" s="538"/>
      <c r="E27" s="237" t="s">
        <v>874</v>
      </c>
      <c r="F27" s="237" t="s">
        <v>467</v>
      </c>
      <c r="G27" s="238">
        <v>4.8899999999999997</v>
      </c>
      <c r="H27" s="542"/>
      <c r="I27" s="538"/>
      <c r="J27" s="538"/>
      <c r="K27" s="538"/>
    </row>
    <row r="28" spans="1:11" x14ac:dyDescent="0.25">
      <c r="A28" s="538"/>
      <c r="B28" s="538"/>
      <c r="C28" s="538"/>
      <c r="D28" s="538"/>
      <c r="E28" s="236" t="s">
        <v>875</v>
      </c>
      <c r="F28" s="236" t="s">
        <v>469</v>
      </c>
      <c r="G28" s="239">
        <v>5.28</v>
      </c>
      <c r="H28" s="542"/>
      <c r="I28" s="538"/>
      <c r="J28" s="538"/>
      <c r="K28" s="538"/>
    </row>
    <row r="29" spans="1:11" x14ac:dyDescent="0.25">
      <c r="A29" s="538"/>
      <c r="B29" s="538"/>
      <c r="C29" s="538"/>
      <c r="D29" s="538"/>
      <c r="E29" s="237" t="s">
        <v>876</v>
      </c>
      <c r="F29" s="237" t="s">
        <v>470</v>
      </c>
      <c r="G29" s="238">
        <v>35.4</v>
      </c>
      <c r="H29" s="542"/>
      <c r="I29" s="538"/>
      <c r="J29" s="538"/>
      <c r="K29" s="538"/>
    </row>
    <row r="30" spans="1:11" x14ac:dyDescent="0.25">
      <c r="A30" s="538"/>
      <c r="B30" s="538"/>
      <c r="C30" s="538"/>
      <c r="D30" s="538"/>
      <c r="E30" s="236" t="s">
        <v>877</v>
      </c>
      <c r="F30" s="236" t="s">
        <v>471</v>
      </c>
      <c r="G30" s="239">
        <v>5.28</v>
      </c>
      <c r="H30" s="542"/>
      <c r="I30" s="538"/>
      <c r="J30" s="538"/>
      <c r="K30" s="538"/>
    </row>
    <row r="31" spans="1:11" x14ac:dyDescent="0.25">
      <c r="A31" s="538"/>
      <c r="B31" s="538"/>
      <c r="C31" s="538"/>
      <c r="D31" s="538"/>
      <c r="E31" s="237" t="s">
        <v>878</v>
      </c>
      <c r="F31" s="237" t="s">
        <v>480</v>
      </c>
      <c r="G31" s="238">
        <v>1.8</v>
      </c>
      <c r="H31" s="542"/>
      <c r="I31" s="538"/>
      <c r="J31" s="538"/>
      <c r="K31" s="538"/>
    </row>
    <row r="32" spans="1:11" x14ac:dyDescent="0.25">
      <c r="A32" s="538"/>
      <c r="B32" s="538"/>
      <c r="C32" s="538"/>
      <c r="D32" s="538"/>
      <c r="F32" s="212" t="s">
        <v>590</v>
      </c>
      <c r="G32" s="239">
        <f>SUM(G6:G31)</f>
        <v>1113.4000000000003</v>
      </c>
      <c r="H32" s="542"/>
      <c r="I32" s="538"/>
      <c r="J32" s="538"/>
      <c r="K32" s="538"/>
    </row>
  </sheetData>
  <mergeCells count="9">
    <mergeCell ref="H5:H32"/>
    <mergeCell ref="D5:D32"/>
    <mergeCell ref="I25:K32"/>
    <mergeCell ref="A21:C32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5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  <c r="I1" s="426"/>
      <c r="J1" s="426"/>
      <c r="K1" s="543"/>
    </row>
    <row r="2" spans="1:11" ht="18" customHeight="1" x14ac:dyDescent="0.25">
      <c r="A2" s="329" t="s">
        <v>580</v>
      </c>
      <c r="B2" s="426" t="s">
        <v>789</v>
      </c>
      <c r="C2" s="426"/>
      <c r="D2" s="426"/>
      <c r="E2" s="426"/>
      <c r="F2" s="426"/>
      <c r="G2" s="426"/>
      <c r="H2" s="426"/>
      <c r="I2" s="255" t="s">
        <v>583</v>
      </c>
      <c r="J2" s="255" t="s">
        <v>584</v>
      </c>
      <c r="K2" s="543"/>
    </row>
    <row r="3" spans="1:11" ht="36" customHeight="1" x14ac:dyDescent="0.25">
      <c r="A3" s="329">
        <v>1</v>
      </c>
      <c r="B3" s="540" t="s">
        <v>852</v>
      </c>
      <c r="C3" s="540"/>
      <c r="D3" s="540"/>
      <c r="E3" s="540"/>
      <c r="F3" s="540"/>
      <c r="G3" s="540"/>
      <c r="H3" s="540"/>
      <c r="I3" s="253" t="s">
        <v>571</v>
      </c>
      <c r="J3" s="256">
        <f>C39+G45+K42</f>
        <v>7630.58</v>
      </c>
      <c r="K3" s="543"/>
    </row>
    <row r="4" spans="1:11" ht="37.200000000000003" customHeight="1" x14ac:dyDescent="0.25">
      <c r="A4" s="329">
        <v>2</v>
      </c>
      <c r="B4" s="541" t="s">
        <v>790</v>
      </c>
      <c r="C4" s="541"/>
      <c r="D4" s="541"/>
      <c r="E4" s="541"/>
      <c r="F4" s="541"/>
      <c r="G4" s="541"/>
      <c r="H4" s="541"/>
      <c r="I4" s="253" t="s">
        <v>788</v>
      </c>
      <c r="J4" s="256">
        <v>18.93</v>
      </c>
      <c r="K4" s="543"/>
    </row>
    <row r="5" spans="1:11" ht="8.4" customHeight="1" x14ac:dyDescent="0.25">
      <c r="A5" s="539"/>
      <c r="B5" s="539"/>
      <c r="C5" s="539"/>
      <c r="D5" s="539"/>
      <c r="E5" s="539"/>
      <c r="F5" s="539"/>
      <c r="G5" s="539"/>
      <c r="H5" s="539"/>
      <c r="I5" s="539"/>
      <c r="J5" s="539"/>
      <c r="K5" s="539"/>
    </row>
    <row r="6" spans="1:11" x14ac:dyDescent="0.25">
      <c r="A6" s="226" t="s">
        <v>580</v>
      </c>
      <c r="B6" s="227" t="s">
        <v>693</v>
      </c>
      <c r="C6" s="228" t="s">
        <v>588</v>
      </c>
      <c r="D6" s="537"/>
      <c r="E6" s="249" t="s">
        <v>580</v>
      </c>
      <c r="F6" s="250" t="s">
        <v>693</v>
      </c>
      <c r="G6" s="251" t="s">
        <v>588</v>
      </c>
      <c r="H6" s="542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34" t="s">
        <v>424</v>
      </c>
      <c r="C7" s="244">
        <v>2.7</v>
      </c>
      <c r="D7" s="538"/>
      <c r="E7" s="236">
        <v>33</v>
      </c>
      <c r="F7" s="236" t="s">
        <v>425</v>
      </c>
      <c r="G7" s="239">
        <v>78.44</v>
      </c>
      <c r="H7" s="542"/>
      <c r="I7" s="237">
        <v>71</v>
      </c>
      <c r="J7" s="237" t="s">
        <v>361</v>
      </c>
      <c r="K7" s="238">
        <v>79.469999999999985</v>
      </c>
    </row>
    <row r="8" spans="1:11" x14ac:dyDescent="0.25">
      <c r="A8" s="224">
        <v>2</v>
      </c>
      <c r="B8" s="235" t="s">
        <v>484</v>
      </c>
      <c r="C8" s="246">
        <v>88.33</v>
      </c>
      <c r="D8" s="538"/>
      <c r="E8" s="237">
        <v>34</v>
      </c>
      <c r="F8" s="237" t="s">
        <v>426</v>
      </c>
      <c r="G8" s="238">
        <v>114.9</v>
      </c>
      <c r="H8" s="542"/>
      <c r="I8" s="236">
        <v>72</v>
      </c>
      <c r="J8" s="236" t="s">
        <v>362</v>
      </c>
      <c r="K8" s="239">
        <v>104.97000000000001</v>
      </c>
    </row>
    <row r="9" spans="1:11" x14ac:dyDescent="0.25">
      <c r="A9" s="224">
        <v>3</v>
      </c>
      <c r="B9" s="234" t="s">
        <v>486</v>
      </c>
      <c r="C9" s="244">
        <v>46.7</v>
      </c>
      <c r="D9" s="538"/>
      <c r="E9" s="236">
        <v>35</v>
      </c>
      <c r="F9" s="236" t="s">
        <v>427</v>
      </c>
      <c r="G9" s="239">
        <v>83.580000000000013</v>
      </c>
      <c r="H9" s="542"/>
      <c r="I9" s="237">
        <v>73</v>
      </c>
      <c r="J9" s="237" t="s">
        <v>363</v>
      </c>
      <c r="K9" s="238">
        <v>53.2</v>
      </c>
    </row>
    <row r="10" spans="1:11" x14ac:dyDescent="0.25">
      <c r="A10" s="224">
        <v>4</v>
      </c>
      <c r="B10" s="235" t="s">
        <v>487</v>
      </c>
      <c r="C10" s="246">
        <v>153.72</v>
      </c>
      <c r="D10" s="538"/>
      <c r="E10" s="237">
        <v>36</v>
      </c>
      <c r="F10" s="237" t="s">
        <v>428</v>
      </c>
      <c r="G10" s="238">
        <v>82.39</v>
      </c>
      <c r="H10" s="542"/>
      <c r="I10" s="236">
        <v>74</v>
      </c>
      <c r="J10" s="236" t="s">
        <v>364</v>
      </c>
      <c r="K10" s="239">
        <v>79.010000000000005</v>
      </c>
    </row>
    <row r="11" spans="1:11" x14ac:dyDescent="0.25">
      <c r="A11" s="224">
        <v>5</v>
      </c>
      <c r="B11" s="234" t="s">
        <v>488</v>
      </c>
      <c r="C11" s="244">
        <v>4</v>
      </c>
      <c r="D11" s="538"/>
      <c r="E11" s="236">
        <v>37</v>
      </c>
      <c r="F11" s="236" t="s">
        <v>429</v>
      </c>
      <c r="G11" s="239">
        <v>75.13000000000001</v>
      </c>
      <c r="H11" s="542"/>
      <c r="I11" s="237">
        <v>75</v>
      </c>
      <c r="J11" s="237" t="s">
        <v>365</v>
      </c>
      <c r="K11" s="238">
        <v>79.219999999999985</v>
      </c>
    </row>
    <row r="12" spans="1:11" x14ac:dyDescent="0.25">
      <c r="A12" s="224">
        <v>6</v>
      </c>
      <c r="B12" s="235" t="s">
        <v>490</v>
      </c>
      <c r="C12" s="246">
        <v>5</v>
      </c>
      <c r="D12" s="538"/>
      <c r="E12" s="237">
        <v>38</v>
      </c>
      <c r="F12" s="237" t="s">
        <v>430</v>
      </c>
      <c r="G12" s="238">
        <v>77.59</v>
      </c>
      <c r="H12" s="542"/>
      <c r="I12" s="236">
        <v>76</v>
      </c>
      <c r="J12" s="236" t="s">
        <v>366</v>
      </c>
      <c r="K12" s="239">
        <v>68.36</v>
      </c>
    </row>
    <row r="13" spans="1:11" x14ac:dyDescent="0.25">
      <c r="A13" s="224">
        <v>7</v>
      </c>
      <c r="B13" s="234" t="s">
        <v>660</v>
      </c>
      <c r="C13" s="244">
        <v>72.239999999999995</v>
      </c>
      <c r="D13" s="538"/>
      <c r="E13" s="236">
        <v>39</v>
      </c>
      <c r="F13" s="236" t="s">
        <v>431</v>
      </c>
      <c r="G13" s="239">
        <v>100.44</v>
      </c>
      <c r="H13" s="542"/>
      <c r="I13" s="237">
        <v>77</v>
      </c>
      <c r="J13" s="237" t="s">
        <v>367</v>
      </c>
      <c r="K13" s="238">
        <v>67.850000000000009</v>
      </c>
    </row>
    <row r="14" spans="1:11" x14ac:dyDescent="0.25">
      <c r="A14" s="224">
        <v>8</v>
      </c>
      <c r="B14" s="237" t="s">
        <v>498</v>
      </c>
      <c r="C14" s="238">
        <v>33.089999999999996</v>
      </c>
      <c r="D14" s="538"/>
      <c r="E14" s="237">
        <v>40</v>
      </c>
      <c r="F14" s="237" t="s">
        <v>432</v>
      </c>
      <c r="G14" s="238">
        <v>176.5</v>
      </c>
      <c r="H14" s="542"/>
      <c r="I14" s="236">
        <v>78</v>
      </c>
      <c r="J14" s="236" t="s">
        <v>368</v>
      </c>
      <c r="K14" s="239">
        <v>97.22</v>
      </c>
    </row>
    <row r="15" spans="1:11" x14ac:dyDescent="0.25">
      <c r="A15" s="224">
        <v>9</v>
      </c>
      <c r="B15" s="236" t="s">
        <v>503</v>
      </c>
      <c r="C15" s="239">
        <v>47.46</v>
      </c>
      <c r="D15" s="538"/>
      <c r="E15" s="236">
        <v>41</v>
      </c>
      <c r="F15" s="236" t="s">
        <v>671</v>
      </c>
      <c r="G15" s="239">
        <v>30.650000000000002</v>
      </c>
      <c r="H15" s="542"/>
      <c r="I15" s="237">
        <v>79</v>
      </c>
      <c r="J15" s="237" t="s">
        <v>371</v>
      </c>
      <c r="K15" s="238">
        <v>203.81000000000003</v>
      </c>
    </row>
    <row r="16" spans="1:11" x14ac:dyDescent="0.25">
      <c r="A16" s="224">
        <v>10</v>
      </c>
      <c r="B16" s="237" t="s">
        <v>504</v>
      </c>
      <c r="C16" s="238">
        <v>56.46</v>
      </c>
      <c r="D16" s="538"/>
      <c r="E16" s="237">
        <v>42</v>
      </c>
      <c r="F16" s="237" t="s">
        <v>435</v>
      </c>
      <c r="G16" s="238">
        <v>77.5</v>
      </c>
      <c r="H16" s="542"/>
      <c r="I16" s="236">
        <v>80</v>
      </c>
      <c r="J16" s="236" t="s">
        <v>372</v>
      </c>
      <c r="K16" s="239">
        <v>55.58</v>
      </c>
    </row>
    <row r="17" spans="1:11" x14ac:dyDescent="0.25">
      <c r="A17" s="224">
        <v>11</v>
      </c>
      <c r="B17" s="236" t="s">
        <v>510</v>
      </c>
      <c r="C17" s="239">
        <v>73.900000000000006</v>
      </c>
      <c r="D17" s="538"/>
      <c r="E17" s="236">
        <v>43</v>
      </c>
      <c r="F17" s="236" t="s">
        <v>438</v>
      </c>
      <c r="G17" s="239">
        <v>80.599999999999994</v>
      </c>
      <c r="H17" s="542"/>
      <c r="I17" s="237">
        <v>81</v>
      </c>
      <c r="J17" s="237" t="s">
        <v>375</v>
      </c>
      <c r="K17" s="238">
        <v>48.900000000000006</v>
      </c>
    </row>
    <row r="18" spans="1:11" x14ac:dyDescent="0.25">
      <c r="A18" s="224">
        <v>12</v>
      </c>
      <c r="B18" s="237" t="s">
        <v>511</v>
      </c>
      <c r="C18" s="238">
        <v>82.3</v>
      </c>
      <c r="D18" s="538"/>
      <c r="E18" s="237">
        <v>44</v>
      </c>
      <c r="F18" s="237" t="s">
        <v>439</v>
      </c>
      <c r="G18" s="238">
        <v>18.73</v>
      </c>
      <c r="H18" s="542"/>
      <c r="I18" s="236">
        <v>82</v>
      </c>
      <c r="J18" s="236" t="s">
        <v>376</v>
      </c>
      <c r="K18" s="239">
        <v>78.400000000000006</v>
      </c>
    </row>
    <row r="19" spans="1:11" x14ac:dyDescent="0.25">
      <c r="A19" s="224">
        <v>13</v>
      </c>
      <c r="B19" s="236" t="s">
        <v>512</v>
      </c>
      <c r="C19" s="239">
        <v>78.400000000000006</v>
      </c>
      <c r="D19" s="538"/>
      <c r="E19" s="236">
        <v>45</v>
      </c>
      <c r="F19" s="236" t="s">
        <v>443</v>
      </c>
      <c r="G19" s="239">
        <v>54.7</v>
      </c>
      <c r="H19" s="542"/>
      <c r="I19" s="237">
        <v>83</v>
      </c>
      <c r="J19" s="237" t="s">
        <v>377</v>
      </c>
      <c r="K19" s="238">
        <v>109.79999999999998</v>
      </c>
    </row>
    <row r="20" spans="1:11" x14ac:dyDescent="0.25">
      <c r="A20" s="224">
        <v>14</v>
      </c>
      <c r="B20" s="237" t="s">
        <v>513</v>
      </c>
      <c r="C20" s="238">
        <v>96.3</v>
      </c>
      <c r="D20" s="538"/>
      <c r="E20" s="237">
        <v>46</v>
      </c>
      <c r="F20" s="237" t="s">
        <v>444</v>
      </c>
      <c r="G20" s="238">
        <v>54.199999999999996</v>
      </c>
      <c r="H20" s="542"/>
      <c r="I20" s="236">
        <v>84</v>
      </c>
      <c r="J20" s="236" t="s">
        <v>378</v>
      </c>
      <c r="K20" s="239">
        <v>146.11999999999998</v>
      </c>
    </row>
    <row r="21" spans="1:11" x14ac:dyDescent="0.25">
      <c r="A21" s="224">
        <v>15</v>
      </c>
      <c r="B21" s="236" t="s">
        <v>537</v>
      </c>
      <c r="C21" s="239">
        <v>30.04</v>
      </c>
      <c r="D21" s="538"/>
      <c r="E21" s="236">
        <v>47</v>
      </c>
      <c r="F21" s="236" t="s">
        <v>450</v>
      </c>
      <c r="G21" s="239">
        <v>34.369999999999997</v>
      </c>
      <c r="H21" s="542"/>
      <c r="I21" s="237">
        <v>85</v>
      </c>
      <c r="J21" s="237" t="s">
        <v>689</v>
      </c>
      <c r="K21" s="238">
        <v>84.5</v>
      </c>
    </row>
    <row r="22" spans="1:11" x14ac:dyDescent="0.25">
      <c r="A22" s="224">
        <v>16</v>
      </c>
      <c r="B22" s="237" t="s">
        <v>538</v>
      </c>
      <c r="C22" s="238">
        <v>81.740000000000009</v>
      </c>
      <c r="D22" s="538"/>
      <c r="E22" s="237">
        <v>48</v>
      </c>
      <c r="F22" s="237" t="s">
        <v>451</v>
      </c>
      <c r="G22" s="238">
        <v>152.58000000000001</v>
      </c>
      <c r="H22" s="542"/>
      <c r="I22" s="236">
        <v>86</v>
      </c>
      <c r="J22" s="236" t="s">
        <v>646</v>
      </c>
      <c r="K22" s="239">
        <v>132.80000000000001</v>
      </c>
    </row>
    <row r="23" spans="1:11" x14ac:dyDescent="0.25">
      <c r="A23" s="224">
        <v>17</v>
      </c>
      <c r="B23" s="236" t="s">
        <v>539</v>
      </c>
      <c r="C23" s="239">
        <v>24.84</v>
      </c>
      <c r="D23" s="538"/>
      <c r="E23" s="236">
        <v>49</v>
      </c>
      <c r="F23" s="236" t="s">
        <v>678</v>
      </c>
      <c r="G23" s="239">
        <v>60.5</v>
      </c>
      <c r="H23" s="542"/>
      <c r="I23" s="237">
        <v>87</v>
      </c>
      <c r="J23" s="237" t="s">
        <v>851</v>
      </c>
      <c r="K23" s="238">
        <v>30.94</v>
      </c>
    </row>
    <row r="24" spans="1:11" x14ac:dyDescent="0.25">
      <c r="A24" s="224">
        <v>18</v>
      </c>
      <c r="B24" s="237" t="s">
        <v>541</v>
      </c>
      <c r="C24" s="238">
        <v>19.600000000000001</v>
      </c>
      <c r="D24" s="538"/>
      <c r="E24" s="237">
        <v>50</v>
      </c>
      <c r="F24" s="237" t="s">
        <v>452</v>
      </c>
      <c r="G24" s="238">
        <v>80.920000000000016</v>
      </c>
      <c r="H24" s="542"/>
      <c r="I24" s="236">
        <v>88</v>
      </c>
      <c r="J24" s="236" t="s">
        <v>690</v>
      </c>
      <c r="K24" s="239">
        <v>77.260000000000005</v>
      </c>
    </row>
    <row r="25" spans="1:11" x14ac:dyDescent="0.25">
      <c r="A25" s="224">
        <v>19</v>
      </c>
      <c r="B25" s="236" t="s">
        <v>542</v>
      </c>
      <c r="C25" s="239">
        <v>85.74</v>
      </c>
      <c r="D25" s="538"/>
      <c r="E25" s="236">
        <v>51</v>
      </c>
      <c r="F25" s="236" t="s">
        <v>453</v>
      </c>
      <c r="G25" s="239">
        <v>78.7</v>
      </c>
      <c r="H25" s="542"/>
      <c r="I25" s="237">
        <v>89</v>
      </c>
      <c r="J25" s="237" t="s">
        <v>647</v>
      </c>
      <c r="K25" s="238">
        <v>84.5</v>
      </c>
    </row>
    <row r="26" spans="1:11" x14ac:dyDescent="0.25">
      <c r="A26" s="224">
        <v>20</v>
      </c>
      <c r="B26" s="237" t="s">
        <v>543</v>
      </c>
      <c r="C26" s="238">
        <v>11.38</v>
      </c>
      <c r="D26" s="538"/>
      <c r="E26" s="237">
        <v>52</v>
      </c>
      <c r="F26" s="237" t="s">
        <v>455</v>
      </c>
      <c r="G26" s="238">
        <v>41</v>
      </c>
      <c r="H26" s="542"/>
      <c r="I26" s="236">
        <v>90</v>
      </c>
      <c r="J26" s="236" t="s">
        <v>648</v>
      </c>
      <c r="K26" s="239">
        <v>70.5</v>
      </c>
    </row>
    <row r="27" spans="1:11" x14ac:dyDescent="0.25">
      <c r="A27" s="224">
        <v>21</v>
      </c>
      <c r="B27" s="236" t="s">
        <v>545</v>
      </c>
      <c r="C27" s="239">
        <v>68.62</v>
      </c>
      <c r="D27" s="538"/>
      <c r="E27" s="236">
        <v>53</v>
      </c>
      <c r="F27" s="236" t="s">
        <v>456</v>
      </c>
      <c r="G27" s="239">
        <v>82.1</v>
      </c>
      <c r="H27" s="542"/>
      <c r="I27" s="237">
        <v>91</v>
      </c>
      <c r="J27" s="237" t="s">
        <v>379</v>
      </c>
      <c r="K27" s="238">
        <v>74.36</v>
      </c>
    </row>
    <row r="28" spans="1:11" x14ac:dyDescent="0.25">
      <c r="A28" s="224">
        <v>22</v>
      </c>
      <c r="B28" s="237" t="s">
        <v>546</v>
      </c>
      <c r="C28" s="238">
        <v>73.78</v>
      </c>
      <c r="D28" s="538"/>
      <c r="E28" s="237">
        <v>54</v>
      </c>
      <c r="F28" s="237" t="s">
        <v>457</v>
      </c>
      <c r="G28" s="238">
        <v>98.6</v>
      </c>
      <c r="H28" s="542"/>
      <c r="I28" s="236">
        <v>92</v>
      </c>
      <c r="J28" s="236" t="s">
        <v>380</v>
      </c>
      <c r="K28" s="239">
        <v>82</v>
      </c>
    </row>
    <row r="29" spans="1:11" x14ac:dyDescent="0.25">
      <c r="A29" s="224">
        <v>23</v>
      </c>
      <c r="B29" s="236" t="s">
        <v>547</v>
      </c>
      <c r="C29" s="239">
        <v>58.500000000000007</v>
      </c>
      <c r="D29" s="538"/>
      <c r="E29" s="236">
        <v>55</v>
      </c>
      <c r="F29" s="236" t="s">
        <v>458</v>
      </c>
      <c r="G29" s="239">
        <v>31.179999999999996</v>
      </c>
      <c r="H29" s="542"/>
      <c r="I29" s="237">
        <v>93</v>
      </c>
      <c r="J29" s="237" t="s">
        <v>649</v>
      </c>
      <c r="K29" s="238">
        <v>67.300000000000011</v>
      </c>
    </row>
    <row r="30" spans="1:11" x14ac:dyDescent="0.25">
      <c r="A30" s="224">
        <v>24</v>
      </c>
      <c r="B30" s="237" t="s">
        <v>548</v>
      </c>
      <c r="C30" s="238">
        <v>9.9799999999999986</v>
      </c>
      <c r="D30" s="538"/>
      <c r="E30" s="237">
        <v>56</v>
      </c>
      <c r="F30" s="237" t="s">
        <v>459</v>
      </c>
      <c r="G30" s="238">
        <v>77.580000000000013</v>
      </c>
      <c r="H30" s="542"/>
      <c r="I30" s="236">
        <v>94</v>
      </c>
      <c r="J30" s="236" t="s">
        <v>383</v>
      </c>
      <c r="K30" s="239">
        <v>110.50999999999999</v>
      </c>
    </row>
    <row r="31" spans="1:11" x14ac:dyDescent="0.25">
      <c r="A31" s="224">
        <v>25</v>
      </c>
      <c r="B31" s="236" t="s">
        <v>549</v>
      </c>
      <c r="C31" s="239">
        <v>11.649999999999999</v>
      </c>
      <c r="D31" s="538"/>
      <c r="E31" s="236">
        <v>57</v>
      </c>
      <c r="F31" s="236" t="s">
        <v>462</v>
      </c>
      <c r="G31" s="239">
        <v>85.8</v>
      </c>
      <c r="H31" s="542"/>
      <c r="I31" s="237">
        <v>95</v>
      </c>
      <c r="J31" s="237" t="s">
        <v>384</v>
      </c>
      <c r="K31" s="238">
        <v>41.2</v>
      </c>
    </row>
    <row r="32" spans="1:11" x14ac:dyDescent="0.25">
      <c r="A32" s="224">
        <v>26</v>
      </c>
      <c r="B32" s="237" t="s">
        <v>551</v>
      </c>
      <c r="C32" s="238">
        <v>64.12</v>
      </c>
      <c r="D32" s="538"/>
      <c r="E32" s="237">
        <v>58</v>
      </c>
      <c r="F32" s="237" t="s">
        <v>463</v>
      </c>
      <c r="G32" s="238">
        <v>83.96</v>
      </c>
      <c r="H32" s="542"/>
      <c r="I32" s="236">
        <v>96</v>
      </c>
      <c r="J32" s="236" t="s">
        <v>385</v>
      </c>
      <c r="K32" s="239">
        <v>83.02000000000001</v>
      </c>
    </row>
    <row r="33" spans="1:11" x14ac:dyDescent="0.25">
      <c r="A33" s="224">
        <v>27</v>
      </c>
      <c r="B33" s="236" t="s">
        <v>552</v>
      </c>
      <c r="C33" s="239">
        <v>69.2</v>
      </c>
      <c r="D33" s="538"/>
      <c r="E33" s="236">
        <v>59</v>
      </c>
      <c r="F33" s="236" t="s">
        <v>464</v>
      </c>
      <c r="G33" s="239">
        <v>75.38</v>
      </c>
      <c r="H33" s="542"/>
      <c r="I33" s="237">
        <v>97</v>
      </c>
      <c r="J33" s="237" t="s">
        <v>386</v>
      </c>
      <c r="K33" s="238">
        <v>35.69</v>
      </c>
    </row>
    <row r="34" spans="1:11" x14ac:dyDescent="0.25">
      <c r="A34" s="224">
        <v>28</v>
      </c>
      <c r="B34" s="237" t="s">
        <v>554</v>
      </c>
      <c r="C34" s="238">
        <v>36.450000000000003</v>
      </c>
      <c r="D34" s="538"/>
      <c r="E34" s="237">
        <v>60</v>
      </c>
      <c r="F34" s="237" t="s">
        <v>466</v>
      </c>
      <c r="G34" s="238">
        <v>84.5</v>
      </c>
      <c r="H34" s="542"/>
      <c r="I34" s="236">
        <v>98</v>
      </c>
      <c r="J34" s="236" t="s">
        <v>387</v>
      </c>
      <c r="K34" s="239">
        <v>38.4</v>
      </c>
    </row>
    <row r="35" spans="1:11" x14ac:dyDescent="0.25">
      <c r="A35" s="224">
        <v>29</v>
      </c>
      <c r="B35" s="236" t="s">
        <v>555</v>
      </c>
      <c r="C35" s="239">
        <v>92.15</v>
      </c>
      <c r="D35" s="538"/>
      <c r="E35" s="236">
        <v>61</v>
      </c>
      <c r="F35" s="236" t="s">
        <v>467</v>
      </c>
      <c r="G35" s="239">
        <v>87.4</v>
      </c>
      <c r="H35" s="542"/>
      <c r="I35" s="237">
        <v>99</v>
      </c>
      <c r="J35" s="237" t="s">
        <v>388</v>
      </c>
      <c r="K35" s="238">
        <v>103.5</v>
      </c>
    </row>
    <row r="36" spans="1:11" x14ac:dyDescent="0.25">
      <c r="A36" s="224">
        <v>30</v>
      </c>
      <c r="B36" s="237" t="s">
        <v>556</v>
      </c>
      <c r="C36" s="238">
        <v>94.82</v>
      </c>
      <c r="D36" s="538"/>
      <c r="E36" s="237">
        <v>62</v>
      </c>
      <c r="F36" s="237" t="s">
        <v>469</v>
      </c>
      <c r="G36" s="238">
        <v>103.34</v>
      </c>
      <c r="H36" s="542"/>
      <c r="I36" s="236">
        <v>100</v>
      </c>
      <c r="J36" s="236" t="s">
        <v>389</v>
      </c>
      <c r="K36" s="239">
        <v>37</v>
      </c>
    </row>
    <row r="37" spans="1:11" x14ac:dyDescent="0.25">
      <c r="A37" s="224">
        <v>31</v>
      </c>
      <c r="B37" s="236" t="s">
        <v>557</v>
      </c>
      <c r="C37" s="239">
        <v>105.7</v>
      </c>
      <c r="D37" s="538"/>
      <c r="E37" s="236">
        <v>63</v>
      </c>
      <c r="F37" s="236" t="s">
        <v>471</v>
      </c>
      <c r="G37" s="239">
        <v>100.7</v>
      </c>
      <c r="H37" s="542"/>
      <c r="I37" s="237">
        <v>101</v>
      </c>
      <c r="J37" s="237" t="s">
        <v>391</v>
      </c>
      <c r="K37" s="238">
        <v>86.32</v>
      </c>
    </row>
    <row r="38" spans="1:11" x14ac:dyDescent="0.25">
      <c r="A38" s="224">
        <v>32</v>
      </c>
      <c r="B38" s="237" t="s">
        <v>558</v>
      </c>
      <c r="C38" s="238">
        <v>78</v>
      </c>
      <c r="D38" s="538"/>
      <c r="E38" s="237">
        <v>64</v>
      </c>
      <c r="F38" s="237" t="s">
        <v>473</v>
      </c>
      <c r="G38" s="238">
        <v>33.099999999999994</v>
      </c>
      <c r="H38" s="542"/>
      <c r="I38" s="236">
        <v>102</v>
      </c>
      <c r="J38" s="236" t="s">
        <v>392</v>
      </c>
      <c r="K38" s="239">
        <v>101.72</v>
      </c>
    </row>
    <row r="39" spans="1:11" x14ac:dyDescent="0.25">
      <c r="A39" s="205"/>
      <c r="B39" s="212" t="s">
        <v>590</v>
      </c>
      <c r="C39" s="333">
        <f>SUM(C7:C38)</f>
        <v>1856.9100000000003</v>
      </c>
      <c r="D39" s="538"/>
      <c r="E39" s="236">
        <v>65</v>
      </c>
      <c r="F39" s="236" t="s">
        <v>475</v>
      </c>
      <c r="G39" s="239">
        <v>38.9</v>
      </c>
      <c r="H39" s="542"/>
      <c r="I39" s="237">
        <v>103</v>
      </c>
      <c r="J39" s="237" t="s">
        <v>393</v>
      </c>
      <c r="K39" s="238">
        <v>83.5</v>
      </c>
    </row>
    <row r="40" spans="1:11" x14ac:dyDescent="0.25">
      <c r="A40" s="537"/>
      <c r="B40" s="537"/>
      <c r="C40" s="537"/>
      <c r="D40" s="538"/>
      <c r="E40" s="237">
        <v>66</v>
      </c>
      <c r="F40" s="237" t="s">
        <v>476</v>
      </c>
      <c r="G40" s="238">
        <v>102.8</v>
      </c>
      <c r="H40" s="542"/>
      <c r="I40" s="236">
        <v>104</v>
      </c>
      <c r="J40" s="236" t="s">
        <v>394</v>
      </c>
      <c r="K40" s="239">
        <v>36.67</v>
      </c>
    </row>
    <row r="41" spans="1:11" x14ac:dyDescent="0.25">
      <c r="A41" s="538"/>
      <c r="B41" s="538"/>
      <c r="C41" s="538"/>
      <c r="D41" s="538"/>
      <c r="E41" s="236">
        <v>67</v>
      </c>
      <c r="F41" s="236" t="s">
        <v>477</v>
      </c>
      <c r="G41" s="239">
        <v>39</v>
      </c>
      <c r="H41" s="542"/>
      <c r="I41" s="237">
        <v>105</v>
      </c>
      <c r="J41" s="237" t="s">
        <v>395</v>
      </c>
      <c r="K41" s="238">
        <v>61.79</v>
      </c>
    </row>
    <row r="42" spans="1:11" x14ac:dyDescent="0.25">
      <c r="A42" s="538"/>
      <c r="B42" s="538"/>
      <c r="C42" s="538"/>
      <c r="D42" s="538"/>
      <c r="E42" s="237">
        <v>68</v>
      </c>
      <c r="F42" s="237" t="s">
        <v>478</v>
      </c>
      <c r="G42" s="238">
        <v>116.25</v>
      </c>
      <c r="H42" s="542"/>
      <c r="I42" s="243"/>
      <c r="J42" s="212" t="s">
        <v>590</v>
      </c>
      <c r="K42" s="239">
        <f>SUM(K7:K41)</f>
        <v>2795.39</v>
      </c>
    </row>
    <row r="43" spans="1:11" x14ac:dyDescent="0.25">
      <c r="A43" s="538"/>
      <c r="B43" s="538"/>
      <c r="C43" s="538"/>
      <c r="D43" s="538"/>
      <c r="E43" s="236">
        <v>69</v>
      </c>
      <c r="F43" s="236" t="s">
        <v>479</v>
      </c>
      <c r="G43" s="239">
        <v>83.5</v>
      </c>
      <c r="H43" s="542"/>
      <c r="I43" s="537"/>
      <c r="J43" s="537"/>
      <c r="K43" s="537"/>
    </row>
    <row r="44" spans="1:11" x14ac:dyDescent="0.25">
      <c r="A44" s="538"/>
      <c r="B44" s="538"/>
      <c r="C44" s="538"/>
      <c r="D44" s="538"/>
      <c r="E44" s="237">
        <v>70</v>
      </c>
      <c r="F44" s="237" t="s">
        <v>480</v>
      </c>
      <c r="G44" s="238">
        <v>100.77</v>
      </c>
      <c r="H44" s="542"/>
      <c r="I44" s="538"/>
      <c r="J44" s="538"/>
      <c r="K44" s="538"/>
    </row>
    <row r="45" spans="1:11" x14ac:dyDescent="0.25">
      <c r="A45" s="538"/>
      <c r="B45" s="538"/>
      <c r="C45" s="538"/>
      <c r="D45" s="538"/>
      <c r="F45" s="212" t="s">
        <v>590</v>
      </c>
      <c r="G45" s="239">
        <f>SUM(G7:G44)</f>
        <v>2978.28</v>
      </c>
      <c r="H45" s="542"/>
      <c r="I45" s="538"/>
      <c r="J45" s="538"/>
      <c r="K45" s="538"/>
    </row>
  </sheetData>
  <mergeCells count="10">
    <mergeCell ref="I43:K45"/>
    <mergeCell ref="A40:C45"/>
    <mergeCell ref="D6:D45"/>
    <mergeCell ref="H6:H45"/>
    <mergeCell ref="A1:J1"/>
    <mergeCell ref="K1:K4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35.109375" style="220" customWidth="1"/>
    <col min="4" max="4" width="8.88671875" style="220"/>
    <col min="5" max="5" width="12.21875" style="220" bestFit="1" customWidth="1"/>
    <col min="6" max="6" width="11.6640625" style="220" customWidth="1"/>
    <col min="7" max="16384" width="8.88671875" style="220"/>
  </cols>
  <sheetData>
    <row r="1" spans="1:6" ht="18" customHeight="1" x14ac:dyDescent="0.25">
      <c r="A1" s="426" t="s">
        <v>586</v>
      </c>
      <c r="B1" s="426"/>
      <c r="C1" s="426"/>
      <c r="D1" s="426"/>
      <c r="E1" s="426"/>
      <c r="F1" s="543"/>
    </row>
    <row r="2" spans="1:6" s="408" customFormat="1" ht="18" customHeight="1" x14ac:dyDescent="0.25">
      <c r="A2" s="405" t="s">
        <v>580</v>
      </c>
      <c r="B2" s="405" t="s">
        <v>789</v>
      </c>
      <c r="C2" s="405" t="s">
        <v>582</v>
      </c>
      <c r="D2" s="253" t="s">
        <v>583</v>
      </c>
      <c r="E2" s="253" t="s">
        <v>584</v>
      </c>
      <c r="F2" s="543"/>
    </row>
    <row r="3" spans="1:6" ht="75" customHeight="1" x14ac:dyDescent="0.25">
      <c r="A3" s="405">
        <v>1</v>
      </c>
      <c r="B3" s="407" t="s">
        <v>954</v>
      </c>
      <c r="C3" s="407" t="s">
        <v>955</v>
      </c>
      <c r="D3" s="253" t="s">
        <v>571</v>
      </c>
      <c r="E3" s="256">
        <v>594.29999999999995</v>
      </c>
      <c r="F3" s="543"/>
    </row>
    <row r="4" spans="1:6" ht="36" x14ac:dyDescent="0.25">
      <c r="A4" s="405">
        <v>2</v>
      </c>
      <c r="B4" s="407" t="s">
        <v>954</v>
      </c>
      <c r="C4" s="407" t="s">
        <v>957</v>
      </c>
      <c r="D4" s="253" t="s">
        <v>571</v>
      </c>
      <c r="E4" s="256">
        <v>8.0500000000000007</v>
      </c>
    </row>
    <row r="6" spans="1:6" ht="18" customHeight="1" x14ac:dyDescent="0.25">
      <c r="A6" s="426" t="s">
        <v>586</v>
      </c>
      <c r="B6" s="426"/>
      <c r="C6" s="426"/>
      <c r="D6" s="426"/>
      <c r="E6" s="426"/>
      <c r="F6" s="543"/>
    </row>
    <row r="7" spans="1:6" s="408" customFormat="1" ht="18" customHeight="1" x14ac:dyDescent="0.25">
      <c r="A7" s="405" t="s">
        <v>580</v>
      </c>
      <c r="B7" s="405" t="s">
        <v>789</v>
      </c>
      <c r="C7" s="405" t="s">
        <v>582</v>
      </c>
      <c r="D7" s="253" t="s">
        <v>583</v>
      </c>
      <c r="E7" s="253" t="s">
        <v>584</v>
      </c>
      <c r="F7" s="543"/>
    </row>
    <row r="8" spans="1:6" ht="70.2" customHeight="1" x14ac:dyDescent="0.25">
      <c r="A8" s="405">
        <v>1</v>
      </c>
      <c r="B8" s="407" t="s">
        <v>954</v>
      </c>
      <c r="C8" s="407" t="s">
        <v>956</v>
      </c>
      <c r="D8" s="253" t="s">
        <v>571</v>
      </c>
      <c r="E8" s="256">
        <v>594.29999999999995</v>
      </c>
      <c r="F8" s="543"/>
    </row>
    <row r="9" spans="1:6" ht="36" x14ac:dyDescent="0.25">
      <c r="A9" s="405">
        <v>2</v>
      </c>
      <c r="B9" s="407" t="s">
        <v>954</v>
      </c>
      <c r="C9" s="407" t="s">
        <v>958</v>
      </c>
      <c r="D9" s="253" t="s">
        <v>571</v>
      </c>
      <c r="E9" s="256">
        <v>8.0500000000000007</v>
      </c>
    </row>
  </sheetData>
  <mergeCells count="4">
    <mergeCell ref="A6:E6"/>
    <mergeCell ref="F6:F8"/>
    <mergeCell ref="A1:E1"/>
    <mergeCell ref="F1:F3"/>
  </mergeCells>
  <pageMargins left="0.7" right="0.7" top="0.75" bottom="0.75" header="0.3" footer="0.3"/>
  <pageSetup paperSize="9" orientation="portrait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  <c r="I1" s="426"/>
      <c r="J1" s="426"/>
      <c r="K1" s="543"/>
    </row>
    <row r="2" spans="1:11" ht="18" customHeight="1" x14ac:dyDescent="0.25">
      <c r="A2" s="233" t="s">
        <v>580</v>
      </c>
      <c r="B2" s="426" t="s">
        <v>789</v>
      </c>
      <c r="C2" s="426"/>
      <c r="D2" s="426"/>
      <c r="E2" s="426"/>
      <c r="F2" s="426"/>
      <c r="G2" s="426"/>
      <c r="H2" s="426"/>
      <c r="I2" s="255" t="s">
        <v>583</v>
      </c>
      <c r="J2" s="255" t="s">
        <v>584</v>
      </c>
      <c r="K2" s="543"/>
    </row>
    <row r="3" spans="1:11" ht="36" customHeight="1" x14ac:dyDescent="0.25">
      <c r="A3" s="233">
        <v>1</v>
      </c>
      <c r="B3" s="540" t="s">
        <v>791</v>
      </c>
      <c r="C3" s="540"/>
      <c r="D3" s="540"/>
      <c r="E3" s="540"/>
      <c r="F3" s="540"/>
      <c r="G3" s="540"/>
      <c r="H3" s="540"/>
      <c r="I3" s="253" t="s">
        <v>571</v>
      </c>
      <c r="J3" s="256">
        <f>C35+G40+K31</f>
        <v>9286.130000000001</v>
      </c>
      <c r="K3" s="543"/>
    </row>
    <row r="4" spans="1:11" ht="37.200000000000003" customHeight="1" x14ac:dyDescent="0.25">
      <c r="A4" s="233">
        <v>2</v>
      </c>
      <c r="B4" s="541" t="s">
        <v>790</v>
      </c>
      <c r="C4" s="541"/>
      <c r="D4" s="541"/>
      <c r="E4" s="541"/>
      <c r="F4" s="541"/>
      <c r="G4" s="541"/>
      <c r="H4" s="541"/>
      <c r="I4" s="253" t="s">
        <v>788</v>
      </c>
      <c r="J4" s="256">
        <v>18.93</v>
      </c>
      <c r="K4" s="543"/>
    </row>
    <row r="5" spans="1:11" ht="8.4" customHeight="1" x14ac:dyDescent="0.25">
      <c r="A5" s="539"/>
      <c r="B5" s="539"/>
      <c r="C5" s="539"/>
      <c r="D5" s="539"/>
      <c r="E5" s="539"/>
      <c r="F5" s="539"/>
      <c r="G5" s="539"/>
      <c r="H5" s="539"/>
      <c r="I5" s="539"/>
      <c r="J5" s="539"/>
      <c r="K5" s="539"/>
    </row>
    <row r="6" spans="1:11" x14ac:dyDescent="0.25">
      <c r="A6" s="226" t="s">
        <v>580</v>
      </c>
      <c r="B6" s="227" t="s">
        <v>693</v>
      </c>
      <c r="C6" s="228" t="s">
        <v>588</v>
      </c>
      <c r="D6" s="537"/>
      <c r="E6" s="249" t="s">
        <v>580</v>
      </c>
      <c r="F6" s="250" t="s">
        <v>693</v>
      </c>
      <c r="G6" s="251" t="s">
        <v>588</v>
      </c>
      <c r="H6" s="538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538"/>
      <c r="E7" s="243">
        <v>29</v>
      </c>
      <c r="F7" s="234" t="s">
        <v>729</v>
      </c>
      <c r="G7" s="244">
        <v>48</v>
      </c>
      <c r="H7" s="538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538"/>
      <c r="E8" s="245">
        <v>30</v>
      </c>
      <c r="F8" s="235" t="s">
        <v>730</v>
      </c>
      <c r="G8" s="246">
        <v>110.2</v>
      </c>
      <c r="H8" s="538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538"/>
      <c r="E9" s="243">
        <v>31</v>
      </c>
      <c r="F9" s="234" t="s">
        <v>731</v>
      </c>
      <c r="G9" s="244">
        <v>76</v>
      </c>
      <c r="H9" s="538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538"/>
      <c r="E10" s="245">
        <v>32</v>
      </c>
      <c r="F10" s="235" t="s">
        <v>732</v>
      </c>
      <c r="G10" s="246">
        <v>108.3</v>
      </c>
      <c r="H10" s="538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538"/>
      <c r="E11" s="243">
        <v>33</v>
      </c>
      <c r="F11" s="234" t="s">
        <v>733</v>
      </c>
      <c r="G11" s="244">
        <v>43.9</v>
      </c>
      <c r="H11" s="538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538"/>
      <c r="E12" s="245">
        <v>34</v>
      </c>
      <c r="F12" s="235" t="s">
        <v>734</v>
      </c>
      <c r="G12" s="246">
        <v>127.2</v>
      </c>
      <c r="H12" s="538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538"/>
      <c r="E13" s="243">
        <v>35</v>
      </c>
      <c r="F13" s="234" t="s">
        <v>735</v>
      </c>
      <c r="G13" s="244">
        <v>92.5</v>
      </c>
      <c r="H13" s="538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538"/>
      <c r="E14" s="245">
        <v>36</v>
      </c>
      <c r="F14" s="237" t="s">
        <v>736</v>
      </c>
      <c r="G14" s="238">
        <v>287.7</v>
      </c>
      <c r="H14" s="538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538"/>
      <c r="E15" s="243">
        <v>37</v>
      </c>
      <c r="F15" s="236" t="s">
        <v>737</v>
      </c>
      <c r="G15" s="239">
        <v>80.3</v>
      </c>
      <c r="H15" s="538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538"/>
      <c r="E16" s="245">
        <v>38</v>
      </c>
      <c r="F16" s="237" t="s">
        <v>738</v>
      </c>
      <c r="G16" s="238">
        <v>266.39999999999998</v>
      </c>
      <c r="H16" s="538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538"/>
      <c r="E17" s="243">
        <v>39</v>
      </c>
      <c r="F17" s="236" t="s">
        <v>739</v>
      </c>
      <c r="G17" s="239">
        <v>106.3</v>
      </c>
      <c r="H17" s="538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538"/>
      <c r="E18" s="245">
        <v>40</v>
      </c>
      <c r="F18" s="237" t="s">
        <v>740</v>
      </c>
      <c r="G18" s="238">
        <v>104.5</v>
      </c>
      <c r="H18" s="538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538"/>
      <c r="E19" s="243">
        <v>41</v>
      </c>
      <c r="F19" s="236" t="s">
        <v>741</v>
      </c>
      <c r="G19" s="239">
        <v>102.3</v>
      </c>
      <c r="H19" s="538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538"/>
      <c r="E20" s="245">
        <v>42</v>
      </c>
      <c r="F20" s="237" t="s">
        <v>742</v>
      </c>
      <c r="G20" s="238">
        <v>105.3</v>
      </c>
      <c r="H20" s="538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538"/>
      <c r="E21" s="243">
        <v>43</v>
      </c>
      <c r="F21" s="236" t="s">
        <v>743</v>
      </c>
      <c r="G21" s="239">
        <v>173.9</v>
      </c>
      <c r="H21" s="538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538"/>
      <c r="E22" s="245">
        <v>44</v>
      </c>
      <c r="F22" s="237" t="s">
        <v>744</v>
      </c>
      <c r="G22" s="238">
        <v>78.7</v>
      </c>
      <c r="H22" s="538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538"/>
      <c r="E23" s="243">
        <v>45</v>
      </c>
      <c r="F23" s="236" t="s">
        <v>745</v>
      </c>
      <c r="G23" s="239">
        <v>73.8</v>
      </c>
      <c r="H23" s="538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538"/>
      <c r="E24" s="245">
        <v>46</v>
      </c>
      <c r="F24" s="237" t="s">
        <v>746</v>
      </c>
      <c r="G24" s="238">
        <v>103.6</v>
      </c>
      <c r="H24" s="538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538"/>
      <c r="E25" s="243">
        <v>47</v>
      </c>
      <c r="F25" s="236" t="s">
        <v>747</v>
      </c>
      <c r="G25" s="239">
        <v>94.6</v>
      </c>
      <c r="H25" s="538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538"/>
      <c r="E26" s="245">
        <v>48</v>
      </c>
      <c r="F26" s="237" t="s">
        <v>748</v>
      </c>
      <c r="G26" s="238">
        <v>15</v>
      </c>
      <c r="H26" s="538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538"/>
      <c r="E27" s="243">
        <v>49</v>
      </c>
      <c r="F27" s="236" t="s">
        <v>749</v>
      </c>
      <c r="G27" s="239">
        <v>10</v>
      </c>
      <c r="H27" s="538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538"/>
      <c r="E28" s="245">
        <v>50</v>
      </c>
      <c r="F28" s="237" t="s">
        <v>750</v>
      </c>
      <c r="G28" s="238">
        <v>10</v>
      </c>
      <c r="H28" s="538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538"/>
      <c r="E29" s="243">
        <v>51</v>
      </c>
      <c r="F29" s="236" t="s">
        <v>751</v>
      </c>
      <c r="G29" s="239">
        <v>170</v>
      </c>
      <c r="H29" s="538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538"/>
      <c r="E30" s="245">
        <v>52</v>
      </c>
      <c r="F30" s="237" t="s">
        <v>752</v>
      </c>
      <c r="G30" s="238">
        <v>90.38</v>
      </c>
      <c r="H30" s="538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538"/>
      <c r="E31" s="243">
        <v>53</v>
      </c>
      <c r="F31" s="236" t="s">
        <v>753</v>
      </c>
      <c r="G31" s="239">
        <v>93.81</v>
      </c>
      <c r="H31" s="538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538"/>
      <c r="E32" s="245">
        <v>54</v>
      </c>
      <c r="F32" s="237" t="s">
        <v>754</v>
      </c>
      <c r="G32" s="238">
        <v>93.37</v>
      </c>
      <c r="H32" s="538"/>
      <c r="I32" s="537"/>
      <c r="J32" s="537"/>
      <c r="K32" s="537"/>
    </row>
    <row r="33" spans="1:11" x14ac:dyDescent="0.25">
      <c r="A33" s="224">
        <v>27</v>
      </c>
      <c r="B33" s="221" t="s">
        <v>727</v>
      </c>
      <c r="C33" s="225">
        <v>82.94</v>
      </c>
      <c r="D33" s="538"/>
      <c r="E33" s="243">
        <v>55</v>
      </c>
      <c r="F33" s="236" t="s">
        <v>755</v>
      </c>
      <c r="G33" s="239">
        <f>82+107.45</f>
        <v>189.45</v>
      </c>
      <c r="H33" s="538"/>
      <c r="I33" s="538"/>
      <c r="J33" s="538"/>
      <c r="K33" s="538"/>
    </row>
    <row r="34" spans="1:11" x14ac:dyDescent="0.25">
      <c r="A34" s="224">
        <v>28</v>
      </c>
      <c r="B34" s="221" t="s">
        <v>728</v>
      </c>
      <c r="C34" s="225">
        <v>71.62</v>
      </c>
      <c r="D34" s="538"/>
      <c r="E34" s="245">
        <v>56</v>
      </c>
      <c r="F34" s="237" t="s">
        <v>756</v>
      </c>
      <c r="G34" s="238">
        <v>130.38</v>
      </c>
      <c r="H34" s="538"/>
      <c r="I34" s="538"/>
      <c r="J34" s="538"/>
      <c r="K34" s="538"/>
    </row>
    <row r="35" spans="1:11" x14ac:dyDescent="0.25">
      <c r="A35" s="205"/>
      <c r="B35" s="212" t="s">
        <v>590</v>
      </c>
      <c r="C35" s="207">
        <f>SUM(C7:C34)</f>
        <v>3113.3399999999997</v>
      </c>
      <c r="D35" s="538"/>
      <c r="E35" s="243">
        <v>57</v>
      </c>
      <c r="F35" s="236" t="s">
        <v>757</v>
      </c>
      <c r="G35" s="239">
        <v>90.9</v>
      </c>
      <c r="H35" s="538"/>
      <c r="I35" s="538"/>
      <c r="J35" s="538"/>
      <c r="K35" s="538"/>
    </row>
    <row r="36" spans="1:11" x14ac:dyDescent="0.25">
      <c r="A36" s="537"/>
      <c r="B36" s="537"/>
      <c r="C36" s="537"/>
      <c r="D36" s="538"/>
      <c r="E36" s="245">
        <v>58</v>
      </c>
      <c r="F36" s="237" t="s">
        <v>758</v>
      </c>
      <c r="G36" s="238">
        <v>86.81</v>
      </c>
      <c r="H36" s="538"/>
      <c r="I36" s="538"/>
      <c r="J36" s="538"/>
      <c r="K36" s="538"/>
    </row>
    <row r="37" spans="1:11" x14ac:dyDescent="0.25">
      <c r="A37" s="538"/>
      <c r="B37" s="538"/>
      <c r="C37" s="538"/>
      <c r="D37" s="538"/>
      <c r="E37" s="243">
        <v>59</v>
      </c>
      <c r="F37" s="236" t="s">
        <v>759</v>
      </c>
      <c r="G37" s="239">
        <v>91.84</v>
      </c>
      <c r="H37" s="538"/>
      <c r="I37" s="538"/>
      <c r="J37" s="538"/>
      <c r="K37" s="538"/>
    </row>
    <row r="38" spans="1:11" x14ac:dyDescent="0.25">
      <c r="A38" s="538"/>
      <c r="B38" s="538"/>
      <c r="C38" s="538"/>
      <c r="D38" s="538"/>
      <c r="E38" s="245">
        <v>60</v>
      </c>
      <c r="F38" s="237" t="s">
        <v>760</v>
      </c>
      <c r="G38" s="238">
        <v>133.22999999999999</v>
      </c>
      <c r="H38" s="538"/>
      <c r="I38" s="538"/>
      <c r="J38" s="538"/>
      <c r="K38" s="538"/>
    </row>
    <row r="39" spans="1:11" x14ac:dyDescent="0.25">
      <c r="A39" s="538"/>
      <c r="B39" s="538"/>
      <c r="C39" s="538"/>
      <c r="D39" s="538"/>
      <c r="E39" s="243">
        <v>61</v>
      </c>
      <c r="F39" s="236" t="s">
        <v>761</v>
      </c>
      <c r="G39" s="239">
        <v>70</v>
      </c>
      <c r="H39" s="538"/>
      <c r="I39" s="538"/>
      <c r="J39" s="538"/>
      <c r="K39" s="538"/>
    </row>
    <row r="40" spans="1:11" x14ac:dyDescent="0.25">
      <c r="A40" s="538"/>
      <c r="B40" s="538"/>
      <c r="C40" s="538"/>
      <c r="D40" s="538"/>
      <c r="E40" s="205"/>
      <c r="F40" s="212" t="s">
        <v>590</v>
      </c>
      <c r="G40" s="207">
        <f>SUM(G7:G39)</f>
        <v>3458.67</v>
      </c>
      <c r="H40" s="538"/>
      <c r="I40" s="538"/>
      <c r="J40" s="538"/>
      <c r="K40" s="538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57" t="s">
        <v>796</v>
      </c>
      <c r="D12" s="257">
        <v>6.1</v>
      </c>
      <c r="E12" s="257">
        <v>0</v>
      </c>
      <c r="F12" s="257">
        <v>0</v>
      </c>
      <c r="G12" s="257">
        <f t="shared" si="0"/>
        <v>6.1</v>
      </c>
    </row>
    <row r="13" spans="3:7" x14ac:dyDescent="0.25">
      <c r="C13" s="257" t="s">
        <v>797</v>
      </c>
      <c r="D13" s="257">
        <v>12.8</v>
      </c>
      <c r="E13" s="257">
        <v>11.3</v>
      </c>
      <c r="F13" s="257">
        <v>0</v>
      </c>
      <c r="G13" s="257">
        <f t="shared" si="0"/>
        <v>24.1</v>
      </c>
    </row>
    <row r="14" spans="3:7" x14ac:dyDescent="0.25">
      <c r="C14" s="257" t="s">
        <v>801</v>
      </c>
      <c r="D14" s="257">
        <v>0</v>
      </c>
      <c r="E14" s="257">
        <v>0.4</v>
      </c>
      <c r="F14" s="257">
        <v>0</v>
      </c>
      <c r="G14" s="257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</row>
    <row r="2" spans="1:8" ht="18" customHeight="1" x14ac:dyDescent="0.25">
      <c r="A2" s="258" t="s">
        <v>580</v>
      </c>
      <c r="B2" s="426" t="s">
        <v>789</v>
      </c>
      <c r="C2" s="426"/>
      <c r="D2" s="426"/>
      <c r="E2" s="426"/>
      <c r="F2" s="258" t="s">
        <v>582</v>
      </c>
      <c r="G2" s="255" t="s">
        <v>583</v>
      </c>
      <c r="H2" s="255" t="s">
        <v>584</v>
      </c>
    </row>
    <row r="3" spans="1:8" ht="50.4" customHeight="1" x14ac:dyDescent="0.25">
      <c r="A3" s="258">
        <v>1</v>
      </c>
      <c r="B3" s="540" t="s">
        <v>569</v>
      </c>
      <c r="C3" s="540"/>
      <c r="D3" s="540"/>
      <c r="E3" s="540"/>
      <c r="F3" s="259" t="s">
        <v>818</v>
      </c>
      <c r="G3" s="253" t="s">
        <v>571</v>
      </c>
      <c r="H3" s="256">
        <f>D22</f>
        <v>1153.1373000000001</v>
      </c>
    </row>
    <row r="4" spans="1:8" ht="19.2" customHeight="1" x14ac:dyDescent="0.25">
      <c r="A4" s="537"/>
      <c r="B4" s="537"/>
      <c r="C4" s="537"/>
      <c r="D4" s="537"/>
      <c r="E4" s="537"/>
      <c r="F4" s="537"/>
      <c r="G4" s="537"/>
      <c r="H4" s="537"/>
    </row>
    <row r="5" spans="1:8" x14ac:dyDescent="0.25">
      <c r="A5" s="253" t="s">
        <v>580</v>
      </c>
      <c r="B5" s="253" t="s">
        <v>814</v>
      </c>
      <c r="C5" s="253" t="s">
        <v>815</v>
      </c>
      <c r="D5" s="253" t="s">
        <v>816</v>
      </c>
      <c r="E5" s="544"/>
      <c r="F5" s="538"/>
      <c r="G5" s="538"/>
      <c r="H5" s="538"/>
    </row>
    <row r="6" spans="1:8" x14ac:dyDescent="0.25">
      <c r="A6" s="253">
        <v>1</v>
      </c>
      <c r="B6" s="272" t="s">
        <v>517</v>
      </c>
      <c r="C6" s="253" t="s">
        <v>571</v>
      </c>
      <c r="D6" s="256">
        <v>110.625</v>
      </c>
      <c r="E6" s="544"/>
      <c r="F6" s="538"/>
      <c r="G6" s="538"/>
      <c r="H6" s="538"/>
    </row>
    <row r="7" spans="1:8" x14ac:dyDescent="0.25">
      <c r="A7" s="253">
        <v>2</v>
      </c>
      <c r="B7" s="272" t="s">
        <v>518</v>
      </c>
      <c r="C7" s="253" t="s">
        <v>571</v>
      </c>
      <c r="D7" s="256">
        <v>50.179500000000004</v>
      </c>
      <c r="E7" s="544"/>
      <c r="F7" s="538"/>
      <c r="G7" s="538"/>
      <c r="H7" s="538"/>
    </row>
    <row r="8" spans="1:8" x14ac:dyDescent="0.25">
      <c r="A8" s="253">
        <v>3</v>
      </c>
      <c r="B8" s="272" t="s">
        <v>519</v>
      </c>
      <c r="C8" s="253" t="s">
        <v>571</v>
      </c>
      <c r="D8" s="256">
        <v>169.3005</v>
      </c>
      <c r="E8" s="544"/>
      <c r="F8" s="538"/>
      <c r="G8" s="538"/>
      <c r="H8" s="538"/>
    </row>
    <row r="9" spans="1:8" x14ac:dyDescent="0.25">
      <c r="A9" s="253">
        <v>4</v>
      </c>
      <c r="B9" s="272" t="s">
        <v>520</v>
      </c>
      <c r="C9" s="253" t="s">
        <v>571</v>
      </c>
      <c r="D9" s="256">
        <v>60.356999999999999</v>
      </c>
      <c r="E9" s="544"/>
      <c r="F9" s="538"/>
      <c r="G9" s="538"/>
      <c r="H9" s="538"/>
    </row>
    <row r="10" spans="1:8" x14ac:dyDescent="0.25">
      <c r="A10" s="253">
        <v>5</v>
      </c>
      <c r="B10" s="272" t="s">
        <v>521</v>
      </c>
      <c r="C10" s="253" t="s">
        <v>571</v>
      </c>
      <c r="D10" s="256">
        <v>50.268000000000001</v>
      </c>
      <c r="E10" s="544"/>
      <c r="F10" s="538"/>
      <c r="G10" s="538"/>
      <c r="H10" s="538"/>
    </row>
    <row r="11" spans="1:8" x14ac:dyDescent="0.25">
      <c r="A11" s="253">
        <v>6</v>
      </c>
      <c r="B11" s="272" t="s">
        <v>522</v>
      </c>
      <c r="C11" s="253" t="s">
        <v>571</v>
      </c>
      <c r="D11" s="256">
        <v>86.375999999999991</v>
      </c>
      <c r="E11" s="544"/>
      <c r="F11" s="538"/>
      <c r="G11" s="538"/>
      <c r="H11" s="538"/>
    </row>
    <row r="12" spans="1:8" x14ac:dyDescent="0.25">
      <c r="A12" s="253">
        <v>7</v>
      </c>
      <c r="B12" s="272" t="s">
        <v>523</v>
      </c>
      <c r="C12" s="253" t="s">
        <v>571</v>
      </c>
      <c r="D12" s="256">
        <v>48.497999999999998</v>
      </c>
      <c r="E12" s="544"/>
      <c r="F12" s="538"/>
      <c r="G12" s="538"/>
      <c r="H12" s="538"/>
    </row>
    <row r="13" spans="1:8" x14ac:dyDescent="0.25">
      <c r="A13" s="253">
        <v>8</v>
      </c>
      <c r="B13" s="272" t="s">
        <v>525</v>
      </c>
      <c r="C13" s="253" t="s">
        <v>571</v>
      </c>
      <c r="D13" s="256">
        <v>48.409500000000001</v>
      </c>
      <c r="E13" s="544"/>
      <c r="F13" s="538"/>
      <c r="G13" s="538"/>
      <c r="H13" s="538"/>
    </row>
    <row r="14" spans="1:8" x14ac:dyDescent="0.25">
      <c r="A14" s="253">
        <v>9</v>
      </c>
      <c r="B14" s="272" t="s">
        <v>526</v>
      </c>
      <c r="C14" s="253" t="s">
        <v>571</v>
      </c>
      <c r="D14" s="256">
        <v>36.816000000000003</v>
      </c>
      <c r="E14" s="544"/>
      <c r="F14" s="538"/>
      <c r="G14" s="538"/>
      <c r="H14" s="538"/>
    </row>
    <row r="15" spans="1:8" x14ac:dyDescent="0.25">
      <c r="A15" s="253">
        <v>10</v>
      </c>
      <c r="B15" s="272" t="s">
        <v>528</v>
      </c>
      <c r="C15" s="253" t="s">
        <v>571</v>
      </c>
      <c r="D15" s="256">
        <v>44.25</v>
      </c>
      <c r="E15" s="544"/>
      <c r="F15" s="538"/>
      <c r="G15" s="538"/>
      <c r="H15" s="538"/>
    </row>
    <row r="16" spans="1:8" x14ac:dyDescent="0.25">
      <c r="A16" s="253">
        <v>11</v>
      </c>
      <c r="B16" s="272" t="s">
        <v>532</v>
      </c>
      <c r="C16" s="253" t="s">
        <v>571</v>
      </c>
      <c r="D16" s="256">
        <v>20.514299999999999</v>
      </c>
      <c r="E16" s="544"/>
      <c r="F16" s="538"/>
      <c r="G16" s="538"/>
      <c r="H16" s="538"/>
    </row>
    <row r="17" spans="1:8" x14ac:dyDescent="0.25">
      <c r="A17" s="253">
        <v>12</v>
      </c>
      <c r="B17" s="272" t="s">
        <v>533</v>
      </c>
      <c r="C17" s="253" t="s">
        <v>571</v>
      </c>
      <c r="D17" s="256">
        <v>39.5595</v>
      </c>
      <c r="E17" s="544"/>
      <c r="F17" s="538"/>
      <c r="G17" s="538"/>
      <c r="H17" s="538"/>
    </row>
    <row r="18" spans="1:8" x14ac:dyDescent="0.25">
      <c r="A18" s="253">
        <v>13</v>
      </c>
      <c r="B18" s="272" t="s">
        <v>534</v>
      </c>
      <c r="C18" s="253" t="s">
        <v>571</v>
      </c>
      <c r="D18" s="256">
        <v>39.471000000000004</v>
      </c>
      <c r="E18" s="544"/>
      <c r="F18" s="538"/>
      <c r="G18" s="538"/>
      <c r="H18" s="538"/>
    </row>
    <row r="19" spans="1:8" x14ac:dyDescent="0.25">
      <c r="A19" s="253">
        <v>14</v>
      </c>
      <c r="B19" s="272" t="s">
        <v>535</v>
      </c>
      <c r="C19" s="253" t="s">
        <v>571</v>
      </c>
      <c r="D19" s="256">
        <v>59.472000000000001</v>
      </c>
      <c r="E19" s="544"/>
      <c r="F19" s="538"/>
      <c r="G19" s="538"/>
      <c r="H19" s="538"/>
    </row>
    <row r="20" spans="1:8" x14ac:dyDescent="0.25">
      <c r="A20" s="253">
        <v>15</v>
      </c>
      <c r="B20" s="272" t="s">
        <v>536</v>
      </c>
      <c r="C20" s="253" t="s">
        <v>571</v>
      </c>
      <c r="D20" s="256">
        <v>175.49550000000002</v>
      </c>
      <c r="E20" s="544"/>
      <c r="F20" s="538"/>
      <c r="G20" s="538"/>
      <c r="H20" s="538"/>
    </row>
    <row r="21" spans="1:8" x14ac:dyDescent="0.25">
      <c r="A21" s="253">
        <v>16</v>
      </c>
      <c r="B21" s="272" t="s">
        <v>560</v>
      </c>
      <c r="C21" s="253" t="s">
        <v>571</v>
      </c>
      <c r="D21" s="256">
        <v>113.5455</v>
      </c>
      <c r="E21" s="544"/>
      <c r="F21" s="538"/>
      <c r="G21" s="538"/>
      <c r="H21" s="538"/>
    </row>
    <row r="22" spans="1:8" x14ac:dyDescent="0.25">
      <c r="A22" s="253"/>
      <c r="B22" s="253" t="s">
        <v>817</v>
      </c>
      <c r="C22" s="253" t="s">
        <v>571</v>
      </c>
      <c r="D22" s="256">
        <f>SUM(D6:D21)</f>
        <v>1153.1373000000001</v>
      </c>
      <c r="E22" s="544"/>
      <c r="F22" s="538"/>
      <c r="G22" s="538"/>
      <c r="H22" s="538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</row>
    <row r="2" spans="1:8" ht="18" customHeight="1" x14ac:dyDescent="0.25">
      <c r="A2" s="273" t="s">
        <v>580</v>
      </c>
      <c r="B2" s="426" t="s">
        <v>789</v>
      </c>
      <c r="C2" s="426"/>
      <c r="D2" s="426"/>
      <c r="E2" s="426"/>
      <c r="F2" s="273" t="s">
        <v>582</v>
      </c>
      <c r="G2" s="255" t="s">
        <v>583</v>
      </c>
      <c r="H2" s="255" t="s">
        <v>584</v>
      </c>
    </row>
    <row r="3" spans="1:8" ht="50.4" customHeight="1" x14ac:dyDescent="0.25">
      <c r="A3" s="273">
        <v>1</v>
      </c>
      <c r="B3" s="540" t="s">
        <v>808</v>
      </c>
      <c r="C3" s="540"/>
      <c r="D3" s="540"/>
      <c r="E3" s="540"/>
      <c r="F3" s="274" t="s">
        <v>819</v>
      </c>
      <c r="G3" s="253" t="s">
        <v>571</v>
      </c>
      <c r="H3" s="256">
        <f>D9</f>
        <v>1254.2</v>
      </c>
    </row>
    <row r="4" spans="1:8" ht="19.2" customHeight="1" x14ac:dyDescent="0.25">
      <c r="A4" s="537"/>
      <c r="B4" s="537"/>
      <c r="C4" s="537"/>
      <c r="D4" s="537"/>
      <c r="E4" s="537"/>
      <c r="F4" s="537"/>
      <c r="G4" s="537"/>
      <c r="H4" s="537"/>
    </row>
    <row r="5" spans="1:8" x14ac:dyDescent="0.25">
      <c r="A5" s="253" t="s">
        <v>580</v>
      </c>
      <c r="B5" s="253" t="s">
        <v>821</v>
      </c>
      <c r="C5" s="253" t="s">
        <v>820</v>
      </c>
      <c r="D5" s="253" t="s">
        <v>816</v>
      </c>
      <c r="E5" s="544"/>
      <c r="F5" s="538"/>
      <c r="G5" s="538"/>
      <c r="H5" s="538"/>
    </row>
    <row r="6" spans="1:8" x14ac:dyDescent="0.25">
      <c r="A6" s="253">
        <v>1</v>
      </c>
      <c r="B6" s="272" t="s">
        <v>822</v>
      </c>
      <c r="C6" s="253" t="s">
        <v>571</v>
      </c>
      <c r="D6" s="256">
        <v>659.2</v>
      </c>
      <c r="E6" s="544"/>
      <c r="F6" s="538"/>
      <c r="G6" s="538"/>
      <c r="H6" s="538"/>
    </row>
    <row r="7" spans="1:8" x14ac:dyDescent="0.25">
      <c r="A7" s="253">
        <v>2</v>
      </c>
      <c r="B7" s="272" t="s">
        <v>823</v>
      </c>
      <c r="C7" s="253" t="s">
        <v>571</v>
      </c>
      <c r="D7" s="256">
        <v>203.4</v>
      </c>
      <c r="E7" s="544"/>
      <c r="F7" s="538"/>
      <c r="G7" s="538"/>
      <c r="H7" s="538"/>
    </row>
    <row r="8" spans="1:8" x14ac:dyDescent="0.25">
      <c r="A8" s="253">
        <v>3</v>
      </c>
      <c r="B8" s="272" t="s">
        <v>824</v>
      </c>
      <c r="C8" s="253" t="s">
        <v>571</v>
      </c>
      <c r="D8" s="256">
        <v>391.6</v>
      </c>
      <c r="E8" s="544"/>
      <c r="F8" s="538"/>
      <c r="G8" s="538"/>
      <c r="H8" s="538"/>
    </row>
    <row r="9" spans="1:8" x14ac:dyDescent="0.25">
      <c r="A9" s="253"/>
      <c r="B9" s="253" t="s">
        <v>817</v>
      </c>
      <c r="C9" s="253" t="s">
        <v>571</v>
      </c>
      <c r="D9" s="256">
        <f>SUM(D6:D8)</f>
        <v>1254.2</v>
      </c>
      <c r="E9" s="544"/>
      <c r="F9" s="538"/>
      <c r="G9" s="538"/>
      <c r="H9" s="538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26" t="s">
        <v>586</v>
      </c>
      <c r="B1" s="426"/>
      <c r="C1" s="426"/>
      <c r="D1" s="426"/>
      <c r="E1" s="426"/>
      <c r="F1" s="426"/>
      <c r="G1" s="426"/>
      <c r="H1" s="426"/>
    </row>
    <row r="2" spans="1:8" ht="18" customHeight="1" x14ac:dyDescent="0.25">
      <c r="A2" s="273" t="s">
        <v>580</v>
      </c>
      <c r="B2" s="426" t="s">
        <v>789</v>
      </c>
      <c r="C2" s="426"/>
      <c r="D2" s="426"/>
      <c r="E2" s="426"/>
      <c r="F2" s="273" t="s">
        <v>582</v>
      </c>
      <c r="G2" s="255" t="s">
        <v>583</v>
      </c>
      <c r="H2" s="255" t="s">
        <v>584</v>
      </c>
    </row>
    <row r="3" spans="1:8" ht="50.4" customHeight="1" x14ac:dyDescent="0.25">
      <c r="A3" s="273">
        <v>1</v>
      </c>
      <c r="B3" s="540" t="s">
        <v>808</v>
      </c>
      <c r="C3" s="540"/>
      <c r="D3" s="540"/>
      <c r="E3" s="540"/>
      <c r="F3" s="274" t="s">
        <v>825</v>
      </c>
      <c r="G3" s="253" t="s">
        <v>571</v>
      </c>
      <c r="H3" s="256">
        <f>D9</f>
        <v>0</v>
      </c>
    </row>
    <row r="4" spans="1:8" ht="19.2" customHeight="1" x14ac:dyDescent="0.25">
      <c r="A4" s="283"/>
      <c r="B4" s="283"/>
      <c r="C4" s="283"/>
      <c r="D4" s="283"/>
      <c r="E4" s="283"/>
      <c r="F4" s="283"/>
      <c r="G4" s="283"/>
      <c r="H4" s="283"/>
    </row>
    <row r="5" spans="1:8" x14ac:dyDescent="0.25">
      <c r="A5" s="253" t="s">
        <v>580</v>
      </c>
      <c r="B5" s="253" t="s">
        <v>821</v>
      </c>
      <c r="C5" s="253" t="s">
        <v>820</v>
      </c>
      <c r="D5" s="253" t="s">
        <v>816</v>
      </c>
      <c r="E5" s="284"/>
      <c r="F5" s="252"/>
      <c r="G5" s="252"/>
      <c r="H5" s="252">
        <v>276</v>
      </c>
    </row>
    <row r="6" spans="1:8" x14ac:dyDescent="0.25">
      <c r="A6" s="253">
        <v>1</v>
      </c>
      <c r="B6" s="272"/>
      <c r="C6" s="253" t="s">
        <v>571</v>
      </c>
      <c r="D6" s="256"/>
      <c r="E6" s="284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272"/>
      <c r="C7" s="253" t="s">
        <v>571</v>
      </c>
      <c r="D7" s="256"/>
      <c r="E7" s="284"/>
      <c r="F7" s="252"/>
      <c r="G7" s="252"/>
      <c r="H7" s="252"/>
    </row>
    <row r="8" spans="1:8" x14ac:dyDescent="0.25">
      <c r="A8" s="253">
        <v>3</v>
      </c>
      <c r="B8" s="272"/>
      <c r="C8" s="253" t="s">
        <v>571</v>
      </c>
      <c r="D8" s="256"/>
      <c r="E8" s="284"/>
      <c r="F8" s="252"/>
      <c r="G8" s="252"/>
      <c r="H8" s="252"/>
    </row>
    <row r="9" spans="1:8" x14ac:dyDescent="0.25">
      <c r="A9" s="253"/>
      <c r="B9" s="253" t="s">
        <v>817</v>
      </c>
      <c r="C9" s="253" t="s">
        <v>571</v>
      </c>
      <c r="D9" s="256">
        <f>SUM(D6:D8)</f>
        <v>0</v>
      </c>
      <c r="E9" s="284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85</vt:i4>
      </vt:variant>
    </vt:vector>
  </HeadingPairs>
  <TitlesOfParts>
    <vt:vector size="85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923</vt:lpstr>
      <vt:lpstr>912</vt:lpstr>
      <vt:lpstr>874</vt:lpstr>
      <vt:lpstr>839</vt:lpstr>
      <vt:lpstr>733</vt:lpstr>
      <vt:lpstr>696</vt:lpstr>
      <vt:lpstr>666</vt:lpstr>
      <vt:lpstr>549</vt:lpstr>
      <vt:lpstr>545</vt:lpstr>
      <vt:lpstr>542</vt:lpstr>
      <vt:lpstr>538</vt:lpstr>
      <vt:lpstr>522</vt:lpstr>
      <vt:lpstr>518</vt:lpstr>
      <vt:lpstr>501</vt:lpstr>
      <vt:lpstr>488</vt:lpstr>
      <vt:lpstr>WD</vt:lpstr>
      <vt:lpstr>6.5ПГП4в</vt:lpstr>
      <vt:lpstr>6.4блк4в</vt:lpstr>
      <vt:lpstr>6.3крп4в</vt:lpstr>
      <vt:lpstr>6.2леса</vt:lpstr>
      <vt:lpstr>3.8Деф</vt:lpstr>
      <vt:lpstr>4.2РВР</vt:lpstr>
      <vt:lpstr>4.1</vt:lpstr>
      <vt:lpstr>3.3ШтРем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4.1-WD6 5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3.7-Шп.фин.отк</vt:lpstr>
      <vt:lpstr>3.6-Шп.Баз.отк</vt:lpstr>
      <vt:lpstr>5.5Фн4в</vt:lpstr>
      <vt:lpstr>5.4Бз4в</vt:lpstr>
      <vt:lpstr>3.5-Шп.фин</vt:lpstr>
      <vt:lpstr>3.4-Шп.Баз</vt:lpstr>
      <vt:lpstr>5.2Баз4в</vt:lpstr>
      <vt:lpstr>5.1-Шп.Баз прошл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2026-07-12T22:44:40Z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