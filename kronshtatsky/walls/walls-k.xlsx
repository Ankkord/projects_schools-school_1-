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"/>
    </mc:Choice>
  </mc:AlternateContent>
  <bookViews>
    <workbookView xWindow="0" yWindow="0" windowWidth="16404" windowHeight="8436" firstSheet="17" activeTab="19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state="hidden" r:id="rId15"/>
    <sheet name="Table 16" sheetId="16" state="hidden" r:id="rId16"/>
    <sheet name="Table 17" sheetId="17" state="hidden" r:id="rId17"/>
    <sheet name="6.2леса" sheetId="60" r:id="rId18"/>
    <sheet name="3.8Деф" sheetId="65" r:id="rId19"/>
    <sheet name="4.2РВР" sheetId="67" r:id="rId20"/>
    <sheet name="4.1" sheetId="66" r:id="rId21"/>
    <sheet name="3.3ШтРем" sheetId="59" r:id="rId22"/>
    <sheet name="Лист1" sheetId="51" state="hidden" r:id="rId23"/>
    <sheet name="-1эт" sheetId="18" state="hidden" r:id="rId24"/>
    <sheet name="1эт" sheetId="19" state="hidden" r:id="rId25"/>
    <sheet name="2эт" sheetId="20" state="hidden" r:id="rId26"/>
    <sheet name="3эт" sheetId="21" state="hidden" r:id="rId27"/>
    <sheet name="-1этСтен" sheetId="22" state="hidden" r:id="rId28"/>
    <sheet name="1этСтен" sheetId="23" state="hidden" r:id="rId29"/>
    <sheet name="2этСтен" sheetId="24" state="hidden" r:id="rId30"/>
    <sheet name="3этСтен" sheetId="25" state="hidden" r:id="rId31"/>
    <sheet name="Из КП" sheetId="27" r:id="rId32"/>
    <sheet name="1.1-Ст" sheetId="28" r:id="rId33"/>
    <sheet name="1.1п" sheetId="30" r:id="rId34"/>
    <sheet name="1.2-Ст" sheetId="32" r:id="rId35"/>
    <sheet name="1.2п" sheetId="31" state="hidden" r:id="rId36"/>
    <sheet name="1.3-Ст" sheetId="33" r:id="rId37"/>
    <sheet name="1.3п" sheetId="35" r:id="rId38"/>
    <sheet name="1.3.1FK12" sheetId="57" r:id="rId39"/>
    <sheet name="4.1-WD6 5" sheetId="58" r:id="rId40"/>
    <sheet name="1.4.1FK16 и 4 Ост" sheetId="55" r:id="rId41"/>
    <sheet name="1.4-Ст" sheetId="34" r:id="rId42"/>
    <sheet name="2.1-Ст" sheetId="39" r:id="rId43"/>
    <sheet name="2.1п" sheetId="36" r:id="rId44"/>
    <sheet name="2.2-Ст" sheetId="40" r:id="rId45"/>
    <sheet name="2.2п" sheetId="37" r:id="rId46"/>
    <sheet name="2.3-Ст" sheetId="41" r:id="rId47"/>
    <sheet name="2.3п" sheetId="38" r:id="rId48"/>
    <sheet name="3.1-Ст" sheetId="45" r:id="rId49"/>
    <sheet name="3.1п" sheetId="42" r:id="rId50"/>
    <sheet name="3.2-Ст" sheetId="46" r:id="rId51"/>
    <sheet name="3.2п" sheetId="44" r:id="rId52"/>
    <sheet name="3.3п" sheetId="43" r:id="rId53"/>
    <sheet name="1Дм" sheetId="47" r:id="rId54"/>
    <sheet name="3.7-Шп.фин.отк" sheetId="63" r:id="rId55"/>
    <sheet name="3.6-Шп.Баз.отк" sheetId="64" r:id="rId56"/>
    <sheet name="3.5-Шп.фин" sheetId="62" r:id="rId57"/>
    <sheet name="3.4-Шп.Баз" sheetId="61" r:id="rId58"/>
    <sheet name="5.1-Шп.Баз прошл" sheetId="48" r:id="rId59"/>
    <sheet name="КП" sheetId="50" r:id="rId60"/>
    <sheet name="Перегр" sheetId="49" r:id="rId61"/>
    <sheet name="1.5-FK9" sheetId="52" r:id="rId62"/>
    <sheet name="1.6-FK13" sheetId="53" r:id="rId63"/>
    <sheet name="1.7-FK2" sheetId="54" r:id="rId64"/>
  </sheets>
  <calcPr calcId="152511"/>
</workbook>
</file>

<file path=xl/calcChain.xml><?xml version="1.0" encoding="utf-8"?>
<calcChain xmlns="http://schemas.openxmlformats.org/spreadsheetml/2006/main">
  <c r="I15" i="66" l="1"/>
  <c r="G15" i="66"/>
  <c r="C17" i="66"/>
  <c r="I12" i="66"/>
  <c r="G12" i="66"/>
  <c r="F12" i="66"/>
  <c r="D12" i="66"/>
  <c r="C12" i="66"/>
  <c r="B12" i="66"/>
  <c r="E12" i="66"/>
  <c r="C15" i="66"/>
  <c r="C16" i="66" s="1"/>
  <c r="J4" i="66" s="1"/>
  <c r="B14" i="66"/>
  <c r="C18" i="66" l="1"/>
  <c r="I16" i="66"/>
  <c r="I18" i="66" s="1"/>
  <c r="J9" i="66" l="1"/>
  <c r="G16" i="66"/>
  <c r="F16" i="66"/>
  <c r="E16" i="66"/>
  <c r="D16" i="66"/>
  <c r="B16" i="66"/>
  <c r="J5" i="66" l="1"/>
  <c r="D18" i="66"/>
  <c r="J3" i="66"/>
  <c r="B18" i="66"/>
  <c r="J6" i="66"/>
  <c r="E18" i="66"/>
  <c r="J7" i="66"/>
  <c r="F18" i="66"/>
  <c r="J8" i="66"/>
  <c r="G18" i="66"/>
  <c r="G3" i="65"/>
  <c r="G26" i="65" l="1"/>
  <c r="G5" i="65" s="1"/>
  <c r="C26" i="65"/>
  <c r="G4" i="65" l="1"/>
  <c r="G18" i="64"/>
  <c r="K19" i="64"/>
  <c r="C11" i="64"/>
  <c r="G17" i="63"/>
  <c r="K15" i="63"/>
  <c r="C8" i="63"/>
  <c r="J3" i="63" s="1"/>
  <c r="K24" i="62"/>
  <c r="G32" i="62"/>
  <c r="C20" i="62"/>
  <c r="G45" i="61"/>
  <c r="K42" i="61"/>
  <c r="C39" i="61"/>
  <c r="J3" i="61" s="1"/>
  <c r="J3" i="64" l="1"/>
  <c r="J3" i="62"/>
  <c r="C7" i="60" l="1"/>
  <c r="C14" i="60"/>
  <c r="C13" i="60"/>
  <c r="C12" i="60"/>
  <c r="C11" i="60"/>
  <c r="C10" i="60"/>
  <c r="C9" i="60"/>
  <c r="C8" i="60"/>
  <c r="C6" i="60"/>
  <c r="C15" i="60" l="1"/>
  <c r="E3" i="60" s="1"/>
  <c r="D14" i="59" l="1"/>
  <c r="F14" i="59"/>
  <c r="C14" i="59"/>
  <c r="E14" i="59"/>
  <c r="G14" i="59"/>
  <c r="B14" i="59"/>
  <c r="K4" i="58" l="1"/>
  <c r="K3" i="58"/>
  <c r="D11" i="57" l="1"/>
  <c r="D16" i="57"/>
  <c r="I12" i="57"/>
  <c r="K4" i="55"/>
  <c r="K3" i="57" l="1"/>
  <c r="C26" i="55"/>
  <c r="D26" i="55" s="1"/>
  <c r="C20" i="55"/>
  <c r="D20" i="55" s="1"/>
  <c r="D25" i="55"/>
  <c r="D24" i="55"/>
  <c r="D23" i="55"/>
  <c r="D22" i="55"/>
  <c r="D21" i="55"/>
  <c r="D19" i="55"/>
  <c r="H10" i="55"/>
  <c r="I10" i="55" s="1"/>
  <c r="I8" i="55"/>
  <c r="I9" i="55"/>
  <c r="I11" i="55"/>
  <c r="I12" i="55"/>
  <c r="I13" i="55"/>
  <c r="I14" i="55"/>
  <c r="I7" i="55"/>
  <c r="C15" i="55"/>
  <c r="C13" i="55"/>
  <c r="C12" i="55"/>
  <c r="D12" i="55" s="1"/>
  <c r="D8" i="55"/>
  <c r="D9" i="55"/>
  <c r="D10" i="55"/>
  <c r="D11" i="55"/>
  <c r="D14" i="55"/>
  <c r="D7" i="55"/>
  <c r="D27" i="55" l="1"/>
  <c r="D9" i="54"/>
  <c r="H3" i="54"/>
  <c r="D9" i="53" l="1"/>
  <c r="H3" i="53" s="1"/>
  <c r="F3" i="34"/>
  <c r="F10" i="34"/>
  <c r="F17" i="34" s="1"/>
  <c r="D22" i="52" l="1"/>
  <c r="H3" i="52" s="1"/>
  <c r="G10" i="49" l="1"/>
  <c r="G11" i="49"/>
  <c r="G12" i="49"/>
  <c r="G13" i="49"/>
  <c r="G14" i="49"/>
  <c r="G15" i="49"/>
  <c r="G16" i="49"/>
  <c r="G9" i="49"/>
  <c r="C35" i="48" l="1"/>
  <c r="G33" i="48"/>
  <c r="G40" i="48" s="1"/>
  <c r="K31" i="48"/>
  <c r="J3" i="48" l="1"/>
  <c r="K31" i="47"/>
  <c r="G33" i="47" l="1"/>
  <c r="C35" i="47" l="1"/>
  <c r="G40" i="47"/>
  <c r="D3" i="45"/>
  <c r="D3" i="46"/>
  <c r="D6" i="44"/>
  <c r="D44" i="43"/>
  <c r="D80" i="42"/>
  <c r="D3" i="40"/>
  <c r="D3" i="41"/>
  <c r="D3" i="39"/>
  <c r="J3" i="47" l="1"/>
  <c r="D21" i="38"/>
  <c r="D13" i="37"/>
  <c r="D51" i="36"/>
  <c r="I3" i="27" l="1"/>
  <c r="E3" i="32" l="1"/>
  <c r="C12" i="30"/>
  <c r="E3" i="28" s="1"/>
  <c r="C12" i="35"/>
  <c r="E3" i="33" s="1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  <c r="D16" i="55"/>
  <c r="I15" i="55"/>
  <c r="K3" i="55" l="1"/>
</calcChain>
</file>

<file path=xl/sharedStrings.xml><?xml version="1.0" encoding="utf-8"?>
<sst xmlns="http://schemas.openxmlformats.org/spreadsheetml/2006/main" count="7962" uniqueCount="1534">
  <si>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</si>
  <si>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</si>
  <si>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</si>
  <si>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</si>
  <si>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</si>
  <si>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</si>
  <si>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</si>
  <si>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</si>
  <si>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</si>
  <si>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</si>
  <si>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</si>
  <si>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</si>
  <si>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</si>
  <si>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</si>
  <si>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</si>
  <si>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</si>
  <si>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</si>
  <si>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</si>
  <si>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</si>
  <si>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</si>
  <si>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</si>
  <si>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</si>
  <si>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</si>
  <si>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</si>
  <si>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</si>
  <si>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</si>
  <si>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</si>
  <si>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</si>
  <si>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</si>
  <si>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</si>
  <si>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</si>
  <si>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</si>
  <si>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</si>
  <si>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</si>
  <si>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</si>
  <si>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</si>
  <si>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</si>
  <si>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</si>
  <si>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</si>
  <si>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</si>
  <si>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</si>
  <si>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</si>
  <si>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</si>
  <si>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</si>
  <si>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</si>
  <si>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</si>
  <si>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</si>
  <si>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</si>
  <si>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</si>
  <si>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</si>
  <si>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</si>
  <si>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</si>
  <si>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</si>
  <si>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</si>
  <si>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</si>
  <si>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</si>
  <si>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</si>
  <si>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</si>
  <si>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</si>
  <si>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</si>
  <si>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</si>
  <si>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</si>
  <si>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</si>
  <si>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</si>
  <si>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</si>
  <si>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</si>
  <si>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</si>
  <si>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</si>
  <si>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</si>
  <si>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</si>
  <si>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</si>
  <si>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</si>
  <si>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</si>
  <si>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</si>
  <si>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</si>
  <si>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</si>
  <si>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</si>
  <si>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</si>
  <si>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</si>
  <si>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</si>
  <si>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</si>
  <si>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</si>
  <si>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</si>
  <si>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</si>
  <si>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</si>
  <si>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</si>
  <si>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</si>
  <si>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</si>
  <si>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</si>
  <si>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</si>
  <si>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</si>
  <si>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</si>
  <si>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</si>
  <si>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</si>
  <si>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</si>
  <si>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</si>
  <si>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</si>
  <si>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</si>
  <si>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</si>
  <si>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</si>
  <si>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</si>
  <si>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</si>
  <si>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</si>
  <si>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</si>
  <si>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</si>
  <si>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</si>
  <si>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</si>
  <si>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</si>
  <si>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</si>
  <si>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</si>
  <si>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</si>
  <si>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</si>
  <si>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</si>
  <si>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</si>
  <si>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</si>
  <si>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</si>
  <si>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</si>
  <si>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</si>
  <si>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</si>
  <si>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</si>
  <si>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</si>
  <si>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</si>
  <si>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</si>
  <si>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</si>
  <si>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</si>
  <si>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</si>
  <si>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</si>
  <si>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</si>
  <si>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</si>
  <si>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</si>
  <si>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</si>
  <si>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</si>
  <si>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</si>
  <si>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</si>
  <si>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</si>
  <si>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</si>
  <si>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</si>
  <si>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</si>
  <si>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</si>
  <si>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</si>
  <si>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</si>
  <si>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</si>
  <si>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</si>
  <si>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</si>
  <si>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</si>
  <si>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</si>
  <si>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</si>
  <si>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</si>
  <si>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</si>
  <si>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</si>
  <si>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</si>
  <si>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</si>
  <si>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</si>
  <si>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</si>
  <si>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</si>
  <si>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</si>
  <si>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</si>
  <si>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</si>
  <si>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</si>
  <si>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</si>
  <si>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</si>
  <si>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</si>
  <si>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</si>
  <si>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</si>
  <si>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</si>
  <si>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</si>
  <si>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</si>
  <si>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</si>
  <si>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</si>
  <si>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</si>
  <si>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</si>
  <si>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</si>
  <si>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</si>
  <si>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</si>
  <si>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</si>
  <si>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</si>
  <si>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</si>
  <si>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</si>
  <si>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</si>
  <si>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</si>
  <si>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</si>
  <si>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</si>
  <si>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</si>
  <si>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</si>
  <si>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</si>
  <si>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</si>
  <si>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</si>
  <si>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</si>
  <si>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</si>
  <si>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</si>
  <si>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</si>
  <si>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</si>
  <si>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</si>
  <si>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</si>
  <si>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</si>
  <si>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</si>
  <si>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</si>
  <si>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</si>
  <si>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</si>
  <si>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</si>
  <si>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</si>
  <si>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</si>
  <si>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</si>
  <si>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</si>
  <si>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</si>
  <si>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</si>
  <si>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</si>
  <si>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</si>
  <si>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</si>
  <si>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</si>
  <si>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</si>
  <si>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</si>
  <si>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</si>
  <si>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</si>
  <si>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</si>
  <si>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</si>
  <si>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</si>
  <si>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</si>
  <si>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</si>
  <si>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</si>
  <si>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</si>
  <si>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</si>
  <si>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</si>
  <si>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</si>
  <si>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</si>
  <si>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</si>
  <si>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</si>
  <si>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</si>
  <si>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</si>
  <si>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</si>
  <si>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</si>
  <si>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</si>
  <si>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</si>
  <si>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</si>
  <si>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</si>
  <si>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</si>
  <si>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</si>
  <si>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</si>
  <si>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</si>
  <si>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</si>
  <si>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</si>
  <si>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</si>
  <si>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</si>
  <si>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</si>
  <si>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</si>
  <si>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</si>
  <si>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</si>
  <si>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</si>
  <si>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</si>
  <si>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</si>
  <si>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</si>
  <si>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</si>
  <si>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</si>
  <si>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</si>
  <si>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</si>
  <si>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</si>
  <si>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</si>
  <si>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</si>
  <si>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</si>
  <si>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</si>
  <si>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</si>
  <si>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</si>
  <si>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</si>
  <si>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</si>
  <si>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</si>
  <si>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</si>
  <si>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</si>
  <si>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</si>
  <si>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</si>
  <si>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</si>
  <si>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</si>
  <si>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</si>
  <si>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</si>
  <si>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</si>
  <si>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</si>
  <si>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</si>
  <si>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</si>
  <si>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</si>
  <si>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</si>
  <si>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</si>
  <si>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</si>
  <si>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</si>
  <si>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</si>
  <si>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</si>
  <si>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</si>
  <si>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</si>
  <si>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</si>
  <si>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</si>
  <si>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</si>
  <si>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</si>
  <si>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</si>
  <si>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</si>
  <si>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</si>
  <si>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</si>
  <si>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</si>
  <si>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</si>
  <si>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</si>
  <si>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</si>
  <si>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</si>
  <si>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</si>
  <si>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</si>
  <si>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</si>
  <si>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</si>
  <si>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</si>
  <si>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</si>
  <si>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</si>
  <si>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</si>
  <si>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</si>
  <si>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</si>
  <si>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</si>
  <si>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</si>
  <si>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</si>
  <si>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</si>
  <si>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</si>
  <si>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</si>
  <si>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</si>
  <si>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</si>
  <si>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</si>
  <si>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</si>
  <si>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</si>
  <si>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</si>
  <si>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</si>
  <si>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</si>
  <si>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</si>
  <si>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</si>
  <si>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</si>
  <si>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</si>
  <si>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</si>
  <si>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</si>
  <si>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</si>
  <si>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</si>
  <si>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</si>
  <si>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</si>
  <si>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</si>
  <si>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</si>
  <si>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</si>
  <si>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</si>
  <si>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</si>
  <si>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</si>
  <si>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</si>
  <si>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</si>
  <si>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</si>
  <si>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</si>
  <si>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</si>
  <si>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</si>
  <si>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</si>
  <si>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</si>
  <si>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</si>
  <si>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</si>
  <si>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</si>
  <si>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</si>
  <si>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</si>
  <si>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</si>
  <si>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</si>
  <si>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</si>
  <si>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</si>
  <si>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</si>
  <si>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</si>
  <si>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</si>
  <si>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</si>
  <si>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</si>
  <si>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</si>
  <si>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</si>
  <si>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</si>
  <si>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</si>
  <si>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</si>
  <si>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</si>
  <si>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</si>
  <si>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</si>
  <si>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</si>
  <si>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</si>
  <si>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</si>
  <si>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</si>
  <si>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</si>
  <si>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</si>
  <si>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</si>
  <si>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</si>
  <si>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</si>
  <si>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</si>
  <si>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</si>
  <si>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</si>
  <si>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</si>
  <si>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</si>
  <si>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</si>
  <si>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</si>
  <si>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</si>
  <si>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</si>
  <si>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</si>
  <si>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</si>
  <si>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</si>
  <si>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</si>
  <si>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</si>
  <si>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</si>
  <si>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</si>
  <si>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</si>
  <si>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</si>
  <si>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</si>
  <si>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</si>
  <si>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</si>
  <si>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</si>
  <si>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</si>
  <si>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</si>
  <si>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</si>
  <si>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</si>
  <si>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</si>
  <si>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</si>
  <si>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</si>
  <si>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</si>
  <si>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</si>
  <si>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</si>
  <si>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</si>
  <si>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</si>
  <si>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</si>
  <si>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</si>
  <si>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</si>
  <si>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</si>
  <si>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</si>
  <si>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</si>
  <si>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</si>
  <si>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</si>
  <si>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</si>
  <si>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</si>
  <si>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</si>
  <si>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</si>
  <si>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</si>
  <si>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</si>
  <si>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</si>
  <si>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</si>
  <si>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</si>
  <si>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</si>
  <si>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</si>
  <si>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</si>
  <si>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</si>
  <si>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</si>
  <si>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</si>
  <si>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</si>
  <si>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</si>
  <si>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</si>
  <si>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</si>
  <si>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</si>
  <si>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</si>
  <si>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</si>
  <si>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</si>
  <si>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</si>
  <si>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</si>
  <si>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</si>
  <si>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</si>
  <si>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</si>
  <si>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</si>
  <si>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</si>
  <si>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</si>
  <si>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</si>
  <si>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</si>
  <si>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</si>
  <si>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</si>
  <si>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</si>
  <si>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</si>
  <si>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</si>
  <si>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</si>
  <si>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</si>
  <si>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</si>
  <si>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</si>
  <si>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</si>
  <si>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</si>
  <si>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</si>
  <si>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</si>
  <si>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</si>
  <si>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</si>
  <si>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</si>
  <si>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</si>
  <si>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</si>
  <si>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</si>
  <si>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</si>
  <si>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</si>
  <si>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</si>
  <si>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</si>
  <si>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</si>
  <si>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</si>
  <si>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</si>
  <si>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</si>
  <si>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</si>
  <si>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</si>
  <si>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</si>
  <si>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</si>
  <si>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</si>
  <si>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</si>
  <si>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</si>
  <si>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</si>
  <si>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</si>
  <si>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</si>
  <si>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</si>
  <si>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</si>
  <si>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</si>
  <si>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</si>
  <si>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</si>
  <si>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</si>
  <si>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</si>
  <si>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</si>
  <si>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</si>
  <si>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</si>
  <si>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</si>
  <si>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</si>
  <si>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</si>
  <si>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</si>
  <si>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</si>
  <si>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</si>
  <si>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</si>
  <si>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</si>
  <si>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</si>
  <si>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</si>
  <si>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</si>
  <si>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</si>
  <si>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</si>
  <si>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</si>
  <si>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</si>
  <si>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</si>
  <si>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</si>
  <si>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</si>
  <si>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</si>
  <si>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</si>
  <si>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</si>
  <si>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</si>
  <si>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</si>
  <si>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</si>
  <si>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</si>
  <si>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</si>
  <si>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</si>
  <si>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</si>
  <si>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</si>
  <si>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</si>
  <si>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</si>
  <si>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</si>
  <si>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</si>
  <si>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</si>
  <si>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</si>
  <si>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</si>
  <si>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</si>
  <si>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</si>
  <si>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</si>
  <si>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</si>
  <si>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</si>
  <si>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</si>
  <si>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</si>
  <si>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</si>
  <si>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</si>
  <si>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</si>
  <si>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</si>
  <si>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</si>
  <si>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</si>
  <si>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</si>
  <si>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</si>
  <si>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</si>
  <si>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</si>
  <si>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</si>
  <si>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</si>
  <si>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</si>
  <si>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</si>
  <si>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</si>
  <si>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</si>
  <si>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</si>
  <si>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</si>
  <si>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</si>
  <si>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</si>
  <si>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</si>
  <si>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</si>
  <si>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</si>
  <si>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</si>
  <si>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</si>
  <si>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</si>
  <si>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</si>
  <si>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</si>
  <si>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</si>
  <si>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</si>
  <si>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</si>
  <si>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</si>
  <si>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</si>
  <si>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</si>
  <si>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</si>
  <si>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</si>
  <si>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</si>
  <si>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</si>
  <si>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</si>
  <si>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</si>
  <si>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</si>
  <si>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</si>
  <si>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</si>
  <si>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</si>
  <si>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</si>
  <si>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</si>
  <si>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</si>
  <si>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</si>
  <si>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</si>
  <si>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</si>
  <si>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</si>
  <si>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</si>
  <si>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</si>
  <si>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</si>
  <si>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</si>
  <si>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</si>
  <si>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</si>
  <si>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</si>
  <si>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</si>
  <si>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</si>
  <si>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</si>
  <si>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</si>
  <si>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</si>
  <si>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</si>
  <si>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</si>
  <si>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</si>
  <si>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</si>
  <si>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</si>
  <si>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</si>
  <si>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</si>
  <si>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</si>
  <si>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</si>
  <si>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</si>
  <si>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</si>
  <si>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</si>
  <si>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</si>
  <si>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</si>
  <si>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</si>
  <si>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</si>
  <si>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</si>
  <si>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</si>
  <si>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</si>
  <si>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</si>
  <si>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</si>
  <si>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</si>
  <si>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Холл</t>
  </si>
  <si>
    <t>Коридор</t>
  </si>
  <si>
    <t>Рекреация коридорного типа</t>
  </si>
  <si>
    <t>ЛК №1 (тип Н2)</t>
  </si>
  <si>
    <t>ЛК №4 (тип Н2)</t>
  </si>
  <si>
    <t>Обеденный зал на 150 мест</t>
  </si>
  <si>
    <t>Вестибюль с зоной для посетителей</t>
  </si>
  <si>
    <t>Раздевальная комната</t>
  </si>
  <si>
    <t>Групповая</t>
  </si>
  <si>
    <t>Спальная</t>
  </si>
  <si>
    <t xml:space="preserve">Групповая </t>
  </si>
  <si>
    <t>ЛК №5 (тип Н2)</t>
  </si>
  <si>
    <t>ЛК №6 (тип Л2)</t>
  </si>
  <si>
    <t xml:space="preserve">Коридор </t>
  </si>
  <si>
    <t>Спортивный зал 15х24 м</t>
  </si>
  <si>
    <t>Рекреация</t>
  </si>
  <si>
    <t>ЛК №4 (Тип Н2)</t>
  </si>
  <si>
    <t>Многофункциональный информационный библиотечный центр с зонами для индивидуальных и групповых занятий, медиатеки, хранения (закрытый фонд) и выдачи книг</t>
  </si>
  <si>
    <t>3.21</t>
  </si>
  <si>
    <t>3.25</t>
  </si>
  <si>
    <t>3.26</t>
  </si>
  <si>
    <t>3.30</t>
  </si>
  <si>
    <t>Штукатурка стен</t>
  </si>
  <si>
    <t>Многофункциональный информационный библиотечный центр</t>
  </si>
  <si>
    <t>Пом.</t>
  </si>
  <si>
    <t>Гипсовыми смесями финишная + грунт глубокого проникновения (в том числе "зеркала" под приборы отопления), м2</t>
  </si>
  <si>
    <t xml:space="preserve">Шпаклевка стен </t>
  </si>
  <si>
    <t>Комната охраны с диспетчерским пультом</t>
  </si>
  <si>
    <t>Санузел для МГН</t>
  </si>
  <si>
    <t>Гардероб для учителей</t>
  </si>
  <si>
    <t>Санузел для девочек</t>
  </si>
  <si>
    <t>Санузел для мальчиков</t>
  </si>
  <si>
    <t>1.19</t>
  </si>
  <si>
    <t>Кабинет Врача</t>
  </si>
  <si>
    <t>санузел персонала</t>
  </si>
  <si>
    <t>Артистическая</t>
  </si>
  <si>
    <t>Серверная</t>
  </si>
  <si>
    <t>ЛК №3 (тип Н2)</t>
  </si>
  <si>
    <t>Пост охраны</t>
  </si>
  <si>
    <t>Учебный кабинет 2-4 класс</t>
  </si>
  <si>
    <t>Лабораторно-исследовательский комплекс для изучения естесствознания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</si>
  <si>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</si>
  <si>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</si>
  <si>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2.10</t>
  </si>
  <si>
    <t>Раздевальная для девочек (МГН)</t>
  </si>
  <si>
    <t>Раздевальная для мальчиков (МГН)</t>
  </si>
  <si>
    <t>Раздевальная для мальчиков</t>
  </si>
  <si>
    <t>Раздевальная для девочек</t>
  </si>
  <si>
    <t>Комната инструктора (с душем и туалетом)</t>
  </si>
  <si>
    <t>Кабинет для индивидуальных занятий, в т.ч. С учителем-логопедом</t>
  </si>
  <si>
    <t>2.29</t>
  </si>
  <si>
    <t>Технический центр</t>
  </si>
  <si>
    <t>ЛК №1 (Тип Н2)</t>
  </si>
  <si>
    <t>ЛК №2 (Тип Н2)</t>
  </si>
  <si>
    <t>ЛК №3 (Тип Н2)</t>
  </si>
  <si>
    <t>Раздевальная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</si>
  <si>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</si>
  <si>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</si>
  <si>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</si>
  <si>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</si>
  <si>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3.10</t>
  </si>
  <si>
    <t>3.20</t>
  </si>
  <si>
    <t>3.23</t>
  </si>
  <si>
    <t>Помещения:2</t>
  </si>
  <si>
    <t>Шпаклевка колонн и простенкров толщиной до 500мм.</t>
  </si>
  <si>
    <t>Пом.:</t>
  </si>
  <si>
    <t>Штукатурка стен. Гипсовая по бетону + Бетонконтакт, м2.</t>
  </si>
  <si>
    <t>Штукатурка стен. Цементная + Грунт глубокого проникновения (по бетону и блоку ячеистому под плитку), м2.</t>
  </si>
  <si>
    <t>Штукатурка стен. Гипсовая по Блоку ячеистому, кирпичу и ПГП + Грунт глубокого проникновения, м2.</t>
  </si>
  <si>
    <t>Шпаклевка стен. Цементными смесями финишная + грунт глубокого проникновения, м2</t>
  </si>
  <si>
    <t>Шпаклевка стен. Гипсовыми смесями финишная + грунт глубокого проникновения, м2</t>
  </si>
  <si>
    <t>Цементными смесями финишная + грунт глубокого проникновения, м2</t>
  </si>
  <si>
    <t>Гипсовая по Блоку ячеистому, кирпичу и ПГП + Грунт глубокого проникновения, м2. Высота от пола h = 1.5 м.</t>
  </si>
  <si>
    <t>Цементная + Грунт глубокого проникновения (по бетону и блоку ячеистому под плитку), м2. Высота от пола h = 1.5 м.</t>
  </si>
  <si>
    <t>Гипсовая по бетону + Бетонконтакт, м2. Высота от пола h = 1.5 м.</t>
  </si>
  <si>
    <t>1,08</t>
  </si>
  <si>
    <t>1,04</t>
  </si>
  <si>
    <t>1,27</t>
  </si>
  <si>
    <t>1,30</t>
  </si>
  <si>
    <t>1,09</t>
  </si>
  <si>
    <t>1,10</t>
  </si>
  <si>
    <t>1,33</t>
  </si>
  <si>
    <t>1,31</t>
  </si>
  <si>
    <t>1,11</t>
  </si>
  <si>
    <t>1,12</t>
  </si>
  <si>
    <t>1,20</t>
  </si>
  <si>
    <t>1,17</t>
  </si>
  <si>
    <t>1,18</t>
  </si>
  <si>
    <t>1,19</t>
  </si>
  <si>
    <t>1,77</t>
  </si>
  <si>
    <t>1,64</t>
  </si>
  <si>
    <t>1,67</t>
  </si>
  <si>
    <t>1,68</t>
  </si>
  <si>
    <t>1,79</t>
  </si>
  <si>
    <t>1,60</t>
  </si>
  <si>
    <t>1,61</t>
  </si>
  <si>
    <t>1,80</t>
  </si>
  <si>
    <t>1,78</t>
  </si>
  <si>
    <t>1,74</t>
  </si>
  <si>
    <t>1,73</t>
  </si>
  <si>
    <t>1,69</t>
  </si>
  <si>
    <t>2,21</t>
  </si>
  <si>
    <t>2,58</t>
  </si>
  <si>
    <t>2,31</t>
  </si>
  <si>
    <t>2,01</t>
  </si>
  <si>
    <t>2,27</t>
  </si>
  <si>
    <t>2,02</t>
  </si>
  <si>
    <t>2,03</t>
  </si>
  <si>
    <t>2,28</t>
  </si>
  <si>
    <t>2,32</t>
  </si>
  <si>
    <t>2,30</t>
  </si>
  <si>
    <t>2,04</t>
  </si>
  <si>
    <t>2,05</t>
  </si>
  <si>
    <t>2,06</t>
  </si>
  <si>
    <t>2,07</t>
  </si>
  <si>
    <t>2,08</t>
  </si>
  <si>
    <t>2,15</t>
  </si>
  <si>
    <t>2,12</t>
  </si>
  <si>
    <t>2,20</t>
  </si>
  <si>
    <t>2,35</t>
  </si>
  <si>
    <t>2,36</t>
  </si>
  <si>
    <t>2,52</t>
  </si>
  <si>
    <t>2,53</t>
  </si>
  <si>
    <t>2,51</t>
  </si>
  <si>
    <t>2,37</t>
  </si>
  <si>
    <t>2,40</t>
  </si>
  <si>
    <t>2,41</t>
  </si>
  <si>
    <t>2,56</t>
  </si>
  <si>
    <t>2,49</t>
  </si>
  <si>
    <t>2,42</t>
  </si>
  <si>
    <t>2,44</t>
  </si>
  <si>
    <t>2,45</t>
  </si>
  <si>
    <t>2,47</t>
  </si>
  <si>
    <t>2,57</t>
  </si>
  <si>
    <t>3,45</t>
  </si>
  <si>
    <t>3,17</t>
  </si>
  <si>
    <t>3,01</t>
  </si>
  <si>
    <t>3,02</t>
  </si>
  <si>
    <t>3,03</t>
  </si>
  <si>
    <t>3,04</t>
  </si>
  <si>
    <t>3,44</t>
  </si>
  <si>
    <t>3,18</t>
  </si>
  <si>
    <t>3,05</t>
  </si>
  <si>
    <t>3,20</t>
  </si>
  <si>
    <t>3,12</t>
  </si>
  <si>
    <t>3,08</t>
  </si>
  <si>
    <t>3,38</t>
  </si>
  <si>
    <t>3,41</t>
  </si>
  <si>
    <t>3,42</t>
  </si>
  <si>
    <t>3,23</t>
  </si>
  <si>
    <t>3,25</t>
  </si>
  <si>
    <t>3,26</t>
  </si>
  <si>
    <t>3,28</t>
  </si>
  <si>
    <t>3,29</t>
  </si>
  <si>
    <t>3,30</t>
  </si>
  <si>
    <t>3,35</t>
  </si>
  <si>
    <t>3,33</t>
  </si>
  <si>
    <t>3,43</t>
  </si>
  <si>
    <t>Демонтаж шпатлевки и/или штукатурки на поверхности стен</t>
  </si>
  <si>
    <t>Уборка мусора от демонтажных работ с погрузкой в мешки и в контейнеры</t>
  </si>
  <si>
    <t>т</t>
  </si>
  <si>
    <t>Наименование</t>
  </si>
  <si>
    <t>Затарка материала в ручную</t>
  </si>
  <si>
    <t>Подготовка поверхности СКБ / стен / по штукатурке / 2мм</t>
  </si>
  <si>
    <t>WD6</t>
  </si>
  <si>
    <t>WD1</t>
  </si>
  <si>
    <t>WD4</t>
  </si>
  <si>
    <t>WD5</t>
  </si>
  <si>
    <t>WD8</t>
  </si>
  <si>
    <t>WD10</t>
  </si>
  <si>
    <t>1 эт</t>
  </si>
  <si>
    <t>2 эт</t>
  </si>
  <si>
    <t>3 эт</t>
  </si>
  <si>
    <t>WD11</t>
  </si>
  <si>
    <t>WD12</t>
  </si>
  <si>
    <t>WD13</t>
  </si>
  <si>
    <t>Указать название организации (на бланке организации)</t>
  </si>
  <si>
    <t>{"estimateId":5190696,"estimateVersionId":7228107}</t>
  </si>
  <si>
    <t>10</t>
  </si>
  <si>
    <t>eF7s/WtzJMeRJoz+lTKZrRkJoGrzFnlps/3QDYK91Wqg0MiqXZsdjo3hukNbidQhqXdnd23MeNF1KYm6zuilxOtod16zec9a89Jik91smr3n+zmJv7C/5IRnXQAkIiLdvdKjihpphmigUACeJyLS/fFw94j/9o1X/st3Tr9x4xvfPvzON7a+8X8cfuu7p+P6lRe++61vbX3j9G+PT781feEbL8/foD//b8994/jFb3/7xRee+8aNv9RfwG/Rn168uvXcxS97bvbbnrv4dfV7X754W/119Y/VF9X96rPq/vnr5z/pVV/WX3ysP35ZPawe9Kon569Wn8y+hHf9QP/7sPcUvLFXfVQ9qr/1hfWdT9d/7/jFF186ef6Fw1emf/RmWL96+vIrz39bv3bw4n8enlwC/MIrz7/yX25/9/n5a3+3dZXtC2fP/0ce2//23HMXf1b/Tf3VDRUWQVqkW5e/9e9OX3r5+RdfmL0ji6I8DLK/M1F5ZhkqegHweJiQPLsMkpef/4/MBWSCsrMMlKVW84fVb6r/Ub1T/bZ6u3q3Dx+q3+v/+031fvVP+uMH9Su/6VXv6Rd+U/26+p3+8u/1Z/ATv9Gr+kP9hvfMaza6MYlWReuTQU+zeHL+mn7S9LO51ave1g/bk+rL8x+dv64fuU/1wwvfe1h9rh/K/vmr+h0fV48GvTDRn/1C03u7frR7cRD0qsfVg/PXzl/X3/m1pv/u9DuhuviOkX98YxKviv8HmuUTze4xjAEYqq3e+Rtzw6XhawLnb2nKveorPS4Pqk+1XXpS/VF/BsboYT0aX1SPzn92/kP9/gfnr8N79Yg9qD6qfw4+hWF4oH/qo/Pv64+fwl87fxNentrGV+uPb04HS//Em9VX+m2P6h+amcr5C0+0GXzS03/wiQb8lX7pQfWF/gv3e/BLtM18ArPV05Py6+qDXhT9K+NwJzcmyaqG+73ZID7QQ/aT2eDCuF+dg+lgP6mt/ccwZPVbPr7CUz9S7+mnTj9uxofqjroxUqti+fvqD32N7UNtCt6t/s8ePArVuyaU++rGwapQFlkQRmGUp5kJWaluTFaFTK/fJ7XBeFUvBO0n/7X+aFrI6sbNbFUQ34ZlCabiMxAqPW3kP6jeN6G8pW7cWhnKd/TTAs/Vg9p2XNJelyyPCfS2urG9MtBv17NfgwYXpFHWzucrsHzWYX5G3XhmDRFr0/Xq+Vv64w/1S9qrmKDvqBs7K4P+m+pTrQDA0D4emMA9q248uzJwelzPf3r+vUG9UF+beU/jGN5WN26vEmb1qA+eChSR0dD/W3Xj364M37taefxYL84HU+UwhWpCOVQ3hitD+T9rK6UVqH5i3qg+GrQKmTvpjW+mq0L7ezCd4KL0s3Nfi5k3wU8999wLIPMgXtUUPr1sco0EVjbWH2j8729BsPKO2Zx+c2XQyMvgbnrj7srQmsIHJO7d9Mbe13r57q5u1NuW797KoE1trTms2dIDjF0do/TGaGUkyM/gfnrj3td6Le+vbKxb1/K9lUEjL4OD9MbBytAuYYrL9Mb4a718y9WNetvyHa8MWlemeJLemCxD4pUXXzn81jUOz33jhcNvn05/LZ/HpQ0x/HJ/psiX2W+18fnOy995aQzf29W/8qXnD7+18//67vPf+bb+bQaWZw2W/6ac7D61m2/tFllm3NDbFQZdfvul/RdewiLdy7f2bEj3hJHuv/T8sWnhXAMKQ7a5QNMUGDIoX1lqAZT5Vmkb1lIQMG3yx/nW2IZyLIgSPfEwVJtjy8RPZBD+zfMnJ6cvLPf8/0W+9Re2gf0Lcdi0RfAf8q3/YMP6H8SxopcCDNvmf7AshZs3lwO6lHt+u5Y0j6qH59+b7o3Waf0nFzm3h9PtqnpLtfpCf5y/rl/6Xl0T8Hj6Q+dvGckVeXJDL/ZkVQR/bkJ1q8jVqgC9MxvvH05zAPenmvL8Nf3SqxcK0zya2yvE/Wl1v/fUv3q6V6eCvoQkqwnhM6tDaILzbzUcWH6rwlT9wrL8Vhbo/ApUar3Ovrya6H1Yf/FG9ZX+rH7xi0uydpb+hlTbx3XqGFItj6ap8fOfWZbqyjjCUm1dpqtCZ1mmKSzTVWGqfmlZpstEXEsBsi7TevHVIRhYztlS/WhWpfakLvX44vyN85/1oFatXsDguvQi7T01XebTGri5BX542QLfN+qI7RUOg17JT83ZIUzvqnBa1nQGa3pVmKpfWdZ0vipAH9QO/osemNqr1UUgqOaLG0ouXocim9fr731ab0oZ063bK+RSV5INLMtwVagsyzCHZbgqTNWvLcuwWBWgX122i9Xn+t83q89hV2u6OlUPHLulImWFsFFOfVXoLCuvgJW3Kkw75oVXBCvCU/32esjYg2qNr+rK1wd1dcSXU58MZZr/va6rBFOoXaBeo9plz+e/N3/h6br088m0UlEv4TdnMhVM6WdarD46/0ldCwRq4fG1v2QLslY3RDaekImAopuW9b8y4Ob1XwR6/a8MU/X3lgdgZdXrv9SL+1O9Ri+nC+oC4mnID4mDB/Oq5C8MRchaxOo1/ob+0UtFbbX9flw/NOfXGjT0G/S3LKt8ZePwMYzDpVHo15LcUCJpWeWrAm5Z5SGs8lVhqv7BsspX1sxgDt3qqsGvauk7a0WCTYRP6vc9gRrjj3szAQzbjNMupOof4Av932euys3tFXLF2ORVgbOs1ghW66owVb+1rNZ4VYAa27EfQLeAZZWtDGO99Vpbfqhvvt++EbAyqJY1F8OaWxWm6m3LmktWBehdrVffPH/9cr+QFgWv9bTpfBuKOH6r/7HsVtW7ArDB9WP90vfnLTpToaxNaf9S31RtZf/V1KrWv6Kla3N7hSNySe/D2u5dkwjw6r8ySSKjhH9mdVQsTwAkwVaGqfqd5QlQqwJ06Qm4tjjnYgEqr7S2hVVerwZY35dbz+An5iHdo1o5TNtqon7cq4XF1GxefR5mUVW9hKAWX/UWjYMPYHXBX7scfMLfBEj1w/ZZQ47ob9qepJWNbONJamKuX6sHx/LcrAq45bmB7N3KMFW/tzw3K8vT/FMtoKeJtwt1fSlPd18v5ZlrqLte61bV2qTC/F//WVMAOk3wf6ofi7eMFpe3V726QbvUbgOr391988zqgFoeAcgMrgxT9Y7lEVhZWufX0+28qev4ZJa2fvXCeczbsqdbCLa9j5XB/1RbXliFWsnPbPEnlmW4KoiWZQjJvJVhMsdkehmuLK3z7rQu3KlEXDrkyaWff6pWHtr6ahuttf3TszbbT+s1XG/vwUbwG+ffr7f3Hk0L1esDIZ5AhyvEDz+sLfHMrMNjAJCiIExgkel/1ezfdAbJpltWNp41qv5FkHshVNpe1GM7LbnWI/qg+mxWdm0k+MzqCMIc9J977gWYg9m/Wd/yqEHCcmVAq/csj9qq8ljVB3rRfw6PGc60rwqnXpGv1dkayz7lM6uDZllnkJ5cGSbLQQ1hEKwsYfSrWsXWGnZ6MkqdGdd2+GEtNup48PzV3o1e9YdB9dtB9e7g0qEwUz19/rOtqRp+NNjqnfa/ffj8t4zLdIU0jYsB8NyYrBBV9YFtOawsswInClyue34CWwewFfeD6klHa2BV3GxrIKzXwKpQVR/a1sDK8hVwVFKdmKxPlpqd2/JFb3qQ2CwQvoh+p8vFNtmrImGb7KiebCKqv6p/18np/uErf6Nf0xjTo+Po6Ogw6J8mZ6qf5MFZP8+zs/5hEgeHsUrCk5PD6TtfevE/Tz8ppv8s2J1+63TRoXKZHro9L9RP4S9nkeCT+Q4HTNVDw+v9S/XOjbfDAXLGku2b+Y0hXpFhB+Xv9A+GMXowOujtK6C3LzD39gnxS+j8aE1AewW0AZpJ7QmRUnRS6G4h4DQqtkY2TiMhTvincsn+wgL6C83cShluUUDjRluA4wJaEc2ExkKEQhoh0uKbFFsTG5+JAB8glD531UU0+b18evzK8wYPqF3Ed799dGqaq+tOIjQxummOgOI4CfIgSeMmralz1lOARgj+8q+/UzvMVpCpCeItJsTmE+0YRJyfhYqc5mGZCz/6cCp6tQCeHhRp3F/fLm4MmWyueUo7nQ48ZRhs7Ybp1m4aWjrhmSSa7hBBgmaN9jTyPY18z4J8j4tc0ZGTzM5IAx9p4CML8BEXOP4xWNKxaQKlJlBaCJRMAte8VwsB2noZa9RjjXpsQT3mosabcIaL0qAnGvTEAnrCAV0vlud8+CGLJwrNuy9z1Il1qNEgSa7IjPIWFyX+McR6o/fq7Moni4LTL1zuyBaX3xhyCXl2SBZHxEbvwRNZPBAbsqJDJpmVkQXxiI0Yv+iX9T0Wn8NFLu10LM6GDRdvqDnexuJlWGgvWWxxN2NzNOYt3jluZR1lNEyioxlEJpy3uDjxTx3W1bxraq4xOJt6J/HzaVXVEzgxTDuoLyy5yjDUvofJ0LPviSy+h4veg+8xQ95jQ1Z0yCQjM7IgHrER45+CZX2PGXnJRS7te8xwx2y4eOvN8T1mtBMWWoA7e/Y8+B6b9zHnnObIU+s4o4GSvc8gMSG9xUWKf/Kw/ueXdQnCtEPyy/nFNZ/OCnfrc7rOX9OeZ3pU6R9dzRHbYaTdDpOYZ7cTW9wOF70Ht2OGvMeGrOiQSfZlZEE8YiPGL/5l3Y4ZeclFLu12zHDHbLh4w81xO2a0ExbaSzbRi9uxOZ7YiT2zjjQaKsPxDAoT1ltcrPinD+t6fr+og/pj7/ytuk75tXln1vRsyDoKggrnugj/83nzyOVmrfm1auClIFYycd4OY+2ZmLw9e6ZkazdUFu/EZeDBOyVbexbYe2zYig6bZIpGGvXIgnrERo1/Tpb1UslWaUFfctFLe6pka2yBPGZDxtt7jrdKtiYWxBMW4nqNPLdwVH/p8lz/+cWX/pOBBsdt2RxX4qRQWAcdh5TltWxgb3HBNg24bVjpbmurV1dnPr7yyv06ovqybs8x7eNNHRychQaB1ccmqttcqk1Lb52Xb4Op+evnX8YsIxPCZ7gIFQkhAl318/oizvehGxUaWaHMvj7sZxrMgiiobyTVn/1wFuFePh8Bfqp+Vy8sBkE0iIIoHfQu6nPrePfSHuyN3hXdAoWgjSVwaW7rq2Vn4gR2a+uTFarp9ZeLs8LgxYfTd9b9V9+vX67bwuG87PuL1VIXiz+csphqpPpAPfjVcKxDnbOsT93e6oX9uHf+0ykey7EMO9wZTHEz+O3Tw5e/+xLqiXps3KR/lgswwwE8/dvvnL7wsgngCw2A4WDev9CAeJsLMcdB/D9e/NZ3UUbJBO7fcsE1FYwFXO1NMaOXBdlAJSaIQy7EsKlTLBhBGNYOHyOzmsCDgXnW77BRIx38ArVVXjWhxpmygP0mGyzSxy/AGmBe01R66DYPRpO9Z576Jlwxbt6BvsuGjPT0pDgNuyp22agTImq86J4OtX7KNq4Mum3g99gUFJECesHoUd2cw7oWonHRIj3Yd7o2HPtsxEiX9h2S0VBpNFBGoPfYQJGO7TvY+d9fGIx7doNxwIZLcXVdroSSi/hagO5CzDcU99yGYsyGj/SAxEhdL5Kx2UhMWEj/rm6S8xKXG6XvTTCoVtQqRxds+onLmWCR3nqt4nIm1QRHtYu4nIlQkRAi0P05Lq/vZJgdd3VB94s6pT7t7R0A6N9X721Bh+hXdZL99fpkNR3CV7/QRD+qj7CrExtQhKxf/R0c5fjVrDK5/m0D0zrY4a4DpDbqILpnAkRKoU6ieyZEpAhaMrpngqNIHsToRbHS0b0x1TjkQlxxdM9FjZQJ3Ub3XLBIpUCM7tUiulf26J4LGakXhKJ7Lmqk618iulcbVwbdHt1zKSgiBfSC0aO6OYd1LbrnokV6MIHonosY6dK6i+65QJGOjRDdq0V0bzUYB2y4FFfX5UoouYiFo3u1cWWw7dE9Fz7SA1Kje7U5NhuJCQvp3/3dX/0d/G/LW7uMJchPHeCTLLAOMxokLc43orzFRYmvg8EG+B/oUOn9ujRMB4Ff1dVi93vzwxmvBFgmItthemPIJeO5CMx88fQuG31TgyDQ463LtADMDHmPDVnRIeMtSl38ZUY8YiPGL3i0w7EUfpmRl1zk0kVfZrhjNly8kSY6mrrgy4x2wkLr08XYKrzMRyvPcYfWUUbDJDoZm5th4sQ/dUQ382XdYvlZvYc47b2Eo/rmxyBfdUJPGb2QcSFth5l2Q0yynt1QbnFDXPQe3JAZ8h4bsqJDJtmbkQXxiI0Y/0As64bMyEsucmk3ZIY7ZsPFG3KOGzKjnbDQAtzZs+fBDdkckfmAtznyyDrOaKBkR2RrzmQixT95WFf0y+pL7WFenyUup6fEznNHcExafafRg9mNFfWp/65TAXLteJjUPDuewuJ4uOg9OB4z5D02ZEWHTLIwIwviERsxfvkv63jMyEsucmnHY4Y7ZsPFm26O4zGjnbDQ+o1/7K6ncGL3fRLn1PXY4iAmVvzTh3U+/7gokvl8fvCmyd08qb4wEdkOC+1umGT8upvIcm41G728u7FA3mNDVnTIJLsysiAesRHjF/yS7saCvOQiF3Y3FrhjNly8wWa4GwvaCQut7zjH6nAi5/FtGbp8s2OHY4l3uGjxT2D3Lqc3u4vs/Ec6KJoe0Dm7xunx+Rt1pPTF7Oq+z+vrj81X1W5HwY0hl75nJxVu7Ubp1m6s/431v4n+N9H/Kv2vSs0OjM3MgwMLt/Y0nT1NZ0/T2dN09jSdPU1nz0Jnj01H0emQrNhIsxlpNiPNZqTZjDSbkWYz0mxGFjYjNhv8Y7es4wu3Ss2q1KxKzarUrErNqtSsSgurkstK2imGW2NNZaypjDWVsaYy1lTGmsrYQmXMpoJ3ORyHGW5NNJOJZjLRTCaayUQzmWgmEwuTCYtJvdamTMDQiR9UsPCoNp8aOkmgD3frpCVi4VA13NgE9xYXLrLIUcKj1kfpzK5erh7VN5L9sK6Yrx1rr/aor9YfX4MKfrhLVH/2cLYhqX+w980XDr97Nr0WuvqgH4ZqEM6++nnUn2VQr7lg5kA1fZRcSwUXoSIhZKLb4aJLceiWL/TnAkRWRXZR6M+FiKyHXK7QnwuuqROWLPQ3jtyQC261Jf5s1EjHRy/xj6IittX4s9EiXR+txj8K5zX+WorYavzZkJHujxRQYZfFLhs10he1B0tYqHtsqIoIFb0w9OhtzmFdi3W4aJFOil3Ln2fZIDVX87MxI/0WrZrfYR/usZEi3Re+nH9hG+7ZbcMBGy7FoXEWg7Wcn4u4m3J+LMwxGybSqxGjVb0YxmZ7MGEhBaiHaXQaJmHWL5I06yfJSdzPw8OoX4SHp4dhrNKTYmYyrLHqt2crw0CQG6/aItaIxhJLzxTVOlhRIlsTj1uSPJr+3jU7yJAXWsShp7y+Uvkx3ChYh7sP68vX31x0ZNu2laGMs94w7j0FfdzT7vGt3vmP9E/A74LXPp41Y39Sn0775fnilih43/kb9atfwSEE5z+rK0Mfnf9kWqxz/urg6VlEDGe16ah8fq/HpeB6+oYIgmvojofu8WkjOFwQXv8dc4GP5Dwp/DwtG88KsmjKCQcLQtw7zTt8Va+ML85fN7F6VpJVU3A4WBGCZRON25I0mmrEQWPJgFqQRFOjOEgsGXgLkrgWnDtYLBWgh0E0iI37p3dE+RG8DinSvCaCpmp4+lFTAk28MZz+a2K9K8qaYP3YAZV9RvdFuVGfOww352zut89mKca41sL56VmSnqaH/bOT5Kyf5MdJ//A4TPtxXpycBFGkf9Xxc/61sHET+GYUU4cCR8+7FhbkQbBKWC38u2l6RitVLWy/mh13dL8+ZujJ7MKfz/96Jkh/VX1Qvdevft6r3tM/94/V29PXw2hLgY5+bBqPbcnxUPjxWFZzCrIgWF2C5rTlWgSJiMhMSxnsbUki/oSmIAmqw0PMhUVoCpLwKDSTgcpM/O6I8iOY9C6FZjyTJrFdaEqyJpi8JYSmbUb3RblRnzsMtxah2TqbpRjj6abr4cnZEbz38Cgs+kkYHfUPk6O0nybqKD06K4owS57zLzRj01DcjBLqUODoeReagjwIVgkrNKebrt/TKvPR+U/+GoRjXRb0pHowO93zc3hNBRv6/4OtNICvYpumFKSu8NSX1ZSCLAgGlqAp4QTUTwY986w8K8lHSFoGRv9wW5KJP20pSILq4xCTYdGWgiS8actUCxFjaeMdUXoEI96ltExmYsR6GP+uKGuC5WNLS+uE7otSoz51GGotyrJ1MksxxrWyPDs+Ts+yo+N+nh0f95PiOOwfJYfH/bP0MIoOj47yPJsZVK/KMjENxc1IUYcCR8+7shTkQTBKfGVZH830VX1Y/MeQyz//2fmPodFrpjAThMIUHAKFH4JlFaYgC4Kd7U5hCvIRUZjaUlh2LwWZ+FOYgiSovg4xGRaFKUjCm8JU4SA17nbcEaVHMOZdKkw1EyXWA6F3RVkTLB9bYVondF+UGvWpw1BrUZitk1mKMfZxi9OFarSkvVMHOZWrJrlVNy0y4TYtxZ9+0yJzoBLcQHXRtMhEqEgImeh2uOiaxlmuaZEJENn8QdGY1qZFJkRk18eS4pEJjtLjgRg9iyhkgltx0yIXNdLxddy0yEWLdH3EpsV00bSY2psWuZCR7o8kkrHLYpeNGumLumxa5EJVRKjohaFHb3MOq4F2xEaLdFLs6CFOY604LV2LXNBIx9Vh1yIXKdJ/EboW00XXotU4HLDhUjwaZzXYuxaZiH13LXJhIt0atWsx3RybDcKEhRSg4lIiQMYarDpCdW7AautadJ0wbmCJpec9zSHIg7Azho15Oy2gEaSu8NSXjREFWRA2+QixZEt6Q5CPSHrDXkAjyMRfekOQBHWjFTEZlkhWkIS39IajgEaSHsGIkyK3a5rianojm+2IZ/b0hiRrguVjByiOAhpJatSnDkPNOZn77ZNZijFe3wIayxVfN6OcOhQ4et6VpSAPglHiK8sOCmgEh0Dhh2BZhSnIgmBnu1OYgnxEFKa9gEaQiT+FKUiC6usQk2FRmIIkvClMRwGNJD2CMe9SYeYzUZLbFaYka4LlYytMRwGNJDXqU4eh1qIwWyezFGNcK8zTs8OTKD48658dHZ30kziK+ofhUdYPjuMiP46S0zieTbhXhWmc/JtRQR0KHD3vClOQB8EoYRXmrxaHS3x8/ubsisK6RudhXWSjZWe9g1mX30CBzuvnb84PndD6U6tQqOmZ7nZ+DqebVZ9fHD2xEUZBsBEpc/ZgW3KkFH6klhWigiwI5pggRG1lM4JERBSoJQtyW5KIPwEqSILqChFzYRGggiS8CdAwVgNlUaCS/AjGvksFWsxES2FXoJKsCSaPrUBDFQXWk84kyVEfPAy5Fg3aOp2lGOP1PfXXcpvazTigDgWOnm8NKsmDYJawGvRf7Km/kvOk8PO0pAKWZEFwBwQFjDn1V5KViBw2i2FJGt7EsCQJqk9GzIRZDEuS8CeG7af+ivIjeJ0OxXAcTNXT9F8T611R1gTrxxfD9lN/RblRnzsMN7cWbp/NUoyx34ZG8w5r7Lq5Q+XXujVX3NDIhds0FX/yDY3cgUpwA9VBQyMXoSIhRKCDm422enHv/Kf1FP2xejjoVR/CFviN3r9/Jh/A+cnNma3vp/7VN3V4oX9Gv1NPTBhGi9mbRioPZzNXBxaP6pKMaZiQKTh/Wf/iX1cf6zijDhDqGOL+LEy4fAt2Hcq8Xb1T/bz6x+oP/XoBTffWP750xnMYDepfqv96r0Y4/UvTd9agv4SoqV6M8O2H9V97tX7bY8r6rOF8dakE5S0Yn3d6Kjj/flLXmOgvP6i/VMF0AAam+d/hzn/T/4m1jHIBIjtvCCLe2jLKhdgU6SIto1xwlAYbxOilZlcy5MLz0jRa32NnXJZ32LiR8qLbtlE2WqTAoLWNxou7LmP7XZdsyEiRQYpFrhVKqKgYBMawfpcNHOn06Z2jYZIkalCYu0fZcBURLnp96BHcnMNqoB2x0SL9FTtWc1x5ycaMdGG05tE4iYuBMjePspEiPRm+eXRhIu7ZTcQBGy7Ft3EWgzYP+SDPTaBLLmiZ/tEoTFMNVZmgjtlQkT6O2EOq18TYbBYmLKRrmwOLLT2kcURjiaXnPQcmyIOwG4ndZviXmwMTnCeFnyf8HoKJxY4kC8IuMCESRuXABFn5zIEJ0vCXAxMkQd2LR8yENRQXpOE3C5aY+N0R5UfwO6TIsyULNrstMbbffSnKmmD/2JGVKwsmyY365GG4tWTBWmezFGO8vndfxpa+19maIAwFjp53NSzIg2CVsGpY/O5LyfFQ+PFYVnUKsiBYXYLqtOVfBImICE3b3ZeSRPxJTUESVIeHmIsoHSTGzPhQkohHsWm9/1KUH8Gsdyk2Zzcmxvb7L0VZE8zeEmLTev+lKDfqs4fh1iI2W2ezFGO8vsf3xbYCrYQ6FDh63sWmIA+CVcKKzS6P75OkrvDUl9WVgiwIBpagK92Hq0jyEZKXluP7JJn405eCJKg+DjEZkRqkiXFneSjJxJvAtJ/hJ0qPYMm71JezexNj+yWYoqwJ5o+tL+1n+IlSoz56GGot8rJ1Mksxxut7hl9s625V1KHA0fMuLwV5EIwSX14uf4af5BAo/BAsKzMFWRDsbHcyU5CPiMy0nuEnycSfzBQkQfV1iMnIB4VtG1OQiDeVCce+Gf3SHVF6BIPepcqc3Z0Y2y/CFGVNsH5slWk/x0+UGvXJw1BrUZmtk1mKMfbbN2rRjamTXNYkt+q+USbcpqX40+8bZQ5UghuoLvpGmQgVCSECnbtvNAysjaOXWjQvej/P39Rz9rDR/Tl9ydkBunxH5wdhGPaeuhqS9C43cdbNqluLwx7hD15C8wf9Rz6veX5Us/x0xg+qhR+ef/9KC+r1VthFRcbg6V71+/rlB3UQ9KguEIYy5Xq3vXf+Rr2u5xjqSuStxe8baKz1b3nuuRdMq2aHu2qaTlOu25QJENmqQ9H/1m5TJkRkj86Swp4JjtKRgxi9SJkd5pCLz0u7aRbFg8CI+w4bN1KVdNxuykWL1CXEdtPFLaWx/ZZSNmSkNiFFMNeMQR6nahAZTdYuGzlSLND7TVUeJVoMWvpNuXAVES56gegR3JzDaqAdsdEiPRY7xHPdVsoGjfRiHTaccpEinRmh4XRxW6ndSByw4VLcG2c1FJE2x4PC6DtKLmqZjtM800t3EBvXw5gNFenmqB2n6ebYbBgmLKQAFZfDAjLWnQXHvgp3d8HWceq+ZusaSyw973kpQR6EbUzsBkWnZU+C1BWeOj6gN7HYkWRB2JElBJgt+ShBPiL5KHvZkyATf/koQRLUXXHEZISB9qCZ8XyJoSQVbxkpR92TJD2CKSfFc9eUxdWM1Oy6y9h+d6koa4L9Y4crjronSWrUZw9DzTmZ++2TWYoxXt+6J0tP1s04pw4Fjp53fSnIg2CU+Pqyg7onwSFQ+CFYVmcKsiDY2e50piAfEZ1pr3sSZOJPZwqSoPo6xGTE6SBILTJTkIk3mekofJKkR7DoXcrM2Z2Xsf0CU1HWBPPHlpmOwidJatRHD0OtRWa2TmYpxnh9LzBNbN2bBXUocPS8y0xBHgSjhJWZK7zAVHKkFH6k8Gq0eg9X1mNiuyPJlmC2CarVVn4jSERErtouOpUk4k+tCpKgukzEXKjYcvLbUJKIN7HquOxUlB/BMXSpVme3Y8b2y05FWRPMHlutui47FSVHffgw5Fr0aut0lmKM1/eg58RS1p+477oy7RCj6PnWq5I8CGYJq1f/xR70LDlPCj9PeLVsYrEjyYLgDggqGHPQsyQrEUlsFsSSNLwJYkkSVJ+MmAlrFbwkD3962H7Ssyg/guPpUA8nsxsyE/t9p6KsCQaQr4ftJz2LcqM+ehhubjncPpulGGP9v7+6JARhOf+lS/Z228eqTGRvJq77W5Isb5L11McaWfpYuXCbpmPJPtZ3G+Lufm/WdvolohE1jdR8r7UX9uYdkPPO1H4Yb8E/kXEAtrkDkOAGgNafWv3y/M2ZoP6jluoPzl/XpN+aCfJfVO9OB6Nu6fzvU6EFLZ29W8Pdvlbr/9NE8BkuQUUiiCBnQrfDRdc04mJtlFyAyAYUghi1tlFyITbFpkgbJRccpc8EMXrGkRtywXnpoQwsPYl32KiR/pDeQRkGaWLroGSjRXpEWgdlsriwM7Ff2MmGjPSKJDGNXRa7bNRIV0bvnrRB3WNDVUSo6IWhR29zDquBdsRGi3RS7CgjjqF43oR5n40Z6bdojZMO+3CPjRTpvvCNkwvbcM9uGw7YcCkOjbMYbA9byUUs0zRpgzlmw0R6NWLDpF4MY7M9mLCQAtSjMEnjNE76eXSiw9riJO0fqTjt66+Ojw7zIjqMZ07PGsI6AnpuGGtpmJwVr6JZYumZgl0HK0rAa+JxS5IHYQMNGwkjMzfXsiGXAmb59M2stulSsD37e9OY+6vmyT/v1IX5cAJQ5rguSXKmFH6mlo1oBVkQti4JkS8qdyPIymfuRpCGv9yNIAnqBjJiJiyhtyAJb4mbJB5klhhdkh7B7ZBCzZa8zexOx8R+Q6coa4LxY0dU1gndF6VGfeow1FrSNq2TWYoxnlYxhVFRnKjj/mF6mPcTleX9PAxP+8XhcXp0mkRFFB0+518LR6ahuJnE1KHA0fOuhQV5EIwSVgszLuh8JyLd0Ck5IAo/IMtKTkEWBKtLkJy2ZIsgERmVabmhU5KIP50pSILq8RBzYdGZgiS86UzH7Zyi/Ag2vUuhObvPMbHfzinKmmDy2ELTcTunKDfqc4fh1qI0W2ezFGO8vsfUKUt/Z5KQhwJFz7vSFORBsEpYpdnlMXWS1BWe+rKaUpAFwcASNKX7+BBJPiLS0taPKUnEn7QUJEF1cYi5sEhLQRLepKX9fDpRegQb3qWynF3lmNjv5RRlTTB8bGVpP59OlBr1qcNQaxGWrZNZijGuheVxdBaehMdBPzw+jvrJ0UnSz08D1T89C0/TIknjPDp6zr+wTExDcTNR1KHA0fMuLAV5EIwSX1i2nE9XC8zELTAFh0Dhh2BZgSnIgmBnuxOYgnxEBGYwMJ6HdluSiD+BKUiC6uowc2EiMZQk4U1gxmqQWQSmJD2CLe9SYM5ucUzsV3KKsiYYPrbAtE7ovig16lOHodYiMFsnsxRj7PdKTuN03pxdFGwmp/Jr5FbdysiE27QUX99WRuYAJLgBWINWRiZBRSKIINdyU2fY06ugcR1ndd9Utnt/NiDmAof7s9s4L52id6m0tnqgF8MTuM+yvovzAVREVPV9nE+gZuIjDeyz+s/ACpqvQSgh/qCnlxn/fs5ppe+lO0fnv352J6f+E/ZbOY1mdIc7scgGG4LGtxUmMAEiu2nwot3RBcqEiGyjWVKOM8FRmmYQo5dYjxFh4vPSCJrkyaCwlJlycSP1RMetoFy0SEVBbAVdXKaZ2C/TZENGqgpS7HEtRRQFYTJIjOptl40cKQfo7aBJHgdqkFpaQrlwFREueoHoEdzcMw/uiI0W6bHYwRnYirwwYd5nY0Y6MWJLqCpSa0soFynSlxFaQhd3adptxAEbLsW7cRbD1D4ExjxyyUUt0xaaRYnKB4mlNZQLFenlqK2h6ebYbBcmLKRrm0tKba2h7muf+LseW55zSYI8CPuP2J0FkVyS4BAo/BDgQ28Tix1JFk2P7WBBiDNbckmCfPzmkgSJ+MslCZKg7moj5iJOB7FxF2MoSWQd8kmS9Aj2nBTTXZMXV/NJszsYE/uFmqKsCcaPHbI48kmS1KhPHoaaczL32yezFGO8vhdqpraeS/elT4ahwNHzLjIFeRCMkpjIRFyoKTkECj8Ey4pMQRYEO9udyBTk41dkChLxJzIFSVBdHWIuHCJTkIg3kWm/TlOUHsGedykyZzcwJvbrNEVZE4wfW2Tar9MUpUZ98jDUWkRm62SWYoxrkRlFR+r0LDnuB2mq+mF4mvfz4KToB4EKVJrnYaFm8suryDRO/s2koA4Fjp53kSnIg2CUsCLTcLAHlKk8qutfvpx+E5ou4ViPX+p3/7IuIIH6Ef2KcU96W3IEFH4EltWYgiwIZpagMW0FM4JERMSl9SQPQSL+xKUgCaqLQ8yFSgaJUeoPJYl4E5dxUFgynXdE+REMeZfqcnZfYmK//lKUNcHssdWlfUb3RblRnz0MtxZ52TqbpRjj9T1DObU0XaqAOhQ4er7lpSQPglXCyst/wWcoS86Uws/UkjJYkgXBHxBkMOYMZUlWMprYROO2JA1viliSBNUrI2bCWrguycObILYfoyxKj+B5OtTDanZhorJffynKmmD/2HrYfoyyKDXqg4eh5pbD7ZNZijGG2y+3pt17Hm+9NJ5ZeFOFDpJJVjRJemsVNVrNW1y4TYux2lbRdNEqeume9EWraDBtFTXO1zZ3ABLcAKy+VZRLUJEIIsiZ0O1w0SG7Rwi61bJ9ywWIbBUhSFBrvyMXYlNiivQ7csFROkIQo2c+VoQLzkuzo/XWSzZqpD9ktDpGkbK1OrLRIj0irdVRLW69VPZbL9mQkV6RpKGxy2KXjRrpyuhtjtZbL9lQFREqemHo0ducw2qgHbHRIp0UO7hQYT4IChPmfTZmpN8itjja7cM9NlKk+8K3OC5swz27bThgw6U4NM5isN56yUUs095ovfWSDRPp1YitjXoxjM32YMJCClCDOErS0+MQ4teon0RF2D+K06B/GKepSgNVxEezVWINYR2BPDeMtbQ2qojGEkvPFOw6WFECXhOPW5I8CPtm2Ej465SxuRRsd5KxEZwphZ+pZSNaQRaEHUtC5IvK2Aiy8pmxEaThL2MjSIK6cYyYCUvoLUjCW7omDLUHVSZ+d0T5EfwOKdZsydfMbkpU9msvRVkTrB87pLLP6L4oN+pzh+HWkrBpnc1SjHGthnN1lhZxrPrZUR72k+P4pH+k39E/OwrS09M80v838wxe1bBxG/imiqlDgaPnXQ0L8iBYJawaZtx7+XPStZeS46Hw47Gs5hRkQbC6BM1py7YIEhGRmZGlWF6SiD+hKUiC6vAQc2ERmoIk/AlN+7WXovwIJr1LoTm7KFHZr70UZU0weXyhab/2UpQb9bnDcGsRmq2zWYoxXt9rLzNLH6ZKqEOBo+ddaAryIFglrNDs8tpLSeoKT31ZTSnIgmBgCZrSfciHJB8haWnZwxQk4k9aCpKgujjEXFikpSAJb9LSfu2lKD2CDe9SWc5uSlT2ay9FWRMMH1tZ2q+9FKVGfeow1FqEZetklmKM1/cUuczWgamoQ4Gj511YCvIgGCW+sFz+FDnJIVD4IVhWYAqyINjZ7gSmIB8RgWk7RU6SiD+BKUiC6uowc2EiMZQk4U1gWg8cuyNKj2DLuxSYs5sSlf3aS1HWBMPHFpj2E+REqVGfOgy1FoHZOpmlGGO/114aHcHNWRhhJqfya+RW3cvIhNu0FF/fXkbmACS4AViDXkYmQUUiiCDnvvYy6lX/UN0//5H+ena15Vd1Ce9Hs4shP57eVvlkVnMJx/y9tTjgT/+iX1cfn79huDDz8m+sh/HSXZSPZosKfnsYDaZHBDqvppzeqAnfflj/jVfnl2Y+hsmCeuP6l/6wvlPzi+m36uKL+uNr1YOBaY52uHOEbJYhyHVbjQETILIzBq+/HR2dTIjIlpgllTUTHKUBBjF6lpOmhlx4Xno6oWMrtHR1cnEjlUHHXZ1ctEhtQOzqXFxgqewXWLIhI/UBKYpojnUch2qQG1f0Lhs40q/TGzuzPLH3dnLRKiJa9PLQA7g5h9VAO2KjRbqrJYIse28nFzPSgxF7O/M4GyhLbycXKdKREXo7F9dX2i3EARsuxbVxFkNtHTJjkFZyQcu0d4ZhltpbPLlQkS6O2uKZbo7NZmHCQgpQcekjIGON7B37Gtzo3tbimdFYYul5TwkJ8iBsI2I3CDqtNRKkrvDU8ZGzicWOJAvCjightmxJBQnyEUkFWWuNBIn4SwUJkqBuSiPmIowHSWIiMpQk4i0d5Kg3kqRHsOOkQO6arLiaDppddKjst1aKsiYYP3ak4qg3kqRGffIw1JyTud8+maUY4/WtN8ptHZM5dShw9LyLS0EeBKPEF5cd1BsJDoHCD8GyIlOQBcHOdicyBfmIiExrvZEgEX8iU5AE1dUh5kINQqPZHkry8KYx7ZdWitIjmPMuNebsnkNlv7RSlDXB9rE1pqPkSJIa9cHDUGvRmK2TWYoxXt9TOXJbs2RBHQocPe8aU5AHwShhNab8qRyC46Hw47Gs4BRkQTC6BMFpq5gRJCKiNK2ncggS8ac0BUlQHR5iLsJkEBh1/1CSiDep6TqZQ5Ifwax3qTVnlx4q+xWWoqwJZo+tNV0nc0hyoz57GG4tYrN1Nksxxut7IHJuaaBM3dcXGYYCR8+32JTkQbBKWLH5L/hAZMmZUviZWlIGS7Ig+AOCDMYciCzJSkQTmxP8kjS8KWJJElSvjJgJW+W6JA1/ehgO0DXn90X5ETxPh3o4nd16mNqvsBRlTbB/fD1sPxJZlBv1ycNwc+vh9tksxRjDHZZ/V/9vayGjrKL35dPjV55/8QXDSJA0r3lTNXVeb5IHTYq2rk87SIqETc0ob3FRNleVYyiRAvVdLRU/BUE4E4vTWk5ItL9ab4U+6NW5d2j+e/38za26v+6KgnwybQzU+vLTWnPeh47A6oGJ9nYa3hhyqV+zkXbuy5nIcrL71G5qs4dc9AkdvbVs3Qh5zwJ5jw1Z0SHjy9c14pEF8YiNGP948G0uIC8tyEsu8mvtDC3IaUtjbIE7ZsPFm3RiV4NGO7GgnbDQ1uviOT8OydKokEZO3KF1lNEwiS7JjPMWFyf+qWM5JWj1fgBN6rBjcv79uvO+7vL+8bT7vPrcxGY7jbSvYTLy7Gtii6/hovfga8yQ99iQFR0yyaiMLIhHbMT4Vb+srzEjL7nIpX2NGe6YDRdvrTm+xox2wkJ7aWfSg6+xeZvYiTyyjjMaKNnbDJQJ6S0uUvyTx/Q3H1RvV78wQd5OY+1UmLA9O5VkazeJi63dTC/W3TyNtnaLNIYPucXbcGl58DbJ1h5w2QMue8BlD7js2bjssbkoOheSvRlpKiOgMgIqI6AyAiojG5URmwr+KVnWPyVbJVAqgVIJlEqgVNoolVxK0o4r2RoDjzHwGAOPMfAY23iM2TzwPoHj0ZKtCdCYAI0J0JgAjYmNxoRFw29YZXd2iRN7bJ0CNFSGs7OFV0ys+AcZ6+7eq3f43jSh3E4T7eGYSD17OAXebGs3DDNwdbYNOy4XD25NgQvb2gMCezYCe2wCik6AZGlGGr/2W1sjwD+y4R+x8ePX/bIOTIGz2iqBR2njUXJ5SHstBR5qawzgxzbwYzZ4vE3nuCoFbmlrAtgnNuwTFnb//snmoZQTfWIdeTRYloey+SgmWvyzSvFRn1afzI6anB9ECY5regQlfPppr65KghMof1Qf//hg+voX56+ev6l/DoquTDS3U6WdHJOqZyenHVyq/Vua60gu0P/pOC7ToV2mIzuNcTfXrxc218dl6MH1abenae1pWnua1p6mtadp7WlaexrYnqa1Z6G1x6al6LRI9mykWY00q5FmNdKsRprVSLMaaVYjjWukWY0srEZsVvhHb1k3qV2kZldqdqVmV2p2pWZXanalxldqdqWFXcllJ+08tePUlMaa0lhTGmtKY01prCmNNaixpjS2UBqzKeHdEMelaneqGU00o4lmNNGMJprRRDOaaEwTzWhiYTRhMbrkq4DYX7ocbhenfi+8rc3fpk4SqXVacFiZznZgOaLoFhdu0wkteer3/1VXH3/vcgHH1JV+DOXK598H71qXhjy85IRNhLa5hJo+p5NTvE0In+EiVCSECHTVz6v3q3er96HM+hvVP9WF4aBiPq7LbmrlM92UfjI7We1qLQ78VP2uXlgMgmgQBVE66M2EE0zjo16tgb7Sr/Vj01DscIcixQ0FoWjZ0rvHBdisQRY87ZoLsVlfLHLaNRdcU1Qsedp1mEeZualxyEXo5cBr21mgd9iokS6Rftx1lNnAfpMNFukTaaddp4vTrlP7addsyEi/SIrMsKtil40a6fwY0dZ0qPVTtnFl0G0Dv8emoIgU0AtGj+rmHNa1oImLFunA2FXntiWyz0aM9Gi006+TwHZE/j02UKRfwx9+vTAY9+wG44ANl+LpulwJJRdxNydftxqKe25DMWbDR3pAYuyrF8nYbCQmLKQe7q+6iGSNyuhm6jyNsUB3MviKZJlwkR57BZEskxDSmXcRyTIRKhJCBLrqneofev/7e3/fy6cBaZTMA9Je9cnAhH2Hix3puTsIPZkAkY66k9CTCRHpopcMPZngKA4ZMXpJWMQDo2MYchGuOPTkokb6sG5DTy5YpBMjhp7ZIvS0HoJ8lw0Z6ciEQk8uaqS3WiL0zDauDLo99ORSUEQK6AWjR3VzDuta6MlFi3RgAqEnFzHSo3UXenKBIv0aIfTMFqGn1WAcsOFSPF2XK6HkIhYOPbONK4NtDz258JEekBp6Zptjs5GYsJBCK/3WQuiCV/GYVDXmiW6mrkNbkzy3jjgOKzcUtXbXM+EiPTg2FP1HiDPrC2s/ryPOj+H6ZEjgfTbL6z2sj3h6dP6TOu33yfR25ctXJtdHP82v2f3iImR9WN/c+3D2DYht4Ybc+c3LYW9++65pdLa5o4NUCl3EtUyEioQQgU4mQzu7abl6r6/tnP6YTz8OwvrfYvpx9lUYDvQff8E0TDvcYUIqkA5CaCZApODoJIRmQkRKjSVDaCY4irBAjF5cDMxXtg+5AEUi6GueefjszsHB6GB2Ps60nLJ4GqykBl4rjMAoMO6waSF9Mz3Etl5Y+002VqRvJkbY+SLCth4Bf5cNGemfSRG2RY1qJhtDO4ddNgekF10i3s43rkyBPd7mUlBECujlo0d1cw7rWrzNRYv0duh4G2FmSpSZ2WdTQvpHWkBuvfj2Hhsn0kkS4vF8EY9bH80DNlyK22StlPlBbU7TUnLxC0fn+caVobdH51z4SOdJjc7zzbHZpExYSOuVclocRyeR6h8G2WE/CeKkn6dB0I+CID0Nj/PDIpm5KmvU/u1D63GA3MjdVhBd0Fhi6ZniewcrSoxv4nFLkkdTWLhmBxn8v7eI2u/bo/b752/Vl9xpRNVjaFsyMd+WZK7wzPFhs4nFjiSLpo93sOggqhUk0vTsDiKU6NdoGW5LEmm6fgeRJWNkQRJNQeAggY2lE22mC0swLcjE2wHKSTZQiYneHVF6BAPeRXQ4jxFnN1Ck9vtERFkTzB46vEFP6L4oNeqjh6HmnMz99sksxRj7LTc0TufNzHk2dIE+pdJTjocLF7mHhJV5a5rj4Y5OghudDnI8XISKhBCBbj1yPNU/1BdcP6j/1qWqVds6uLpiPp6/+T6cj/qlDjnm18fAHTPwNdCBqw415Dfqb56/Vf0RfthcncmdHeRm2/IinAsQuXVGEde21BIXInLXbDnZzAVH2SNDjF6eDxKzGuYCXFlqKQune75Z4EotsWkhJUGXqSU2VqQkoKWWsmCeWsqsF1zcZUNGyoIuggfNZGNo57DL5oB03vzUkgZ+ZQqsqSU2BUWkgF4+elQ357AaaEdstEhvh469EGamRJmZfTYlpH/sKrXExol0kvjU0sK83LM/mgdsuBS3yVopsyDWbVpKLn7Z1NLCrNxzm5UxGz7SeRJTS3rJjM0mZcJCurappcSSWspCGkssPd+pJUkehJ1J7J5Dh6klSeYKzxwfrZtY7EiyIOyxdhDVChLxmlqSJOIttSRJgrq/jZiLIhvEoSWYFmSyBqklUXoEA95FdDiPEcNpNmL6r4n1rihrgtlDhzfoCd0XpUZ99DDU3Kml9sksxRjP24lmrEEsemwnUiayN7PIQTZZ2ckWheVkCy5c5J4SVva9W310kXi4dh7yJ1r9fTq7qB2u5HxYfaZV4avnb5z/7PzH+qvHvXr7H9IC9+scwmMT120u1wTHtYvEEROhIiFEoJNOHEFW6Ff1xapfXj4D+5PqkX5J/5L6ondIKFZf1QlIyBp9MVP/dQ7p/K3eU/VaeKCn/isNQMcJF6eiPD1bPovs0ezQyOqBJSXEHHfkJlkH4pkJELnlRRHF1pQQEyJyt2tJucsER9nbwoye/axILsLV5YTi2WZt5MwJcWkhfTc9JxSGmTUpxAWLdN7EpFC0SApF9qQQFzLSgXch+zWTjaGdwy6bA9IxL5EUijauTIE9KcSloIgU0MtHj+rmHFYD7YiNFunv0FETws6UKDuzz6aE9JC0pFCYqYGyZIW4QJF+kpAVihZZIeuzecCGS/GcrKUyjz+dtqXk4hfOCkUbV4benhXiwke6T2pWKNocm23KhIUUoB6dFcenp8dB/zQ+POyH4elRPw/OzvpBoAKV5nlYqJl7tcb1jl0ObmxvywrFNJZYeqYdAAcryi6AicctSR6ETUXs9sCyoWKwFfb1f6qnv/MJeJPq8f/zcZ1BSno6gL2vY8j7pnHalhwnhR8nQuD+Ox26f6Aj7d9Wv9f/vdOr/rF6p3pbx/LvVB/29Hf/l/7ig97dfRX2qp+bOO9IciZsvRKCZphUA5NnJZmIpJyCAQjC60xuSzLxl3MSJEHd+EZMRpQlg8DYXTuUZOIt52Q9hVOUHcE7dBF7ziPQeJaliO1RqCRrgt1DB0/XcqTBIDIu131RatQnD0OtJeXUOpmlGON5ymm+PwXL2WPOKTWxvZklTrZRk62nnFNoOXLvFhcvcs8KqyqN/U2X2kd6Wki9Xf1i1pd0X7/zMaSdqvnx619CIRKknh7UOau6dQVyHomWVo+rx73qU/0L06D+wjQO29xxSHDj0EVCiolQkRAi0EknpObdS/kgmvYtBbN/Bnoy/6f+zY/rjqPX4Y/+7x/9svoKEk8QOixWwWLd3O/tRkGAXDDq1vmr0O/WO39L/7YH1eez18Mg+Fv9X0//rZ6CKrfH9rPyuJOE3M0jCHFb9ooJELk3h9fXjuwVEyJyV25J4cwER9mDw4xePLDIYSa+1eWu1NZulur/Mv1fPttfTpx5LC5FpB6g57GKJLTmsbhgkYKAmMdKFnmsxJ7H4kJGaoIuYgnNZGNo57DL5pAQOdD3m5ONK1Ngz2NxKSgiBfTy0aO6OYfVQDtio0V6PnQohrA5pbY5pbY5pbY5Jcrm7LPpIf0mMaeVaD1vS2pxkSLdJyGplSySWtYH9YANl+JQWetmHuE6DU3JxS+c1Eo2rgy9PanFhY/0pdSkVrI5NhuYCQspQA1O0iJV6qh/mqdxPzlMgv7hoTrtnx7nh/nZUVqcJkdTMtaNA8c+CnfzwJbUUjSWWHqmLQYHK8o2g4nHLUkehG1L7PbDBxBT6rjxJ73zH1wNMPum8PKN8+8vGp+q30dm6bctOQYKPwb4wN7EYkeSBWErlhD5WlNQgkxEUlChOca7LUnEXwZKkAR1HxwzF1Fi3FAZSvLwln+ytzxJsiMY8i5ixnnkqGYpC2WPHiVZE4weOujBzue+KDPqY4dh1pJ+ap3LUozxrGIqj06PkqR/lBxH/SQsjvtHh/FZP4hClUdZqI7UbFS8ikujqbqZpdShwNHzLi4FeRBsEl5cPpg1Up3/tHoEmvH8terjWjyGQbAB/ykTz21JngrPc1kBKciCYEsJAtKWOhEkIqQfLV3zgkT86UdBElRHhpkLNQgtGRtBIt4EZKiyQWopYZLkRzDXXUrIdCY7UruElGRNMHtsCWmf0X1RbtRnD8OtRUS2zmYpxrgWkUl4lgXZUdHPwtNMvzcI+3l6FvWzw7OoOEnVmTo7fc6/iDQWDN3MXHeNGocCR8+7iBTkQbBKWBH5u9mW5P0eHLIEffXT8pp6S7Kut3lcfXX+vVkxznxzMgd1Wdc81Uc02WqfBIdC4YdiWZ0pyIJgcAk6E7rhPxn0zLPyrCQfGblponFbkoY/sSlIgurwMDNhrQ4S5OFPawYDZaR3R5Qewah3KTWzmTixXgy/K8qaYPn4UtM2ofui1KgPHoZai9JsncxSjPF0u/Lo+PTwLC76KkmO+0mWn/UP00DpnzrKT8Kjw5NYzZ5ir0ozMQ3Fzcx5b55RdKPoeVeagjwIRgmrNK83eMKX9ZE+WlxCe+b0mpHzN6HIvtHj+NezCn1qp+O25CAp/CAtq0EFWRAsMUGDWpPlgkxE1GdgTnrcliTiT38KkqC6QcRcRIPZhsk1/SnIw5v+tDb33RGlRzD1XerPfCZZ7HeUi7ImWD22/nR0a0pSoz54GGot+rN1MksxxtCtuTXtl/PYpGk8p/hmVjhJxk2S/po0ExPeW1y8TZOxpk2aaXjRo5m7ejSZw5DghqGLHk0mQkVCiEAn3qNpu19uBf2ZVxo0U9XSoMmcoaYfkmvQZAJENprgBbWjQZMJEdlhsqRUZoJreuMlGzQjZb1xjglwZR2aebC1m4f6v0j/Nz8BsHB2aHIpIsUAvUMzDMLE2qLJRYuUA8QWzWLRomm9IfguGzJSEXQRQGgmG0M7h102B6Q7X6JFs9i4MgX2Fk0uBUWkgF4+elQ357AaaEdstEjfh46/EEan1Ean1Ean1EanRBmdfTY9pOcktmiqyNYTfo+NFOlACS2axaJF0/qgHrDhUlwqa93Mw1qnoSm5+IVbNIuNK0Nvb9Hkwkc6U2qLZrE5NhuYCQspQMVV3AMZ67aBY/OEu3VgadHMAxpLLD3TBoODFWWTwcTjliQPwl4ldvNBpEVTcgwUfgzwcb2JxY4kC8L+KyH2tWWdJJmIZJ1sLZqSRLxlnSRJNLWBgwQ65C6yYlAYXdNQkoq3xJO1S1OUHcGWdxE2zoLHPJimKnL7BeairAl2Dx33YOdzX5QZ9cnDMHOnndrnshRjvL5dmpbbh27mriv6jEOBo+ddXwryINgkvL5kdmlK8lR4nstqSEEWBFtK0JCW/IkkESEJaS6clyTiT0IKkqA6MsRcRPkgsNxtLMnEm4J0tGmK8iPY6y415Ow+3Nx+ubEoa4LdY2tIR5umKDfqw4fh1qIiW2ezFGO8vm2amaVNM4+oQ4Gj511FCvIgWCWsipRs05QcCoUfimWFpiALgsElCE13m6YkHxm9aaJxW5KGP7UpSILq8BAzYa8RkiTiT2xa+zRF6RGsepdaM5qpE/vduqKsCaaPrzWtfZqi1KhPHoZai9RsncxSjPH69mlmlj7NPKYOBY6ed6kpyINglLBSczV9mpKDpPCDtKwIFWRBsMQEEWrNmAsyEZGftj5NSSL+BKggCaobRMyFGgSF0aYPJYl4E6D2Rk1RegRb36UAnd3EmNuv1RRlTTB7bAFqb9QUpUZ98jDUWgRo62SWYoxnjZpA2mOjpnFab+aJk2TSJOmvUdNYZnSLi7dpMrw2an5ZPXA04E3vcn8I17rPpOaj6V3usJdZNw3O/wR8Pm0ajC7fupk4Ojq545XgxquDjk4uQkVCiEAn3dEZ1z2c8ayXM+71e3WN7R/Pfwrb2XrdTH9n9VX9J36sX/oUlhKu5bPR8xkqvSY08Brgx7Og5f75z+DXwruhkbMXTTs5TbOyw50VZCcLQZfbqhCYAJG9KHi5be/i5EJENqEsKaSZ4JqueskuzrCwdAEMuQBX18WptnbzVP+XTZupcucdm2x6SJVA7+DMAmVr4GSDRcoEWgNnvrhjM7ffscmGjFQKXQQWmsnG0M5hl80hIXIg91blizs2c/cdm2wKikgBvXz0qG7OYTXQjthokW4PHZch7E2p7U2p7U2Jsjf7bGpIh0ls3gxUZrtfk40U6TfxzZsLQ3PP/pAesOFSPClrzcxDXaeRKbn4ZZs3FwbmntvAjNnwkX6U2Lypl8zYbFwmLKQA9TAMk1QlRT8Nj1U/SfKsf6SOs/7ZUXYSnIS5StPZWrJuJTg2VLjbCbbmTUVjiaVn2nRwsKJsPJh43JLkQdi/xG5ILNW8GZot8bbkGCj8GOBDeBOLHUkWhD1ZQshrTUUJMhFJRVmbNwWJ+EtFCZKgbogj5iLP02KgTEyGkky85aLSQWQs9bojyo5gyruIGOdx4+xWxtx+w6Yoa4LZQ4c82PncF2VGffAwzFoyUa1zWYoxXt+q+9zWu5lShwJHz7u8FORBsElYeSladS84FAo/FMuqTEEWBHNLUJktVfeCfGS0ponGbUka/pSmIAmqw8PMhD2nI0jEm9B0VN1L0iNY9S6V5uzqxtx+Eacoa4LpYytNR9W9JDXqk4eh1iI1WyezFGO8vlX3ua3B031RlGEocPS8S01BHgSjhJWaK6q6FxwkhR+kZUWoIAuCJSaIUOtWpyATEflprboXJOJPgAqSoLpBxFzExSAxzsZQkog3AeqoupekR7D1XQrQ2Y2Ouf16TlHWBLPHFqCOqntJatQnD0OtRYC2TmYpxhiq7mvaM+0FwtJj+X1hYnszd18GlTbZ+iq/j8wB/C0uXmRRHVYjmsrvYd+xelTrRK0Nz7/fqze4HoGKvFKNXwvLR+c/HkyL50NX8TyTbYJj20XxPBOhIiFEoBMpng/7WuLPy+PntfRQPK8uXY6ko3fT0OxwhwZZykfQuLYKdiZAZEEeXro6KtiZEJGVeEuKUiY4St0dYvSyIrbtdjIBrq6CvdjaLQL9XzirKM2dFexcekhHS69gVyqzVrBzwSI9LbGCPV9UsFsvirzLhox0tl2IdM1kY2jnsMvmgHShS1Sw5xtXpsBewc6loIgU0MtHj+rmHFYD7YiNFun20DEOwt6U2t6U2t6UKHuzz6aGdJi0CvY8VtYCdi5QpNskFLDniwJ26zN6wIZLcaSsJTOPGp02puTiFy5gzzeuDL29gJ0LH+lGqQXs+ebYbFsmLKR1PIRKEQEZazDu2JvgBuS2AvaCxhJLzxS2O1hRQncTj1uSPAhbgdiQXrTCSHAoFH4o8NG0icWOJAvCLich8G2pMBLkI5LisVQYCdLwl+ARJEHdZkbMhCPmFiTiLcHjqDCSpEew6l3EjvMIspjlBOwX2YqyJpg+dPCDntB9UWrUJw9DrSXB0zqZpRjj9a0wKizF7EVAHQocPd9SU5IHwShhpeZqKowkB0nhB2lJESrJgmCJCSLUVmEkyUREfgaDSCkTlduSVLxJUEkSVEeImI0IspSJWYRKUvEmQu1VRqL0CPa+QxFazC5QLOyXYYqyJpg+tgi1VxmJUqM+exhqbhHaPpmlGONahIbHUZQXp2f9NKtvzoySfh6fFP2TRKVZFgYnQTqbcK8iNDYNxc3CfaWTYShw9LyLUEEeBKOEFaHvXFQrQRnTrFrpQl1qPXr+Pf3fD66eGTrVpF9BvdN7Wo6+3a+16c/1r/t1XYLzoWlstiXHRuHHZlntKciCYIC70J6CTES0ZzhITURuSxLxpzwFSVC9H2YuojQvzPMxlKTiT3kOIuN+yR1RdgQb36XwnN25WNhv0BRlTbB7fOFpmc99UWbUJw/DrEV3ts5lKcYYhKdLT3ZbzB4aC19uFpGDnSqiJrtVV7Nz8SIL7LBS0FM1O5dtgmPbQTU7F6EiIUSg81HNHsGX1cNebCtyD6cHxofp9J/MXObOHbOm4Rcrc+cCRFbtUTSsrcydCxFZr7ekOmWCo1TnIUYv1t7JcnwcF+HK6tyLeGu3SPR/alp3WkSuOnc2PaQP7rTOnQ0W6YNpde5FNK9zL6wXPd5lQ0a64S7UumayMbRz2GVzQDpXfp27Bn5lCqx17mwKikgBvXz0qG7OYTXQjthokX4PHewg7E2p7U2p7U2Jsjf7bGpIj9lZnTsbKNJv4uvcF3bmnv0ZPWDDpXhS1pKZx49OG1Ny8cvWuS/syz23fRmz4SPdKLHOXS+Zsdm2TFhI1zbvEwaWQvciptHE8vOe+BHkQdgUxEb7fhM/gmOj8GODj7xNLHYkWRA2QAmxsDXxI8jEb+JHkIi/xI8gCer2M2IulCqSxERkKElkDdI+kuwIFr6LQHIeTs6uny3sdwmLsiZYPXQkhJ3PfVFm1OcOw6wl7dM6l6UY4/WteQ8tB+LdnN2HThgLHD/vslOQB8EoYWXnioreBQdJ4QdpWf0pyIJgibvQn4JMRPSno+hdkIo/BSpIguoJEbORFzoeCIxFxENJKv40qL3oXZIewd53KUKTmXCx30Aryppg+vgi1F70LkmN+uxhqLWo0NbJLMUYr+8hH1qFxqaxuFko6ljg+HlXoYI8CFYJq0IlT/mQHAqFH4pltaYgC4LBJWhN9ykfknxEFKf5lA9JGv7UpiAJqsdDzISr5EiQiTexaT/mQ5Qewax3KTZn1xwW9isrRVkTbB9bbNqP+RClRn30MNRaxGbrZJZijOtz3C/JLKuafPn0+JXnX3zBMAosMWnZzUwdNJMia9K0lbzbwVIk4kXVuxHtLS7a5gpzDC1SCP6qelh9WivAh9VndQn7W3XG+60tKGl/oEXFI7i6/LPq4/M3qi+Mb3tj8cYH9UbmAxPl7SK9MeTSvmYq7byXs5TTqtRsa1cvevig4EOuP4TwZRjDB2UxmlxuCZ0bvjgICO3pP74HhPaA0B4Q2gNCe0Boz0Zoj01I0Qnhy4U0n5H+2yPgMwI+I+AzAj4j4DOy8Rmx+eAfOr5Vn5YnZlsl8CqBVwm8SuBVAq/Sxqvk8rpWjtbCi7boxvoPj4HMGMiMgcwYyIyBzNhGZswmg3c6xPo0zWWi/+4EuEyAywS4TIDLBLhMbFwmLC71iptyAdfk7WIUS2vWzcJ9DUxhnRAcVqZTtTtWJtymg5HoJHtSfVQ9ru6D/6y3Wuqis0/M/rd62Dt/rVd9VX/ni9q1PpxVoD2EzZne+Y/gl0IT2n39nsdXa9Smv/rRbI+n/kL/9l4N5UH9657UP/2o/uVfVvdnacWPe5F+U91O9ZZpeLe5w9v0cYKta0yEioQQgU6kde3SzSsDqD98on8HzPkj/dW7jeUFO3nW9QW7fNNGxvtXp13/ot/rH4WV8rDOTus/+eD8+zX0L+uX4Hf8pPe/v/f3cbg1XaH3q8/1X9YEHW/uBfW7p4tO//o3AdqDehj0ipz9PQ2uFwXT1slev5cG/TDSX30Cq9PS1rbDnfBmHCrXd8cEiOwiIGyo2fvumBCR/QNLbpYxwVG6BRCjp5JBYsI35OJbXdedDmg0LB3ZBLM2mMzZdsflh5Qr9La7OEqsbXdcsEi9Qmy7yxZtd9aL9u6yISM1y3IR8XzXMNsY2jnssjkghQEj8p23xWQbV6bA3nbHpaCIFNDLR4/q5hzWtWCWixbp9tBbrwiDU2qDU2pIJc7g7LO5IT0mre8uyVOLsbnHBor0m4S+u2zRd2d9SA/YcCmelLVm5rvZTiNTcvEL991lG1eG3t53x4WP9KPEfQ29ZMZm4zJhIa01dR6p8Pgk66uTYyhOOSv6eXpYpw/iLC+K7Cg+mZKx7ml8+7Db0hPYKrDsbLhv0bnGEkvPtPvhYEXZATHxuCXJg5CixG6NvHc1YPxIx6Kvn7+hv6wrnucFztY4MjBO5rbkICj8IOC3B0wsdiRZEPKuhJjXWt8syESk2gTqm01Mbksy8VdwIkiCmvVGTEYY245VFOThrdwk0vRyoxm7I8qPYMy7iBnnkWM+K1GwX04qyppg99BBD35G90W5UR89DLeWgpPW2SzFGNcS86xQ6jQ+jvuhyo/6YXia9/PgpOgHgQpUmudhodrqUSQkpqUopaAOBY6ed4kpyINglbAS81Jxsyk5Vpc4f1AnZL46f0u/AGmOUAX2AxsF6Ss8fby4FMmzCA4CwUYTtGlLPbQgHxGFGg4CZWJyW5KJP4UqSILqJhGTobJBaHxOhpJEvElUzc4iUCXZEVxBlwJ1dlVeYb/3UJQ1wfixBaptPvdFmVGfOwyzFnnaOpelGOOpPM3T7Pj47LR/cqbCfpKnaf/wJMn6Z3F0dKyCNElPj5/zL09j01DcDGd5DcpYoPj51qeiRAhWCStQLUXX9W7nTJ8+vlyEUzffVR9Wv6n+R/VOfezDb+vjH35X/d/TQhzTqGyLjorCjwpet5po7IjSIBhfgvK07YqKUhERnZG57+u2KBNvolOUBdX7IWYjjM3boqI8vInOMIkHmXG53ZElSLDwHepOzWkqVmafmIjvyhInWD+29LTP6r4sOerzhyHnVp+YGS3lSPu8eiay7HiGgetiHVXETXYr7hdg423ajD83DJjGd5s9vglufDvoGGBDVCSICHiCLQM35j0D3XQJ1KX88NmP9a/69Pwn+ld8pj/7WKP7dNoFCj8K62S2hDTa3lP6Zx7WS0h/9fT023/zb+b70APT5OywJwdZ50gQ9ZbyfjZCZLUiXqvb6/vZGJGFisuqcCY6Sl0iZvzCfJDaBDYT4sqK/MMgggp/6FgOkmnVLXQwOur8+RyRQqPTQn8+WqTSoFX6azjzUv/ZMJtQ3+WjRuqNLuITILMxdNDY5dNAunV+vT9gvzoR1op/PgtFZIFeRzCymwtgDcAjPmCkN0QHeQgLVIIFKsEClUgLtM/nh/SlnVX+85EiPSq+9P/C8txzPLIHfMQUL8taO4vo2W11SjYF2QaAC4sznwBrCwCfAdLFEnsAYO0sQDXATnhg1zYJZjvgQJspGk0sP/9JMEEihC1S7JaHrySY4Kgo/KjgdwFMNHZEaRC2gQnxsj0JJkjFcxJMkInHJJggC+omPGY2inSQGidkKEplPfJgkgQJRr6LOHMRbUbzrIn9XldZ4gQDiA6R8LO6L0uO+ghiyLXlwdpntJQjvb59AvasWUweCxQ//xpUkAjBPGE1aNedAqL8FZ7/0mpTkAbB2BLUprvYX5SQiOa0VvuLUvEoOgVZUD0eZjqiZKBmt8ddV52CXLypTmvJvyw9glHvVHPGc4Viv/hRljjBDLI1p7XsX5Ya9fnDUGtTnO3zWcqRXt/DTyJr6X9CHQscP/+KU5AIwThhFafM8Seio6Dwo7C07hSkQTC4BN1p3+UUpCKiOK0noIhS8ag4BVlQPR5iOqJikFq3OQWpeBOcjmNQZAkSrHqnkjOZSxT7NY+yxAkWkC05HUehyJKjPoIYcm2is31GSznSfsv9bTJSOdklTXYrL/dn4m3ajD+X+5vGd5s9vglufDsp92dCVCSICHjS5f7ZFnwMw+k/atAL+3Hv/Kew3V39sXrYWTOA/hHrLVLzH3k4DXhmf+ObLxx+96xX/UG/76c6zoGGgU/1u79//vpW7/KevG3xX5SI7H/r+VdefOH5Vy5DuPgFYQ3S2lrAXAjIYkpCEGFtLWAiRJZD4mMDV2sBEyOyEHJZ0c9ERyl6RIyfitNBaDxsd8iGuMLWghS6CrJ5Ta9ydxVw6SH1TMddBVy0SEFD7SpQF10F1ise7/JRI2VNF2EQkNkYOmjs8mkg1cMyXQVq4+pEOLoKuCwUkQV6HcHIbi6ANQCP+ICRjhAdSyKMTwnGp0Qan30+NaQH7bChgIsU6UcpDQXqoqHA+rQe8BFTfCtr2Szic7fBKdkUpBsK1MbVCXA0FHAZIL0ruaFAbS5ANcBOeGAB7VF0GqkgP+sfnZ6c9pMsLPqHYZL04yCPsuj07Pg0Opnyse6GOLaDuDsi1oaClEYTy89/ak2QCGETFrup8p4h0nQEs9unL52+rCPHemtj+66yZdYEB0HhB4GwrdBZMG4akB3RASHsUBPCa3uOTpCKSI4uNN9Bd1uUiccUnSALan4AMRuZCgZpnJu4DEW5eMvRqSgfmC8JuiNLkOAeughOFyFqOs/opI4wVZI4wQKi4yr8rO7LkqM+gxhybTm69hkt5UjX6vX0+Cg4LdK0X8RR3E+i46R/dHiW9Iv8pEiC6DQ7nS93r+rVuOes1avr8i/jWOD4+VevgkQI5gmrXklpj1qz3ixH/WeeP/6bV44OXzjpR0EQlKaR2BYdCYUfCbyElUgCmYZmR3RoCKacIGbbGh0ECQlJWmujgyAVj5pWkAXVnyKmQ6WR1gaFictQlIs3TRsltvTPHVmCBKfRqabN5grIfn+zLHGCIWRrWvus7suSoz6DGHJtmrZ9Rks50n7rzhITO61SXZeMqUI12a287oyJt2kz/lx3Zhrfbfb4Jrjx7aTujAlRkSAi4HmuO2seFWs4KRZ/SGyHpWa2qjDmNCGT4QSlb60KYyJE5rRJ0t1aFcbEiMxmL6vJmegomWvM+AVqkNqkNhPiCqvCiq3dMAzmhRm5uyqMSw+pNjquCuOiRcoNalVYflEVZr2H9S4fNVJ0dBGkAJmNoYPGLp8G0rcvUxWWb1ydCEdVGJeFIrJAryMY2c0FsAbgER8w0hGiIz2E8SnB+JRI47PPp4b0oB1WhXGRIv0opSosv6gKsz6tB3zEFN/KWjaL6NltcEo2BemqsHzj6gQ4qsK4DJDelVwVlm8uQDXATnhg1zavllirwgoaTSw//3k1QSKELVLslgcpk0TMqwmOhMKPBD7y95hXExwawnYyIdpuy6sJEvKdVxOk4jGvJsiCuqePmY4wGBTm8z+HolzWI68mSZDgNLoIWReBazHPwtgvDpclTjCE6GgLP6v7suSozyCGXFterX1GSznS69vpkNhqxULXVZbGscDx865pJYkQzBNW08p0OkgOgsIPAl7OdpcLMg3IjuiAEGw3QcRaOx0kqQjJ18TE5LYoE3/qVZIF1XNiZiPJBoXtbkRJLt7Uq6vTQZQgwT10qV7D+VXVoePycVHiBAvIVq+uTgdRctRnEEOuRb0iZrSUI63/91eXZBuI0r90qdRuq8SUia3Wp84bzIKwydZTlZjlKrJbbLxNGyJTJTYt93qArhHTr3yq3/OkLvX6uD7FdlbwdfnYW9h2g9//1fmlg3EvVX6Fs8qv6nPTmG2zxyzBjVkXlV9ciIoEEQFPuvIrH0R1AdeT6jE8mNlWT3/Mn54WggWXvpUmWz39vTSb/pPDG9Oi/iKLp/8k8x8bhJd/Z/H0ABR8fSAyLJz50uvVVWMPe3Wh4f16wXzSi1w3i3NnBZnfJqh2W6EXFyEyTU0R49ZCLy5GZIJ6WZnNREdJRiPGLw5TczgzZCNcXZ1XGM2qLEL3deJsZkipQC/xUnlgLfFio0VqBWKJV3hxnXjouE6cjRqpGLqIOIDMxtBBY5dPA+nElyjxCi+uEw9brhNns1BEFuh1BCO7uQDWADziA0a6QHTYhrA7JdLu7PNZId0mrborz2w25x4fKdJ5Eqq7wotLxO0P6gEfMcWhslbMIgp225qSTUG4uiu8uETcbWfGfAZIx0qt7grhEnGzjZnwwALaw1MV5UGg+kWQn/aTND3qH0XZWT8/OYvVcZgFxyczJ2bdY3BsunD3GWzVXWFEo4nlZ9qNcNCi7EiYiNwSJULY6sRuVXyow9W6vaiZAZrfpGMMFd/TQeyrdcD4oPoC9ire0S/9v6E66j1oT7uvA+LXqvumAdoWHSCFHyB80G+isSNKg7Cz20WULMhEKLVlNCK3RZl4TG0JsqBuqyNmI07yweyOjuvBuSAVb5mtLB9EhYnfHVl+BGvfRZi5CDbnd0+HjtvERYkTzB86QkJP6r4sN+oDiOHWltdqn9BSjrTf0w6MGXatLmMXuyJtslt5HouJF7krhRWHX688FnPMEtyYdZLHYkJUJIgIeP8y81jXTk4Arl/Wt/Gcv6kXF3B7oz5L4fyt6o96nerf8rA3+zVwSsdsjQ70sL1gmuEd9gwjNwS7UPtMhMjNPYqKt+fEmBiR23rL6nMmOsoWHmL8Uu1BjB2BQzbCFebEkvnedOzOiXGZIWVHxzkxLlqk7qDmxOKLnJj1lu+7fNRI9dFFsAJkNoYOGrt8GkhBsExOLN64OhGOnBiXhSKyQK8jGNnNBbAG4BEfMNIFoiM+hN0pkXZnn88K6TY7zIlxkSKdJyUnFl/kxKwP6gEfMcWhslbMIoJ225qSTUE6JxZvXJ0AR06MywDpWMk5sXhzAaoBdsIDu7Y5sdSaE0toNLH8/OfEBIk0RYdrfpDbHivIiQkOkMIPEH4DwURjR5QGYVO4iyhZkInnnJggE485MUEW1C15xGyk2SAxH9czFKWyFjkxSX4Ea99FmLkINpN5</t>
  </si>
  <si>
    <t>CiVxBJySxAnmDx0hoSd1X5Yb9QHEcGvLibVPaClHet7rlTy3kJgee72M7XxabSoX2yBusvWUI7OcB3aLjbdpQgRyZPVhzLWC7Gt1+PH5G3XOq5kbm7XYw1nfU1n5WL/8JRz1XR8Phc57McchwY1DJ3kvJkRFgoiAJ533mp7cnU8/DsLZv1H9b7HVK2YvQYPpLKU1O+q7N+jt1rNf5zxn57jDOgAQn/d6528s1tTD+rNHcBC4DlTOvw8Ezr9XY361V30Aa6c+l+H++avnr9/o/f9e+zdF8b9/9MswCnu9+nwDva6qx/HWNNM6zYU9mp1IP03p1ut4mviCtffHGsgsWfYAlikkzx7oTyMFv/G96v5W7//76N8EW0Gi/8at89enf+L/uV990OvpP93rqcDVR8ZcHcgNwy6iASZC5OYfReXbc2ZMjMhtv2X1OxMdZYsPMX5xMYiM7m/IRrjCnFk637t23eF+h88MKUPoObNEz4M1Z8ZFi9Qh1JyZusiZWS9Cv8tHjVQjXQQzQGZj6KCxy6eBFBPL5MzUxtWJcOTMuCwUkQV6HcHIbi6ANQCP+ICRLhAdESLsTom0O/t8Vki3ScuZ2W3OPT5SpPOk5MzURc7M+qAe8BFTHCprxSwibLetKdkUpHNmauPqBDhyZlwGSMdKzpmpzQWoBtgJD2wtENMiP4zCo36RneX95CQ46x8ep1H/LDjJkig6i6MTNeVj3b9wbOhw9zCsObOURhPLz7TT4aBF2e0wEbklSoSwi4rdBnlvFpnev7T50djxuDgXe7bTcS3WhW/Oc2wfVr+p/kf1jo7W/1D9ro7Zqw/0iz/XL/26DuM/nL4xjILg/PspfAgjo33fFh1LhR9L/D6FicaOKA3C/jIloI5NTJ4VZSKUXguMVG6LUvGYXxNkQd3eR0xHNAgi417NUJSJv/RaFOeD2GjN7sgyJLiGLmLSRWSazvMxqSM6lSROMIDocKo5rUWUBIPYaEj2ZdlRn0EMu7YUW/uUlnKk6xTbJa1j1aYvnx6/8vyLLxgGgiVNjZOrZanzMuHg2mXCtuSaHS1FcV7k14xwb7HhNpeZY3CRutLYggaJsy/OXz1/E/ISF4dVax1poqP1X3ZjyOZ0zSTaSS1nEWe7uvnWbhhF8CHVH+IAPiTwAb6RhPABvqHgG0rBB/hGCt9I4X1ppj9k8N0shg/w5gyulszhl+bwlhxey+HHCnhfAd8o4BuF/lmtp+FDDB/0+6IQvgwT+KB/IorgS8AXRfAagIwi+AYgjWL4BsCNYv0nowQ+S+AzBZ8p+AxARil8lsFnAC0CVFEOnxXwdwFGHETwAT4L4bMQPoO/G0fwGfyhOIbPEvgsgc8UfKbgsxQ+g4GIM/gsg8+AfpzDZ8A3hr+RwN9I4G8k8DcS+BsJ/I0kymw+iLuKEvoqwm9ewNLZg6WzB0tnD5bOHiydPVg6e7B09mDp7MHS2YOlswdLZw+Wzh4snT1YOnuwdPZg6ezB0tmDpbMHS2cPls4eLJ09WDp7sHT2YOnswdLZg6WzB0tnD5bOHiydPVg6e7B09mDp7MHS2YOlswdLZw+Wzh4snT1YOnuwdPZg6ezB0tmDpbMHS2cPls4eLJ09WDp7sHT2YOnswdLZg6WzB0tnD5bOHiydPVg6e7B09mDp7MHS2YOlswdLZw+Wzh4snT1YOnuwdPZg6ezB0tmDpbMHS2cPls4eLJ09WDp7sHT2YOnswdLZg6WzB0tnD5bOHiydPVg6e7B09mxLZ4+/dBR96eB3jfT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dlWzoi/cvD+mK/6ZkmBfKuEFVTCCiphBZWwgkpYQSWsoBJWUAkrqIQVVMIKKmEFlbCCSlhBJaygElZQCSuohBVUwgoqYQWVsIJKWEElrKASVlAJK6iEFVTCCiphBZWwgkpYQSWsoBJWUAkrqIQVVMIKKmEFlbCCSlhBJaygElZQCSuohBVUwgoqYQWVsIJKWEElrKASVlAJK6iEFVTCCiphBZWwgkpYQSWsoBJWUAkrqIQVVMIKKmEFlbCCSlhBJaygElZQCSuohBVUwgoqYQWVsIJKWEElrKASVlAJK6iEFVTCCiphBZWwgkpYQaVtBZXsFXRts71lBdFc1h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di2bMb8ZYOPsohJDr1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ZVM+GtmkvRrtd62NiaSXJeqxvYO+JwYJnxuuPMGCZeZAWKRMB+f3YKzKM6HQSvPKjPgrF1STEZNkOvTipdq1/COTjnPzv/4TSl9Zn+58fT02x61a/1d98zkXiGTUKRSCAImODtsOEhK1EouSNbMSYTIbKqhJQTshZjMjEi60mWTfYw0VFqRxDjZxy7IRudSCHmNczWG1rZsJHOjV5lqVRqr7LkokV6N2qVZX5RZZk7qiy5qJE+jrR/i10au3zYSMfVvmGIxbrHx6qIWNGrA8ZvcwHs+t4IFzDSY7GTfTrmCAapcZj3+aiRXoxWG2m3FPf4SJG+jFIbmV/URlqtxAEfMcW/cVaE7akr2ZC7qYXE4hzzcSKdHHEzAFbEAtT1MJQDtl4Ih/FpHCnVV0eHaT8pTrP+0dFx3tdx+Gl4FOog/HA27tYI9duH3VY81v+aaOo4taDRxPIzxbIOWpR41kTkligRQlkLNtB9uz7p4/Ne9SlUOOKDWEGWCs9y6ThRkAahFIcQT9qvdhakIlKMGJjLNm6LMvFYiyjIgloHhZkNE4uhKAtvdYhR5Ah4JQkS7DUpaGsrQyzmNWuFowxRkjjB9rEjE/us7suSoz59GHJtVYjtM1rKkZ420BzGKg2SvH+UQ8Vidnraz0+ipH+cpYeBCsMgCY6e8y8njdurN+c9FISxwPHzLicliRDME1ZOflA3wby6OHni8975j/Qnb8ChDjaF2Xtq/q0n1Ufn/70+eK4+Yx96Zd6ufvH0rJlmfPjSfzp95ZVZZ037Xzp/DRI0cH7E5WPPTQDgRIzzH8CZ6nX/DhxS8hyckTH7PT+qDz55dP7m9E8XSa7i+QHt8EVimrpt0alT+KlbViNL0iD4CYJGhrTcJ4Ne9dhE6FlRQiJK2XImniQPfzpZkgXVUyPmwqKTJVl408kqtMpkUX4EP9SlTI6CmaiafmIivitLnGD+2DLZOqn7styozx6GW4tKRkxoKUe6VsknyWF2WGSn/TBMw36SRif9w+jwuB+fnuWH+eFpfnx6/Jx/lWzcadEq2X0rq2EscPz8q2RBIgTrhFXJv7uqQLECOJne/zMTwH9fn5/2ei1961dG337h+Ze/8+JLr7zcu7k9Ho72egdJ0PuLnbt3R//eoKD7CyF9RSXXv6+pkRfi/VOQyFpYfzET03AYNJzSZpqWbdFpUfhpWVoBC9IguACCArZVHUkykZG+tgOhJZl4FL+CLKgOGDEbNvEryMKb+A1j69FKd2QZEhxMp/I3nKul0CF/JYkTbB9b/jqmdV+WHfX5w7BrE8DtU1rKkfZ5R2ps3fiNXOyKrMlu1fXuXLxNo7G+9e5chgmOoZ96dy4JRSKBIGCCt8OGh6we7EJ5MhEiKwUpitJa787FiKwRXFYrMtFR6gER42fTgEx0K653Z8NGOrdu693ZaJHejVjvHkWLevfIein7XT5qpI8jiWLs0tjlw0Y6ri7r3dlYFRErenXA+G0ugDUAj/iAkR6LHy+oNBoEyoR6n48a6cW6q3dnI0X6MkK9+8JK3HNYiQM+Yop/46wIe707F7Lvenc2TqSTo9a76xWxANUAO+GBrVUYJGOyXPVjpTIdpSrVL+DD8XF8rKIkOE4PZ0vFGqE6QnRulGqrd49iGk0sP/+pF0EihJ0xbKDbRerl/DU49Lct8XL7YOcvOkq7XFQgmeZgW3QOFH4Olo5iBWkQ9hq7iHYFmXjOswgy8ZhnEWRB3edFzIYtxhZksSZ5FkmGBG9CCinb8izxfFPeevX6rixxgu3jx03OPIskO+rzh2HXlmdpn9JSjnStdo+OgkidhFk/Tk6LfqIOk35+nMKVnUWUReFhGodnz/lXu0Z/qNVuQh0LHD//aleQCME+YdVue5H88uX46Hp8w5+q3qt+Wf0PENTT2vtH1RMtkKf6el6u31J5NKvJD/PQqGC2RadM4adsaXEsSIPgIAjiuK0MX5CQjEY28bgtysOjQhZkQfXQiLmwKWRBFt4UsqsMX5Ifwf90qo/nl5hHjlvpRYkTzB9bH7vK8CW5UZ89DLc2ddw+oaUc6fU9+ySyluEr6ljg+PlXx4JECNYJq46ZZ59IslR4lksLSkEaBItKEJTWs08kqYhISevZJ5JMPIpJQRZUh4aZDROLoSgLb2LSdfaJKEGCve5UTaq5+HBcEC5KnGD72GrSdfaJKDnq04ch1yYn22e0lCPtt6jdJhBTJ7u8yW7lRe1MvE2bscZF7UyGCY6hp6J2JglFIoEgAN0qW724d/5TuHu5+mP1cABXJz+svrrRq37Xz0zwd9jwmwZasOidiRBZLojXm66idyZGZKHgskqSiY5SFIgYP5tCZKJbddE7FzbS+XVc9M5Fi/R+1KL39KLo3Xol7F0+aqQPJGlm7NLY5cNGOrZOi965WBURK3p1wPhtLoA1AI/4gJEeix1OuIveuaiRXqzDoncuUqQvoxS9pxdF71YrccBHTPFvnBXhKHpnQvZe9M7FiXRy5KL3dHMBqgF2wgO7tokO62VkkfNKtes0sfz8JzoEiRA2zrCBMDfRIchS4Vni40gTjR1RGoTNPkI8aU90CFLxnOgQZOIx0SHIgrrVipkNE4uhKIv1SHRIEiTYa1LQ5twWB07zbfHMkeiQJE6wfezIxJnokCRHffow5Jwzuo+Z0VKO9PpWldvP+nFejWQaCxw//3JSkAjBPGHlJKvU+0+tqlxwyhR+ypbWxoI0CP6BoI3bqsoFCYkoZFtVuSAPj/pYkAXVQyPmwqaPBVl408euqnJJfgT/06k8zudiynrH5q4scYL5Y8tjV1W5JDfqs4fh1qaO2ye0lCO9vieM2IuGCupY4Pj5V8eCRAjWCauO/zRPGBGcA4Wfg6XlriANgr0nyF1raZEgExmdaz1hRJCJR6UryILqbRGzYVO6giy8KV33CSOSDAnepFOtO78dMnLc9ylKnGD72FrXfcKIJDvq84dh16Z226e0lCPtt+g9MbG7GcaBk13RZLfqoncuXmTBH1Z+Cha9cxkmOIZ+it65JBSJBIJAS9G78anYYcNvWmi5oncuQmS5IEVxWoveuRiRhYJLakkuuqafWrLoPYmV2TYP2Qi9FL6HKg8GqUX/sZEjfWC3te9stEgnSKx9j4NF7XtsvWLxLh810hWStHNzuNM8Dwvtxo0re5ePHenk6AXwURIFeTRIjEtkjw9YEQGj1wkM4uYCWAPwiA8Y6cL4AYbdbuzzUSPdGq0KPo8TaxU8GynSuRGq4Bf24p7DXhzwEVMcHmdFOG1FycYtUwofp3EYxZYFPOaDRTo+aj28XhsLUA2wEx5YQIu7qgz4WINbR3TPDXBt9fCx8yq26zSx/LynaCSJEDbVsDFyFymar8P9u5LTovDTgo+Jr82MDoih/OuLmvbrvdHu3rDcHx2My175zb/o3bo72ekl2rPU0/UI4n/90/d7yVYAM2UalB3RQSHsg3YRaQsy8ZsDkmTiLwckyYK6B42YjSTLB4VR2gxFqaxHIkiUIcFnkYLZlkRQPL//NXZc6StKnGAA+XGaKxEkyo76EGLYtSSCEFNaypGelT3FKg2SvH+Un+X9JDs97ecnUdI/zlJIJ4VBEhw9519TW5oC4og6Fjh+/jW1IBGCfcJqalalPlJ4X9HNiL+kVfEVTT0v+r8OQP/Gb5z/YNYnAN/6HF65XhU16wdIchVDzkz/ovoLo/fcFp06hZ86vO420dgRpUFwFASl3NIcIElIRjCbeNwW5eFRLguyoHpqxFzoP23iMRTl4U0rO9oDRPkRPFGnSjmayyrrlaS7ssQJBpCtlB3tAaLcqE8fhlubTm6f0FKO9PqexZLY2gPimDoWOH7+dbIgEYJ1wupk5lkskiwVnuXSklKQBsGiEiSl9SwWSSoiYtJ6FoskE49yUpAF1aEhZiOMg0EamagMRal4U5SuA1lECRKMdqeScn4pZOy451OUOMEAsiWl60AWUXLURxBDrk1Tts9oKUfabxG+MrHTKjFxsEuDoMlu5UX4TLxNm7HGRfhMhgmOoacifCYJRSKBINBShG9cZTts+MgKRoI6tZYGMBEiqxXxotNVhM/EiKxTXFZOMtFRahIx4xfFtm1HJkBPNfjWE6Xv8JEjXWDHNfhctEgfSK3BTy5q8K33K97lo0Z6QpJyvrY6ijhIi3iQG4d8lw8+IYJHL5A0z6LQtkb2+IAVETB6ocAgbi6ANQCP+ICRLowdXziPomejRrq1DovwuUiRzo1ShJ9cFOFbDcYBHzHF4bFWhNNYlGzgMlX4YRAHeWRbGGM+WqTvI5fhJ5sLUA2wEx7YtU2FKGsZvqLRxPLznwoRJELYVcNGydxUiCBLhWeJDzJNNHZEaRB2AgnBpj0VIkjFcypEkInHVIggC+o+LGI24iwY5CYmQ1Em65EJkSRIsNmkeK4tEzK/sTV23MErSpxg/9iRijMTIkmO+gRiyLVlQtpntJQjvb5H0ytrFXpKHQscP/+SUpAIwTxhJWV7bfjyVejoMvQVHU0vOWUKP2VL62NBGgT/QNDHbdXngoREVLKt+lyQh0eNLMiC6qERc6FS42wMRXl4U8iu6nNJfgQP1KlATudyyno36K4scYIBZAtkV/W5JDfq04fh1qaP2ye0lCO9vofTK2v1uesaK+NY4Pj518eCRAjWCauPuzj5ZO0Op5ecA4Wfg6UFryANgr0nCF5r9ZEgExmlaz2YRJCJR60ryILqbTGzEatikJqoDEWpeJO77oNJJBkSXEqngnd+tWXsuKxUlDjBALIFr/tgEkl21IcQw65N8rZPaSlH2m9xvNEWaRHrum0qDcImu5UXxzPxIksCsRpUsjieyTDBMfRUHM8koUgkEARaiuMzE/wdNvymhRYsjmciRFYRUmSnvTieiRFZP7isoGSio9QKIsYvijKbTGQC9FIcnxcDKPy9jvsOHzfSAXZcGs9Fi/SA1NL4/KI03npJ5F0+aqQfJAnna0s6iIpAWU573+VjR3o4emV8GKUqsa6RPT5iRUSMXigwipsLYA3AIz5gpANjhxdWs7HPx4x0aR0WxnORIh0bpTA+vyiMt5qLAz5iirPjrAenqSjZuIXq4vMiD3NHXTwXLdLxkevi880FqAbYCQ8soMUldICPNbJ1hPbc6NZaF1/QaGL5+U/SCBIh7KhhA2RWZREyk/O1KWISnDKFnzJ8sGyisSNKg7ClSQia24qYBAnJpHZMPG6L8vCY2BFkQd1TxsxFEBvrAYaiRLyldVxVTJL8CC6IFJu2JXXmd9TGjmuHRYkTLCA76nJVMUlyoz5+GG5tKZ32CS3lSK9v42hqq/KfhV6EscDx8y6QJYkQrBNWIDMbRyVZKjzLZTWlJA2CRSVoSmvjqCQVETVpbRyVZOJPT0qyoDo0xGykeWRrHJVk4k1QuhpHRQkSbHaXijIJZgIksd4WuitLnGD/2IrS1TgqSo76BGLItUhKxIyWcqT9VgkZ6yG0SHRdzpQGUZPdqquEuHiR2VGsxhOsEuIyTHAM/VQJcUkoEgkMgZ9X71fvVu/XdylV/1T9tvqg+lC/8Mvqn6vf9Koneqo+hatSF3vMD3p6Wu9XH8G3zt+c3rekP+2FxSCIBlEQpYP67E342GwI+KTecJ7vMz/Q35y1DvwBugngd/bKbx++dPgfT3p3v/u3PdjbPn990EvjVPXgk8h+Lyh3QJFpX4JcttUtcREik7x4FeyoW+JiRKZ3l9W3THSUVC5m/OIkM+8pDNkQRSqXrnn34bM7Bwejg5l/Lye7T2lBFm3pDzF8SOCDehqSO8AEXP5WYPT6d/hEkV6821InNlqkGyeWOiXhotQpsV4MeZePGunMuxD/QGZj6KCxy6eB9NjtVU8W7AB74+pE2Fjs8VkoIgv0OoKR3VwAawAe8QEjXSI6gkKYoRLMUAlmqAQzVCLN0D6fJNKrdlc6xUaK9K2E0qmF+bnneG4P+Igp/pa1gBbxqdv0lGwK3VRRtZud+QTYGIz5DJB+llpZpdfOAlQD7IQHdm0TR5mtsiqJaDSx/PwnjgSJEDYhsZsK3MSRIEuFZ0mIyRdEP9bsPgWOff3Pw/piZGjef00Tf7KInne++9KLxy9+q6eKov785cOz01753e+cvtSLgp4tfbMjOi6EnVhCaG3PRAlS8ZyJEmTiMRMlyIK6D46YjSRIBiB7r1MZilLxmIqKB6mR4B1ZggQv0EU0uohJ5/fJJo4LgkWJEwwgOpC6lkCNooGypaIkyVEfQQy5tlRU+4yWcqRrkZomJ1l2fBr3j8I8h+b2qK9/+kj/1OFJeJQenuTq+Dn/ItW4E6lFakwdCxw//yJVkAjBPGFF6q+0PntDK7O6fF8rlvu9We0+vFoflzRVcPe1hv2JfqVOG7XpPHiXaXS2RUdH4UcHL25NNHZEaRBMcSdaVJCKkBY1NybeFqXiUYwKsqB6QsR0REE0CGx1UYJUvInRtBioxMTvjiw/grHvVIvO76FNHDcLixInGEC+FrVN6r4sN+oDiOHWJkXbJ7SUIz09LvQoSM/UcdBPDoNQvyPSP5WeZP1cFUVwlh+fqnnayasUjU1joaVoQh0LHD//UlSQCME6YaUoqz2U2ImKbUStNe2lI0PnnabXAZg6US/OEJ23nqrEGPdsi86Rws/R0oJYkAbBHxAEcUvrqSQhEVlsTP7cFuXhURMLsqC6ZMxcuEquBKl408QqHOTKxO+OLD+C1+lUEydzCWW903RXljjBBrI1sXVS92W5UR9ADLc2Tdw+oaUc6VoTx4cnURGeBf08Dw77yUkS9o+y9LR/mkZFlESqOMpnYtGrJk5MY6E1saKOBY6ff00sSIRgnbCamHmEfrSlpofoX+jd2dkp/eaB+uPTb3/nxf1vffflXhgEMbyUF3GYGmRznMx+3bVC+ekRLaCA9R9t1Mq3nM1imqVt0VlS+FnCq2Kp5oHnXjAN0I7oABF8DUFvW/sMBJnICG3b8f2STDxKbUEWVE+PmY0kDweFTWsLcvGmtcMgjQbmEsY7sgwJ/qxTtT2//zNx3OgqSpxgAdlq2zGt+7LsqE8hhl2b3m6f0lKOtN/OXGMuTCvo1MkubrJbeWcuE2/TaKxxZy6TYYJj6Kkzl0lCkUhgCAh15samztwP6+37L+qY4vXeaHdvWO6PDsbl9CIwaP+vw6JHMIRQjtJLtgJHMy5zDJGdR12IZCZCZNsQRfzam3GZGJENQ8vKWiY6SnMQYvwyZbtrigtwha24GTTg5vChmLe/pe4uXC5HpMfuuAuXixbpsqlduOlFF6714s+7fNRIx92F0gcyG0MHjV0+DaR3XqYLN924OhGOLlwuC0VkgV5HMLKbC2ANwCM+YKQvRIdLCAtUggUqwQKVSAu0z+eH9KQdNuBykSL9KaUBN71owLU+sgd8xBQfy1o7izDUbXVKNgXpBtx04+oEOBpwuQyQLpbcgJtuLkA1wE54YGvNiLq4D/hYg37Hrgc38Lc24LovJrxGE8vPf/JMkAhhsxG7d8BMnq33/dOSc6Dwc4DfGDDR2BGl0dQiDhpdxOaCTDwnsASZeExgCbKgbp0jZiOP7b28gkz8pa/iVDtHW/pKkiHBo3QR1C5C2/ldxYnj+mlR4gT7h47HCNO6L8uO+gxi2DmndB8zpaUc6fVtocit3bzuO8tMY4Hi51/xChIh2Ces4m1vbPhTbKEQnCOFn6OlFbEgDYJHICjithYKQUIywtjE47YoD4+yWJAF1SUj5sKRKBMk4k0VuxooJPkRfE6nmjifCyjr3be7ssQJFpCtiV0NFJLcqI8fhlubIm6f0FKO9Poewphbm4oL6ljg+PlXxIJECNYJq4i5hzAKslR4lnhN6esQRsFxIZhogki1H3wjSEVEntoPYRRk4lGgCrKgekjEbETRILUdeyPIxJtCdZ7BKEmQ4AQ6lajz+0gTxwWzosQJ9o8tUZ1nMEqSoz6BGHJtGrV9Rks50n6bDgoTu5vhbKpt7JImu1U3HXDxImsXsaJRsOmAyzDBMfTTdMAloUgkMASEmg4SQ9NBcz+72c1btz8/0m/9CNaNltFJ0PvW8//xb17pHT3/3dO6pzeBwpKtnqWUYIc9rsjiS4JqthU7cBEiyyfxYtjRiMDFiCycXFLmctE1HeiSjQixKszhxJCNcHWdCCrc0h/gZjAFN4OpZFYMrAJnOwKbKNKXd9uOwEaLdObEdgQVLNoRlPW61bt81EiX3kUIAGQ2hg4au3waSL+9RDuCxn51IuztCGwWisgCvY5gZDcXwBqAR3zASI+IjqMQZqgEM1SCGSrBDJVIM7TPJ4l0qt31JLCRIl0roSdhYX7uOZ7bAz5iirtlLaB5lNpieko2BeGehIXZmU+AvSeBzQDpZ6k9CXrtLEA1wE54YNc2H1XYehKU++6zazSx/LznoySJELYisVsLzHyUJEuFZ0mIzP3koyTHhbAfS4isrfkoSSp+81GSTPzloyRZUHfDEbMRBtkgM24DD0WprEVCSpQgwQt0EY0uYtJwlr5QjsuqRYkTDCA6kKIkpETJUR9BDLmWhBRiRks50ut7KVhhayNQEXUscPz8i1RBIgTzhBWpni8FkxwdhR8dvLg10dgRpUEwxZ1oUUEqQlrUdimYJBWPYlSQBdUTIqZDxYO8ME7IUJSKNzHquBRMlB/B2HeqRefXmSrHBbWixAkGkK9F7ZeCiXKjPoAYbm1StH1CSznS69vRakmKaykaU8cCx8+/FBUkQrBOWCna3mf6J9jRKjlHCj9HSwtiQRoEf0AQxC0drZKERGSxpaNVkodHTSzIguqSEXMRF2oQGb3LUJSKN03s6GkV5UfwOp1q4vm9qspxUa4ocYINZGtiR0+rKDfqA4jh1qaJ2ye0lCNda+IsOotO0iLvp0dh0k/yIu4XydlpP0hP8uTktAhOVqKJE9NYaE2cUMcCx8+/JhYkQrBOWE3cxbmG452bd10nGnZ9mGHv/AezS8jgbZ+b5mFbdB4Ufh6W1r2CNAg2n6B7reX+gkxkBK/tbENJJh4lryALqsdFzIZT8gpS8SZ5nYcbijIkuJVORe/84lTluAlXlDjBALJFr/NwQ1F21IcQw65N9rZPaSlHWv/vry7ZUFCzf+mSt922zYbGyhOtbJWDrgryJl1PfbOWE8ZvsfE2rUgXfbPV/VriTesG6kbaN2sR+PF8Z/X8+73qq3qj9XtaNdZVoiZW22xWCY4VrVfWBPEZNkRFgsiEt8OGh2yfISjMtp1VJlBkCwxFQNr7SpkYkc0vy0pDJjpKowti/IxjN2SjE+kpvV48Yp7yO3zYSLdF7xCNAhvab/LRIt0WtUNUXXSIWq/9vMtHjXReJPmLXRq7fNhI79TeEYrFusfHqohY0asDxm9zAawBeMQHjHRc7MhAZdkgMR77tM8HjXRitD5Ou6G4x0eKdGWUPk510cdpNRIHfMQU98ZZELZBLtmQu+nbxOIc83EifRy5O1NtLkA1wE54YAFtoNKzPD6L+kdREvTD8PRMf3ZU9POT4jA5jk/TODqe8rGGno5YnB1+WtszUxpPLEFTkOrgRQlUTURuiRIh7IFhI9j3LuLS858sKow+rR7o1+Cgn8fV/fMfXHQu6lD2/Ed15fvHs+zIr/Q3P61LfyDm/RKOUoICoveqD6p3+qH5GdwWHSWFH6Wlw01BGoR9vw7DUkFCnvMfgkw85j8EWVC3XhGzYQuGBVl4S304gmZJegSbTwr82vIe6XyT3HFnsShxgv3jRzdhOshtzZiS5KjPHoZcW9qjfUZLOdK1Jo3jLD/OQtUPj47DfhKcKf22oOiH6rAIo9MgOS5OnluBJjUWA2hN6rrgyjgYOIL+NakgEYJ9wmrSvwdJqeXkw+oBHDIJavMzaLG0dGPCKZd/DWLURH5blLzCk19aagrSIJhavNQ8/9H56yYqz4pSERGZ2vUbD5q4LUrFo8oUZEH1dJjpMLEYirLwpjJD6y7mHVmCBDveqc6c3zSpHJeHihInGD+2zrTP6r4sOerThyHXpjPbZ7SUI+33FPrQtpvpvghKNemtvJyGiReZkcQKv67LaZisEhyrTsppmBAVCSIT3g4bHjIriReTrfuWTKDITCReKrrKaZgYkTnIZTUgEx0l34gYP5u2Y6JbdTkNFzbSbXVcTsNFi3Rb1HKa/KKcxnrp4l0+aqTzIqld7NLY5cNGeqdOy2m4WBURK3p1wPhtLoA1AI/4gJGOix0IOMtpuKCRTqzDchouUqQro5TT5BflNFYjccBHTHFvnAXhKKdhQvZeTsPFifRx5HKafHMBqgF2wgO7vqkLS/ZbB6AFjSeWoP/UhSARwpYXNoLtOHUhSF7hyS8dRQrSIOze4aNNR+pCkIrv1IUgFY+pC0EW1M1TzHSYWAxFWaxH6kKSIMGOk4K5ttTF/LpV5bhAV5Q4wfixIxZn6kKSHPXpw5BrS120z2gpR3qNy7ZDW4lMGlAHA0fQu86UJEKwT1iduaKybclRUvhRWlaQStIg2GS8IG1Lf0gSEpGl1rJtSSb+VKkkC6pfRMyGRZVKsvCmSu2aVJQeweZ3qUnTYKZgUsfdrqLECfaPrUldZdui5KjPHoZciyZFzGgpR9pzOY1NZbqvCEqb9FZdTsPFi8xIYkVix+U0XFYJjlUX5TRciIoEkQlvhw0PmZXsUE8ygSIzkRSdaC2n4WJE5iCXVYBMdJR8I2L8bMqOiW7F5TRs2Ei31W05DRst0m0Ry2nScFFOk1qv47vLR410XiS1i10au3zYSO/UZTkNG6siYkWvDhi/zQWwBuARHzDScfEDAUc5DRs00ol1V07DRop0ZYRymoWRuOcwEgd8xBT3xlkQ9nIaLmTf5TRsnEgfRy2n0StiAaoBdsIDu75pjshWTpNGNJ5Ygv7THIJECFte2Ah2VWkOwVFS+FFaOtwUpEHY5uswLBUk5DnNIcjEY5pDkAV1qxUxG7ZgWJDFOqQ5JOkRbD4p8GtLc8xv80wd17OKEifYP35040pzSJKjPnsYcm1pjvYZLeVIr3GJd2QtvYmpg4Ej6F+TChIh2CesJu22xFuSvMKTX1pqCtIgmFq81LSXeEtSERGZ9hJvSSoeVaYgC6qnw0yHicVQlIU3lekq8RYlSLDjnerM+Q2ZqePKU1HiBOPH1pmuEm9RctSnD0OuTWe2z2gpR9pzOU1soqeVY+KklzXprbychom3aTTWrJyGySrBseqknIYJUZEgMuHtsOEhs5J4Mdm6b8kEisxE4qWiq5yGiRGZg1xWAzLRUfKNiPGzaTsmulWX03BhI91Wx+U0XLRIt0Utp0kuymms90je5aNGOi+S2sUujV0+7IQIG700HOU0XKyKiBW9OmD8NhfAGoBHfMBIx8UOBIpikKcmzPt8zEgf1mE1DRcp0pNRqmmSi2oaq4044COmeDfOenBU0zAhe6+m4eJEujhyNU2yuQDVADvhgQW0xyo+jPPDsJ8fxaf9JD0r+od5eNIvjs+C0/g0PDnKjqZ8rJGnI/RmR5/WahpF44kl6D9zIUiEsOOFDWCvVNNsQRXM76v/1Q/UtFYmyoKgemwOYbZFqSo81aVDRkEahK26DkNLQUIi2QodgioTlduiVDxmKwRZUPdLEdNhi2gFWfjLViTBQBl97R1ZggTbTYrf2rIVar63bb1YdFeWOMEEsoMU+6zuy5KjPn0Ycm3ZivYZLeVIr3FVTGytikmpg4Ej6F9bChIh2Cestuy4KkaQvMKTX1ptCtIgmFq82nRUxQhSEdGZjqoYQSoedaYgC6qnw0yHicVQlIU/nemqipEkSLDjnerM+U2SqeNuUFHiBOPH15muqhhJctSnD0OuTWe2z2gpR9pzVUxioqeVo+tKqvT6lVQrr4ph4kUmFrHCr+uqGCarBMeqk6oYJkRFgoiABw3aW724d/7Tegb+WD0c9KoP9fh+daNX3goi/VWjgdLSDknpq9Sv3K83Jec63jiRO+xRQuY48Zq2dQeVCRSZ2MQrVldxDhMjMqW5rBRloqOkLxHjZ5OYTHReinMKu3DkwkZ6z46Lc7hokd6TWpyTXRTnWG+hvMtHjfShJNGNTWrv8mEjnWSnxTlcrIqIFb06YPw2F8AagEd8wEjHxY5HbKZinw8Z6cJotTmxqzaHixTpyCi1OdlFbY7VRBzwEVOcG2c5OGpzmJC91+ZwcSI9HLk2J9tcgGqAnfDAAlpcBzLwsca/jg0Adgxsrc1xX5BluJgZR9B//kSQCGHfDRtGr+qkG8FRUvhRwse8Jho7ojQIe40dBqWChETSLfaTbgSZeMy2CLKg7vciZsMWCguy8JZtceRaJOkRbD4p7GvLteTznXnr7aa7ssQJ9o8d2zgyLZLUqE8ehlpbpqV9Pks50mtc0ZNYK3oK6mDgCPpXpIJECNYJq0g7rugRJK/w5JcWmoI0CIYWLzQdFT2CVEQkpqOiR5CKR40pyILq6TDTYWIxFGXhTWM6K3okCRLseKcqc37xZeq4ylSUOMH4sVWms6JHkhz16cOQa9OZ7TNaypH2XNGjTPRuhlngpFc06a26ooeLF5mNxAq/jit6uKwSHKsuKnq4EBUJIgJeS0VPLFbRU0/5g+n3bBU93FFCJkbxmrZt85QLFJkOxStWR0UPFyMyEbqkFOWioyQ9EeNnkZhcdCuu6GHDRnrPbit62GiR3pNY0ZMFi4qezHoR5l0+aqQPJYlu7C7nLh820kl2WdHDxqqIWNGrA8ZvcwGsAXjEB4x0XOx4xF7Rw4aMdGHdVfSwkSIdGaGiZ2Ei7jlMxAEfMcW5cZaDvaKHC9l3RQ8bJ9LDUSt69IpYgGqAnfDArm/+RNkqejL3HV3XeGIJes+fSBIh7Lthw+hu8yeS5BWePD6UNdHYEaVB2ELEx5r2/IkkFc/5E0kq/vInkiyoO7iY6TCxGIqyWIv8iShBgh0nhXIt+ZMsnO22Z9ZLU3dliROMHzteceVPRMlRnz4MuZb8CWJGSznSa1w5rmx1OllEHQwcQf86U5AIwT5hdeaKKsclR0nhR2lpQSpIg2CT8YK0NfkhSEhEllorxyWZeFSlgiyofhExGzZVKsjCmyp1aFJJegSb36kmnd+omTnuSBUlTrB/bE3qUKSS1KhPHoZamyJtn89SjrTnip7URE9rzNhFLwya9FZe0cPE2zQZa1bRw2SV4Fh1UtHDhKhIEBHwXBU91fu3gkSmpEeLRP33nuhZnE2utaiHOVDI3GiHupYJFJkRpehVe1EPEyMyF7qsEmWio+Q9EeNnU5hMdKsu6uHCRjrQjot6uGiRDpRa1BNfFPVYr+O8y0eNdKMk1Y0VoLt82Eg/2WlRDxerImJFrw4Yv80FsAbgER8w0nGxAxJHUQ8XMtKFdVjUw0WKdGSUop74oqjHaiIO+Igpzo2zHBxFPUzI3ot6uDiRHo5c1BNvLkA1wE54YNc32ZJai3oSGk8sQf/JFkEiTffvmiBkJL2qZIvgKCn8KOHDXhONHVEahM3GDoNSQUKeky2CTDwmWwRZULd8EbNhC4UFWaxDskWSHsHmk8K+tmRLMt+ct97zuitLnGD/2LGNI9kiSY365GGotSVb2uezlCO9xmXmqbX8R1EHA0fQvyIVJEKwTlhF2nGZuSB5hSe/tNAUpEEwtHih6SgzF6QiIjEdZeaCVDxqTEEWVE+HmQ4Ti6EoC28a01lmLkmQYMc7VZnz60AzxwWvosQJxo+tMp1l5pLkqE8fhlybzmyf0VKOtOeiHuPR6lo5pk56YZPeyot6mHibRmPNinqYrBIcq06KepgQFQkiAl7LMT3GdbPDho/MWOLFZuuuJhMoMk+Jl5KuUhsmRmSGclmNyERHyUZixi9IB0ajO2Qj9FNuUwxyYwXoHT5upG/ruN6Gixbp26j1NulFvY31os+7fNRID0eSxIY1rdQgMC6PXT50pBuj19xEof7b9robLl5FxIteJTCGmwtgDcAjPmCkF2NHDVabsc/HjHRoHRbecJEi3Rql8Ca9KLyx2ooDPmKKq+OsB5edKNmwZYpv4igIHQU4XKxIl0cuwEk3F6AaYCc8sID2WMWHcX4Y9vOj+LSfpGdF/zAPT/rF8VlwGp+GJ0fZ0ZSPNVx1xOvskNVagOO8D+w6TyxB/+kOQSKEbTJs1HulAGcLCmd+X/2vfqCm5TVRFgTVY3Ncsy1KVeGp4uNME40dURpNL+2g0WG8KUhIJMWh41JlonJblIrHFIcgC+omK2I60nxQ5MYJGYpS8Zfn0BGESkwE78gSJBhwUlB3TVU08hzZfFfcejPrrixxgh1kRyz2Wd2XJUd9BDHknDO6j5nRUo70GtfTZNZ6GucdYKbBwBH0LzAFiRDsE1ZgdlxPI0he4ckvLTkFaRBMLV5yOuppBKmIiE1HPY0gFY9iU5AF1dMhpqMYpEFsYjIUZeJPa7pqaiQJEmx5p1pzfiFn5rhgVZQ4wQDytaarpkaSHPUJxJBr05rtM1rKkfZcU5Ob6Gn1WDjpRU16K6+pYeJFZhyx4q/rmhomqwTHqpOaGiZERYKIgFf9vHq/erd6HzZyv1H9U/Xb6oPqQ/3CL6t/rn7Tq4+z+VSP9MWBNg96egruVx/Bt87fhJ+q39ULi0EQDaIgSgd1MQ6U5vT19H1Uv/2z6WE4Vybw/Cf6PT/X//6seqy/BpX/oPoY3rYF7ZsP9Tsf1kvi815Uby/rl39QBwKvw/cf6Xd8r14fsHDgMq23erN1pH/1c8+9YBr5HfbIIxOpeK3cuj3LBIrMnuKVsKsciIkRmTddVuIy0VFypJjxS6KBMiEcshGKlANd8+/DZ3cODkYHMw9fTnaf2g3zYEt/CJ+G2Bvwg6vfCoze/g6fHtJ706uGwqIYFMa47pt8tEjvTa0aKi6qhqyXid7lo0b68C5EP5DZGDpo7PJpIJ12ewWRBTvA3rg6ETYWe3wWisgCvY5gZDcXwBqAR3zASHeIjpwQxqcE41Mijc8+nxrSgdLKjyKr4bnHR4p0o5Tyo+Ki/Mj6tB7wEVNcK2vZLKJRt8Ep2RS6KUVqNzbzCbAxGPMZIL0ruUCp2FyAaoCd8MDWQVkcnp0kQdIPToq4n6Qq7RdFGPbV0enR8fFZEEbR7DGwxv6OzQ92/G8rUMoDGk8sQe/5I0kihD1H7BbC1ROCxobIc1ayFP71tGbp/DXIKOmIE972pFcfIfT6dLtBx7iLsqaN2HI2kOT4KPz44CN9E40dURqEHdbuwmZJQiKJJntVkyQVf4kmSRZNOeFggY/Wi0EaGWdkKMrFW6qp0M7L6L3uyPIjWP0ugs556JkHs7xEbr2ddleWOMEOouMl9KTuy3KjPoEYbi2JJsSElnKk17ioKbcVNeXOC9NMg4Ej6F+UChIhmCesKO22qEmSvMKTxyvO6u1plg7EdX3oZt20PZPj96sv6gTPI9Dc05d+rz99rH9Av3P6xexH4ItfVl/1s6BXfaCH7qvZsD1cDNs8sVR9Bpp/fvUCCHj4249M47kjOp4Ek4+XvvbqKkkqIqLXXl0lScWj6BVkQXW5iOkIo0Fu1byCVLxp3jAIB6mxd+6OLEGCV+lU9M7vUc0dN+OKEidYQLbojYrQWl4lSo76CGLItane9hkt5Uh7Lq8y+gatYyMnvbhJb9XlVVy8yNQsVoZ2XF7FZZXgWHVRXsWFqEgQEfCkyqsimfvLvtR/GvZXF7raNLw77OFFJo3xirh1M5gJFJkCxutdRw0VFyMy+buskGWioyR6EeMXKbONHbIBrrCEKp4VMOSRs3qKzQzpnLutnmKjRTpnYvVUHi2qp3Lrxa13+aiRLroLTQ9kNoYOGrt8GkifvET1lMZ+dSLs1VNsForIAr2OYGQ3F8AagEd8wEhHiA6MEHanRNqdfT4rpNfsrnCKjRTpOwmFUwt7c8/xoB7wEVP8KWvFLOJMt60p2RSEC6cWdmY+AfbCKTYDpGOlFk7ptbMA1QA74YEFtGeH6kRH8an70gvgY43qHdsa7MjeWjgV03hiCfrPUQkSIewmYjcHpK5W+3X1f/V19Pu7vgrgfbYqKsHBUvjBIgT070DmSgfs9/UYTZuTrvY0LYbwSiwNYSpUmVnGdfbtemTvo4d0q1dnDi/apz7fmoJ5eLl/6sHsrw7mv17VzVQDyKVBwdtDyM7VG0Ia+xd1SdxX+r8/6nc+VW8afQHptgWtj6D/qkYN20jzK8/vV58PIMX5ZJrPq3F/3tu9WY53Dnr7B6PRs730//MPmXq6V39Tgz7/IWT6gO3H07atBhJNdmBaMzuia4awa93hLoUgIZHsnfU6O0kmHpN3giyomQPEbETZILVtjggy8Za7sx+MIEqP4Gu7iPIXsX48z/NY713elSVOsIHoAPXa0atJoqyncImyoz6AGHZtqbv2KS3lSPtN3UXGR1XL+8RJL2nSW3nqjom3aTXWLHXHZJXgWHWSumNCVCSICHhSqbtYLHVXr5UH0+9ZU3fM4UXuWHYoiplAkZuQFLFrT90xMSK3H5eVsUx0lK1GxPjlegCNx+UM2QhXmLtT8z30xJ274zJDeueOc3dctEjvTM3dJRe5O+s9wHf5qJE+ugtVD2Q2hg4au3waCZEGY0892bg6EY7cHZeFIrJAryMY2c0FsAbgER8w0hOiQyOE3SmRdmefzwrpNjvM3XGRIp0nJXeXXOTurA/qAR8xxaGyVswi0HTbmpJNQTp3l2xcnQBH7o7LAOlYybm7ZHMBqgF2wgMLaHEX1gMfa1jv2Ndgh/bW3J2i8cQS9J+7EyRC2E/E7g5I5e7e06HuO/3QHPZsi46Swo8SIZRHJ+2Wys8thu1rkFszzeyO6MwStpU73EUQJOQ5tSbIxGNqTZAFdWcfMRt5MQhz2+aFIJV1yK1J0iP4wi6i8EUsPr/2Pbde+74rS5xgBNEB5PVexygbRKmJ3b4sO+oTiGHXlltrn9JSjrTn3JpNfqdOeqpJb+W5NSZe5L4dVj13nVtjskpwrDrJrTEhKhJEBDyR3Fr1/q0gkUmuTYX4k0uAbOk15ggjNxU7FMZMoMh9QorgtafXmBiRO4TLSlkmOspuIGL8HJ1xTIArzK5l813u1J1d4zJD+ueOs2tctEj/TM2upRfZNesN43f5qJFeugtdD2Q2hg4au3waSLe8THYt3bg6EY7sGpeFIrJAryMY2c0FsAbgER8w0hGigyOE3SmRdmefzwrpNTvMrnGRIn0nJbuWXmTXrA/qAR8xxZ+yVswi1HTbmpJNQTq7lm5cnQBHdo3LAOlYydm1dHMBqgF2wgO7vtk1y86vDu/d9/Ne44kl6D+7JkiEsKOI3R9YVXZNcJQUfpQIwfyfs2vI7JrgzDZ1k2NmO9xEECTkObsmyMRjdk2QBXVvHzEbrsY1QSbrkFyTpEdwhV0E4YtQPJtnYjJHOC5JnGAD0fEjLbkmyY76AGLYOad0HzOlpRxpz8m1yETv5jz9b6OXNumtPLnGxIvctsOK566Ta0xWCY5VJ8k1JkRFgoiAB+fDbvXi3vlPZyeuP4S7ePX4fnVjDY6OZI4Scl+wQ23LBIrc6qNoVnuCjIkRucm3rBploqNs6CHGz3quORPeCtNjxXybOnenx7jMkB624/QYFy3Sw1LTY/lFeix3pMe4qJF+tgtlDmQ2hg4au3waSMe6THos37g6EY70GJeFIrJAryMY2c0FsAbgER8w0g2iwxuE3SmRdmefzwrpMztMj3GRIj0nJT2WX6THrA/qAR8xxZuyVswiWHTbmpJNQTo9lm9cnQBHeozLAOlYyemxfHMBqgF2wgMLaHHnygAfa2ju2Jtgh+fW9FhB44kl6D89JkiEsCeIjfCl0mPIgyMFB0vhBwsfleOzZH8+OHLZ9Jvt4EjBNUPYe+5wj0KQkOf8myATj/k3QRbU7X/EbETZQJmIDEWJrEP6TZIewdV2EeQvQv1inqspHOG+JHGCCUTHp7RzIyXZUZ8/DLu29Fv7lJZypD2n32ITvZth4b7HOWvSW3X6jYsXuS2IFecdp9+4rBIcqy7Sb1yIigQRAa8l/bba4x+5o4Tcd+xO2nKBIrcSKZLVmn7jYkRuIi4pRrnoKBuGiPGzWMohG9/q8m9FONsHLwJn/o3NDOliu82/sdEiXSwx/1YEi/zbdJhNqO/yUSMdbRfSHMhsDB00dvk0kJ51ifybxn51Iuz5NzYLRWSBXkcwspsLYA3AIz5gpB9ExzcIu1Mi7c4+nxXSaXaXf2MjRbpOQv5tYW/uOR7UAz5iijtlrZh5tNhia0o2BeH828LOzCfAnn9jM0A6Vmr+Ta+dBagG2AkPLKDFlccCH2ts7ticYMfntvxbEdJ4Ygl6z79JEiFsCmJDfKn8W0t7muQoKfwo4eNxfOJtqRzb1789TXJmCXvDHe4hCBLymx6TZOIvPSbJgro9j5iNfFDYti4EiaxBekyUHsETdhGDLyLxcJZLmX5iIr4rS5xgAtHhI6k7TZQd9fnDsGtJjyGmtJQj7Tk9lpjoafEdOenlTXorT48x8SJ37bDauev0GJNVgmPVSXqMCVGRICLgudJj63CCI3egkDuDHapbJlDkZh9FtdozZEyMyG2+ZfUoEx1lSw8zfjaVyYS3wgRZPN+ojtwJMi4zpJPtOEHGRYt0stQEWXSRIIscCTIuaqSr7UKcA5mNoYPGLp8G0rcukyCLNq5OhCNBxmWhiCzQ6whGdnMBrAF4xAeMdIPoCAdhd0qk3dnns0L6zA4TZFykSM9JSZBFFwky64N6wEdM8aasFbOIF922pmRTkE6QRRtXJ8CRIOMyQDpWcoIs2lyAaoCd8MCub4IssSbIYhpPLEH/CTJBIoRtQWyQv6oEmeAoKfwo4SPyPyfIsAkywZkl7A53uIUgSMhzgkyQiccEmSAL6gY9ZjYsPdlDUSLrkCCTpEfwhF3E4ItIPJ5nU2JHNC5JnGAC0eEjLUEmyY76/GHYtSXI2qe0lCOt//dXl3diQIL/pUuTd5wxUya+Wo0nDr4qDJp8PWXMQkv4cIsNuGlHukiZ1aru81o0fQynEoC+0MJNi+fXq4eg0epzC0BaPaw+05oOBKH+9g/0v9ODBuB7U3FdCzBQnQ/Of2Yivs0mnuCId5JVY0JUJIhMeDtseMhNPIIQfWzcA3iWjRC5IUdRlvYkFhMjcituWc3IREfZdkOMn3Hshmx0IjksgsDjwkb6NHqCKk1DC9pv8tEifRo1QZVcJKgSR4KKixrp2EjiGLs0dvmwEyJs9NKwYd3jY1VErOjVAeO3uQDWADziA0Z6LHbcEOk/PgiNyZp9PmqkF6OlleyW4h4fKdKXUdJKyUVayWolDviIKf6NsyJsT13JhtxNGgmLc8zHiXRy5GRRsrkA1QA74YEFtGfJ6VGRpof9I/0vRKtH/Tw4O+oHgdKBbJ6HhZq5QWtg6gjV2cGpNVmkaDyxBE0hrIMXJYw1EbklSoSwRYYNb9+e1nfOI9iHkLOo8w2zIlEoGIRMxMf6G9+vkwyP67d+CbkE/bYvp2/4teEIv2kh6WP95afnb1x+6b3ql9X/6F8NoqvPn7r778ZbF6Fz/yJ2fnqrB/WS1WfwV89fqxMgr+kf/gggzrIXYT/cUuc/1O/8QP8gEHhUPelD7kT/6IMpj61eshWH+k98Ypq6bdGpU/ipWzr6FaRB2KvER8nnPzp/3UTlWVEqMokaE4/bojw8pmkEWVC3iRFzYQvNBVmsQ45Gkh7BAZHC0LYcjZpv6CtHjkaSOMHusWOtOM9t07ovy4768GHYteVo2qe0lCNdK2R1WmSnSa76x6dnYT85Okr7xWFy2lfB6YmKovTs6GQ27X4VsnHLWCvklDoYOIL+FbIgEYKBwivk64q0rri5P038gGh+ve6lqhM85f52798N/93NXqn/8OnLdcXOZ/q9P67fBnL5sX6t/hUP9KfBVgyHS5tGalt0pBR+pJYWpII0CIYZL0jtaRtBJjJ6dBDEJiq3Ral4lKSCLKheETEdNkkqyGIdJKkkPYLF71SSpnP9kjokqSRxguVjS9IoCBySVJId9eHDsGuTpO1TWsqR9txXn5roaZHpvtS2aNJbfZUQEzAymYoViSuoEmIST3DEO6kSYkJUJIhMeDtseE3DK1glxESIzK+SZKS1SoiJEZlZXVYfMtFRsqiI8bPpPia6VVcJcWEjfVrHVUJctEifRq0Syi6qhKy3y9/lo0Y6NpIWxi6NXT5spFvqtEqIi1URsaJXB4zf5gJYA/CIDxjpsfhhggqKQWG8j3GfjxrpxTqsEuIiRfoySpVQdlElZLUSB3zEFP/GWRGOKiEmZO9VQlycSCdHrhLKNhegGmAnPLDrmwNJrVVC7rtdr/HEEvSfAxEkQtgRw4a3q8yBCI6Uwo/U0sGmIA3CTmAXQakgE985EEEqHnMggiyo27CI6bDFwoIs1iEHIkmPYPFJcV9bDiSfb5jnjhyIJHGC5eMHN84ciCQ76sOHYdeWA2mf0lKO9BoXrqfWspyCOhg4gv4lqSARgoHCS9I/F65Ph2JbdOoUfuqW1siCNAieAq+RHYXrglRkRLKJx21RHh4VsiALqpNGzIVNIQuyWAeFLEmP4IA6Vcjzm8wLx+X0osQJdo+tkN2F65LsqA8fhl2bQm6f0lKOtOcqIeN2881oNtcWetG1IqhVVwmxASOTqVjN6r1KiE08wRHvoEqIDVGRICLgXdzNAVdx6GcQ/rm0tW3Y+t45Ozv9T68c9vZfevHs9OWXn3/xhcNv9YIw7O3DBOX1Z729w1e++5J+ff/5F07hZM6tXhgEQe9ve5p6T4cV0UAp2P9u3SYf5D3bPvkOexiRuWG8KLZtHLMRIvPABK1rrWZiY0RmgJfTsWx0lGwvYvyixNKkNGQjXG1FEx820v92WtHER4v0v7SKJg1nXtGkP7VWNPFRI50wSbdjl8YuHzbShdIrmkL9V7NsEJnLmviAFREweonAIG4ugDUAj/iAka6LHdckYZIOAmOl/D4fNdKd0cqaikKLYOP43uMjRTo1fFnTham45zAVB3zEFEfHWRFhEGrDHFsuSC3ZwGWKm6IkDkM1yI3rYswHi3R6xAonWBwLUA2wEx7Y9U0nZZYKpygIaTyxBH2nk0SJEHbzsKH5n9NJ86nbFp06hZ86fOR+/oPZzRawE9nTo/ZG9REE4JCfGZg47ohyJOy54sNqa65JlIrHXJMoD2+5JlEW1O1uxFxE+SBRJiZDUSarzzfJ0iN4KFLc6s43aU7T5MTsExPxXVniBNvHjstcFVmy7KgPIIadO9+EmdJSjvQaNwlkloqsKIiog4Ej6F9CCxIhGCi8hF5Vk4DoSCn8SOEVa/U/Z4oVbNklxWpJnuyIMiTYbLxetaeBBJnIyFVb/4AoFY+KVZAF1WEipiNSkDA17soORbmsg2aVpEdwCZ1q1mgucOzXocsSJ9g/tmaNc5dmlWRHfQQx7No0a/uUlnKkPddIGdvetQqNnfTCJr3V10gxASPTs1gVuYIaKSbxBEe8kxopJkRFgoiAp0X++/180Kve1TPxqdawj6alUTC8MFt67M9/cP5mr7pfPYZrlPVLD/TUwITev9Grfq+n5ov6imXYsX083Ts/f71X/bz6oPqwer/6ea/6XfVu9Yfqw61ePZ0P4Lu/BnkMNx7rF78HlzZP71aGuT1/a8sYOTR21fUf0+97vd6S/3G9Ru73kn7qKKdijjgyJ92FjmYiROafSfrYWk7FxIjMPC8rfJnoKFlmxPglamCssx2yAa66mooLG+mpO66m4qJFempqNVV8UU1lvb72Lh810l2TFD52aezyYSOdLb2aKg6iIBtktmIqLl5FxIteITCGmwtgDcAjPmCk42IHQK4zoviokc6sw2IqLlKkS6MUU8UXxVRWS3HAR0xxc5wVEYZJFqSDoDDhLtm4ZWqpEhWHelUoE9YxHyvS45FLqeLNBagG2AkP7PrmgXJrKVVC44kl6D8PJEikKQdcE4SM4FeZBxIcKYUfKXw8baKxI0qDsNnZRZAqyMR3skeQisdkjyAL6k4zYjqSbBBkRvs+FKWyDrkeSXoEs0+KBNtyPck8MWC9+nhXljjB/PFDHWd9kiQ76hOIYdeW62mf0lKO9BqX+OfW+iRFHQwcQf+6VJAIwUDhdemfS/ynQ7EtOnUKP3VLC2VBGgRPgRfKjip+QSoyStnE47YoD48yWZAF1Ukj5kINjEHLUJTHOmhkSXoEF9SpRlZzQWW/7FiWOMHysTWy68woWXbUxw/Drk0jt09pKUfacz2UcTtfq97USS9q0lt9PRQTcNNsfP3qoZjEExzxTuqhmBAVCSICXvXz6v3q3ep9GNxvVP9U/bauY3pXq/5/rn7T05J9XiX15PyHdQDxoAelUFqs62+dvwk/Vb+rFxaDIBpEQZT2nqpn87NBmD896FW/62fMc6j0SAS96sPe3ef/49+80tt+8YXjl05fqU+g6qkgOP++gs6D1we9aEvV50ptNffdP5/vu3/eC7acZ08xpwOZc8bLa/s+NBMhMr9MUM2OYikmRmRmeVlFzERHySIjxi+KVDwwupghG6JIudQ1STB8dufgYHQwEwXlZPcpLeOyLf0hhw/F02CfgQRIhK3AqBLu8DkivX7HtVVctEivT62tSi9qq6x3/N7lo0a6/i6iBSCzMXTQ2OXTQDry9lorC3aAvXF1Imws9vgsFJEFeh3ByG4ugDUAj/iAkd4QHXIhLFAJFqgEC1QiLdA+nx/Sl3ZYq8VFivSolFqt9KJWy/rIHvARU7wsa+0sQlm31SnZFLop22q3OPMJsDEY8xkgXSy5mCvdXIBqgJ3wwNbaOznJsuPTuH8U5nk/SVXUP4xPj/pJcXgSHqWHJ7k6nvKxbhw4dk7YmwfWYi7nDYfXeWIJ+k+aCRIh7Fhitx9+Vfemf1m3znxch59/Pd1IgFd1DAoJqFd1mHh/mvWa1nh9DIkwyFj19T8P6zTW9F0P63Ra/S7T6GyLjo7Cjw5+A8BEY0eURlMmOGgQAmdLpvBZUSoiealgANLvOpXbolQ8pqYEWVD3xhHTEcf5IMiNMzIU5eItPZUWA5WY+N2R5Uew9l1EnIu4M5snM6wXU+/KEidYQHSwhJ7UfVlu1CcQw805ofuYCS3lSK9xBVdhreByXoBoGgwcQf9iVJAIwTxhxeifK7jmU7ctOnUKP3V4pXwxe23hQT1LKsp7O9996cWXXzl8qXfzW9966cXvvnDSiwIYkYEeOJj5+rc8hDzVq3oeXtNzrn8xdIioetyc52kJDh/BP+EVuqNyTJCKiEK3VY4J8vAozwVZUMUBYi4S497pUJSGN2XuKByTpEfwfJ0K83yu4+zXccsSJxg+tjAPgyhQ9soxSXrUxw9Dr02bt89pKUd6jbt+C3PFq9bmBXUwcAT9a3NBIgQLhdfmq+v6FRwphR8pghRe83IuwfEkuAi8NraXfQkykZHG9vZjQSoe1bEgC6p7RkxHFEfhQIW247kEyayDRpakR/BAnWrkYq6n7BdyyxInGEC2RnY3IEuyoz6DGHZtErl9Sks50n6bK2LjnN6MwsBJL27SW3lzBRdw02x87ZoruMQTHPEumiu4EBUJIgKeQHPFmt/s/dwLpinZYU9J09nINVhwESKLQkkK2tZgwcWILAddUhpz0VFKPxHj57jcm4twdf0VYbilP0TwIZ5VN4eBs7+CzRHp+Lvtr2CjRTp+Yn9FeHETeOi4CZyNGun9uwgYgMzG0EFjl08D6cuX6K/Q2K9OhL2/gs1CEVmg1xGM7OYCWAPwiA8Y6QzRURfCApVggUqwQCXSAu3z+SFdaXf9FWykSIdK6K8ILy4Wtz+yB3zEFCfLWjvzaLbF6pRsCsL9FQuLM58Ae38FmwHSxVL7K0K4d9xsbSY8sGubNosDW39F6L5B8hpPLEHvaTNJIoRNS+wOxArTZpIjpfAjhd8PWE1Mbhi7HdGxI+wQdxG4CzLxnCKTpOIvRSbJgro9j5gO53WMklzWIEMmSo/gbLoIeBdh7/y+6dBxhbgocYL9Q8dqpAyZKDvqI4hh15IhQ0xpKUd6fRs8tBo2OkWthiPqYOAI+lfDgkQIBgqvhv/c4DEdim3RqVP4qcPL8/Vq8JAcPoKHwit0e4OHJBUZiW7icVuUh0d9LsiCKg4Qc5HYjgaW5LEO2lySHsH1darN5/dqh46r0kWJEywfW5u7OzxE6VGfPwy9NnHePqelHOn1PQpIi3Oj4dLiPKYOBo6gf3EuSIRgobDi3PNRQJKjo/Cjg9e/Jho7ojQI1hivQ+1HAUlSEdGh9qOAJKl4lKKCLKiuEDEdcTrIchOToSgTb2LUcRCQKD+Cre9UjcZz5WK9fXhXljjB/rHVqOMgIFFu1OcPw61NirZPaClH2nMnha0OInHSS5r0Vt9JwQTcNBpfv04KJvEER7yTTgomREWCiIAn00nxdvV+P9f/vrv48bqZAuYMloCe0PMfnL/Z07/n8fn36iqLB3q+YZXcv9Grfq/n+wtYMXr+H1SPpzv4PY0UoL1f/bxX/U4j/EP14VavXiEP4Lu/1rHGR/oXfq5f/J7+9wv96yBHUMcRW8aajsbO/gPojK5jmEfwtnqhJf3UVevBnEVkvSlBmVtrOJgIkRWjeMHtar5gYkTWii6rpJnoKHWhiPGLgkGkTAiHbIQrbL5Q0HeRwodsXvqcuJsvuByRWqHj5gsuWqRWoDZfJBfNF9areO/yUSMFQxcRBpDZGDpo7PJpJEQajFLoZOPqRDiaL7gsFJEFeh3ByG4ugDUAj/iAkc4QHaYhLFAJFqgEC1QiLdA+nx/SlXbYfMFFinSolOaL5KL5wvrIHvARU5wsa+0sAmC31SnZFKSbL5KNqxPgaL7gMkC6WHLzRbK5ANUAO+GBXd+MVmhtvlA0nliC/jNagkQIu5zYTQvfGS3B0VH40cFvG5ho7IjSIOzoEuJme0ZLkIrvjJYgFY8ZLUEW1B11xHTEgyC2ZbQEmaxFRkuSH8HWdxFvLqLO+T3doePqdVHiBPuHDpXQk7ovy436/GG4tWW02ie0lCO9xp0PobXzIaUOBo6gfykqSIRgnrBS9M+dD/Op2xadOoWfOrxOXrPOB8HhI/gnvD53dD4IUhHR57bOB0EeHsW5IAuqOEDMRTCIlYnIUJSIN23uaH2QpEfwfZ1K83Su5Bw3nosSJ5g+tjRvaX2QpEd9ADH02tR5+5yWcqTX+JSe0Nr64L6FzzAYOIL+1bkgEYKFwqvz1Z3SIzhSCj9SBDHcfWGXaWR2REeGYOzxOtdevyXIREbm2s/gEaTiUekKsqA6WsR0RMEgV7Z9aEEq66B1JekRPEmnWnd+IW/ouGFZlDjB/LG1rvsIHkl21CcQw65N6rZPaSlHWv/vry7Pa6L/+UuXpu2418K21+y6t06FUZOvr16LdJCYAN9iA27akS56LeYbw9Oa+ysbvvrfT6btF49ArNZK6rVFZ8VsgxmEWa2vZm9GNFww2Sc49p00XDAhKhJEJrwdNrymOV6+kwAWAew1PzYBfZYNFFkFSRKa1oYCJkZk/eOyCpKJjlLriBg/49gN2ehEmgkIYo8LG+nf6P0BUWhD+00+WqR/o/YH5Bf9AdbLZO/yUSOdHEkoY5fGLh820ju19wNgse7xsSoiVvTqgPHbXABrAB7xASMdFzuGSIJikCYm0Pt80EgnRivltxuKe3ykSFdGKeXPL0r5rUbigI+Y4t44C8I2yCUbcjel+1icYz5OpI8jF+jnmwtQDbATHlhAGxwdn2RBeNw/PFFZP4kPk36RqtN+fpqchcexKor4aMrHGqM6onZ2nGot0C9oPLEETdGsgxclojURuSVKhLBbho1037scwUL5U13dVL9WR7EPzt/Qcez93lPzbz2pPjr/79UDSB9AcAxVSG9Xv3h6Vtavgvrk//rz3jMv3r37zZ293r/fGZYlXBLQC8M4m37zmRe/9a3/dPrCLGLGoph/51NIaeiI+4tZbF13EHxaH3vQO/9R/fIj0/Rsi06Pwk/P0nGuIA3C1mSH8bAgIaEEja0SSZCJx/yMIAvq7jBiNmxRuCCLdUjNSNIjOBtSxNmWmplfNh067g8XJU6wf+ywKs6iQWLLzEiSoz57GHJtmZn2GS3lSHs+9MpSVhQFDnpppJr0Vp6I4QJG7lFh5emKEjFc9gmOfReJGC5ERYLIhLfDhofcz+pOeHKBIvewKILSmojhYkTuXi0pFbnoKDtViPGzSEAuuhUnYtiwkf6t20QMGy3SvxETMdHFLdmR45ZsNmqkkyPJYuzS2OXDRnqnLhMxbKyKiBW9OmD8NhfAGoBHfMBIx8WOGFyJGDZopBPrLhHDRop0ZYRETHRxobXdSBzwEVPcG2dB2BMxXMi+EzFsnEgfR03ERHBNtdkwTHhg1zcRE9sSMZH7lsJrPLEEvSdiJIkQ9sawkS42BfKnkoiRnB6Fn56l41xBGoSNyA7jYUFCfhMxkkz8JWIkWVA3gxGzYYvCBVmsQSJGlB7B2ZAizpZETDS/0zhyXFMtSpxg/9hhlSsRI0qO+uxhyLUkYhAzWsqR9pyISUz0tLyNnPTSJr3VJ2KYgJF7VFh5uqpEDJN9gmPfSSKGCVGRICLgwUO91Yt75z+tZ+qP1UOt8j7Uo/7VDRD2v+sbc5M7bALIHa8OpSkTKHKXiyI57akaJkbk/tayYpKJjrKXhRm/IIwGeWHCOGRjXHXChgsb6Qc7Tthw0SL9IDVhE10kbKyX9N7lo0Y6Q5J8xi6NXT5spBejJ2yiMMqCdFDYsjZcwIoIGL1EYBA3F8AagEd8wEgfxg4vnFkbLmikP6NlbeLQdizWPT5SpFejZG2ii6yN1VIc8BFTPB1rQYRJAXdQpSbcJRu3TOomDosgtR3yN+aDRbo8cv4m2lyAaoCd8MCub/7GclulDnBjGk8sQf/5G0EihC01bICMzZz8yeRvBKdH4acHHx43xmY+bv/+rh7rXn1z5mMYpF4fBgGOFIaDhMPEaKh3ROkT9j07DK4FCXnO+wgy8Zj3EWRB3XvGzEYIFyhntphekMw6pH8k6RF8FSl+bUv/zK8qjxx3z4sSJ5hBdnzmTP9IkqM+ghhybemf9hkt5Uh7Tv8oEz2tjhMnvaxJb/XpHyZg5I4XVt2uKv3DZJ/g2HeS/mFCVCSICHit6R/jCtthE0BunXWoUJlAkdtlFOVpT/8wMSI3ypbVlEx0lE0xxPjBpmhsFO9DNsRVZ3+4sJFusOPsDxct0g1Ssz8X96pHjnvV2aiRvpCknrFLY5cPOyHCRi+NXBVK6w5b8oeLVxHxolcIjOHmAlgD8IgPGOnB2MGFM/nDBY30Zh0mf7hIkT6Nkvy5uAbdbigO+Igpfo6zIMI0S9NikCkT7pKNWyb5E0Z5EUeD1Ah2zAeL9Hjk5A9cc242ERMe2PVN/ihr8kfReGIJ+k/+CBIhbKhhw2Ns2uVPJvkjOD0KPz344Nid/Hnt4iLNRvrHfPf0jugAEPY9OwyuBQl5Tv8IMvGY/hFkQd17RsxGooJBlNhiekEu65D9kaRHcFak+LUt+zO/1jty3NMuSpxgBdkBmjP7I0mO+gRiyLVlf9pntJQj7Tn7Yyza0PI4ddLLm/RWn/1hAkbueGHl7aqyP0z2CY59J9kfJkRFgoiAV/28er96t3ofxvwb1T9Vv63vgny3+mX1z9VvdLyh50/LfVC45z+s78d8UN97Xn0E3zp/E36qflcvLAZBNIiCKB3MuoYGzcjiknqGcIReO8UcNOR+XYeimAkUuUdHEbv2jBMTI3J3blkZy0RH2YnDjF9QFIPIBHHIhiiScbrmxIfP7hwcjA5mbryc7D6ldVf2NFhWgA6ufCswevM7fGZI79xxUoqLFumdqUmp9CIpZb08+y4fNdJFdyHqgczG0EFjl08D6Wvbk1QW7AB74+pE2Fjs8VkoIgv0OoKR3VwAawAe8QEjXSE6MkLYnRJpd/b5rJB+s8PcFhcp0ntSclvpRW7L+qAe8BFTPCprxSwCTbetKdkUuklztduZ+QTYGIz5DJCOlZz7SjcXoBpgJzywgPbkNIzSk7OzfhydBP0wPD3tH4ZB1D8J0zQ8PA6OjoqZE7OG9Y59DXZob819ue/2vcYTS9B/7kuQCGE7Ebs5gM06teW+6liyznvN4spnDl/6T73bLx3+l16gQ8lF1In+gx2kuQRnQuFnAr8LYKKxI0qjKUQcNDqMywUJeU5WCTLxmKwSZEHdKsfMRhQUg9C2HSDIxVuyKlbBIDH2Yt2RJUjwL11Etov4NpsnNzJHjCtJnGAH0UEZflb3ZclRn0EMOeeM7mNmtJQj7TldlZnoaUXruvszjYomvdWnq5iAkXthWEW6qnQVk32CY99JuooJUZEgIuCtMl3FqPZiDhtyl65DYcwEitx4owhee8KKiRG55baslGWio2yvIcYvK7JBbEI4ZCNcYb6qmO8b5+58FZcZ0j13nK/iokW6Z2q+Kr/IV1nvlb/LR4300V2oeiCzMXTQ2OXTQDrbZfJV+cbViXDkq7gsFJEFeh3ByG4ugDUAj/iAkZ4QHRoh7E6JtDv7fFZIt9lhvoqLFOk8Kfmq/CJfZX1QD/iIKQ6VtWIWkabb1pRsCtL5qnzj6gQ48lVcBkjHSs5X5ZsLUA2wEx7Y9c1XZdZ8VUHjiSXoP18lSISwn4jdHcCmj76O+SrBmVD4mcBvA3QRmwtyJmzqdhjDCxLynNwSZOIxuSXIgrqxjpiNPMsGgW3rQJDKeuS2JAkSfFEXUfAiFi7mmZDCEQ9LEieYQXQAh5/VfVly1EcQQ64tt9U+o6Ucac+5LaPbvhnFgYteHDTprTy3xQWM3DfDqtcV5ba47BMc+y5yW1yIigQRAU8ut6X0v2/r3/SO/r/fVL+r/pf+Q+/o3/p/wrfhb/5B/7HfVf/39F2/r36hv3xH//d+/dd/Xv8cvDsM8jze6lUfn7+pFwcAug/yG4KZrd75D6Ya/EYvCaPe</t>
  </si>
  <si>
    <t>UweH3+plQZIazdQOe9SRG4LdyWouUOQeH0UuW1NjXIzI3b0lhTAXHWUnDzF+UTAw1ksM2QBXlxmLw9kOdRw4M2NsZkjn3m1mjI0W6dyJmbE4WGTGpsNsQn2Xjxrp4buICYDMxtBBY5dPA+mql8iMaexXJ8KeGWOzUEQW6HUEI7u5ANYAPOIDRjpCdGCFsDsl0u7s81khvWZ3mTE2UqTvJGTGFvbmnuNBPeAjpvhT1oqZx6kttqZkUxDOjC3szHwC7JkxNgOkY6VmxvTaWYBqgJ3wwALaQ3WUqtPjtJ8dqbyfnCVhP4+Kop+kZ6dhcFSoLDie8rHuCji2Rdg7A7bMWOy8gvo6TyxB75kxSSKE3Ujs3gI2UdWWGZudYpjO0mP1F//+Lnz9b0+/9a3bLx1+txeEcT79xp27adDf317teYaSE6XwE4XfYzDR2BGlQdgE7jBoFyTkNxcmycRfLkySBXUjHjEbUTTIbHsFgky8pcLCKBsEllSYKEGC8+ki7F0Ev+EscTL9xER8V5Y4wQqiIzb8rO7LkqM+gRhyLakwxIyWcqQ9p8KMc6rlbuSkFzbprT4VxgSM3CjDytVVpcKY7BMc+05SYUyIigQRAU8uFZZea/PS8/dQ/+AX+uPnvfOf6u/drxfIw9mv/nwRXTxV/bqe/C/0n/7y6Vnt2eXEVxjr0OUX+rt/1P99DD9rGucd9jgj9/w61NFMoMhtPIo+tie/mBiRG3jLKl8mOspmHWL8cjVILadscxGuMPsVz3ehI3f2i8sM6c87zn5x0SL9OTX7FV1kvyJH9ouLGunUuwgDgMzG0EFjl08D6Z2XyX5FG1cnwpH94rJQRBbodQQju7kA1gA84gNGekJ0LIWwOyXS7uzzWSHdZofZLy5SpPOkZL+ii+yX9UE94COmOFTWilmEpm5bU7IpSGe/oo2rE+DIfnEZIB0rOfsVbS5ANcBOeGABLa4uFvhYNwIcOyHszQBr9ium8cQS9J/9EiRC2IDEbidgs01t2a817AuTnAmFnwn8vkH3kbrgCBD2hDuM6AUJec6MCTLxmBkTZEHdl0fMRpEMwsy2kSBIxVtqzNUlJkqQ4Jm6iIkXkXE8T6TEjuhYkjjBDKLDOfys7suSoz6CGHJtqbH2GS3lSOv//dXlCBEU8V+6JHK3uTLzrWxaHCcOvipMmnx95costWy32ICbZmTJXNm71UegLLVwmufKIDeiBeZXoKz0f5/P5Cskvx7UOZjHIEDqz77UP/h6LUo/n2XT9Jdf1F+CcP2sul+nWV6dv/Yj/Sf0nzENyDZ7QBLcgHSSPmNCVCSITHg7bHjIvTaCRn1sDNWfZSNE7ptRRKc93cTEiNwxW1ZOMtFRdscQ42ccuyEbnUiq6Rpm60WtbNhIX8fII8WuRBIXLtLZURNJyUUiKXEkkriokR6PJJqxa2OXDzshwkavDRvWPT5WRcSKXh0wfpsLYA3AIz5gpMtixxNhGhUDFZtQ7/NRI90YLf3jMBX3+FCR3oyS/0ku8j9WM3HAR0zxcJwlYRvkkg25m3wPFueYjxPp5shZnWRzAaoBdsIDC2gPi/jsMMkO+3mWR/0kVEX/MFVZP8sOk6Q4PFIn2YyPNWR1BPHssNWa1VE0nliCpuDWwYsS4JqI3BIlQtg7wwa+H1yKch/W4eqXUBeoY9wfQhiso9yHveph9dnluBcqBh9cSrRcCYPv96r39Jf61Q8g76N/+Ze9aUlpHATn30/hQxhe6nx65hn9mv7egWk8t0XHU+HHc+mgVJAGYWcRH7ye/+j8dROVZ0WpiKRWjKb1tigPj4kVQRbUXV3EXNgiZkEW/nIqRWqPrSUJEvwCKTxsy6mo+Q68cuRUJIkTLB87BrLP6r4sOerThyHXllNpn9FSjnStW4+Kk/g0PA77aZCE/STJT/tFnBf94ljF2WmmkqNk9jz71a3GrVytW1PqYOAI+tetgkQI9gmrW9+GAqDL+ZZ5h8znICqrf6zV6PfqjA5kXiCrAwp12ugCxSNQX/Tb6u1+3XEDR7/9um7G+dA0Otuio6Pwo7O0ChWkQbDFeBWqY4xPTFSeFaUiokJDswm5LcrEow4VZEH1hIjZsOlQQRbedGiYDorUxO+OLD+Cme9UhqZz0ZI6ZKgkcYLpY8tQ66Tuy3KjPnsYbm0qtH1CSznStQqNlDqNjk6V/uaRfu+Rivp5cqK1axEnYZSHx3kxM61+VagxFaNVqOuiV+Ng4Aj6V6GCRAjmCatC/+FSac/9XvU/tST9rN4m1Yq0V32wE8d/DXI0jHvwRtglrfWocWNtW5S8wpNfWmQK0iBY2k5EpiAVEZGp41RlonJblIpHlSnIgurpMNNhYjEUZeFNZSbZIElM/O7I8iOY8U5V5vzC9dh64fquLHGC7WOrTOuk7styoz57GG5tKrN9Qks50tO9zqPj08OzuOirJDnuJ1l+1j9MA9VPwqP8JDw6PInVSvY6jStAq8ycOhg4gv5VpiARgnnCqsxfnb8KafRpG+W0OP0N2N+sm/xerdsc6wOdpnubv6t+Xu9p/rb6PVxvMTtstPrH6p3Z3Rgf9uqrMd6uPujd3Vdhr/q5aZS2RUdJ4UdpaTkqSINgkjuRo4JUhOQo1FRep3JblIpHOSrIguoSMdNhYjEUZeFNjub5ILfl3iX5Eex9p3I0n6sXxy3wosQJto8tR62Tui/LjfrsYbi1ydH2CS3lSPs96TOxFYEWDnppHDXprb57kQm4aTT+dLoXmQOS4Aakk+5FJkRFgsiEt8OG1zTHgt2LTITItg+8unR1LzIxNqWjUPciEx2ltwMxfjY5yES36u5FLmykr+u6e5ELF+nsqN2LxUX3ovXW3bt81EiPR5LI2LWxy4eN9Euddi9ysSoiVvTqgPHbXABrAB7xASNdFjt6CJO0GBTGCy72+aiRbqzL7kUuVKQ3o3QvFhfdi1YzccBHTPFwnCXh6F5kQvbevcjFiXRz5O7FYnMBqgF2wgO7vpkRyxltN6PZcTxonliC3jMjkkQIO2XYwHdFmRHJUVL4UVo21JSkQdgdJISk1syIJBXPmRFJKv4yI5IsqLuzmOkwsRiKsliHzIgoP4K9J4V9LZmRJJhtpCeOW8BFiRNsHzu2cWRGRLlRnz0Mt5bMCGJCSznSa1wObuko0nI0pA4GjqB/OSpIhGCesHK023JwSfIKT35plSlIg2BpO1GZglSEVKatHFySikeVKciC6ukw02FiMRRl4U1lOsrBRfkRzHinKnN+MWviuGpXlDjB9rFVpqMcXJQb9dnDcGtTme0TWsqRXuOjL0Jb02ESUQcDR9C/yhQkQjBPWJXp+egLydFR+NFZWoYK0iCY4k5kqCAVERlqPfpCkolHFSrIguoJEbNhU6GCLLypUMfRF6L8CGa+UxUazUWL485XUeIE08dWoY6jL0S5UZ89DLc2Fdo+oaUc6ele59FJHKf6bUfHZ6qfHCaH/cPDKOgfB2l0lsV5cHp8+NwKVGhiGgytQmPqYOAI+lehgkQI5gmrQt/TwvLTK2XmX9CPCtaC9RvVL/UPfVHf6vgJfF1vkfbK22mgUjgVWH9Vn0f86lzhhuriHGE4Rtg0nNuiw6nww7m0bBWkQbDdeNlqPzdYkoqIbDVanNuiPDyKVkEWVMeJmAubaBVk4U20xiodhMbKsjuyBAluoVPVOr+5L3HcxShKnGD52KrVPqv7suSoTx+GXJtsbZ/RUo605+ZFW9I9cdKLm/RW3rzIBdy0Gn8yzYvcAUlwA9JF8yIXoiJBZMLbYcNDdoLgVai1eZGLENn1gReXjuZFLkZku8eywpGJjtLagRg/myBkoltx8yIbNtLXddy8yIaLdHbE5sXk4urFxHH1Ihs10uORNDJ2bezyYSdE2Oi1YW9eZGNVRKzo1QHjt7kA1gA84gNGuix2+JAkSTYIYxPqfT5qpBvrsHmRDRXpzQjNi8nF1Yt2M3HAR0zxcJwlYW9e5EL23bzIxol0c9TmxQSuXjSbhgkPbK3DApWHR4dB//AshutukqBfBEXePzs8UflxWKijYAUZlMjavKhoPLEE/WdQBIkQtsqwga/A1YvWfMqVdErvaj7l8r2MjnyK4OAq/OAuHaEK0iDsKuIjWUc+RZCK13yKIA+P+RRBFtQdXcRc2MJnQRbe8ilhGASDxBZpSzIkeAlSsNiWUJlf25c4LmIUJU4wfeyIyDGt+7LsqM8fhl1bRqV9Sks50mtcjh5Zmx5T6mDgCPqXsYJECAYKK2N9l6MLjo7Cj87SOlSQBsEY43WooxxdkIqIDrWXowsy8ahEBVlQPSFiNmxKVJCFPyXqKEeX5Ecw853q0PnFfYnjJkZR4gTTx9ehjnJ0SW7UZw/DrU2Ftk9oKUd6jY/eiKxNka4Lg4yDgSPoX4UKEiGYJ6wK7fjoDUHyCk9+aZEpSINgaTsRmYJURESm4+gNQSoeVaYgC6qnw0yHicVQlIU3lek6ekOSH8GMd6oy5xf3JY6bGEWJE2wfW2W6jt6Q5EZ99jDc2lRm+4SWcqTX+LzhyNr0mFMHA0fQv8oUJEIwT1iVuarzhgVHSeFHaWk5KkiDYJI7kaOCVITkqPW8YUEqHuWoIAuqS8RMh4nFUJSFNznqOm9Ykh/B3ncqR+cX9yWOmxhFiRNsH1uOus4bluRGffYw3NrkaPuElnKkPTcz2rYxCye9axdNrr6ZkQm4aTT+dJoZmQOS4Aakk2ZGJkRFgoiAByc+bvXi3vlPoYq2+mP1cNDTuv1h9dWNnp6s9/vhQH+/eg/KF+bzef6TgYnVDptV04oL9kAyESKbR/Ci1NUDycTYVJxCPZBMdJQOEcT4xXFuzkMN2Qi99EGGaZQPlHF13uEjR3rKrlshuXCRrpLaCnlxj2PiuMeRjRrpL0kCuzneSgWFXiCxcYHs8rEjXRu9HzLLwySL7U2RXMCKCBi9TmAQNxfAGoBHfMBIH8aOQqaGw3aoChc10q/RmiLjJFX2pkguVKR7ozRFXtzoaDcYB3zEFJfHWRK1sUgGhdEPlmzcMp2RYZhFUVAMlHFdjPlokb6P3B8JlzuarcSEB3Z9ky2xrT9yNllonliC3pMtkkQIm2/YWHpFyRbJUVL4UcJHryYaO6I0CBuOhHDVmmyRpOI52SJJxV+yRZIFdcMXMR0qGGSJcUKGolTWIeMiyo9g9EkBYUvGRc0vBFSOGx5FiRMMIDvWcWRcRLlRH0AMt5aMC2JCSznSa1xmHtuaHWcxMGEwcAT9a1JBIgTzhNWk3ZaZS5JXePJLS01BGgRL24nUFKQiJDVtZeaSVDxKTUEWVE+HmI48GajMOCFDUSrepKaj1lyUH8GWdyo157cCKsc1j6LECQaQLTUdteai3KgPIIZbm9Rsn9BSjvQan6sR2zoaZ3lawmDgCPqXmoJECOYJKzU9n6shOToKPzpLa1FBGgRT3IkWFaQiokWt52pIMvEoRQVZUD0hYjaSQFnOKRiKUvEmRcN0EBoX3B1ZfgRb36kUnV8NqBx3PYoSJ9g/thQN7ZfmiHKjPoAYbm1StH1CSznStRQ9LOKzwyQ77OdZDsfBqaJ/mKqsn2WHSVIcHqmTbCY9/UrRxDQYWorG1MHAEfQvRQWJEMwTVooKnFQ8Labuwa/WwvaN6sveNGF/+TDiHpxGPH35mWf0azGcX2wYz23R8VT48cSL12YteV1nbuwH6H3z9KXDbx/2dg9fOvyv//X5XvX7Wu7frz6qnmzBLvOr568P9PjoMUim5zs/d/tgq6ejAiiTeP3SWc/waf1a9Qi+1O+BX/OZ/oP6DTDwG3qM6zHX34Kii0fnP66Pkb7fK+BVS7275NgTPA5ecdtPVJakIqK4jXbytigPj3pbkAXV3SPmIoyVJV03FKXiTW/HRWq9v0iUIMGjdSq455caKsc1laLECeaPLbjts7ovS476CGLItSnu9hkt5Uh77uy0aejESU816a28s5MLuGk1/mQ6O7kDkuAGpIvOTi5ERYKIgIfo7Iyhs/PaZfZPqi9sepfJDdkbg9ex1v5OLkJkHwxenjr6O7kYkQ0wy0pPJjpKswtm/IpgYNvBZSL00t+ZJIljb5aLHOkvO+7vZMNFOkxif6e6uOpSOa66ZKNGek2Szr5eJJMlcTCYneh2XVJzsSdE7OgFkiRBlNtk8h4fsCICRq8TGMTNBbAG4BEfMNKHsYORqeGw7f9zUSP9Wof9nWyoSPdG6O9UF5de2g3GAR8xxeVxlgQYC2j6NRqLko1bpr8zTYMkKqzXX7LBIl0ftb1TwfWXZiMx4YGtJRrqjiHgYw2FHXsB7HDY2t6paDyxBP0nlQSJELbgsAG1QFJJ8PpLycFV+MHFR77mmNaeZ9LDR840/euIkWjSQ70RJoqRaBKcAsJOKz5AdySaBKl4TTQJ8vCYaBJkQd3lRsxFllrOhR6KMvGWZ3Je3ynKkODlSAFwW6JpftejclzfKUqcYP7YsZ3z+k5RdtRnEMOuLdPUPqWlHOk1bjNIrB2tKXUwcAT9y3BBIgQDhZXhvtsMBEdH4UcHr6NNNHZEaRCMMV6LOtoMBKmIaFF7m4EgE49qVJAF1RMiZiOK8kFmK3sSpOJPjjpSWZL8CLa+UzE6v/JROe7wFCVOsH98MepIM0hyoz6AGG5tUrR9Qks50mt8uEpi7Xh1XzVlGAwcQf9SVJAIwTxhpWjHh6sIkld48ksrTUEaBEvbidIUpCKiNB2HqwhS8Sg1BVlQPR1iOpJskBrnYyjKxJvSdJ2tIsmPYMo7VZrzax+V4x5PUeIE+8dWmq6zVSS5UZ8/DLc2pdk+oaUc6TU+WjqxNrTm1MHAEfSvNAWJEMwTVmmu6mhpwVFS+FFaWpIK0iCY5E4kqSAVIUlqPVpakIpHSSrIguoSEdMBlYmFiclQlIk3Seo6WVqSH8HmdypJ51c/KsddnqLECfaPLUldJ0tLcqM+fxhubZK0fUJLOdKeOz6ViZ4WmYWTXtqkt/qOTybgptH40+n4ZA5IghuQTjo+mRAVCSICXmvHZ7Gl9Xn1uK5peF3PYr2VfHVq9Y+YWO6wWSL7ZgiK1tr7yUSI7JHBC1VX7ycTY1OFCvV+MtFRGmEw4xcV1ipPJsI16P3kIkd6zq57P7lwka6T2vt5cbenctztyUaN9J8kwd0cb5WpOMos1/Xt8rEjXR299zMq8iJM7L2fXMCKCBi9TmAQNxfAGoBHfMBIH8aOSty9n1zUSL/WZe8nFyrSvVF6Py/u9rQbjAM+YorL4yyJ2likg9RoLEo2bpnezyTJ4yy0935ywSJdH7n3E672NBuJCQ/s+uZflK33Mw1oPLEEvedfJIkQ9uKwofWK8i+So6Two4QPZk00dkRpEPYfCdGqNf8iScVz/kWSir/8iyQL6v4vYjpCHSQbbftQlMk65F9E+RFsPikcbMm/pPOLIFPHzZ6ixAn2jx3pOPIvotyozx+GW0v+BTGhpRzpNS4+V7Y+yDSkDgaOoH9JKkiEYJ6wkrTb4nNJ8gpPfmmlKUiDYGk7UZqCVISUpq34XJKKR6UpyILq6RDTEUeD2DgfQ1Em3pSmo/hclB/BlHeqNOf3QKaOiz1FiRPsH1tpOorPRblRnz8Mtzal2T6hpRzpNT5xQ9naHNOIOhg4gv6VpiARgnnCKk3PJ25Ijo7Cj87SUlSQBsEUdyJFBamISFHriRuSTDwqUUEWVE+ImQ2lBlFuojIUpeJNijpO3BDlR7D1nUrR+T2QqeNiT1HiBPvHlqKOEzdEuVEfQAy3NinaPqGlHOk1PoNZ2fogZxUehMHAEfQvRQWJEMwTVop+vc5glhxchR9cvJLVsvz31R+0Vv+w+o3+/MPq/V6t2f9RC/jfaN3+274ehofVpzD+5z85f4t0C+iTun7iIfyrZ6m8rcJQRcGBtjj1MBZbqld9pH/zH/V/HxuOZR6YBnlHdJAJfgavs+2nLEtSEdHZRut4W5SHR5UtyILq5BFzocLMdveSJBN/Itt1yrIoQ4If61Rmzy9/TB3XeYoSJ5g/vsx2nbIsyo76DGLYtQnt9ikt5Uh77u40GiMtnRMnvaxJb+XdnVzATbPxJ9PdyR2QBDcgXXR3ciEqEkQEvHqj+12to+sw45+0tAY9/a4OOP65+k2veqKHHdT0o8We+oPe/AoTPblvwk/V7+qFxSCIBlEQpYP5RaCR/uw92HCfL4Tzn/T6FEXeclvKc7cPGNel6NBoQ0dGrutSeleLV27U1Sv6c6hgAaTbO704vvan9bc/qstbXoNf2q9jhRpAL0iee+4F00LYYS8EZPMQXvVbG2C5CJGNQngx72iA5WJEdggtK9SZ6CjdQJjxy/JBlJggDtkQRTpgr4mU4bM7Bwejg5lMKSe7T2lhqbb0hxQ+ZPAhfxr2PYAJKJetwChe7vCJIsVIxw2zbLhINUJsmE0vLktNHZelslEjJUkXUQyQ2Rg6aOzyaSREGta1YsEOsDeuToSNxR6fhSKyQK8jGNnNBbAG4BEfMNInokNBhB0qwQ6VYIdKsEMl0g7t80ki3WqH/bdsqEjvSui/TS/uXrU/uAd8xBSPy1pBi0DbbXtKNoVuWnHb7c58AmwMxnwGSE9L7c9N4W5Ws82Z8MCub14wtfbnKhpPLEH/eUFBIoT9VOzmyNcsLyg4uAo/uIRdjPXfUzCN9I7oSBN2x/HbBI7koCAVr8lBQR4ek4OCLKiJCcRcZGE0KGzZQUEqHrODYT7IjEvujixDgjfrIq5eRNfzCztTxx2sosQJ9g8dEhKmdV+WHfUhxLBryw62T2kpR3qNO0JSa+9xSh0MHEH/cluQCMFAYeW2744QwdFR+NHB62UTjR1RGgRjjBejjo4QQSoiYtTeESLIxKMcFWRB9YSY2QjSwtLoORTl4k+PpoPY2PJyR5Yfwdh3qkbnd3amjktYRYkTDCBfjdomdV+WG/UJxHBr06LtE1rKkZ6eg3MSxYE6jPpBEZ5N33t4dpz1w/zoMA7TNDk6W8E5OKm1O9l9T5hhMHAE/WtRQSIE84TVoohzcKbnL/bCegNRC9Hz79c7jQ+qL43bhtuiQ6DwQ4AXnN0XVBnGZUd0XAgGvBMFK0hFRME6jtcRpOJRwgqyoDpQxHQkyUDZNlQFmXgTsEkwKIxW4I4sP4KH6FTAzq8CTR13u4oSJ9g/toC1Tuq+LDfq84fh1iZg2ye0lCO9xmeLp9ae5pw6GDiC/gWsIBGCecIK2FWdLS44Sgo/SniNa6KxI0qDYJI7kaSCVIQkqfVscUEqHiWpIAuqS0RMR5QOstimSQWpeNOkRWA5R+iOLD+C0e9Uk87vAk0dl7uKEicYQLYmtU7qviw36gOI4damSdsntJQj7bn9NzPR0yqzcNLLm/RW3/7LBNw0Gn867b/MAUlwA9JJ+y8ToiJBRMCTbP+Nof1XT9OnVxbCk+oLawuwXjTkgt1/HTHqddMg2AgT5bkH2LAUdthLoen6BBuAmQiRnUp4Oe9qAGZibGp1oQZgJjpKOxJi/HL9jBqdyJCNcHX9v1mwpT+E8CGCD/G8765w9/9yiSLVSNf9v1y4SDlC7f+9uDA3dVyYy0aN1CRdBDFAZmPooLHLp4FUEsv0/xYbVyfC0f/LZaGILNDrCEZ2cwGsAXjEB4x0iehIEGGHSrBDJdihEuxQibRD+3ySSK/aZf8vFyrSuVL6fy/u37U/uAd8xBSHy1pBi0jbbXtKNgXp/t9i4+oEOPp/uQyQnpbc/wv385ptzoQHdn1zaJmt/zcLaDyxBL3n0CSJELZTsbsjK8qhSY6Swo8Sfj/CRGNHlAZhC5kQS1tzaJJUPOfQJKn4y6FJsmjKCQcLbAwfxoNYGTdqhqJU1iGHJsqPYPS7CD/nQWg2v881c1zQK0qcYADRkRN6UvdluVEfQAy3lhwaYkJLOdJr3JiQ2Zpks5A6GDiC/jWpIBGCecJqUonGBMkhUPghWFpwCtIg2NtOBKcgFSHBaesjkKTiUXAKsqD6O8R0RJGej9hEZShKxZvgdDQSiPIjWPROBef8WtfMcU+vKHGCAWQLTkcjgSg36gOI4dYmONsntJQjvcansmS2Ttgsog4GjqB/wSlIhGCesILT86kskqOj8KOztBYVpEEwxZ1oUUEqIlrUeiqLJBOPUlSQBdUTImZDxckgsPQPSFLxJkUdh7KI8iPY+k6l6Pxa18xxT68ocYL9Y0tRx6EsotyoDyCGW5sUbZ/QUo70dO/z6CSOU/22o+Mz1U8Ok8P+4WEU9I+DNDrL4jw4PT58bgVSNDENhpaiMXUwcAT9S1FBIgTzhJWi1+vSv+jwBO7elSO4r57AHSrMCdySw6nww4nXrt2dwC1V0G8a6B3RgSZ4F7y6th/ALUlFRF0bbeJtUR4etbUgC6prR8xFrNKBuUVlKErFm7aO02gQKBPBO7IECd6rU3E9v8o1c9zOK0qcYP7Y4to+q/uy5KiPIIZcm7pun9FSjrTn7lxjxKT1cuKkVzTprbw7lwu4aTX+ZLpzuQOS4Aaki+5cLkRFgoiAJ9edW+h/f661+B/07/yw+o3+/EP9Z+pf/486OPpN9U71275W3A/rP/Dl+U/O37pBubn3SV3r/BD+1XFVeVuFoYqCA2236sCn2NJSHXpj/6j/+9gg772133LnGtlrhNf11vZbLkJkoxBerjvab7kYkR1Cy0pxJjpKNxBm/KJiEBr7T4ZsiCvsv4X7dzO4fzeD+3ez+b2Xmfv+XTZRpN7ouP+WDRcpOIj9t9nF/buZ4/5dNmqk6ugiTgEyG0MHjV0+jYRIg94Hl13cv5u13L/LZqGILNDrCEZ2cwGsAXjEB4z0iehgD2GHSrBDJdihEuxQibRD+3ySSLfaYf8tGyrSuxL6b7OL+3ftD+4BHzHF47JW0CKWdtuekk1BuP82u7h/1213xnwGSE9L7b/N4P5ds82Z8MDWChJ1eRjwse5cOLZu2LsX1v5bReOJJeg/3ydIhLBjit3/+Hrdvys5uAo/uISNCn87A6YR2xEdMcI+Nj7cd6TxBKl4TeMJ8vCYxhNkQc0hIOZChekgs5XICVLxlsZz3qMrypDglbqIjxdR8vzS1cxxj64ocYL9Q4d2hGndl2VHfQgx7NoSee1TWsqRXuOOjdzaIpxSBwNH0L9sFiRCMFBY2ey7Y0NwdBR+dPC610RjR5QGwRjjxaijY0OQiogYtXdsCDLxKEcFWVA9IWI2skwNQqNXH4pS8SdHHR0bkvwItr5TMTq/dTVzXKMrSpxg//hi1NGxIcmN+gBiuLVJ0fYJLeVIr/FpNbm1edh9JZthMHAE/UtRQSIE84SVoiKn1QgOgcIPAV5v+iqKEhwXggHvRMAKUhERsI7jbwSpeFSwgiyoDhQxHXE0iAqjGBiKUvGmYF3H30jyI7iIThXs/NrVzHGPrihxggFkK1jX8TeS3KgPIIZbm4Jtn9BSjvQanwGeW3uOc+pg4Aj6V7CCRAjmCatgV3UGuOAoKfwo4UWuicaOKA2CSe5EkwpSEdKk1jPABal41KSCLKguETEdYTGIM1sjgSAVb5rUdQa4JD+C0e9Uk86vXc0c9+iKEicYQLYmdZ0BLsmN+gBiuLVp0vYJLeVI6//91WXmoDX/0iU+O27dNVomLTsLB18Vpk2+vlp3C2vrLhNw04os2br7j3WnLiTXP6938D6GrHqdjwctef4GCMdrtastrbsPZ92+JuLbbOIJjngnLbpMiIoEkQlvhw2vaYeX7yr9CpbCoGeuNH6WDRTZBYOXmK7mUibGpn4Uai5loqO0uiDGzzh2QzY6kb7S62GFecrv8GEjXRu9SzTJYnuTKBct0rVRm0QvLmnNHJe0slEj/RtJIWOXxi4fNtI7tTeFYrHu8bEqIlb06oDx21wAawAe8QEjHRc7eMiTZJArE+h9PmikE6O1ctoNxT0+UqQro3RyXtykajcSB3zEFPfGWRC2h65kQ+6mcxOLc8zHifRx5P5MuB/VbBgmPLCA9ug0S4+ys6B/kkdhP4nCuH8YHKn+SXJSHAV5HuZnMz7W8NQRsLNDVFt/Zh7QeGIJmgJZBy9KMGsickuUCGGbDBvkvtesL4dgtq49v0h8dFtrLjlACj9Ay0aakjQIu4KEiNSaFpGkIpQWyUxMbosy8ZcVkWRB3ZTFzIaJxVCUhbeESJgOitTE744sP4KlJ4V7LQmRfH6HZu64FFWUOMH0sWMa66Tuy3KjPnsYbi0JEcSElnKkayGaBNHJ4dnRaT9MVdRPVHDSPzpNTvppmAfJ6Vl8EhcrEaLGdiUtREPqYOAI+heigkQI5okkROeJFeqRIFpx3ocsDZScz3TrxeEV1ZP+pdPs59cEhEEcBAfTL0PU4SCSA6rwA7q0cBWkQbDeeOFqP7FDkoqIcA0HeWKicluUikflKsiC6j0R02FTroIsvClXDWJQKBPBO7IECb6hU+k6v40zd1yvKkqcYPzY0tU+q/uy5KhPH4Zcm3Ztn9FSjvS0RVKp0+joVPWL4yOtc4/0D+TJif6pIk5C/beP82JmXP1q19g0GFq7RtTBwBH0r10FiRDsE1a7Ilok6xuoYrh3CUqK7td7qUZVsy1KXuHJL60zBWkQTC1eZzo2SAWpiOjMwHKl0G1RKh51piALqqfDTIeJxVCUhT+dmQ0S41q7I8uPYMY7lZnzmzZzx9WposQJto8vM22Tui/LjfrsYbi1qcz2CS3lSNcqMz3Lg/TsJOifRcFZPzlOi35+UhT949PTJEjjs8MgmXkJvyrTuAK0yoypg4Ej6F9lChIhmCesyuyijfHuft/RsSg5IAo/IEsrT0EaBOvbifIUpCKlPG0ti5JcPEpPQRZU94eZDxOLoSgLb9Izzwe5pY5dlB/BtncqPefXUOaOi0VFiROMH1t6Wid1X5Yb9dnDcGuTnu0TWsqR9nuvqDLOqRaTiYNemgRNeitvTuQCbhqNr11zIpd4giPeRXMiF6IiQWTC22HDQ/Z4EPRmS3MiFyiyrwOvJh3NiVyMyI6OZVUiEx2lewMxfjb1x0S34uZENmyka+u2OZGNFunaiM2J+cUNlrnjBks2aqR/Iwli7NLY5cNOiLDRS8PenMjGqohY0asDxm9zAawBeMQHjHRc/FjB0ZzIBo10Yt01J7KRIl0ZoTkxv7hm0m4kDviIKe6NsyDszYlcyL6bE9k4kT6O2pyYw+WRZsMw4YFd24yHCqzNiYrGE0vQf8ZDkAhhVwwb5HrIeAgOiMIPyNKRpSANwqYfIQK1ZzwEqXjPeAhy8ZjxEGRB3XXFzIeJxVCUxVpkPCT5EWw7KcBry3jM7+vLHVcwihInGD9+FOPIeEhyoz57GG5tGY/2CS3lSK9vSbeWnpFpMLT0TKmDgSPoX3oKEiGYJ6z07LikW5C8wpNfWmYK0iBY2k5kpiAVKZmZmKjcFqXiUWUKsqB6Osx0mFgMRVl4U5mukm5JfgQz3qnKnF/FlzvuVhQlTrB9bJXpKumW5EZ99jDc2lRm+4SWcqTX99ALrTJj02BolZlRBwNH0L/KFCRCME9Ylfk1OPRCcEAVfkCXVq6CNAjWG69cHYdeCFIRUa6OQy8EqXhUroIsqN4TMR025SrIwp9ydR16IUmQ4Bs6la7zO/hyx6WKosQJxo8vXV2HXkiSoz59GHJt2rV9Rks50ut7crBeAkYnorVrTh0MHEH/2lWQCME+kbSr35ODBQdI4QdoaS0qSINgjvFa1LGLKkhFRIvaTw4WZOJRigqyoDpDzGyYWAxFWXiToq6TgyX5ESx9p0p0fvNe7rhKUZQ4wfSxlajr5GBJbtRnD8OtTYi2T2gpR9pzc6Kt7rNw0gub9FbfnMgE3DQaX7/mRCbxBEe8k+ZEJkRFgoiAB6cpbvXi3vlPYRu5+mP1cNDT8vth9dUNrcfD3lPVB/obD0Cm9/q96hda4b9afXr+s/NXYbruzybpU/3Zj4xmYYdNtWnC5RsdmUCb2lS00ZGJsak6hRodmegonSCI8bMpSSa6VTc6cmEj3WTHjY5ctEg3SW10vLiFMXfcwshGjfSVJHGNXRq7fNhIT9dpoyMXqyJiRa8OGL/NBbAG4BEfMNJxseOOPInsO+Bc0Egn1mGjIxcp0pVRGh0vbmG0G4kDPmKKe+MsCEejIxOy90ZHLk6kjyM3OsItjGbDMOGBXd9cSmhrdCwCGk8sQe+5FEkihB02bMDsP5ciOUAKP0D4qNVEY0eUBmFDkRCRWnMpklT85lIkmfjLpUiyoO7nYmbDxGIoymIdcimi/AiWnhTuteRSivmlfYXjFkZR4gTTx45pHLkUUW7UZw/DrSWXgpjQUo70Ghekh7a2xyKkDgaOoH8hKkiEYJ5IQnStC9IlB1ThB3Rp4SpIg2C98cLVXpAuSUVEuNoL0iWpeFSugiyo3hMxHTblKsjCm3J1FaSLEiT4hk6l6/zOvsJxC6MocYLxY0tXV0G6KDnq04ch16Zd22e0lCO9xqfFhbZmyiKiDgaOoH/tKkiEYJ+w2lX+tDjJAVH4AVlaewrSIJhfvPZ0bJoKUhHRno7T4iS5eBSfgiyo7g8zHyYWQ1EW3sSn47Q4UX4E296p9pzf5Fc4rmYUJU4wfmzt6TgtTpQb9dnDcGuTnu0TWsqR9lyCbtsIjZ30oia9lZegcwEjy+qwYtB/CTqXeIIj3kUJOheiIkFEwHOXoFdv942La4dNAFmfR1CkLYXlXKDImjy83nQUlnMxIqvxltWRTHSUyjvM+AXaNicmiEM2RC/V5XkcDYrcBPwOHzjSB3ZbX85Gi/SBxPryIl7UlxfWe/vu8lEjHSFJOV9bHGmUpINMmaDv8qEjXRm9xjzJiywZJEaNtMfHq4h40asExnBzAawBeMQHjPRj/ODCajT2+aCRPo1WZ54FheVOyXt8pEjPRqgzXxiLew5jccBHTPF2rAXhMBQlG7ZMrXkWJ2k4SI3P3JiPFenzqPXmemUsQDXATnhg1zdVElnrzRMaTyxB/6kSQSJNQeCaIGR07CFVIjggCj8g+JDURGNHlAZht5AQmNpTJYJUvKdKBLl4TJUIsqBu1yLmIxwoZfRXQ1Ema5EukeRHsO+koK8tXZLMd9etNz3uyhInGEB+RONIl0hyoz5/GG5t6ZL2CS3lSK/x5TqRtcpcUQcDR9C//BQkQjBPWPnZ7eU6kuQVnvzSUlOQBsHSdiI1BalISc3EROW2KBWPSlOQBdXTIaYjGYTmvd6hKBNvStNxwY4oP4Ip71Rpzm/9KxzXOIoSJ9g/ttJ0XLAjyo36/GG4tSnN9gkt5UivcT9jZK0JT6mDgSPoX2kKEiGYJ6zS/Br0MwoOqMIPKF69tozpk+Yg/mr+JVT43NfjDF/cP3+rV70H9VlwpskW6PxXz18f9G6Pg6Cofr/V04K/HmjbiOt3wK/9TP9F/UpPD/OGHu+n/ubpHgy1/i5sbT86/zEg1SjCYPqy/nh/uusNv2RgmpId0SkheCK8Enf0ZgpSEVHijt5MQSoelbggC6oSwExHEQxUaJyRoSgXf1rc1aEpSZDg7ToV4/PLEQvHbZeixAkmkC/GXR2akuSozyCGXJsab5/RUo605zJ5m77OnPTiJr3Vl8kzATetxtevTJ5JPMER76RMnglRkSAi4LWWyRsd8w6bALK8EC9MW8vkmUCRJYUU2Wkvk2diRBYTLqsnmegohYOI8YuzYpDbigOYEP2UySfJIEpNwO/wgSN9YMdl8ly0SB9ILZPPLsrkrVcZ3uWjRjpCknS+tqqjIM3UIDJWRO/ysSN9Gb1OPsyKVBUDZTzGeI8PWBEBo9cJDOLmAlgD8IgPGOnJ2PFFbTaUCfQ+HzTSq3VYKM9FivRtlEL57KJQ3mouDviIKf6OsyBqUxEOEqOpKNm4ZSrlo7RI8mIQG83EmA8W6ffIpfLZ5gJUA+yEBxbQ4k7PBD7W2NYR3LPjW2upfE7jiSXoP4MkSISwp4aNkFdwNLvgACn8AOHDVBONHVEahC1EQrBqr2cSpCKSRbEfzS7IxGMSRZAFdQMXMRtRqgb6T5i4DEW5eEuihOkgNBZs3ZHlR7D3pECwLYcyvxu1cFx2K0qcYADZMQ5MqnHR7styoz6BGG5tKZT2CS3lSK9xQVNsLZ0vqIOBI+hfjgoSIZgnkhxd74ImwQFV+AHFy1diQdM3T186/PZhb/fwpcP/+l+f71W/r0X//eqj6slFHdMzz6RxHkfBAQxcemt8taBpPsgXg28paSpUXc5kq1MSHGmCg8ErbEedkiAVEYXtqFMSpOJRYguyoDp4xHSkRa4ltjHoGYpy8SaxnXVKkgQJTqxTjV3MJZn1fs5dWeIEE8jW2M46JUly1GcQQ65NZLfPaClHeo37U2NL10AcuK+EMgwGjqBvkS1KhGCfsCK70/5UUfIKTx4viE00dkRpEEwtXm1a93NFqYioTWt/qigVb2pTlAXV0yGmI1SD0Hx011CUij+xaW1QleVHsOUdak3NaapMZp+YiO/KEicYQL7WtDaoynKjPoAYbm6piZnQUo70Gp/EFw+MK0BLzZA6GDiC/qWmIBGCecJKTfGT+EQHROEHZGn5KUiDYH07kZ+CVKTkp+UkPlEuHvWnIAuq+0PMhxqk5nK4oSgTb/LTfhKfLD+Cfe9UfoZztWK/NFOWOMEAsuWn/SQ+WW7U5w/DrU1+tk9oKUfac0emTVBGTnpJk96qOzLZgJtG4+vWkckmnuCId9CRyYaoSBAR8NwdmWHvqeoD/Y0HoNd7/V71i+qJnpdPz392/ipM1/3ZJH2qP/uR0SzssKkiO14I+tXdu8kGiuxywatTe+8mG2NTeYr0brLRUXpZEOOX5SZ4Qza8Vfdt8oEjPWWnfZt8tEhPSevb1HDmfZv6U2vfJh810l2S9PW1ahCVw6G/xnW9y4eOdHj0ts04zYvEskD2+HgVES96lcAYbi6ANQCP+ICRPowfgti7Nvmgkf6ss65NPlKkV8N3bV4Yi3sOY3HAR0zxdJwFAYYitAx0yYYt07SpVJyEFiMx5mNF+jxizyasjAWoBtgJD+z6JlUSS89mHMQ0nliC/pMqgkQIm27YGNpDUkVwQBR+QPCBq4nGjigNwp4iISi1J1UEqXhPqghy8ZhUEWRB3dRFzIc25raciiCRtcipSPIjmHdSzNeWU4nnW/DWazd3ZYkT7B8/oHHkVCS5UR8/DLe2nEr7hJZypNe4ejyxtGjGs5JRwmDgCPpXn4JECOYJqz47rh4XJK/w5JdWmoI0CJa2E6UpSEVKaSYmKrdFqXgUmoIsqJ4OMR2x5ayMoSgRb0LTVTsuyY9gyTsVmslcl9iv0ZQlTjB/bKHpqh2X5EZ9/DDc2oRm+4SWcqTX+CyQxNqmqKiDgSPoX2gKEiGYJ6zQXPuzQEQHVOEHFC9erx7ucenUjuojPVB/1P99PD2q4+pFQo2jOyI9LNHFYSD7z+4E5r2lHdERIjgGvC62nuEhSkVEF1vP8BCl4lEXC7KgOmbMdCRwg56JylCUij9lbD/CQ5Ygwfd0Ko3VXEnZ7/2UJU6wgHxpbD/CQ5Yc9RHEkGvTxu0zWsqRXuNjmxNrX2VKHQwcQf/aWJAIwT6RtLHPY5tFB0jhBwivdU00dkRpEMwxXpA6NmoFqYgIUtuxzaJMPOpRQRZUZ4iYDW3UjQXmQ1Ei3tSo/cxmWX4EY9+pGE3n0sV+76UscYL1Y4tR+5nNstyojx+GW5sWbZ/QUo605yZLZaKn1WXmpKea9FbfZMkE3DQaX78mSybxBEe8kyZLJkRFgoiAV6vsd6v3Qah/o/onrcFBgL9b/bL65+o3PS3pX68+1Ur+0ULcP+jNT2DWk/cm/FT9rp5eh0E0iIIoHUzvywzrfymnPa/19fW9q7UmN+piE/05FJxAscn2Ti+Orx09rb/9UV2NAiv/Sb/e2a4PoO6ZywR22CsD2c9D0PptPalMoMgeHrySd/WkMjEiu3eW1ehMdJROHcz46efW6EKGbIQibanXNMrw2Z2Dg9HBTKWUk92ntKrMt/SHQn8IA/gQPg07EMAEhMtWYNQud/hEkVqE08YaDWYH9DbQfpOPFqlFqG2s2UUbq/36UT5qpCDpIoIBMhtDB41dPg2kvGhvabVgB9gbVyfCxmKPz0IRWaDXEYzs5gJYA/CIDxjpGNFhIMIMlWCGSjBDJZihEmmG9vkkkU6V3hibGE3QPT5SpGulNMZmF42x9utM+Ygp7pa1gBZRttv0lGwK3TTJtpud+QTYGIz5DJB+ltw6m20uQDXATnhg1zdvpqytszmNJ5ag/7yZIBHCVip2Z2QFeTPBAVL4AcJvT5ho7IjSIOwcE2Jpe95MkIrnvJkgE495M0EW1I17xGzANejG+RiKMvGZOItzE787svwI1r6LsHMRfObzPIv9slNZ4gTzh46Y0JO6L8uN+vxhuLUlztontJQjvcYNDsraSVtQBwNH0L8YFSRCME8kMbreDQ6CA6rwA4oXr7ZU13onukyDvyM6+ASfg5fcjt4JQSoiktvROyFIxaPmFmRB9fmY6cizQZ4aZ2QoysWb6k5UPkiM9Xh3ZAkS/FqnsruYqzT7/aeyxAkmkC277bO6L0uO+gxiyLXp7vYZLeVIT0+wOYniQB1G/eD/z97f9kp2XFfC4F9JNDAAVbcykeclzouA54NYThayWPfm5T03Z9CwjEa9AoIf2wPZftBjYACJlGQbsk2pZU97aFm01T2Pe9DzYEqiKJVIivwLef/C/JI5kfdmZtW5EXHW3nlWZLKbBlQusl641o44e6+IvXfsOnk+zvPq2fjR8yflOKkeP8qSosgfP79xsXF1d+YyxjeyJDyhy2EMjGB03c0kIvBPqO4GXrC5FsmtXltLtVajf38t/lqt7RRr96gmMLgJcKUcq7iKaRiBC8dVrP/imEmFomL9L+MwqcRTsUwW0ggKLEc+mbpPFXMqk3gadjqpnfwecPkJQsSQEjbZTOFMAmNVqcQF/k8vYX2Les7lJv3+EG49ChZY0IZH+ohfADe+9t+bZhyBMTCC8RUskYjAPaEKlv8CONMgBjcIrmddNGZUGgLvO4j6JFJhqU/fC+BMLhHlJ5GFNPwB65FMTObMAM6pTKLJz3rqmYn0gMtP4N8HlZ+bKZxJYKwqlbjAAarlp3dRz7ncpN8fwq1PfvYvaMMjHbnj13kp3grKNEiv6NI7eMevFnDXaXzpOn61xHOM+BAdv1qIRgQRgMfr+DVDdvza32x3ga04sVi+82pBRDKdBt6L9FRBSIogBrmQ3lVmfPObf+zaFTP1rgCbmgRSv6fbVwsUbEzChXyg21eLsSvSOd2+WnSS9iPAfnmRuiu452qEh+v2TTLb45vbH4z9obhps0vSYLevmiioQ4bt9lWjBXWIsNs32Q2tTQJDa9WoQTEyxOnFkrkzD9A41dMApcUe3b4t9tcXwt/tq2ZhhCzgfWQte7IF1gG80AMGAyN8BATcUGPdUGPdUGPdUAO6oXM9STCoDtftq0YKhlZBt2+yG4Pr/24v9Igl4Va1gbYn7LDradQUyN2+W7ezWQB/t6+aARhnpd2+iR2U63Y5Sx3Y402TFb5u3yST8UQJxk+TEYkIrlHRW5EIaTKiQQxuEPwqwkVjRqUhuCUWnJ39aTIilehpMiKXiGkyIgvpNT2wHsWkzp1+fE5lchRpMiY/gX8f4qC5PW5uBqsmgUm5VOICBwifkeBFPedyk35/CLe+NFn/gjY80kfcZ1D4+nvtxYjMGBjB+PKTSETgnlD5SekzIJrA4CbABefAWR2HUWZUowi89yDylUiFJV9zF5X7VCoR1SuRhTR6AsuRVBMzdSqBOZVKNPkaajJg8hPEh0Hl62ZcaxKYv0slLnCAavkaajJgcpN+gAi3Pvnav6ANj/QRP09TeNtkjdQYGMH48pVIROCeUPl6/M/TMA1qcIMKxLDieZrDVmW5DD+jGl4Qb3DB7X+ahkmFIrj9T9MwqUQU3EQW0ngPLEdl2uhV+BQ3kUs8xR14moZKUBDTBpXcmymwSWCuL5W4wAXqJXfgaRoqOek3iJDr09z9K9rwSB/x++SFt7G3kBoDIxhfcxOJCPyTSHNHfZ+caSCDGwjX0C4aMyoNgTvGFWngCphIhaJIve+TM5lEFKREFtJgCKxGlmaTyllUOqdSiaZHAw+UU/kJ3P2gcnQzCDYJTPalEhf4P7UcDTxQTuUm/QARbn1qtH9BGx7pyH2+zsjQ6ssySK/s0jt8n68ScNdpfPn6fJXEc4z4IH2+SohGBBGAx+vzzcV9vm8/+/ajP3o0On307Ud/8RffGq1+uj4trP9buwvk3/u9IquydHphzxbFm5e3CjHWh4rdxb3nWrk26+fOh27hHU1zex/trGqaqVe9G834fbxKoGDLEa7TQ328Soxgs9G+ClyJTtJYBNgvr4tJ4rvpVUI8YCOvHdub2LG9qR3bm27mZSbhsb1qoqDQGLiRV4sWFBrSRt7d2N4kMLZXjRpUG0McTyyZO/MAjVM9DVA77NPIuxvbm/SM7VWzMEIW8D6ylj3ZAusAXugBg5ERPuMBbqixbqixbqixbqgB3dC5niQYVQds5NUiBWOrpJF3N7bX/91e6BFL4q1qA22P0GHX06gpsBt5d2N7w27nUs8AjLPiRl47ttftcpY6sMebFiu9jbyVjCdKMH5ajEhEcE+KXnscIC1GNJDBDYTfPbhozKg0BNfCgsO0Py1GpBI5LUZkEjEtRmQhvZUHViPLy0mWOgte5lQuR5EXY/IT+PshDp7b4+dmzmsSGNxLJS5wgPCZCV7Ucy436ReIcOvLi/UvaMMjfcSdEaW3sbeWGgMjGF+OEokI3JNIjh53ZwTRoAY3KC5fD5GucpluRjWdIGLgkjnQ20CkQpHMgd4GIpWImpnIQhqxgeWok3RSl867kDmVSzTNHOxtYBIURKVBRfNmSGsSGLtLJS5wgWrRHOxtYJKTfoMIuT7V3L+iDY/0ET+HU/r6idPwBDeHMTCC0VUzk4jAP6GqmfEcDtMEBjcBrnNjVkgxjSNw47iS9V/+MqlQlKz/WRwmlXhKlslCGkWB5Ujq9mThvI6fU6nEE7L+Z3Go/ARxYkgdm25GtaaB2btU4gIHqNex/mdxqNykHyDCrUfGAgva8Egf8aPipa9FN02kxsAIxpexRCIC94TKWP6j4kyDGNwguKh10ZhRaQi87yDyk0iFJT99j4ozuUTUn0QW0vAHrEfrxXPndcScyiSa/Aw8Kk7lJ/Dvg8rPzajWNDB7l0pc4ADV8jPwqDiVm/T7Q7j1yc/+BW14pCP35DrXtBWUaZBe1aV38J5cLeCu0/jS9eRqiecY8SF6crUQjQgiAI/Uk2uvY21Jwc0Cfnyt+Veff71duOsb66sf2t83bmX+j+2rjatfXf3d1XfsFnhxs/C/an/2V50+3cBjjq8/zNgpa0inV99Pd4US52/Npu5a/Zl6ZcDuIIHc7umb1QIFO3xwMR3om9Vi7AplTt+sFp2kjwexX1ZPfC8kaiEerm82tQNwUzsAN7UDcNPN5Mk0PABXTRQUA8P2zarRgmJA2Deb7gbgpoEBuGrUoCIY4ghhydyZB2ic6mmA8X2Pvtl0NwA37RmAq2ZhhCzgfWQte7IF1gG80AMGIyN8DgPcUGPdUGPdUGPdUAO6oXM9STCqDtc3q0YKxlZB32y6G4Dr/24v9Igl8Va1gbbH3LDradQUyH2z6W4AbtjtXOoZgHFW2jeb2gG4bpez1IE93lxV5eubTTMZT5Rg/FwVkYjgLhO9moiQqyIaxOAGwe8DXDRmVBqCq1rB4dmfqyJSiZ6rInKJmKsispDelQPrkU6mtXM95lQmR5GrYvIT+PchDprb4+ZmXmoaGIBLJS5wgPAZCV7Ucy436feHcOvLVfUvaMMjfV3xb8yz9PEzM66fPE7G+WOTjqv8aTrO6yxP0ip5UtUHqPivfH2yaS41BkYwvvwkEhG4J1R+AhX/VmImmU1c2BTai/XrLe+6yN+jkjc4+b2lJpGGwNMOIjWJVFhSM3dRuU+lElFpEllIIx2wHKb12c4s5ZzKJJrSzNuIlLn4PeDyE7jyQZXmZrRpGphVSyUu8H9qpeld1HMuN+n3h3DrU5r9C9rwSK+V5tM8LU1ZJuMsfVKNk+TZs/GjZJqOnyZFkTx6Mn38uL7Z7XGVpnMHtErTSI2BEYyvNIlEBO4JVZqdF1m8dVbXF52vvMAyau6nSZJOr98Uyd68HK3fVqmNfSHE9zCLy2T3qCYzuMlwfXpshUlE+wkCAy6M/Q+vMKlQhLH/4RUmlYjCmMhCGpiB5UhNOZkmnodXmFyiSeOkrifu1xgfcAkKgs+g2ngzgjQNDJWlEhe4QLU29q/qOZec9BtEyPWJ4/4VbXikj/j17MrbsVpIjYERjC+OiUQE/kkkjqO+ns00kMENhEthF40ZlYbAHeOKNHBVS6RCUaTe17OZTCIKUiILaTAEVqMuJ2XpDOxzKpV4etT/eDaVn8DdDypHNzNI08BQWSpxgf/Ty1H/49lUbtIPEOHWp0b7F7ThkW7/7w/WKuzmc7Uq8/dDsnPgjlZnCXkrOMsAX5Pc4hupozWdejtalYC7XoTT0fr56hN7/7lO6b9//S8+tXn9dafqyN67/uaVhP+6o/WlLTjd/qlWcn5mb1//0+rDG+Ep7or9VQtleje1b961f4HvBu6e2pI5ZslBWmSVEI0IohLeTA2v69j37xN1v2/4lhoh2MqCa9VQg6gSI9jEsq8KVaKTNKwA9nPabq5GR+kNdZSSOGE/0MMGg6S80zMpjPHAfVsPF4yS0lbP3YjUNDAiVY0aDJUisY3ujVM9bDAu9bd2oljP9FiNECu8O6z9TrbAOoAXesBgyNKfQ6Z5MTGZC/W5HjUYxmQdmQFX8Y4eKhjNJC2Zu1GmfjdxoUcsiXCaLeH77Bo15GFaMFGcl3qcYJgTN1raAaVu17DUgV2jrR89rqfTbGwe59k4rx+V4+rxI1uwVBRp+0fzp+Wzaz7es27g9K8+73obLSsZT5Sg61Qc4CU5GbuIvEklIrhzQ0/MH1znU3aH1W2uhZRgIZrH4ObZ+4xJpCG4YBScRf0JFiIVSoLFl14h8oiYXiGykN7uAmvhOwATWcTMrNS+Qh8mP4GXFx32+jIrmymWaWAsKZW4wPHpTzS+RT3ncpN+ewi3vsxK/4I2PNL/9+vz05Py0dPq+Th5/Khof29dj6usMOOnaZqU7V+UPHp+s9vjilDnvWwrQmupMTCC8UUokYjAPeEi9PYI0hfXmZpNBuXFqP1dNm1jy+WtAP3cMYJ0NH51nObNENI6Sdvtenb9j9l0esf+r/JPIGXazuC221uhEmkIHLVAoXqzJUQmFIGaTKY+jUqkElGjEllI4ySwHD6NSmQRTaNWuZnclOreFqlMgoIoMKhI3QyNTANjQKnEBb5PLVL9q3rOJSf9+hByfSq1f0UbHum1Sn2S1ln7rx+Pn9bZk3Gep/m4SqfT8bPkcV0/LpOifHYQlZq5jPGNLAsNk3IaAyMYXaUyiQj8E6pSwUdBpnnf8EuXNe5RrWFwa+yrO5k0BL5XoDu9N6NMKhThOfVEjftUKvGEJ5OFNPQhy+FiMaeyiCY883avOQ85D7j8BH59SN2ZbaY8ZoGxnVTiAt+n1p3eRT3ncpN+ewi3HtkJLGjDI33ETyHXvibILJEaAyMYX3YSiQjcEyo7+U8hMw1icIPsrTyJNATedxDlSaRCUp6+l5CZVCIqTyILafRDlsPFYk5lEU15VtWk8hSwU/kJXPugynMz4DELTOykEhf4PrXy9C7qOZeb9NtDuPUpz/4FbXik407sLJxr2mrJNECvyOsuvYP3N2oBd53GV/2NWkvmmCWH6G/UQjQiiAA86yDujrLR1d+2Vn6x+vXq5WTUavuXqy++bssh/mXsrGSaqQmA7SQChevL6WsRdsUrswNSixHsGdlXkSrRSfpDAPtl5XRSuxDO1QijdEEm03w6KTzlnWrkYDQduBFSDRcMp8JGyGw38zILzLxUowZjqkiE39rWlamr6aR0bu1TPXYwism7IYskq7J6YjwtkWrARggY3ifWiCdbYB3ACz1gMIapTyprx+GeRH+uRw3GNVlLZJpXqWdHvKOHCoY3QUtktptS6XcYF3rEkpCn2RLWWZj2wOPcyo0aN6cvsk6npa2ANi6wl3qwYOiTNkdmdgql20ksdWCPNvVSeE6f7XE5k/FECcZPvRCJCO7n0ON2hNQL0SAGNwh+JHXRmFFpCK4fBQdTf+qFSCV26oVIJWLqhchCev0LLEd7Tisy54LMqVSOIv/C5Cfw76KjX1/+ZTO0MAtMoaQSFzhA9akmlH9hcpN+gAi3vvxL/4I2PNLHW3Deyk+nzG7lZy41BkYwvvwkEhG4J1R+sgvOidYwuDX21p5EGgLXO4j2JFIhaU9vwTmRSkTtSWQhDX3ActTppHQvyJxKJZr2DFWdM/kJnPug2nMzxjALzKWkEhc4QLX2DFWdM7lJP0CEW5/27F/Qhkf6eJ/kaLVn5jJGqz2N1BgYwfjak0hE4J5Q7XlUT3IwbWdw2+FK9RXzvVY51ZlNuTHgjfl20ya3JnpleuUrZtwZ2DG48saedrrlZ+0v2bvrT6/+2g4ZbVesuv63r0++nLisPqNaXRBXBMLaW21EZELR1f4XRJhUIupqIgtpWAeWI6uLSVU4I9ScyiWasF6/OOGrhmISFISuQZX1ZgZiFphqSSUu8IBqZR16R4RKTvoNIuT6pHX/ijY80sf75HIrrXOXMVppXUiNgRGML62JRAT+CZfWcZ9cZprH4ObB1bOLxoxKQ+CMBXLUf89LpELRoz4xSuQRUYwSWUgDIbAWqWnVqE+LEqlE06JJ4SmlfMDlJ3D1g0rRzQDELDDRkkpc4P3UUtQuqrO68ZzLTfoBItz6lGj/gjY80pEbPH0Vq2WInpl26R2+wVMJuOs0vmrw1Foyxyw5SIOnEqIRQQTgrWX7z1b/Ytfk363+rRX1VtH/rF2m/776h1F7MHi3NfvH9h795ojw8fVd7y/sL1390P6p9e8aJfVkmrbbOy0mN52h6///ZbqEHr1e7/L1dcHLuqjlN2vU92YjW7HVgeKteRlNc9fiz9SLDzYWCc4H3utqJcKu9Kc2xyoxgt1D+0p6JTpJpxBgv3o6qZxHp7kaIaU59pagmb81u7hYXNxImmZ5+kYrQau77Q91+0M+tT8kX7NxwDKxKufu1Cl0HuiJgsJl6F5aLVxQuUh7aXdDRbPAUFE1alC+DHHesWTuzAM0TvU0QO3Q31brwW5h33l9IXwszvQsjJAFvI+sZU+2wDqAF3rAYEiED42AH2qsH2qsH2qsH2pAP3SuJwlG1SFbc7VQweAqac3dTSv1f7gXesSSgKvaQdtDedj3NGoKw3Tp9vudzQL4GFzqGYCRVty6a+eaun3OUgf2eJNsibd1NzRfy8ETJRg/yUYkIrh5RS9SoifZiOYxuHnwqwcXjRmVhuCaWXCI9ifZiFSiJtmIPCIm2YgspHf8wFoUWTGZOh//mVOpxEyyZc5HbB5w+Qlc/RCHzu3RczMLMwsMN6USF3g/+LwEL+o5l5v0A0S49SXZ+he04ZE+4k6KxNvFW0uNgRGMr0SJRATuCVeix9RJQbSdwW2Hy1RhEuvwaSyX3WdUuwsii0BXe5NTRCYUWR3opSBSiaisiSykgR1YjrqcpJnzsmROpRJNWVd2cmPuIviAS1AQuwaV1psBnllgJCuVuMABqqW1f1XPueSknyBCrk9b969owyN9xC/kJL4u5Tw0KMxpDIxgdG3NJCLwT6i2Jr+Qw7SGwa2Bq2UXjRmVhsD3CsSn91KXSYWiPv0v5DCpxFOfTBbS0AcsR5pOysR5RTanUommPvPppPaITyo/gXMfUnzmmzGeeWAuK5W4wAGqxad3Uc+53KQfIMKtR3sCC9rwSB/x4+CJr403D40KcxoDIxhfexKJCNwTqj35j4MzDWJwg+wtP4k0BN53EPlJpEKSn77HwZlUIspPIgtp9AOWI2kdue/yk0klmvys2/OOp6yAyk/g3weVn5tZnnlgOCuVuMABquWnd1HPudykHyDCrU9+9i9owyPd/t8f3L1WXb8fkpcD9/B6CgbyNEDTJLdalOP18DoBv6kG3HUe/+P28NpWUaSHV2vJHLPkED28WohGBFEJb6aGB7bUCMSsL5GvRQj2w+AaNdBlqsUINsLsKz6V6Lpxbc8uU6ft5mp0lA7T2+cS95I/0MMGg6S8XzQtK3+/qBouGCWF/aL5bvZqHpi9qkYNhkqRxkb3xqkeNhiX+vtDUaxneqxGiBXeHdZ+J1tgHcALPWAwZKmPH+m0yCe108znetRgGBO2dfpdxTt6qGA0E7R15ruJq343caFHLIlwmi3h++waNeRh2jhRnJd6nGCYkzZr5nbOqts1LHVgLdrH9VPzKM+qcfooqcd5UT0fPza2nL7Iq6dPk6dPU3Ozub1n3cChX33e9TVr5pmMJ0rQdSoO8JKcjF1E3qQSEVy1oSfmD7s9mvZUu+7fvMmTDN+vybSQwS209zGTSENwtSg4jvpzK0QqlNyKp9PmPpVJxNQKkYX0ZhdYDd8pmMgiWlYlKSZ14eL3gMtP4OpFJ76+rMpmQmceGLlKJS5wfepjjXdRz7ncpN8ewq0vq9K/oA2P9FqJZmn6/GmV5+OiKM04L009fvS0TMZm2v7eR8+LaWmr++MrUWcIaZVoLjUGRjC+EiUSEbgnVIm6mjVfWoH5auvhbE1m9O8Xy4vRvcXDxcWNSv3390Z1dv3TYjq9Y/+XTP29mEzTGNw0e0tQIg2BHxZIUG9GhMgksgIlMomoQIkspFEQWA2fAiWyiKZA02maeDoZHnAZCpz8oBp0M6kzD4xepRIX+L49NGiVTzLf1TqTnfT7Q9j1qdD+JW14pI+4rTH1tjUaqTEwgvFVKJGIwEGhKpTd1ki0hsGtsbfwJNIQOF+B8PTffRKpUJRnoK2RSCWi9CSykIY+ZDlcLOZUFtGkp3c8/AMuP4FfH1R4buZY5oHJpFTiAt+nFp7eRT3ncpN+ewi3PtnZv6ANj/QRdzSm3o7GQmoMjGB82UkkInBPqOyM0NFINIjBDbK38iTSEHjfQZQnkQpJeXo7GolUIipPIgtp9EOWw8ViTmURTXlW1aTyVakz+Qlc+6DKczO3Mg8MIqUSF/g+tfL0Luo5l5v020O49SnP/gVteKQjDyL1XWGWAXqFSbr0Dt/EqATcdRpfNTFqLZljlhykiVEJ0YggKuHN1PC6fpzYxKhECHZ/4LI01MSoxAi2feyrN5XoJC0egP18OlKJ7tBNjFrYYJAcuolRCxeMktImxt3Qyzww9FKNGgyVIm2N7o1TPWwwLg3axKjFaoRY4d1h7XeyBdYBvNADBkOW+tiRTk0+KX0HDy1qMIwN2cSohQpGM0kT4242pd9NXOgRSyKcZksEmhiVkKM3MWpxgmFO3MRoJ066XcNSB/Z4syeZt4mxkvFECcbPnhCJCK7Y0BNzhOwJ0SAGN8jep0oiDcENouD06c+eEKl0Y3uACn5MDWRPiFQiZk+ILKQ3uMhyuFjMqSyOInvC5Cdw7aITXl/2ZDOQMA9MmKQSF/g+9TEmlD1hcpN+ewi3vuxJ/4I2PNJHXC6eeZsWa6kxMILxlSeRiMA9ocqTXS5OtIbBrbG37CTSELjeQWQnkQpJdnrLxYlUIspOIgtp6EOWw8ViTmURTXaGysWZ/AR+fVDZuZnVlwemL1KJC3yfWnaGysWZ3KTfHsKtT3b2L2jDI33Eb2Vkvi5FM5UaAyMYXXYyiQjcEyo7Y76VwTSNwU2zrwZl0hD4YYEG9RXeMJlQJKj3rQwmk3gKlMlCGgWB1fAoUCaLaAo0+FYGlaHAyQ+pQc1mZp8JDGGkEhf4PrUGbSWS8V5+UtlJvz+EXY8KBZa04ZE+4reDM1/TogkPBXIYAyMYX4USiQgcFKpCD/B2MNNCBrfQ3mKUSEPgkAVi1HshyqQSWY0SmURUo0QW0mgIrIZPjRJZRFOjgbeDqfwErn5QLboZ4GcCExmpxAWubw8t6n07mMpN+u0h3PqUaP+CNjzSkZsYfdoyDdJLu/QO3sSoBdx1Gl81MWotmWOWHKKJUQvRiCAq4c3U8MCOEIF89d6lKhGC3R8SVeptYtRi7GpOThOjFp2kxQOwn09HKtEduIlRDRsMkgM3MarhglFS2MRodpMYTWASoxo1GCpF2hrdG6d62GBcGrKJUY3VCLHCu8Pa72QLrAN4oQcMhiz9saOup5Myd6E+16MGw9iATYxqqGA0EzQxmt0kRr+buNAjlkQ4zZbwNzFqIcduYlTjBMOctInR2EmMbtew1IE93mxK7mtiNJmMJ0owfjaFSERwxYaemA+RTSFayOAW2vuYSaQhuFIUHEf92RQilcjZFCKTiNkUIgvpjS6wGr5TMJHFUWRTmPwErl504uvLpmwG95nAJEYqcYHr0x9rAtkUJjfpt4dw68um9C9owyN9xNXlua+p0eRSY2AE4ytRIhGBe0KVaNTqcqJpDG6avSUokYbADwskqDcjQmQSWYESmURUoEQW0igIrIZPgRJZRFOg4epyJkOBkx9Ug27G9pnAJEYqcYHv20ODpunE+KrLmeyk3x/Crk+F9i9pwyN9xE9r5N4eRyM1BkYwvgolEhE4KFSFkp/WYFrD4NbYW3gSaQicr0B4+u8+iVQoytP/tAaTSkTpSWQhDX3IcrhYzKksoknPwNMaVH4Cvz6o8NwM7jOBSYxU4gLfpxaegac1qNyk3x7CrU929i9owyN9xG8J596mxkJqDIxgfNlJJCJwT6js5L8lzDSIwQ2yt/Ik0hB430GUJ5EKSXn63hJmUomoPIkspNEPWQ4XizmVRTTlGXhLmMpP4NoHVZ6bwX0mMImRSlzg+9TKM/CWMJWb9NtDuPUpz/4FbXikIzcxGhe9VkuWQXpZl97hmxiVgLtO46smRq0lc8ySgzQxKiEaEUQlvJkaXtePE5sYlQjB7g9cloaaGJUYwbaPffWmEp2kxQOwn09HKtEduolRCxsMkkM3MWrhglFS2sS4m8RoApMY1ajBUCnS1ujeONXDBuPSoE2MWqxGiBXeHdZ+J1tgHcALPWAwZKmPHem0NJPcV++rRQ2GsSGbGLVQwWgmaWLcTWL0u4kLPWJJhNNsiUAToxJy9CZGLU4wzImbGO0kRrdrWOrAHm/2xHibGCsZT5Rg/OwJkYjgig09MUfInhANYnCD7H2qJNIQ3CAKTp/+7AmRSje2B6jgx9RA9oRIJWL2hMhCeoOLLIeLxZzK4iiyJ0x+AtcuOuH1ZU82g/tMYBIjlbjA96mPMaHsCZOb9NtDuPVlT/oXtOGRPuJyceNtWqylxsAIxleeRCIC94QqT3a5ONEaBrfG3rKTSEPgegeRnUQqJNnpLRcnUokoO4kspKEPWQ4XizmVRTTZGSoXZ/IT+PVBZedmcJ8JTGKkEhf4PrXsDJWLM7lJvz2EW5/s7F/Qhkf6iN/KML4uxWIqNQZGMLrsZBIRuCdUdsZ8K4NpGoObZl8NyqQh8MMCDeorvGEyoUhQ71sZTCbxFCiThTQKAqvhUaBMFtEUaPCtDCpDgZMfUoMWm7F9RWASI5W4wPepNWhS1K0a8Vx+UtlJvz+EXY8KBZa04ZE+4reDja9psQgPA3IYAyMYX4USiQgcFKpCD/B2MNNCBrfQ3mKUSEPgkAVi1HshyqQSWY0SmURUo0QW0mgIrIZPjRJZRFOjgbeDqfwErn5QLboZ3FcEJjFSiQtc3x5a1Pt2MJWb9NtDuPUp0f4FbXikIzcxOte01ZZpkF7epXfwJkYt4K7T+KqJUWvJHLPkEE2MWohGBFEJb6aGB3aECOSr9y5ViRDs/pCoUm8ToxZjV3Nymhi16CQtHoD9fDpSie7ATYxq2GCQHLiJUQ0XjJLCJsZiN4mxCExiVKMGQ6VIW6N741QPG4xLQzYxqrEaIVZ4d1j7nWyBdQAv9IDBkKU+dqRteJhUTtTnetRgGBuwiVENFYxmgibGYjeJ0e8mLvSIJRFOsyX8TYxayLGbGNU4wTAnbWIs7CRGt2tY6sAebzal8DUxFpmMJ0owfjaFSERwxYaemA+RTSFayOAW2vuYSaQhuFIUHEf92RQilcjZFCKTiNkUIgvpjS6wGr5TMJHFUWRTmPwErl504uvLpmwG9xWBSYxU4gLXpz7WhLIpTG7Sbw/h1pdN6V/Qhkf6iKvLC19TY5FLjYERjK9EiUQE7glVolGry4mmMbhp9pagRBoCPyyQoN6MCJFJZAVKZBJRgRJZSKMgsBo+BUpkEU2BhqvLmQwFTn5QDboZ21cEJjFSiQt83x4aNJtOal91OZOd9PtD2PWp0P4lbXikj/hpjcLb42ikxsAIxlehRCICB4WqUPLTGkxrGNwaewtPIg2B8xUIT//dJ5EKRXn6n9ZgUokoPYkspKEPWQ4XizmVRTTpGXhag8pP4NcHFZ6bwX1FYBIjlbjA96mFZ+BpDSo36beHcOuTnf0L2vBIH/FbwoW3qbGQGgMjGF92EokI3BMqO/lvCTMNYnCD7K08iTQE3ncQ5UmkQlKevreEmVQiKk8iC2n0Q5bDxWJOZRFNeQbeEqbyE7j2QZXnZnBfEZjESCUu8H1q5Rl4S5jKTfrtIdz6lGf/gjY80pGbGJ2niVZLlkF6pkvv8E2MSsBdp/FVE6PWkjlmyUGaGJUQjQiiEt5MDa/rx4lNjEqEYPcHLktDTYxKjGDbx756U4lO0uIB2M+nI5XoDt3EqIUNBsmhmxi1cMEoKW1i3E1iLAKTGNWowVAp0tbo3jjVwwbj0qBNjFqsRogV3h3WfidbYB3ACz1gMGSpjx3hJkYtajCMDdnEqIUKRjNJE+NuEqPfTVzoEUsinGZLBJoYlZCjNzFqcYJhTtzEaCcxul3DUgf2eLMnpbeJsZLxRAnGz54QiQiu2NATc4TsCdEgBjfI3qdKIg3BDaLg9OnPnhCpdGN7gAp+TA1kT4hUImZPiCykN7jIcrhYzKksjiJ7wuQncO2iE15f9mQzuK8ITGKkEhf4PvUxJpQ9YXKTfnsIt77sSf+CNjzSR1wuXnqbFmupMTCC8ZUnkYjAPaHKk10uTrSGwa2xt+wk0hC43kFkJ5EKSXZ6y8WJVCLKTiILaehDlsPFYk5lEU12hsrFmfwEfn1Q2bkZ3FcEJjFSiQt8n1p2hsrFmdyk3x7CrU929i9owyN9xG9llL4uxXIqNQZGMLrsZBIRuCdUdsZ8K4NpGoObZl8NyqQh8MMCDeorvGEyoUhQ71sZTCbxFCiThTQKAqvhUaBMFtEUaPCtDCpDgZMfUoOWm7F9ZWASI5W4wPepNWjwrQwqO+n3h7DrUaHAkjY80kf8dnDpa1osw8OAHMbACMZXoUQiAgeFqtADvB3MtJDBLbS3GCXSEDhkgRj1XogyqURWo0QmEdUokYU0GgKr4VOjRBbR1Gjg7WAqP4GrH1SLbgb3lYFJjFTiAte3hxb1vh1M5Sb99hBufUq0f0EbHunITYyVi16rLdMgvaJL7+BNjFrAXafxVROj1pI5Zskhmhi1EI0IIgDPOoi7o2x09betlV+sfr16ORm1ev7l6ouvj9ql/Zexs2J6piYA9owIBK73tlWJEOwPkehWb5ujFmNXlXLaHLXoJE0giP2SLJ0YF8S5GmKUXse0DZGTNHchf6BHDobTgdsd1XDBeCpsdyx3MxvLwMxGNWowqIpU+G171yatEk9x6KkePBjH5E2PWWLyadJ+jE7EZ3rERogY3inWiidbYB3ACz1gMIypDyvptMgmVe1Cfa5HDYY2WetjnpSlZ0e8o4cKRjhB62O5m9/odxkXesSSqKfaEllWZsZMcmdJR6MGzmmAzMssmSbVpDQutJd6tGD4k7ZBlnaWo9tNLHVgjzcfU/naIMtMxhMlGD8fQyQiuKRDz9yHyMcQLWRwC+EHVReNGZWG4FJScFz152OIVCLnY4hMIuZjiCykd8LIamTGKRfn</t>
  </si>
  <si>
    <t>ТЕХНИКО-КОММЕРЧЕСКОЕ ПРЕДЛОЖЕНИЕ (ТКП)</t>
  </si>
  <si>
    <t>г. Москва, Кронштадтский б-р, вл. 14, БНК на 300 мест, ДОО на 150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</si>
  <si>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</si>
  <si>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</si>
  <si>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</si>
  <si>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</si>
  <si>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</si>
  <si>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</si>
  <si>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</si>
  <si>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</si>
  <si>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1. Встроенное и Встроенно-пристроенное СКБ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</si>
  <si>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</si>
  <si>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</si>
  <si>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</si>
  <si>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</si>
  <si>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</si>
  <si>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</si>
  <si>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</si>
  <si>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</si>
  <si>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</si>
  <si>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</si>
  <si>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</si>
  <si>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</si>
  <si>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</si>
  <si>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</si>
  <si>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</si>
  <si>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</si>
  <si>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</si>
  <si>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</si>
  <si>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(подвал, 1-3 этажи)</t>
  </si>
  <si>
    <t>1.1.1.1.1.1.2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</si>
  <si>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для отделки стен. ММП, Спортзал, Библиотека, ЛК потолки.</t>
  </si>
  <si>
    <t>1.1.2</t>
  </si>
  <si>
    <t>6.2</t>
  </si>
  <si>
    <t>СМР корпуса без отделки</t>
  </si>
  <si>
    <t>1.1.2.1</t>
  </si>
  <si>
    <t>6.2.2</t>
  </si>
  <si>
    <t>СМР надземной части корпуса (без отделки)</t>
  </si>
  <si>
    <t>1.1.2.1.1</t>
  </si>
  <si>
    <t>6.2.2.4</t>
  </si>
  <si>
    <t>Внутренние стены и перегородки</t>
  </si>
  <si>
    <t>1.1.2.1.1.1</t>
  </si>
  <si>
    <t>6.2.2.4.2</t>
  </si>
  <si>
    <t>Устройство перегородок</t>
  </si>
  <si>
    <t>1.1.2.1.1.1.1</t>
  </si>
  <si>
    <t>6.2.2.4.2.4</t>
  </si>
  <si>
    <t>Устройство перегородок и зашивка коммуникаций ГКЛ</t>
  </si>
  <si>
    <t>1.1.2.1.1.1.1.1</t>
  </si>
  <si>
    <t>6.2.2.4.2.4.1.3</t>
  </si>
  <si>
    <t>Устройство перегородок на металлическом каркасе по системе Knauf / С-115.1 / А2-16</t>
  </si>
  <si>
    <t>1.1.2.1.1.1.1.1.1</t>
  </si>
  <si>
    <t>Прочие материалы для перегородок из ГКЛ (лента, шпатлевка, грунтовка, шуруп, дюбель и пр.) / двойной каркас / 2 слоя облицовки</t>
  </si>
  <si>
    <t>комплект</t>
  </si>
  <si>
    <t>1.1.2.1.1.1.1.1.2</t>
  </si>
  <si>
    <t>Лист гипсокартонный_ / ГСП-А ПЛУК / 12,5 мм</t>
  </si>
  <si>
    <t>1.1.2.1.1.1.1.1.3</t>
  </si>
  <si>
    <t>Профиль_/стоечный/50*50*0,60/3м</t>
  </si>
  <si>
    <t>пог. м</t>
  </si>
  <si>
    <t>1.1.2.1.1.1.1.1.4</t>
  </si>
  <si>
    <t>Профиль_/направляющий/50*40*0,60/3м</t>
  </si>
  <si>
    <t>1.1.2.1.1.1.1.2</t>
  </si>
  <si>
    <t>1.1.2.1.1.1.1.2.1</t>
  </si>
  <si>
    <t>1.1.2.1.1.1.1.2.2</t>
  </si>
  <si>
    <t>1.1.2.1.1.1.1.2.3</t>
  </si>
  <si>
    <t>Гипсовые строительные плиты_ / влагостойкий / 12,5*1200*2500</t>
  </si>
  <si>
    <t>1.1.2.1.1.1.1.2.4</t>
  </si>
  <si>
    <t>1.1.2.1.1.1.1.3</t>
  </si>
  <si>
    <t>1, 2, 3 этажи. Тип: WD8. Перегородка ГKЛ тип С112 по серии Knauf толщиной 75мм. Двуслойная обшивка из КНАУФ-листов ГСП-А 12.5мм с одной стороны на одинарном металлическом каркасе из профиля ПН 50х40/ПС 50х50 Knauf.</t>
  </si>
  <si>
    <t>1.1.2.1.1.1.1.3.1</t>
  </si>
  <si>
    <t>1.1.2.1.1.1.1.3.2</t>
  </si>
  <si>
    <t>1.1.2.1.1.1.1.3.3</t>
  </si>
  <si>
    <t>1.1.2.1.1.1.1.3.4</t>
  </si>
  <si>
    <t>1.1.2.1.1.1.1.4</t>
  </si>
  <si>
    <t xml:space="preserve">1, 2, 3 этажи. Тип: WD10. Перегородка с однослойными обшивками из КНАУФ-листов на одинарном металлическом каркасе С111 (Профиль ПС 50х50 мм., плита КНАУФ-Файерборд с обеих сторон толщиной 12,5 мм.) Минераловатный утеплитель, толщ. 50мм.
</t>
  </si>
  <si>
    <t>1.1.2.1.1.1.1.4.1</t>
  </si>
  <si>
    <t>1.1.2.1.1.1.1.4.2</t>
  </si>
  <si>
    <t>1.1.2.1.1.1.1.4.3</t>
  </si>
  <si>
    <t>Плита КНАУФ-Файерборд</t>
  </si>
  <si>
    <t>1.1.2.1.1.1.1.4.4</t>
  </si>
  <si>
    <t>1.1.2.1.1.1.1.5</t>
  </si>
  <si>
    <t>6.2.2.4.2.4.2.3</t>
  </si>
  <si>
    <t>Облицовка стен по системе Knauf / С-625 / в 1 слой / А-13, А-23</t>
  </si>
  <si>
    <t>Выгружается из БО по объектам BIM-КЦ</t>
  </si>
  <si>
    <t>1.1.2.1.1.1.1.5.1</t>
  </si>
  <si>
    <t>Прочие материалы для облицовки стен из ГКЛ (лента, шпатлевка, грунтовка, шуруп, дюбель и пр.)_ / 1 слой ГКЛ / профиль ПН/ПС 75 мм</t>
  </si>
  <si>
    <t>1.1.2.1.1.1.1.5.2</t>
  </si>
  <si>
    <t>Лист гипсокартонный_ / ГСП-Н2 ПЛУК / 12,5 мм</t>
  </si>
  <si>
    <t>1.1.2.1.1.1.1.5.3</t>
  </si>
  <si>
    <t>1.1.2.1.1.1.1.5.4</t>
  </si>
  <si>
    <t>Профиль_/направляющий/50*50*0,40/3м</t>
  </si>
  <si>
    <t>1.1.2.1.1.1.1.6</t>
  </si>
  <si>
    <t>1, 2, 3 этажи. Тип: WD11 Однослойная облицовка из гипсокартона на КНАУФ-профиле, отнесенном от базовой стены С 625(Профиль ПС 50х50 мм., плита КНАУФ-ГКЛ с одной стороны толщиной 12,5 мм)</t>
  </si>
  <si>
    <t>1.1.2.1.1.1.1.6.1</t>
  </si>
  <si>
    <t>1.1.2.1.1.1.1.6.2</t>
  </si>
  <si>
    <t>1.1.2.1.1.1.1.6.3</t>
  </si>
  <si>
    <t>Лист гипсоволокнистый ГВЛВ 12,5мм Г1</t>
  </si>
  <si>
    <t>1.1.2.1.1.1.1.6.4</t>
  </si>
  <si>
    <t>1.1.2.1.1.1.1.7</t>
  </si>
  <si>
    <t>6.2.2.4.2.4.2.4</t>
  </si>
  <si>
    <t>Облицовка стен по системе Knauf / С-626 / в 2 слоя / А-10, А-27</t>
  </si>
  <si>
    <t>1.1.2.1.1.1.1.7.1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</si>
  <si>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</si>
  <si>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1.1.2.1.1.1.1.7.2</t>
  </si>
  <si>
    <t>1.1.2.1.1.1.1.7.3</t>
  </si>
  <si>
    <t>1.1.2.1.1.1.1.7.4</t>
  </si>
  <si>
    <t>1.1.2.1.1.1.1.8</t>
  </si>
  <si>
    <t>1, 2, 3 этажи. Тип: WD2 Зашивка приборов отопления ГВЛВ. Двуслойная обшивка из КНАУФ-листов 12.5мм с одной стороны на одинарном металлическом каркасе.</t>
  </si>
  <si>
    <t>1.1.2.1.1.1.1.8.1</t>
  </si>
  <si>
    <t>1.1.2.1.1.1.1.8.2</t>
  </si>
  <si>
    <t>1.1.2.1.1.1.1.8.3</t>
  </si>
  <si>
    <t>1.1.2.1.1.1.1.8.4</t>
  </si>
  <si>
    <t>кг</t>
  </si>
  <si>
    <t>Смесь цементно-песчаная сухая_/М150</t>
  </si>
  <si>
    <t>м3</t>
  </si>
  <si>
    <t>Грунтовка _ / универсальная водно-дисперсионная</t>
  </si>
  <si>
    <t>шт</t>
  </si>
  <si>
    <t>Грунтовка универсальный ЛАСТИМИН_ / LP-51 А</t>
  </si>
  <si>
    <t>Затирка Цезерит СE33_/04 серебристо-серый</t>
  </si>
  <si>
    <t>Керамогранит Kerama Marazzi Колиано, арт. SG912900N, цвет серый светлый, размер 300*300 мм, толщина 8мм, матовый.</t>
  </si>
  <si>
    <t>Плиточный клей_ /  Унифицированный по ПИК-СТАНДАРТ</t>
  </si>
  <si>
    <t>Керамогранит Грани Таганая Профи, арт. GT085М, цвет голубой, размер 600*600 мм, толщина 10мм, матовый.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</si>
  <si>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</si>
  <si>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</si>
  <si>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</si>
  <si>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</si>
  <si>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</si>
  <si>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</si>
  <si>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</si>
  <si>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</si>
  <si>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</si>
  <si>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АРОР "Черновые отделочные работы" от 19.02.2026. Монтаж сетки стеклотканой на швах сопряжения бетонных и других поверхностей стен, перегородок (газобетон, ПГП, кирпич) и углах 20% от площади поверхности (ширина полос проклейки 150+150=300мм - ЖАН).</t>
  </si>
  <si>
    <t>1.1.3.1.1.2.1.1.1</t>
  </si>
  <si>
    <t>Шпатлевка гипсовая_ / белая / Унифицированная по ПИК-СТАНДАРТ, 30кг</t>
  </si>
  <si>
    <t>1.1.3.1.1.2.1.1.2</t>
  </si>
  <si>
    <t>Лента армирующая ( серпянка)_/150мм</t>
  </si>
  <si>
    <t>Ширина ленты 300 мм (по КЦ 150мм х2)</t>
  </si>
  <si>
    <t>1.1.3.1.1.2.1.2</t>
  </si>
  <si>
    <t>6.3.1.5.2.1.6.1</t>
  </si>
  <si>
    <t>Заделка отверстий в стенах в местах прохода коммуникаций / до 150 см2</t>
  </si>
  <si>
    <t>1.1.3.1.1.2.1.2.1</t>
  </si>
  <si>
    <t>Плита минераловатная_ / Урса П-30</t>
  </si>
  <si>
    <t>1.1.3.1.1.2.1.2.2</t>
  </si>
  <si>
    <t>1.1.3.1.1.2.1.3</t>
  </si>
  <si>
    <t>Подвал, 1, 2, 3 этажи.</t>
  </si>
  <si>
    <t>1.1.3.1.1.2.1.3.1</t>
  </si>
  <si>
    <t>1.1.3.1.1.2.1.3.2</t>
  </si>
  <si>
    <t>1.1.3.1.1.2.1.4</t>
  </si>
  <si>
    <t>6.3.1.5.2.1.8.5</t>
  </si>
  <si>
    <t>АРОР "Черновые отделочные работы" от 19.02.2026. Подвал. Грунтовка, шпатлевка на цементной основе стен, колонн и простенков шириной до 500 мм. Базовый слой 2 мм</t>
  </si>
  <si>
    <t>1.1.3.1.1.2.1.4.1</t>
  </si>
  <si>
    <t>Шпатлевка цементная</t>
  </si>
  <si>
    <t>1.1.3.1.1.2.1.4.2</t>
  </si>
  <si>
    <t>Уголок малярный_ / L=3м /25х25 мм</t>
  </si>
  <si>
    <t>1.1.3.1.1.2.1.4.3</t>
  </si>
  <si>
    <t>1.1.3.1.1.2.1.5</t>
  </si>
  <si>
    <t>АРОР "Черновые отделочные работы" от 19.02.2026. Подвал. Грунтовка, шпатлевка на цементной основе стен, колонн и простенков шириной до 500 мм. Финишный слой 2 мм</t>
  </si>
  <si>
    <t>1.1.3.1.1.2.1.5.1</t>
  </si>
  <si>
    <t>1.1.3.1.1.2.1.5.2</t>
  </si>
  <si>
    <t>1.1.3.1.1.2.1.6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</si>
  <si>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Базовый слой 2 мм.</t>
  </si>
  <si>
    <t>1.1.3.1.1.2.1.6.1</t>
  </si>
  <si>
    <t>1.1.3.1.1.2.1.6.2</t>
  </si>
  <si>
    <t>1.1.3.1.1.2.1.6.3</t>
  </si>
  <si>
    <t>1.1.3.1.1.2.1.7</t>
  </si>
  <si>
    <t>АРОР "Черновые отделочные работы" от 19.02.2026. Отделка технических ниш ЭОМ. Шпаклевка базовый слой 2 мм</t>
  </si>
  <si>
    <t>1.1.3.1.1.2.1.7.1</t>
  </si>
  <si>
    <t>1.1.3.1.1.2.1.7.2</t>
  </si>
  <si>
    <t>1.1.3.1.1.2.1.8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</si>
  <si>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Финишный слой 2 мм.</t>
  </si>
  <si>
    <t>1.1.3.1.1.2.1.8.1</t>
  </si>
  <si>
    <t>Шпатлевка финишная СТАРАТЕЛИ</t>
  </si>
  <si>
    <t>1.1.3.1.1.2.1.8.2</t>
  </si>
  <si>
    <t>1.1.3.1.1.2.1.9</t>
  </si>
  <si>
    <t>АРОР "Черновые отделочные работы" от 19.02.2026. Отделка технических ниш ЭОМ. Шпаклевка финишный слой 2 мм</t>
  </si>
  <si>
    <t>1.1.3.1.1.2.1.9.1</t>
  </si>
  <si>
    <t>1.1.3.1.1.2.1.9.2</t>
  </si>
  <si>
    <t>1.1.3.1.1.2.1.10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</si>
  <si>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</si>
  <si>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</si>
  <si>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</si>
  <si>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АРОР "Черновые отделочные работы" от 19.02.2026 поз.96. Штукатурка стен по ПГП под облицовку плиткой и стен выше плитки толщиной 25 мм. 1-3 этажи</t>
  </si>
  <si>
    <t>1.1.3.1.1.2.1.10.1</t>
  </si>
  <si>
    <t>Штукатурка цементная</t>
  </si>
  <si>
    <t>Штукатурка цементная STRUKTUR AKVATEK</t>
  </si>
  <si>
    <t>1.1.3.1.1.2.1.10.2</t>
  </si>
  <si>
    <t>1.1.3.1.1.2.1.10.3</t>
  </si>
  <si>
    <t>Профиль маячковый_/ПМ6</t>
  </si>
  <si>
    <t>1.1.3.1.1.2.1.11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</si>
  <si>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</si>
  <si>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</si>
  <si>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АРОР "Черновые отделочные работы" от 19.02.2026 (поз.81+83). Гипсовая штукатурка стен по ж/б толщиной 25 мм. 1-3 этажи</t>
  </si>
  <si>
    <t>1.1.3.1.1.2.1.11.1</t>
  </si>
  <si>
    <t>Штукатурка гипсовая_ / Унифицированная по ПИК-СТАНДАРТ, 30кг</t>
  </si>
  <si>
    <t>1.1.3.1.1.2.1.11.2</t>
  </si>
  <si>
    <t>1.1.3.1.1.2.1.11.3</t>
  </si>
  <si>
    <t>Грунтовка БЕТОН-КОНТАКТ_/</t>
  </si>
  <si>
    <t>1.1.3.1.1.2.1.12</t>
  </si>
  <si>
    <t>АРОР "Черновые отделочные работы" от 19.02.2026 (поз.87+90+93). Гипсовая штукатурка стен по кирпичу, блоку и ПГП толщиной 25 мм. 1-3 этажи</t>
  </si>
  <si>
    <t>1.1.3.1.1.2.1.12.1</t>
  </si>
  <si>
    <t>1.1.3.1.1.2.1.12.2</t>
  </si>
  <si>
    <t>1.1.3.1.1.2.1.12.3</t>
  </si>
  <si>
    <t>1.1.3.1.1.2.2</t>
  </si>
  <si>
    <t>6.3.1.5.2.2</t>
  </si>
  <si>
    <t>Чистовые работы по поверхности стен</t>
  </si>
  <si>
    <t>1.1.3.1.1.2.2.1</t>
  </si>
  <si>
    <t>6.3.1.5.2.2.5.1</t>
  </si>
  <si>
    <t>Монтаж стеновых панелей / МДФ</t>
  </si>
  <si>
    <t>1.1.3.1.1.2.2.1.1</t>
  </si>
  <si>
    <t>Панель МДФ  / Kronostar дуб натуральный / 250*2600*7мм</t>
  </si>
  <si>
    <t>1.1.3.1.1.2.2.2</t>
  </si>
  <si>
    <t>1.1.3.1.1.2.2.2.1</t>
  </si>
  <si>
    <t>1.1.3.1.1.2.2.3</t>
  </si>
  <si>
    <t>1.1.3.1.1.2.2.3.1</t>
  </si>
  <si>
    <t>1.1.3.1.1.2.2.4</t>
  </si>
  <si>
    <t>1.1.3.1.1.2.2.4.1</t>
  </si>
  <si>
    <t>1.1.3.1.1.2.2.5</t>
  </si>
  <si>
    <t>1.1.3.1.1.2.2.5.1</t>
  </si>
  <si>
    <t>1.1.3.1.1.2.2.6</t>
  </si>
  <si>
    <t>1.1.3.1.1.2.2.6.1</t>
  </si>
  <si>
    <t>1.1.3.1.1.2.2.7</t>
  </si>
  <si>
    <t>1.1.3.1.1.2.2.7.1</t>
  </si>
  <si>
    <t>1.1.3.1.1.2.2.8</t>
  </si>
  <si>
    <t>1.1.3.1.1.2.2.8.1</t>
  </si>
  <si>
    <t>1.1.3.1.1.2.2.9</t>
  </si>
  <si>
    <t>1.1.3.1.1.2.2.9.1</t>
  </si>
  <si>
    <t>1.1.3.1.1.2.2.10</t>
  </si>
  <si>
    <t>1.1.3.1.1.2.2.10.1</t>
  </si>
  <si>
    <t>1.1.3.1.1.2.2.11</t>
  </si>
  <si>
    <t>1, 2, 3 этажи. Тип: FK7.1.</t>
  </si>
  <si>
    <t>1.1.3.1.1.2.2.11.1</t>
  </si>
  <si>
    <t>1.1.3.1.1.2.2.12</t>
  </si>
  <si>
    <t>1, 2, этажи. Тип: FK1.1</t>
  </si>
  <si>
    <t>1.1.3.1.1.2.2.12.1</t>
  </si>
  <si>
    <t>1.1.3.1.1.2.2.13</t>
  </si>
  <si>
    <t>1, 2, 3 этажи. Тип: FK7.2.</t>
  </si>
  <si>
    <t>1.1.3.1.1.2.2.13.1</t>
  </si>
  <si>
    <t>1.1.3.1.1.2.2.14</t>
  </si>
  <si>
    <t>2, 3 этажи. Тип: FK28</t>
  </si>
  <si>
    <t>1.1.3.1.1.2.2.14.1</t>
  </si>
  <si>
    <t>1.1.3.1.1.2.2.15</t>
  </si>
  <si>
    <t>1 этаж. Тип: FK25</t>
  </si>
  <si>
    <t>1.1.3.1.1.2.2.15.1</t>
  </si>
  <si>
    <t>1.1.3.1.1.2.2.16</t>
  </si>
  <si>
    <t>1, 2, 3 этажи. Тип: FK2.1. Покраска Gutver Prometeks RAL 6019 (бело-зеленый) - Матовая краска для стен или аналог. Класс пожарной опасности: КМ0</t>
  </si>
  <si>
    <t>1.1.3.1.1.2.2.16.1</t>
  </si>
  <si>
    <t>1.1.3.1.1.2.2.17</t>
  </si>
  <si>
    <t>1, 2, 3 этажи. Тип: FK6. Покраска грифельная краска Siberia (черный) - Матовая краска для стен или аналог. Класс пожарной опасности: КМ0</t>
  </si>
  <si>
    <t>1.1.3.1.1.2.2.17.1</t>
  </si>
  <si>
    <t>1.1.3.1.1.2.2.18</t>
  </si>
  <si>
    <t>1.1.3.1.1.2.2.18.1</t>
  </si>
  <si>
    <t>1.1.3.1.1.2.2.19</t>
  </si>
  <si>
    <t>6.3.1.5.2.2.5.2</t>
  </si>
  <si>
    <t>Монтаж стеновых панелей / ПВХ</t>
  </si>
  <si>
    <t>1.1.3.1.1.2.2.19.1</t>
  </si>
  <si>
    <t xml:space="preserve">Панель ПВХ / 2700x375x5 </t>
  </si>
  <si>
    <t>1.1.3.1.1.2.2.20</t>
  </si>
  <si>
    <t>1, 2, 3 этажи. Тип: WD1. Боковые стены ММП: Обрешетка из гипсокартонного профиля, в ячейки профиля укладываются плиты типа Шуманет Эко (или аналог) толщиной 100мм. к гипсокартонному профилю крепятся листы из негорючих неперфорированных акустических листов на стекломагнезита САУНДЛАЙН-АКУСТИКА НГ или листов ГКЛ Aku-Line Pro (Аку-Лайн Про либо аналог).</t>
  </si>
  <si>
    <t>1.1.3.1.1.2.2.20.1</t>
  </si>
  <si>
    <t>"Акустические листы САУНДЛАЙН-Акустика НГ 1200х2400
Подвес прямой
Профиль омега-образный 3 м
Профиль-заглушка 3 м
Одноуровневый соединитель
Профиль L–образный 3 м
Профиль F–образный 3 м (учитывается в конструкциях при монтаже панелей с наличием углов)
Профиль Gyproc Стандарт ППН 28х27
Профиль Gyproc Стандарт ПП 60х27
Анкер-клин 6х40
Саморез ПШО 4,2х25
Шуруп LN 3.5х11
Дюбель для теплоизоляции
Акуфон lnside
Базальтовая ткань</t>
  </si>
  <si>
    <t>1.1.3.1.1.2.2.21</t>
  </si>
  <si>
    <t>6.3.1.5.2.2.8.1</t>
  </si>
  <si>
    <t>Лакокрасочные работы СКБ / окраска стен / в 2 слоя</t>
  </si>
  <si>
    <t>1.1.3.1.1.2.2.21.1</t>
  </si>
  <si>
    <t>1.1.3.1.1.2.2.21.2</t>
  </si>
  <si>
    <t>Краска водно-дисперсионная Tikkurila_ / RAL 9003 / PROF EURO 20</t>
  </si>
  <si>
    <t>1.1.3.1.1.2.2.22</t>
  </si>
  <si>
    <t>1.1.3.1.1.2.2.22.1</t>
  </si>
  <si>
    <t>1.1.3.1.1.2.2.22.2</t>
  </si>
  <si>
    <t>1.1.3.1.1.2.2.23</t>
  </si>
  <si>
    <t>1.1.3.1.1.2.2.23.1</t>
  </si>
  <si>
    <t>1.1.3.1.1.2.2.23.2</t>
  </si>
  <si>
    <t>1.1.3.1.1.2.2.24</t>
  </si>
  <si>
    <t>1.1.3.1.1.2.2.24.1</t>
  </si>
  <si>
    <t>1.1.3.1.1.2.2.24.2</t>
  </si>
  <si>
    <t>1.1.3.1.1.2.2.25</t>
  </si>
  <si>
    <t>1.1.3.1.1.2.2.25.1</t>
  </si>
  <si>
    <t>1.1.3.1.1.2.2.25.2</t>
  </si>
  <si>
    <t>1.1.3.1.1.2.2.26</t>
  </si>
  <si>
    <t>1.1.3.1.1.2.2.26.1</t>
  </si>
  <si>
    <t>1.1.3.1.1.2.2.26.2</t>
  </si>
  <si>
    <t>1.1.3.1.1.2.2.27</t>
  </si>
  <si>
    <t>1.1.3.1.1.2.2.27.1</t>
  </si>
  <si>
    <t>1.1.3.1.1.2.2.27.2</t>
  </si>
  <si>
    <t>1.1.3.1.1.2.2.28</t>
  </si>
  <si>
    <t>1.1.3.1.1.2.2.28.1</t>
  </si>
  <si>
    <t>1.1.3.1.1.2.2.28.2</t>
  </si>
  <si>
    <t>1.1.3.1.1.2.2.29</t>
  </si>
  <si>
    <t>1, 2, 3 этажи. Тип: FK2. Покраска Gutver Prometeks RAL 6021 (бледно-зеленый) - Матовая краска для стен или аналог. Класс пожарной опасности: КМ0</t>
  </si>
  <si>
    <t>1.1.3.1.1.2.2.29.1</t>
  </si>
  <si>
    <t>1.1.3.1.1.2.2.29.2</t>
  </si>
  <si>
    <t>1.1.3.1.1.2.2.30</t>
  </si>
  <si>
    <t>1, 2, 3 этажи. Тип: FK3. Покраска Gutver Prometeks RAL 1015 (светлая слоновая кость) - Матовая краска для стен или аналог.  Класс пожарной опасности: КМ0</t>
  </si>
  <si>
    <t>1.1.3.1.1.2.2.30.1</t>
  </si>
  <si>
    <t>1.1.3.1.1.2.2.30.2</t>
  </si>
  <si>
    <t>1.1.3.1.1.2.2.31</t>
  </si>
  <si>
    <t>1, 2, 3 этажи. Тип: FK8. Покраска Gutver Prometeks RAL 6005(зеленый мох) - Матовая краска для стен или аналог. Класс пожарной опасности: КМ0</t>
  </si>
  <si>
    <t>1.1.3.1.1.2.2.31.1</t>
  </si>
  <si>
    <t>1.1.3.1.1.2.2.31.2</t>
  </si>
  <si>
    <t>1.1.3.1.1.2.2.32</t>
  </si>
  <si>
    <t>1, 2, 3 этажи. Тип: FK13. Покраска Gutver Prometeks RAL5024 (голубой) - Матовая краска для стен или аналог. Класс пожарной опасности: КМ0</t>
  </si>
  <si>
    <t>1.1.3.1.1.2.2.32.1</t>
  </si>
  <si>
    <t>1.1.3.1.1.2.2.32.2</t>
  </si>
  <si>
    <t>1.1.3.1.1.2.2.33</t>
  </si>
  <si>
    <t>1, 2, 3 этажи. Тип: FK15. Покраска Gutver Prometeks RAL1012 (лимонно-желтый) - Матовая краска для стен или аналог. Класс пожарной опасности: КМ0</t>
  </si>
  <si>
    <t>1.1.3.1.1.2.2.33.1</t>
  </si>
  <si>
    <t>1.1.3.1.1.2.2.33.2</t>
  </si>
  <si>
    <t>1.1.3.1.1.2.2.34</t>
  </si>
  <si>
    <t>1, 2, 3 этажи. Тип: FK1.1. Покраска Gutver Prometeks RAL 9002 (серо-белый) - Матовая краска для стен или аналог. Класс пожарной опасности: КМ0</t>
  </si>
  <si>
    <t>1.1.3.1.1.2.2.34.1</t>
  </si>
  <si>
    <t>1.1.3.1.1.2.2.34.2</t>
  </si>
  <si>
    <t>1.1.3.1.1.2.2.35</t>
  </si>
  <si>
    <t>1, 2, 3 этажи. Тип: FK11. Покраска Gutver Prometeks RAL1034 (пастельно-желтый) - Матовая краска для стен или аналог.  Класс пожарной опасности: КМ0.</t>
  </si>
  <si>
    <t>1.1.3.1.1.2.2.35.1</t>
  </si>
  <si>
    <t>1.1.3.1.1.2.2.35.2</t>
  </si>
  <si>
    <t>1.1.3.1.1.2.2.36</t>
  </si>
  <si>
    <t>FK5.1, 1-3эт, Иллюстрация с предварительной окраской фона</t>
  </si>
  <si>
    <t>1.1.3.1.1.2.2.36.1</t>
  </si>
  <si>
    <t>1.1.3.1.1.2.2.36.2</t>
  </si>
  <si>
    <t>1.1.3.1.1.2.2.37</t>
  </si>
  <si>
    <t>АРОР "ЧИСТОВЫЕ отделочные работы" от 19.02.2026. FK1. Покраска Gutver Prometeks RAL 9016 (белый) - Матовая краска. Класс пожарной опасности: КМ0 (подвал, 1, 2, 3 этажи)</t>
  </si>
  <si>
    <t>1.1.3.1.1.2.2.37.1</t>
  </si>
  <si>
    <t>Краска водно-дисперсионная интерьерная структурная Акриловая Глубокоматовая, НГ(КМ0), RAL 9003</t>
  </si>
  <si>
    <t>Краска Gutver Prometeks RAL 9016 (белый) - Матовая, КМ0</t>
  </si>
  <si>
    <t>1.1.3.1.1.2.2.37.2</t>
  </si>
  <si>
    <t>Prometeks AC-01</t>
  </si>
  <si>
    <t>1.1.3.1.1.2.2.38</t>
  </si>
  <si>
    <t>АРОР "ЧИСТОВЫЕ отделочные работы" от 19.02.2026. FK2. Покраска Gutver Prometeks RAL 6021 (бледно-зеленый) - Матовая краска. Класс пожарной опасности: КМ0</t>
  </si>
  <si>
    <t>1.1.3.1.1.2.2.38.1</t>
  </si>
  <si>
    <t>1.1.3.1.1.2.2.38.2</t>
  </si>
  <si>
    <t>Gutver Prometeks RAL 6021 (бледно-зеленый) - Матовая, КМ0</t>
  </si>
  <si>
    <t>1.1.3.1.1.2.2.39</t>
  </si>
  <si>
    <t>АРОР "ЧИСТОВЫЕ отделочные работы" от 19.02.2026. FK3. Покраска Gutver Prometeks RAL 1015 (светлая слоновая кость) - Матовая краска.  Класс пожарной опасности: КМ0</t>
  </si>
  <si>
    <t>1.1.3.1.1.2.2.39.1</t>
  </si>
  <si>
    <t>Gutver Prometeks RAL 1015 (светлая слоновая кость) - Матовая, КМ0</t>
  </si>
  <si>
    <t>1.1.3.1.1.2.2.39.2</t>
  </si>
  <si>
    <t>1.1.3.1.1.2.2.40</t>
  </si>
  <si>
    <t>АРОР "ЧИСТОВЫЕ отделочные работы" от 19.02.2026. FK8. Покраска Gutver Prometeks RAL 6005 (зеленый мох) - Матовая краска. Класс пожарной опасности: КМ0</t>
  </si>
  <si>
    <t>1.1.3.1.1.2.2.40.1</t>
  </si>
  <si>
    <t>1.1.3.1.1.2.2.40.2</t>
  </si>
  <si>
    <t>Gutver Prometeks RAL 6005 (зеленый мох) - Матовая, КМ0</t>
  </si>
  <si>
    <t>1.1.3.1.1.2.2.41</t>
  </si>
  <si>
    <t>АРОР "ЧИСТОВЫЕ отделочные работы" от 19.02.2026. FK11. Покраска Gutver Prometeks RAL1034 (пастельно-желтый) - Матовая краска.  Класс пожарной опасности: КМ0</t>
  </si>
  <si>
    <t>1.1.3.1.1.2.2.41.1</t>
  </si>
  <si>
    <t>Gutver Prometeks RAL1034 (пастельно-желтый) - Матовая, КМ0</t>
  </si>
  <si>
    <t>1.1.3.1.1.2.2.41.2</t>
  </si>
  <si>
    <t>1.1.3.1.1.2.2.42</t>
  </si>
  <si>
    <t>АРОР "ЧИСТОВЫЕ отделочные работы" от 19.02.2026. FK13. Покраска Gutver Prometeks RAL5024 (голубой) - Матовая краска. Класс пожарной опасности: КМ0</t>
  </si>
  <si>
    <t>1.1.3.1.1.2.2.42.1</t>
  </si>
  <si>
    <t>1.1.3.1.1.2.2.42.2</t>
  </si>
  <si>
    <t>Gutver Prometeks RAL5024 (голубой) - Матовая, КМ0</t>
  </si>
  <si>
    <t>1.1.3.1.1.2.2.43</t>
  </si>
  <si>
    <t>АРОР "ЧИСТОВЫЕ отделочные работы" от 19.02.2026. FK15. Покраска Gutver Prometeks RAL 1012 (Лимонно-желтый) - Матовая краска. Класс пожарной опасности: КМ0</t>
  </si>
  <si>
    <t>1.1.3.1.1.2.2.43.1</t>
  </si>
  <si>
    <t>Gutver Prometeks RAL 1012 (Лимонно-желтый) - Матовая, КМ0</t>
  </si>
  <si>
    <t>1.1.3.1.1.2.2.43.2</t>
  </si>
  <si>
    <t>1.1.3.1.1.2.2.44</t>
  </si>
  <si>
    <t>6.3.1.5.2.2.8.3</t>
  </si>
  <si>
    <t>Лакокрасочные работы СКБ / окраска откосов / в 2 слоя</t>
  </si>
  <si>
    <t>1.1.3.1.1.2.2.44.1</t>
  </si>
  <si>
    <t>Краска Tikkurila Проф Евро 7 / RAL 9003</t>
  </si>
  <si>
    <t>1.1.3.1.1.2.2.44.2</t>
  </si>
  <si>
    <t>1.1.3.1.1.2.2.45</t>
  </si>
  <si>
    <t>1, 2, 3 этажи. Тип: FK14. Отделка откосов - Gutver Prometeks RAL 9016. Матовая краска для стен или аналог. Класс пожарной опасности: КМ0</t>
  </si>
  <si>
    <t>1.1.3.1.1.2.2.45.1</t>
  </si>
  <si>
    <t>1.1.3.1.1.2.2.45.2</t>
  </si>
  <si>
    <t>1.1.3.1.1.2.2.46</t>
  </si>
  <si>
    <t>АРОР "ЧИСТОВЫЕ отделочные работы" от 19.02.2026. FK14. Отделка откосов - Gutver Prometeks RAL 9016. Матовая краска. Класс пожарной опасности: КМ0</t>
  </si>
  <si>
    <t>1.1.3.1.1.2.2.46.1</t>
  </si>
  <si>
    <t>Gutver Prometeks RAL 9016. Матовая, КМ0</t>
  </si>
  <si>
    <t>1.1.3.1.1.2.2.46.2</t>
  </si>
  <si>
    <t>1.1.3.1.1.2.2.47</t>
  </si>
  <si>
    <t>6.3.1.5.2.2.9.1</t>
  </si>
  <si>
    <t>1.1.3.1.1.2.2.47.1</t>
  </si>
  <si>
    <t>1.1.3.1.1.2.2.47.2</t>
  </si>
  <si>
    <t>1.1.3.1.1.2.2.47.3</t>
  </si>
  <si>
    <t>1.1.3.1.1.2.2.47.4</t>
  </si>
  <si>
    <t>Керамический гранит Kerama marazzi_ / Синий /  SG1547N /  200х200 мм</t>
  </si>
  <si>
    <t>1.1.3.1.1.2.2.48</t>
  </si>
  <si>
    <t>1.1.3.1.1.2.2.48.1</t>
  </si>
  <si>
    <t>Керамический гранит Kerama marazzi_ / Белый / 5009/ Калейдоскоп / 200х200</t>
  </si>
  <si>
    <t>1.1.3.1.1.2.2.48.2</t>
  </si>
  <si>
    <t>1.1.3.1.1.2.2.48.3</t>
  </si>
  <si>
    <t>1.1.3.1.1.2.2.48.4</t>
  </si>
  <si>
    <t>1.1.3.1.1.2.2.49</t>
  </si>
  <si>
    <t>1.1.3.1.1.2.2.49.1</t>
  </si>
  <si>
    <t>1.1.3.1.1.2.2.49.2</t>
  </si>
  <si>
    <t>1.1.3.1.1.2.2.49.3</t>
  </si>
  <si>
    <t>1.1.3.1.1.2.2.49.4</t>
  </si>
  <si>
    <t>1.1.3.1.1.2.2.50</t>
  </si>
  <si>
    <t>1.1.3.1.1.2.2.50.1</t>
  </si>
  <si>
    <t>1.1.3.1.1.2.2.50.2</t>
  </si>
  <si>
    <t>1.1.3.1.1.2.2.50.3</t>
  </si>
  <si>
    <t>1.1.3.1.1.2.2.50.4</t>
  </si>
  <si>
    <t>1.1.3.1.1.2.2.51</t>
  </si>
  <si>
    <t>1.1.3.1.1.2.2.51.1</t>
  </si>
  <si>
    <t>1.1.3.1.1.2.2.51.2</t>
  </si>
  <si>
    <t>1.1.3.1.1.2.2.51.3</t>
  </si>
  <si>
    <t>1.1.3.1.1.2.2.51.4</t>
  </si>
  <si>
    <t>1.1.3.1.1.2.2.52</t>
  </si>
  <si>
    <t>1.1.3.1.1.2.2.52.1</t>
  </si>
  <si>
    <t>1.1.3.1.1.2.2.52.2</t>
  </si>
  <si>
    <t>1.1.3.1.1.2.2.52.3</t>
  </si>
  <si>
    <t>1.1.3.1.1.2.2.52.4</t>
  </si>
  <si>
    <t>1.1.3.1.1.2.2.53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</si>
  <si>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(с учетом откосов).</t>
  </si>
  <si>
    <t>1.1.3.1.1.2.2.53.1</t>
  </si>
  <si>
    <t>Затирка Основит / серебро 024</t>
  </si>
  <si>
    <t>Затирка: Церезит CE 33, цвет серебристо-серый 04.</t>
  </si>
  <si>
    <t>1.1.3.1.1.2.2.53.2</t>
  </si>
  <si>
    <t>1.1.3.1.1.2.2.53.3</t>
  </si>
  <si>
    <t>1.1.3.1.1.2.2.53.4</t>
  </si>
  <si>
    <t>Kerama Marazzi 8000N Белое солнце 20x30, белая, глянцевая, моноколор.</t>
  </si>
  <si>
    <t>1.1.3.1.1.2.2.54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</si>
  <si>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(на Кнауф-флизен по ПГП, с учетом откосов).</t>
  </si>
  <si>
    <t>1.1.3.1.1.2.2.54.1</t>
  </si>
  <si>
    <t>1.1.3.1.1.2.2.54.2</t>
  </si>
  <si>
    <t>Клей для плитки Knauf Флизен серый класс C0 25 кг</t>
  </si>
  <si>
    <t>1.1.3.1.1.2.2.54.3</t>
  </si>
  <si>
    <t>1.1.3.1.1.2.2.54.4</t>
  </si>
  <si>
    <t>1.1.3.1.1.2.2.55</t>
  </si>
  <si>
    <t>АРОР "ЧИСТОВЫЕ отделочные работы" от 19.02.2026. FK16. Керамическая плитка Kerama Marazzi, калейдоскоп 5009, размер 200х200х6,9. Затирка: Церезит CE 33, цвет серебристо-серый 04 на Кнауф-флизен</t>
  </si>
  <si>
    <t>1.1.3.1.1.2.2.55.1</t>
  </si>
  <si>
    <t>1.1.3.1.1.2.2.55.2</t>
  </si>
  <si>
    <t>1.1.3.1.1.2.2.55.3</t>
  </si>
  <si>
    <t>1.1.3.1.1.2.2.55.4</t>
  </si>
  <si>
    <t>1.1.3.1.1.2.2.56</t>
  </si>
  <si>
    <t>АРОР "ЧИСТОВЫЕ отделочные работы" от 19.02.2026. КР-28. Подоконник Плитка Kerama Marazzi 8000N Белое солнце 20x30, белая, глянцевая, моноколор. Затирка: Церезит CE 33, цвет серебристо-серый 04</t>
  </si>
  <si>
    <t>1.1.3.1.1.2.2.56.1</t>
  </si>
  <si>
    <t>1.1.3.1.1.2.2.56.2</t>
  </si>
  <si>
    <t>1.1.3.1.1.2.2.56.3</t>
  </si>
  <si>
    <t>1.1.3.1.1.2.2.56.4</t>
  </si>
  <si>
    <t>1.1.3.1.1.2.2.57</t>
  </si>
  <si>
    <t>6.3.1.5.2.2.9.2</t>
  </si>
  <si>
    <t>1.1.3.1.1.2.2.57.1</t>
  </si>
  <si>
    <t>Плитка керамогранитная_ / AG23 / Estima / 600х600х10 мм</t>
  </si>
  <si>
    <t>1.1.3.1.1.2.2.57.2</t>
  </si>
  <si>
    <t>1.1.3.1.1.2.2.57.3</t>
  </si>
  <si>
    <t>1.1.3.1.1.2.2.57.4</t>
  </si>
  <si>
    <t>1.1.3.1.1.2.2.58</t>
  </si>
  <si>
    <t>1.1.3.1.1.2.2.58.1</t>
  </si>
  <si>
    <t>1.1.3.1.1.2.2.58.2</t>
  </si>
  <si>
    <t>1.1.3.1.1.2.2.58.3</t>
  </si>
  <si>
    <t>1.1.3.1.1.2.2.58.4</t>
  </si>
  <si>
    <t>1.1.3.1.1.2.2.59</t>
  </si>
  <si>
    <t>1.1.3.1.1.2.2.59.1</t>
  </si>
  <si>
    <t>1.1.3.1.1.2.2.59.2</t>
  </si>
  <si>
    <t>1.1.3.1.1.2.2.59.3</t>
  </si>
  <si>
    <t>1.1.3.1.1.2.2.59.4</t>
  </si>
  <si>
    <t>1.1.3.1.1.2.2.60</t>
  </si>
  <si>
    <t>1.1.3.1.1.2.2.60.1</t>
  </si>
  <si>
    <t>1.1.3.1.1.2.2.60.2</t>
  </si>
  <si>
    <t>1.1.3.1.1.2.2.60.3</t>
  </si>
  <si>
    <t>1.1.3.1.1.2.2.60.4</t>
  </si>
  <si>
    <t>1.1.3.1.1.2.2.61</t>
  </si>
  <si>
    <t>1.1.3.1.1.2.2.61.1</t>
  </si>
  <si>
    <t>Керамогранит Грани Таганая Профи, арт. GT079M, цвет зеленый чай, размер 600*600 мм, толщина 10мм, матовый.</t>
  </si>
  <si>
    <t>1.1.3.1.1.2.2.61.2</t>
  </si>
  <si>
    <t>1.1.3.1.1.2.2.61.3</t>
  </si>
  <si>
    <t>1.1.3.1.1.2.2.61.4</t>
  </si>
  <si>
    <t>1.1.3.1.1.2.2.62</t>
  </si>
  <si>
    <t>1.1.3.1.1.2.2.62.1</t>
  </si>
  <si>
    <t>1.1.3.1.1.2.2.62.2</t>
  </si>
  <si>
    <t>1.1.3.1.1.2.2.62.3</t>
  </si>
  <si>
    <t>1.1.3.1.1.2.2.62.4</t>
  </si>
  <si>
    <t>Керамогранит Грани Таганая, арт. GT202M, цвет кристально молочный, размер 600*600 мм, толщина 10мм, матовый.</t>
  </si>
  <si>
    <t>1.1.3.1.1.2.2.63</t>
  </si>
  <si>
    <t>1.1.3.1.1.2.2.63.1</t>
  </si>
  <si>
    <t>1.1.3.1.1.2.2.63.2</t>
  </si>
  <si>
    <t>1.1.3.1.1.2.2.63.3</t>
  </si>
  <si>
    <t>1.1.3.1.1.2.2.63.4</t>
  </si>
  <si>
    <t>1.1.3.1.1.2.2.64</t>
  </si>
  <si>
    <t>1.1.3.1.1.2.2.64.1</t>
  </si>
  <si>
    <t>1.1.3.1.1.2.2.64.2</t>
  </si>
  <si>
    <t>1.1.3.1.1.2.2.64.3</t>
  </si>
  <si>
    <t>1.1.3.1.1.2.2.64.4</t>
  </si>
  <si>
    <t>1.1.3.1.1.2.2.65</t>
  </si>
  <si>
    <t>АРОР "ЧИСТОВЫЕ отделочные работы" от 19.02.2026 (поз.44). FK4. Керамогранит Грани Таганая Профи, арт. GT079M, цвет зеленый чай, размер 600*600 мм, толщина 10мм, матовый. Затирка: Церезит CE 33, цвет серебристо-белый 04</t>
  </si>
  <si>
    <t>1.1.3.1.1.2.2.65.1</t>
  </si>
  <si>
    <t>1.1.3.1.1.2.2.65.2</t>
  </si>
  <si>
    <t>1.1.3.1.1.2.2.65.3</t>
  </si>
  <si>
    <t>1.1.3.1.1.2.2.65.4</t>
  </si>
  <si>
    <t>1.1.3.1.1.2.2.66</t>
  </si>
  <si>
    <t>АРОР "ЧИСТОВЫЕ отделочные работы" от 19.02.2026 (поз.48). FK10. Керамогранит Грани Таганая, арт. GT202M, цвет кристально молочный, размер 600*600 мм, толщина 10мм, матовый. Затирка: Церезит CE 33, цвет серебристо-белый 04</t>
  </si>
  <si>
    <t>1.1.3.1.1.2.2.66.1</t>
  </si>
  <si>
    <t>1.1.3.1.1.2.2.66.2</t>
  </si>
  <si>
    <t>1.1.3.1.1.2.2.66.3</t>
  </si>
  <si>
    <t>1.1.3.1.1.2.2.66.4</t>
  </si>
  <si>
    <t>Плитка керамогранитная_ / RW03 / Estima / 600х600х10 мм</t>
  </si>
  <si>
    <t>1.1.3.1.1.2.2.67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</si>
  <si>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(с учетом откосов)</t>
  </si>
  <si>
    <t>1.1.3.1.1.2.2.67.1</t>
  </si>
  <si>
    <t>1.1.3.1.1.2.2.67.2</t>
  </si>
  <si>
    <t>1.1.3.1.1.2.2.67.3</t>
  </si>
  <si>
    <t>1.1.3.1.1.2.2.67.4</t>
  </si>
  <si>
    <t>1.1.3.1.1.2.2.68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</si>
  <si>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(на Кнауф-флизен, с учетом откосов)</t>
  </si>
  <si>
    <t>1.1.3.1.1.2.2.68.1</t>
  </si>
  <si>
    <t>1.1.3.1.1.2.2.68.2</t>
  </si>
  <si>
    <t>1.1.3.1.1.2.2.68.3</t>
  </si>
  <si>
    <t>1.1.3.1.1.2.2.68.4</t>
  </si>
  <si>
    <t>1.1.3.1.1.2.3</t>
  </si>
  <si>
    <t>6.3.1.5.2.3</t>
  </si>
  <si>
    <t>Устройство подоконников, оконных откосов</t>
  </si>
  <si>
    <t>1.1.3.1.1.2.3.1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</si>
  <si>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</si>
  <si>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</si>
  <si>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 xml:space="preserve">АРОР "Черновые отделочные работы" от 19.02.2026. Гипсовая штукатурка по бетону колонн, простенков до 500мм, толщиной 25 мм. 1-3 этажи
</t>
  </si>
  <si>
    <t>1.1.3.1.1.2.3.1.1</t>
  </si>
  <si>
    <t>Штукатурка гипсовая_ / Унифицированная по ПИК-СТАНДАРТ, 30кг (BIM)</t>
  </si>
  <si>
    <t>1.1.3.1.1.2.3.1.2</t>
  </si>
  <si>
    <t>Сетка стеклотканевая 120г/м2, ячейка 5х5мм</t>
  </si>
  <si>
    <t>1.1.3.1.1.2.3.1.3</t>
  </si>
  <si>
    <t>Профиль маячковый_/ПМ10</t>
  </si>
  <si>
    <t>1.1.3.1.1.2.3.1.4</t>
  </si>
  <si>
    <t>1.1.3.1.1.2.3.2</t>
  </si>
  <si>
    <t>АРОР "Черновые отделочные работы" от 19.02.2026. Гипсовая штукатурка по блоку ячеистому, кирпичу и ПГП простенков до 500мм, толщиной 25 мм. 1-3 этажи</t>
  </si>
  <si>
    <t>1.1.3.1.1.2.3.2.1</t>
  </si>
  <si>
    <t>1.1.3.1.1.2.3.2.2</t>
  </si>
  <si>
    <t>1.1.3.1.1.2.3.2.3</t>
  </si>
  <si>
    <t>1.1.3.1.1.2.3.2.4</t>
  </si>
  <si>
    <t>1.1.3.1.1.2.3.3</t>
  </si>
  <si>
    <t xml:space="preserve">АРОР "Черновые отделочные работы" от 19.02.2026. Цементная штукатурка простенков до 500мм  по ПГП под облицовку плиткой и  выше плитки толщиной 25 мм. 1-3 этажи
</t>
  </si>
  <si>
    <t>1.1.3.1.1.2.3.3.1</t>
  </si>
  <si>
    <t>Штукатурка цементная, сухая, ТАНИЛИТ_/PC10</t>
  </si>
  <si>
    <t>1.1.3.1.1.2.3.3.2</t>
  </si>
  <si>
    <t>1.1.3.1.1.2.3.3.3</t>
  </si>
  <si>
    <t>1.1.3.1.1.2.3.3.4</t>
  </si>
  <si>
    <t>1.1.3.1.1.2.3.4</t>
  </si>
  <si>
    <t xml:space="preserve">АРОР "Черновые отделочные работы" от 19.02.2026. Цементная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</si>
  <si>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1.1.3.1.1.2.3.4.1</t>
  </si>
  <si>
    <t>1.1.3.1.1.2.3.4.2</t>
  </si>
  <si>
    <t>1.1.3.1.1.2.3.4.3</t>
  </si>
  <si>
    <t>1.1.3.1.1.2.3.4.4</t>
  </si>
  <si>
    <t>1.1.3.1.1.2.3.5</t>
  </si>
  <si>
    <t xml:space="preserve">АРОР "Черновые отделочные работы" от 19.02.2026. Гипсовая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</si>
  <si>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1.1.3.1.1.2.3.5.1</t>
  </si>
  <si>
    <t>1.1.3.1.1.2.3.5.2</t>
  </si>
  <si>
    <t>1.1.3.1.1.2.3.5.3</t>
  </si>
  <si>
    <t>1.1.3.1.1.2.3.5.4</t>
  </si>
  <si>
    <t>1.1.3.1.1.2.3.6</t>
  </si>
  <si>
    <t>АРОР "Черновые отделочные работы" от 19.02.2026. Цементная штукатурка откосов дверных в подвале, средняя толщина 25 мм - откос прямой.</t>
  </si>
  <si>
    <t>1.1.3.1.1.2.3.6.1</t>
  </si>
  <si>
    <t>1.1.3.1.1.2.3.6.2</t>
  </si>
  <si>
    <t>1.1.3.1.1.2.3.6.3</t>
  </si>
  <si>
    <t>1.1.3.1.1.2.3.6.4</t>
  </si>
  <si>
    <t>1.1.3.1.1.2.3.7</t>
  </si>
  <si>
    <t>АРОР "Черновые отделочные работы" от 19.02.2026. Наращивание подоконников пескобетоном М300 толщиной 100 мм, шириной 200 мм</t>
  </si>
  <si>
    <t>1.1.3.1.1.2.3.7.1</t>
  </si>
  <si>
    <t>Смесь цементно-песчаная сухая М200</t>
  </si>
  <si>
    <t>1.1.3.1.1.2.3.7.2</t>
  </si>
  <si>
    <t>1.1.3.1.1.2.3.8</t>
  </si>
  <si>
    <t>АРОР "Черновые отделочные работы" от 19.02.2026. Гипсовая штукатурка балок (по типу откосов) в составе потолка CF1, СF13, толщиной 25мм.</t>
  </si>
  <si>
    <t>1.1.3.1.1.2.3.8.1</t>
  </si>
  <si>
    <t>1.1.3.1.1.2.3.8.2</t>
  </si>
  <si>
    <t>1.1.3.1.1.2.3.8.3</t>
  </si>
  <si>
    <t>1.1.3.1.1.2.3.8.4</t>
  </si>
  <si>
    <t>1.1.3.1.1.2.3.9</t>
  </si>
  <si>
    <t>6.3.1.5.2.3.2.1</t>
  </si>
  <si>
    <t>Выравнивание поверхностей откосов толщ. до 5 мм с предварительной огрунтовкой поверхности</t>
  </si>
  <si>
    <t>АРОР "Черновые отделочные работы" от 19.02.2026 поз.118. Шпаклевка откосов оконных гипсовыми смесями (этажи 1, 2, 3). Базовый слой 2 мм.</t>
  </si>
  <si>
    <t>1.1.3.1.1.2.3.9.1</t>
  </si>
  <si>
    <t>1.1.3.1.1.2.3.9.2</t>
  </si>
  <si>
    <t>1.1.3.1.1.2.3.9.3</t>
  </si>
  <si>
    <t>1.1.3.1.1.2.3.10</t>
  </si>
  <si>
    <t>АРОР "Черновые отделочные работы" от 19.02.2026 поз.122. Шпаклевка откосов оконных гипсовыми смесями (этажи 1, 2, 3). Финишный слой 2 мм.</t>
  </si>
  <si>
    <t>1.1.3.1.1.2.3.10.1</t>
  </si>
  <si>
    <t>1.1.3.1.1.2.3.10.2</t>
  </si>
  <si>
    <t>1.1.3.1.1.2.3.11</t>
  </si>
  <si>
    <t>АРОР "Черновые отделочные работы" от 19.02.2026 (поз. 137, 138, 142). Применительно: Уголок малярный с сеткой. Берется только материал, СМР =0. Для шпаклевки откосов, балок, колонн и простенков шириной до 500мм, д.2,5мп. Расход при ширине до 500мм 1,1/0,5=2,2мп/м2.</t>
  </si>
  <si>
    <t>1.1.3.1.1.2.3.11.1</t>
  </si>
  <si>
    <t>Уголок малярный_/перфорированный/25*25*3000мм</t>
  </si>
  <si>
    <t>1.1.3.1.1.2.3.12</t>
  </si>
  <si>
    <t>АРОР "Черновые отделочные работы" от 19.02.2026 (поз. 139, 140, 141). Применительно: Профиль углозащитный перфорированный оцинкованный. Берется только материал, СМР =0. Под штукатурку балок, откосов, колонн и простенков ш. до 500мм, д.3,0мп.  Расход при ширине до 500мм 1,1/0,5=2,2мп/м2.</t>
  </si>
  <si>
    <t>1.1.3.1.1.2.3.12.1</t>
  </si>
  <si>
    <t>1.1.3.1.1.2.3.13</t>
  </si>
  <si>
    <t>6.3.1.5.2.3.9.2</t>
  </si>
  <si>
    <t>Зашивка приборов отопления / ГВЛВ / в 2 слоя на каркасе</t>
  </si>
  <si>
    <t>1.1.3.1.1.2.3.13.1</t>
  </si>
  <si>
    <t>Угол пластиковый_/10*15*2,5м</t>
  </si>
  <si>
    <t>1.1.3.1.1.2.3.13.2</t>
  </si>
  <si>
    <t>Профиль_/стоечный/50*50*0,40/3м</t>
  </si>
  <si>
    <t>1.1.3.1.1.2.3.13.3</t>
  </si>
  <si>
    <t>1.1.3.1.1.2.3.13.4</t>
  </si>
  <si>
    <t>Плита Кнауф Файерборд_ / 2500х1200х12.5 м</t>
  </si>
  <si>
    <t>1.1.3.1.1.2.3.14</t>
  </si>
  <si>
    <t>1.1.3.1.1.2.3.14.1</t>
  </si>
  <si>
    <t>1.1.3.1.1.2.3.14.2</t>
  </si>
  <si>
    <t>1.1.3.1.1.2.3.14.3</t>
  </si>
  <si>
    <t>1.1.3.1.1.2.3.14.4</t>
  </si>
  <si>
    <t>1.1.3.1.1.2.3.15</t>
  </si>
  <si>
    <t>1, 2, 3 этажи. Тип:WD6. ГКЛ 2 слоя КНАУФ-Файерборд (толщина 12,5 мм) на металлическом каркасе с решеткой для воздухообмена.</t>
  </si>
  <si>
    <t>1.1.3.1.1.2.3.15.1</t>
  </si>
  <si>
    <t>1.1.3.1.1.2.3.15.2</t>
  </si>
  <si>
    <t>1.1.3.1.1.2.3.15.3</t>
  </si>
  <si>
    <t>1.1.3.1.1.2.3.15.4</t>
  </si>
  <si>
    <t>1.1.3.1.1.2.3.16</t>
  </si>
  <si>
    <t>1, 2, 3 этажи. Тип:WD5. Зашивка вертикальных труб отопления ГKЛ тип С112 по серии Knauf толщиной 52мм. Двуслойная обшивка из КНАУФ-листов ГСП-А 12.5мм с одной стороны на одинарном металлическом каркасе из профиля ПП 60x27 Knauf.</t>
  </si>
  <si>
    <t>1.1.3.1.1.2.3.16.1</t>
  </si>
  <si>
    <t>1.1.3.1.1.2.3.16.2</t>
  </si>
  <si>
    <t>1.1.3.1.1.2.3.16.3</t>
  </si>
  <si>
    <t>1.1.3.1.1.2.3.16.4</t>
  </si>
  <si>
    <t>Газобетон</t>
  </si>
  <si>
    <t>№ пом.</t>
  </si>
  <si>
    <t>ед. изм</t>
  </si>
  <si>
    <t>объем</t>
  </si>
  <si>
    <t>сумма</t>
  </si>
  <si>
    <t>1 этаж. 
Тип: FK9</t>
  </si>
  <si>
    <t>1, 2, 3 этажи. Тип: FK13. Покраска</t>
  </si>
  <si>
    <t>Ед. изм</t>
  </si>
  <si>
    <t>Этаж</t>
  </si>
  <si>
    <t>1</t>
  </si>
  <si>
    <t>2</t>
  </si>
  <si>
    <t>3</t>
  </si>
  <si>
    <t>1, 2, 3 этажи. Тип: FK2. Покраска</t>
  </si>
  <si>
    <t>высота</t>
  </si>
  <si>
    <t>длина</t>
  </si>
  <si>
    <t>№ 
пом.</t>
  </si>
  <si>
    <t>Площадь,
м2.</t>
  </si>
  <si>
    <t>3 этаж. 
Тип: FK4</t>
  </si>
  <si>
    <t>Сумма:</t>
  </si>
  <si>
    <t>Гипсовая по бетону + Бетонконтакт, м2</t>
  </si>
  <si>
    <t>Гипсовая по Блоку ячеистому, кирпичу и ПГП + Грунт глубокого проникновения, м2</t>
  </si>
  <si>
    <t>Гипсовая по блоку, кирпичу и ПГП + грунт глубокого проникновения, м2</t>
  </si>
  <si>
    <t>Цементная + Грунт глубокого проникновения (по бетону, блоку ячеистому и ПГП под плитку), м2</t>
  </si>
  <si>
    <t xml:space="preserve">Штукатурка стен  </t>
  </si>
  <si>
    <t>Штукатурка колонн и простенков до 500 мм</t>
  </si>
  <si>
    <t>1 этаж</t>
  </si>
  <si>
    <t>2 этаж</t>
  </si>
  <si>
    <t>3 этаж</t>
  </si>
  <si>
    <r>
      <rPr>
        <b/>
        <sz val="12"/>
        <rFont val="ГОСТ тип А"/>
        <family val="2"/>
        <charset val="204"/>
      </rPr>
      <t xml:space="preserve">Гипсовая </t>
    </r>
    <r>
      <rPr>
        <sz val="12"/>
        <rFont val="ГОСТ тип А"/>
        <family val="2"/>
        <charset val="204"/>
      </rPr>
      <t xml:space="preserve">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</si>
  <si>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 ячеистому, кирпичу и ПГП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</si>
  <si>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Цементная</t>
    </r>
    <r>
      <rPr>
        <sz val="12"/>
        <rFont val="ГОСТ тип А"/>
        <family val="2"/>
        <charset val="204"/>
      </rPr>
      <t xml:space="preserve">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плитку),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</si>
  <si>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</si>
  <si>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блоку, кирпичу и ПГП + грунт глубокого проникновения, м2</t>
    </r>
  </si>
  <si>
    <r>
      <rPr>
        <b/>
        <sz val="12"/>
        <rFont val="ГОСТ тип А"/>
        <family val="2"/>
        <charset val="204"/>
      </rPr>
      <t>Цементная + 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плитку, м2</t>
    </r>
  </si>
  <si>
    <t>№ п.п</t>
  </si>
  <si>
    <t>№ пом</t>
  </si>
  <si>
    <t>Объем, м2:</t>
  </si>
  <si>
    <t>ММП(1.04)</t>
  </si>
  <si>
    <t>3.22</t>
  </si>
  <si>
    <t>Ремонт гипсовой шпаклевки стен, колонн, простенок ш. до 500 мм. Базовый слой 2 мм.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</si>
  <si>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</si>
  <si>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</si>
  <si>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</si>
  <si>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</si>
  <si>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</si>
  <si>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</si>
  <si>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</si>
  <si>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</si>
  <si>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</si>
  <si>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</si>
  <si>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</si>
  <si>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</si>
  <si>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</si>
  <si>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</si>
  <si>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</si>
  <si>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</si>
  <si>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</si>
  <si>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</si>
  <si>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</si>
  <si>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</si>
  <si>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</si>
  <si>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</si>
  <si>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</si>
  <si>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</si>
  <si>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</si>
  <si>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</si>
  <si>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</si>
  <si>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53</t>
  </si>
  <si>
    <t>54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</si>
  <si>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</si>
  <si>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</si>
  <si>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</si>
  <si>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</si>
  <si>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</si>
  <si>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</si>
  <si>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</si>
  <si>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</si>
  <si>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</si>
  <si>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</si>
  <si>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</si>
  <si>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55</t>
  </si>
  <si>
    <t>56</t>
  </si>
  <si>
    <t>57</t>
  </si>
  <si>
    <t>58</t>
  </si>
  <si>
    <t>4</t>
  </si>
  <si>
    <t>5</t>
  </si>
  <si>
    <t>7</t>
  </si>
  <si>
    <t>8</t>
  </si>
  <si>
    <t>9</t>
  </si>
  <si>
    <t>11</t>
  </si>
  <si>
    <t>12</t>
  </si>
  <si>
    <t>13</t>
  </si>
  <si>
    <t>14</t>
  </si>
  <si>
    <t>Ремонт гипсовой шпаклевки откосов. Базовый слой 2 мм.</t>
  </si>
  <si>
    <t>Ремонт гипсовой шпаклевки откосов. Финишный слой.</t>
  </si>
  <si>
    <t>Ремонт гипсовой шпаклевки стен, колонн, простенок ш. до 500 мм. Финишный слой.</t>
  </si>
  <si>
    <t xml:space="preserve">Пом. </t>
  </si>
  <si>
    <t>Шпаклевка, шлифовка</t>
  </si>
  <si>
    <t>Покраска</t>
  </si>
  <si>
    <t>Демонтаж шпаклевки.</t>
  </si>
  <si>
    <t>Покраска стен 2 слоя</t>
  </si>
  <si>
    <t>Подготовка поверхности СКБ / стен / ЖБ /
Ремонт гипсовой шпаклевки откосов. Финишный слой 5 мм.</t>
  </si>
  <si>
    <t>Штукатурка откосов т. 60 мм, шириной 320 мм.</t>
  </si>
  <si>
    <t>Шпаклевка стен, базовая</t>
  </si>
  <si>
    <t>Шпаклевка стен, финишная</t>
  </si>
  <si>
    <t>Гипсовыми смесями базовая + грунтовка глубокого проникновения</t>
  </si>
  <si>
    <t>Гипсовыми смесями финишная + грунтовка глубокого проникновения</t>
  </si>
  <si>
    <t>КНАУФ (по ПГП под плитку), м2</t>
  </si>
  <si>
    <t>Штукатурка стен ,  колонн и простенков до 500 мм</t>
  </si>
  <si>
    <t>Затарка материала вручную на 2-й и 3-й этаж</t>
  </si>
  <si>
    <t>Штукатурка стен сухими смесями с установкой маяков с предварительной огрунтовкой / толщ. от 11,5 мм до 16 мм</t>
  </si>
  <si>
    <t>Штукатурка стен сухими смесями с установкой маяков с предварительной огрунтовкой / толщ. от 21,5 до 26 мм</t>
  </si>
  <si>
    <t>Штукатурка стен цементным, цементно-песчаным раствором с предварительной огрунтовкой / толщ. до 20 мм / высотой до 4 метров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</si>
  <si>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</si>
  <si>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НЗ № 1702 от 17.02.2026, поз. №№ 3 и 5</t>
  </si>
  <si>
    <t>НЗ № 1702 от 17.02.2026, поз. № 1</t>
  </si>
  <si>
    <t>НЗ № 1702 от 17.02.2026, поз. №№ 2 и 4</t>
  </si>
  <si>
    <t>НЗ № 1702 от 17.02.2026, поз. № № 9 и 10</t>
  </si>
  <si>
    <t>НЗ № 1702 от 17.02.2026, поз. № 7</t>
  </si>
  <si>
    <t>НЗ № 1702 от 17.02.2026, поз. № 6</t>
  </si>
  <si>
    <t>НЗ № 1702 от 17.02.2026, поз. № 8</t>
  </si>
  <si>
    <t>Затарка материала вручную</t>
  </si>
  <si>
    <t>НЗ № 1702 от 17.02.2026, поз. №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</si>
</sst>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"/>
    <numFmt numFmtId="165" formatCode="#,##0.000"/>
    <numFmt numFmtId="166" formatCode="0.000"/>
  </numFmts>
  <fonts count="47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4"/>
      <name val="ГОСТ тип А"/>
      <family val="2"/>
      <charset val="204"/>
    </font>
    <font>
      <b/>
      <sz val="14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sz val="10"/>
      <color rgb="FF00B050"/>
      <name val="Times New Roman"/>
      <family val="1"/>
      <charset val="204"/>
    </font>
    <font>
      <i/>
      <sz val="11"/>
      <color rgb="FF00B050"/>
      <name val="ISOCPEUR"/>
      <family val="2"/>
      <charset val="204"/>
    </font>
    <font>
      <sz val="10"/>
      <color rgb="FF000000"/>
      <name val="Times New Roman"/>
      <family val="1"/>
      <charset val="204"/>
    </font>
    <font>
      <b/>
      <sz val="14"/>
      <color theme="4" tint="-0.249977111117893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name val="XO Thames"/>
      <family val="1"/>
      <charset val="204"/>
    </font>
    <font>
      <sz val="12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2"/>
      <name val="ГОСТ тип А"/>
      <family val="2"/>
      <charset val="204"/>
    </font>
    <font>
      <sz val="12"/>
      <name val="ГОСТ тип А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2F5487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7" fillId="0" borderId="0"/>
    <xf numFmtId="43" fontId="39" fillId="0" borderId="0" applyFont="0" applyFill="0" applyBorder="0" applyAlignment="0" applyProtection="0"/>
    <xf numFmtId="0" fontId="1" fillId="0" borderId="0"/>
  </cellStyleXfs>
  <cellXfs count="497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4" fillId="0" borderId="4" xfId="0" applyNumberFormat="1" applyFont="1" applyFill="1" applyBorder="1" applyAlignment="1">
      <alignment horizontal="center" vertical="center" shrinkToFit="1"/>
    </xf>
    <xf numFmtId="0" fontId="3" fillId="0" borderId="4" xfId="0" applyFont="1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left" vertical="center" indent="2" shrinkToFit="1"/>
    </xf>
    <xf numFmtId="164" fontId="4" fillId="0" borderId="7" xfId="0" applyNumberFormat="1" applyFont="1" applyFill="1" applyBorder="1" applyAlignment="1">
      <alignment horizontal="left" vertical="center" indent="2" shrinkToFit="1"/>
    </xf>
    <xf numFmtId="0" fontId="3" fillId="0" borderId="5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10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3" xfId="0" applyNumberFormat="1" applyFont="1" applyFill="1" applyBorder="1" applyAlignment="1">
      <alignment horizontal="center" vertical="center" shrinkToFit="1"/>
    </xf>
    <xf numFmtId="164" fontId="4" fillId="0" borderId="15" xfId="0" applyNumberFormat="1" applyFont="1" applyFill="1" applyBorder="1" applyAlignment="1">
      <alignment horizontal="center" vertical="center" shrinkToFit="1"/>
    </xf>
    <xf numFmtId="164" fontId="4" fillId="0" borderId="1" xfId="0" applyNumberFormat="1" applyFont="1" applyFill="1" applyBorder="1" applyAlignment="1">
      <alignment horizontal="center" vertical="center" shrinkToFit="1"/>
    </xf>
    <xf numFmtId="0" fontId="3" fillId="0" borderId="11" xfId="0" applyFont="1" applyFill="1" applyBorder="1" applyAlignment="1">
      <alignment horizontal="left" vertical="center" wrapText="1"/>
    </xf>
    <xf numFmtId="0" fontId="3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left" vertical="center" indent="2" shrinkToFit="1"/>
    </xf>
    <xf numFmtId="164" fontId="4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center" vertical="center" shrinkToFit="1"/>
    </xf>
    <xf numFmtId="164" fontId="4" fillId="0" borderId="2" xfId="0" applyNumberFormat="1" applyFont="1" applyFill="1" applyBorder="1" applyAlignment="1">
      <alignment horizontal="center" vertical="center" shrinkToFit="1"/>
    </xf>
    <xf numFmtId="0" fontId="3" fillId="0" borderId="14" xfId="0" applyFont="1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left" vertical="center" indent="2" shrinkToFit="1"/>
    </xf>
    <xf numFmtId="164" fontId="4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4" fillId="0" borderId="4" xfId="0" applyNumberFormat="1" applyFont="1" applyFill="1" applyBorder="1" applyAlignment="1">
      <alignment horizontal="right" vertical="center" indent="3" shrinkToFit="1"/>
    </xf>
    <xf numFmtId="164" fontId="4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3" fillId="0" borderId="9" xfId="0" applyFont="1" applyFill="1" applyBorder="1" applyAlignment="1">
      <alignment horizontal="center" vertical="top" wrapText="1"/>
    </xf>
    <xf numFmtId="0" fontId="3" fillId="0" borderId="9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3" fillId="0" borderId="9" xfId="0" applyFont="1" applyFill="1" applyBorder="1" applyAlignment="1">
      <alignment horizontal="center" vertical="center" wrapText="1"/>
    </xf>
    <xf numFmtId="164" fontId="4" fillId="0" borderId="9" xfId="0" applyNumberFormat="1" applyFont="1" applyFill="1" applyBorder="1" applyAlignment="1">
      <alignment horizontal="right" vertical="center" indent="2" shrinkToFit="1"/>
    </xf>
    <xf numFmtId="164" fontId="4" fillId="0" borderId="14" xfId="0" applyNumberFormat="1" applyFont="1" applyFill="1" applyBorder="1" applyAlignment="1">
      <alignment horizontal="left" vertical="top" indent="2" shrinkToFit="1"/>
    </xf>
    <xf numFmtId="164" fontId="4" fillId="0" borderId="2" xfId="0" applyNumberFormat="1" applyFont="1" applyFill="1" applyBorder="1" applyAlignment="1">
      <alignment horizontal="left" vertical="top" indent="2" shrinkToFit="1"/>
    </xf>
    <xf numFmtId="0" fontId="3" fillId="0" borderId="14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right" vertical="top" indent="2" shrinkToFit="1"/>
    </xf>
    <xf numFmtId="164" fontId="4" fillId="0" borderId="14" xfId="0" applyNumberFormat="1" applyFont="1" applyFill="1" applyBorder="1" applyAlignment="1">
      <alignment horizontal="center" vertical="top" shrinkToFit="1"/>
    </xf>
    <xf numFmtId="164" fontId="4" fillId="0" borderId="2" xfId="0" applyNumberFormat="1" applyFont="1" applyFill="1" applyBorder="1" applyAlignment="1">
      <alignment horizontal="center" vertical="top" shrinkToFit="1"/>
    </xf>
    <xf numFmtId="164" fontId="4" fillId="0" borderId="9" xfId="0" applyNumberFormat="1" applyFont="1" applyFill="1" applyBorder="1" applyAlignment="1">
      <alignment horizontal="right" vertical="center" indent="3" shrinkToFit="1"/>
    </xf>
    <xf numFmtId="0" fontId="3" fillId="0" borderId="9" xfId="0" applyFont="1" applyFill="1" applyBorder="1" applyAlignment="1">
      <alignment horizontal="center" wrapText="1"/>
    </xf>
    <xf numFmtId="164" fontId="4" fillId="0" borderId="9" xfId="0" applyNumberFormat="1" applyFont="1" applyFill="1" applyBorder="1" applyAlignment="1">
      <alignment horizontal="right" indent="3" shrinkToFit="1"/>
    </xf>
    <xf numFmtId="0" fontId="3" fillId="0" borderId="9" xfId="0" applyFont="1" applyFill="1" applyBorder="1" applyAlignment="1">
      <alignment horizontal="left" wrapText="1"/>
    </xf>
    <xf numFmtId="164" fontId="4" fillId="0" borderId="9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center" shrinkToFit="1"/>
    </xf>
    <xf numFmtId="164" fontId="4" fillId="0" borderId="2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left" indent="2" shrinkToFit="1"/>
    </xf>
    <xf numFmtId="164" fontId="4" fillId="0" borderId="9" xfId="0" applyNumberFormat="1" applyFont="1" applyFill="1" applyBorder="1" applyAlignment="1">
      <alignment horizontal="right" indent="2" shrinkToFit="1"/>
    </xf>
    <xf numFmtId="164" fontId="4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2" fillId="0" borderId="5" xfId="0" applyFont="1" applyFill="1" applyBorder="1" applyAlignment="1">
      <alignment horizontal="center" vertical="top" wrapText="1"/>
    </xf>
    <xf numFmtId="0" fontId="2" fillId="0" borderId="7" xfId="0" applyFont="1" applyFill="1" applyBorder="1" applyAlignment="1">
      <alignment horizontal="center" vertical="top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left" vertical="center" indent="2" shrinkToFi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2" xfId="0" applyNumberFormat="1" applyFont="1" applyFill="1" applyBorder="1" applyAlignment="1">
      <alignment horizontal="center" vertical="center" shrinkToFit="1"/>
    </xf>
    <xf numFmtId="164" fontId="4" fillId="0" borderId="3" xfId="0" applyNumberFormat="1" applyFont="1" applyFill="1" applyBorder="1" applyAlignment="1">
      <alignment horizontal="center" vertical="center" shrinkToFi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3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horizontal="center" vertical="center" shrinkToFit="1"/>
    </xf>
    <xf numFmtId="0" fontId="3" fillId="0" borderId="16" xfId="0" applyFont="1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3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4" fillId="0" borderId="16" xfId="0" applyNumberFormat="1" applyFont="1" applyFill="1" applyBorder="1" applyAlignment="1">
      <alignment horizontal="left" vertical="center" indent="2" shrinkToFit="1"/>
    </xf>
    <xf numFmtId="0" fontId="3" fillId="0" borderId="16" xfId="0" applyFont="1" applyFill="1" applyBorder="1" applyAlignment="1">
      <alignment horizontal="left" vertical="top" wrapText="1"/>
    </xf>
    <xf numFmtId="164" fontId="4" fillId="0" borderId="16" xfId="0" applyNumberFormat="1" applyFont="1" applyFill="1" applyBorder="1" applyAlignment="1">
      <alignment horizontal="center" vertical="top" shrinkToFit="1"/>
    </xf>
    <xf numFmtId="164" fontId="4" fillId="0" borderId="16" xfId="0" applyNumberFormat="1" applyFont="1" applyFill="1" applyBorder="1" applyAlignment="1">
      <alignment horizontal="left" vertical="top" indent="2" shrinkToFit="1"/>
    </xf>
    <xf numFmtId="164" fontId="4" fillId="0" borderId="16" xfId="0" applyNumberFormat="1" applyFont="1" applyFill="1" applyBorder="1" applyAlignment="1">
      <alignment horizontal="right" vertical="center" indent="2" shrinkToFit="1"/>
    </xf>
    <xf numFmtId="164" fontId="4" fillId="0" borderId="16" xfId="0" applyNumberFormat="1" applyFont="1" applyFill="1" applyBorder="1" applyAlignment="1">
      <alignment horizontal="right" vertical="center" indent="3" shrinkToFi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3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4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4" fillId="0" borderId="9" xfId="0" applyNumberFormat="1" applyFont="1" applyFill="1" applyBorder="1" applyAlignment="1">
      <alignment vertical="top" shrinkToFit="1"/>
    </xf>
    <xf numFmtId="0" fontId="3" fillId="0" borderId="9" xfId="0" applyFont="1" applyFill="1" applyBorder="1" applyAlignment="1">
      <alignment vertical="top" wrapText="1"/>
    </xf>
    <xf numFmtId="0" fontId="12" fillId="0" borderId="9" xfId="0" applyFont="1" applyFill="1" applyBorder="1" applyAlignment="1">
      <alignment horizontal="left" vertical="top" wrapText="1"/>
    </xf>
    <xf numFmtId="164" fontId="4" fillId="0" borderId="0" xfId="0" applyNumberFormat="1" applyFont="1" applyFill="1" applyBorder="1" applyAlignment="1">
      <alignment horizontal="center" vertical="center" shrinkToFit="1"/>
    </xf>
    <xf numFmtId="164" fontId="4" fillId="0" borderId="0" xfId="0" applyNumberFormat="1" applyFont="1" applyFill="1" applyBorder="1" applyAlignment="1">
      <alignment horizontal="left" vertical="top" indent="2" shrinkToFit="1"/>
    </xf>
    <xf numFmtId="164" fontId="4" fillId="0" borderId="0" xfId="0" applyNumberFormat="1" applyFont="1" applyFill="1" applyBorder="1" applyAlignment="1">
      <alignment horizontal="left" vertical="center" indent="2" shrinkToFit="1"/>
    </xf>
    <xf numFmtId="164" fontId="4" fillId="0" borderId="0" xfId="0" applyNumberFormat="1" applyFont="1" applyFill="1" applyBorder="1" applyAlignment="1">
      <alignment horizontal="center" shrinkToFit="1"/>
    </xf>
    <xf numFmtId="164" fontId="4" fillId="0" borderId="0" xfId="0" applyNumberFormat="1" applyFont="1" applyFill="1" applyBorder="1" applyAlignment="1">
      <alignment horizontal="center" vertical="top" shrinkToFit="1"/>
    </xf>
    <xf numFmtId="0" fontId="14" fillId="0" borderId="16" xfId="0" applyFont="1" applyFill="1" applyBorder="1" applyAlignment="1">
      <alignment horizontal="center" vertical="center" wrapText="1"/>
    </xf>
    <xf numFmtId="164" fontId="16" fillId="0" borderId="16" xfId="0" applyNumberFormat="1" applyFont="1" applyFill="1" applyBorder="1" applyAlignment="1">
      <alignment horizontal="center" vertical="center" shrinkToFit="1"/>
    </xf>
    <xf numFmtId="0" fontId="14" fillId="0" borderId="4" xfId="0" applyFont="1" applyFill="1" applyBorder="1" applyAlignment="1">
      <alignment horizontal="center" vertical="center" wrapText="1"/>
    </xf>
    <xf numFmtId="164" fontId="16" fillId="0" borderId="4" xfId="0" applyNumberFormat="1" applyFont="1" applyFill="1" applyBorder="1" applyAlignment="1">
      <alignment horizontal="center" vertical="center" shrinkToFit="1"/>
    </xf>
    <xf numFmtId="164" fontId="16" fillId="0" borderId="8" xfId="0" applyNumberFormat="1" applyFont="1" applyFill="1" applyBorder="1" applyAlignment="1">
      <alignment horizontal="center" vertical="center" shrinkToFit="1"/>
    </xf>
    <xf numFmtId="0" fontId="14" fillId="0" borderId="9" xfId="0" applyFont="1" applyFill="1" applyBorder="1" applyAlignment="1">
      <alignment horizontal="center" vertical="center" wrapText="1"/>
    </xf>
    <xf numFmtId="164" fontId="16" fillId="0" borderId="9" xfId="0" applyNumberFormat="1" applyFont="1" applyFill="1" applyBorder="1" applyAlignment="1">
      <alignment horizontal="center" vertical="center" shrinkToFit="1"/>
    </xf>
    <xf numFmtId="0" fontId="13" fillId="0" borderId="16" xfId="0" applyFont="1" applyFill="1" applyBorder="1" applyAlignment="1">
      <alignment horizontal="center" vertical="center" wrapText="1"/>
    </xf>
    <xf numFmtId="0" fontId="13" fillId="0" borderId="16" xfId="0" applyFont="1" applyFill="1" applyBorder="1" applyAlignment="1">
      <alignment vertical="center" wrapText="1"/>
    </xf>
    <xf numFmtId="0" fontId="13" fillId="0" borderId="0" xfId="0" applyFont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 wrapText="1"/>
    </xf>
    <xf numFmtId="164" fontId="13" fillId="0" borderId="0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 shrinkToFit="1"/>
    </xf>
    <xf numFmtId="0" fontId="14" fillId="0" borderId="19" xfId="0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 vertical="center" wrapText="1"/>
    </xf>
    <xf numFmtId="164" fontId="16" fillId="2" borderId="16" xfId="0" applyNumberFormat="1" applyFont="1" applyFill="1" applyBorder="1" applyAlignment="1">
      <alignment horizontal="center" vertical="center" shrinkToFit="1"/>
    </xf>
    <xf numFmtId="0" fontId="14" fillId="2" borderId="10" xfId="0" applyFont="1" applyFill="1" applyBorder="1" applyAlignment="1">
      <alignment horizontal="center" vertical="center" wrapText="1"/>
    </xf>
    <xf numFmtId="164" fontId="16" fillId="2" borderId="10" xfId="0" applyNumberFormat="1" applyFont="1" applyFill="1" applyBorder="1" applyAlignment="1">
      <alignment horizontal="center" vertical="center" shrinkToFit="1"/>
    </xf>
    <xf numFmtId="0" fontId="14" fillId="2" borderId="4" xfId="0" applyFont="1" applyFill="1" applyBorder="1" applyAlignment="1">
      <alignment horizontal="center" vertical="center" wrapText="1"/>
    </xf>
    <xf numFmtId="164" fontId="16" fillId="2" borderId="4" xfId="0" applyNumberFormat="1" applyFont="1" applyFill="1" applyBorder="1" applyAlignment="1">
      <alignment horizontal="center" vertical="center" shrinkToFit="1"/>
    </xf>
    <xf numFmtId="0" fontId="14" fillId="2" borderId="8" xfId="0" applyFont="1" applyFill="1" applyBorder="1" applyAlignment="1">
      <alignment horizontal="center" vertical="center" wrapText="1"/>
    </xf>
    <xf numFmtId="164" fontId="16" fillId="2" borderId="8" xfId="0" applyNumberFormat="1" applyFont="1" applyFill="1" applyBorder="1" applyAlignment="1">
      <alignment horizontal="center" vertical="center" shrinkToFit="1"/>
    </xf>
    <xf numFmtId="0" fontId="14" fillId="2" borderId="9" xfId="0" applyFont="1" applyFill="1" applyBorder="1" applyAlignment="1">
      <alignment horizontal="center" vertical="center" wrapText="1"/>
    </xf>
    <xf numFmtId="2" fontId="14" fillId="0" borderId="16" xfId="0" applyNumberFormat="1" applyFont="1" applyFill="1" applyBorder="1" applyAlignment="1">
      <alignment horizontal="center" vertical="center" wrapText="1"/>
    </xf>
    <xf numFmtId="0" fontId="13" fillId="0" borderId="19" xfId="0" applyFont="1" applyFill="1" applyBorder="1" applyAlignment="1">
      <alignment vertical="center" wrapText="1"/>
    </xf>
    <xf numFmtId="49" fontId="20" fillId="0" borderId="16" xfId="0" applyNumberFormat="1" applyFont="1" applyBorder="1" applyAlignment="1">
      <alignment horizontal="center" vertical="center"/>
    </xf>
    <xf numFmtId="0" fontId="20" fillId="0" borderId="16" xfId="0" applyFont="1" applyBorder="1" applyAlignment="1">
      <alignment horizontal="left" vertical="center"/>
    </xf>
    <xf numFmtId="2" fontId="20" fillId="0" borderId="16" xfId="0" applyNumberFormat="1" applyFont="1" applyBorder="1" applyAlignment="1">
      <alignment horizontal="center" vertical="center"/>
    </xf>
    <xf numFmtId="0" fontId="21" fillId="0" borderId="16" xfId="0" applyFont="1" applyBorder="1"/>
    <xf numFmtId="0" fontId="17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164" fontId="20" fillId="0" borderId="16" xfId="0" applyNumberFormat="1" applyFont="1" applyBorder="1" applyAlignment="1">
      <alignment horizontal="right" vertical="center"/>
    </xf>
    <xf numFmtId="0" fontId="21" fillId="0" borderId="16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 wrapText="1"/>
    </xf>
    <xf numFmtId="164" fontId="21" fillId="0" borderId="16" xfId="0" applyNumberFormat="1" applyFont="1" applyBorder="1" applyAlignment="1">
      <alignment horizontal="center" vertical="center"/>
    </xf>
    <xf numFmtId="49" fontId="22" fillId="0" borderId="16" xfId="0" applyNumberFormat="1" applyFont="1" applyBorder="1" applyAlignment="1">
      <alignment horizontal="left" vertical="center" wrapText="1"/>
    </xf>
    <xf numFmtId="0" fontId="21" fillId="0" borderId="16" xfId="0" applyFont="1" applyBorder="1" applyAlignment="1">
      <alignment horizontal="right" vertical="center" wrapText="1"/>
    </xf>
    <xf numFmtId="0" fontId="18" fillId="0" borderId="5" xfId="0" applyFont="1" applyBorder="1" applyAlignment="1">
      <alignment horizontal="left" vertical="center" wrapText="1"/>
    </xf>
    <xf numFmtId="165" fontId="17" fillId="0" borderId="16" xfId="0" applyNumberFormat="1" applyFont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left" vertical="center" wrapText="1"/>
    </xf>
    <xf numFmtId="0" fontId="17" fillId="0" borderId="16" xfId="0" applyFont="1" applyFill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6" xfId="0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center"/>
    </xf>
    <xf numFmtId="49" fontId="20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left" vertical="center"/>
    </xf>
    <xf numFmtId="2" fontId="20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/>
    <xf numFmtId="0" fontId="20" fillId="0" borderId="16" xfId="0" applyFont="1" applyFill="1" applyBorder="1" applyAlignment="1">
      <alignment horizontal="center" vertical="center"/>
    </xf>
    <xf numFmtId="164" fontId="20" fillId="0" borderId="16" xfId="0" applyNumberFormat="1" applyFont="1" applyFill="1" applyBorder="1" applyAlignment="1">
      <alignment horizontal="right" vertical="center"/>
    </xf>
    <xf numFmtId="0" fontId="21" fillId="0" borderId="16" xfId="0" applyFont="1" applyFill="1" applyBorder="1" applyAlignment="1">
      <alignment horizontal="center" vertical="center"/>
    </xf>
    <xf numFmtId="0" fontId="22" fillId="0" borderId="16" xfId="0" applyFont="1" applyFill="1" applyBorder="1" applyAlignment="1">
      <alignment horizontal="center" vertical="center" wrapText="1"/>
    </xf>
    <xf numFmtId="164" fontId="21" fillId="0" borderId="16" xfId="0" applyNumberFormat="1" applyFont="1" applyFill="1" applyBorder="1" applyAlignment="1">
      <alignment horizontal="center" vertical="center"/>
    </xf>
    <xf numFmtId="49" fontId="23" fillId="0" borderId="16" xfId="0" applyNumberFormat="1" applyFont="1" applyFill="1" applyBorder="1" applyAlignment="1">
      <alignment horizontal="center" vertical="center" wrapText="1"/>
    </xf>
    <xf numFmtId="49" fontId="23" fillId="0" borderId="16" xfId="0" applyNumberFormat="1" applyFont="1" applyFill="1" applyBorder="1" applyAlignment="1">
      <alignment vertical="center" wrapText="1"/>
    </xf>
    <xf numFmtId="4" fontId="24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right" vertical="center" wrapText="1"/>
    </xf>
    <xf numFmtId="0" fontId="21" fillId="0" borderId="24" xfId="0" applyFont="1" applyFill="1" applyBorder="1" applyAlignment="1">
      <alignment horizontal="center" vertical="center"/>
    </xf>
    <xf numFmtId="164" fontId="21" fillId="0" borderId="28" xfId="0" applyNumberFormat="1" applyFont="1" applyFill="1" applyBorder="1" applyAlignment="1">
      <alignment horizontal="center" vertical="center"/>
    </xf>
    <xf numFmtId="4" fontId="24" fillId="0" borderId="28" xfId="0" applyNumberFormat="1" applyFont="1" applyFill="1" applyBorder="1" applyAlignment="1">
      <alignment horizontal="center" vertical="center"/>
    </xf>
    <xf numFmtId="0" fontId="21" fillId="0" borderId="29" xfId="0" applyFont="1" applyFill="1" applyBorder="1" applyAlignment="1">
      <alignment horizontal="center" vertical="center"/>
    </xf>
    <xf numFmtId="0" fontId="21" fillId="0" borderId="30" xfId="0" applyFont="1" applyFill="1" applyBorder="1" applyAlignment="1">
      <alignment horizontal="center" vertical="center" wrapText="1"/>
    </xf>
    <xf numFmtId="0" fontId="21" fillId="0" borderId="30" xfId="0" applyFont="1" applyFill="1" applyBorder="1" applyAlignment="1">
      <alignment horizontal="right" vertical="center" wrapText="1"/>
    </xf>
    <xf numFmtId="164" fontId="21" fillId="0" borderId="31" xfId="0" applyNumberFormat="1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top"/>
    </xf>
    <xf numFmtId="49" fontId="22" fillId="0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Fill="1" applyBorder="1" applyAlignment="1">
      <alignment vertical="center" wrapText="1"/>
    </xf>
    <xf numFmtId="4" fontId="22" fillId="0" borderId="16" xfId="0" applyNumberFormat="1" applyFont="1" applyFill="1" applyBorder="1" applyAlignment="1">
      <alignment horizontal="center" vertical="center"/>
    </xf>
    <xf numFmtId="0" fontId="21" fillId="0" borderId="21" xfId="0" applyFont="1" applyFill="1" applyBorder="1" applyAlignment="1">
      <alignment horizontal="center" vertical="center"/>
    </xf>
    <xf numFmtId="4" fontId="22" fillId="0" borderId="19" xfId="0" applyNumberFormat="1" applyFont="1" applyFill="1" applyBorder="1" applyAlignment="1">
      <alignment horizontal="center" vertical="center"/>
    </xf>
    <xf numFmtId="0" fontId="21" fillId="0" borderId="32" xfId="0" applyFont="1" applyFill="1" applyBorder="1" applyAlignment="1">
      <alignment horizontal="center" vertical="center"/>
    </xf>
    <xf numFmtId="0" fontId="22" fillId="0" borderId="23" xfId="0" applyFont="1" applyFill="1" applyBorder="1" applyAlignment="1">
      <alignment horizontal="center" vertical="center" wrapText="1"/>
    </xf>
    <xf numFmtId="164" fontId="21" fillId="0" borderId="17" xfId="0" applyNumberFormat="1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left" vertical="top"/>
    </xf>
    <xf numFmtId="2" fontId="20" fillId="0" borderId="16" xfId="0" applyNumberFormat="1" applyFont="1" applyFill="1" applyBorder="1" applyAlignment="1">
      <alignment horizontal="right" vertical="center"/>
    </xf>
    <xf numFmtId="2" fontId="21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49" fontId="22" fillId="3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Border="1" applyAlignment="1">
      <alignment horizontal="center" vertical="center" wrapText="1"/>
    </xf>
    <xf numFmtId="49" fontId="25" fillId="3" borderId="16" xfId="0" applyNumberFormat="1" applyFont="1" applyFill="1" applyBorder="1" applyAlignment="1">
      <alignment horizontal="center" vertical="center" wrapText="1"/>
    </xf>
    <xf numFmtId="49" fontId="25" fillId="0" borderId="16" xfId="0" applyNumberFormat="1" applyFont="1" applyBorder="1" applyAlignment="1">
      <alignment horizontal="center" vertical="center" wrapText="1"/>
    </xf>
    <xf numFmtId="4" fontId="25" fillId="0" borderId="37" xfId="0" applyNumberFormat="1" applyFont="1" applyBorder="1" applyAlignment="1">
      <alignment horizontal="center" vertical="center"/>
    </xf>
    <xf numFmtId="4" fontId="25" fillId="3" borderId="37" xfId="0" applyNumberFormat="1" applyFont="1" applyFill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6" fillId="0" borderId="34" xfId="0" applyFont="1" applyBorder="1" applyAlignment="1">
      <alignment horizontal="center" vertical="center" wrapText="1"/>
    </xf>
    <xf numFmtId="164" fontId="20" fillId="0" borderId="35" xfId="0" applyNumberFormat="1" applyFont="1" applyBorder="1" applyAlignment="1">
      <alignment horizontal="center" vertical="center"/>
    </xf>
    <xf numFmtId="0" fontId="21" fillId="3" borderId="36" xfId="0" applyFont="1" applyFill="1" applyBorder="1" applyAlignment="1">
      <alignment horizontal="center" vertical="center"/>
    </xf>
    <xf numFmtId="4" fontId="22" fillId="3" borderId="37" xfId="0" applyNumberFormat="1" applyFont="1" applyFill="1" applyBorder="1" applyAlignment="1">
      <alignment horizontal="center" vertical="center"/>
    </xf>
    <xf numFmtId="0" fontId="21" fillId="0" borderId="36" xfId="0" applyFont="1" applyBorder="1" applyAlignment="1">
      <alignment horizontal="center" vertical="center"/>
    </xf>
    <xf numFmtId="4" fontId="22" fillId="0" borderId="37" xfId="0" applyNumberFormat="1" applyFont="1" applyBorder="1" applyAlignment="1">
      <alignment horizontal="center" vertical="center"/>
    </xf>
    <xf numFmtId="49" fontId="25" fillId="0" borderId="38" xfId="0" applyNumberFormat="1" applyFont="1" applyBorder="1" applyAlignment="1">
      <alignment horizontal="center" vertical="center" wrapText="1"/>
    </xf>
    <xf numFmtId="4" fontId="25" fillId="0" borderId="39" xfId="0" applyNumberFormat="1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 wrapText="1"/>
    </xf>
    <xf numFmtId="164" fontId="20" fillId="0" borderId="41" xfId="0" applyNumberFormat="1" applyFont="1" applyBorder="1" applyAlignment="1">
      <alignment horizontal="center" vertical="center"/>
    </xf>
    <xf numFmtId="0" fontId="18" fillId="0" borderId="0" xfId="0" applyFont="1" applyFill="1" applyBorder="1" applyAlignment="1">
      <alignment vertical="top"/>
    </xf>
    <xf numFmtId="0" fontId="18" fillId="0" borderId="16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vertical="center" wrapText="1"/>
    </xf>
    <xf numFmtId="0" fontId="18" fillId="0" borderId="16" xfId="0" applyFont="1" applyFill="1" applyBorder="1" applyAlignment="1">
      <alignment vertical="top"/>
    </xf>
    <xf numFmtId="2" fontId="18" fillId="0" borderId="16" xfId="0" applyNumberFormat="1" applyFont="1" applyFill="1" applyBorder="1" applyAlignment="1">
      <alignment horizontal="center" vertical="center"/>
    </xf>
    <xf numFmtId="0" fontId="28" fillId="4" borderId="0" xfId="1" applyFont="1" applyFill="1" applyAlignment="1">
      <alignment horizontal="left" vertical="center"/>
    </xf>
    <xf numFmtId="0" fontId="27" fillId="4" borderId="0" xfId="1" applyFill="1"/>
    <xf numFmtId="0" fontId="29" fillId="4" borderId="0" xfId="1" applyFont="1" applyFill="1" applyAlignment="1">
      <alignment horizontal="left" vertical="center" wrapText="1"/>
    </xf>
    <xf numFmtId="0" fontId="27" fillId="0" borderId="0" xfId="1"/>
    <xf numFmtId="0" fontId="32" fillId="0" borderId="4" xfId="1" applyFont="1" applyBorder="1" applyAlignment="1">
      <alignment horizontal="left" vertical="center"/>
    </xf>
    <xf numFmtId="0" fontId="34" fillId="0" borderId="4" xfId="1" applyFont="1" applyBorder="1" applyAlignment="1">
      <alignment horizontal="left" vertical="center" wrapText="1"/>
    </xf>
    <xf numFmtId="0" fontId="34" fillId="0" borderId="4" xfId="1" applyFont="1" applyBorder="1" applyAlignment="1">
      <alignment horizontal="center" vertical="center" wrapText="1"/>
    </xf>
    <xf numFmtId="165" fontId="34" fillId="0" borderId="4" xfId="1" applyNumberFormat="1" applyFont="1" applyBorder="1" applyAlignment="1">
      <alignment horizontal="center" vertical="center" wrapText="1"/>
    </xf>
    <xf numFmtId="0" fontId="35" fillId="0" borderId="4" xfId="1" applyFont="1" applyBorder="1" applyAlignment="1">
      <alignment horizontal="right" vertical="center" wrapText="1"/>
    </xf>
    <xf numFmtId="0" fontId="34" fillId="0" borderId="4" xfId="1" applyFont="1" applyBorder="1" applyAlignment="1">
      <alignment horizontal="center" vertical="center"/>
    </xf>
    <xf numFmtId="165" fontId="34" fillId="0" borderId="4" xfId="1" applyNumberFormat="1" applyFont="1" applyBorder="1" applyAlignment="1">
      <alignment horizontal="center" vertical="center"/>
    </xf>
    <xf numFmtId="0" fontId="35" fillId="6" borderId="4" xfId="1" applyFont="1" applyFill="1" applyBorder="1" applyAlignment="1">
      <alignment horizontal="right" vertical="center" wrapText="1"/>
    </xf>
    <xf numFmtId="165" fontId="36" fillId="0" borderId="4" xfId="1" applyNumberFormat="1" applyFont="1" applyBorder="1" applyAlignment="1">
      <alignment horizontal="center" vertical="center"/>
    </xf>
    <xf numFmtId="0" fontId="32" fillId="0" borderId="9" xfId="1" applyFont="1" applyBorder="1" applyAlignment="1">
      <alignment horizontal="center" vertical="center" wrapText="1"/>
    </xf>
    <xf numFmtId="0" fontId="30" fillId="0" borderId="5" xfId="1" applyFont="1" applyBorder="1" applyAlignment="1">
      <alignment horizontal="left" vertical="center"/>
    </xf>
    <xf numFmtId="0" fontId="30" fillId="0" borderId="6" xfId="1" applyFont="1" applyBorder="1" applyAlignment="1">
      <alignment horizontal="left" vertical="center"/>
    </xf>
    <xf numFmtId="0" fontId="33" fillId="5" borderId="6" xfId="1" applyFont="1" applyFill="1" applyBorder="1" applyAlignment="1">
      <alignment horizontal="left" vertical="center"/>
    </xf>
    <xf numFmtId="0" fontId="32" fillId="0" borderId="7" xfId="1" applyFont="1" applyBorder="1" applyAlignment="1">
      <alignment horizontal="left" vertical="center"/>
    </xf>
    <xf numFmtId="165" fontId="34" fillId="0" borderId="5" xfId="1" applyNumberFormat="1" applyFont="1" applyBorder="1" applyAlignment="1">
      <alignment horizontal="center" vertical="center" wrapText="1"/>
    </xf>
    <xf numFmtId="165" fontId="34" fillId="0" borderId="5" xfId="1" applyNumberFormat="1" applyFont="1" applyBorder="1" applyAlignment="1">
      <alignment horizontal="center" vertical="center"/>
    </xf>
    <xf numFmtId="165" fontId="36" fillId="0" borderId="5" xfId="1" applyNumberFormat="1" applyFont="1" applyBorder="1" applyAlignment="1">
      <alignment horizontal="center" vertical="center"/>
    </xf>
    <xf numFmtId="0" fontId="32" fillId="0" borderId="2" xfId="1" applyFont="1" applyBorder="1" applyAlignment="1">
      <alignment horizontal="center" vertical="center" wrapText="1"/>
    </xf>
    <xf numFmtId="0" fontId="32" fillId="0" borderId="14" xfId="1" applyFont="1" applyBorder="1" applyAlignment="1">
      <alignment horizontal="center" vertical="center" wrapText="1"/>
    </xf>
    <xf numFmtId="0" fontId="32" fillId="0" borderId="13" xfId="1" applyFont="1" applyBorder="1" applyAlignment="1">
      <alignment horizontal="left" vertical="center"/>
    </xf>
    <xf numFmtId="0" fontId="32" fillId="0" borderId="8" xfId="1" applyFont="1" applyBorder="1" applyAlignment="1">
      <alignment horizontal="left" vertical="center"/>
    </xf>
    <xf numFmtId="0" fontId="35" fillId="0" borderId="8" xfId="1" applyFont="1" applyBorder="1" applyAlignment="1">
      <alignment horizontal="right" vertical="center" wrapText="1"/>
    </xf>
    <xf numFmtId="0" fontId="34" fillId="0" borderId="8" xfId="1" applyFont="1" applyBorder="1" applyAlignment="1">
      <alignment horizontal="center" vertical="center" wrapText="1"/>
    </xf>
    <xf numFmtId="0" fontId="34" fillId="0" borderId="8" xfId="1" applyFont="1" applyBorder="1" applyAlignment="1">
      <alignment horizontal="center" vertical="center"/>
    </xf>
    <xf numFmtId="165" fontId="34" fillId="0" borderId="8" xfId="1" applyNumberFormat="1" applyFont="1" applyBorder="1" applyAlignment="1">
      <alignment horizontal="center" vertical="center"/>
    </xf>
    <xf numFmtId="165" fontId="36" fillId="0" borderId="8" xfId="1" applyNumberFormat="1" applyFont="1" applyBorder="1" applyAlignment="1">
      <alignment horizontal="center" vertical="center"/>
    </xf>
    <xf numFmtId="165" fontId="36" fillId="0" borderId="11" xfId="1" applyNumberFormat="1" applyFont="1" applyBorder="1" applyAlignment="1">
      <alignment horizontal="center" vertical="center"/>
    </xf>
    <xf numFmtId="0" fontId="37" fillId="0" borderId="0" xfId="0" applyFont="1" applyFill="1" applyBorder="1" applyAlignment="1">
      <alignment horizontal="left" vertical="top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2" fillId="0" borderId="16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6" xfId="0" applyNumberFormat="1" applyFont="1" applyFill="1" applyBorder="1" applyAlignment="1">
      <alignment horizontal="center" vertical="center" wrapText="1"/>
    </xf>
    <xf numFmtId="0" fontId="38" fillId="0" borderId="4" xfId="0" applyFont="1" applyFill="1" applyBorder="1" applyAlignment="1">
      <alignment horizontal="center" vertical="center" wrapText="1"/>
    </xf>
    <xf numFmtId="164" fontId="38" fillId="0" borderId="4" xfId="0" applyNumberFormat="1" applyFont="1" applyFill="1" applyBorder="1" applyAlignment="1">
      <alignment horizontal="center" vertical="center" shrinkToFit="1"/>
    </xf>
    <xf numFmtId="0" fontId="38" fillId="0" borderId="8" xfId="0" applyFont="1" applyFill="1" applyBorder="1" applyAlignment="1">
      <alignment horizontal="center" vertical="center" wrapText="1"/>
    </xf>
    <xf numFmtId="164" fontId="38" fillId="0" borderId="8" xfId="0" applyNumberFormat="1" applyFont="1" applyFill="1" applyBorder="1" applyAlignment="1">
      <alignment horizontal="center" vertical="center" shrinkToFit="1"/>
    </xf>
    <xf numFmtId="164" fontId="38" fillId="0" borderId="11" xfId="0" applyNumberFormat="1" applyFont="1" applyFill="1" applyBorder="1" applyAlignment="1">
      <alignment horizontal="center" vertical="center" shrinkToFit="1"/>
    </xf>
    <xf numFmtId="0" fontId="38" fillId="0" borderId="16" xfId="0" applyFont="1" applyFill="1" applyBorder="1" applyAlignment="1">
      <alignment horizontal="center" vertical="center" wrapText="1"/>
    </xf>
    <xf numFmtId="164" fontId="38" fillId="0" borderId="16" xfId="0" applyNumberFormat="1" applyFont="1" applyFill="1" applyBorder="1" applyAlignment="1">
      <alignment horizontal="center" vertical="center" shrinkToFit="1"/>
    </xf>
    <xf numFmtId="49" fontId="18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17" fillId="0" borderId="0" xfId="0" applyFont="1" applyFill="1" applyBorder="1" applyAlignment="1">
      <alignment horizontal="left" vertical="top"/>
    </xf>
    <xf numFmtId="49" fontId="20" fillId="0" borderId="16" xfId="0" applyNumberFormat="1" applyFont="1" applyBorder="1" applyAlignment="1">
      <alignment horizontal="center"/>
    </xf>
    <xf numFmtId="0" fontId="17" fillId="0" borderId="16" xfId="0" applyFont="1" applyFill="1" applyBorder="1" applyAlignment="1">
      <alignment horizontal="center"/>
    </xf>
    <xf numFmtId="0" fontId="17" fillId="0" borderId="16" xfId="0" applyFont="1" applyBorder="1" applyAlignment="1">
      <alignment horizontal="center" wrapText="1"/>
    </xf>
    <xf numFmtId="2" fontId="20" fillId="0" borderId="16" xfId="0" applyNumberFormat="1" applyFont="1" applyBorder="1" applyAlignment="1">
      <alignment horizontal="center"/>
    </xf>
    <xf numFmtId="49" fontId="17" fillId="0" borderId="16" xfId="0" applyNumberFormat="1" applyFont="1" applyFill="1" applyBorder="1" applyAlignment="1">
      <alignment horizontal="center"/>
    </xf>
    <xf numFmtId="0" fontId="17" fillId="0" borderId="16" xfId="0" applyFont="1" applyFill="1" applyBorder="1" applyAlignment="1">
      <alignment horizontal="center" wrapText="1"/>
    </xf>
    <xf numFmtId="164" fontId="17" fillId="0" borderId="16" xfId="0" applyNumberFormat="1" applyFont="1" applyFill="1" applyBorder="1" applyAlignment="1">
      <alignment horizontal="center"/>
    </xf>
    <xf numFmtId="0" fontId="18" fillId="0" borderId="42" xfId="0" applyFont="1" applyFill="1" applyBorder="1" applyAlignment="1">
      <alignment vertical="top"/>
    </xf>
    <xf numFmtId="0" fontId="18" fillId="0" borderId="43" xfId="0" applyFont="1" applyFill="1" applyBorder="1" applyAlignment="1">
      <alignment vertical="top"/>
    </xf>
    <xf numFmtId="0" fontId="20" fillId="0" borderId="16" xfId="0" applyFont="1" applyBorder="1" applyAlignment="1">
      <alignment horizontal="center" vertical="center"/>
    </xf>
    <xf numFmtId="2" fontId="20" fillId="0" borderId="16" xfId="2" applyNumberFormat="1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2" fontId="17" fillId="0" borderId="16" xfId="0" applyNumberFormat="1" applyFont="1" applyFill="1" applyBorder="1" applyAlignment="1">
      <alignment horizontal="center" vertical="center"/>
    </xf>
    <xf numFmtId="49" fontId="40" fillId="3" borderId="16" xfId="0" applyNumberFormat="1" applyFont="1" applyFill="1" applyBorder="1" applyAlignment="1">
      <alignment horizontal="center" vertical="center"/>
    </xf>
    <xf numFmtId="2" fontId="40" fillId="3" borderId="16" xfId="0" applyNumberFormat="1" applyFont="1" applyFill="1" applyBorder="1" applyAlignment="1">
      <alignment horizontal="center" vertical="center"/>
    </xf>
    <xf numFmtId="49" fontId="40" fillId="0" borderId="16" xfId="0" applyNumberFormat="1" applyFont="1" applyBorder="1" applyAlignment="1">
      <alignment horizontal="center" vertical="center"/>
    </xf>
    <xf numFmtId="2" fontId="40" fillId="0" borderId="16" xfId="0" applyNumberFormat="1" applyFont="1" applyBorder="1" applyAlignment="1">
      <alignment horizontal="center" vertical="center"/>
    </xf>
    <xf numFmtId="2" fontId="40" fillId="3" borderId="16" xfId="0" applyNumberFormat="1" applyFont="1" applyFill="1" applyBorder="1" applyAlignment="1">
      <alignment horizontal="right" vertical="center"/>
    </xf>
    <xf numFmtId="2" fontId="40" fillId="0" borderId="16" xfId="0" applyNumberFormat="1" applyFont="1" applyBorder="1" applyAlignment="1">
      <alignment horizontal="right" vertical="center"/>
    </xf>
    <xf numFmtId="0" fontId="17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2" fillId="0" borderId="0" xfId="3" applyNumberFormat="1" applyFont="1"/>
    <xf numFmtId="49" fontId="22" fillId="0" borderId="16" xfId="3" applyNumberFormat="1" applyFont="1" applyBorder="1" applyAlignment="1">
      <alignment horizontal="center" vertical="center" wrapText="1"/>
    </xf>
    <xf numFmtId="0" fontId="21" fillId="0" borderId="36" xfId="3" applyFont="1" applyFill="1" applyBorder="1" applyAlignment="1">
      <alignment horizontal="center" vertical="center"/>
    </xf>
    <xf numFmtId="0" fontId="21" fillId="3" borderId="36" xfId="3" applyFont="1" applyFill="1" applyBorder="1" applyAlignment="1">
      <alignment horizontal="center" vertical="center"/>
    </xf>
    <xf numFmtId="49" fontId="22" fillId="3" borderId="16" xfId="3" applyNumberFormat="1" applyFont="1" applyFill="1" applyBorder="1" applyAlignment="1">
      <alignment horizontal="center" vertical="center" wrapText="1"/>
    </xf>
    <xf numFmtId="4" fontId="22" fillId="3" borderId="37" xfId="3" applyNumberFormat="1" applyFont="1" applyFill="1" applyBorder="1" applyAlignment="1">
      <alignment horizontal="center" vertical="center"/>
    </xf>
    <xf numFmtId="4" fontId="22" fillId="0" borderId="37" xfId="3" applyNumberFormat="1" applyFont="1" applyBorder="1" applyAlignment="1">
      <alignment horizontal="center" vertical="center"/>
    </xf>
    <xf numFmtId="0" fontId="20" fillId="0" borderId="40" xfId="3" applyFont="1" applyBorder="1" applyAlignment="1">
      <alignment horizontal="center" vertical="center"/>
    </xf>
    <xf numFmtId="2" fontId="18" fillId="0" borderId="16" xfId="3" applyNumberFormat="1" applyFont="1" applyFill="1" applyBorder="1" applyAlignment="1">
      <alignment horizontal="center" vertical="center"/>
    </xf>
    <xf numFmtId="0" fontId="18" fillId="0" borderId="16" xfId="3" applyFont="1" applyFill="1" applyBorder="1" applyAlignment="1">
      <alignment horizontal="center" vertical="center"/>
    </xf>
    <xf numFmtId="0" fontId="21" fillId="0" borderId="16" xfId="3" applyFont="1" applyFill="1" applyBorder="1" applyAlignment="1">
      <alignment horizontal="center" vertical="center" wrapText="1"/>
    </xf>
    <xf numFmtId="0" fontId="18" fillId="0" borderId="16" xfId="3" applyFont="1" applyFill="1" applyBorder="1" applyAlignment="1">
      <alignment vertical="top"/>
    </xf>
    <xf numFmtId="0" fontId="43" fillId="0" borderId="16" xfId="3" applyFont="1" applyFill="1" applyBorder="1" applyAlignment="1">
      <alignment horizontal="center" vertical="center" wrapText="1"/>
    </xf>
    <xf numFmtId="0" fontId="44" fillId="0" borderId="16" xfId="3" applyFont="1" applyFill="1" applyBorder="1" applyAlignment="1">
      <alignment vertical="top"/>
    </xf>
    <xf numFmtId="0" fontId="44" fillId="0" borderId="16" xfId="3" applyFont="1" applyFill="1" applyBorder="1" applyAlignment="1">
      <alignment horizontal="center" vertical="center"/>
    </xf>
    <xf numFmtId="2" fontId="44" fillId="0" borderId="16" xfId="3" applyNumberFormat="1" applyFont="1" applyFill="1" applyBorder="1" applyAlignment="1">
      <alignment horizontal="center" vertical="center"/>
    </xf>
    <xf numFmtId="0" fontId="43" fillId="7" borderId="16" xfId="3" applyFont="1" applyFill="1" applyBorder="1" applyAlignment="1">
      <alignment horizontal="center" vertical="center" wrapText="1"/>
    </xf>
    <xf numFmtId="0" fontId="44" fillId="7" borderId="16" xfId="3" applyFont="1" applyFill="1" applyBorder="1" applyAlignment="1">
      <alignment horizontal="center" vertical="center"/>
    </xf>
    <xf numFmtId="2" fontId="44" fillId="7" borderId="16" xfId="3" applyNumberFormat="1" applyFont="1" applyFill="1" applyBorder="1" applyAlignment="1">
      <alignment horizontal="center" vertical="center"/>
    </xf>
    <xf numFmtId="0" fontId="46" fillId="0" borderId="36" xfId="3" applyFont="1" applyFill="1" applyBorder="1" applyAlignment="1">
      <alignment horizontal="center" vertical="center"/>
    </xf>
    <xf numFmtId="0" fontId="46" fillId="0" borderId="0" xfId="3" applyNumberFormat="1" applyFont="1"/>
    <xf numFmtId="0" fontId="46" fillId="0" borderId="0" xfId="3" applyNumberFormat="1" applyFont="1" applyFill="1"/>
    <xf numFmtId="2" fontId="46" fillId="0" borderId="16" xfId="3" applyNumberFormat="1" applyFont="1" applyBorder="1"/>
    <xf numFmtId="4" fontId="46" fillId="0" borderId="16" xfId="0" applyNumberFormat="1" applyFont="1" applyFill="1" applyBorder="1" applyAlignment="1">
      <alignment horizontal="center" vertical="center" wrapText="1"/>
    </xf>
    <xf numFmtId="2" fontId="46" fillId="7" borderId="16" xfId="3" applyNumberFormat="1" applyFont="1" applyFill="1" applyBorder="1"/>
    <xf numFmtId="4" fontId="45" fillId="0" borderId="16" xfId="0" applyNumberFormat="1" applyFont="1" applyFill="1" applyBorder="1" applyAlignment="1">
      <alignment horizontal="center" vertical="center" wrapText="1"/>
    </xf>
    <xf numFmtId="1" fontId="46" fillId="0" borderId="16" xfId="3" applyNumberFormat="1" applyFont="1" applyBorder="1" applyAlignment="1">
      <alignment horizontal="center" vertical="center"/>
    </xf>
    <xf numFmtId="49" fontId="46" fillId="0" borderId="16" xfId="3" applyNumberFormat="1" applyFont="1" applyBorder="1" applyAlignment="1">
      <alignment horizontal="center" vertical="center"/>
    </xf>
    <xf numFmtId="2" fontId="46" fillId="0" borderId="16" xfId="3" applyNumberFormat="1" applyFont="1" applyBorder="1" applyAlignment="1">
      <alignment horizontal="center" vertical="center"/>
    </xf>
    <xf numFmtId="2" fontId="46" fillId="7" borderId="16" xfId="3" applyNumberFormat="1" applyFont="1" applyFill="1" applyBorder="1" applyAlignment="1">
      <alignment horizontal="center" vertical="center"/>
    </xf>
    <xf numFmtId="2" fontId="46" fillId="7" borderId="16" xfId="3" applyNumberFormat="1" applyFont="1" applyFill="1" applyBorder="1" applyAlignment="1">
      <alignment horizontal="right" vertical="center"/>
    </xf>
    <xf numFmtId="0" fontId="21" fillId="0" borderId="16" xfId="0" applyFont="1" applyFill="1" applyBorder="1" applyAlignment="1">
      <alignment horizontal="center" vertical="center" wrapText="1"/>
    </xf>
    <xf numFmtId="0" fontId="43" fillId="0" borderId="16" xfId="3" applyFont="1" applyFill="1" applyBorder="1" applyAlignment="1">
      <alignment horizontal="center" vertical="center" wrapText="1"/>
    </xf>
    <xf numFmtId="2" fontId="46" fillId="7" borderId="16" xfId="3" applyNumberFormat="1" applyFont="1" applyFill="1" applyBorder="1"/>
    <xf numFmtId="2" fontId="46" fillId="0" borderId="16" xfId="3" applyNumberFormat="1" applyFont="1" applyBorder="1"/>
    <xf numFmtId="4" fontId="22" fillId="0" borderId="39" xfId="0" applyNumberFormat="1" applyFont="1" applyBorder="1" applyAlignment="1">
      <alignment horizontal="center" vertical="center"/>
    </xf>
    <xf numFmtId="4" fontId="22" fillId="3" borderId="39" xfId="0" applyNumberFormat="1" applyFont="1" applyFill="1" applyBorder="1" applyAlignment="1">
      <alignment horizontal="center" vertical="center"/>
    </xf>
    <xf numFmtId="1" fontId="46" fillId="0" borderId="16" xfId="3" applyNumberFormat="1" applyFont="1" applyBorder="1"/>
    <xf numFmtId="49" fontId="46" fillId="0" borderId="16" xfId="3" applyNumberFormat="1" applyFont="1" applyBorder="1" applyAlignment="1">
      <alignment horizontal="right"/>
    </xf>
    <xf numFmtId="2" fontId="46" fillId="7" borderId="16" xfId="3" applyNumberFormat="1" applyFont="1" applyFill="1" applyBorder="1" applyAlignment="1">
      <alignment horizontal="right"/>
    </xf>
    <xf numFmtId="0" fontId="46" fillId="0" borderId="16" xfId="3" applyFont="1" applyFill="1" applyBorder="1" applyAlignment="1">
      <alignment horizontal="center" vertical="center"/>
    </xf>
    <xf numFmtId="2" fontId="46" fillId="7" borderId="16" xfId="3" applyNumberFormat="1" applyFont="1" applyFill="1" applyBorder="1"/>
    <xf numFmtId="4" fontId="46" fillId="0" borderId="16" xfId="0" applyNumberFormat="1" applyFont="1" applyFill="1" applyBorder="1" applyAlignment="1">
      <alignment horizontal="center" vertical="center" wrapText="1"/>
    </xf>
    <xf numFmtId="2" fontId="46" fillId="0" borderId="16" xfId="3" applyNumberFormat="1" applyFont="1" applyBorder="1"/>
    <xf numFmtId="0" fontId="43" fillId="0" borderId="16" xfId="3" applyFont="1" applyFill="1" applyBorder="1" applyAlignment="1">
      <alignment horizontal="center" vertical="center" wrapText="1"/>
    </xf>
    <xf numFmtId="4" fontId="46" fillId="0" borderId="16" xfId="0" applyNumberFormat="1" applyFont="1" applyFill="1" applyBorder="1" applyAlignment="1">
      <alignment horizontal="center" vertical="center" wrapText="1"/>
    </xf>
    <xf numFmtId="2" fontId="46" fillId="0" borderId="16" xfId="3" applyNumberFormat="1" applyFont="1" applyBorder="1"/>
    <xf numFmtId="0" fontId="43" fillId="8" borderId="16" xfId="3" applyFont="1" applyFill="1" applyBorder="1" applyAlignment="1">
      <alignment horizontal="center" vertical="center" wrapText="1"/>
    </xf>
    <xf numFmtId="0" fontId="44" fillId="8" borderId="16" xfId="3" applyFont="1" applyFill="1" applyBorder="1" applyAlignment="1">
      <alignment horizontal="center" vertical="center"/>
    </xf>
    <xf numFmtId="2" fontId="44" fillId="8" borderId="16" xfId="3" applyNumberFormat="1" applyFont="1" applyFill="1" applyBorder="1" applyAlignment="1">
      <alignment horizontal="center" vertical="center"/>
    </xf>
    <xf numFmtId="166" fontId="44" fillId="0" borderId="16" xfId="3" applyNumberFormat="1" applyFont="1" applyFill="1" applyBorder="1" applyAlignment="1">
      <alignment horizontal="center" vertical="center"/>
    </xf>
    <xf numFmtId="0" fontId="46" fillId="0" borderId="16" xfId="3" applyNumberFormat="1" applyFont="1" applyBorder="1" applyAlignment="1">
      <alignment vertical="center"/>
    </xf>
    <xf numFmtId="0" fontId="46" fillId="0" borderId="16" xfId="3" applyNumberFormat="1" applyFont="1" applyFill="1" applyBorder="1" applyAlignment="1">
      <alignment vertical="center"/>
    </xf>
    <xf numFmtId="0" fontId="46" fillId="8" borderId="16" xfId="3" applyNumberFormat="1" applyFont="1" applyFill="1" applyBorder="1" applyAlignment="1">
      <alignment vertical="center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6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left" vertical="top" wrapText="1" indent="2"/>
    </xf>
    <xf numFmtId="0" fontId="2" fillId="0" borderId="16" xfId="0" applyFont="1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7" fillId="0" borderId="16" xfId="0" applyFont="1" applyFill="1" applyBorder="1" applyAlignment="1">
      <alignment horizontal="left" vertical="top" wrapText="1" indent="7"/>
    </xf>
    <xf numFmtId="0" fontId="1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46" fillId="0" borderId="43" xfId="3" applyNumberFormat="1" applyFont="1" applyFill="1" applyBorder="1" applyAlignment="1">
      <alignment horizontal="center"/>
    </xf>
    <xf numFmtId="0" fontId="46" fillId="0" borderId="0" xfId="3" applyNumberFormat="1" applyFont="1" applyFill="1" applyAlignment="1">
      <alignment horizontal="center"/>
    </xf>
    <xf numFmtId="0" fontId="43" fillId="0" borderId="42" xfId="3" applyFont="1" applyFill="1" applyBorder="1" applyAlignment="1">
      <alignment horizontal="center" vertical="center" wrapText="1"/>
    </xf>
    <xf numFmtId="0" fontId="43" fillId="0" borderId="16" xfId="3" applyFont="1" applyFill="1" applyBorder="1" applyAlignment="1">
      <alignment horizontal="center" vertical="center" wrapText="1"/>
    </xf>
    <xf numFmtId="0" fontId="43" fillId="0" borderId="19" xfId="3" applyFont="1" applyFill="1" applyBorder="1" applyAlignment="1">
      <alignment horizontal="center" vertical="center" wrapText="1"/>
    </xf>
    <xf numFmtId="0" fontId="43" fillId="0" borderId="20" xfId="3" applyFont="1" applyFill="1" applyBorder="1" applyAlignment="1">
      <alignment horizontal="center" vertical="center" wrapText="1"/>
    </xf>
    <xf numFmtId="0" fontId="43" fillId="0" borderId="19" xfId="3" applyFont="1" applyFill="1" applyBorder="1" applyAlignment="1">
      <alignment horizontal="left" vertical="center" wrapText="1"/>
    </xf>
    <xf numFmtId="0" fontId="43" fillId="0" borderId="20" xfId="3" applyFont="1" applyFill="1" applyBorder="1" applyAlignment="1">
      <alignment horizontal="left" vertical="center" wrapText="1"/>
    </xf>
    <xf numFmtId="0" fontId="43" fillId="0" borderId="21" xfId="3" applyFont="1" applyFill="1" applyBorder="1" applyAlignment="1">
      <alignment horizontal="center" vertical="center" wrapText="1"/>
    </xf>
    <xf numFmtId="0" fontId="43" fillId="7" borderId="19" xfId="3" applyFont="1" applyFill="1" applyBorder="1" applyAlignment="1">
      <alignment horizontal="left" vertical="center" wrapText="1"/>
    </xf>
    <xf numFmtId="0" fontId="43" fillId="7" borderId="20" xfId="3" applyFont="1" applyFill="1" applyBorder="1" applyAlignment="1">
      <alignment horizontal="left" vertical="center" wrapText="1"/>
    </xf>
    <xf numFmtId="0" fontId="43" fillId="7" borderId="21" xfId="3" applyFont="1" applyFill="1" applyBorder="1" applyAlignment="1">
      <alignment horizontal="left" vertical="center" wrapText="1"/>
    </xf>
    <xf numFmtId="0" fontId="43" fillId="0" borderId="21" xfId="3" applyFont="1" applyFill="1" applyBorder="1" applyAlignment="1">
      <alignment horizontal="left" vertical="center" wrapText="1"/>
    </xf>
    <xf numFmtId="0" fontId="44" fillId="0" borderId="16" xfId="0" applyFont="1" applyFill="1" applyBorder="1" applyAlignment="1">
      <alignment vertical="center" wrapText="1"/>
    </xf>
    <xf numFmtId="0" fontId="44" fillId="8" borderId="16" xfId="0" applyFont="1" applyFill="1" applyBorder="1" applyAlignment="1">
      <alignment vertical="center" wrapText="1"/>
    </xf>
    <xf numFmtId="0" fontId="43" fillId="0" borderId="17" xfId="3" applyFont="1" applyFill="1" applyBorder="1" applyAlignment="1">
      <alignment horizontal="center" vertical="center" wrapText="1"/>
    </xf>
    <xf numFmtId="0" fontId="43" fillId="0" borderId="18" xfId="3" applyFont="1" applyFill="1" applyBorder="1" applyAlignment="1">
      <alignment horizontal="center" vertical="center" wrapText="1"/>
    </xf>
    <xf numFmtId="0" fontId="46" fillId="0" borderId="16" xfId="3" applyNumberFormat="1" applyFont="1" applyFill="1" applyBorder="1" applyAlignment="1">
      <alignment vertical="center"/>
    </xf>
    <xf numFmtId="0" fontId="46" fillId="8" borderId="16" xfId="3" applyNumberFormat="1" applyFont="1" applyFill="1" applyBorder="1" applyAlignment="1">
      <alignment vertical="center"/>
    </xf>
    <xf numFmtId="0" fontId="46" fillId="0" borderId="16" xfId="3" applyNumberFormat="1" applyFont="1" applyBorder="1" applyAlignment="1">
      <alignment vertical="center"/>
    </xf>
    <xf numFmtId="2" fontId="46" fillId="0" borderId="16" xfId="3" applyNumberFormat="1" applyFont="1" applyBorder="1"/>
    <xf numFmtId="2" fontId="46" fillId="0" borderId="19" xfId="3" applyNumberFormat="1" applyFont="1" applyBorder="1" applyAlignment="1">
      <alignment horizontal="center"/>
    </xf>
    <xf numFmtId="2" fontId="46" fillId="0" borderId="21" xfId="3" applyNumberFormat="1" applyFont="1" applyBorder="1" applyAlignment="1">
      <alignment horizontal="center"/>
    </xf>
    <xf numFmtId="2" fontId="46" fillId="7" borderId="16" xfId="3" applyNumberFormat="1" applyFont="1" applyFill="1" applyBorder="1"/>
    <xf numFmtId="0" fontId="44" fillId="0" borderId="16" xfId="3" applyFont="1" applyFill="1" applyBorder="1" applyAlignment="1">
      <alignment vertical="center" wrapText="1"/>
    </xf>
    <xf numFmtId="0" fontId="44" fillId="8" borderId="16" xfId="3" applyFont="1" applyFill="1" applyBorder="1" applyAlignment="1">
      <alignment vertical="center" wrapText="1"/>
    </xf>
    <xf numFmtId="4" fontId="46" fillId="0" borderId="16" xfId="0" applyNumberFormat="1" applyFont="1" applyFill="1" applyBorder="1" applyAlignment="1">
      <alignment horizontal="center" vertical="center" wrapText="1"/>
    </xf>
    <xf numFmtId="0" fontId="43" fillId="0" borderId="16" xfId="3" applyFont="1" applyFill="1" applyBorder="1" applyAlignment="1">
      <alignment horizontal="left" vertical="center" wrapText="1"/>
    </xf>
    <xf numFmtId="0" fontId="43" fillId="8" borderId="16" xfId="3" applyFont="1" applyFill="1" applyBorder="1" applyAlignment="1">
      <alignment horizontal="left" vertical="center" wrapText="1"/>
    </xf>
    <xf numFmtId="0" fontId="44" fillId="0" borderId="16" xfId="3" applyFont="1" applyFill="1" applyBorder="1" applyAlignment="1">
      <alignment horizontal="center" vertical="center" wrapText="1"/>
    </xf>
    <xf numFmtId="0" fontId="44" fillId="0" borderId="19" xfId="3" applyFont="1" applyFill="1" applyBorder="1" applyAlignment="1">
      <alignment horizontal="left" vertical="center" wrapText="1"/>
    </xf>
    <xf numFmtId="0" fontId="44" fillId="0" borderId="20" xfId="3" applyFont="1" applyFill="1" applyBorder="1" applyAlignment="1">
      <alignment horizontal="left" vertical="center" wrapText="1"/>
    </xf>
    <xf numFmtId="0" fontId="44" fillId="7" borderId="19" xfId="3" applyFont="1" applyFill="1" applyBorder="1" applyAlignment="1">
      <alignment horizontal="left" vertical="center" wrapText="1"/>
    </xf>
    <xf numFmtId="0" fontId="44" fillId="7" borderId="20" xfId="3" applyFont="1" applyFill="1" applyBorder="1" applyAlignment="1">
      <alignment horizontal="left" vertical="center" wrapText="1"/>
    </xf>
    <xf numFmtId="0" fontId="13" fillId="0" borderId="16" xfId="0" applyFont="1" applyFill="1" applyBorder="1" applyAlignment="1">
      <alignment horizontal="center" vertical="center" wrapText="1"/>
    </xf>
    <xf numFmtId="0" fontId="13" fillId="0" borderId="17" xfId="0" applyFont="1" applyFill="1" applyBorder="1" applyAlignment="1">
      <alignment horizontal="center" vertical="center" wrapText="1"/>
    </xf>
    <xf numFmtId="0" fontId="13" fillId="0" borderId="18" xfId="0" applyFont="1" applyFill="1" applyBorder="1" applyAlignment="1">
      <alignment horizontal="center" vertical="center" wrapText="1"/>
    </xf>
    <xf numFmtId="0" fontId="15" fillId="0" borderId="16" xfId="0" applyFont="1" applyFill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17" fillId="0" borderId="43" xfId="0" applyFont="1" applyFill="1" applyBorder="1" applyAlignment="1">
      <alignment horizontal="center" vertical="top"/>
    </xf>
    <xf numFmtId="0" fontId="17" fillId="0" borderId="0" xfId="0" applyFont="1" applyFill="1" applyBorder="1" applyAlignment="1">
      <alignment horizontal="center" vertical="top"/>
    </xf>
    <xf numFmtId="0" fontId="17" fillId="0" borderId="45" xfId="0" applyFont="1" applyFill="1" applyBorder="1" applyAlignment="1">
      <alignment horizontal="center" vertical="center"/>
    </xf>
    <xf numFmtId="0" fontId="17" fillId="0" borderId="42" xfId="0" applyFont="1" applyFill="1" applyBorder="1" applyAlignment="1">
      <alignment horizontal="center" vertical="center"/>
    </xf>
    <xf numFmtId="0" fontId="17" fillId="0" borderId="46" xfId="0" applyFont="1" applyFill="1" applyBorder="1" applyAlignment="1">
      <alignment horizontal="center" vertical="center"/>
    </xf>
    <xf numFmtId="0" fontId="20" fillId="0" borderId="42" xfId="0" applyFont="1" applyBorder="1" applyAlignment="1">
      <alignment horizontal="center"/>
    </xf>
    <xf numFmtId="0" fontId="20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left" vertical="center" wrapText="1"/>
    </xf>
    <xf numFmtId="0" fontId="20" fillId="0" borderId="16" xfId="0" applyFont="1" applyBorder="1" applyAlignment="1">
      <alignment horizontal="center" vertical="center" wrapText="1"/>
    </xf>
    <xf numFmtId="0" fontId="26" fillId="0" borderId="17" xfId="3" applyFont="1" applyBorder="1" applyAlignment="1">
      <alignment horizontal="center" vertical="center" wrapText="1"/>
    </xf>
    <xf numFmtId="0" fontId="26" fillId="0" borderId="18" xfId="3" applyFont="1" applyBorder="1" applyAlignment="1">
      <alignment horizontal="center" vertical="center" wrapText="1"/>
    </xf>
    <xf numFmtId="0" fontId="26" fillId="0" borderId="32" xfId="3" applyFont="1" applyBorder="1" applyAlignment="1">
      <alignment horizontal="center" vertical="center" wrapText="1"/>
    </xf>
    <xf numFmtId="0" fontId="42" fillId="0" borderId="43" xfId="3" applyNumberFormat="1" applyFont="1" applyBorder="1" applyAlignment="1">
      <alignment horizontal="center"/>
    </xf>
    <xf numFmtId="0" fontId="42" fillId="0" borderId="0" xfId="3" applyNumberFormat="1" applyFont="1" applyAlignment="1">
      <alignment horizontal="center"/>
    </xf>
    <xf numFmtId="0" fontId="21" fillId="0" borderId="19" xfId="3" applyFont="1" applyFill="1" applyBorder="1" applyAlignment="1">
      <alignment horizontal="left" vertical="center" wrapText="1"/>
    </xf>
    <xf numFmtId="0" fontId="21" fillId="0" borderId="20" xfId="3" applyFont="1" applyFill="1" applyBorder="1" applyAlignment="1">
      <alignment horizontal="left" vertical="center" wrapText="1"/>
    </xf>
    <xf numFmtId="0" fontId="21" fillId="0" borderId="21" xfId="3" applyFont="1" applyFill="1" applyBorder="1" applyAlignment="1">
      <alignment horizontal="left" vertical="center" wrapText="1"/>
    </xf>
    <xf numFmtId="0" fontId="18" fillId="0" borderId="19" xfId="3" applyFont="1" applyFill="1" applyBorder="1" applyAlignment="1">
      <alignment horizontal="left" vertical="center" wrapText="1"/>
    </xf>
    <xf numFmtId="0" fontId="18" fillId="0" borderId="20" xfId="3" applyFont="1" applyFill="1" applyBorder="1" applyAlignment="1">
      <alignment horizontal="left" vertical="center" wrapText="1"/>
    </xf>
    <xf numFmtId="0" fontId="18" fillId="0" borderId="21" xfId="3" applyFont="1" applyFill="1" applyBorder="1" applyAlignment="1">
      <alignment horizontal="left" vertical="center" wrapText="1"/>
    </xf>
    <xf numFmtId="0" fontId="21" fillId="0" borderId="16" xfId="3" applyFont="1" applyFill="1" applyBorder="1" applyAlignment="1">
      <alignment horizontal="center" vertical="center" wrapText="1"/>
    </xf>
    <xf numFmtId="0" fontId="21" fillId="0" borderId="42" xfId="3" applyFont="1" applyFill="1" applyBorder="1" applyAlignment="1">
      <alignment horizontal="center" vertical="center" wrapText="1"/>
    </xf>
    <xf numFmtId="0" fontId="21" fillId="0" borderId="19" xfId="3" applyFont="1" applyFill="1" applyBorder="1" applyAlignment="1">
      <alignment horizontal="center" vertical="center" wrapText="1"/>
    </xf>
    <xf numFmtId="0" fontId="21" fillId="0" borderId="20" xfId="3" applyFont="1" applyFill="1" applyBorder="1" applyAlignment="1">
      <alignment horizontal="center" vertical="center" wrapText="1"/>
    </xf>
    <xf numFmtId="0" fontId="21" fillId="0" borderId="21" xfId="3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/>
    </xf>
    <xf numFmtId="0" fontId="17" fillId="0" borderId="19" xfId="0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17" fillId="0" borderId="44" xfId="0" applyFont="1" applyFill="1" applyBorder="1" applyAlignment="1">
      <alignment horizontal="center" vertical="top"/>
    </xf>
    <xf numFmtId="0" fontId="17" fillId="0" borderId="42" xfId="0" applyFont="1" applyFill="1" applyBorder="1" applyAlignment="1">
      <alignment horizontal="center" vertical="top"/>
    </xf>
    <xf numFmtId="0" fontId="21" fillId="0" borderId="25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9" xfId="0" applyFont="1" applyFill="1" applyBorder="1" applyAlignment="1">
      <alignment horizontal="center" vertical="center" wrapText="1"/>
    </xf>
    <xf numFmtId="0" fontId="21" fillId="0" borderId="20" xfId="0" applyFont="1" applyFill="1" applyBorder="1" applyAlignment="1">
      <alignment horizontal="center" vertical="center" wrapText="1"/>
    </xf>
    <xf numFmtId="0" fontId="21" fillId="0" borderId="21" xfId="0" applyFont="1" applyFill="1" applyBorder="1" applyAlignment="1">
      <alignment horizontal="center" vertical="center" wrapText="1"/>
    </xf>
    <xf numFmtId="0" fontId="18" fillId="0" borderId="42" xfId="0" applyFont="1" applyFill="1" applyBorder="1" applyAlignment="1">
      <alignment horizontal="center" vertical="top"/>
    </xf>
    <xf numFmtId="0" fontId="18" fillId="0" borderId="0" xfId="0" applyFont="1" applyFill="1" applyBorder="1" applyAlignment="1">
      <alignment horizontal="center" vertical="top"/>
    </xf>
    <xf numFmtId="0" fontId="21" fillId="0" borderId="0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21" fillId="0" borderId="16" xfId="0" applyFont="1" applyFill="1" applyBorder="1" applyAlignment="1">
      <alignment horizontal="left" vertical="top" wrapText="1"/>
    </xf>
    <xf numFmtId="0" fontId="18" fillId="0" borderId="14" xfId="0" applyFont="1" applyFill="1" applyBorder="1" applyAlignment="1">
      <alignment horizontal="center" vertical="top"/>
    </xf>
    <xf numFmtId="0" fontId="21" fillId="0" borderId="43" xfId="0" applyFont="1" applyFill="1" applyBorder="1" applyAlignment="1">
      <alignment horizontal="center" vertical="center" wrapText="1"/>
    </xf>
    <xf numFmtId="0" fontId="30" fillId="0" borderId="0" xfId="1" applyFont="1" applyAlignment="1">
      <alignment horizontal="center" vertical="center"/>
    </xf>
    <xf numFmtId="0" fontId="31" fillId="4" borderId="0" xfId="1" applyFont="1" applyFill="1" applyAlignment="1">
      <alignment horizontal="center" vertical="center"/>
    </xf>
    <xf numFmtId="0" fontId="32" fillId="0" borderId="0" xfId="1" applyFont="1" applyAlignment="1">
      <alignment horizontal="center" vertical="center"/>
    </xf>
    <xf numFmtId="0" fontId="18" fillId="0" borderId="43" xfId="0" applyFont="1" applyFill="1" applyBorder="1" applyAlignment="1">
      <alignment horizontal="center" vertical="top"/>
    </xf>
    <xf numFmtId="0" fontId="44" fillId="8" borderId="19" xfId="0" applyFont="1" applyFill="1" applyBorder="1" applyAlignment="1">
      <alignment vertical="center" wrapText="1"/>
    </xf>
    <xf numFmtId="0" fontId="44" fillId="8" borderId="20" xfId="0" applyFont="1" applyFill="1" applyBorder="1" applyAlignment="1">
      <alignment vertical="center" wrapText="1"/>
    </xf>
    <xf numFmtId="0" fontId="44" fillId="8" borderId="21" xfId="0" applyFont="1" applyFill="1" applyBorder="1" applyAlignment="1">
      <alignment vertical="center" wrapText="1"/>
    </xf>
    <xf numFmtId="0" fontId="44" fillId="0" borderId="19" xfId="0" applyFont="1" applyFill="1" applyBorder="1" applyAlignment="1">
      <alignment vertical="center" wrapText="1"/>
    </xf>
    <xf numFmtId="0" fontId="44" fillId="0" borderId="20" xfId="0" applyFont="1" applyFill="1" applyBorder="1" applyAlignment="1">
      <alignment vertical="center" wrapText="1"/>
    </xf>
    <xf numFmtId="0" fontId="44" fillId="0" borderId="21" xfId="0" applyFont="1" applyFill="1" applyBorder="1" applyAlignment="1">
      <alignment vertical="center" wrapText="1"/>
    </xf>
  </cellXfs>
  <cellStyles count="4">
    <cellStyle name="Обычный" xfId="0" builtinId="0"/>
    <cellStyle name="Обычный 2" xfId="1"/>
    <cellStyle name="Обычный 3" xfId="3"/>
    <cellStyle name="Финансовый" xfId="2" builtinId="3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tables/table1.xml><?xml version="1.0" encoding="utf-8"?>
<table xmlns="http://schemas.openxmlformats.org/spreadsheetml/2006/main" id="5" name="Таблица5" displayName="Таблица5" ref="A4:C179" totalsRowShown="0">
  <autoFilter ref="A4:C179"/>
  <tableColumns count="3">
    <tableColumn id="1" name="Ном ер пом еще ния" dataDxfId="56"/>
    <tableColumn id="2" name="Газобетон" dataDxfId="55"/>
    <tableColumn id="3" name="ПГП" dataDxfId="54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" name="Таблица1" displayName="Таблица1" ref="A4:D43" totalsRowShown="0" headerRowBorderDxfId="53" tableBorderDxfId="52" totalsRowBorderDxfId="51">
  <autoFilter ref="A4:D43"/>
  <tableColumns count="4">
    <tableColumn id="1" name="№ п.п." dataDxfId="50"/>
    <tableColumn id="2" name="Пом.:" dataDxfId="49"/>
    <tableColumn id="3" name="Помещения:2" dataDxfId="48"/>
    <tableColumn id="4" name="Объем, м²" dataDxfId="47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13" displayName="Таблица13" ref="A6:C34" totalsRowShown="0" headerRowBorderDxfId="46" tableBorderDxfId="45" totalsRowBorderDxfId="44">
  <autoFilter ref="A6:C34"/>
  <tableColumns count="3">
    <tableColumn id="1" name="№ п.п." dataDxfId="43"/>
    <tableColumn id="2" name="Пом.:" dataDxfId="42"/>
    <tableColumn id="4" name="Объем, м²" dataDxfId="41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8" name="Таблица134789" displayName="Таблица134789" ref="A5:C7" totalsRowShown="0" headerRowBorderDxfId="40" tableBorderDxfId="39" totalsRowBorderDxfId="38">
  <autoFilter ref="A5:C7"/>
  <tableColumns count="3">
    <tableColumn id="1" name="№ п.п." dataDxfId="37"/>
    <tableColumn id="2" name="Пом.:" dataDxfId="36"/>
    <tableColumn id="4" name="Объем, м²" dataDxfId="35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9" name="Таблица134710" displayName="Таблица134710" ref="A5:C10" totalsRowShown="0" headerRowBorderDxfId="34" tableBorderDxfId="33" totalsRowBorderDxfId="32">
  <autoFilter ref="A5:C10"/>
  <tableColumns count="3">
    <tableColumn id="1" name="№ п.п." dataDxfId="31"/>
    <tableColumn id="2" name="Пом.:" dataDxfId="30"/>
    <tableColumn id="4" name="Объем, м²" dataDxfId="29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7" name="Таблица13478" displayName="Таблица13478" ref="A5:C19" totalsRowShown="0" headerRowBorderDxfId="28" tableBorderDxfId="27" totalsRowBorderDxfId="26">
  <autoFilter ref="A5:C19"/>
  <tableColumns count="3">
    <tableColumn id="1" name="№ п.п." dataDxfId="25"/>
    <tableColumn id="2" name="Пом.:" dataDxfId="24"/>
    <tableColumn id="4" name="Объем, м²" dataDxfId="23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1347" displayName="Таблица1347" ref="A6:C38" totalsRowShown="0" headerRowBorderDxfId="22" tableBorderDxfId="21" totalsRowBorderDxfId="20">
  <autoFilter ref="A6:C38"/>
  <tableColumns count="3">
    <tableColumn id="1" name="№ п.п." dataDxfId="19"/>
    <tableColumn id="2" name="Пом.:" dataDxfId="18"/>
    <tableColumn id="4" name="Объем, м²" dataDxfId="17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134" displayName="Таблица134" ref="A6:C34" totalsRowShown="0" headerRowBorderDxfId="16" tableBorderDxfId="15" totalsRowBorderDxfId="14">
  <autoFilter ref="A6:C34"/>
  <tableColumns count="3">
    <tableColumn id="1" name="№ п.п." dataDxfId="13"/>
    <tableColumn id="2" name="Пом.:" dataDxfId="12"/>
    <tableColumn id="4" name="Объем, м²" dataDxfId="11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4" name="Таблица4" displayName="Таблица4" ref="A5:I400" totalsRowShown="0" headerRowDxfId="10" tableBorderDxfId="9" headerRowCellStyle="Обычный 2">
  <autoFilter ref="A5:I400"/>
  <tableColumns count="9">
    <tableColumn id="1" name="Номер п/п" dataDxfId="8" dataCellStyle="Обычный 2"/>
    <tableColumn id="2" name="Код узла ИСР" dataDxfId="7" dataCellStyle="Обычный 2"/>
    <tableColumn id="3" name="Наименование затрат" dataDxfId="6" dataCellStyle="Обычный 2"/>
    <tableColumn id="4" name="Комментарий по ИСР" dataDxfId="5" dataCellStyle="Обычный 2"/>
    <tableColumn id="5" name="Комментарий подрядчика" dataDxfId="4" dataCellStyle="Обычный 2"/>
    <tableColumn id="6" name="Ед. изм." dataDxfId="3" dataCellStyle="Обычный 2"/>
    <tableColumn id="7" name="Коэф.расхода" dataDxfId="2" dataCellStyle="Обычный 2"/>
    <tableColumn id="8" name="Кол-во БО" dataDxfId="1" dataCellStyle="Обычный 2"/>
    <tableColumn id="9" name="Общее кол-во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2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3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6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7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385" t="s">
        <v>0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2" spans="1:17" ht="19.5" customHeight="1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383" t="s">
        <v>4</v>
      </c>
      <c r="N2" s="383"/>
      <c r="O2" s="386" t="s">
        <v>5</v>
      </c>
      <c r="P2" s="386"/>
      <c r="Q2" s="387" t="s">
        <v>6</v>
      </c>
    </row>
    <row r="3" spans="1:17" ht="19.5" customHeight="1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390" t="s">
        <v>10</v>
      </c>
      <c r="J3" s="390"/>
      <c r="K3" s="391" t="s">
        <v>11</v>
      </c>
      <c r="L3" s="391"/>
      <c r="M3" s="383" t="s">
        <v>12</v>
      </c>
      <c r="N3" s="384" t="s">
        <v>13</v>
      </c>
      <c r="O3" s="383" t="s">
        <v>12</v>
      </c>
      <c r="P3" s="388" t="s">
        <v>14</v>
      </c>
      <c r="Q3" s="387"/>
    </row>
    <row r="4" spans="1:17" ht="46.35" customHeight="1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383"/>
      <c r="N4" s="384"/>
      <c r="O4" s="383"/>
      <c r="P4" s="388"/>
      <c r="Q4" s="387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385" t="s">
        <v>0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2" spans="1:17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383" t="s">
        <v>4</v>
      </c>
      <c r="N2" s="383"/>
      <c r="O2" s="386" t="s">
        <v>5</v>
      </c>
      <c r="P2" s="386"/>
      <c r="Q2" s="387" t="s">
        <v>6</v>
      </c>
    </row>
    <row r="3" spans="1:17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390" t="s">
        <v>10</v>
      </c>
      <c r="J3" s="390"/>
      <c r="K3" s="391" t="s">
        <v>11</v>
      </c>
      <c r="L3" s="391"/>
      <c r="M3" s="383" t="s">
        <v>12</v>
      </c>
      <c r="N3" s="384" t="s">
        <v>13</v>
      </c>
      <c r="O3" s="383" t="s">
        <v>12</v>
      </c>
      <c r="P3" s="388" t="s">
        <v>14</v>
      </c>
      <c r="Q3" s="387"/>
    </row>
    <row r="4" spans="1:17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383"/>
      <c r="N4" s="384"/>
      <c r="O4" s="383"/>
      <c r="P4" s="388"/>
      <c r="Q4" s="387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392" t="s">
        <v>0</v>
      </c>
      <c r="B1" s="393"/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  <c r="U1" s="393"/>
    </row>
    <row r="2" spans="1:29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29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80" t="s">
        <v>63</v>
      </c>
      <c r="J3" s="81"/>
      <c r="K3" s="80" t="s">
        <v>64</v>
      </c>
      <c r="L3" s="81"/>
      <c r="M3" s="390" t="s">
        <v>10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29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92" t="s">
        <v>0</v>
      </c>
      <c r="B1" s="393"/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  <c r="U1" s="393"/>
    </row>
    <row r="2" spans="1:21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21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80" t="s">
        <v>63</v>
      </c>
      <c r="J3" s="81"/>
      <c r="K3" s="80" t="s">
        <v>64</v>
      </c>
      <c r="L3" s="81"/>
      <c r="M3" s="390" t="s">
        <v>10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21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392" t="s">
        <v>0</v>
      </c>
      <c r="B1" s="393"/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  <c r="U1" s="393"/>
    </row>
    <row r="2" spans="1:37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37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80" t="s">
        <v>63</v>
      </c>
      <c r="J3" s="81"/>
      <c r="K3" s="80" t="s">
        <v>64</v>
      </c>
      <c r="L3" s="81"/>
      <c r="M3" s="390" t="s">
        <v>10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37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392" t="s">
        <v>0</v>
      </c>
      <c r="B1" s="393"/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  <c r="U1" s="393"/>
    </row>
    <row r="2" spans="1:49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49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80" t="s">
        <v>63</v>
      </c>
      <c r="J3" s="81"/>
      <c r="K3" s="80" t="s">
        <v>64</v>
      </c>
      <c r="L3" s="81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49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392" t="s">
        <v>0</v>
      </c>
      <c r="B1" s="393"/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  <c r="U1" s="393"/>
    </row>
    <row r="2" spans="1:27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27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80" t="s">
        <v>63</v>
      </c>
      <c r="J3" s="81"/>
      <c r="K3" s="80" t="s">
        <v>64</v>
      </c>
      <c r="L3" s="81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27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392" t="s">
        <v>0</v>
      </c>
      <c r="B1" s="393"/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  <c r="U1" s="393"/>
    </row>
    <row r="2" spans="1:28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28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80" t="s">
        <v>63</v>
      </c>
      <c r="J3" s="81"/>
      <c r="K3" s="80" t="s">
        <v>64</v>
      </c>
      <c r="L3" s="81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28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392" t="s">
        <v>0</v>
      </c>
      <c r="B1" s="393"/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  <c r="U1" s="393"/>
    </row>
    <row r="2" spans="1:36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36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80" t="s">
        <v>63</v>
      </c>
      <c r="J3" s="81"/>
      <c r="K3" s="80" t="s">
        <v>64</v>
      </c>
      <c r="L3" s="81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36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392" t="s">
        <v>0</v>
      </c>
      <c r="B1" s="393"/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  <c r="U1" s="393"/>
    </row>
    <row r="2" spans="1:35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35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80" t="s">
        <v>63</v>
      </c>
      <c r="J3" s="81"/>
      <c r="K3" s="80" t="s">
        <v>64</v>
      </c>
      <c r="L3" s="81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35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95" t="s">
        <v>359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</row>
    <row r="2" spans="1:21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21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109" t="s">
        <v>63</v>
      </c>
      <c r="J3" s="109"/>
      <c r="K3" s="109" t="s">
        <v>64</v>
      </c>
      <c r="L3" s="109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21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395" t="s">
        <v>359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</row>
    <row r="2" spans="1:22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22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109" t="s">
        <v>63</v>
      </c>
      <c r="J3" s="109"/>
      <c r="K3" s="109" t="s">
        <v>64</v>
      </c>
      <c r="L3" s="109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22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95" t="s">
        <v>359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</row>
    <row r="2" spans="1:21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21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109" t="s">
        <v>63</v>
      </c>
      <c r="J3" s="109"/>
      <c r="K3" s="109" t="s">
        <v>64</v>
      </c>
      <c r="L3" s="109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21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395" t="s">
        <v>359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</row>
    <row r="2" spans="1:34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34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109" t="s">
        <v>63</v>
      </c>
      <c r="J3" s="109"/>
      <c r="K3" s="109" t="s">
        <v>64</v>
      </c>
      <c r="L3" s="109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34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395" t="s">
        <v>359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</row>
    <row r="2" spans="1:21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21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109" t="s">
        <v>63</v>
      </c>
      <c r="J3" s="109"/>
      <c r="K3" s="109" t="s">
        <v>64</v>
      </c>
      <c r="L3" s="109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21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395" t="s">
        <v>359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</row>
    <row r="2" spans="1:28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07"/>
      <c r="N2" s="107"/>
      <c r="O2" s="107"/>
      <c r="P2" s="107"/>
      <c r="Q2" s="383" t="s">
        <v>4</v>
      </c>
      <c r="R2" s="383"/>
      <c r="S2" s="386" t="s">
        <v>5</v>
      </c>
      <c r="T2" s="386"/>
      <c r="U2" s="108" t="s">
        <v>6</v>
      </c>
    </row>
    <row r="3" spans="1:28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109" t="s">
        <v>63</v>
      </c>
      <c r="J3" s="109"/>
      <c r="K3" s="109" t="s">
        <v>64</v>
      </c>
      <c r="L3" s="109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08"/>
    </row>
    <row r="4" spans="1:28" ht="34.799999999999997" x14ac:dyDescent="0.25">
      <c r="A4" s="384"/>
      <c r="B4" s="383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83"/>
      <c r="R4" s="384"/>
      <c r="S4" s="383"/>
      <c r="T4" s="388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396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396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396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396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396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396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395" t="s">
        <v>359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</row>
    <row r="2" spans="1:37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19"/>
      <c r="N2" s="119"/>
      <c r="O2" s="119"/>
      <c r="P2" s="119"/>
      <c r="Q2" s="383" t="s">
        <v>4</v>
      </c>
      <c r="R2" s="383"/>
      <c r="S2" s="386" t="s">
        <v>5</v>
      </c>
      <c r="T2" s="386"/>
      <c r="U2" s="120" t="s">
        <v>6</v>
      </c>
    </row>
    <row r="3" spans="1:37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4" t="s">
        <v>1411</v>
      </c>
      <c r="H3" s="390"/>
      <c r="I3" s="117" t="s">
        <v>63</v>
      </c>
      <c r="J3" s="117"/>
      <c r="K3" s="117" t="s">
        <v>64</v>
      </c>
      <c r="L3" s="117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20"/>
    </row>
    <row r="4" spans="1:37" ht="34.799999999999997" x14ac:dyDescent="0.25">
      <c r="A4" s="384"/>
      <c r="B4" s="383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383"/>
      <c r="R4" s="384"/>
      <c r="S4" s="383"/>
      <c r="T4" s="388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15"/>
  <sheetViews>
    <sheetView workbookViewId="0">
      <selection activeCell="M13" sqref="M13"/>
    </sheetView>
  </sheetViews>
  <sheetFormatPr defaultRowHeight="15.6" x14ac:dyDescent="0.3"/>
  <cols>
    <col min="1" max="1" width="8.88671875" style="349"/>
    <col min="2" max="2" width="11.109375" style="349" bestFit="1" customWidth="1"/>
    <col min="3" max="3" width="17.109375" style="349" customWidth="1"/>
    <col min="4" max="4" width="8.77734375" style="349" customWidth="1"/>
    <col min="5" max="5" width="9.44140625" style="349" customWidth="1"/>
    <col min="6" max="16384" width="8.88671875" style="349"/>
  </cols>
  <sheetData>
    <row r="1" spans="1:5" x14ac:dyDescent="0.3">
      <c r="A1" s="400" t="s">
        <v>586</v>
      </c>
      <c r="B1" s="400"/>
      <c r="C1" s="400"/>
      <c r="D1" s="400"/>
      <c r="E1" s="400"/>
    </row>
    <row r="2" spans="1:5" x14ac:dyDescent="0.3">
      <c r="A2" s="341" t="s">
        <v>580</v>
      </c>
      <c r="B2" s="401" t="s">
        <v>789</v>
      </c>
      <c r="C2" s="402"/>
      <c r="D2" s="342" t="s">
        <v>583</v>
      </c>
      <c r="E2" s="342" t="s">
        <v>584</v>
      </c>
    </row>
    <row r="3" spans="1:5" ht="38.4" customHeight="1" x14ac:dyDescent="0.3">
      <c r="A3" s="341">
        <v>1</v>
      </c>
      <c r="B3" s="403" t="s">
        <v>838</v>
      </c>
      <c r="C3" s="404"/>
      <c r="D3" s="343" t="s">
        <v>571</v>
      </c>
      <c r="E3" s="344">
        <f>C15</f>
        <v>2258.46</v>
      </c>
    </row>
    <row r="4" spans="1:5" x14ac:dyDescent="0.3">
      <c r="A4" s="399"/>
      <c r="B4" s="399"/>
      <c r="C4" s="399"/>
      <c r="D4" s="399"/>
      <c r="E4" s="399"/>
    </row>
    <row r="5" spans="1:5" s="350" customFormat="1" ht="17.399999999999999" customHeight="1" x14ac:dyDescent="0.3">
      <c r="A5" s="348" t="s">
        <v>1445</v>
      </c>
      <c r="B5" s="354" t="s">
        <v>1446</v>
      </c>
      <c r="C5" s="354" t="s">
        <v>1447</v>
      </c>
      <c r="D5" s="397"/>
      <c r="E5" s="398"/>
    </row>
    <row r="6" spans="1:5" x14ac:dyDescent="0.3">
      <c r="A6" s="355">
        <v>1</v>
      </c>
      <c r="B6" s="356" t="s">
        <v>1448</v>
      </c>
      <c r="C6" s="357">
        <f>11*7.5*2+2.5*2*10+120.31+201.62+14*2*7.5+3*2*2.5</f>
        <v>761.93000000000006</v>
      </c>
      <c r="D6" s="397"/>
      <c r="E6" s="398"/>
    </row>
    <row r="7" spans="1:5" x14ac:dyDescent="0.3">
      <c r="A7" s="355">
        <v>2</v>
      </c>
      <c r="B7" s="356" t="s">
        <v>442</v>
      </c>
      <c r="C7" s="357">
        <f>32*2*7.5</f>
        <v>480</v>
      </c>
      <c r="D7" s="397"/>
      <c r="E7" s="398"/>
    </row>
    <row r="8" spans="1:5" x14ac:dyDescent="0.3">
      <c r="A8" s="355">
        <v>3</v>
      </c>
      <c r="B8" s="356" t="s">
        <v>371</v>
      </c>
      <c r="C8" s="357">
        <f>35*2*7.5+165.26</f>
        <v>690.26</v>
      </c>
      <c r="D8" s="397"/>
      <c r="E8" s="398"/>
    </row>
    <row r="9" spans="1:5" x14ac:dyDescent="0.3">
      <c r="A9" s="355">
        <v>4</v>
      </c>
      <c r="B9" s="356" t="s">
        <v>454</v>
      </c>
      <c r="C9" s="357">
        <f>8*2*2.4</f>
        <v>38.4</v>
      </c>
      <c r="D9" s="397"/>
      <c r="E9" s="398"/>
    </row>
    <row r="10" spans="1:5" x14ac:dyDescent="0.3">
      <c r="A10" s="355">
        <v>5</v>
      </c>
      <c r="B10" s="356" t="s">
        <v>376</v>
      </c>
      <c r="C10" s="357">
        <f>8*2*3.2+5.28</f>
        <v>56.480000000000004</v>
      </c>
      <c r="D10" s="397"/>
      <c r="E10" s="398"/>
    </row>
    <row r="11" spans="1:5" x14ac:dyDescent="0.3">
      <c r="A11" s="355">
        <v>6</v>
      </c>
      <c r="B11" s="356" t="s">
        <v>689</v>
      </c>
      <c r="C11" s="357">
        <f>8*2*3.2+4.91</f>
        <v>56.11</v>
      </c>
      <c r="D11" s="397"/>
      <c r="E11" s="398"/>
    </row>
    <row r="12" spans="1:5" x14ac:dyDescent="0.3">
      <c r="A12" s="355">
        <v>7</v>
      </c>
      <c r="B12" s="356" t="s">
        <v>646</v>
      </c>
      <c r="C12" s="357">
        <f>9*2*3.2+6.26</f>
        <v>63.86</v>
      </c>
      <c r="D12" s="397"/>
      <c r="E12" s="398"/>
    </row>
    <row r="13" spans="1:5" x14ac:dyDescent="0.3">
      <c r="A13" s="355">
        <v>8</v>
      </c>
      <c r="B13" s="356" t="s">
        <v>388</v>
      </c>
      <c r="C13" s="357">
        <f>10*2*2.5+4.95</f>
        <v>54.95</v>
      </c>
      <c r="D13" s="397"/>
      <c r="E13" s="398"/>
    </row>
    <row r="14" spans="1:5" x14ac:dyDescent="0.3">
      <c r="A14" s="355">
        <v>9</v>
      </c>
      <c r="B14" s="356" t="s">
        <v>393</v>
      </c>
      <c r="C14" s="357">
        <f>8*2*3.2+5.27</f>
        <v>56.47</v>
      </c>
      <c r="D14" s="397"/>
      <c r="E14" s="398"/>
    </row>
    <row r="15" spans="1:5" x14ac:dyDescent="0.3">
      <c r="A15" s="357"/>
      <c r="B15" s="359" t="s">
        <v>622</v>
      </c>
      <c r="C15" s="358">
        <f>SUM(C6:C14)</f>
        <v>2258.46</v>
      </c>
      <c r="D15" s="397"/>
      <c r="E15" s="398"/>
    </row>
  </sheetData>
  <mergeCells count="5">
    <mergeCell ref="D5:E15"/>
    <mergeCell ref="A4:E4"/>
    <mergeCell ref="A1:E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6"/>
  <sheetViews>
    <sheetView zoomScale="70" zoomScaleNormal="70" workbookViewId="0">
      <selection activeCell="B3" sqref="B3:E3"/>
    </sheetView>
  </sheetViews>
  <sheetFormatPr defaultRowHeight="15.6" x14ac:dyDescent="0.3"/>
  <cols>
    <col min="1" max="1" width="8.88671875" style="349"/>
    <col min="2" max="2" width="11.109375" style="349" bestFit="1" customWidth="1"/>
    <col min="3" max="3" width="14.5546875" style="349" customWidth="1"/>
    <col min="4" max="4" width="8.77734375" style="349" customWidth="1"/>
    <col min="5" max="5" width="6.44140625" style="349" customWidth="1"/>
    <col min="6" max="6" width="8.77734375" style="349" customWidth="1"/>
    <col min="7" max="7" width="12" style="349" customWidth="1"/>
    <col min="8" max="16384" width="8.88671875" style="349"/>
  </cols>
  <sheetData>
    <row r="1" spans="1:7" x14ac:dyDescent="0.3">
      <c r="A1" s="400" t="s">
        <v>586</v>
      </c>
      <c r="B1" s="400"/>
      <c r="C1" s="400"/>
      <c r="D1" s="400"/>
      <c r="E1" s="400"/>
      <c r="F1" s="400"/>
      <c r="G1" s="400"/>
    </row>
    <row r="2" spans="1:7" ht="15.6" customHeight="1" x14ac:dyDescent="0.3">
      <c r="A2" s="361" t="s">
        <v>580</v>
      </c>
      <c r="B2" s="401" t="s">
        <v>789</v>
      </c>
      <c r="C2" s="402"/>
      <c r="D2" s="402"/>
      <c r="E2" s="405"/>
      <c r="F2" s="342" t="s">
        <v>583</v>
      </c>
      <c r="G2" s="342" t="s">
        <v>584</v>
      </c>
    </row>
    <row r="3" spans="1:7" ht="18.600000000000001" customHeight="1" x14ac:dyDescent="0.3">
      <c r="A3" s="345">
        <v>1</v>
      </c>
      <c r="B3" s="406" t="s">
        <v>1510</v>
      </c>
      <c r="C3" s="407"/>
      <c r="D3" s="407"/>
      <c r="E3" s="408"/>
      <c r="F3" s="346" t="s">
        <v>571</v>
      </c>
      <c r="G3" s="347">
        <f>C26</f>
        <v>396.23999999999995</v>
      </c>
    </row>
    <row r="4" spans="1:7" ht="52.2" customHeight="1" x14ac:dyDescent="0.3">
      <c r="A4" s="361">
        <v>2</v>
      </c>
      <c r="B4" s="403" t="s">
        <v>1512</v>
      </c>
      <c r="C4" s="404"/>
      <c r="D4" s="404"/>
      <c r="E4" s="409"/>
      <c r="F4" s="343" t="s">
        <v>571</v>
      </c>
      <c r="G4" s="344">
        <f>G3</f>
        <v>396.23999999999995</v>
      </c>
    </row>
    <row r="5" spans="1:7" ht="17.399999999999999" customHeight="1" x14ac:dyDescent="0.3">
      <c r="A5" s="361">
        <v>3</v>
      </c>
      <c r="B5" s="403" t="s">
        <v>1511</v>
      </c>
      <c r="C5" s="404"/>
      <c r="D5" s="404"/>
      <c r="E5" s="409"/>
      <c r="F5" s="343" t="s">
        <v>571</v>
      </c>
      <c r="G5" s="344">
        <f>G26</f>
        <v>214.84999999999997</v>
      </c>
    </row>
    <row r="6" spans="1:7" x14ac:dyDescent="0.3">
      <c r="A6" s="400"/>
      <c r="B6" s="400"/>
      <c r="C6" s="400"/>
      <c r="D6" s="400"/>
      <c r="E6" s="400"/>
      <c r="F6" s="400"/>
      <c r="G6" s="400"/>
    </row>
    <row r="7" spans="1:7" x14ac:dyDescent="0.3">
      <c r="A7" s="400" t="s">
        <v>1508</v>
      </c>
      <c r="B7" s="400"/>
      <c r="C7" s="400"/>
      <c r="D7" s="400"/>
      <c r="E7" s="400" t="s">
        <v>1509</v>
      </c>
      <c r="F7" s="400"/>
      <c r="G7" s="400"/>
    </row>
    <row r="8" spans="1:7" s="350" customFormat="1" ht="19.8" customHeight="1" x14ac:dyDescent="0.3">
      <c r="A8" s="369" t="s">
        <v>580</v>
      </c>
      <c r="B8" s="354" t="s">
        <v>1507</v>
      </c>
      <c r="C8" s="354" t="s">
        <v>1447</v>
      </c>
      <c r="D8" s="400"/>
      <c r="E8" s="369" t="s">
        <v>580</v>
      </c>
      <c r="F8" s="354" t="s">
        <v>1507</v>
      </c>
      <c r="G8" s="354" t="s">
        <v>1447</v>
      </c>
    </row>
    <row r="9" spans="1:7" x14ac:dyDescent="0.3">
      <c r="A9" s="366">
        <v>1</v>
      </c>
      <c r="B9" s="367" t="s">
        <v>488</v>
      </c>
      <c r="C9" s="363">
        <v>16.100000000000001</v>
      </c>
      <c r="D9" s="400"/>
      <c r="E9" s="366">
        <v>1</v>
      </c>
      <c r="F9" s="367" t="s">
        <v>488</v>
      </c>
      <c r="G9" s="363">
        <v>10</v>
      </c>
    </row>
    <row r="10" spans="1:7" x14ac:dyDescent="0.3">
      <c r="A10" s="366">
        <v>2</v>
      </c>
      <c r="B10" s="367" t="s">
        <v>489</v>
      </c>
      <c r="C10" s="363">
        <v>22.09</v>
      </c>
      <c r="D10" s="400"/>
      <c r="E10" s="366">
        <v>2</v>
      </c>
      <c r="F10" s="367" t="s">
        <v>489</v>
      </c>
      <c r="G10" s="363">
        <v>4</v>
      </c>
    </row>
    <row r="11" spans="1:7" x14ac:dyDescent="0.3">
      <c r="A11" s="366">
        <v>3</v>
      </c>
      <c r="B11" s="367" t="s">
        <v>490</v>
      </c>
      <c r="C11" s="363">
        <v>11.36</v>
      </c>
      <c r="D11" s="400"/>
      <c r="E11" s="366">
        <v>3</v>
      </c>
      <c r="F11" s="367" t="s">
        <v>490</v>
      </c>
      <c r="G11" s="363">
        <v>2.04</v>
      </c>
    </row>
    <row r="12" spans="1:7" x14ac:dyDescent="0.3">
      <c r="A12" s="366">
        <v>4</v>
      </c>
      <c r="B12" s="367" t="s">
        <v>491</v>
      </c>
      <c r="C12" s="363">
        <v>22.18</v>
      </c>
      <c r="D12" s="400"/>
      <c r="E12" s="366">
        <v>4</v>
      </c>
      <c r="F12" s="367" t="s">
        <v>491</v>
      </c>
      <c r="G12" s="363">
        <v>17.41</v>
      </c>
    </row>
    <row r="13" spans="1:7" x14ac:dyDescent="0.3">
      <c r="A13" s="366">
        <v>5</v>
      </c>
      <c r="B13" s="367" t="s">
        <v>425</v>
      </c>
      <c r="C13" s="363">
        <v>21.18</v>
      </c>
      <c r="D13" s="400"/>
      <c r="E13" s="366">
        <v>5</v>
      </c>
      <c r="F13" s="367" t="s">
        <v>425</v>
      </c>
      <c r="G13" s="363">
        <v>9.18</v>
      </c>
    </row>
    <row r="14" spans="1:7" x14ac:dyDescent="0.3">
      <c r="A14" s="366">
        <v>6</v>
      </c>
      <c r="B14" s="367" t="s">
        <v>426</v>
      </c>
      <c r="C14" s="363">
        <v>39.82</v>
      </c>
      <c r="D14" s="400"/>
      <c r="E14" s="366">
        <v>6</v>
      </c>
      <c r="F14" s="367" t="s">
        <v>426</v>
      </c>
      <c r="G14" s="363">
        <v>21.74</v>
      </c>
    </row>
    <row r="15" spans="1:7" x14ac:dyDescent="0.3">
      <c r="A15" s="366">
        <v>7</v>
      </c>
      <c r="B15" s="367" t="s">
        <v>428</v>
      </c>
      <c r="C15" s="363">
        <v>24.84</v>
      </c>
      <c r="D15" s="400"/>
      <c r="E15" s="366">
        <v>7</v>
      </c>
      <c r="F15" s="367" t="s">
        <v>428</v>
      </c>
      <c r="G15" s="363">
        <v>8.02</v>
      </c>
    </row>
    <row r="16" spans="1:7" x14ac:dyDescent="0.3">
      <c r="A16" s="366">
        <v>8</v>
      </c>
      <c r="B16" s="367" t="s">
        <v>429</v>
      </c>
      <c r="C16" s="363">
        <v>23.21</v>
      </c>
      <c r="D16" s="400"/>
      <c r="E16" s="366">
        <v>8</v>
      </c>
      <c r="F16" s="367" t="s">
        <v>429</v>
      </c>
      <c r="G16" s="363">
        <v>17.16</v>
      </c>
    </row>
    <row r="17" spans="1:7" x14ac:dyDescent="0.3">
      <c r="A17" s="366">
        <v>9</v>
      </c>
      <c r="B17" s="367" t="s">
        <v>430</v>
      </c>
      <c r="C17" s="363">
        <v>23.94</v>
      </c>
      <c r="D17" s="400"/>
      <c r="E17" s="366">
        <v>9</v>
      </c>
      <c r="F17" s="367" t="s">
        <v>430</v>
      </c>
      <c r="G17" s="363">
        <v>23.94</v>
      </c>
    </row>
    <row r="18" spans="1:7" x14ac:dyDescent="0.3">
      <c r="A18" s="366">
        <v>10</v>
      </c>
      <c r="B18" s="367" t="s">
        <v>431</v>
      </c>
      <c r="C18" s="363">
        <v>26.34</v>
      </c>
      <c r="D18" s="400"/>
      <c r="E18" s="366">
        <v>10</v>
      </c>
      <c r="F18" s="367" t="s">
        <v>431</v>
      </c>
      <c r="G18" s="363">
        <v>26.34</v>
      </c>
    </row>
    <row r="19" spans="1:7" x14ac:dyDescent="0.3">
      <c r="A19" s="366">
        <v>11</v>
      </c>
      <c r="B19" s="367" t="s">
        <v>361</v>
      </c>
      <c r="C19" s="363">
        <v>7.42</v>
      </c>
      <c r="D19" s="400"/>
      <c r="E19" s="366">
        <v>11</v>
      </c>
      <c r="F19" s="367" t="s">
        <v>361</v>
      </c>
      <c r="G19" s="363">
        <v>0</v>
      </c>
    </row>
    <row r="20" spans="1:7" x14ac:dyDescent="0.3">
      <c r="A20" s="366">
        <v>12</v>
      </c>
      <c r="B20" s="367" t="s">
        <v>362</v>
      </c>
      <c r="C20" s="363">
        <v>32.06</v>
      </c>
      <c r="D20" s="400"/>
      <c r="E20" s="366">
        <v>12</v>
      </c>
      <c r="F20" s="367" t="s">
        <v>362</v>
      </c>
      <c r="G20" s="363">
        <v>10</v>
      </c>
    </row>
    <row r="21" spans="1:7" x14ac:dyDescent="0.3">
      <c r="A21" s="366">
        <v>13</v>
      </c>
      <c r="B21" s="367" t="s">
        <v>364</v>
      </c>
      <c r="C21" s="363">
        <v>22.84</v>
      </c>
      <c r="D21" s="400"/>
      <c r="E21" s="366">
        <v>13</v>
      </c>
      <c r="F21" s="367" t="s">
        <v>364</v>
      </c>
      <c r="G21" s="363">
        <v>12</v>
      </c>
    </row>
    <row r="22" spans="1:7" x14ac:dyDescent="0.3">
      <c r="A22" s="366">
        <v>14</v>
      </c>
      <c r="B22" s="367" t="s">
        <v>365</v>
      </c>
      <c r="C22" s="363">
        <v>24.84</v>
      </c>
      <c r="D22" s="400"/>
      <c r="E22" s="366">
        <v>14</v>
      </c>
      <c r="F22" s="367" t="s">
        <v>365</v>
      </c>
      <c r="G22" s="363">
        <v>14</v>
      </c>
    </row>
    <row r="23" spans="1:7" x14ac:dyDescent="0.3">
      <c r="A23" s="366">
        <v>15</v>
      </c>
      <c r="B23" s="367" t="s">
        <v>366</v>
      </c>
      <c r="C23" s="363">
        <v>25.86</v>
      </c>
      <c r="D23" s="400"/>
      <c r="E23" s="366">
        <v>15</v>
      </c>
      <c r="F23" s="367" t="s">
        <v>366</v>
      </c>
      <c r="G23" s="363">
        <v>14.26</v>
      </c>
    </row>
    <row r="24" spans="1:7" x14ac:dyDescent="0.3">
      <c r="A24" s="366">
        <v>16</v>
      </c>
      <c r="B24" s="367" t="s">
        <v>367</v>
      </c>
      <c r="C24" s="363">
        <v>26.16</v>
      </c>
      <c r="D24" s="400"/>
      <c r="E24" s="366">
        <v>16</v>
      </c>
      <c r="F24" s="367" t="s">
        <v>367</v>
      </c>
      <c r="G24" s="363">
        <v>14.94</v>
      </c>
    </row>
    <row r="25" spans="1:7" x14ac:dyDescent="0.3">
      <c r="A25" s="366">
        <v>17</v>
      </c>
      <c r="B25" s="367" t="s">
        <v>368</v>
      </c>
      <c r="C25" s="363">
        <v>26</v>
      </c>
      <c r="D25" s="400"/>
      <c r="E25" s="366">
        <v>17</v>
      </c>
      <c r="F25" s="367" t="s">
        <v>368</v>
      </c>
      <c r="G25" s="363">
        <v>9.82</v>
      </c>
    </row>
    <row r="26" spans="1:7" x14ac:dyDescent="0.3">
      <c r="A26" s="363"/>
      <c r="B26" s="368" t="s">
        <v>622</v>
      </c>
      <c r="C26" s="362">
        <f>SUM(C9:C25)</f>
        <v>396.23999999999995</v>
      </c>
      <c r="D26" s="400"/>
      <c r="E26" s="363"/>
      <c r="F26" s="368" t="s">
        <v>622</v>
      </c>
      <c r="G26" s="362">
        <f>SUM(G9:G25)</f>
        <v>214.84999999999997</v>
      </c>
    </row>
  </sheetData>
  <mergeCells count="9">
    <mergeCell ref="A7:C7"/>
    <mergeCell ref="E7:G7"/>
    <mergeCell ref="D7:D26"/>
    <mergeCell ref="A6:G6"/>
    <mergeCell ref="A1:G1"/>
    <mergeCell ref="B2:E2"/>
    <mergeCell ref="B3:E3"/>
    <mergeCell ref="B5:E5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I10"/>
  <sheetViews>
    <sheetView tabSelected="1" workbookViewId="0">
      <selection activeCell="B9" sqref="B9:G9"/>
    </sheetView>
  </sheetViews>
  <sheetFormatPr defaultRowHeight="15.6" x14ac:dyDescent="0.3"/>
  <cols>
    <col min="1" max="1" width="8.88671875" style="349"/>
    <col min="2" max="2" width="16.21875" style="349" customWidth="1"/>
    <col min="3" max="3" width="19.44140625" style="349" customWidth="1"/>
    <col min="4" max="4" width="16.21875" style="349" customWidth="1"/>
    <col min="5" max="5" width="3" style="349" customWidth="1"/>
    <col min="6" max="6" width="0.21875" style="349" hidden="1" customWidth="1"/>
    <col min="7" max="7" width="8.44140625" style="349" customWidth="1"/>
    <col min="8" max="8" width="8.77734375" style="349" customWidth="1"/>
    <col min="9" max="16384" width="8.88671875" style="349"/>
  </cols>
  <sheetData>
    <row r="1" spans="1:9" ht="15.6" customHeight="1" x14ac:dyDescent="0.3">
      <c r="A1" s="412" t="s">
        <v>586</v>
      </c>
      <c r="B1" s="413"/>
      <c r="C1" s="413"/>
      <c r="D1" s="413"/>
      <c r="E1" s="413"/>
      <c r="F1" s="413"/>
      <c r="G1" s="413"/>
      <c r="H1" s="413"/>
      <c r="I1" s="413"/>
    </row>
    <row r="2" spans="1:9" ht="15.6" customHeight="1" x14ac:dyDescent="0.3">
      <c r="A2" s="373" t="s">
        <v>580</v>
      </c>
      <c r="B2" s="401" t="s">
        <v>789</v>
      </c>
      <c r="C2" s="402"/>
      <c r="D2" s="402"/>
      <c r="E2" s="402"/>
      <c r="F2" s="402"/>
      <c r="G2" s="405"/>
      <c r="H2" s="342" t="s">
        <v>583</v>
      </c>
      <c r="I2" s="342" t="s">
        <v>584</v>
      </c>
    </row>
    <row r="3" spans="1:9" ht="31.2" customHeight="1" x14ac:dyDescent="0.3">
      <c r="A3" s="382">
        <v>1</v>
      </c>
      <c r="B3" s="491" t="s">
        <v>1521</v>
      </c>
      <c r="C3" s="492"/>
      <c r="D3" s="492"/>
      <c r="E3" s="492"/>
      <c r="F3" s="492"/>
      <c r="G3" s="493"/>
      <c r="H3" s="377" t="s">
        <v>571</v>
      </c>
      <c r="I3" s="378">
        <v>482.3</v>
      </c>
    </row>
    <row r="4" spans="1:9" ht="31.2" customHeight="1" x14ac:dyDescent="0.3">
      <c r="A4" s="381">
        <v>2</v>
      </c>
      <c r="B4" s="494" t="s">
        <v>1522</v>
      </c>
      <c r="C4" s="495"/>
      <c r="D4" s="495"/>
      <c r="E4" s="495"/>
      <c r="F4" s="495"/>
      <c r="G4" s="496"/>
      <c r="H4" s="343" t="s">
        <v>571</v>
      </c>
      <c r="I4" s="344">
        <v>499.5</v>
      </c>
    </row>
    <row r="5" spans="1:9" ht="31.2" customHeight="1" x14ac:dyDescent="0.3">
      <c r="A5" s="382">
        <v>3</v>
      </c>
      <c r="B5" s="491" t="s">
        <v>1522</v>
      </c>
      <c r="C5" s="492"/>
      <c r="D5" s="492"/>
      <c r="E5" s="492"/>
      <c r="F5" s="492"/>
      <c r="G5" s="493"/>
      <c r="H5" s="377" t="s">
        <v>571</v>
      </c>
      <c r="I5" s="378">
        <v>82.45</v>
      </c>
    </row>
    <row r="6" spans="1:9" ht="31.2" customHeight="1" x14ac:dyDescent="0.3">
      <c r="A6" s="381">
        <v>4</v>
      </c>
      <c r="B6" s="494" t="s">
        <v>791</v>
      </c>
      <c r="C6" s="495"/>
      <c r="D6" s="495"/>
      <c r="E6" s="495"/>
      <c r="F6" s="495"/>
      <c r="G6" s="496"/>
      <c r="H6" s="343" t="s">
        <v>571</v>
      </c>
      <c r="I6" s="344">
        <v>1102.79</v>
      </c>
    </row>
    <row r="7" spans="1:9" ht="43.8" customHeight="1" x14ac:dyDescent="0.3">
      <c r="A7" s="382">
        <v>5</v>
      </c>
      <c r="B7" s="491" t="s">
        <v>1523</v>
      </c>
      <c r="C7" s="492"/>
      <c r="D7" s="492"/>
      <c r="E7" s="492"/>
      <c r="F7" s="492"/>
      <c r="G7" s="493"/>
      <c r="H7" s="377" t="s">
        <v>571</v>
      </c>
      <c r="I7" s="378">
        <v>4.8</v>
      </c>
    </row>
    <row r="8" spans="1:9" ht="48.6" customHeight="1" x14ac:dyDescent="0.3">
      <c r="A8" s="381">
        <v>6</v>
      </c>
      <c r="B8" s="494" t="s">
        <v>1524</v>
      </c>
      <c r="C8" s="495"/>
      <c r="D8" s="495"/>
      <c r="E8" s="495"/>
      <c r="F8" s="495"/>
      <c r="G8" s="496"/>
      <c r="H8" s="343" t="s">
        <v>571</v>
      </c>
      <c r="I8" s="344">
        <v>78.33</v>
      </c>
    </row>
    <row r="9" spans="1:9" ht="31.2" customHeight="1" x14ac:dyDescent="0.3">
      <c r="A9" s="382">
        <v>7</v>
      </c>
      <c r="B9" s="491" t="s">
        <v>1315</v>
      </c>
      <c r="C9" s="492"/>
      <c r="D9" s="492"/>
      <c r="E9" s="492"/>
      <c r="F9" s="492"/>
      <c r="G9" s="493"/>
      <c r="H9" s="377" t="s">
        <v>571</v>
      </c>
      <c r="I9" s="378">
        <v>3</v>
      </c>
    </row>
    <row r="10" spans="1:9" ht="15.6" customHeight="1" x14ac:dyDescent="0.3">
      <c r="A10" s="380">
        <v>8</v>
      </c>
      <c r="B10" s="494" t="s">
        <v>1532</v>
      </c>
      <c r="C10" s="495"/>
      <c r="D10" s="495"/>
      <c r="E10" s="495"/>
      <c r="F10" s="495"/>
      <c r="G10" s="496"/>
      <c r="H10" s="343" t="s">
        <v>788</v>
      </c>
      <c r="I10" s="379">
        <v>21.091999999999999</v>
      </c>
    </row>
  </sheetData>
  <mergeCells count="10">
    <mergeCell ref="A1:I1"/>
    <mergeCell ref="B2:G2"/>
    <mergeCell ref="B3:G3"/>
    <mergeCell ref="B4:G4"/>
    <mergeCell ref="B5:G5"/>
    <mergeCell ref="B6:G6"/>
    <mergeCell ref="B7:G7"/>
    <mergeCell ref="B8:G8"/>
    <mergeCell ref="B9:G9"/>
    <mergeCell ref="B10:G10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28"/>
  <sheetViews>
    <sheetView workbookViewId="0">
      <selection activeCell="A20" sqref="A2:XFD20"/>
    </sheetView>
  </sheetViews>
  <sheetFormatPr defaultRowHeight="15.6" x14ac:dyDescent="0.3"/>
  <cols>
    <col min="1" max="1" width="8.88671875" style="349"/>
    <col min="2" max="2" width="16.21875" style="349" customWidth="1"/>
    <col min="3" max="3" width="19.44140625" style="349" customWidth="1"/>
    <col min="4" max="4" width="16.21875" style="349" customWidth="1"/>
    <col min="5" max="5" width="17.33203125" style="349" customWidth="1"/>
    <col min="6" max="6" width="15.44140625" style="349" customWidth="1"/>
    <col min="7" max="7" width="6.21875" style="349" customWidth="1"/>
    <col min="8" max="8" width="8.33203125" style="349" customWidth="1"/>
    <col min="9" max="9" width="8.44140625" style="349" customWidth="1"/>
    <col min="10" max="10" width="8.77734375" style="349" customWidth="1"/>
    <col min="11" max="16384" width="8.88671875" style="349"/>
  </cols>
  <sheetData>
    <row r="1" spans="1:10" ht="15.6" customHeight="1" x14ac:dyDescent="0.3">
      <c r="A1" s="400" t="s">
        <v>586</v>
      </c>
      <c r="B1" s="400"/>
      <c r="C1" s="400"/>
      <c r="D1" s="400"/>
      <c r="E1" s="400"/>
      <c r="F1" s="400"/>
      <c r="G1" s="400"/>
      <c r="H1" s="400"/>
      <c r="I1" s="400"/>
      <c r="J1" s="400"/>
    </row>
    <row r="2" spans="1:10" ht="15.6" customHeight="1" x14ac:dyDescent="0.3">
      <c r="A2" s="373" t="s">
        <v>580</v>
      </c>
      <c r="B2" s="400" t="s">
        <v>789</v>
      </c>
      <c r="C2" s="400"/>
      <c r="D2" s="400"/>
      <c r="E2" s="400" t="s">
        <v>582</v>
      </c>
      <c r="F2" s="400"/>
      <c r="G2" s="400"/>
      <c r="H2" s="400"/>
      <c r="I2" s="342" t="s">
        <v>583</v>
      </c>
      <c r="J2" s="342" t="s">
        <v>584</v>
      </c>
    </row>
    <row r="3" spans="1:10" x14ac:dyDescent="0.3">
      <c r="A3" s="373">
        <v>1</v>
      </c>
      <c r="B3" s="424" t="s">
        <v>1519</v>
      </c>
      <c r="C3" s="424"/>
      <c r="D3" s="424"/>
      <c r="E3" s="426" t="s">
        <v>1430</v>
      </c>
      <c r="F3" s="426"/>
      <c r="G3" s="426"/>
      <c r="H3" s="426"/>
      <c r="I3" s="343" t="s">
        <v>571</v>
      </c>
      <c r="J3" s="344">
        <f>B16</f>
        <v>5.8900000000000006</v>
      </c>
    </row>
    <row r="4" spans="1:10" ht="33" customHeight="1" x14ac:dyDescent="0.3">
      <c r="A4" s="376">
        <v>2</v>
      </c>
      <c r="B4" s="425" t="s">
        <v>1434</v>
      </c>
      <c r="C4" s="425"/>
      <c r="D4" s="425"/>
      <c r="E4" s="422" t="s">
        <v>1431</v>
      </c>
      <c r="F4" s="422"/>
      <c r="G4" s="422"/>
      <c r="H4" s="422"/>
      <c r="I4" s="377" t="s">
        <v>571</v>
      </c>
      <c r="J4" s="378">
        <f>C16</f>
        <v>312.35999999999996</v>
      </c>
    </row>
    <row r="5" spans="1:10" ht="42.6" customHeight="1" x14ac:dyDescent="0.3">
      <c r="A5" s="373">
        <v>3</v>
      </c>
      <c r="B5" s="424" t="s">
        <v>1434</v>
      </c>
      <c r="C5" s="424"/>
      <c r="D5" s="424"/>
      <c r="E5" s="421" t="s">
        <v>1433</v>
      </c>
      <c r="F5" s="421"/>
      <c r="G5" s="421"/>
      <c r="H5" s="421"/>
      <c r="I5" s="343" t="s">
        <v>571</v>
      </c>
      <c r="J5" s="344">
        <f>D16</f>
        <v>23.16</v>
      </c>
    </row>
    <row r="6" spans="1:10" ht="42.6" customHeight="1" x14ac:dyDescent="0.3">
      <c r="A6" s="373">
        <v>4</v>
      </c>
      <c r="B6" s="424" t="s">
        <v>1434</v>
      </c>
      <c r="C6" s="424"/>
      <c r="D6" s="424"/>
      <c r="E6" s="421" t="s">
        <v>1518</v>
      </c>
      <c r="F6" s="421"/>
      <c r="G6" s="421"/>
      <c r="H6" s="421"/>
      <c r="I6" s="343" t="s">
        <v>571</v>
      </c>
      <c r="J6" s="344">
        <f>E16</f>
        <v>32.46</v>
      </c>
    </row>
    <row r="7" spans="1:10" x14ac:dyDescent="0.3">
      <c r="A7" s="376">
        <v>5</v>
      </c>
      <c r="B7" s="425" t="s">
        <v>1513</v>
      </c>
      <c r="C7" s="425"/>
      <c r="D7" s="425"/>
      <c r="E7" s="422" t="s">
        <v>1430</v>
      </c>
      <c r="F7" s="422"/>
      <c r="G7" s="422"/>
      <c r="H7" s="422"/>
      <c r="I7" s="377" t="s">
        <v>571</v>
      </c>
      <c r="J7" s="378">
        <f>F16</f>
        <v>0</v>
      </c>
    </row>
    <row r="8" spans="1:10" ht="33" customHeight="1" x14ac:dyDescent="0.3">
      <c r="A8" s="373">
        <v>6</v>
      </c>
      <c r="B8" s="424" t="s">
        <v>1514</v>
      </c>
      <c r="C8" s="424"/>
      <c r="D8" s="424"/>
      <c r="E8" s="421" t="s">
        <v>1516</v>
      </c>
      <c r="F8" s="421"/>
      <c r="G8" s="421"/>
      <c r="H8" s="421"/>
      <c r="I8" s="343" t="s">
        <v>571</v>
      </c>
      <c r="J8" s="344">
        <f>G16</f>
        <v>834.24</v>
      </c>
    </row>
    <row r="9" spans="1:10" ht="33" customHeight="1" x14ac:dyDescent="0.3">
      <c r="A9" s="376">
        <v>7</v>
      </c>
      <c r="B9" s="425" t="s">
        <v>1515</v>
      </c>
      <c r="C9" s="425"/>
      <c r="D9" s="425"/>
      <c r="E9" s="422" t="s">
        <v>1517</v>
      </c>
      <c r="F9" s="422"/>
      <c r="G9" s="422"/>
      <c r="H9" s="422"/>
      <c r="I9" s="377" t="s">
        <v>571</v>
      </c>
      <c r="J9" s="378">
        <f>I16</f>
        <v>268.55</v>
      </c>
    </row>
    <row r="10" spans="1:10" x14ac:dyDescent="0.3">
      <c r="A10" s="373">
        <v>8</v>
      </c>
      <c r="B10" s="403" t="s">
        <v>1520</v>
      </c>
      <c r="C10" s="404"/>
      <c r="D10" s="404"/>
      <c r="E10" s="404"/>
      <c r="F10" s="404"/>
      <c r="G10" s="404"/>
      <c r="H10" s="409"/>
      <c r="I10" s="343" t="s">
        <v>788</v>
      </c>
      <c r="J10" s="379">
        <v>21.091999999999999</v>
      </c>
    </row>
    <row r="11" spans="1:10" x14ac:dyDescent="0.3">
      <c r="A11" s="399"/>
      <c r="B11" s="399"/>
      <c r="C11" s="399"/>
      <c r="D11" s="399"/>
      <c r="E11" s="399"/>
      <c r="F11" s="399"/>
      <c r="G11" s="399"/>
      <c r="H11" s="399"/>
    </row>
    <row r="12" spans="1:10" s="350" customFormat="1" ht="127.8" customHeight="1" x14ac:dyDescent="0.3">
      <c r="A12" s="348"/>
      <c r="B12" s="371" t="str">
        <f xml:space="preserve"> B3 &amp; ", " &amp; E3</f>
        <v>Штукатурка стен ,  колонн и простенков до 500 мм, Гипсовая по бетону + Бетонконтакт, м2</v>
      </c>
      <c r="C12" s="374" t="str">
        <f xml:space="preserve"> B4 &amp; ", " &amp; E4</f>
        <v>Штукатурка стен  , Гипсовая по Блоку ячеистому, кирпичу и ПГП + Грунт глубокого проникновения, м2</v>
      </c>
      <c r="D12" s="371" t="str">
        <f xml:space="preserve"> B5 &amp; ", " &amp; E5</f>
        <v>Штукатурка стен  , Цементная + Грунт глубокого проникновения (по бетону, блоку ячеистому и ПГП под плитку), м2</v>
      </c>
      <c r="E12" s="371" t="str">
        <f xml:space="preserve"> B6 &amp; ", " &amp; E6</f>
        <v>Штукатурка стен  , КНАУФ (по ПГП под плитку), м2</v>
      </c>
      <c r="F12" s="371" t="str">
        <f xml:space="preserve"> B7 &amp; ", " &amp; E7</f>
        <v>Штукатурка откосов т. 60 мм, шириной 320 мм., Гипсовая по бетону + Бетонконтакт, м2</v>
      </c>
      <c r="G12" s="423" t="str">
        <f xml:space="preserve"> B8 &amp; ", " &amp; E8</f>
        <v>Шпаклевка стен, базовая, Гипсовыми смесями базовая + грунтовка глубокого проникновения</v>
      </c>
      <c r="H12" s="423"/>
      <c r="I12" s="423" t="str">
        <f xml:space="preserve"> B9 &amp; ", " &amp; E9</f>
        <v>Шпаклевка стен, финишная, Гипсовыми смесями финишная + грунтовка глубокого проникновения</v>
      </c>
      <c r="J12" s="423"/>
    </row>
    <row r="13" spans="1:10" x14ac:dyDescent="0.3">
      <c r="A13" s="372" t="s">
        <v>1436</v>
      </c>
      <c r="B13" s="372">
        <v>0</v>
      </c>
      <c r="C13" s="375">
        <v>144.22</v>
      </c>
      <c r="D13" s="372">
        <v>19.86</v>
      </c>
      <c r="E13" s="372">
        <v>5.3</v>
      </c>
      <c r="F13" s="372"/>
      <c r="G13" s="417">
        <v>108.59</v>
      </c>
      <c r="H13" s="417"/>
      <c r="I13" s="417">
        <v>2.56</v>
      </c>
      <c r="J13" s="417"/>
    </row>
    <row r="14" spans="1:10" x14ac:dyDescent="0.3">
      <c r="A14" s="372" t="s">
        <v>1437</v>
      </c>
      <c r="B14" s="372">
        <f>1.19+4.7</f>
        <v>5.8900000000000006</v>
      </c>
      <c r="C14" s="375">
        <v>114.56</v>
      </c>
      <c r="D14" s="372">
        <v>3.3</v>
      </c>
      <c r="E14" s="372">
        <v>21.59</v>
      </c>
      <c r="F14" s="372"/>
      <c r="G14" s="417">
        <v>278.02999999999997</v>
      </c>
      <c r="H14" s="417"/>
      <c r="I14" s="417">
        <v>82.13</v>
      </c>
      <c r="J14" s="417"/>
    </row>
    <row r="15" spans="1:10" x14ac:dyDescent="0.3">
      <c r="A15" s="372" t="s">
        <v>1438</v>
      </c>
      <c r="B15" s="372">
        <v>0</v>
      </c>
      <c r="C15" s="375">
        <f>6.05+3.02+15.01+11.34+4.54+4.78+8.84</f>
        <v>53.58</v>
      </c>
      <c r="D15" s="372">
        <v>0</v>
      </c>
      <c r="E15" s="372">
        <v>5.57</v>
      </c>
      <c r="F15" s="372"/>
      <c r="G15" s="417">
        <f>16.55+19.26+15.01+19.84+11.03+16.06+16.3+8.84+324.73</f>
        <v>447.62</v>
      </c>
      <c r="H15" s="417"/>
      <c r="I15" s="417">
        <f>16.55+19.26+15.01+19.84+11.03+16.06+16.3+69.81</f>
        <v>183.86</v>
      </c>
      <c r="J15" s="417"/>
    </row>
    <row r="16" spans="1:10" x14ac:dyDescent="0.3">
      <c r="A16" s="372"/>
      <c r="B16" s="370">
        <f>SUM(B13:B15)</f>
        <v>5.8900000000000006</v>
      </c>
      <c r="C16" s="370">
        <f>SUM(C13:C15)</f>
        <v>312.35999999999996</v>
      </c>
      <c r="D16" s="370">
        <f>SUM(D13:D15)</f>
        <v>23.16</v>
      </c>
      <c r="E16" s="370">
        <f>SUM(E13:E15)</f>
        <v>32.46</v>
      </c>
      <c r="F16" s="370">
        <f>SUM(F13:F15)</f>
        <v>0</v>
      </c>
      <c r="G16" s="420">
        <f t="shared" ref="G16:I16" si="0">SUM(G13:G15)</f>
        <v>834.24</v>
      </c>
      <c r="H16" s="420"/>
      <c r="I16" s="420">
        <f t="shared" si="0"/>
        <v>268.55</v>
      </c>
      <c r="J16" s="420"/>
    </row>
    <row r="17" spans="1:11" x14ac:dyDescent="0.3">
      <c r="B17" s="375">
        <v>0</v>
      </c>
      <c r="C17" s="375">
        <f>6.05+3.02+15.01+11.34+4.54+4.78+8.84</f>
        <v>53.58</v>
      </c>
      <c r="D17" s="375">
        <v>0</v>
      </c>
      <c r="E17" s="375">
        <v>5.57</v>
      </c>
      <c r="F17" s="375"/>
      <c r="G17" s="417">
        <v>834.24</v>
      </c>
      <c r="H17" s="417"/>
      <c r="I17" s="417">
        <v>268.55</v>
      </c>
      <c r="J17" s="417"/>
    </row>
    <row r="18" spans="1:11" x14ac:dyDescent="0.3">
      <c r="B18" s="375">
        <f t="shared" ref="B18:G18" si="1">B16-B17</f>
        <v>5.8900000000000006</v>
      </c>
      <c r="C18" s="375">
        <f t="shared" si="1"/>
        <v>258.77999999999997</v>
      </c>
      <c r="D18" s="375">
        <f t="shared" si="1"/>
        <v>23.16</v>
      </c>
      <c r="E18" s="375">
        <f t="shared" si="1"/>
        <v>26.89</v>
      </c>
      <c r="F18" s="375">
        <f t="shared" si="1"/>
        <v>0</v>
      </c>
      <c r="G18" s="418">
        <f t="shared" si="1"/>
        <v>0</v>
      </c>
      <c r="H18" s="419"/>
      <c r="I18" s="418">
        <f>I16-I17</f>
        <v>0</v>
      </c>
      <c r="J18" s="419"/>
    </row>
    <row r="21" spans="1:11" ht="31.2" customHeight="1" x14ac:dyDescent="0.3">
      <c r="A21" s="382">
        <v>1</v>
      </c>
      <c r="B21" s="411" t="s">
        <v>1521</v>
      </c>
      <c r="C21" s="411"/>
      <c r="D21" s="411"/>
      <c r="E21" s="411"/>
      <c r="F21" s="415" t="s">
        <v>1525</v>
      </c>
      <c r="G21" s="415"/>
      <c r="H21" s="415"/>
      <c r="I21" s="415"/>
      <c r="J21" s="377" t="s">
        <v>571</v>
      </c>
      <c r="K21" s="378">
        <v>482.3</v>
      </c>
    </row>
    <row r="22" spans="1:11" ht="31.2" customHeight="1" x14ac:dyDescent="0.3">
      <c r="A22" s="381">
        <v>2</v>
      </c>
      <c r="B22" s="410" t="s">
        <v>1522</v>
      </c>
      <c r="C22" s="410"/>
      <c r="D22" s="410"/>
      <c r="E22" s="410"/>
      <c r="F22" s="414" t="s">
        <v>1526</v>
      </c>
      <c r="G22" s="414"/>
      <c r="H22" s="414"/>
      <c r="I22" s="414"/>
      <c r="J22" s="343" t="s">
        <v>571</v>
      </c>
      <c r="K22" s="344">
        <v>499.5</v>
      </c>
    </row>
    <row r="23" spans="1:11" ht="31.2" customHeight="1" x14ac:dyDescent="0.3">
      <c r="A23" s="382">
        <v>3</v>
      </c>
      <c r="B23" s="411" t="s">
        <v>1522</v>
      </c>
      <c r="C23" s="411"/>
      <c r="D23" s="411"/>
      <c r="E23" s="411"/>
      <c r="F23" s="415" t="s">
        <v>1527</v>
      </c>
      <c r="G23" s="415"/>
      <c r="H23" s="415"/>
      <c r="I23" s="415"/>
      <c r="J23" s="377" t="s">
        <v>571</v>
      </c>
      <c r="K23" s="378">
        <v>82.45</v>
      </c>
    </row>
    <row r="24" spans="1:11" ht="31.2" customHeight="1" x14ac:dyDescent="0.3">
      <c r="A24" s="381">
        <v>4</v>
      </c>
      <c r="B24" s="410" t="s">
        <v>791</v>
      </c>
      <c r="C24" s="410"/>
      <c r="D24" s="410"/>
      <c r="E24" s="410"/>
      <c r="F24" s="414" t="s">
        <v>1528</v>
      </c>
      <c r="G24" s="414"/>
      <c r="H24" s="414"/>
      <c r="I24" s="414"/>
      <c r="J24" s="343" t="s">
        <v>571</v>
      </c>
      <c r="K24" s="344">
        <v>1102.79</v>
      </c>
    </row>
    <row r="25" spans="1:11" ht="36" customHeight="1" x14ac:dyDescent="0.3">
      <c r="A25" s="382">
        <v>5</v>
      </c>
      <c r="B25" s="411" t="s">
        <v>1523</v>
      </c>
      <c r="C25" s="411"/>
      <c r="D25" s="411"/>
      <c r="E25" s="411"/>
      <c r="F25" s="415" t="s">
        <v>1529</v>
      </c>
      <c r="G25" s="415"/>
      <c r="H25" s="415"/>
      <c r="I25" s="415"/>
      <c r="J25" s="377" t="s">
        <v>571</v>
      </c>
      <c r="K25" s="378">
        <v>4.8</v>
      </c>
    </row>
    <row r="26" spans="1:11" ht="48.6" customHeight="1" x14ac:dyDescent="0.3">
      <c r="A26" s="381">
        <v>6</v>
      </c>
      <c r="B26" s="410" t="s">
        <v>1524</v>
      </c>
      <c r="C26" s="410"/>
      <c r="D26" s="410"/>
      <c r="E26" s="410"/>
      <c r="F26" s="414" t="s">
        <v>1530</v>
      </c>
      <c r="G26" s="414"/>
      <c r="H26" s="414"/>
      <c r="I26" s="414"/>
      <c r="J26" s="343" t="s">
        <v>571</v>
      </c>
      <c r="K26" s="344">
        <v>78.33</v>
      </c>
    </row>
    <row r="27" spans="1:11" ht="31.2" customHeight="1" x14ac:dyDescent="0.3">
      <c r="A27" s="382">
        <v>7</v>
      </c>
      <c r="B27" s="411" t="s">
        <v>1315</v>
      </c>
      <c r="C27" s="411"/>
      <c r="D27" s="411"/>
      <c r="E27" s="411"/>
      <c r="F27" s="415" t="s">
        <v>1531</v>
      </c>
      <c r="G27" s="415"/>
      <c r="H27" s="415"/>
      <c r="I27" s="415"/>
      <c r="J27" s="377" t="s">
        <v>571</v>
      </c>
      <c r="K27" s="378">
        <v>3</v>
      </c>
    </row>
    <row r="28" spans="1:11" x14ac:dyDescent="0.3">
      <c r="A28" s="380">
        <v>8</v>
      </c>
      <c r="B28" s="410" t="s">
        <v>1532</v>
      </c>
      <c r="C28" s="410"/>
      <c r="D28" s="410"/>
      <c r="E28" s="410"/>
      <c r="F28" s="416" t="s">
        <v>1533</v>
      </c>
      <c r="G28" s="416"/>
      <c r="H28" s="416"/>
      <c r="I28" s="416"/>
      <c r="J28" s="343" t="s">
        <v>788</v>
      </c>
      <c r="K28" s="379">
        <v>21.091999999999999</v>
      </c>
    </row>
  </sheetData>
  <mergeCells count="49">
    <mergeCell ref="E7:H7"/>
    <mergeCell ref="B4:D4"/>
    <mergeCell ref="B5:D5"/>
    <mergeCell ref="B7:D7"/>
    <mergeCell ref="B8:D8"/>
    <mergeCell ref="I12:J12"/>
    <mergeCell ref="I13:J13"/>
    <mergeCell ref="I14:J14"/>
    <mergeCell ref="I15:J15"/>
    <mergeCell ref="I16:J16"/>
    <mergeCell ref="E2:H2"/>
    <mergeCell ref="B2:D2"/>
    <mergeCell ref="B3:D3"/>
    <mergeCell ref="A1:J1"/>
    <mergeCell ref="B6:D6"/>
    <mergeCell ref="E6:H6"/>
    <mergeCell ref="E3:H3"/>
    <mergeCell ref="E4:H4"/>
    <mergeCell ref="E5:H5"/>
    <mergeCell ref="B10:H10"/>
    <mergeCell ref="G15:H15"/>
    <mergeCell ref="G16:H16"/>
    <mergeCell ref="E8:H8"/>
    <mergeCell ref="E9:H9"/>
    <mergeCell ref="A11:H11"/>
    <mergeCell ref="G12:H12"/>
    <mergeCell ref="G13:H13"/>
    <mergeCell ref="G14:H14"/>
    <mergeCell ref="B9:D9"/>
    <mergeCell ref="B26:E26"/>
    <mergeCell ref="B27:E27"/>
    <mergeCell ref="B28:E28"/>
    <mergeCell ref="G17:H17"/>
    <mergeCell ref="I17:J17"/>
    <mergeCell ref="G18:H18"/>
    <mergeCell ref="I18:J18"/>
    <mergeCell ref="B21:E21"/>
    <mergeCell ref="B22:E22"/>
    <mergeCell ref="B23:E23"/>
    <mergeCell ref="B24:E24"/>
    <mergeCell ref="B25:E25"/>
    <mergeCell ref="F26:I26"/>
    <mergeCell ref="F27:I27"/>
    <mergeCell ref="F28:I28"/>
    <mergeCell ref="F21:I21"/>
    <mergeCell ref="F22:I22"/>
    <mergeCell ref="F23:I23"/>
    <mergeCell ref="F24:I24"/>
    <mergeCell ref="F25:I25"/>
  </mergeCells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H14"/>
  <sheetViews>
    <sheetView workbookViewId="0">
      <selection activeCell="H3" sqref="H3:H4"/>
    </sheetView>
  </sheetViews>
  <sheetFormatPr defaultRowHeight="15.6" x14ac:dyDescent="0.3"/>
  <cols>
    <col min="1" max="1" width="8.88671875" style="349"/>
    <col min="2" max="2" width="11.109375" style="349" bestFit="1" customWidth="1"/>
    <col min="3" max="3" width="17.109375" style="349" customWidth="1"/>
    <col min="4" max="4" width="17.6640625" style="349" customWidth="1"/>
    <col min="5" max="5" width="15.21875" style="349" customWidth="1"/>
    <col min="6" max="6" width="18.5546875" style="349" customWidth="1"/>
    <col min="7" max="7" width="8.77734375" style="349" customWidth="1"/>
    <col min="8" max="8" width="9.44140625" style="349" customWidth="1"/>
    <col min="9" max="16384" width="8.88671875" style="349"/>
  </cols>
  <sheetData>
    <row r="1" spans="1:8" x14ac:dyDescent="0.3">
      <c r="A1" s="400" t="s">
        <v>586</v>
      </c>
      <c r="B1" s="400"/>
      <c r="C1" s="400"/>
      <c r="D1" s="400"/>
      <c r="E1" s="400"/>
      <c r="F1" s="400"/>
      <c r="G1" s="400"/>
      <c r="H1" s="400"/>
    </row>
    <row r="2" spans="1:8" x14ac:dyDescent="0.3">
      <c r="A2" s="341" t="s">
        <v>580</v>
      </c>
      <c r="B2" s="401" t="s">
        <v>789</v>
      </c>
      <c r="C2" s="402"/>
      <c r="D2" s="401" t="s">
        <v>582</v>
      </c>
      <c r="E2" s="402"/>
      <c r="F2" s="402"/>
      <c r="G2" s="342" t="s">
        <v>583</v>
      </c>
      <c r="H2" s="342" t="s">
        <v>584</v>
      </c>
    </row>
    <row r="3" spans="1:8" ht="38.4" customHeight="1" x14ac:dyDescent="0.3">
      <c r="A3" s="341">
        <v>1</v>
      </c>
      <c r="B3" s="403" t="s">
        <v>1434</v>
      </c>
      <c r="C3" s="404"/>
      <c r="D3" s="427" t="s">
        <v>1430</v>
      </c>
      <c r="E3" s="428"/>
      <c r="F3" s="428"/>
      <c r="G3" s="343" t="s">
        <v>571</v>
      </c>
      <c r="H3" s="344">
        <v>2019.5709999999997</v>
      </c>
    </row>
    <row r="4" spans="1:8" ht="38.4" customHeight="1" x14ac:dyDescent="0.3">
      <c r="A4" s="345">
        <v>2</v>
      </c>
      <c r="B4" s="406" t="s">
        <v>1435</v>
      </c>
      <c r="C4" s="407"/>
      <c r="D4" s="429" t="s">
        <v>1430</v>
      </c>
      <c r="E4" s="430"/>
      <c r="F4" s="430"/>
      <c r="G4" s="346" t="s">
        <v>571</v>
      </c>
      <c r="H4" s="347">
        <v>187.29249999999999</v>
      </c>
    </row>
    <row r="5" spans="1:8" ht="38.4" customHeight="1" x14ac:dyDescent="0.3">
      <c r="A5" s="341">
        <v>3</v>
      </c>
      <c r="B5" s="403" t="s">
        <v>1434</v>
      </c>
      <c r="C5" s="404"/>
      <c r="D5" s="427" t="s">
        <v>1431</v>
      </c>
      <c r="E5" s="428"/>
      <c r="F5" s="428"/>
      <c r="G5" s="343" t="s">
        <v>571</v>
      </c>
      <c r="H5" s="344">
        <v>921.35473500000012</v>
      </c>
    </row>
    <row r="6" spans="1:8" ht="38.4" customHeight="1" x14ac:dyDescent="0.3">
      <c r="A6" s="345">
        <v>4</v>
      </c>
      <c r="B6" s="406" t="s">
        <v>1435</v>
      </c>
      <c r="C6" s="407"/>
      <c r="D6" s="429" t="s">
        <v>1432</v>
      </c>
      <c r="E6" s="430"/>
      <c r="F6" s="430"/>
      <c r="G6" s="346" t="s">
        <v>571</v>
      </c>
      <c r="H6" s="347">
        <v>1.6559999999999999</v>
      </c>
    </row>
    <row r="7" spans="1:8" ht="38.4" customHeight="1" x14ac:dyDescent="0.3">
      <c r="A7" s="341">
        <v>5</v>
      </c>
      <c r="B7" s="403" t="s">
        <v>1434</v>
      </c>
      <c r="C7" s="404"/>
      <c r="D7" s="427" t="s">
        <v>1433</v>
      </c>
      <c r="E7" s="428"/>
      <c r="F7" s="428"/>
      <c r="G7" s="343" t="s">
        <v>571</v>
      </c>
      <c r="H7" s="344">
        <v>308.42155000000002</v>
      </c>
    </row>
    <row r="8" spans="1:8" ht="38.4" customHeight="1" x14ac:dyDescent="0.3">
      <c r="A8" s="345">
        <v>6</v>
      </c>
      <c r="B8" s="406" t="s">
        <v>1435</v>
      </c>
      <c r="C8" s="407"/>
      <c r="D8" s="429" t="s">
        <v>1433</v>
      </c>
      <c r="E8" s="430"/>
      <c r="F8" s="430"/>
      <c r="G8" s="346" t="s">
        <v>571</v>
      </c>
      <c r="H8" s="347">
        <v>21.026000000000003</v>
      </c>
    </row>
    <row r="9" spans="1:8" x14ac:dyDescent="0.3">
      <c r="A9" s="399"/>
      <c r="B9" s="399"/>
      <c r="C9" s="399"/>
      <c r="D9" s="399"/>
      <c r="E9" s="399"/>
      <c r="F9" s="399"/>
      <c r="G9" s="399"/>
      <c r="H9" s="399"/>
    </row>
    <row r="10" spans="1:8" s="350" customFormat="1" ht="99.6" customHeight="1" x14ac:dyDescent="0.3">
      <c r="A10" s="348"/>
      <c r="B10" s="352" t="s">
        <v>1439</v>
      </c>
      <c r="C10" s="352" t="s">
        <v>1442</v>
      </c>
      <c r="D10" s="352" t="s">
        <v>1440</v>
      </c>
      <c r="E10" s="352" t="s">
        <v>1443</v>
      </c>
      <c r="F10" s="352" t="s">
        <v>1441</v>
      </c>
      <c r="G10" s="423" t="s">
        <v>1444</v>
      </c>
      <c r="H10" s="423"/>
    </row>
    <row r="11" spans="1:8" x14ac:dyDescent="0.3">
      <c r="A11" s="351" t="s">
        <v>1436</v>
      </c>
      <c r="B11" s="351">
        <v>654.87799999999993</v>
      </c>
      <c r="C11" s="351">
        <v>20.842499999999998</v>
      </c>
      <c r="D11" s="351">
        <v>257.89698500000003</v>
      </c>
      <c r="E11" s="351">
        <v>0</v>
      </c>
      <c r="F11" s="351">
        <v>107.64855000000001</v>
      </c>
      <c r="G11" s="417">
        <v>9.2690000000000019</v>
      </c>
      <c r="H11" s="417"/>
    </row>
    <row r="12" spans="1:8" x14ac:dyDescent="0.3">
      <c r="A12" s="351" t="s">
        <v>1437</v>
      </c>
      <c r="B12" s="351">
        <v>653.30674999999985</v>
      </c>
      <c r="C12" s="351">
        <v>82.800750000000008</v>
      </c>
      <c r="D12" s="351">
        <v>322.58204999999998</v>
      </c>
      <c r="E12" s="351">
        <v>1.6559999999999999</v>
      </c>
      <c r="F12" s="351">
        <v>172.68799999999999</v>
      </c>
      <c r="G12" s="417">
        <v>10.587</v>
      </c>
      <c r="H12" s="417"/>
    </row>
    <row r="13" spans="1:8" x14ac:dyDescent="0.3">
      <c r="A13" s="351" t="s">
        <v>1438</v>
      </c>
      <c r="B13" s="351">
        <v>711.38625000000002</v>
      </c>
      <c r="C13" s="351">
        <v>83.649249999999995</v>
      </c>
      <c r="D13" s="351">
        <v>340.87569999999999</v>
      </c>
      <c r="E13" s="351">
        <v>0</v>
      </c>
      <c r="F13" s="351">
        <v>28.084999999999997</v>
      </c>
      <c r="G13" s="417">
        <v>1.17</v>
      </c>
      <c r="H13" s="417"/>
    </row>
    <row r="14" spans="1:8" x14ac:dyDescent="0.3">
      <c r="A14" s="351"/>
      <c r="B14" s="353">
        <f>SUM(B11:B13)</f>
        <v>2019.5709999999999</v>
      </c>
      <c r="C14" s="353">
        <f>SUM(C11:C13)</f>
        <v>187.29250000000002</v>
      </c>
      <c r="D14" s="353">
        <f>SUM(D11:D13)</f>
        <v>921.35473500000012</v>
      </c>
      <c r="E14" s="353">
        <f>SUM(E11:E13)</f>
        <v>1.6559999999999999</v>
      </c>
      <c r="F14" s="353">
        <f>SUM(F11:F13)</f>
        <v>308.42154999999997</v>
      </c>
      <c r="G14" s="420">
        <f t="shared" ref="G14" si="0">SUM(G11:G13)</f>
        <v>21.026000000000003</v>
      </c>
      <c r="H14" s="420"/>
    </row>
  </sheetData>
  <mergeCells count="21">
    <mergeCell ref="B4:C4"/>
    <mergeCell ref="D4:F4"/>
    <mergeCell ref="A1:H1"/>
    <mergeCell ref="B2:C2"/>
    <mergeCell ref="D2:F2"/>
    <mergeCell ref="B3:C3"/>
    <mergeCell ref="D3:F3"/>
    <mergeCell ref="G14:H14"/>
    <mergeCell ref="A9:H9"/>
    <mergeCell ref="B5:C5"/>
    <mergeCell ref="D5:F5"/>
    <mergeCell ref="B6:C6"/>
    <mergeCell ref="D6:F6"/>
    <mergeCell ref="B7:C7"/>
    <mergeCell ref="D7:F7"/>
    <mergeCell ref="B8:C8"/>
    <mergeCell ref="D8:F8"/>
    <mergeCell ref="G10:H10"/>
    <mergeCell ref="G11:H11"/>
    <mergeCell ref="G12:H12"/>
    <mergeCell ref="G13:H13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79"/>
  <sheetViews>
    <sheetView workbookViewId="0"/>
  </sheetViews>
  <sheetFormatPr defaultRowHeight="13.2" x14ac:dyDescent="0.25"/>
  <cols>
    <col min="1" max="1" width="18.5546875" style="198" customWidth="1"/>
    <col min="2" max="2" width="10.5546875" style="198" customWidth="1"/>
    <col min="3" max="3" width="8.88671875" style="198"/>
  </cols>
  <sheetData>
    <row r="2" spans="1:3" ht="13.2" customHeight="1" x14ac:dyDescent="0.25">
      <c r="A2" s="104" t="s">
        <v>1</v>
      </c>
    </row>
    <row r="3" spans="1:3" ht="17.399999999999999" x14ac:dyDescent="0.25">
      <c r="A3" s="104"/>
      <c r="B3" s="198" t="s">
        <v>571</v>
      </c>
      <c r="C3" s="293" t="s">
        <v>571</v>
      </c>
    </row>
    <row r="4" spans="1:3" ht="34.799999999999997" x14ac:dyDescent="0.25">
      <c r="A4" s="104" t="s">
        <v>1</v>
      </c>
      <c r="B4" s="198" t="s">
        <v>1411</v>
      </c>
      <c r="C4" s="292" t="s">
        <v>64</v>
      </c>
    </row>
    <row r="5" spans="1:3" ht="14.4" x14ac:dyDescent="0.25">
      <c r="A5" s="99" t="s">
        <v>65</v>
      </c>
      <c r="B5" s="101">
        <v>0</v>
      </c>
      <c r="C5" s="101">
        <v>0</v>
      </c>
    </row>
    <row r="6" spans="1:3" ht="14.4" x14ac:dyDescent="0.25">
      <c r="A6" s="99" t="s">
        <v>69</v>
      </c>
      <c r="B6" s="101">
        <v>6.3</v>
      </c>
      <c r="C6" s="101">
        <v>15.1</v>
      </c>
    </row>
    <row r="7" spans="1:3" ht="14.4" x14ac:dyDescent="0.25">
      <c r="A7" s="99" t="s">
        <v>72</v>
      </c>
      <c r="B7" s="101">
        <v>0</v>
      </c>
      <c r="C7" s="101">
        <v>27.1</v>
      </c>
    </row>
    <row r="8" spans="1:3" ht="14.4" x14ac:dyDescent="0.25">
      <c r="A8" s="99" t="s">
        <v>75</v>
      </c>
      <c r="B8" s="101">
        <v>160.5</v>
      </c>
      <c r="C8" s="101">
        <v>6.4</v>
      </c>
    </row>
    <row r="9" spans="1:3" ht="14.4" x14ac:dyDescent="0.25">
      <c r="A9" s="99" t="s">
        <v>78</v>
      </c>
      <c r="B9" s="101">
        <v>31.8</v>
      </c>
      <c r="C9" s="101">
        <v>13.6</v>
      </c>
    </row>
    <row r="10" spans="1:3" ht="14.4" x14ac:dyDescent="0.25">
      <c r="A10" s="99" t="s">
        <v>80</v>
      </c>
      <c r="B10" s="101">
        <v>15</v>
      </c>
      <c r="C10" s="101">
        <v>21.5</v>
      </c>
    </row>
    <row r="11" spans="1:3" ht="14.4" x14ac:dyDescent="0.25">
      <c r="A11" s="99" t="s">
        <v>82</v>
      </c>
      <c r="B11" s="101">
        <v>34.299999999999997</v>
      </c>
      <c r="C11" s="101">
        <v>0</v>
      </c>
    </row>
    <row r="12" spans="1:3" ht="14.4" x14ac:dyDescent="0.25">
      <c r="A12" s="99" t="s">
        <v>84</v>
      </c>
      <c r="B12" s="101">
        <v>72.599999999999994</v>
      </c>
      <c r="C12" s="101">
        <v>16</v>
      </c>
    </row>
    <row r="13" spans="1:3" ht="14.4" x14ac:dyDescent="0.25">
      <c r="A13" s="99" t="s">
        <v>86</v>
      </c>
      <c r="B13" s="101">
        <v>72.5</v>
      </c>
      <c r="C13" s="101">
        <v>8.1999999999999993</v>
      </c>
    </row>
    <row r="14" spans="1:3" ht="14.4" x14ac:dyDescent="0.25">
      <c r="A14" s="7" t="s">
        <v>88</v>
      </c>
      <c r="B14" s="9">
        <v>54.4</v>
      </c>
      <c r="C14" s="9">
        <v>6.4</v>
      </c>
    </row>
    <row r="15" spans="1:3" ht="14.4" x14ac:dyDescent="0.25">
      <c r="A15" s="7" t="s">
        <v>91</v>
      </c>
      <c r="B15" s="9">
        <v>14.3</v>
      </c>
      <c r="C15" s="9">
        <v>7.8</v>
      </c>
    </row>
    <row r="16" spans="1:3" ht="14.4" x14ac:dyDescent="0.25">
      <c r="A16" s="291" t="s">
        <v>95</v>
      </c>
      <c r="B16" s="121">
        <v>31.6</v>
      </c>
      <c r="C16" s="121">
        <v>26.2</v>
      </c>
    </row>
    <row r="17" spans="1:3" ht="14.4" x14ac:dyDescent="0.25">
      <c r="A17" s="291" t="s">
        <v>99</v>
      </c>
      <c r="B17" s="121">
        <v>0</v>
      </c>
      <c r="C17" s="121">
        <v>30.1</v>
      </c>
    </row>
    <row r="18" spans="1:3" ht="14.4" x14ac:dyDescent="0.25">
      <c r="A18" s="291" t="s">
        <v>103</v>
      </c>
      <c r="B18" s="121">
        <v>0</v>
      </c>
      <c r="C18" s="121">
        <v>27.6</v>
      </c>
    </row>
    <row r="19" spans="1:3" ht="14.4" x14ac:dyDescent="0.25">
      <c r="A19" s="291" t="s">
        <v>106</v>
      </c>
      <c r="B19" s="121">
        <v>0</v>
      </c>
      <c r="C19" s="121">
        <v>30.4</v>
      </c>
    </row>
    <row r="20" spans="1:3" ht="14.4" x14ac:dyDescent="0.25">
      <c r="A20" s="291" t="s">
        <v>110</v>
      </c>
      <c r="B20" s="121">
        <v>4.8</v>
      </c>
      <c r="C20" s="121">
        <v>16.7</v>
      </c>
    </row>
    <row r="21" spans="1:3" ht="14.4" x14ac:dyDescent="0.25">
      <c r="A21" s="291" t="s">
        <v>114</v>
      </c>
      <c r="B21" s="121">
        <v>5.3</v>
      </c>
      <c r="C21" s="121">
        <v>39.1</v>
      </c>
    </row>
    <row r="22" spans="1:3" ht="14.4" x14ac:dyDescent="0.25">
      <c r="A22" s="291" t="s">
        <v>118</v>
      </c>
      <c r="B22" s="121">
        <v>3</v>
      </c>
      <c r="C22" s="121">
        <v>49</v>
      </c>
    </row>
    <row r="23" spans="1:3" ht="14.4" x14ac:dyDescent="0.25">
      <c r="A23" s="294" t="s">
        <v>660</v>
      </c>
      <c r="B23" s="121">
        <v>0.7</v>
      </c>
      <c r="C23" s="87">
        <v>28.7</v>
      </c>
    </row>
    <row r="24" spans="1:3" ht="14.4" x14ac:dyDescent="0.25">
      <c r="A24" s="7" t="s">
        <v>89</v>
      </c>
      <c r="B24" s="9">
        <v>24.1</v>
      </c>
      <c r="C24" s="82">
        <v>35.700000000000003</v>
      </c>
    </row>
    <row r="25" spans="1:3" ht="14.4" x14ac:dyDescent="0.25">
      <c r="A25" s="291" t="s">
        <v>92</v>
      </c>
      <c r="B25" s="121">
        <v>14.3</v>
      </c>
      <c r="C25" s="87">
        <v>21.7</v>
      </c>
    </row>
    <row r="26" spans="1:3" ht="14.4" x14ac:dyDescent="0.25">
      <c r="A26" s="291" t="s">
        <v>97</v>
      </c>
      <c r="B26" s="121">
        <v>9</v>
      </c>
      <c r="C26" s="87">
        <v>20.9</v>
      </c>
    </row>
    <row r="27" spans="1:3" ht="14.4" x14ac:dyDescent="0.25">
      <c r="A27" s="291" t="s">
        <v>101</v>
      </c>
      <c r="B27" s="121">
        <v>12.2</v>
      </c>
      <c r="C27" s="87">
        <v>12.6</v>
      </c>
    </row>
    <row r="28" spans="1:3" ht="14.4" x14ac:dyDescent="0.25">
      <c r="A28" s="291" t="s">
        <v>104</v>
      </c>
      <c r="B28" s="121">
        <v>10.1</v>
      </c>
      <c r="C28" s="87">
        <v>23.6</v>
      </c>
    </row>
    <row r="29" spans="1:3" ht="14.4" x14ac:dyDescent="0.25">
      <c r="A29" s="7" t="s">
        <v>108</v>
      </c>
      <c r="B29" s="9">
        <v>11.3</v>
      </c>
      <c r="C29" s="82">
        <v>26.4</v>
      </c>
    </row>
    <row r="30" spans="1:3" ht="14.4" x14ac:dyDescent="0.25">
      <c r="A30" s="7" t="s">
        <v>112</v>
      </c>
      <c r="B30" s="9">
        <v>39.4</v>
      </c>
      <c r="C30" s="82">
        <v>0</v>
      </c>
    </row>
    <row r="31" spans="1:3" ht="14.4" x14ac:dyDescent="0.25">
      <c r="A31" s="298" t="s">
        <v>505</v>
      </c>
      <c r="B31" s="299">
        <v>40.799999999999997</v>
      </c>
      <c r="C31" s="300">
        <v>0</v>
      </c>
    </row>
    <row r="32" spans="1:3" ht="14.4" x14ac:dyDescent="0.25">
      <c r="A32" s="298" t="s">
        <v>506</v>
      </c>
      <c r="B32" s="299">
        <v>37.299999999999997</v>
      </c>
      <c r="C32" s="300">
        <v>0</v>
      </c>
    </row>
    <row r="33" spans="1:3" ht="14.4" x14ac:dyDescent="0.25">
      <c r="A33" s="7" t="s">
        <v>120</v>
      </c>
      <c r="B33" s="9">
        <v>59.7</v>
      </c>
      <c r="C33" s="9">
        <v>0</v>
      </c>
    </row>
    <row r="34" spans="1:3" ht="14.4" x14ac:dyDescent="0.25">
      <c r="A34" s="7" t="s">
        <v>122</v>
      </c>
      <c r="B34" s="9">
        <v>88.7</v>
      </c>
      <c r="C34" s="9">
        <v>23.7</v>
      </c>
    </row>
    <row r="35" spans="1:3" ht="14.4" x14ac:dyDescent="0.25">
      <c r="A35" s="296" t="s">
        <v>509</v>
      </c>
      <c r="B35" s="297">
        <v>117.7</v>
      </c>
      <c r="C35" s="297">
        <v>4.5</v>
      </c>
    </row>
    <row r="36" spans="1:3" ht="14.4" x14ac:dyDescent="0.25">
      <c r="A36" s="7" t="s">
        <v>125</v>
      </c>
      <c r="B36" s="9">
        <v>0</v>
      </c>
      <c r="C36" s="9">
        <v>0</v>
      </c>
    </row>
    <row r="37" spans="1:3" ht="14.4" x14ac:dyDescent="0.25">
      <c r="A37" s="7" t="s">
        <v>127</v>
      </c>
      <c r="B37" s="9">
        <v>0</v>
      </c>
      <c r="C37" s="9">
        <v>0</v>
      </c>
    </row>
    <row r="38" spans="1:3" ht="14.4" x14ac:dyDescent="0.25">
      <c r="A38" s="7" t="s">
        <v>129</v>
      </c>
      <c r="B38" s="9">
        <v>0</v>
      </c>
      <c r="C38" s="9">
        <v>0</v>
      </c>
    </row>
    <row r="39" spans="1:3" ht="14.4" x14ac:dyDescent="0.25">
      <c r="A39" s="7" t="s">
        <v>131</v>
      </c>
      <c r="B39" s="9">
        <v>0</v>
      </c>
      <c r="C39" s="9">
        <v>13.7</v>
      </c>
    </row>
    <row r="40" spans="1:3" ht="14.4" x14ac:dyDescent="0.25">
      <c r="A40" s="7" t="s">
        <v>133</v>
      </c>
      <c r="B40" s="9">
        <v>21.2</v>
      </c>
      <c r="C40" s="9">
        <v>0</v>
      </c>
    </row>
    <row r="41" spans="1:3" ht="14.4" x14ac:dyDescent="0.25">
      <c r="A41" s="291" t="s">
        <v>135</v>
      </c>
      <c r="B41" s="121">
        <v>0</v>
      </c>
      <c r="C41" s="121">
        <v>38.9</v>
      </c>
    </row>
    <row r="42" spans="1:3" ht="14.4" x14ac:dyDescent="0.25">
      <c r="A42" s="291" t="s">
        <v>137</v>
      </c>
      <c r="B42" s="121">
        <v>87.3</v>
      </c>
      <c r="C42" s="121">
        <v>21.2</v>
      </c>
    </row>
    <row r="43" spans="1:3" ht="14.4" x14ac:dyDescent="0.25">
      <c r="A43" s="7" t="s">
        <v>140</v>
      </c>
      <c r="B43" s="9">
        <v>100.1</v>
      </c>
      <c r="C43" s="9">
        <v>2</v>
      </c>
    </row>
    <row r="44" spans="1:3" ht="14.4" x14ac:dyDescent="0.25">
      <c r="A44" s="7" t="s">
        <v>142</v>
      </c>
      <c r="B44" s="9">
        <v>22.3</v>
      </c>
      <c r="C44" s="9">
        <v>27.9</v>
      </c>
    </row>
    <row r="45" spans="1:3" ht="14.4" x14ac:dyDescent="0.25">
      <c r="A45" s="7" t="s">
        <v>144</v>
      </c>
      <c r="B45" s="9">
        <v>62.9</v>
      </c>
      <c r="C45" s="9">
        <v>69.3</v>
      </c>
    </row>
    <row r="46" spans="1:3" ht="14.4" x14ac:dyDescent="0.25">
      <c r="A46" s="7" t="s">
        <v>146</v>
      </c>
      <c r="B46" s="9">
        <v>0</v>
      </c>
      <c r="C46" s="9">
        <v>61.5</v>
      </c>
    </row>
    <row r="47" spans="1:3" ht="14.4" x14ac:dyDescent="0.25">
      <c r="A47" s="7" t="s">
        <v>148</v>
      </c>
      <c r="B47" s="9">
        <v>0</v>
      </c>
      <c r="C47" s="9">
        <v>51.6</v>
      </c>
    </row>
    <row r="48" spans="1:3" ht="14.4" x14ac:dyDescent="0.25">
      <c r="A48" s="7" t="s">
        <v>150</v>
      </c>
      <c r="B48" s="9">
        <v>0</v>
      </c>
      <c r="C48" s="9">
        <v>86.5</v>
      </c>
    </row>
    <row r="49" spans="1:3" ht="14.4" x14ac:dyDescent="0.25">
      <c r="A49" s="7" t="s">
        <v>152</v>
      </c>
      <c r="B49" s="9">
        <v>0</v>
      </c>
      <c r="C49" s="9">
        <v>52.8</v>
      </c>
    </row>
    <row r="50" spans="1:3" ht="14.4" x14ac:dyDescent="0.25">
      <c r="A50" s="291" t="s">
        <v>154</v>
      </c>
      <c r="B50" s="121">
        <v>0</v>
      </c>
      <c r="C50" s="121">
        <v>48.2</v>
      </c>
    </row>
    <row r="51" spans="1:3" ht="14.4" x14ac:dyDescent="0.25">
      <c r="A51" s="291" t="s">
        <v>156</v>
      </c>
      <c r="B51" s="121">
        <v>0</v>
      </c>
      <c r="C51" s="121">
        <v>54.7</v>
      </c>
    </row>
    <row r="52" spans="1:3" ht="14.4" x14ac:dyDescent="0.25">
      <c r="A52" s="291" t="s">
        <v>158</v>
      </c>
      <c r="B52" s="121">
        <v>8.5</v>
      </c>
      <c r="C52" s="121">
        <v>22.5</v>
      </c>
    </row>
    <row r="53" spans="1:3" ht="14.4" x14ac:dyDescent="0.25">
      <c r="A53" s="7" t="s">
        <v>160</v>
      </c>
      <c r="B53" s="9">
        <v>0</v>
      </c>
      <c r="C53" s="9">
        <v>18.8</v>
      </c>
    </row>
    <row r="54" spans="1:3" ht="14.4" x14ac:dyDescent="0.25">
      <c r="A54" s="7" t="s">
        <v>161</v>
      </c>
      <c r="B54" s="9">
        <v>0</v>
      </c>
      <c r="C54" s="9">
        <v>23.8</v>
      </c>
    </row>
    <row r="55" spans="1:3" ht="14.4" x14ac:dyDescent="0.25">
      <c r="A55" s="7" t="s">
        <v>163</v>
      </c>
      <c r="B55" s="9">
        <v>0</v>
      </c>
      <c r="C55" s="9">
        <v>0</v>
      </c>
    </row>
    <row r="56" spans="1:3" ht="14.4" x14ac:dyDescent="0.25">
      <c r="A56" s="7" t="s">
        <v>166</v>
      </c>
      <c r="B56" s="9">
        <v>0</v>
      </c>
      <c r="C56" s="9">
        <v>0</v>
      </c>
    </row>
    <row r="57" spans="1:3" ht="14.4" x14ac:dyDescent="0.25">
      <c r="A57" s="7" t="s">
        <v>167</v>
      </c>
      <c r="B57" s="9">
        <v>0</v>
      </c>
      <c r="C57" s="9">
        <v>26.5</v>
      </c>
    </row>
    <row r="58" spans="1:3" ht="14.4" x14ac:dyDescent="0.25">
      <c r="A58" s="7" t="s">
        <v>168</v>
      </c>
      <c r="B58" s="9">
        <v>4.5</v>
      </c>
      <c r="C58" s="9">
        <v>53.1</v>
      </c>
    </row>
    <row r="59" spans="1:3" ht="14.4" x14ac:dyDescent="0.25">
      <c r="A59" s="7" t="s">
        <v>170</v>
      </c>
      <c r="B59" s="9">
        <v>0.8</v>
      </c>
      <c r="C59" s="9">
        <v>34</v>
      </c>
    </row>
    <row r="60" spans="1:3" ht="14.4" x14ac:dyDescent="0.25">
      <c r="A60" s="291" t="s">
        <v>172</v>
      </c>
      <c r="B60" s="121">
        <v>1.5</v>
      </c>
      <c r="C60" s="121">
        <v>32.799999999999997</v>
      </c>
    </row>
    <row r="61" spans="1:3" ht="14.4" x14ac:dyDescent="0.25">
      <c r="A61" s="60" t="s">
        <v>174</v>
      </c>
      <c r="B61" s="90">
        <v>5.6</v>
      </c>
      <c r="C61" s="90">
        <v>51.2</v>
      </c>
    </row>
    <row r="62" spans="1:3" ht="14.4" x14ac:dyDescent="0.25">
      <c r="A62" s="291" t="s">
        <v>176</v>
      </c>
      <c r="B62" s="121">
        <v>6.7</v>
      </c>
      <c r="C62" s="121">
        <v>143.9</v>
      </c>
    </row>
    <row r="63" spans="1:3" ht="14.4" x14ac:dyDescent="0.25">
      <c r="A63" s="7" t="s">
        <v>177</v>
      </c>
      <c r="B63" s="9">
        <v>0</v>
      </c>
      <c r="C63" s="9">
        <v>0</v>
      </c>
    </row>
    <row r="64" spans="1:3" ht="14.4" x14ac:dyDescent="0.25">
      <c r="A64" s="7" t="s">
        <v>179</v>
      </c>
      <c r="B64" s="9">
        <v>40</v>
      </c>
      <c r="C64" s="9">
        <v>6.5</v>
      </c>
    </row>
    <row r="65" spans="1:3" ht="14.4" x14ac:dyDescent="0.25">
      <c r="A65" s="296" t="s">
        <v>539</v>
      </c>
      <c r="B65" s="297">
        <v>29.6</v>
      </c>
      <c r="C65" s="297">
        <v>0</v>
      </c>
    </row>
    <row r="66" spans="1:3" ht="14.4" x14ac:dyDescent="0.25">
      <c r="A66" s="296" t="s">
        <v>540</v>
      </c>
      <c r="B66" s="297">
        <v>8.8000000000000007</v>
      </c>
      <c r="C66" s="297">
        <v>28.9</v>
      </c>
    </row>
    <row r="67" spans="1:3" ht="14.4" x14ac:dyDescent="0.25">
      <c r="A67" s="7" t="s">
        <v>185</v>
      </c>
      <c r="B67" s="9">
        <v>0</v>
      </c>
      <c r="C67" s="9">
        <v>0</v>
      </c>
    </row>
    <row r="68" spans="1:3" ht="14.4" x14ac:dyDescent="0.25">
      <c r="A68" s="296" t="s">
        <v>542</v>
      </c>
      <c r="B68" s="297">
        <v>6.4</v>
      </c>
      <c r="C68" s="297">
        <v>38.299999999999997</v>
      </c>
    </row>
    <row r="69" spans="1:3" ht="14.4" x14ac:dyDescent="0.25">
      <c r="A69" s="298" t="s">
        <v>543</v>
      </c>
      <c r="B69" s="299">
        <v>5.2</v>
      </c>
      <c r="C69" s="299">
        <v>35</v>
      </c>
    </row>
    <row r="70" spans="1:3" ht="14.4" x14ac:dyDescent="0.25">
      <c r="A70" s="291" t="s">
        <v>191</v>
      </c>
      <c r="B70" s="121">
        <v>0</v>
      </c>
      <c r="C70" s="121">
        <v>79.900000000000006</v>
      </c>
    </row>
    <row r="71" spans="1:3" ht="14.4" x14ac:dyDescent="0.25">
      <c r="A71" s="291" t="s">
        <v>193</v>
      </c>
      <c r="B71" s="121">
        <v>11.5</v>
      </c>
      <c r="C71" s="121">
        <v>33.5</v>
      </c>
    </row>
    <row r="72" spans="1:3" ht="14.4" x14ac:dyDescent="0.25">
      <c r="A72" s="296" t="s">
        <v>546</v>
      </c>
      <c r="B72" s="297">
        <v>33.1</v>
      </c>
      <c r="C72" s="297">
        <v>19.2</v>
      </c>
    </row>
    <row r="73" spans="1:3" ht="14.4" x14ac:dyDescent="0.25">
      <c r="A73" s="296" t="s">
        <v>547</v>
      </c>
      <c r="B73" s="297">
        <v>6.3</v>
      </c>
      <c r="C73" s="297">
        <v>29</v>
      </c>
    </row>
    <row r="74" spans="1:3" ht="14.4" x14ac:dyDescent="0.25">
      <c r="A74" s="7" t="s">
        <v>198</v>
      </c>
      <c r="B74" s="9">
        <v>0</v>
      </c>
      <c r="C74" s="9">
        <v>0</v>
      </c>
    </row>
    <row r="75" spans="1:3" ht="14.4" x14ac:dyDescent="0.25">
      <c r="A75" s="296" t="s">
        <v>549</v>
      </c>
      <c r="B75" s="297">
        <v>5.0999999999999996</v>
      </c>
      <c r="C75" s="297">
        <v>35</v>
      </c>
    </row>
    <row r="76" spans="1:3" ht="14.4" x14ac:dyDescent="0.25">
      <c r="A76" s="7" t="s">
        <v>200</v>
      </c>
      <c r="B76" s="9">
        <v>0</v>
      </c>
      <c r="C76" s="9">
        <v>80.2</v>
      </c>
    </row>
    <row r="77" spans="1:3" ht="14.4" x14ac:dyDescent="0.25">
      <c r="A77" s="7" t="s">
        <v>201</v>
      </c>
      <c r="B77" s="9">
        <v>5.7</v>
      </c>
      <c r="C77" s="9">
        <v>36.200000000000003</v>
      </c>
    </row>
    <row r="78" spans="1:3" ht="14.4" x14ac:dyDescent="0.25">
      <c r="A78" s="291" t="s">
        <v>202</v>
      </c>
      <c r="B78" s="121">
        <v>8.1</v>
      </c>
      <c r="C78" s="121">
        <v>19.899999999999999</v>
      </c>
    </row>
    <row r="79" spans="1:3" ht="14.4" x14ac:dyDescent="0.25">
      <c r="A79" s="291" t="s">
        <v>203</v>
      </c>
      <c r="B79" s="121">
        <v>2.2000000000000002</v>
      </c>
      <c r="C79" s="121">
        <v>36.5</v>
      </c>
    </row>
    <row r="80" spans="1:3" ht="14.4" x14ac:dyDescent="0.25">
      <c r="A80" s="7" t="s">
        <v>204</v>
      </c>
      <c r="B80" s="9">
        <v>0</v>
      </c>
      <c r="C80" s="9">
        <v>41.9</v>
      </c>
    </row>
    <row r="81" spans="1:3" ht="14.4" x14ac:dyDescent="0.25">
      <c r="A81" s="7" t="s">
        <v>206</v>
      </c>
      <c r="B81" s="9">
        <v>47.6</v>
      </c>
      <c r="C81" s="9">
        <v>14.6</v>
      </c>
    </row>
    <row r="82" spans="1:3" ht="14.4" x14ac:dyDescent="0.25">
      <c r="A82" s="7" t="s">
        <v>207</v>
      </c>
      <c r="B82" s="9">
        <v>74</v>
      </c>
      <c r="C82" s="9">
        <v>7.2</v>
      </c>
    </row>
    <row r="83" spans="1:3" ht="14.4" x14ac:dyDescent="0.25">
      <c r="A83" s="7" t="s">
        <v>208</v>
      </c>
      <c r="B83" s="9">
        <v>0</v>
      </c>
      <c r="C83" s="9">
        <v>0</v>
      </c>
    </row>
    <row r="84" spans="1:3" ht="14.4" x14ac:dyDescent="0.25">
      <c r="A84" s="7" t="s">
        <v>211</v>
      </c>
      <c r="B84" s="9">
        <v>0</v>
      </c>
      <c r="C84" s="9">
        <v>0</v>
      </c>
    </row>
    <row r="85" spans="1:3" ht="14.4" x14ac:dyDescent="0.25">
      <c r="A85" s="291" t="s">
        <v>213</v>
      </c>
      <c r="B85" s="121">
        <v>4.8</v>
      </c>
      <c r="C85" s="121">
        <v>9.1</v>
      </c>
    </row>
    <row r="86" spans="1:3" ht="14.4" x14ac:dyDescent="0.25">
      <c r="A86" s="291" t="s">
        <v>214</v>
      </c>
      <c r="B86" s="121">
        <v>73.900000000000006</v>
      </c>
      <c r="C86" s="121">
        <v>36.4</v>
      </c>
    </row>
    <row r="87" spans="1:3" ht="14.4" x14ac:dyDescent="0.25">
      <c r="A87" s="99" t="s">
        <v>75</v>
      </c>
      <c r="B87" s="101">
        <v>45.7</v>
      </c>
      <c r="C87" s="101">
        <v>0</v>
      </c>
    </row>
    <row r="88" spans="1:3" ht="14.4" x14ac:dyDescent="0.25">
      <c r="A88" s="301" t="s">
        <v>425</v>
      </c>
      <c r="B88" s="302">
        <v>51.2</v>
      </c>
      <c r="C88" s="302">
        <v>13.6</v>
      </c>
    </row>
    <row r="89" spans="1:3" ht="14.4" x14ac:dyDescent="0.25">
      <c r="A89" s="99" t="s">
        <v>221</v>
      </c>
      <c r="B89" s="101">
        <v>71.900000000000006</v>
      </c>
      <c r="C89" s="101">
        <v>16.3</v>
      </c>
    </row>
    <row r="90" spans="1:3" ht="14.4" x14ac:dyDescent="0.25">
      <c r="A90" s="99" t="s">
        <v>225</v>
      </c>
      <c r="B90" s="101">
        <v>56.7</v>
      </c>
      <c r="C90" s="101">
        <v>19.100000000000001</v>
      </c>
    </row>
    <row r="91" spans="1:3" ht="14.4" x14ac:dyDescent="0.25">
      <c r="A91" s="301" t="s">
        <v>428</v>
      </c>
      <c r="B91" s="302">
        <v>15.4</v>
      </c>
      <c r="C91" s="302">
        <v>12.6</v>
      </c>
    </row>
    <row r="92" spans="1:3" ht="14.4" x14ac:dyDescent="0.25">
      <c r="A92" s="99" t="s">
        <v>232</v>
      </c>
      <c r="B92" s="101">
        <v>38.1</v>
      </c>
      <c r="C92" s="101">
        <v>17</v>
      </c>
    </row>
    <row r="93" spans="1:3" ht="14.4" x14ac:dyDescent="0.25">
      <c r="A93" s="99" t="s">
        <v>235</v>
      </c>
      <c r="B93" s="101">
        <v>39.200000000000003</v>
      </c>
      <c r="C93" s="101">
        <v>13</v>
      </c>
    </row>
    <row r="94" spans="1:3" ht="14.4" x14ac:dyDescent="0.25">
      <c r="A94" s="301" t="s">
        <v>431</v>
      </c>
      <c r="B94" s="302">
        <v>31.7</v>
      </c>
      <c r="C94" s="302">
        <v>0</v>
      </c>
    </row>
    <row r="95" spans="1:3" ht="14.4" x14ac:dyDescent="0.25">
      <c r="A95" s="301" t="s">
        <v>432</v>
      </c>
      <c r="B95" s="302">
        <v>81.400000000000006</v>
      </c>
      <c r="C95" s="302">
        <v>43.6</v>
      </c>
    </row>
    <row r="96" spans="1:3" ht="14.4" x14ac:dyDescent="0.25">
      <c r="A96" s="99" t="s">
        <v>244</v>
      </c>
      <c r="B96" s="101">
        <v>0</v>
      </c>
      <c r="C96" s="101">
        <v>36.299999999999997</v>
      </c>
    </row>
    <row r="97" spans="1:3" ht="14.4" x14ac:dyDescent="0.25">
      <c r="A97" s="295" t="s">
        <v>671</v>
      </c>
      <c r="B97" s="101">
        <v>0</v>
      </c>
      <c r="C97" s="101">
        <v>52</v>
      </c>
    </row>
    <row r="98" spans="1:3" ht="14.4" x14ac:dyDescent="0.25">
      <c r="A98" s="99" t="s">
        <v>215</v>
      </c>
      <c r="B98" s="101">
        <v>0</v>
      </c>
      <c r="C98" s="101">
        <v>37.5</v>
      </c>
    </row>
    <row r="99" spans="1:3" ht="14.4" x14ac:dyDescent="0.25">
      <c r="A99" s="99" t="s">
        <v>219</v>
      </c>
      <c r="B99" s="101">
        <v>9</v>
      </c>
      <c r="C99" s="101">
        <v>52.8</v>
      </c>
    </row>
    <row r="100" spans="1:3" ht="14.4" x14ac:dyDescent="0.25">
      <c r="A100" s="99" t="s">
        <v>223</v>
      </c>
      <c r="B100" s="101">
        <v>10.5</v>
      </c>
      <c r="C100" s="101">
        <v>41.4</v>
      </c>
    </row>
    <row r="101" spans="1:3" ht="14.4" x14ac:dyDescent="0.25">
      <c r="A101" s="99" t="s">
        <v>227</v>
      </c>
      <c r="B101" s="101">
        <v>7.4</v>
      </c>
      <c r="C101" s="101">
        <v>32.5</v>
      </c>
    </row>
    <row r="102" spans="1:3" ht="14.4" x14ac:dyDescent="0.25">
      <c r="A102" s="99" t="s">
        <v>230</v>
      </c>
      <c r="B102" s="101">
        <v>10.5</v>
      </c>
      <c r="C102" s="101">
        <v>55.2</v>
      </c>
    </row>
    <row r="103" spans="1:3" ht="14.4" x14ac:dyDescent="0.25">
      <c r="A103" s="99" t="s">
        <v>234</v>
      </c>
      <c r="B103" s="101">
        <v>1.6</v>
      </c>
      <c r="C103" s="101">
        <v>33.1</v>
      </c>
    </row>
    <row r="104" spans="1:3" ht="14.4" x14ac:dyDescent="0.25">
      <c r="A104" s="99" t="s">
        <v>236</v>
      </c>
      <c r="B104" s="101">
        <v>10.1</v>
      </c>
      <c r="C104" s="101">
        <v>38.1</v>
      </c>
    </row>
    <row r="105" spans="1:3" ht="14.4" x14ac:dyDescent="0.25">
      <c r="A105" s="99" t="s">
        <v>239</v>
      </c>
      <c r="B105" s="101">
        <v>43.8</v>
      </c>
      <c r="C105" s="101">
        <v>24.3</v>
      </c>
    </row>
    <row r="106" spans="1:3" ht="14.4" x14ac:dyDescent="0.25">
      <c r="A106" s="99" t="s">
        <v>242</v>
      </c>
      <c r="B106" s="101">
        <v>98.8</v>
      </c>
      <c r="C106" s="101">
        <v>0</v>
      </c>
    </row>
    <row r="107" spans="1:3" ht="14.4" x14ac:dyDescent="0.25">
      <c r="A107" s="99" t="s">
        <v>245</v>
      </c>
      <c r="B107" s="101">
        <v>0</v>
      </c>
      <c r="C107" s="101">
        <v>50.3</v>
      </c>
    </row>
    <row r="108" spans="1:3" ht="14.4" x14ac:dyDescent="0.25">
      <c r="A108" s="99" t="s">
        <v>248</v>
      </c>
      <c r="B108" s="101">
        <v>17.8</v>
      </c>
      <c r="C108" s="101">
        <v>12.8</v>
      </c>
    </row>
    <row r="109" spans="1:3" ht="14.4" x14ac:dyDescent="0.25">
      <c r="A109" s="99" t="s">
        <v>251</v>
      </c>
      <c r="B109" s="101">
        <v>16.3</v>
      </c>
      <c r="C109" s="101">
        <v>6.7</v>
      </c>
    </row>
    <row r="110" spans="1:3" ht="14.4" x14ac:dyDescent="0.25">
      <c r="A110" s="99" t="s">
        <v>255</v>
      </c>
      <c r="B110" s="101">
        <v>15</v>
      </c>
      <c r="C110" s="101">
        <v>27.8</v>
      </c>
    </row>
    <row r="111" spans="1:3" ht="14.4" x14ac:dyDescent="0.25">
      <c r="A111" s="99" t="s">
        <v>257</v>
      </c>
      <c r="B111" s="101">
        <v>0</v>
      </c>
      <c r="C111" s="101">
        <v>29.9</v>
      </c>
    </row>
    <row r="112" spans="1:3" ht="14.4" x14ac:dyDescent="0.25">
      <c r="A112" s="99" t="s">
        <v>259</v>
      </c>
      <c r="B112" s="101">
        <v>0</v>
      </c>
      <c r="C112" s="101">
        <v>30</v>
      </c>
    </row>
    <row r="113" spans="1:3" ht="14.4" x14ac:dyDescent="0.25">
      <c r="A113" s="99" t="s">
        <v>261</v>
      </c>
      <c r="B113" s="101">
        <v>0</v>
      </c>
      <c r="C113" s="101">
        <v>27.3</v>
      </c>
    </row>
    <row r="114" spans="1:3" ht="14.4" x14ac:dyDescent="0.25">
      <c r="A114" s="301" t="s">
        <v>450</v>
      </c>
      <c r="B114" s="302">
        <v>30.6</v>
      </c>
      <c r="C114" s="302">
        <v>0</v>
      </c>
    </row>
    <row r="115" spans="1:3" ht="14.4" x14ac:dyDescent="0.25">
      <c r="A115" s="301" t="s">
        <v>451</v>
      </c>
      <c r="B115" s="302">
        <v>85.3</v>
      </c>
      <c r="C115" s="302">
        <v>42.8</v>
      </c>
    </row>
    <row r="116" spans="1:3" ht="14.4" x14ac:dyDescent="0.25">
      <c r="A116" s="301" t="s">
        <v>452</v>
      </c>
      <c r="B116" s="302">
        <v>123.1</v>
      </c>
      <c r="C116" s="302">
        <v>6.7</v>
      </c>
    </row>
    <row r="117" spans="1:3" ht="14.4" x14ac:dyDescent="0.25">
      <c r="A117" s="99" t="s">
        <v>250</v>
      </c>
      <c r="B117" s="101">
        <v>0</v>
      </c>
      <c r="C117" s="101">
        <v>0</v>
      </c>
    </row>
    <row r="118" spans="1:3" ht="14.4" x14ac:dyDescent="0.25">
      <c r="A118" s="99" t="s">
        <v>252</v>
      </c>
      <c r="B118" s="101">
        <v>0</v>
      </c>
      <c r="C118" s="101">
        <v>0</v>
      </c>
    </row>
    <row r="119" spans="1:3" ht="14.4" x14ac:dyDescent="0.25">
      <c r="A119" s="99" t="s">
        <v>253</v>
      </c>
      <c r="B119" s="101">
        <v>20.9</v>
      </c>
      <c r="C119" s="101">
        <v>0</v>
      </c>
    </row>
    <row r="120" spans="1:3" ht="14.4" x14ac:dyDescent="0.25">
      <c r="A120" s="99" t="s">
        <v>256</v>
      </c>
      <c r="B120" s="101">
        <v>0</v>
      </c>
      <c r="C120" s="101">
        <v>0</v>
      </c>
    </row>
    <row r="121" spans="1:3" ht="14.4" x14ac:dyDescent="0.25">
      <c r="A121" s="99" t="s">
        <v>258</v>
      </c>
      <c r="B121" s="101">
        <v>0</v>
      </c>
      <c r="C121" s="101">
        <v>13.5</v>
      </c>
    </row>
    <row r="122" spans="1:3" ht="14.4" x14ac:dyDescent="0.25">
      <c r="A122" s="99" t="s">
        <v>260</v>
      </c>
      <c r="B122" s="101">
        <v>15.6</v>
      </c>
      <c r="C122" s="101">
        <v>21.3</v>
      </c>
    </row>
    <row r="123" spans="1:3" ht="14.4" x14ac:dyDescent="0.25">
      <c r="A123" s="99" t="s">
        <v>263</v>
      </c>
      <c r="B123" s="101">
        <v>6.3</v>
      </c>
      <c r="C123" s="101">
        <v>33.799999999999997</v>
      </c>
    </row>
    <row r="124" spans="1:3" ht="14.4" x14ac:dyDescent="0.25">
      <c r="A124" s="291" t="s">
        <v>266</v>
      </c>
      <c r="B124" s="121">
        <v>5.0999999999999996</v>
      </c>
      <c r="C124" s="121">
        <v>34.5</v>
      </c>
    </row>
    <row r="125" spans="1:3" ht="14.4" x14ac:dyDescent="0.25">
      <c r="A125" s="7" t="s">
        <v>270</v>
      </c>
      <c r="B125" s="101">
        <v>0</v>
      </c>
      <c r="C125" s="101">
        <v>79.2</v>
      </c>
    </row>
    <row r="126" spans="1:3" ht="14.4" x14ac:dyDescent="0.25">
      <c r="A126" s="7" t="s">
        <v>271</v>
      </c>
      <c r="B126" s="101">
        <v>0</v>
      </c>
      <c r="C126" s="101">
        <v>34.299999999999997</v>
      </c>
    </row>
    <row r="127" spans="1:3" ht="14.4" x14ac:dyDescent="0.25">
      <c r="A127" s="296" t="s">
        <v>463</v>
      </c>
      <c r="B127" s="302">
        <v>27.9</v>
      </c>
      <c r="C127" s="302">
        <v>19.8</v>
      </c>
    </row>
    <row r="128" spans="1:3" ht="14.4" x14ac:dyDescent="0.25">
      <c r="A128" s="7" t="s">
        <v>277</v>
      </c>
      <c r="B128" s="101">
        <v>14.4</v>
      </c>
      <c r="C128" s="101">
        <v>33.799999999999997</v>
      </c>
    </row>
    <row r="129" spans="1:3" ht="14.4" x14ac:dyDescent="0.25">
      <c r="A129" s="7" t="s">
        <v>280</v>
      </c>
      <c r="B129" s="101">
        <v>5.0999999999999996</v>
      </c>
      <c r="C129" s="101">
        <v>34.5</v>
      </c>
    </row>
    <row r="130" spans="1:3" ht="14.4" x14ac:dyDescent="0.25">
      <c r="A130" s="60" t="s">
        <v>281</v>
      </c>
      <c r="B130" s="101">
        <v>0</v>
      </c>
      <c r="C130" s="101">
        <v>34.299999999999997</v>
      </c>
    </row>
    <row r="131" spans="1:3" ht="14.4" x14ac:dyDescent="0.25">
      <c r="A131" s="60" t="s">
        <v>282</v>
      </c>
      <c r="B131" s="101">
        <v>7.5</v>
      </c>
      <c r="C131" s="101">
        <v>19.8</v>
      </c>
    </row>
    <row r="132" spans="1:3" ht="14.4" x14ac:dyDescent="0.25">
      <c r="A132" s="7" t="s">
        <v>267</v>
      </c>
      <c r="B132" s="101">
        <v>0</v>
      </c>
      <c r="C132" s="101">
        <v>79.2</v>
      </c>
    </row>
    <row r="133" spans="1:3" ht="14.4" x14ac:dyDescent="0.25">
      <c r="A133" s="291" t="s">
        <v>268</v>
      </c>
      <c r="B133" s="101">
        <v>42.3</v>
      </c>
      <c r="C133" s="101">
        <v>9.1</v>
      </c>
    </row>
    <row r="134" spans="1:3" ht="14.4" x14ac:dyDescent="0.25">
      <c r="A134" s="7" t="s">
        <v>272</v>
      </c>
      <c r="B134" s="101">
        <v>6</v>
      </c>
      <c r="C134" s="101">
        <v>0</v>
      </c>
    </row>
    <row r="135" spans="1:3" ht="14.4" x14ac:dyDescent="0.25">
      <c r="A135" s="7" t="s">
        <v>275</v>
      </c>
      <c r="B135" s="101">
        <v>36.700000000000003</v>
      </c>
      <c r="C135" s="101">
        <v>17.5</v>
      </c>
    </row>
    <row r="136" spans="1:3" ht="14.4" x14ac:dyDescent="0.25">
      <c r="A136" s="296" t="s">
        <v>472</v>
      </c>
      <c r="B136" s="302">
        <v>4.5</v>
      </c>
      <c r="C136" s="302">
        <v>23.2</v>
      </c>
    </row>
    <row r="137" spans="1:3" ht="14.4" x14ac:dyDescent="0.25">
      <c r="A137" s="7" t="s">
        <v>283</v>
      </c>
      <c r="B137" s="9">
        <v>39.9</v>
      </c>
      <c r="C137" s="9">
        <v>4.9000000000000004</v>
      </c>
    </row>
    <row r="138" spans="1:3" ht="14.4" x14ac:dyDescent="0.25">
      <c r="A138" s="296" t="s">
        <v>474</v>
      </c>
      <c r="B138" s="297">
        <v>13.2</v>
      </c>
      <c r="C138" s="297">
        <v>19.5</v>
      </c>
    </row>
    <row r="139" spans="1:3" ht="14.4" x14ac:dyDescent="0.25">
      <c r="A139" s="7" t="s">
        <v>286</v>
      </c>
      <c r="B139" s="9">
        <v>0</v>
      </c>
      <c r="C139" s="9">
        <v>13.7</v>
      </c>
    </row>
    <row r="140" spans="1:3" ht="14.4" x14ac:dyDescent="0.25">
      <c r="A140" s="7" t="s">
        <v>288</v>
      </c>
      <c r="B140" s="9">
        <v>0</v>
      </c>
      <c r="C140" s="9">
        <v>0</v>
      </c>
    </row>
    <row r="141" spans="1:3" ht="14.4" x14ac:dyDescent="0.25">
      <c r="A141" s="7" t="s">
        <v>290</v>
      </c>
      <c r="B141" s="9">
        <v>4.7</v>
      </c>
      <c r="C141" s="9">
        <v>9.1</v>
      </c>
    </row>
    <row r="142" spans="1:3" ht="14.4" x14ac:dyDescent="0.25">
      <c r="A142" s="296" t="s">
        <v>478</v>
      </c>
      <c r="B142" s="297">
        <v>79.099999999999994</v>
      </c>
      <c r="C142" s="297">
        <v>7.1</v>
      </c>
    </row>
    <row r="143" spans="1:3" ht="14.4" x14ac:dyDescent="0.25">
      <c r="A143" s="60" t="s">
        <v>292</v>
      </c>
      <c r="B143" s="90">
        <v>0</v>
      </c>
      <c r="C143" s="90">
        <v>0</v>
      </c>
    </row>
    <row r="144" spans="1:3" ht="14.4" x14ac:dyDescent="0.25">
      <c r="A144" s="291" t="s">
        <v>293</v>
      </c>
      <c r="B144" s="121">
        <v>53.7</v>
      </c>
      <c r="C144" s="121">
        <v>19.100000000000001</v>
      </c>
    </row>
    <row r="145" spans="1:3" ht="14.4" x14ac:dyDescent="0.25">
      <c r="A145" s="99" t="s">
        <v>295</v>
      </c>
      <c r="B145" s="101">
        <v>43.5</v>
      </c>
      <c r="C145" s="101">
        <v>16.8</v>
      </c>
    </row>
    <row r="146" spans="1:3" ht="14.4" x14ac:dyDescent="0.25">
      <c r="A146" s="99" t="s">
        <v>297</v>
      </c>
      <c r="B146" s="101">
        <v>68.099999999999994</v>
      </c>
      <c r="C146" s="101">
        <v>27.4</v>
      </c>
    </row>
    <row r="147" spans="1:3" ht="14.4" x14ac:dyDescent="0.25">
      <c r="A147" s="99" t="s">
        <v>301</v>
      </c>
      <c r="B147" s="101">
        <v>48.7</v>
      </c>
      <c r="C147" s="101">
        <v>16</v>
      </c>
    </row>
    <row r="148" spans="1:3" ht="14.4" x14ac:dyDescent="0.25">
      <c r="A148" s="99" t="s">
        <v>305</v>
      </c>
      <c r="B148" s="101">
        <v>43.2</v>
      </c>
      <c r="C148" s="101">
        <v>12.5</v>
      </c>
    </row>
    <row r="149" spans="1:3" ht="14.4" x14ac:dyDescent="0.25">
      <c r="A149" s="99" t="s">
        <v>307</v>
      </c>
      <c r="B149" s="101">
        <v>11.3</v>
      </c>
      <c r="C149" s="101">
        <v>15.3</v>
      </c>
    </row>
    <row r="150" spans="1:3" ht="14.4" x14ac:dyDescent="0.25">
      <c r="A150" s="99" t="s">
        <v>309</v>
      </c>
      <c r="B150" s="101">
        <v>35.5</v>
      </c>
      <c r="C150" s="101">
        <v>18.8</v>
      </c>
    </row>
    <row r="151" spans="1:3" ht="14.4" x14ac:dyDescent="0.25">
      <c r="A151" s="99" t="s">
        <v>311</v>
      </c>
      <c r="B151" s="101">
        <v>36.700000000000003</v>
      </c>
      <c r="C151" s="101">
        <v>15.3</v>
      </c>
    </row>
    <row r="152" spans="1:3" ht="14.4" x14ac:dyDescent="0.25">
      <c r="A152" s="99" t="s">
        <v>313</v>
      </c>
      <c r="B152" s="101">
        <v>14.9</v>
      </c>
      <c r="C152" s="101">
        <v>0</v>
      </c>
    </row>
    <row r="153" spans="1:3" ht="14.4" x14ac:dyDescent="0.25">
      <c r="A153" s="99" t="s">
        <v>315</v>
      </c>
      <c r="B153" s="101">
        <v>0</v>
      </c>
      <c r="C153" s="101">
        <v>27.1</v>
      </c>
    </row>
    <row r="154" spans="1:3" ht="14.4" x14ac:dyDescent="0.25">
      <c r="A154" s="99" t="s">
        <v>296</v>
      </c>
      <c r="B154" s="101">
        <v>0</v>
      </c>
      <c r="C154" s="101">
        <v>29.9</v>
      </c>
    </row>
    <row r="155" spans="1:3" ht="14.4" x14ac:dyDescent="0.25">
      <c r="A155" s="301" t="s">
        <v>371</v>
      </c>
      <c r="B155" s="302">
        <v>124.2</v>
      </c>
      <c r="C155" s="302">
        <v>26.1</v>
      </c>
    </row>
    <row r="156" spans="1:3" ht="14.4" x14ac:dyDescent="0.25">
      <c r="A156" s="99" t="s">
        <v>303</v>
      </c>
      <c r="B156" s="101">
        <v>0</v>
      </c>
      <c r="C156" s="101">
        <v>0</v>
      </c>
    </row>
    <row r="157" spans="1:3" ht="14.4" x14ac:dyDescent="0.25">
      <c r="A157" s="99" t="s">
        <v>306</v>
      </c>
      <c r="B157" s="101">
        <v>16.3</v>
      </c>
      <c r="C157" s="101">
        <v>6.7</v>
      </c>
    </row>
    <row r="158" spans="1:3" ht="14.4" x14ac:dyDescent="0.25">
      <c r="A158" s="99" t="s">
        <v>308</v>
      </c>
      <c r="B158" s="101">
        <v>15</v>
      </c>
      <c r="C158" s="101">
        <v>30</v>
      </c>
    </row>
    <row r="159" spans="1:3" ht="14.4" x14ac:dyDescent="0.25">
      <c r="A159" s="99" t="s">
        <v>310</v>
      </c>
      <c r="B159" s="101">
        <v>16.2</v>
      </c>
      <c r="C159" s="101">
        <v>1.2</v>
      </c>
    </row>
    <row r="160" spans="1:3" ht="14.4" x14ac:dyDescent="0.25">
      <c r="A160" s="99" t="s">
        <v>312</v>
      </c>
      <c r="B160" s="101">
        <v>0</v>
      </c>
      <c r="C160" s="101">
        <v>0</v>
      </c>
    </row>
    <row r="161" spans="1:3" ht="14.4" x14ac:dyDescent="0.25">
      <c r="A161" s="99" t="s">
        <v>314</v>
      </c>
      <c r="B161" s="101">
        <v>54.2</v>
      </c>
      <c r="C161" s="101">
        <v>8.8000000000000007</v>
      </c>
    </row>
    <row r="162" spans="1:3" ht="14.4" x14ac:dyDescent="0.25">
      <c r="A162" s="301" t="s">
        <v>378</v>
      </c>
      <c r="B162" s="302">
        <v>117.1</v>
      </c>
      <c r="C162" s="302">
        <v>2.2000000000000002</v>
      </c>
    </row>
    <row r="163" spans="1:3" ht="14.4" x14ac:dyDescent="0.25">
      <c r="A163" s="60" t="s">
        <v>318</v>
      </c>
      <c r="B163" s="90">
        <v>15.1</v>
      </c>
      <c r="C163" s="39">
        <v>33.700000000000003</v>
      </c>
    </row>
    <row r="164" spans="1:3" ht="14.4" x14ac:dyDescent="0.25">
      <c r="A164" s="60" t="s">
        <v>320</v>
      </c>
      <c r="B164" s="90">
        <v>0</v>
      </c>
      <c r="C164" s="39">
        <v>34.200000000000003</v>
      </c>
    </row>
    <row r="165" spans="1:3" ht="14.4" x14ac:dyDescent="0.25">
      <c r="A165" s="60" t="s">
        <v>323</v>
      </c>
      <c r="B165" s="90">
        <v>5</v>
      </c>
      <c r="C165" s="39">
        <v>34.4</v>
      </c>
    </row>
    <row r="166" spans="1:3" ht="14.4" x14ac:dyDescent="0.25">
      <c r="A166" s="60" t="s">
        <v>326</v>
      </c>
      <c r="B166" s="90">
        <v>0</v>
      </c>
      <c r="C166" s="39">
        <v>78.5</v>
      </c>
    </row>
    <row r="167" spans="1:3" ht="14.4" x14ac:dyDescent="0.25">
      <c r="A167" s="60" t="s">
        <v>329</v>
      </c>
      <c r="B167" s="90">
        <v>59.7</v>
      </c>
      <c r="C167" s="39">
        <v>9.1</v>
      </c>
    </row>
    <row r="168" spans="1:3" ht="14.4" x14ac:dyDescent="0.25">
      <c r="A168" s="60" t="s">
        <v>332</v>
      </c>
      <c r="B168" s="90">
        <v>4.8</v>
      </c>
      <c r="C168" s="39">
        <v>2.6</v>
      </c>
    </row>
    <row r="169" spans="1:3" ht="14.4" x14ac:dyDescent="0.25">
      <c r="A169" s="296" t="s">
        <v>385</v>
      </c>
      <c r="B169" s="297">
        <v>64.400000000000006</v>
      </c>
      <c r="C169" s="297">
        <v>5.7</v>
      </c>
    </row>
    <row r="170" spans="1:3" ht="14.4" x14ac:dyDescent="0.25">
      <c r="A170" s="7" t="s">
        <v>340</v>
      </c>
      <c r="B170" s="9">
        <v>16.399999999999999</v>
      </c>
      <c r="C170" s="9">
        <v>13.6</v>
      </c>
    </row>
    <row r="171" spans="1:3" ht="14.4" x14ac:dyDescent="0.25">
      <c r="A171" s="7" t="s">
        <v>344</v>
      </c>
      <c r="B171" s="9">
        <v>0</v>
      </c>
      <c r="C171" s="9">
        <v>13.6</v>
      </c>
    </row>
    <row r="172" spans="1:3" ht="14.4" x14ac:dyDescent="0.25">
      <c r="A172" s="7" t="s">
        <v>346</v>
      </c>
      <c r="B172" s="9">
        <v>0</v>
      </c>
      <c r="C172" s="9">
        <v>0</v>
      </c>
    </row>
    <row r="173" spans="1:3" ht="14.4" x14ac:dyDescent="0.25">
      <c r="A173" s="7" t="s">
        <v>348</v>
      </c>
      <c r="B173" s="9">
        <v>4.5999999999999996</v>
      </c>
      <c r="C173" s="9">
        <v>13.1</v>
      </c>
    </row>
    <row r="174" spans="1:3" ht="14.4" x14ac:dyDescent="0.25">
      <c r="A174" s="296" t="s">
        <v>390</v>
      </c>
      <c r="B174" s="297">
        <v>12.8</v>
      </c>
      <c r="C174" s="297">
        <v>11.5</v>
      </c>
    </row>
    <row r="175" spans="1:3" ht="14.4" x14ac:dyDescent="0.25">
      <c r="A175" s="296" t="s">
        <v>391</v>
      </c>
      <c r="B175" s="297">
        <v>43.9</v>
      </c>
      <c r="C175" s="297">
        <v>4.9000000000000004</v>
      </c>
    </row>
    <row r="176" spans="1:3" ht="14.4" x14ac:dyDescent="0.25">
      <c r="A176" s="296" t="s">
        <v>392</v>
      </c>
      <c r="B176" s="297">
        <v>115.9</v>
      </c>
      <c r="C176" s="297">
        <v>7</v>
      </c>
    </row>
    <row r="177" spans="1:3" ht="14.4" x14ac:dyDescent="0.25">
      <c r="A177" s="7" t="s">
        <v>352</v>
      </c>
      <c r="B177" s="9">
        <v>0</v>
      </c>
      <c r="C177" s="9">
        <v>0</v>
      </c>
    </row>
    <row r="178" spans="1:3" ht="14.4" x14ac:dyDescent="0.25">
      <c r="A178" s="291" t="s">
        <v>353</v>
      </c>
      <c r="B178" s="121">
        <v>31.5</v>
      </c>
      <c r="C178" s="121">
        <v>0</v>
      </c>
    </row>
    <row r="179" spans="1:3" ht="14.4" x14ac:dyDescent="0.25">
      <c r="A179" s="298" t="s">
        <v>395</v>
      </c>
      <c r="B179" s="299">
        <v>37.6</v>
      </c>
      <c r="C179" s="299">
        <v>24.6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385" t="s">
        <v>0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2" spans="1:17" ht="19.5" customHeight="1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383" t="s">
        <v>4</v>
      </c>
      <c r="N2" s="383"/>
      <c r="O2" s="386" t="s">
        <v>5</v>
      </c>
      <c r="P2" s="386"/>
      <c r="Q2" s="387" t="s">
        <v>6</v>
      </c>
    </row>
    <row r="3" spans="1:17" ht="19.5" customHeight="1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390" t="s">
        <v>10</v>
      </c>
      <c r="J3" s="390"/>
      <c r="K3" s="391" t="s">
        <v>11</v>
      </c>
      <c r="L3" s="391"/>
      <c r="M3" s="383" t="s">
        <v>12</v>
      </c>
      <c r="N3" s="384" t="s">
        <v>13</v>
      </c>
      <c r="O3" s="383" t="s">
        <v>12</v>
      </c>
      <c r="P3" s="388" t="s">
        <v>14</v>
      </c>
      <c r="Q3" s="387"/>
    </row>
    <row r="4" spans="1:17" ht="46.35" customHeight="1" x14ac:dyDescent="0.25">
      <c r="A4" s="384"/>
      <c r="B4" s="383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383"/>
      <c r="N4" s="384"/>
      <c r="O4" s="383"/>
      <c r="P4" s="388"/>
      <c r="Q4" s="387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392" t="s">
        <v>0</v>
      </c>
      <c r="B1" s="393"/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  <c r="U1" s="393"/>
    </row>
    <row r="2" spans="1:29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33"/>
      <c r="N2" s="133"/>
      <c r="O2" s="133"/>
      <c r="P2" s="133"/>
      <c r="Q2" s="383" t="s">
        <v>4</v>
      </c>
      <c r="R2" s="383"/>
      <c r="S2" s="386" t="s">
        <v>5</v>
      </c>
      <c r="T2" s="386"/>
      <c r="U2" s="134" t="s">
        <v>6</v>
      </c>
    </row>
    <row r="3" spans="1:29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80" t="s">
        <v>63</v>
      </c>
      <c r="J3" s="81"/>
      <c r="K3" s="80" t="s">
        <v>64</v>
      </c>
      <c r="L3" s="81"/>
      <c r="M3" s="390" t="s">
        <v>10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34"/>
    </row>
    <row r="4" spans="1:29" ht="34.799999999999997" x14ac:dyDescent="0.25">
      <c r="A4" s="384"/>
      <c r="B4" s="383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83"/>
      <c r="R4" s="384"/>
      <c r="S4" s="383"/>
      <c r="T4" s="388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95" t="s">
        <v>359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</row>
    <row r="2" spans="1:21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33"/>
      <c r="N2" s="133"/>
      <c r="O2" s="133"/>
      <c r="P2" s="133"/>
      <c r="Q2" s="383" t="s">
        <v>4</v>
      </c>
      <c r="R2" s="383"/>
      <c r="S2" s="386" t="s">
        <v>5</v>
      </c>
      <c r="T2" s="386"/>
      <c r="U2" s="134" t="s">
        <v>6</v>
      </c>
    </row>
    <row r="3" spans="1:21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135" t="s">
        <v>63</v>
      </c>
      <c r="J3" s="135"/>
      <c r="K3" s="135" t="s">
        <v>64</v>
      </c>
      <c r="L3" s="135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34"/>
    </row>
    <row r="4" spans="1:21" ht="34.799999999999997" x14ac:dyDescent="0.25">
      <c r="A4" s="384"/>
      <c r="B4" s="383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83"/>
      <c r="R4" s="384"/>
      <c r="S4" s="383"/>
      <c r="T4" s="388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395" t="s">
        <v>359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</row>
    <row r="2" spans="1:21" ht="17.399999999999999" x14ac:dyDescent="0.25">
      <c r="A2" s="384" t="s">
        <v>1</v>
      </c>
      <c r="B2" s="383" t="s">
        <v>2</v>
      </c>
      <c r="C2" s="385" t="s">
        <v>3</v>
      </c>
      <c r="D2" s="385"/>
      <c r="E2" s="385"/>
      <c r="F2" s="385"/>
      <c r="G2" s="385"/>
      <c r="H2" s="385"/>
      <c r="I2" s="385"/>
      <c r="J2" s="385"/>
      <c r="K2" s="385"/>
      <c r="L2" s="385"/>
      <c r="M2" s="133"/>
      <c r="N2" s="133"/>
      <c r="O2" s="133"/>
      <c r="P2" s="133"/>
      <c r="Q2" s="383" t="s">
        <v>4</v>
      </c>
      <c r="R2" s="383"/>
      <c r="S2" s="386" t="s">
        <v>5</v>
      </c>
      <c r="T2" s="386"/>
      <c r="U2" s="134" t="s">
        <v>6</v>
      </c>
    </row>
    <row r="3" spans="1:21" ht="17.399999999999999" x14ac:dyDescent="0.25">
      <c r="A3" s="384"/>
      <c r="B3" s="383"/>
      <c r="C3" s="386" t="s">
        <v>7</v>
      </c>
      <c r="D3" s="386"/>
      <c r="E3" s="389" t="s">
        <v>8</v>
      </c>
      <c r="F3" s="389"/>
      <c r="G3" s="390" t="s">
        <v>9</v>
      </c>
      <c r="H3" s="390"/>
      <c r="I3" s="135" t="s">
        <v>63</v>
      </c>
      <c r="J3" s="135"/>
      <c r="K3" s="135" t="s">
        <v>64</v>
      </c>
      <c r="L3" s="135"/>
      <c r="M3" s="394" t="s">
        <v>358</v>
      </c>
      <c r="N3" s="390"/>
      <c r="O3" s="391" t="s">
        <v>11</v>
      </c>
      <c r="P3" s="391"/>
      <c r="Q3" s="383" t="s">
        <v>12</v>
      </c>
      <c r="R3" s="384" t="s">
        <v>13</v>
      </c>
      <c r="S3" s="383" t="s">
        <v>12</v>
      </c>
      <c r="T3" s="388" t="s">
        <v>14</v>
      </c>
      <c r="U3" s="134"/>
    </row>
    <row r="4" spans="1:21" ht="34.799999999999997" x14ac:dyDescent="0.25">
      <c r="A4" s="384"/>
      <c r="B4" s="383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83"/>
      <c r="R4" s="384"/>
      <c r="S4" s="383"/>
      <c r="T4" s="388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workbookViewId="0">
      <selection sqref="A1:B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431" t="s">
        <v>561</v>
      </c>
      <c r="B1" s="431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80.300000000000011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128.1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359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122.80000000000001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57.500000000000007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122.99999999999999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88.100000000000009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58.5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299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410.9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89.9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108.5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60.900000000000006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213.1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36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34.599999999999994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69.899999999999991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83.5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80.7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457.6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333.90000000000003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64.3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134.69999999999999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108.7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299.39999999999998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388.49999999999994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183.70000000000002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220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432" t="s">
        <v>561</v>
      </c>
      <c r="B1" s="433"/>
    </row>
    <row r="2" spans="1:7" ht="17.25" customHeight="1" x14ac:dyDescent="0.25">
      <c r="A2" s="434" t="s">
        <v>565</v>
      </c>
      <c r="B2" s="153"/>
    </row>
    <row r="3" spans="1:7" ht="17.25" customHeight="1" x14ac:dyDescent="0.25">
      <c r="A3" s="431"/>
      <c r="B3" s="153"/>
    </row>
    <row r="4" spans="1:7" ht="26.4" x14ac:dyDescent="0.25">
      <c r="A4" s="431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5.7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23.299999999999997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20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436.4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60.5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26.2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41.000000000000007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144.5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111.39999999999999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100.60000000000001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103.00000000000001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165.8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73.900000000000006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29.099999999999994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69.8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16.5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52.4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51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57.600000000000009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36.500000000000007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27.099999999999998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33.799999999999997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45.599999999999994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43.7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48.9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53.2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74.100000000000009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81.2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167.29999999999998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257.00000000000006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102.79999999999998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71.5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68.2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89.3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43.9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41.4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218.79999999999998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118.3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49.5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181.5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61.9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51.1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90.8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44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45.100000000000009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46.7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35.700000000000003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25.400000000000002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42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34.4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9.8999999999999986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21.3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42.3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40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34.4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59.6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196.00000000000003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29.1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105.5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45.2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28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12.5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81.099999999999994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34.6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76.900000000000006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74.900000000000006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83.300000000000011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56.900000000000006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14.200000000000001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33.000000000000007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83.499999999999986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76.7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81.399999999999991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29.299999999999997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61.199999999999996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97.2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128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136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108.39999999999999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28.9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120.7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434" t="s">
        <v>564</v>
      </c>
      <c r="B1" s="431"/>
    </row>
    <row r="2" spans="1:7" ht="17.25" customHeight="1" x14ac:dyDescent="0.25">
      <c r="A2" s="434" t="s">
        <v>565</v>
      </c>
      <c r="B2" s="153"/>
    </row>
    <row r="3" spans="1:7" ht="17.25" customHeight="1" x14ac:dyDescent="0.25">
      <c r="A3" s="431"/>
      <c r="B3" s="153"/>
    </row>
    <row r="4" spans="1:7" ht="26.4" x14ac:dyDescent="0.25">
      <c r="A4" s="431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77.900000000000006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104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125.00000000000001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88.1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103.9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100.4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96.6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100.89999999999999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168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29.3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42.7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70.500000000000014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46.8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27.899999999999995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72.999999999999986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33.999999999999993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44.199999999999996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74.099999999999994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586.80000000000007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99.699999999999989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44.7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28.300000000000004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40.900000000000006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69.599999999999994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71.399999999999991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22.7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40.4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283.8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261.79999999999995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72.2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77.2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46.6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74.899999999999991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89.7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38.200000000000003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78.900000000000006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29.8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82.3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74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81.800000000000011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72.899999999999991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34.300000000000004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72.900000000000006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81.399999999999991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81.400000000000006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104.6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35.299999999999997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94.9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33.900000000000006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81.2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27.9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30.599999999999994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96.6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31.200000000000003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136.5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75.599999999999994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107.8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434" t="s">
        <v>564</v>
      </c>
      <c r="B1" s="431"/>
    </row>
    <row r="2" spans="1:7" ht="12.75" customHeight="1" x14ac:dyDescent="0.25">
      <c r="A2" s="434" t="s">
        <v>565</v>
      </c>
      <c r="B2" s="153"/>
    </row>
    <row r="3" spans="1:7" ht="12.75" customHeight="1" x14ac:dyDescent="0.25">
      <c r="A3" s="431"/>
      <c r="B3" s="153"/>
    </row>
    <row r="4" spans="1:7" ht="26.4" x14ac:dyDescent="0.25">
      <c r="A4" s="431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zoomScale="55" zoomScaleNormal="55" workbookViewId="0"/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622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605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435" t="s">
        <v>586</v>
      </c>
      <c r="B1" s="436"/>
      <c r="C1" s="437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617</v>
      </c>
      <c r="C3" s="182">
        <v>13</v>
      </c>
      <c r="D3" s="182" t="s">
        <v>603</v>
      </c>
    </row>
    <row r="4" spans="1:4" ht="16.8" customHeight="1" x14ac:dyDescent="0.25">
      <c r="A4" s="180">
        <v>2</v>
      </c>
      <c r="B4" s="183" t="s">
        <v>618</v>
      </c>
      <c r="C4" s="182">
        <v>37.200000000000003</v>
      </c>
      <c r="D4" s="182" t="s">
        <v>603</v>
      </c>
    </row>
    <row r="5" spans="1:4" ht="16.8" customHeight="1" x14ac:dyDescent="0.25">
      <c r="A5" s="180">
        <v>3</v>
      </c>
      <c r="B5" s="183" t="s">
        <v>619</v>
      </c>
      <c r="C5" s="182">
        <v>37.200000000000003</v>
      </c>
      <c r="D5" s="182" t="s">
        <v>603</v>
      </c>
    </row>
    <row r="6" spans="1:4" ht="16.8" customHeight="1" x14ac:dyDescent="0.25">
      <c r="A6" s="180">
        <v>4</v>
      </c>
      <c r="B6" s="183" t="s">
        <v>620</v>
      </c>
      <c r="C6" s="182">
        <v>25</v>
      </c>
      <c r="D6" s="182" t="s">
        <v>603</v>
      </c>
    </row>
    <row r="7" spans="1:4" ht="16.8" customHeight="1" x14ac:dyDescent="0.25">
      <c r="A7" s="180">
        <v>5</v>
      </c>
      <c r="B7" s="183" t="s">
        <v>621</v>
      </c>
      <c r="C7" s="182">
        <v>27.2</v>
      </c>
      <c r="D7" s="182" t="s">
        <v>603</v>
      </c>
    </row>
    <row r="8" spans="1:4" ht="16.8" customHeight="1" x14ac:dyDescent="0.25">
      <c r="A8" s="180">
        <v>6</v>
      </c>
      <c r="B8" s="183" t="s">
        <v>599</v>
      </c>
      <c r="C8" s="182">
        <v>37.200000000000003</v>
      </c>
      <c r="D8" s="182" t="s">
        <v>603</v>
      </c>
    </row>
    <row r="9" spans="1:4" ht="16.8" customHeight="1" x14ac:dyDescent="0.25">
      <c r="A9" s="180">
        <v>7</v>
      </c>
      <c r="B9" s="183" t="s">
        <v>600</v>
      </c>
      <c r="C9" s="182">
        <v>37.200000000000003</v>
      </c>
      <c r="D9" s="182" t="s">
        <v>603</v>
      </c>
    </row>
    <row r="10" spans="1:4" ht="16.8" customHeight="1" x14ac:dyDescent="0.25">
      <c r="A10" s="180">
        <v>8</v>
      </c>
      <c r="B10" s="183" t="s">
        <v>601</v>
      </c>
      <c r="C10" s="182">
        <v>38.700000000000003</v>
      </c>
      <c r="D10" s="182" t="s">
        <v>603</v>
      </c>
    </row>
    <row r="11" spans="1:4" ht="16.8" customHeight="1" x14ac:dyDescent="0.25">
      <c r="A11" s="180">
        <v>9</v>
      </c>
      <c r="B11" s="183" t="s">
        <v>602</v>
      </c>
      <c r="C11" s="182">
        <v>37.200000000000003</v>
      </c>
      <c r="D11" s="182" t="s">
        <v>603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435" t="s">
        <v>586</v>
      </c>
      <c r="B1" s="436"/>
      <c r="C1" s="437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607</v>
      </c>
      <c r="C3" s="182">
        <v>18.5</v>
      </c>
      <c r="D3" s="182" t="s">
        <v>604</v>
      </c>
    </row>
    <row r="4" spans="1:4" ht="16.8" customHeight="1" x14ac:dyDescent="0.25">
      <c r="A4" s="180">
        <v>2</v>
      </c>
      <c r="B4" s="183" t="s">
        <v>608</v>
      </c>
      <c r="C4" s="182">
        <v>30</v>
      </c>
      <c r="D4" s="182" t="s">
        <v>604</v>
      </c>
    </row>
    <row r="5" spans="1:4" ht="16.8" customHeight="1" x14ac:dyDescent="0.25">
      <c r="A5" s="180">
        <v>3</v>
      </c>
      <c r="B5" s="183" t="s">
        <v>609</v>
      </c>
      <c r="C5" s="182">
        <v>9.5</v>
      </c>
      <c r="D5" s="182" t="s">
        <v>604</v>
      </c>
    </row>
    <row r="6" spans="1:4" ht="16.8" customHeight="1" x14ac:dyDescent="0.25">
      <c r="A6" s="180">
        <v>4</v>
      </c>
      <c r="B6" s="183" t="s">
        <v>610</v>
      </c>
      <c r="C6" s="182">
        <v>9.5</v>
      </c>
      <c r="D6" s="182" t="s">
        <v>604</v>
      </c>
    </row>
    <row r="7" spans="1:4" ht="16.8" customHeight="1" x14ac:dyDescent="0.25">
      <c r="A7" s="180">
        <v>5</v>
      </c>
      <c r="B7" s="183" t="s">
        <v>594</v>
      </c>
      <c r="C7" s="182">
        <v>80.2</v>
      </c>
      <c r="D7" s="182" t="s">
        <v>604</v>
      </c>
    </row>
    <row r="8" spans="1:4" ht="16.8" customHeight="1" x14ac:dyDescent="0.25">
      <c r="A8" s="180">
        <v>6</v>
      </c>
      <c r="B8" s="183" t="s">
        <v>611</v>
      </c>
      <c r="C8" s="182">
        <v>15.2</v>
      </c>
      <c r="D8" s="182" t="s">
        <v>604</v>
      </c>
    </row>
    <row r="9" spans="1:4" ht="16.8" customHeight="1" x14ac:dyDescent="0.25">
      <c r="A9" s="180">
        <v>7</v>
      </c>
      <c r="B9" s="183" t="s">
        <v>612</v>
      </c>
      <c r="C9" s="182">
        <v>15.2</v>
      </c>
      <c r="D9" s="182" t="s">
        <v>604</v>
      </c>
    </row>
    <row r="10" spans="1:4" ht="16.8" customHeight="1" x14ac:dyDescent="0.25">
      <c r="A10" s="180">
        <v>8</v>
      </c>
      <c r="B10" s="183" t="s">
        <v>613</v>
      </c>
      <c r="C10" s="182">
        <v>15</v>
      </c>
      <c r="D10" s="182" t="s">
        <v>604</v>
      </c>
    </row>
    <row r="11" spans="1:4" ht="16.8" customHeight="1" x14ac:dyDescent="0.25">
      <c r="A11" s="180">
        <v>9</v>
      </c>
      <c r="B11" s="183" t="s">
        <v>614</v>
      </c>
      <c r="C11" s="182">
        <v>15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623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435" t="s">
        <v>586</v>
      </c>
      <c r="B1" s="436"/>
      <c r="C1" s="437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615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593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616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595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596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597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598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K16"/>
  <sheetViews>
    <sheetView workbookViewId="0">
      <selection sqref="A1:K1"/>
    </sheetView>
  </sheetViews>
  <sheetFormatPr defaultRowHeight="18" x14ac:dyDescent="0.25"/>
  <cols>
    <col min="1" max="1" width="7.21875" style="306" customWidth="1"/>
    <col min="2" max="2" width="10.88671875" style="306" customWidth="1"/>
    <col min="3" max="3" width="8" style="306" customWidth="1"/>
    <col min="4" max="4" width="12" style="306" customWidth="1"/>
    <col min="5" max="5" width="7.109375" style="306" customWidth="1"/>
    <col min="6" max="6" width="7.6640625" style="306" customWidth="1"/>
    <col min="7" max="7" width="9.33203125" style="306" customWidth="1"/>
    <col min="8" max="8" width="9.88671875" style="306" customWidth="1"/>
    <col min="9" max="9" width="12.109375" style="306" customWidth="1"/>
    <col min="10" max="10" width="7.88671875" style="306" customWidth="1"/>
    <col min="11" max="11" width="10.109375" style="306" customWidth="1"/>
    <col min="12" max="16384" width="8.88671875" style="306"/>
  </cols>
  <sheetData>
    <row r="1" spans="1:11" x14ac:dyDescent="0.25">
      <c r="A1" s="445" t="s">
        <v>579</v>
      </c>
      <c r="B1" s="445"/>
      <c r="C1" s="445"/>
      <c r="D1" s="445"/>
      <c r="E1" s="445"/>
      <c r="F1" s="445"/>
      <c r="G1" s="445"/>
      <c r="H1" s="445"/>
      <c r="I1" s="445"/>
      <c r="J1" s="445"/>
      <c r="K1" s="445"/>
    </row>
    <row r="2" spans="1:11" ht="36" x14ac:dyDescent="0.25">
      <c r="A2" s="173" t="s">
        <v>580</v>
      </c>
      <c r="B2" s="446" t="s">
        <v>581</v>
      </c>
      <c r="C2" s="446"/>
      <c r="D2" s="446"/>
      <c r="E2" s="446"/>
      <c r="F2" s="446"/>
      <c r="G2" s="447" t="s">
        <v>582</v>
      </c>
      <c r="H2" s="447"/>
      <c r="I2" s="447"/>
      <c r="J2" s="327" t="s">
        <v>583</v>
      </c>
      <c r="K2" s="175" t="s">
        <v>584</v>
      </c>
    </row>
    <row r="3" spans="1:11" ht="54" customHeight="1" x14ac:dyDescent="0.25">
      <c r="A3" s="319">
        <v>1</v>
      </c>
      <c r="B3" s="448" t="s">
        <v>585</v>
      </c>
      <c r="C3" s="448"/>
      <c r="D3" s="448"/>
      <c r="E3" s="448"/>
      <c r="F3" s="448"/>
      <c r="G3" s="449" t="s">
        <v>623</v>
      </c>
      <c r="H3" s="445"/>
      <c r="I3" s="445"/>
      <c r="J3" s="319" t="s">
        <v>571</v>
      </c>
      <c r="K3" s="317">
        <f>D11+I12+D16</f>
        <v>266.53699999999998</v>
      </c>
    </row>
    <row r="4" spans="1:11" x14ac:dyDescent="0.35">
      <c r="A4" s="444"/>
      <c r="B4" s="444"/>
      <c r="C4" s="444"/>
      <c r="D4" s="444"/>
      <c r="E4" s="444"/>
      <c r="F4" s="444"/>
      <c r="G4" s="444"/>
      <c r="H4" s="444"/>
      <c r="I4" s="444"/>
      <c r="J4" s="444"/>
      <c r="K4" s="444"/>
    </row>
    <row r="5" spans="1:11" ht="36" x14ac:dyDescent="0.25">
      <c r="A5" s="318" t="s">
        <v>1426</v>
      </c>
      <c r="B5" s="318" t="s">
        <v>1424</v>
      </c>
      <c r="C5" s="318" t="s">
        <v>1425</v>
      </c>
      <c r="D5" s="318" t="s">
        <v>1427</v>
      </c>
      <c r="E5" s="441"/>
      <c r="F5" s="318" t="s">
        <v>1426</v>
      </c>
      <c r="G5" s="318" t="s">
        <v>1424</v>
      </c>
      <c r="H5" s="318" t="s">
        <v>1425</v>
      </c>
      <c r="I5" s="318" t="s">
        <v>1427</v>
      </c>
      <c r="J5" s="438"/>
      <c r="K5" s="438"/>
    </row>
    <row r="6" spans="1:11" x14ac:dyDescent="0.25">
      <c r="A6" s="321" t="s">
        <v>483</v>
      </c>
      <c r="B6" s="322">
        <v>1.8</v>
      </c>
      <c r="C6" s="322">
        <v>8.0399999999999991</v>
      </c>
      <c r="D6" s="325">
        <v>14.472</v>
      </c>
      <c r="E6" s="441"/>
      <c r="F6" s="321" t="s">
        <v>439</v>
      </c>
      <c r="G6" s="322">
        <v>1.8</v>
      </c>
      <c r="H6" s="322">
        <v>11.84</v>
      </c>
      <c r="I6" s="325">
        <v>21.312000000000001</v>
      </c>
      <c r="J6" s="438"/>
      <c r="K6" s="438"/>
    </row>
    <row r="7" spans="1:11" x14ac:dyDescent="0.25">
      <c r="A7" s="323" t="s">
        <v>500</v>
      </c>
      <c r="B7" s="324">
        <v>1.8</v>
      </c>
      <c r="C7" s="324">
        <v>6.9</v>
      </c>
      <c r="D7" s="326">
        <v>12.420000000000002</v>
      </c>
      <c r="E7" s="441"/>
      <c r="F7" s="323" t="s">
        <v>440</v>
      </c>
      <c r="G7" s="324">
        <v>0.85</v>
      </c>
      <c r="H7" s="324">
        <v>7.4</v>
      </c>
      <c r="I7" s="326">
        <v>6.29</v>
      </c>
      <c r="J7" s="438"/>
      <c r="K7" s="438"/>
    </row>
    <row r="8" spans="1:11" x14ac:dyDescent="0.25">
      <c r="A8" s="321" t="s">
        <v>527</v>
      </c>
      <c r="B8" s="322">
        <v>1.8</v>
      </c>
      <c r="C8" s="322">
        <v>6.7</v>
      </c>
      <c r="D8" s="325">
        <v>12.06</v>
      </c>
      <c r="E8" s="441"/>
      <c r="F8" s="321" t="s">
        <v>440</v>
      </c>
      <c r="G8" s="322">
        <v>4</v>
      </c>
      <c r="H8" s="322">
        <v>13.3</v>
      </c>
      <c r="I8" s="325">
        <v>53.2</v>
      </c>
      <c r="J8" s="438"/>
      <c r="K8" s="438"/>
    </row>
    <row r="9" spans="1:11" x14ac:dyDescent="0.25">
      <c r="A9" s="323" t="s">
        <v>493</v>
      </c>
      <c r="B9" s="324">
        <v>1.8</v>
      </c>
      <c r="C9" s="324">
        <v>7.96</v>
      </c>
      <c r="D9" s="326">
        <v>14.327999999999999</v>
      </c>
      <c r="E9" s="441"/>
      <c r="F9" s="323" t="s">
        <v>436</v>
      </c>
      <c r="G9" s="324">
        <v>0.85</v>
      </c>
      <c r="H9" s="324">
        <v>6.9</v>
      </c>
      <c r="I9" s="326">
        <v>5.8650000000000002</v>
      </c>
      <c r="J9" s="438"/>
      <c r="K9" s="438"/>
    </row>
    <row r="10" spans="1:11" x14ac:dyDescent="0.25">
      <c r="A10" s="321" t="s">
        <v>494</v>
      </c>
      <c r="B10" s="322">
        <v>1.8</v>
      </c>
      <c r="C10" s="322">
        <v>19.350000000000001</v>
      </c>
      <c r="D10" s="325">
        <v>34.830000000000005</v>
      </c>
      <c r="E10" s="441"/>
      <c r="F10" s="321" t="s">
        <v>436</v>
      </c>
      <c r="G10" s="322">
        <v>4</v>
      </c>
      <c r="H10" s="322">
        <v>13.4</v>
      </c>
      <c r="I10" s="325">
        <v>53.6</v>
      </c>
      <c r="J10" s="438"/>
      <c r="K10" s="438"/>
    </row>
    <row r="11" spans="1:11" x14ac:dyDescent="0.25">
      <c r="A11" s="442"/>
      <c r="B11" s="443"/>
      <c r="C11" s="319" t="s">
        <v>622</v>
      </c>
      <c r="D11" s="320">
        <f>SUM(D6:D10)</f>
        <v>88.110000000000014</v>
      </c>
      <c r="E11" s="441"/>
      <c r="F11" s="323" t="s">
        <v>671</v>
      </c>
      <c r="G11" s="324">
        <v>1.8</v>
      </c>
      <c r="H11" s="324">
        <v>13.2</v>
      </c>
      <c r="I11" s="326">
        <v>23.759999999999998</v>
      </c>
      <c r="J11" s="438"/>
      <c r="K11" s="438"/>
    </row>
    <row r="12" spans="1:11" x14ac:dyDescent="0.25">
      <c r="A12" s="438"/>
      <c r="B12" s="438"/>
      <c r="C12" s="438"/>
      <c r="D12" s="438"/>
      <c r="E12" s="438"/>
      <c r="F12" s="438"/>
      <c r="G12" s="438"/>
      <c r="H12" s="319" t="s">
        <v>622</v>
      </c>
      <c r="I12" s="320">
        <f>SUM(I6:I11)</f>
        <v>164.02699999999999</v>
      </c>
      <c r="J12" s="438"/>
      <c r="K12" s="438"/>
    </row>
    <row r="13" spans="1:11" x14ac:dyDescent="0.25">
      <c r="A13" s="438"/>
      <c r="B13" s="438"/>
      <c r="C13" s="438"/>
      <c r="D13" s="438"/>
      <c r="E13" s="438"/>
      <c r="F13" s="438"/>
      <c r="G13" s="438"/>
      <c r="H13" s="442"/>
      <c r="I13" s="443"/>
      <c r="J13" s="438"/>
      <c r="K13" s="438"/>
    </row>
    <row r="14" spans="1:11" ht="36" x14ac:dyDescent="0.25">
      <c r="A14" s="318" t="s">
        <v>1426</v>
      </c>
      <c r="B14" s="318" t="s">
        <v>1424</v>
      </c>
      <c r="C14" s="318" t="s">
        <v>1425</v>
      </c>
      <c r="D14" s="318" t="s">
        <v>1427</v>
      </c>
      <c r="E14" s="439"/>
      <c r="F14" s="440"/>
      <c r="G14" s="440"/>
      <c r="H14" s="440"/>
      <c r="I14" s="440"/>
      <c r="J14" s="438"/>
      <c r="K14" s="438"/>
    </row>
    <row r="15" spans="1:11" x14ac:dyDescent="0.25">
      <c r="A15" s="321" t="s">
        <v>369</v>
      </c>
      <c r="B15" s="322">
        <v>1.8</v>
      </c>
      <c r="C15" s="322">
        <v>8</v>
      </c>
      <c r="D15" s="325">
        <v>14.4</v>
      </c>
      <c r="E15" s="439"/>
      <c r="F15" s="440"/>
      <c r="G15" s="440"/>
      <c r="H15" s="440"/>
      <c r="I15" s="440"/>
      <c r="J15" s="438"/>
      <c r="K15" s="438"/>
    </row>
    <row r="16" spans="1:11" x14ac:dyDescent="0.25">
      <c r="A16" s="442"/>
      <c r="B16" s="443"/>
      <c r="C16" s="319" t="s">
        <v>622</v>
      </c>
      <c r="D16" s="320">
        <f>SUM(D15:D15)</f>
        <v>14.4</v>
      </c>
      <c r="E16" s="439"/>
      <c r="F16" s="440"/>
      <c r="G16" s="440"/>
      <c r="H16" s="440"/>
      <c r="I16" s="440"/>
      <c r="J16" s="438"/>
      <c r="K16" s="438"/>
    </row>
  </sheetData>
  <mergeCells count="13">
    <mergeCell ref="A4:K4"/>
    <mergeCell ref="A1:K1"/>
    <mergeCell ref="B2:F2"/>
    <mergeCell ref="G2:I2"/>
    <mergeCell ref="B3:F3"/>
    <mergeCell ref="G3:I3"/>
    <mergeCell ref="J5:K16"/>
    <mergeCell ref="E14:I16"/>
    <mergeCell ref="A12:G13"/>
    <mergeCell ref="E5:E11"/>
    <mergeCell ref="A16:B16"/>
    <mergeCell ref="A11:B11"/>
    <mergeCell ref="H13:I13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9"/>
  <sheetViews>
    <sheetView zoomScale="85" zoomScaleNormal="85" workbookViewId="0">
      <selection sqref="A1:K1"/>
    </sheetView>
  </sheetViews>
  <sheetFormatPr defaultRowHeight="15" x14ac:dyDescent="0.25"/>
  <cols>
    <col min="1" max="1" width="8.88671875" style="329"/>
    <col min="2" max="2" width="11.109375" style="329" bestFit="1" customWidth="1"/>
    <col min="3" max="3" width="13.21875" style="329" customWidth="1"/>
    <col min="4" max="4" width="10.21875" style="329" customWidth="1"/>
    <col min="5" max="5" width="8.88671875" style="329" customWidth="1"/>
    <col min="6" max="6" width="13.44140625" style="329" customWidth="1"/>
    <col min="7" max="7" width="14.6640625" style="329" customWidth="1"/>
    <col min="8" max="8" width="4.21875" style="329" customWidth="1"/>
    <col min="9" max="9" width="13" style="329" customWidth="1"/>
    <col min="10" max="10" width="10.5546875" style="329" bestFit="1" customWidth="1"/>
    <col min="11" max="11" width="11.33203125" style="329" customWidth="1"/>
    <col min="12" max="16384" width="8.88671875" style="329"/>
  </cols>
  <sheetData>
    <row r="1" spans="1:11" ht="18" customHeight="1" x14ac:dyDescent="0.25">
      <c r="A1" s="461" t="s">
        <v>586</v>
      </c>
      <c r="B1" s="461"/>
      <c r="C1" s="461"/>
      <c r="D1" s="461"/>
      <c r="E1" s="461"/>
      <c r="F1" s="461"/>
      <c r="G1" s="461"/>
      <c r="H1" s="461"/>
      <c r="I1" s="461"/>
      <c r="J1" s="461"/>
      <c r="K1" s="461"/>
    </row>
    <row r="2" spans="1:11" ht="18" customHeight="1" x14ac:dyDescent="0.25">
      <c r="A2" s="339" t="s">
        <v>580</v>
      </c>
      <c r="B2" s="463" t="s">
        <v>789</v>
      </c>
      <c r="C2" s="464"/>
      <c r="D2" s="465"/>
      <c r="E2" s="463" t="s">
        <v>582</v>
      </c>
      <c r="F2" s="464"/>
      <c r="G2" s="464"/>
      <c r="H2" s="464"/>
      <c r="I2" s="465"/>
      <c r="J2" s="340" t="s">
        <v>583</v>
      </c>
      <c r="K2" s="340" t="s">
        <v>584</v>
      </c>
    </row>
    <row r="3" spans="1:11" ht="57.6" customHeight="1" x14ac:dyDescent="0.25">
      <c r="A3" s="339">
        <v>1</v>
      </c>
      <c r="B3" s="455" t="s">
        <v>1386</v>
      </c>
      <c r="C3" s="456"/>
      <c r="D3" s="457"/>
      <c r="E3" s="458" t="s">
        <v>1400</v>
      </c>
      <c r="F3" s="459"/>
      <c r="G3" s="459"/>
      <c r="H3" s="459"/>
      <c r="I3" s="460"/>
      <c r="J3" s="338" t="s">
        <v>571</v>
      </c>
      <c r="K3" s="337">
        <f>E8</f>
        <v>117.60000000000001</v>
      </c>
    </row>
    <row r="4" spans="1:11" ht="111" customHeight="1" x14ac:dyDescent="0.25">
      <c r="A4" s="339">
        <v>2</v>
      </c>
      <c r="B4" s="455" t="s">
        <v>1386</v>
      </c>
      <c r="C4" s="456"/>
      <c r="D4" s="457"/>
      <c r="E4" s="458" t="s">
        <v>1406</v>
      </c>
      <c r="F4" s="459"/>
      <c r="G4" s="459"/>
      <c r="H4" s="459"/>
      <c r="I4" s="460"/>
      <c r="J4" s="338" t="s">
        <v>571</v>
      </c>
      <c r="K4" s="337">
        <f>E9</f>
        <v>356.9</v>
      </c>
    </row>
    <row r="5" spans="1:11" ht="18" x14ac:dyDescent="0.25">
      <c r="A5" s="462"/>
      <c r="B5" s="462"/>
      <c r="C5" s="462"/>
      <c r="D5" s="462"/>
      <c r="E5" s="462"/>
      <c r="F5" s="462"/>
      <c r="G5" s="462"/>
      <c r="H5" s="462"/>
      <c r="I5" s="462"/>
      <c r="J5" s="462"/>
      <c r="K5" s="462"/>
    </row>
    <row r="6" spans="1:11" ht="18" x14ac:dyDescent="0.25">
      <c r="A6" s="336"/>
      <c r="B6" s="450" t="s">
        <v>1419</v>
      </c>
      <c r="C6" s="451"/>
      <c r="D6" s="451"/>
      <c r="E6" s="452"/>
      <c r="F6" s="453"/>
      <c r="G6" s="454"/>
      <c r="H6" s="454"/>
      <c r="I6" s="454"/>
      <c r="J6" s="454"/>
      <c r="K6" s="454"/>
    </row>
    <row r="7" spans="1:11" ht="18" x14ac:dyDescent="0.25">
      <c r="A7" s="332" t="s">
        <v>591</v>
      </c>
      <c r="B7" s="333">
        <v>1</v>
      </c>
      <c r="C7" s="333" t="s">
        <v>1421</v>
      </c>
      <c r="D7" s="333">
        <v>3</v>
      </c>
      <c r="E7" s="332" t="s">
        <v>1429</v>
      </c>
      <c r="F7" s="453"/>
      <c r="G7" s="454"/>
      <c r="H7" s="454"/>
      <c r="I7" s="454"/>
      <c r="J7" s="454"/>
      <c r="K7" s="454"/>
    </row>
    <row r="8" spans="1:11" ht="18" x14ac:dyDescent="0.25">
      <c r="A8" s="331" t="s">
        <v>792</v>
      </c>
      <c r="B8" s="330">
        <v>84.9</v>
      </c>
      <c r="C8" s="335">
        <v>28.4</v>
      </c>
      <c r="D8" s="330">
        <v>4.3</v>
      </c>
      <c r="E8" s="331">
        <v>117.60000000000001</v>
      </c>
      <c r="F8" s="453"/>
      <c r="G8" s="454"/>
      <c r="H8" s="454"/>
      <c r="I8" s="454"/>
      <c r="J8" s="454"/>
      <c r="K8" s="454"/>
    </row>
    <row r="9" spans="1:11" ht="18" x14ac:dyDescent="0.25">
      <c r="A9" s="332" t="s">
        <v>795</v>
      </c>
      <c r="B9" s="333">
        <v>182.7</v>
      </c>
      <c r="C9" s="334">
        <v>153.80000000000001</v>
      </c>
      <c r="D9" s="333">
        <v>20.399999999999999</v>
      </c>
      <c r="E9" s="332">
        <v>356.9</v>
      </c>
      <c r="F9" s="453"/>
      <c r="G9" s="454"/>
      <c r="H9" s="454"/>
      <c r="I9" s="454"/>
      <c r="J9" s="454"/>
      <c r="K9" s="454"/>
    </row>
  </sheetData>
  <mergeCells count="10">
    <mergeCell ref="B6:E6"/>
    <mergeCell ref="F6:K9"/>
    <mergeCell ref="B4:D4"/>
    <mergeCell ref="E4:I4"/>
    <mergeCell ref="A1:K1"/>
    <mergeCell ref="A5:K5"/>
    <mergeCell ref="B3:D3"/>
    <mergeCell ref="E3:I3"/>
    <mergeCell ref="E2:I2"/>
    <mergeCell ref="B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K30"/>
  <sheetViews>
    <sheetView workbookViewId="0">
      <selection sqref="A1:K1"/>
    </sheetView>
  </sheetViews>
  <sheetFormatPr defaultRowHeight="18" x14ac:dyDescent="0.25"/>
  <cols>
    <col min="1" max="1" width="7.21875" style="306" customWidth="1"/>
    <col min="2" max="2" width="10.88671875" style="306" customWidth="1"/>
    <col min="3" max="3" width="8" style="306" customWidth="1"/>
    <col min="4" max="4" width="12" style="306" customWidth="1"/>
    <col min="5" max="5" width="7.109375" style="306" customWidth="1"/>
    <col min="6" max="6" width="7.6640625" style="306" customWidth="1"/>
    <col min="7" max="7" width="9.33203125" style="306" customWidth="1"/>
    <col min="8" max="8" width="9.88671875" style="306" customWidth="1"/>
    <col min="9" max="9" width="12.109375" style="306" customWidth="1"/>
    <col min="10" max="10" width="7.88671875" style="306" customWidth="1"/>
    <col min="11" max="11" width="10.109375" style="306" customWidth="1"/>
    <col min="12" max="16384" width="8.88671875" style="306"/>
  </cols>
  <sheetData>
    <row r="1" spans="1:11" x14ac:dyDescent="0.25">
      <c r="A1" s="445" t="s">
        <v>579</v>
      </c>
      <c r="B1" s="445"/>
      <c r="C1" s="445"/>
      <c r="D1" s="445"/>
      <c r="E1" s="445"/>
      <c r="F1" s="445"/>
      <c r="G1" s="445"/>
      <c r="H1" s="445"/>
      <c r="I1" s="445"/>
      <c r="J1" s="445"/>
      <c r="K1" s="445"/>
    </row>
    <row r="2" spans="1:11" ht="36" x14ac:dyDescent="0.25">
      <c r="A2" s="173" t="s">
        <v>580</v>
      </c>
      <c r="B2" s="446" t="s">
        <v>581</v>
      </c>
      <c r="C2" s="446"/>
      <c r="D2" s="446"/>
      <c r="E2" s="446"/>
      <c r="F2" s="446"/>
      <c r="G2" s="447" t="s">
        <v>582</v>
      </c>
      <c r="H2" s="447"/>
      <c r="I2" s="447"/>
      <c r="J2" s="177" t="s">
        <v>583</v>
      </c>
      <c r="K2" s="175" t="s">
        <v>584</v>
      </c>
    </row>
    <row r="3" spans="1:11" ht="54" customHeight="1" x14ac:dyDescent="0.25">
      <c r="A3" s="316">
        <v>1</v>
      </c>
      <c r="B3" s="448" t="s">
        <v>585</v>
      </c>
      <c r="C3" s="448"/>
      <c r="D3" s="448"/>
      <c r="E3" s="448"/>
      <c r="F3" s="448"/>
      <c r="G3" s="449" t="s">
        <v>624</v>
      </c>
      <c r="H3" s="445"/>
      <c r="I3" s="445"/>
      <c r="J3" s="316" t="s">
        <v>571</v>
      </c>
      <c r="K3" s="317">
        <f>D16+I15+D27</f>
        <v>129.5916</v>
      </c>
    </row>
    <row r="4" spans="1:11" ht="52.8" customHeight="1" x14ac:dyDescent="0.25">
      <c r="A4" s="319">
        <v>1</v>
      </c>
      <c r="B4" s="448" t="s">
        <v>585</v>
      </c>
      <c r="C4" s="448"/>
      <c r="D4" s="448"/>
      <c r="E4" s="448"/>
      <c r="F4" s="448"/>
      <c r="G4" s="449" t="s">
        <v>1428</v>
      </c>
      <c r="H4" s="445"/>
      <c r="I4" s="445"/>
      <c r="J4" s="319" t="s">
        <v>571</v>
      </c>
      <c r="K4" s="317">
        <f>C30</f>
        <v>15.5</v>
      </c>
    </row>
    <row r="5" spans="1:11" ht="8.4" customHeight="1" x14ac:dyDescent="0.35">
      <c r="A5" s="444"/>
      <c r="B5" s="444"/>
      <c r="C5" s="444"/>
      <c r="D5" s="444"/>
      <c r="E5" s="444"/>
      <c r="F5" s="444"/>
      <c r="G5" s="444"/>
      <c r="H5" s="444"/>
      <c r="I5" s="444"/>
      <c r="J5" s="444"/>
      <c r="K5" s="444"/>
    </row>
    <row r="6" spans="1:11" ht="36" x14ac:dyDescent="0.25">
      <c r="A6" s="318" t="s">
        <v>1426</v>
      </c>
      <c r="B6" s="318" t="s">
        <v>1424</v>
      </c>
      <c r="C6" s="318" t="s">
        <v>1425</v>
      </c>
      <c r="D6" s="318" t="s">
        <v>1427</v>
      </c>
      <c r="E6" s="438"/>
      <c r="F6" s="318" t="s">
        <v>1426</v>
      </c>
      <c r="G6" s="318" t="s">
        <v>1424</v>
      </c>
      <c r="H6" s="318" t="s">
        <v>1425</v>
      </c>
      <c r="I6" s="318" t="s">
        <v>1427</v>
      </c>
      <c r="J6" s="438"/>
      <c r="K6" s="438"/>
    </row>
    <row r="7" spans="1:11" x14ac:dyDescent="0.25">
      <c r="A7" s="321" t="s">
        <v>503</v>
      </c>
      <c r="B7" s="322">
        <v>1.8</v>
      </c>
      <c r="C7" s="322">
        <v>1.2</v>
      </c>
      <c r="D7" s="325">
        <f>B7*C7</f>
        <v>2.16</v>
      </c>
      <c r="E7" s="438"/>
      <c r="F7" s="321" t="s">
        <v>444</v>
      </c>
      <c r="G7" s="322">
        <v>1.8</v>
      </c>
      <c r="H7" s="322">
        <v>1.1499999999999999</v>
      </c>
      <c r="I7" s="325">
        <f>G7*H7</f>
        <v>2.0699999999999998</v>
      </c>
      <c r="J7" s="438"/>
      <c r="K7" s="438"/>
    </row>
    <row r="8" spans="1:11" x14ac:dyDescent="0.25">
      <c r="A8" s="323" t="s">
        <v>504</v>
      </c>
      <c r="B8" s="324">
        <v>1.8</v>
      </c>
      <c r="C8" s="324">
        <v>1.8</v>
      </c>
      <c r="D8" s="326">
        <f t="shared" ref="D8:D14" si="0">B8*C8</f>
        <v>3.24</v>
      </c>
      <c r="E8" s="438"/>
      <c r="F8" s="323" t="s">
        <v>425</v>
      </c>
      <c r="G8" s="324">
        <v>1.8</v>
      </c>
      <c r="H8" s="324">
        <v>2.06</v>
      </c>
      <c r="I8" s="326">
        <f t="shared" ref="I8:I14" si="1">G8*H8</f>
        <v>3.7080000000000002</v>
      </c>
      <c r="J8" s="438"/>
      <c r="K8" s="438"/>
    </row>
    <row r="9" spans="1:11" x14ac:dyDescent="0.25">
      <c r="A9" s="321" t="s">
        <v>488</v>
      </c>
      <c r="B9" s="322">
        <v>1.8</v>
      </c>
      <c r="C9" s="322">
        <v>1.85</v>
      </c>
      <c r="D9" s="325">
        <f t="shared" si="0"/>
        <v>3.33</v>
      </c>
      <c r="E9" s="438"/>
      <c r="F9" s="321" t="s">
        <v>426</v>
      </c>
      <c r="G9" s="322">
        <v>1.8</v>
      </c>
      <c r="H9" s="322">
        <v>1.23</v>
      </c>
      <c r="I9" s="325">
        <f t="shared" si="1"/>
        <v>2.214</v>
      </c>
      <c r="J9" s="438"/>
      <c r="K9" s="438"/>
    </row>
    <row r="10" spans="1:11" x14ac:dyDescent="0.25">
      <c r="A10" s="323" t="s">
        <v>489</v>
      </c>
      <c r="B10" s="324">
        <v>1.8</v>
      </c>
      <c r="C10" s="324">
        <v>1.23</v>
      </c>
      <c r="D10" s="326">
        <f t="shared" si="0"/>
        <v>2.214</v>
      </c>
      <c r="E10" s="438"/>
      <c r="F10" s="323" t="s">
        <v>427</v>
      </c>
      <c r="G10" s="324">
        <v>1.8</v>
      </c>
      <c r="H10" s="324">
        <f>1.83+1.8</f>
        <v>3.63</v>
      </c>
      <c r="I10" s="326">
        <f t="shared" si="1"/>
        <v>6.5339999999999998</v>
      </c>
      <c r="J10" s="438"/>
      <c r="K10" s="438"/>
    </row>
    <row r="11" spans="1:11" x14ac:dyDescent="0.25">
      <c r="A11" s="321" t="s">
        <v>490</v>
      </c>
      <c r="B11" s="322">
        <v>1.8</v>
      </c>
      <c r="C11" s="322">
        <v>1.41</v>
      </c>
      <c r="D11" s="325">
        <f t="shared" si="0"/>
        <v>2.5379999999999998</v>
      </c>
      <c r="E11" s="438"/>
      <c r="F11" s="321" t="s">
        <v>428</v>
      </c>
      <c r="G11" s="322">
        <v>1.8</v>
      </c>
      <c r="H11" s="322">
        <v>1.41</v>
      </c>
      <c r="I11" s="325">
        <f t="shared" si="1"/>
        <v>2.5379999999999998</v>
      </c>
      <c r="J11" s="438"/>
      <c r="K11" s="438"/>
    </row>
    <row r="12" spans="1:11" x14ac:dyDescent="0.25">
      <c r="A12" s="323" t="s">
        <v>491</v>
      </c>
      <c r="B12" s="324">
        <v>1.8</v>
      </c>
      <c r="C12" s="324">
        <f>2.86+1.812</f>
        <v>4.6719999999999997</v>
      </c>
      <c r="D12" s="326">
        <f t="shared" si="0"/>
        <v>8.4095999999999993</v>
      </c>
      <c r="E12" s="438"/>
      <c r="F12" s="323" t="s">
        <v>429</v>
      </c>
      <c r="G12" s="324">
        <v>1.8</v>
      </c>
      <c r="H12" s="324">
        <v>2.72</v>
      </c>
      <c r="I12" s="326">
        <f t="shared" si="1"/>
        <v>4.8960000000000008</v>
      </c>
      <c r="J12" s="438"/>
      <c r="K12" s="438"/>
    </row>
    <row r="13" spans="1:11" x14ac:dyDescent="0.25">
      <c r="A13" s="321" t="s">
        <v>495</v>
      </c>
      <c r="B13" s="322">
        <v>4</v>
      </c>
      <c r="C13" s="322">
        <f>D13/B13</f>
        <v>5.6749999999999998</v>
      </c>
      <c r="D13" s="325">
        <v>22.7</v>
      </c>
      <c r="E13" s="438"/>
      <c r="F13" s="321" t="s">
        <v>430</v>
      </c>
      <c r="G13" s="322">
        <v>1.8</v>
      </c>
      <c r="H13" s="322">
        <v>1.41</v>
      </c>
      <c r="I13" s="325">
        <f t="shared" si="1"/>
        <v>2.5379999999999998</v>
      </c>
      <c r="J13" s="438"/>
      <c r="K13" s="438"/>
    </row>
    <row r="14" spans="1:11" x14ac:dyDescent="0.25">
      <c r="A14" s="323" t="s">
        <v>496</v>
      </c>
      <c r="B14" s="324">
        <v>1.8</v>
      </c>
      <c r="C14" s="324">
        <v>1</v>
      </c>
      <c r="D14" s="326">
        <f t="shared" si="0"/>
        <v>1.8</v>
      </c>
      <c r="E14" s="438"/>
      <c r="F14" s="323" t="s">
        <v>431</v>
      </c>
      <c r="G14" s="324">
        <v>1.8</v>
      </c>
      <c r="H14" s="324">
        <v>1.4</v>
      </c>
      <c r="I14" s="326">
        <f t="shared" si="1"/>
        <v>2.52</v>
      </c>
      <c r="J14" s="438"/>
      <c r="K14" s="438"/>
    </row>
    <row r="15" spans="1:11" x14ac:dyDescent="0.25">
      <c r="A15" s="321" t="s">
        <v>531</v>
      </c>
      <c r="B15" s="322">
        <v>4</v>
      </c>
      <c r="C15" s="322">
        <f>D15/B15</f>
        <v>6.625</v>
      </c>
      <c r="D15" s="325">
        <v>26.5</v>
      </c>
      <c r="E15" s="438"/>
      <c r="F15" s="190"/>
      <c r="G15" s="190"/>
      <c r="H15" s="316" t="s">
        <v>622</v>
      </c>
      <c r="I15" s="320">
        <f>SUM(I7:I14)</f>
        <v>27.018000000000001</v>
      </c>
      <c r="J15" s="438"/>
      <c r="K15" s="438"/>
    </row>
    <row r="16" spans="1:11" x14ac:dyDescent="0.25">
      <c r="A16" s="190"/>
      <c r="B16" s="190"/>
      <c r="C16" s="316" t="s">
        <v>622</v>
      </c>
      <c r="D16" s="320">
        <f>SUM(D7:D15)</f>
        <v>72.891599999999997</v>
      </c>
      <c r="E16" s="438"/>
      <c r="F16" s="438"/>
      <c r="G16" s="438"/>
      <c r="H16" s="438"/>
      <c r="I16" s="438"/>
      <c r="J16" s="438"/>
      <c r="K16" s="438"/>
    </row>
    <row r="17" spans="1:11" ht="9" customHeight="1" x14ac:dyDescent="0.25">
      <c r="A17" s="466"/>
      <c r="B17" s="466"/>
      <c r="C17" s="466"/>
      <c r="D17" s="466"/>
      <c r="E17" s="438"/>
      <c r="F17" s="438"/>
      <c r="G17" s="438"/>
      <c r="H17" s="438"/>
      <c r="I17" s="438"/>
      <c r="J17" s="438"/>
      <c r="K17" s="438"/>
    </row>
    <row r="18" spans="1:11" ht="36" x14ac:dyDescent="0.25">
      <c r="A18" s="318" t="s">
        <v>1426</v>
      </c>
      <c r="B18" s="318" t="s">
        <v>1424</v>
      </c>
      <c r="C18" s="318" t="s">
        <v>1425</v>
      </c>
      <c r="D18" s="318" t="s">
        <v>1427</v>
      </c>
      <c r="E18" s="438"/>
      <c r="F18" s="438"/>
      <c r="G18" s="438"/>
      <c r="H18" s="438"/>
      <c r="I18" s="438"/>
      <c r="J18" s="438"/>
      <c r="K18" s="438"/>
    </row>
    <row r="19" spans="1:11" x14ac:dyDescent="0.25">
      <c r="A19" s="321" t="s">
        <v>361</v>
      </c>
      <c r="B19" s="322">
        <v>1.8</v>
      </c>
      <c r="C19" s="322">
        <v>2.06</v>
      </c>
      <c r="D19" s="325">
        <f>B19*C19</f>
        <v>3.7080000000000002</v>
      </c>
      <c r="E19" s="438"/>
      <c r="F19" s="438"/>
      <c r="G19" s="438"/>
      <c r="H19" s="438"/>
      <c r="I19" s="438"/>
      <c r="J19" s="438"/>
      <c r="K19" s="438"/>
    </row>
    <row r="20" spans="1:11" x14ac:dyDescent="0.25">
      <c r="A20" s="323" t="s">
        <v>362</v>
      </c>
      <c r="B20" s="324">
        <v>1.8</v>
      </c>
      <c r="C20" s="324">
        <f>1.23+1.36</f>
        <v>2.59</v>
      </c>
      <c r="D20" s="326">
        <f t="shared" ref="D20:D26" si="2">B20*C20</f>
        <v>4.6619999999999999</v>
      </c>
      <c r="E20" s="438"/>
      <c r="F20" s="438"/>
      <c r="G20" s="438"/>
      <c r="H20" s="438"/>
      <c r="I20" s="438"/>
      <c r="J20" s="438"/>
      <c r="K20" s="438"/>
    </row>
    <row r="21" spans="1:11" x14ac:dyDescent="0.25">
      <c r="A21" s="321" t="s">
        <v>364</v>
      </c>
      <c r="B21" s="322">
        <v>1.8</v>
      </c>
      <c r="C21" s="322">
        <v>1.43</v>
      </c>
      <c r="D21" s="325">
        <f t="shared" si="2"/>
        <v>2.5739999999999998</v>
      </c>
      <c r="E21" s="438"/>
      <c r="F21" s="438"/>
      <c r="G21" s="438"/>
      <c r="H21" s="438"/>
      <c r="I21" s="438"/>
      <c r="J21" s="438"/>
      <c r="K21" s="438"/>
    </row>
    <row r="22" spans="1:11" x14ac:dyDescent="0.25">
      <c r="A22" s="323" t="s">
        <v>365</v>
      </c>
      <c r="B22" s="324">
        <v>1.8</v>
      </c>
      <c r="C22" s="324">
        <v>1.41</v>
      </c>
      <c r="D22" s="326">
        <f t="shared" si="2"/>
        <v>2.5379999999999998</v>
      </c>
      <c r="E22" s="438"/>
      <c r="F22" s="438"/>
      <c r="G22" s="438"/>
      <c r="H22" s="438"/>
      <c r="I22" s="438"/>
      <c r="J22" s="438"/>
      <c r="K22" s="438"/>
    </row>
    <row r="23" spans="1:11" x14ac:dyDescent="0.25">
      <c r="A23" s="321" t="s">
        <v>366</v>
      </c>
      <c r="B23" s="322">
        <v>1.8</v>
      </c>
      <c r="C23" s="322">
        <v>2.72</v>
      </c>
      <c r="D23" s="325">
        <f t="shared" si="2"/>
        <v>4.8960000000000008</v>
      </c>
      <c r="E23" s="438"/>
      <c r="F23" s="438"/>
      <c r="G23" s="438"/>
      <c r="H23" s="438"/>
      <c r="I23" s="438"/>
      <c r="J23" s="438"/>
      <c r="K23" s="438"/>
    </row>
    <row r="24" spans="1:11" x14ac:dyDescent="0.25">
      <c r="A24" s="323" t="s">
        <v>367</v>
      </c>
      <c r="B24" s="324">
        <v>1.8</v>
      </c>
      <c r="C24" s="324">
        <v>1.41</v>
      </c>
      <c r="D24" s="326">
        <f t="shared" si="2"/>
        <v>2.5379999999999998</v>
      </c>
      <c r="E24" s="438"/>
      <c r="F24" s="438"/>
      <c r="G24" s="438"/>
      <c r="H24" s="438"/>
      <c r="I24" s="438"/>
      <c r="J24" s="438"/>
      <c r="K24" s="438"/>
    </row>
    <row r="25" spans="1:11" x14ac:dyDescent="0.25">
      <c r="A25" s="321" t="s">
        <v>368</v>
      </c>
      <c r="B25" s="322">
        <v>1.8</v>
      </c>
      <c r="C25" s="322">
        <v>1.2</v>
      </c>
      <c r="D25" s="325">
        <f t="shared" si="2"/>
        <v>2.16</v>
      </c>
      <c r="E25" s="438"/>
      <c r="F25" s="438"/>
      <c r="G25" s="438"/>
      <c r="H25" s="438"/>
      <c r="I25" s="438"/>
      <c r="J25" s="438"/>
      <c r="K25" s="438"/>
    </row>
    <row r="26" spans="1:11" x14ac:dyDescent="0.25">
      <c r="A26" s="323" t="s">
        <v>385</v>
      </c>
      <c r="B26" s="324">
        <v>1.8</v>
      </c>
      <c r="C26" s="324">
        <f>1.87+1.8</f>
        <v>3.67</v>
      </c>
      <c r="D26" s="326">
        <f t="shared" si="2"/>
        <v>6.6059999999999999</v>
      </c>
      <c r="E26" s="438"/>
      <c r="F26" s="438"/>
      <c r="G26" s="438"/>
      <c r="H26" s="438"/>
      <c r="I26" s="438"/>
      <c r="J26" s="438"/>
      <c r="K26" s="438"/>
    </row>
    <row r="27" spans="1:11" x14ac:dyDescent="0.25">
      <c r="A27" s="190"/>
      <c r="B27" s="190"/>
      <c r="C27" s="316" t="s">
        <v>622</v>
      </c>
      <c r="D27" s="320">
        <f>SUM(D19:D26)</f>
        <v>29.682000000000002</v>
      </c>
      <c r="E27" s="438"/>
      <c r="F27" s="438"/>
      <c r="G27" s="438"/>
      <c r="H27" s="438"/>
      <c r="I27" s="438"/>
      <c r="J27" s="438"/>
      <c r="K27" s="438"/>
    </row>
    <row r="28" spans="1:11" ht="10.199999999999999" customHeight="1" x14ac:dyDescent="0.25">
      <c r="E28" s="438"/>
      <c r="F28" s="438"/>
      <c r="G28" s="438"/>
      <c r="H28" s="438"/>
      <c r="I28" s="438"/>
      <c r="J28" s="438"/>
      <c r="K28" s="438"/>
    </row>
    <row r="29" spans="1:11" ht="46.8" x14ac:dyDescent="0.25">
      <c r="A29" s="328" t="s">
        <v>1426</v>
      </c>
      <c r="B29" s="328" t="s">
        <v>591</v>
      </c>
      <c r="C29" s="328" t="s">
        <v>1427</v>
      </c>
      <c r="D29" s="439"/>
      <c r="E29" s="440"/>
      <c r="F29" s="440"/>
      <c r="G29" s="440"/>
      <c r="H29" s="440"/>
      <c r="I29" s="440"/>
      <c r="J29" s="440"/>
      <c r="K29" s="440"/>
    </row>
    <row r="30" spans="1:11" x14ac:dyDescent="0.25">
      <c r="A30" s="321" t="s">
        <v>373</v>
      </c>
      <c r="B30" s="322" t="s">
        <v>603</v>
      </c>
      <c r="C30" s="322">
        <v>15.5</v>
      </c>
      <c r="D30" s="439"/>
      <c r="E30" s="440"/>
      <c r="F30" s="440"/>
      <c r="G30" s="440"/>
      <c r="H30" s="440"/>
      <c r="I30" s="440"/>
      <c r="J30" s="440"/>
      <c r="K30" s="440"/>
    </row>
  </sheetData>
  <mergeCells count="13">
    <mergeCell ref="A5:K5"/>
    <mergeCell ref="B4:F4"/>
    <mergeCell ref="G4:I4"/>
    <mergeCell ref="A1:K1"/>
    <mergeCell ref="B2:F2"/>
    <mergeCell ref="G2:I2"/>
    <mergeCell ref="B3:F3"/>
    <mergeCell ref="G3:I3"/>
    <mergeCell ref="E6:E28"/>
    <mergeCell ref="A17:D17"/>
    <mergeCell ref="D29:K30"/>
    <mergeCell ref="J6:K28"/>
    <mergeCell ref="F16:I28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sqref="A1:F1"/>
    </sheetView>
  </sheetViews>
  <sheetFormatPr defaultRowHeight="18" x14ac:dyDescent="0.25"/>
  <cols>
    <col min="1" max="1" width="8.6640625" style="306" customWidth="1"/>
    <col min="2" max="2" width="45.77734375" style="306" customWidth="1"/>
    <col min="3" max="3" width="7.5546875" style="306" customWidth="1"/>
    <col min="4" max="4" width="8.33203125" style="306" customWidth="1"/>
    <col min="5" max="5" width="11.6640625" style="306" customWidth="1"/>
    <col min="6" max="6" width="9.21875" style="306" customWidth="1"/>
    <col min="7" max="16384" width="8.88671875" style="306"/>
  </cols>
  <sheetData>
    <row r="1" spans="1:6" x14ac:dyDescent="0.25">
      <c r="A1" s="445" t="s">
        <v>579</v>
      </c>
      <c r="B1" s="445"/>
      <c r="C1" s="445"/>
      <c r="D1" s="445"/>
      <c r="E1" s="445"/>
      <c r="F1" s="445"/>
    </row>
    <row r="2" spans="1:6" ht="36" customHeight="1" x14ac:dyDescent="0.25">
      <c r="A2" s="173" t="s">
        <v>580</v>
      </c>
      <c r="B2" s="177" t="s">
        <v>581</v>
      </c>
      <c r="C2" s="469" t="s">
        <v>582</v>
      </c>
      <c r="D2" s="470"/>
      <c r="E2" s="177" t="s">
        <v>583</v>
      </c>
      <c r="F2" s="175" t="s">
        <v>584</v>
      </c>
    </row>
    <row r="3" spans="1:6" ht="54" x14ac:dyDescent="0.25">
      <c r="A3" s="178">
        <v>1</v>
      </c>
      <c r="B3" s="187" t="s">
        <v>585</v>
      </c>
      <c r="C3" s="467" t="s">
        <v>624</v>
      </c>
      <c r="D3" s="468"/>
      <c r="E3" s="188" t="s">
        <v>571</v>
      </c>
      <c r="F3" s="179">
        <f>F17</f>
        <v>438.23200000000003</v>
      </c>
    </row>
    <row r="4" spans="1:6" x14ac:dyDescent="0.25">
      <c r="A4" s="472"/>
      <c r="B4" s="472"/>
      <c r="C4" s="472"/>
      <c r="D4" s="472"/>
      <c r="E4" s="472"/>
      <c r="F4" s="472"/>
    </row>
    <row r="5" spans="1:6" x14ac:dyDescent="0.35">
      <c r="A5" s="440"/>
      <c r="B5" s="471"/>
      <c r="C5" s="307" t="s">
        <v>580</v>
      </c>
      <c r="D5" s="308" t="s">
        <v>1412</v>
      </c>
      <c r="E5" s="309" t="s">
        <v>583</v>
      </c>
      <c r="F5" s="310" t="s">
        <v>584</v>
      </c>
    </row>
    <row r="6" spans="1:6" x14ac:dyDescent="0.35">
      <c r="A6" s="440"/>
      <c r="B6" s="471"/>
      <c r="C6" s="308">
        <v>1</v>
      </c>
      <c r="D6" s="311" t="s">
        <v>496</v>
      </c>
      <c r="E6" s="312" t="s">
        <v>571</v>
      </c>
      <c r="F6" s="313">
        <v>56</v>
      </c>
    </row>
    <row r="7" spans="1:6" x14ac:dyDescent="0.35">
      <c r="A7" s="440"/>
      <c r="B7" s="471"/>
      <c r="C7" s="308">
        <v>2</v>
      </c>
      <c r="D7" s="311" t="s">
        <v>497</v>
      </c>
      <c r="E7" s="312" t="s">
        <v>571</v>
      </c>
      <c r="F7" s="313">
        <v>53.6</v>
      </c>
    </row>
    <row r="8" spans="1:6" x14ac:dyDescent="0.35">
      <c r="A8" s="440"/>
      <c r="B8" s="471"/>
      <c r="C8" s="308">
        <v>3</v>
      </c>
      <c r="D8" s="311" t="s">
        <v>499</v>
      </c>
      <c r="E8" s="312" t="s">
        <v>571</v>
      </c>
      <c r="F8" s="313">
        <v>39</v>
      </c>
    </row>
    <row r="9" spans="1:6" x14ac:dyDescent="0.35">
      <c r="A9" s="440"/>
      <c r="B9" s="471"/>
      <c r="C9" s="308">
        <v>4</v>
      </c>
      <c r="D9" s="311" t="s">
        <v>501</v>
      </c>
      <c r="E9" s="312" t="s">
        <v>571</v>
      </c>
      <c r="F9" s="313">
        <v>42</v>
      </c>
    </row>
    <row r="10" spans="1:6" x14ac:dyDescent="0.35">
      <c r="A10" s="440"/>
      <c r="B10" s="471"/>
      <c r="C10" s="308">
        <v>5</v>
      </c>
      <c r="D10" s="311" t="s">
        <v>516</v>
      </c>
      <c r="E10" s="312" t="s">
        <v>571</v>
      </c>
      <c r="F10" s="313">
        <f>2.24*1.8</f>
        <v>4.0320000000000009</v>
      </c>
    </row>
    <row r="11" spans="1:6" x14ac:dyDescent="0.35">
      <c r="A11" s="440"/>
      <c r="B11" s="471"/>
      <c r="C11" s="308">
        <v>6</v>
      </c>
      <c r="D11" s="311" t="s">
        <v>553</v>
      </c>
      <c r="E11" s="312" t="s">
        <v>571</v>
      </c>
      <c r="F11" s="313">
        <v>37</v>
      </c>
    </row>
    <row r="12" spans="1:6" x14ac:dyDescent="0.35">
      <c r="A12" s="440"/>
      <c r="B12" s="471"/>
      <c r="C12" s="308">
        <v>7</v>
      </c>
      <c r="D12" s="311" t="s">
        <v>433</v>
      </c>
      <c r="E12" s="312" t="s">
        <v>571</v>
      </c>
      <c r="F12" s="313">
        <v>29.5</v>
      </c>
    </row>
    <row r="13" spans="1:6" x14ac:dyDescent="0.35">
      <c r="A13" s="440"/>
      <c r="B13" s="471"/>
      <c r="C13" s="308">
        <v>8</v>
      </c>
      <c r="D13" s="311" t="s">
        <v>446</v>
      </c>
      <c r="E13" s="312" t="s">
        <v>571</v>
      </c>
      <c r="F13" s="313">
        <v>47.3</v>
      </c>
    </row>
    <row r="14" spans="1:6" x14ac:dyDescent="0.35">
      <c r="A14" s="440"/>
      <c r="B14" s="471"/>
      <c r="C14" s="308">
        <v>9</v>
      </c>
      <c r="D14" s="311" t="s">
        <v>474</v>
      </c>
      <c r="E14" s="312" t="s">
        <v>571</v>
      </c>
      <c r="F14" s="313">
        <v>33</v>
      </c>
    </row>
    <row r="15" spans="1:6" x14ac:dyDescent="0.35">
      <c r="A15" s="440"/>
      <c r="B15" s="471"/>
      <c r="C15" s="308">
        <v>10</v>
      </c>
      <c r="D15" s="311" t="s">
        <v>374</v>
      </c>
      <c r="E15" s="312" t="s">
        <v>571</v>
      </c>
      <c r="F15" s="313">
        <v>58</v>
      </c>
    </row>
    <row r="16" spans="1:6" x14ac:dyDescent="0.35">
      <c r="A16" s="440"/>
      <c r="B16" s="471"/>
      <c r="C16" s="308">
        <v>11</v>
      </c>
      <c r="D16" s="311" t="s">
        <v>390</v>
      </c>
      <c r="E16" s="312" t="s">
        <v>571</v>
      </c>
      <c r="F16" s="313">
        <v>38.799999999999997</v>
      </c>
    </row>
    <row r="17" spans="1:6" x14ac:dyDescent="0.35">
      <c r="A17" s="440"/>
      <c r="B17" s="471"/>
      <c r="C17" s="308"/>
      <c r="D17" s="308" t="s">
        <v>622</v>
      </c>
      <c r="E17" s="312" t="s">
        <v>571</v>
      </c>
      <c r="F17" s="313">
        <f>SUM(F6:F16)</f>
        <v>438.23200000000003</v>
      </c>
    </row>
  </sheetData>
  <mergeCells count="5">
    <mergeCell ref="C3:D3"/>
    <mergeCell ref="C2:D2"/>
    <mergeCell ref="A5:B17"/>
    <mergeCell ref="A4:F4"/>
    <mergeCell ref="A1:F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6.8" customHeight="1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8.8" customHeight="1" x14ac:dyDescent="0.25">
      <c r="A3" s="203">
        <v>1</v>
      </c>
      <c r="B3" s="187" t="s">
        <v>696</v>
      </c>
      <c r="C3" s="188" t="s">
        <v>571</v>
      </c>
      <c r="D3" s="204">
        <f>'2.1п'!D51</f>
        <v>2812.4720000000002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51"/>
  <sheetViews>
    <sheetView workbookViewId="0">
      <selection sqref="A1:D1"/>
    </sheetView>
  </sheetViews>
  <sheetFormatPr defaultRowHeight="13.2" x14ac:dyDescent="0.25"/>
  <cols>
    <col min="1" max="1" width="7.44140625" customWidth="1"/>
    <col min="2" max="2" width="7.44140625" style="197" customWidth="1"/>
    <col min="3" max="3" width="34.5546875" customWidth="1"/>
    <col min="4" max="4" width="10.44140625" customWidth="1"/>
  </cols>
  <sheetData>
    <row r="1" spans="1:4" ht="18.600000000000001" thickBot="1" x14ac:dyDescent="0.3">
      <c r="A1" s="473" t="s">
        <v>586</v>
      </c>
      <c r="B1" s="474"/>
      <c r="C1" s="474"/>
      <c r="D1" s="475"/>
    </row>
    <row r="2" spans="1:4" ht="18.600000000000001" thickBot="1" x14ac:dyDescent="0.3">
      <c r="A2" s="473" t="s">
        <v>650</v>
      </c>
      <c r="B2" s="474"/>
      <c r="C2" s="474"/>
      <c r="D2" s="475"/>
    </row>
    <row r="3" spans="1:4" ht="39.6" customHeight="1" x14ac:dyDescent="0.25">
      <c r="A3" s="473" t="s">
        <v>700</v>
      </c>
      <c r="B3" s="474"/>
      <c r="C3" s="474"/>
      <c r="D3" s="475"/>
    </row>
    <row r="4" spans="1:4" ht="16.8" customHeight="1" x14ac:dyDescent="0.25">
      <c r="A4" s="213" t="s">
        <v>580</v>
      </c>
      <c r="B4" s="206" t="s">
        <v>652</v>
      </c>
      <c r="C4" s="206" t="s">
        <v>587</v>
      </c>
      <c r="D4" s="214" t="s">
        <v>588</v>
      </c>
    </row>
    <row r="5" spans="1:4" ht="16.8" customHeight="1" x14ac:dyDescent="0.25">
      <c r="A5" s="213">
        <v>1</v>
      </c>
      <c r="B5" s="208" t="s">
        <v>487</v>
      </c>
      <c r="C5" s="209" t="s">
        <v>625</v>
      </c>
      <c r="D5" s="215">
        <v>88.6</v>
      </c>
    </row>
    <row r="6" spans="1:4" ht="16.8" customHeight="1" x14ac:dyDescent="0.25">
      <c r="A6" s="213">
        <v>2</v>
      </c>
      <c r="B6" s="208" t="s">
        <v>488</v>
      </c>
      <c r="C6" s="209" t="s">
        <v>626</v>
      </c>
      <c r="D6" s="215">
        <v>80.7</v>
      </c>
    </row>
    <row r="7" spans="1:4" ht="16.8" customHeight="1" x14ac:dyDescent="0.25">
      <c r="A7" s="213">
        <v>3</v>
      </c>
      <c r="B7" s="208" t="s">
        <v>489</v>
      </c>
      <c r="C7" s="209" t="s">
        <v>626</v>
      </c>
      <c r="D7" s="215">
        <v>60.8</v>
      </c>
    </row>
    <row r="8" spans="1:4" ht="16.8" customHeight="1" x14ac:dyDescent="0.25">
      <c r="A8" s="213">
        <v>4</v>
      </c>
      <c r="B8" s="208" t="s">
        <v>490</v>
      </c>
      <c r="C8" s="209" t="s">
        <v>626</v>
      </c>
      <c r="D8" s="215">
        <v>22.1</v>
      </c>
    </row>
    <row r="9" spans="1:4" ht="26.4" customHeight="1" x14ac:dyDescent="0.25">
      <c r="A9" s="213">
        <v>5</v>
      </c>
      <c r="B9" s="208" t="s">
        <v>491</v>
      </c>
      <c r="C9" s="209" t="s">
        <v>627</v>
      </c>
      <c r="D9" s="215">
        <v>57.8</v>
      </c>
    </row>
    <row r="10" spans="1:4" ht="16.8" customHeight="1" x14ac:dyDescent="0.25">
      <c r="A10" s="213">
        <v>6</v>
      </c>
      <c r="B10" s="208" t="s">
        <v>498</v>
      </c>
      <c r="C10" s="209" t="s">
        <v>628</v>
      </c>
      <c r="D10" s="215">
        <v>59.800000000000004</v>
      </c>
    </row>
    <row r="11" spans="1:4" ht="16.8" customHeight="1" x14ac:dyDescent="0.25">
      <c r="A11" s="213">
        <v>7</v>
      </c>
      <c r="B11" s="208" t="s">
        <v>505</v>
      </c>
      <c r="C11" s="209" t="s">
        <v>629</v>
      </c>
      <c r="D11" s="215">
        <v>40.799999999999997</v>
      </c>
    </row>
    <row r="12" spans="1:4" ht="16.8" customHeight="1" x14ac:dyDescent="0.25">
      <c r="A12" s="213">
        <v>8</v>
      </c>
      <c r="B12" s="208" t="s">
        <v>508</v>
      </c>
      <c r="C12" s="209" t="s">
        <v>630</v>
      </c>
      <c r="D12" s="215">
        <v>112.4</v>
      </c>
    </row>
    <row r="13" spans="1:4" ht="16.8" customHeight="1" x14ac:dyDescent="0.25">
      <c r="A13" s="213">
        <v>9</v>
      </c>
      <c r="B13" s="208" t="s">
        <v>509</v>
      </c>
      <c r="C13" s="209" t="s">
        <v>629</v>
      </c>
      <c r="D13" s="215">
        <v>119.9</v>
      </c>
    </row>
    <row r="14" spans="1:4" ht="16.8" customHeight="1" x14ac:dyDescent="0.25">
      <c r="A14" s="213">
        <v>10</v>
      </c>
      <c r="B14" s="208" t="s">
        <v>510</v>
      </c>
      <c r="C14" s="209" t="s">
        <v>631</v>
      </c>
      <c r="D14" s="215">
        <v>36.799999999999997</v>
      </c>
    </row>
    <row r="15" spans="1:4" ht="16.8" customHeight="1" x14ac:dyDescent="0.25">
      <c r="A15" s="213">
        <v>11</v>
      </c>
      <c r="B15" s="208" t="s">
        <v>513</v>
      </c>
      <c r="C15" s="209" t="s">
        <v>632</v>
      </c>
      <c r="D15" s="215">
        <v>13.7</v>
      </c>
    </row>
    <row r="16" spans="1:4" ht="16.8" customHeight="1" x14ac:dyDescent="0.25">
      <c r="A16" s="213">
        <v>12</v>
      </c>
      <c r="B16" s="208" t="s">
        <v>516</v>
      </c>
      <c r="C16" s="209" t="s">
        <v>633</v>
      </c>
      <c r="D16" s="215">
        <v>71.38</v>
      </c>
    </row>
    <row r="17" spans="1:4" ht="16.8" customHeight="1" x14ac:dyDescent="0.25">
      <c r="A17" s="213">
        <v>13</v>
      </c>
      <c r="B17" s="208" t="s">
        <v>538</v>
      </c>
      <c r="C17" s="209" t="s">
        <v>634</v>
      </c>
      <c r="D17" s="215">
        <v>38.299999999999997</v>
      </c>
    </row>
    <row r="18" spans="1:4" ht="16.8" customHeight="1" x14ac:dyDescent="0.25">
      <c r="A18" s="213">
        <v>14</v>
      </c>
      <c r="B18" s="208" t="s">
        <v>542</v>
      </c>
      <c r="C18" s="209" t="s">
        <v>635</v>
      </c>
      <c r="D18" s="215">
        <v>38.299999999999997</v>
      </c>
    </row>
    <row r="19" spans="1:4" ht="16.8" customHeight="1" x14ac:dyDescent="0.25">
      <c r="A19" s="213">
        <v>15</v>
      </c>
      <c r="B19" s="208" t="s">
        <v>545</v>
      </c>
      <c r="C19" s="209" t="s">
        <v>636</v>
      </c>
      <c r="D19" s="215">
        <v>33.5</v>
      </c>
    </row>
    <row r="20" spans="1:4" ht="16.8" customHeight="1" x14ac:dyDescent="0.25">
      <c r="A20" s="213">
        <v>16</v>
      </c>
      <c r="B20" s="208" t="s">
        <v>546</v>
      </c>
      <c r="C20" s="209" t="s">
        <v>637</v>
      </c>
      <c r="D20" s="215">
        <v>19.2</v>
      </c>
    </row>
    <row r="21" spans="1:4" ht="16.8" customHeight="1" x14ac:dyDescent="0.25">
      <c r="A21" s="213">
        <v>17</v>
      </c>
      <c r="B21" s="208" t="s">
        <v>551</v>
      </c>
      <c r="C21" s="209" t="s">
        <v>638</v>
      </c>
      <c r="D21" s="215">
        <v>36.200000000000003</v>
      </c>
    </row>
    <row r="22" spans="1:4" ht="16.8" customHeight="1" x14ac:dyDescent="0.25">
      <c r="A22" s="213">
        <v>18</v>
      </c>
      <c r="B22" s="208" t="s">
        <v>552</v>
      </c>
      <c r="C22" s="209" t="s">
        <v>637</v>
      </c>
      <c r="D22" s="215">
        <v>19.899999999999999</v>
      </c>
    </row>
    <row r="23" spans="1:4" ht="16.8" customHeight="1" x14ac:dyDescent="0.25">
      <c r="A23" s="213">
        <v>19</v>
      </c>
      <c r="B23" s="208" t="s">
        <v>555</v>
      </c>
      <c r="C23" s="209" t="s">
        <v>629</v>
      </c>
      <c r="D23" s="215">
        <v>62.2</v>
      </c>
    </row>
    <row r="24" spans="1:4" ht="16.8" customHeight="1" x14ac:dyDescent="0.25">
      <c r="A24" s="213">
        <v>20</v>
      </c>
      <c r="B24" s="208" t="s">
        <v>556</v>
      </c>
      <c r="C24" s="209" t="s">
        <v>629</v>
      </c>
      <c r="D24" s="215">
        <v>80.100000000000009</v>
      </c>
    </row>
    <row r="25" spans="1:4" ht="16.8" customHeight="1" x14ac:dyDescent="0.25">
      <c r="A25" s="213">
        <v>21</v>
      </c>
      <c r="B25" s="208" t="s">
        <v>557</v>
      </c>
      <c r="C25" s="209" t="s">
        <v>639</v>
      </c>
      <c r="D25" s="215">
        <v>38.299999999999997</v>
      </c>
    </row>
    <row r="26" spans="1:4" ht="16.8" customHeight="1" x14ac:dyDescent="0.25">
      <c r="A26" s="213">
        <v>22</v>
      </c>
      <c r="B26" s="208" t="s">
        <v>558</v>
      </c>
      <c r="C26" s="209" t="s">
        <v>640</v>
      </c>
      <c r="D26" s="215">
        <v>36.5</v>
      </c>
    </row>
    <row r="27" spans="1:4" ht="16.8" customHeight="1" x14ac:dyDescent="0.25">
      <c r="A27" s="213">
        <v>23</v>
      </c>
      <c r="B27" s="208" t="s">
        <v>432</v>
      </c>
      <c r="C27" s="209" t="s">
        <v>641</v>
      </c>
      <c r="D27" s="215">
        <v>125</v>
      </c>
    </row>
    <row r="28" spans="1:4" ht="16.8" customHeight="1" x14ac:dyDescent="0.25">
      <c r="A28" s="213">
        <v>24</v>
      </c>
      <c r="B28" s="208" t="s">
        <v>442</v>
      </c>
      <c r="C28" s="209" t="s">
        <v>642</v>
      </c>
      <c r="D28" s="215">
        <v>192.1</v>
      </c>
    </row>
    <row r="29" spans="1:4" ht="16.8" customHeight="1" x14ac:dyDescent="0.25">
      <c r="A29" s="213">
        <v>25</v>
      </c>
      <c r="B29" s="208" t="s">
        <v>450</v>
      </c>
      <c r="C29" s="209" t="s">
        <v>629</v>
      </c>
      <c r="D29" s="215">
        <v>30.6</v>
      </c>
    </row>
    <row r="30" spans="1:4" ht="16.8" customHeight="1" x14ac:dyDescent="0.25">
      <c r="A30" s="213">
        <v>26</v>
      </c>
      <c r="B30" s="208" t="s">
        <v>451</v>
      </c>
      <c r="C30" s="209" t="s">
        <v>643</v>
      </c>
      <c r="D30" s="215">
        <v>127.9</v>
      </c>
    </row>
    <row r="31" spans="1:4" ht="16.8" customHeight="1" x14ac:dyDescent="0.25">
      <c r="A31" s="213">
        <v>27</v>
      </c>
      <c r="B31" s="208" t="s">
        <v>452</v>
      </c>
      <c r="C31" s="209" t="s">
        <v>629</v>
      </c>
      <c r="D31" s="215">
        <v>118.99799999999999</v>
      </c>
    </row>
    <row r="32" spans="1:4" ht="16.8" customHeight="1" x14ac:dyDescent="0.25">
      <c r="A32" s="213">
        <v>28</v>
      </c>
      <c r="B32" s="208" t="s">
        <v>457</v>
      </c>
      <c r="C32" s="209" t="s">
        <v>644</v>
      </c>
      <c r="D32" s="215">
        <v>13.5</v>
      </c>
    </row>
    <row r="33" spans="1:4" ht="16.8" customHeight="1" x14ac:dyDescent="0.25">
      <c r="A33" s="213">
        <v>29</v>
      </c>
      <c r="B33" s="208" t="s">
        <v>462</v>
      </c>
      <c r="C33" s="209" t="s">
        <v>636</v>
      </c>
      <c r="D33" s="215">
        <v>33.5</v>
      </c>
    </row>
    <row r="34" spans="1:4" ht="16.8" customHeight="1" x14ac:dyDescent="0.25">
      <c r="A34" s="213">
        <v>30</v>
      </c>
      <c r="B34" s="208" t="s">
        <v>463</v>
      </c>
      <c r="C34" s="209" t="s">
        <v>637</v>
      </c>
      <c r="D34" s="215">
        <v>19.2</v>
      </c>
    </row>
    <row r="35" spans="1:4" ht="16.8" customHeight="1" x14ac:dyDescent="0.25">
      <c r="A35" s="213">
        <v>31</v>
      </c>
      <c r="B35" s="208" t="s">
        <v>473</v>
      </c>
      <c r="C35" s="209" t="s">
        <v>629</v>
      </c>
      <c r="D35" s="215">
        <v>48.5</v>
      </c>
    </row>
    <row r="36" spans="1:4" ht="16.8" customHeight="1" x14ac:dyDescent="0.25">
      <c r="A36" s="213">
        <v>32</v>
      </c>
      <c r="B36" s="208" t="s">
        <v>478</v>
      </c>
      <c r="C36" s="209" t="s">
        <v>629</v>
      </c>
      <c r="D36" s="215">
        <v>86.8</v>
      </c>
    </row>
    <row r="37" spans="1:4" ht="16.8" customHeight="1" x14ac:dyDescent="0.25">
      <c r="A37" s="213">
        <v>33</v>
      </c>
      <c r="B37" s="208" t="s">
        <v>480</v>
      </c>
      <c r="C37" s="209" t="s">
        <v>643</v>
      </c>
      <c r="D37" s="215">
        <v>54.763999999999996</v>
      </c>
    </row>
    <row r="38" spans="1:4" ht="45" customHeight="1" x14ac:dyDescent="0.25">
      <c r="A38" s="213">
        <v>34</v>
      </c>
      <c r="B38" s="208" t="s">
        <v>371</v>
      </c>
      <c r="C38" s="209" t="s">
        <v>651</v>
      </c>
      <c r="D38" s="215">
        <v>176.73000000000002</v>
      </c>
    </row>
    <row r="39" spans="1:4" ht="16.8" customHeight="1" x14ac:dyDescent="0.25">
      <c r="A39" s="213">
        <v>35</v>
      </c>
      <c r="B39" s="208" t="s">
        <v>377</v>
      </c>
      <c r="C39" s="209" t="s">
        <v>643</v>
      </c>
      <c r="D39" s="215">
        <v>66.8</v>
      </c>
    </row>
    <row r="40" spans="1:4" ht="16.8" customHeight="1" x14ac:dyDescent="0.25">
      <c r="A40" s="213">
        <v>36</v>
      </c>
      <c r="B40" s="208" t="s">
        <v>378</v>
      </c>
      <c r="C40" s="209" t="s">
        <v>629</v>
      </c>
      <c r="D40" s="215">
        <v>117</v>
      </c>
    </row>
    <row r="41" spans="1:4" ht="16.8" customHeight="1" x14ac:dyDescent="0.25">
      <c r="A41" s="213">
        <v>37</v>
      </c>
      <c r="B41" s="208" t="s">
        <v>646</v>
      </c>
      <c r="C41" s="209" t="s">
        <v>644</v>
      </c>
      <c r="D41" s="215">
        <v>18.600000000000001</v>
      </c>
    </row>
    <row r="42" spans="1:4" ht="15" customHeight="1" x14ac:dyDescent="0.25">
      <c r="A42" s="213">
        <v>38</v>
      </c>
      <c r="B42" s="208" t="s">
        <v>647</v>
      </c>
      <c r="C42" s="209" t="s">
        <v>636</v>
      </c>
      <c r="D42" s="215">
        <v>33.299999999999997</v>
      </c>
    </row>
    <row r="43" spans="1:4" ht="18" x14ac:dyDescent="0.25">
      <c r="A43" s="213">
        <v>39</v>
      </c>
      <c r="B43" s="208" t="s">
        <v>648</v>
      </c>
      <c r="C43" s="209" t="s">
        <v>637</v>
      </c>
      <c r="D43" s="215">
        <v>19.100000000000001</v>
      </c>
    </row>
    <row r="44" spans="1:4" ht="18" x14ac:dyDescent="0.25">
      <c r="A44" s="213">
        <v>40</v>
      </c>
      <c r="B44" s="208" t="s">
        <v>379</v>
      </c>
      <c r="C44" s="209" t="s">
        <v>635</v>
      </c>
      <c r="D44" s="215">
        <v>32.700000000000003</v>
      </c>
    </row>
    <row r="45" spans="1:4" ht="18" x14ac:dyDescent="0.25">
      <c r="A45" s="213">
        <v>41</v>
      </c>
      <c r="B45" s="208" t="s">
        <v>380</v>
      </c>
      <c r="C45" s="209" t="s">
        <v>636</v>
      </c>
      <c r="D45" s="215">
        <v>33.299999999999997</v>
      </c>
    </row>
    <row r="46" spans="1:4" ht="18" x14ac:dyDescent="0.25">
      <c r="A46" s="213">
        <v>42</v>
      </c>
      <c r="B46" s="208" t="s">
        <v>649</v>
      </c>
      <c r="C46" s="209" t="s">
        <v>637</v>
      </c>
      <c r="D46" s="215">
        <v>19.100000000000001</v>
      </c>
    </row>
    <row r="47" spans="1:4" ht="18" x14ac:dyDescent="0.25">
      <c r="A47" s="213">
        <v>43</v>
      </c>
      <c r="B47" s="208" t="s">
        <v>391</v>
      </c>
      <c r="C47" s="209" t="s">
        <v>629</v>
      </c>
      <c r="D47" s="215">
        <v>52.5</v>
      </c>
    </row>
    <row r="48" spans="1:4" ht="18" x14ac:dyDescent="0.25">
      <c r="A48" s="213">
        <v>44</v>
      </c>
      <c r="B48" s="208" t="s">
        <v>392</v>
      </c>
      <c r="C48" s="209" t="s">
        <v>629</v>
      </c>
      <c r="D48" s="215">
        <v>122.9</v>
      </c>
    </row>
    <row r="49" spans="1:4" ht="18" x14ac:dyDescent="0.25">
      <c r="A49" s="213">
        <v>45</v>
      </c>
      <c r="B49" s="208" t="s">
        <v>394</v>
      </c>
      <c r="C49" s="209" t="s">
        <v>629</v>
      </c>
      <c r="D49" s="215">
        <v>31.5</v>
      </c>
    </row>
    <row r="50" spans="1:4" ht="18" x14ac:dyDescent="0.25">
      <c r="A50" s="213">
        <v>46</v>
      </c>
      <c r="B50" s="208" t="s">
        <v>395</v>
      </c>
      <c r="C50" s="209" t="s">
        <v>643</v>
      </c>
      <c r="D50" s="215">
        <v>70.8</v>
      </c>
    </row>
    <row r="51" spans="1:4" ht="18.600000000000001" thickBot="1" x14ac:dyDescent="0.3">
      <c r="A51" s="216"/>
      <c r="B51" s="217"/>
      <c r="C51" s="218" t="s">
        <v>590</v>
      </c>
      <c r="D51" s="219">
        <f>SUM(D5:D50)</f>
        <v>2812.4720000000002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72" x14ac:dyDescent="0.25">
      <c r="A3" s="203">
        <v>1</v>
      </c>
      <c r="B3" s="187" t="s">
        <v>695</v>
      </c>
      <c r="C3" s="188" t="s">
        <v>571</v>
      </c>
      <c r="D3" s="204">
        <f>'2.2п'!D13</f>
        <v>63.42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13"/>
  <sheetViews>
    <sheetView workbookViewId="0">
      <selection sqref="A1:D1"/>
    </sheetView>
  </sheetViews>
  <sheetFormatPr defaultRowHeight="13.2" x14ac:dyDescent="0.25"/>
  <cols>
    <col min="2" max="2" width="16.21875" customWidth="1"/>
    <col min="3" max="3" width="37.88671875" customWidth="1"/>
    <col min="4" max="4" width="12" customWidth="1"/>
  </cols>
  <sheetData>
    <row r="1" spans="1:4" ht="18" x14ac:dyDescent="0.25">
      <c r="A1" s="476" t="s">
        <v>586</v>
      </c>
      <c r="B1" s="476"/>
      <c r="C1" s="476"/>
      <c r="D1" s="476"/>
    </row>
    <row r="2" spans="1:4" ht="18" x14ac:dyDescent="0.25">
      <c r="A2" s="476" t="s">
        <v>650</v>
      </c>
      <c r="B2" s="476"/>
      <c r="C2" s="476"/>
      <c r="D2" s="476"/>
    </row>
    <row r="3" spans="1:4" ht="37.799999999999997" customHeight="1" x14ac:dyDescent="0.25">
      <c r="A3" s="476" t="s">
        <v>701</v>
      </c>
      <c r="B3" s="476"/>
      <c r="C3" s="476"/>
      <c r="D3" s="476"/>
    </row>
    <row r="4" spans="1:4" ht="16.8" customHeight="1" x14ac:dyDescent="0.25">
      <c r="A4" s="205" t="s">
        <v>580</v>
      </c>
      <c r="B4" s="206" t="s">
        <v>652</v>
      </c>
      <c r="C4" s="206" t="s">
        <v>587</v>
      </c>
      <c r="D4" s="207" t="s">
        <v>588</v>
      </c>
    </row>
    <row r="5" spans="1:4" ht="16.8" customHeight="1" x14ac:dyDescent="0.25">
      <c r="A5" s="205">
        <v>2</v>
      </c>
      <c r="B5" s="209" t="s">
        <v>488</v>
      </c>
      <c r="C5" s="209" t="s">
        <v>626</v>
      </c>
      <c r="D5" s="210">
        <v>3.33</v>
      </c>
    </row>
    <row r="6" spans="1:4" ht="16.8" customHeight="1" x14ac:dyDescent="0.25">
      <c r="A6" s="205">
        <v>3</v>
      </c>
      <c r="B6" s="209" t="s">
        <v>489</v>
      </c>
      <c r="C6" s="209" t="s">
        <v>626</v>
      </c>
      <c r="D6" s="210">
        <v>3.29</v>
      </c>
    </row>
    <row r="7" spans="1:4" ht="16.8" customHeight="1" x14ac:dyDescent="0.25">
      <c r="A7" s="205">
        <v>4</v>
      </c>
      <c r="B7" s="209" t="s">
        <v>490</v>
      </c>
      <c r="C7" s="209" t="s">
        <v>626</v>
      </c>
      <c r="D7" s="210">
        <v>4.43</v>
      </c>
    </row>
    <row r="8" spans="1:4" ht="26.4" customHeight="1" x14ac:dyDescent="0.25">
      <c r="A8" s="205">
        <v>5</v>
      </c>
      <c r="B8" s="209" t="s">
        <v>491</v>
      </c>
      <c r="C8" s="209" t="s">
        <v>627</v>
      </c>
      <c r="D8" s="210">
        <v>7.45</v>
      </c>
    </row>
    <row r="9" spans="1:4" ht="16.8" customHeight="1" x14ac:dyDescent="0.25">
      <c r="A9" s="205">
        <v>9</v>
      </c>
      <c r="B9" s="209" t="s">
        <v>509</v>
      </c>
      <c r="C9" s="209" t="s">
        <v>629</v>
      </c>
      <c r="D9" s="210">
        <v>2.2999999999999998</v>
      </c>
    </row>
    <row r="10" spans="1:4" ht="16.8" customHeight="1" x14ac:dyDescent="0.25">
      <c r="A10" s="205">
        <v>14</v>
      </c>
      <c r="B10" s="209" t="s">
        <v>516</v>
      </c>
      <c r="C10" s="209" t="s">
        <v>633</v>
      </c>
      <c r="D10" s="210">
        <v>38.020000000000003</v>
      </c>
    </row>
    <row r="11" spans="1:4" ht="16.8" customHeight="1" x14ac:dyDescent="0.25">
      <c r="A11" s="205">
        <v>29</v>
      </c>
      <c r="B11" s="209" t="s">
        <v>452</v>
      </c>
      <c r="C11" s="209" t="s">
        <v>629</v>
      </c>
      <c r="D11" s="210">
        <v>2.2999999999999998</v>
      </c>
    </row>
    <row r="12" spans="1:4" ht="18" x14ac:dyDescent="0.25">
      <c r="A12" s="205">
        <v>44</v>
      </c>
      <c r="B12" s="209" t="s">
        <v>378</v>
      </c>
      <c r="C12" s="209" t="s">
        <v>629</v>
      </c>
      <c r="D12" s="210">
        <v>2.2999999999999998</v>
      </c>
    </row>
    <row r="13" spans="1:4" ht="18" x14ac:dyDescent="0.25">
      <c r="A13" s="205"/>
      <c r="B13" s="212"/>
      <c r="C13" s="212" t="s">
        <v>590</v>
      </c>
      <c r="D13" s="207">
        <f>SUM(D5:D12)</f>
        <v>63.42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36" x14ac:dyDescent="0.25">
      <c r="A3" s="203">
        <v>1</v>
      </c>
      <c r="B3" s="187" t="s">
        <v>694</v>
      </c>
      <c r="C3" s="188" t="s">
        <v>571</v>
      </c>
      <c r="D3" s="204">
        <f>'2.3п'!D21</f>
        <v>685.62800000000004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21"/>
  <sheetViews>
    <sheetView workbookViewId="0">
      <selection sqref="A1:D1"/>
    </sheetView>
  </sheetViews>
  <sheetFormatPr defaultRowHeight="13.2" x14ac:dyDescent="0.25"/>
  <cols>
    <col min="2" max="2" width="14.44140625" style="198" customWidth="1"/>
    <col min="3" max="3" width="42" customWidth="1"/>
    <col min="4" max="4" width="12" customWidth="1"/>
  </cols>
  <sheetData>
    <row r="1" spans="1:4" ht="18" x14ac:dyDescent="0.25">
      <c r="A1" s="476" t="s">
        <v>586</v>
      </c>
      <c r="B1" s="476"/>
      <c r="C1" s="476"/>
      <c r="D1" s="476"/>
    </row>
    <row r="2" spans="1:4" ht="18" x14ac:dyDescent="0.25">
      <c r="A2" s="476" t="s">
        <v>650</v>
      </c>
      <c r="B2" s="476"/>
      <c r="C2" s="476"/>
      <c r="D2" s="476"/>
    </row>
    <row r="3" spans="1:4" ht="18" x14ac:dyDescent="0.25">
      <c r="A3" s="476" t="s">
        <v>702</v>
      </c>
      <c r="B3" s="476"/>
      <c r="C3" s="476"/>
      <c r="D3" s="476"/>
    </row>
    <row r="4" spans="1:4" ht="16.8" customHeight="1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ht="16.8" customHeight="1" x14ac:dyDescent="0.25">
      <c r="A5" s="205">
        <v>1</v>
      </c>
      <c r="B5" s="208" t="s">
        <v>487</v>
      </c>
      <c r="C5" s="209" t="s">
        <v>625</v>
      </c>
      <c r="D5" s="210">
        <v>23.28</v>
      </c>
    </row>
    <row r="6" spans="1:4" ht="16.8" customHeight="1" x14ac:dyDescent="0.25">
      <c r="A6" s="205">
        <v>2</v>
      </c>
      <c r="B6" s="208" t="s">
        <v>488</v>
      </c>
      <c r="C6" s="209" t="s">
        <v>626</v>
      </c>
      <c r="D6" s="210">
        <v>14.625</v>
      </c>
    </row>
    <row r="7" spans="1:4" ht="16.8" customHeight="1" x14ac:dyDescent="0.25">
      <c r="A7" s="205">
        <v>3</v>
      </c>
      <c r="B7" s="208" t="s">
        <v>489</v>
      </c>
      <c r="C7" s="209" t="s">
        <v>626</v>
      </c>
      <c r="D7" s="210">
        <v>13.26</v>
      </c>
    </row>
    <row r="8" spans="1:4" ht="16.8" customHeight="1" x14ac:dyDescent="0.25">
      <c r="A8" s="205">
        <v>4</v>
      </c>
      <c r="B8" s="208" t="s">
        <v>490</v>
      </c>
      <c r="C8" s="209" t="s">
        <v>626</v>
      </c>
      <c r="D8" s="210">
        <v>6.24</v>
      </c>
    </row>
    <row r="9" spans="1:4" ht="26.4" customHeight="1" x14ac:dyDescent="0.25">
      <c r="A9" s="205">
        <v>5</v>
      </c>
      <c r="B9" s="208" t="s">
        <v>491</v>
      </c>
      <c r="C9" s="209" t="s">
        <v>627</v>
      </c>
      <c r="D9" s="210">
        <v>14.82</v>
      </c>
    </row>
    <row r="10" spans="1:4" ht="16.8" customHeight="1" x14ac:dyDescent="0.25">
      <c r="A10" s="205">
        <v>6</v>
      </c>
      <c r="B10" s="208" t="s">
        <v>498</v>
      </c>
      <c r="C10" s="209" t="s">
        <v>628</v>
      </c>
      <c r="D10" s="210">
        <v>4.68</v>
      </c>
    </row>
    <row r="11" spans="1:4" ht="16.8" customHeight="1" x14ac:dyDescent="0.25">
      <c r="A11" s="205">
        <v>7</v>
      </c>
      <c r="B11" s="208" t="s">
        <v>516</v>
      </c>
      <c r="C11" s="209" t="s">
        <v>633</v>
      </c>
      <c r="D11" s="210">
        <v>50.98</v>
      </c>
    </row>
    <row r="12" spans="1:4" ht="16.8" customHeight="1" x14ac:dyDescent="0.25">
      <c r="A12" s="205">
        <v>8</v>
      </c>
      <c r="B12" s="208" t="s">
        <v>538</v>
      </c>
      <c r="C12" s="209" t="s">
        <v>634</v>
      </c>
      <c r="D12" s="210">
        <v>26.7</v>
      </c>
    </row>
    <row r="13" spans="1:4" ht="16.8" customHeight="1" x14ac:dyDescent="0.25">
      <c r="A13" s="205">
        <v>9</v>
      </c>
      <c r="B13" s="208" t="s">
        <v>432</v>
      </c>
      <c r="C13" s="209" t="s">
        <v>641</v>
      </c>
      <c r="D13" s="210">
        <v>19.5</v>
      </c>
    </row>
    <row r="14" spans="1:4" ht="16.8" customHeight="1" x14ac:dyDescent="0.25">
      <c r="A14" s="205">
        <v>10</v>
      </c>
      <c r="B14" s="208" t="s">
        <v>442</v>
      </c>
      <c r="C14" s="209" t="s">
        <v>642</v>
      </c>
      <c r="D14" s="210">
        <v>311.5</v>
      </c>
    </row>
    <row r="15" spans="1:4" ht="16.8" customHeight="1" x14ac:dyDescent="0.25">
      <c r="A15" s="205">
        <v>11</v>
      </c>
      <c r="B15" s="208" t="s">
        <v>451</v>
      </c>
      <c r="C15" s="209" t="s">
        <v>643</v>
      </c>
      <c r="D15" s="210">
        <v>13.65</v>
      </c>
    </row>
    <row r="16" spans="1:4" ht="16.8" customHeight="1" x14ac:dyDescent="0.25">
      <c r="A16" s="205">
        <v>12</v>
      </c>
      <c r="B16" s="208" t="s">
        <v>452</v>
      </c>
      <c r="C16" s="209" t="s">
        <v>629</v>
      </c>
      <c r="D16" s="210">
        <v>1.833</v>
      </c>
    </row>
    <row r="17" spans="1:4" ht="18" x14ac:dyDescent="0.25">
      <c r="A17" s="205">
        <v>13</v>
      </c>
      <c r="B17" s="208" t="s">
        <v>480</v>
      </c>
      <c r="C17" s="209" t="s">
        <v>643</v>
      </c>
      <c r="D17" s="210">
        <v>6.24</v>
      </c>
    </row>
    <row r="18" spans="1:4" ht="72" x14ac:dyDescent="0.25">
      <c r="A18" s="205">
        <v>14</v>
      </c>
      <c r="B18" s="208" t="s">
        <v>371</v>
      </c>
      <c r="C18" s="209" t="s">
        <v>645</v>
      </c>
      <c r="D18" s="210">
        <v>164.28</v>
      </c>
    </row>
    <row r="19" spans="1:4" ht="18" x14ac:dyDescent="0.25">
      <c r="A19" s="205">
        <v>15</v>
      </c>
      <c r="B19" s="208" t="s">
        <v>377</v>
      </c>
      <c r="C19" s="209" t="s">
        <v>643</v>
      </c>
      <c r="D19" s="210">
        <v>5.46</v>
      </c>
    </row>
    <row r="20" spans="1:4" ht="18" x14ac:dyDescent="0.25">
      <c r="A20" s="205">
        <v>16</v>
      </c>
      <c r="B20" s="208" t="s">
        <v>395</v>
      </c>
      <c r="C20" s="209" t="s">
        <v>643</v>
      </c>
      <c r="D20" s="210">
        <v>8.58</v>
      </c>
    </row>
    <row r="21" spans="1:4" ht="18" x14ac:dyDescent="0.25">
      <c r="A21" s="205"/>
      <c r="B21" s="211"/>
      <c r="C21" s="212" t="s">
        <v>590</v>
      </c>
      <c r="D21" s="207">
        <f>SUM(D5:D20)</f>
        <v>685.62800000000004</v>
      </c>
    </row>
  </sheetData>
  <mergeCells count="3">
    <mergeCell ref="A1:D1"/>
    <mergeCell ref="A3:D3"/>
    <mergeCell ref="A2:D2"/>
  </mergeCells>
  <pageMargins left="0.7" right="0.7" top="0.75" bottom="0.75" header="0.3" footer="0.3"/>
  <ignoredErrors>
    <ignoredError sqref="B10 B11:B20" twoDigitTextYear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>
      <selection activeCell="B3" sqref="B3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698</v>
      </c>
      <c r="C3" s="188" t="s">
        <v>571</v>
      </c>
      <c r="D3" s="230">
        <f>'3.1п'!D80</f>
        <v>5811.5199999999995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80"/>
  <sheetViews>
    <sheetView topLeftCell="A18" workbookViewId="0">
      <selection activeCell="D40" sqref="D40"/>
    </sheetView>
  </sheetViews>
  <sheetFormatPr defaultRowHeight="18" x14ac:dyDescent="0.25"/>
  <cols>
    <col min="1" max="1" width="8.88671875" style="220"/>
    <col min="2" max="2" width="14.44140625" style="229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476" t="s">
        <v>586</v>
      </c>
      <c r="B1" s="476"/>
      <c r="C1" s="476"/>
      <c r="D1" s="476"/>
    </row>
    <row r="2" spans="1:4" ht="18" customHeight="1" x14ac:dyDescent="0.25">
      <c r="A2" s="477" t="s">
        <v>654</v>
      </c>
      <c r="B2" s="478"/>
      <c r="C2" s="478"/>
      <c r="D2" s="479"/>
    </row>
    <row r="3" spans="1:4" ht="50.4" customHeight="1" x14ac:dyDescent="0.25">
      <c r="A3" s="476" t="s">
        <v>653</v>
      </c>
      <c r="B3" s="476"/>
      <c r="C3" s="476"/>
      <c r="D3" s="476"/>
    </row>
    <row r="4" spans="1:4" x14ac:dyDescent="0.25">
      <c r="A4" s="205" t="s">
        <v>580</v>
      </c>
      <c r="B4" s="206" t="s">
        <v>693</v>
      </c>
      <c r="C4" s="206" t="s">
        <v>587</v>
      </c>
      <c r="D4" s="207" t="s">
        <v>588</v>
      </c>
    </row>
    <row r="5" spans="1:4" ht="36" x14ac:dyDescent="0.25">
      <c r="A5" s="205">
        <v>1</v>
      </c>
      <c r="B5" s="221" t="s">
        <v>484</v>
      </c>
      <c r="C5" s="222" t="s">
        <v>655</v>
      </c>
      <c r="D5" s="223">
        <v>84</v>
      </c>
    </row>
    <row r="6" spans="1:4" x14ac:dyDescent="0.25">
      <c r="A6" s="205">
        <v>2</v>
      </c>
      <c r="B6" s="221" t="s">
        <v>485</v>
      </c>
      <c r="C6" s="222" t="s">
        <v>656</v>
      </c>
      <c r="D6" s="223">
        <v>22.1</v>
      </c>
    </row>
    <row r="7" spans="1:4" x14ac:dyDescent="0.25">
      <c r="A7" s="205">
        <v>3</v>
      </c>
      <c r="B7" s="221" t="s">
        <v>486</v>
      </c>
      <c r="C7" s="222" t="s">
        <v>657</v>
      </c>
      <c r="D7" s="223">
        <v>46.699999999999996</v>
      </c>
    </row>
    <row r="8" spans="1:4" x14ac:dyDescent="0.25">
      <c r="A8" s="205">
        <v>4</v>
      </c>
      <c r="B8" s="221" t="s">
        <v>487</v>
      </c>
      <c r="C8" s="222" t="s">
        <v>625</v>
      </c>
      <c r="D8" s="223">
        <v>133.51999999999998</v>
      </c>
    </row>
    <row r="9" spans="1:4" x14ac:dyDescent="0.25">
      <c r="A9" s="205">
        <v>5</v>
      </c>
      <c r="B9" s="221" t="s">
        <v>488</v>
      </c>
      <c r="C9" s="222" t="s">
        <v>626</v>
      </c>
      <c r="D9" s="223">
        <v>95</v>
      </c>
    </row>
    <row r="10" spans="1:4" x14ac:dyDescent="0.25">
      <c r="A10" s="205">
        <v>6</v>
      </c>
      <c r="B10" s="221" t="s">
        <v>489</v>
      </c>
      <c r="C10" s="222" t="s">
        <v>626</v>
      </c>
      <c r="D10" s="223">
        <v>49</v>
      </c>
    </row>
    <row r="11" spans="1:4" x14ac:dyDescent="0.25">
      <c r="A11" s="205">
        <v>7</v>
      </c>
      <c r="B11" s="221" t="s">
        <v>490</v>
      </c>
      <c r="C11" s="222" t="s">
        <v>626</v>
      </c>
      <c r="D11" s="223">
        <v>95</v>
      </c>
    </row>
    <row r="12" spans="1:4" ht="36" x14ac:dyDescent="0.25">
      <c r="A12" s="205">
        <v>8</v>
      </c>
      <c r="B12" s="221" t="s">
        <v>491</v>
      </c>
      <c r="C12" s="222" t="s">
        <v>627</v>
      </c>
      <c r="D12" s="223">
        <v>140</v>
      </c>
    </row>
    <row r="13" spans="1:4" x14ac:dyDescent="0.25">
      <c r="A13" s="205">
        <v>9</v>
      </c>
      <c r="B13" s="221" t="s">
        <v>492</v>
      </c>
      <c r="C13" s="222" t="s">
        <v>658</v>
      </c>
      <c r="D13" s="223">
        <v>38.76</v>
      </c>
    </row>
    <row r="14" spans="1:4" x14ac:dyDescent="0.25">
      <c r="A14" s="205">
        <v>10</v>
      </c>
      <c r="B14" s="221" t="s">
        <v>494</v>
      </c>
      <c r="C14" s="222" t="s">
        <v>659</v>
      </c>
      <c r="D14" s="223">
        <v>46.26</v>
      </c>
    </row>
    <row r="15" spans="1:4" x14ac:dyDescent="0.25">
      <c r="A15" s="205">
        <v>11</v>
      </c>
      <c r="B15" s="221" t="s">
        <v>660</v>
      </c>
      <c r="C15" s="222" t="s">
        <v>661</v>
      </c>
      <c r="D15" s="223">
        <v>69.989999999999995</v>
      </c>
    </row>
    <row r="16" spans="1:4" x14ac:dyDescent="0.25">
      <c r="A16" s="205">
        <v>12</v>
      </c>
      <c r="B16" s="221" t="s">
        <v>500</v>
      </c>
      <c r="C16" s="222" t="s">
        <v>662</v>
      </c>
      <c r="D16" s="223"/>
    </row>
    <row r="17" spans="1:4" x14ac:dyDescent="0.25">
      <c r="A17" s="205">
        <v>13</v>
      </c>
      <c r="B17" s="221" t="s">
        <v>503</v>
      </c>
      <c r="C17" s="222" t="s">
        <v>663</v>
      </c>
      <c r="D17" s="223">
        <v>47.46</v>
      </c>
    </row>
    <row r="18" spans="1:4" x14ac:dyDescent="0.25">
      <c r="A18" s="205">
        <v>14</v>
      </c>
      <c r="B18" s="221" t="s">
        <v>504</v>
      </c>
      <c r="C18" s="222" t="s">
        <v>663</v>
      </c>
      <c r="D18" s="223">
        <v>56.46</v>
      </c>
    </row>
    <row r="19" spans="1:4" x14ac:dyDescent="0.25">
      <c r="A19" s="205">
        <v>15</v>
      </c>
      <c r="B19" s="221" t="s">
        <v>506</v>
      </c>
      <c r="C19" s="222" t="s">
        <v>664</v>
      </c>
      <c r="D19" s="223">
        <v>67.13</v>
      </c>
    </row>
    <row r="20" spans="1:4" x14ac:dyDescent="0.25">
      <c r="A20" s="205">
        <v>16</v>
      </c>
      <c r="B20" s="221" t="s">
        <v>510</v>
      </c>
      <c r="C20" s="222" t="s">
        <v>631</v>
      </c>
      <c r="D20" s="223">
        <v>110.7</v>
      </c>
    </row>
    <row r="21" spans="1:4" x14ac:dyDescent="0.25">
      <c r="A21" s="205">
        <v>17</v>
      </c>
      <c r="B21" s="221" t="s">
        <v>512</v>
      </c>
      <c r="C21" s="222" t="s">
        <v>665</v>
      </c>
      <c r="D21" s="223">
        <v>78.400000000000006</v>
      </c>
    </row>
    <row r="22" spans="1:4" x14ac:dyDescent="0.25">
      <c r="A22" s="205">
        <v>18</v>
      </c>
      <c r="B22" s="221" t="s">
        <v>513</v>
      </c>
      <c r="C22" s="222" t="s">
        <v>632</v>
      </c>
      <c r="D22" s="223">
        <v>96.3</v>
      </c>
    </row>
    <row r="23" spans="1:4" x14ac:dyDescent="0.25">
      <c r="A23" s="205">
        <v>19</v>
      </c>
      <c r="B23" s="221" t="s">
        <v>539</v>
      </c>
      <c r="C23" s="222" t="s">
        <v>666</v>
      </c>
      <c r="D23" s="223">
        <v>56.22</v>
      </c>
    </row>
    <row r="24" spans="1:4" x14ac:dyDescent="0.25">
      <c r="A24" s="205">
        <v>20</v>
      </c>
      <c r="B24" s="221" t="s">
        <v>542</v>
      </c>
      <c r="C24" s="222" t="s">
        <v>635</v>
      </c>
      <c r="D24" s="223">
        <v>90.1</v>
      </c>
    </row>
    <row r="25" spans="1:4" x14ac:dyDescent="0.25">
      <c r="A25" s="205">
        <v>21</v>
      </c>
      <c r="B25" s="221" t="s">
        <v>545</v>
      </c>
      <c r="C25" s="222" t="s">
        <v>636</v>
      </c>
      <c r="D25" s="223">
        <v>92</v>
      </c>
    </row>
    <row r="26" spans="1:4" x14ac:dyDescent="0.25">
      <c r="A26" s="205">
        <v>22</v>
      </c>
      <c r="B26" s="221" t="s">
        <v>546</v>
      </c>
      <c r="C26" s="222" t="s">
        <v>637</v>
      </c>
      <c r="D26" s="223">
        <v>95.000000000000014</v>
      </c>
    </row>
    <row r="27" spans="1:4" x14ac:dyDescent="0.25">
      <c r="A27" s="205">
        <v>23</v>
      </c>
      <c r="B27" s="221" t="s">
        <v>547</v>
      </c>
      <c r="C27" s="222" t="s">
        <v>635</v>
      </c>
      <c r="D27" s="223">
        <v>67.400000000000006</v>
      </c>
    </row>
    <row r="28" spans="1:4" x14ac:dyDescent="0.25">
      <c r="A28" s="205">
        <v>24</v>
      </c>
      <c r="B28" s="221" t="s">
        <v>551</v>
      </c>
      <c r="C28" s="222" t="s">
        <v>638</v>
      </c>
      <c r="D28" s="223">
        <v>87.5</v>
      </c>
    </row>
    <row r="29" spans="1:4" x14ac:dyDescent="0.25">
      <c r="A29" s="205">
        <v>25</v>
      </c>
      <c r="B29" s="221" t="s">
        <v>552</v>
      </c>
      <c r="C29" s="222" t="s">
        <v>637</v>
      </c>
      <c r="D29" s="223">
        <v>86.5</v>
      </c>
    </row>
    <row r="30" spans="1:4" x14ac:dyDescent="0.25">
      <c r="A30" s="205">
        <v>26</v>
      </c>
      <c r="B30" s="221" t="s">
        <v>425</v>
      </c>
      <c r="C30" s="222" t="s">
        <v>667</v>
      </c>
      <c r="D30" s="223">
        <v>82.820999999999998</v>
      </c>
    </row>
    <row r="31" spans="1:4" ht="54" x14ac:dyDescent="0.25">
      <c r="A31" s="205">
        <v>27</v>
      </c>
      <c r="B31" s="221" t="s">
        <v>426</v>
      </c>
      <c r="C31" s="222" t="s">
        <v>668</v>
      </c>
      <c r="D31" s="223">
        <v>114.947</v>
      </c>
    </row>
    <row r="32" spans="1:4" ht="36" x14ac:dyDescent="0.25">
      <c r="A32" s="205">
        <v>28</v>
      </c>
      <c r="B32" s="221" t="s">
        <v>427</v>
      </c>
      <c r="C32" s="222" t="s">
        <v>669</v>
      </c>
      <c r="D32" s="223">
        <v>75.431000000000012</v>
      </c>
    </row>
    <row r="33" spans="1:4" x14ac:dyDescent="0.25">
      <c r="A33" s="205">
        <v>29</v>
      </c>
      <c r="B33" s="221" t="s">
        <v>428</v>
      </c>
      <c r="C33" s="222" t="s">
        <v>667</v>
      </c>
      <c r="D33" s="223">
        <v>85.176000000000002</v>
      </c>
    </row>
    <row r="34" spans="1:4" ht="72" x14ac:dyDescent="0.25">
      <c r="A34" s="205">
        <v>30</v>
      </c>
      <c r="B34" s="221" t="s">
        <v>429</v>
      </c>
      <c r="C34" s="222" t="s">
        <v>670</v>
      </c>
      <c r="D34" s="223">
        <v>77.762</v>
      </c>
    </row>
    <row r="35" spans="1:4" ht="72" x14ac:dyDescent="0.25">
      <c r="A35" s="205">
        <v>31</v>
      </c>
      <c r="B35" s="221" t="s">
        <v>430</v>
      </c>
      <c r="C35" s="222" t="s">
        <v>670</v>
      </c>
      <c r="D35" s="223">
        <v>83.146000000000015</v>
      </c>
    </row>
    <row r="36" spans="1:4" x14ac:dyDescent="0.25">
      <c r="A36" s="205">
        <v>32</v>
      </c>
      <c r="B36" s="221" t="s">
        <v>431</v>
      </c>
      <c r="C36" s="222" t="s">
        <v>667</v>
      </c>
      <c r="D36" s="223">
        <v>95.820000000000022</v>
      </c>
    </row>
    <row r="37" spans="1:4" x14ac:dyDescent="0.25">
      <c r="A37" s="205">
        <v>33</v>
      </c>
      <c r="B37" s="221" t="s">
        <v>432</v>
      </c>
      <c r="C37" s="222" t="s">
        <v>641</v>
      </c>
      <c r="D37" s="223">
        <v>157</v>
      </c>
    </row>
    <row r="38" spans="1:4" x14ac:dyDescent="0.25">
      <c r="A38" s="205">
        <v>34</v>
      </c>
      <c r="B38" s="221" t="s">
        <v>671</v>
      </c>
      <c r="C38" s="222" t="s">
        <v>672</v>
      </c>
      <c r="D38" s="223">
        <v>28.17</v>
      </c>
    </row>
    <row r="39" spans="1:4" x14ac:dyDescent="0.25">
      <c r="A39" s="205">
        <v>35</v>
      </c>
      <c r="B39" s="221" t="s">
        <v>434</v>
      </c>
      <c r="C39" s="222" t="s">
        <v>673</v>
      </c>
      <c r="D39" s="223">
        <v>15.18</v>
      </c>
    </row>
    <row r="40" spans="1:4" x14ac:dyDescent="0.25">
      <c r="A40" s="205">
        <v>36</v>
      </c>
      <c r="B40" s="221" t="s">
        <v>435</v>
      </c>
      <c r="C40" s="222" t="s">
        <v>674</v>
      </c>
      <c r="D40" s="223">
        <v>70.363</v>
      </c>
    </row>
    <row r="41" spans="1:4" x14ac:dyDescent="0.25">
      <c r="A41" s="205">
        <v>37</v>
      </c>
      <c r="B41" s="221" t="s">
        <v>437</v>
      </c>
      <c r="C41" s="222" t="s">
        <v>659</v>
      </c>
      <c r="D41" s="223">
        <v>24.330000000000002</v>
      </c>
    </row>
    <row r="42" spans="1:4" x14ac:dyDescent="0.25">
      <c r="A42" s="205">
        <v>38</v>
      </c>
      <c r="B42" s="221" t="s">
        <v>438</v>
      </c>
      <c r="C42" s="222" t="s">
        <v>675</v>
      </c>
      <c r="D42" s="223">
        <v>75.92</v>
      </c>
    </row>
    <row r="43" spans="1:4" x14ac:dyDescent="0.25">
      <c r="A43" s="205">
        <v>39</v>
      </c>
      <c r="B43" s="221" t="s">
        <v>439</v>
      </c>
      <c r="C43" s="222" t="s">
        <v>658</v>
      </c>
      <c r="D43" s="223">
        <v>17.257999999999999</v>
      </c>
    </row>
    <row r="44" spans="1:4" ht="36" x14ac:dyDescent="0.25">
      <c r="A44" s="205">
        <v>40</v>
      </c>
      <c r="B44" s="221" t="s">
        <v>443</v>
      </c>
      <c r="C44" s="222" t="s">
        <v>676</v>
      </c>
      <c r="D44" s="223">
        <v>86.123999999999995</v>
      </c>
    </row>
    <row r="45" spans="1:4" ht="36" x14ac:dyDescent="0.25">
      <c r="A45" s="205">
        <v>41</v>
      </c>
      <c r="B45" s="221" t="s">
        <v>444</v>
      </c>
      <c r="C45" s="222" t="s">
        <v>677</v>
      </c>
      <c r="D45" s="223">
        <v>47.648000000000003</v>
      </c>
    </row>
    <row r="46" spans="1:4" x14ac:dyDescent="0.25">
      <c r="A46" s="205">
        <v>42</v>
      </c>
      <c r="B46" s="221" t="s">
        <v>447</v>
      </c>
      <c r="C46" s="222" t="s">
        <v>658</v>
      </c>
      <c r="D46" s="223">
        <v>38.76</v>
      </c>
    </row>
    <row r="47" spans="1:4" x14ac:dyDescent="0.25">
      <c r="A47" s="205">
        <v>43</v>
      </c>
      <c r="B47" s="221" t="s">
        <v>448</v>
      </c>
      <c r="C47" s="222" t="s">
        <v>659</v>
      </c>
      <c r="D47" s="223">
        <v>46.26</v>
      </c>
    </row>
    <row r="48" spans="1:4" x14ac:dyDescent="0.25">
      <c r="A48" s="205">
        <v>44</v>
      </c>
      <c r="B48" s="221" t="s">
        <v>678</v>
      </c>
      <c r="C48" s="222" t="s">
        <v>679</v>
      </c>
      <c r="D48" s="223">
        <v>53.870000000000005</v>
      </c>
    </row>
    <row r="49" spans="1:4" x14ac:dyDescent="0.25">
      <c r="A49" s="205">
        <v>45</v>
      </c>
      <c r="B49" s="221" t="s">
        <v>453</v>
      </c>
      <c r="C49" s="222" t="s">
        <v>680</v>
      </c>
      <c r="D49" s="223">
        <v>78.7</v>
      </c>
    </row>
    <row r="50" spans="1:4" x14ac:dyDescent="0.25">
      <c r="A50" s="205">
        <v>46</v>
      </c>
      <c r="B50" s="221" t="s">
        <v>454</v>
      </c>
      <c r="C50" s="222" t="s">
        <v>681</v>
      </c>
      <c r="D50" s="223">
        <v>84</v>
      </c>
    </row>
    <row r="51" spans="1:4" x14ac:dyDescent="0.25">
      <c r="A51" s="205">
        <v>47</v>
      </c>
      <c r="B51" s="221" t="s">
        <v>456</v>
      </c>
      <c r="C51" s="222" t="s">
        <v>682</v>
      </c>
      <c r="D51" s="223">
        <v>82.1</v>
      </c>
    </row>
    <row r="52" spans="1:4" x14ac:dyDescent="0.25">
      <c r="A52" s="205">
        <v>48</v>
      </c>
      <c r="B52" s="221" t="s">
        <v>457</v>
      </c>
      <c r="C52" s="222" t="s">
        <v>644</v>
      </c>
      <c r="D52" s="223">
        <v>98.6</v>
      </c>
    </row>
    <row r="53" spans="1:4" x14ac:dyDescent="0.25">
      <c r="A53" s="205">
        <v>49</v>
      </c>
      <c r="B53" s="221" t="s">
        <v>459</v>
      </c>
      <c r="C53" s="222" t="s">
        <v>683</v>
      </c>
      <c r="D53" s="223">
        <v>83.899999999999991</v>
      </c>
    </row>
    <row r="54" spans="1:4" x14ac:dyDescent="0.25">
      <c r="A54" s="205">
        <v>50</v>
      </c>
      <c r="B54" s="221" t="s">
        <v>462</v>
      </c>
      <c r="C54" s="222" t="s">
        <v>636</v>
      </c>
      <c r="D54" s="223">
        <v>85.8</v>
      </c>
    </row>
    <row r="55" spans="1:4" x14ac:dyDescent="0.25">
      <c r="A55" s="205">
        <v>51</v>
      </c>
      <c r="B55" s="221" t="s">
        <v>463</v>
      </c>
      <c r="C55" s="222" t="s">
        <v>637</v>
      </c>
      <c r="D55" s="223">
        <v>92.100000000000009</v>
      </c>
    </row>
    <row r="56" spans="1:4" x14ac:dyDescent="0.25">
      <c r="A56" s="205">
        <v>52</v>
      </c>
      <c r="B56" s="221" t="s">
        <v>464</v>
      </c>
      <c r="C56" s="222" t="s">
        <v>635</v>
      </c>
      <c r="D56" s="223">
        <v>81.699999999999989</v>
      </c>
    </row>
    <row r="57" spans="1:4" x14ac:dyDescent="0.25">
      <c r="A57" s="205">
        <v>53</v>
      </c>
      <c r="B57" s="221" t="s">
        <v>466</v>
      </c>
      <c r="C57" s="222" t="s">
        <v>636</v>
      </c>
      <c r="D57" s="223">
        <v>84.5</v>
      </c>
    </row>
    <row r="58" spans="1:4" x14ac:dyDescent="0.25">
      <c r="A58" s="205">
        <v>54</v>
      </c>
      <c r="B58" s="221" t="s">
        <v>467</v>
      </c>
      <c r="C58" s="222" t="s">
        <v>637</v>
      </c>
      <c r="D58" s="223">
        <v>87.4</v>
      </c>
    </row>
    <row r="59" spans="1:4" ht="54" x14ac:dyDescent="0.25">
      <c r="A59" s="205">
        <v>55</v>
      </c>
      <c r="B59" s="221" t="s">
        <v>469</v>
      </c>
      <c r="C59" s="222" t="s">
        <v>684</v>
      </c>
      <c r="D59" s="223">
        <v>79.650000000000006</v>
      </c>
    </row>
    <row r="60" spans="1:4" ht="36" x14ac:dyDescent="0.25">
      <c r="A60" s="205">
        <v>56</v>
      </c>
      <c r="B60" s="221" t="s">
        <v>470</v>
      </c>
      <c r="C60" s="222" t="s">
        <v>685</v>
      </c>
      <c r="D60" s="223">
        <v>41.4</v>
      </c>
    </row>
    <row r="61" spans="1:4" x14ac:dyDescent="0.25">
      <c r="A61" s="205">
        <v>57</v>
      </c>
      <c r="B61" s="221" t="s">
        <v>361</v>
      </c>
      <c r="C61" s="222" t="s">
        <v>667</v>
      </c>
      <c r="D61" s="223">
        <v>103.345</v>
      </c>
    </row>
    <row r="62" spans="1:4" ht="72" x14ac:dyDescent="0.25">
      <c r="A62" s="205">
        <v>58</v>
      </c>
      <c r="B62" s="221" t="s">
        <v>362</v>
      </c>
      <c r="C62" s="222" t="s">
        <v>686</v>
      </c>
      <c r="D62" s="223">
        <v>123.43300000000001</v>
      </c>
    </row>
    <row r="63" spans="1:4" x14ac:dyDescent="0.25">
      <c r="A63" s="205">
        <v>59</v>
      </c>
      <c r="B63" s="221" t="s">
        <v>363</v>
      </c>
      <c r="C63" s="222" t="s">
        <v>687</v>
      </c>
      <c r="D63" s="223">
        <v>73.013000000000005</v>
      </c>
    </row>
    <row r="64" spans="1:4" x14ac:dyDescent="0.25">
      <c r="A64" s="205">
        <v>60</v>
      </c>
      <c r="B64" s="221" t="s">
        <v>364</v>
      </c>
      <c r="C64" s="222" t="s">
        <v>667</v>
      </c>
      <c r="D64" s="223">
        <v>103.72999999999999</v>
      </c>
    </row>
    <row r="65" spans="1:4" x14ac:dyDescent="0.25">
      <c r="A65" s="205">
        <v>61</v>
      </c>
      <c r="B65" s="221" t="s">
        <v>365</v>
      </c>
      <c r="C65" s="222" t="s">
        <v>667</v>
      </c>
      <c r="D65" s="223">
        <v>102.87</v>
      </c>
    </row>
    <row r="66" spans="1:4" x14ac:dyDescent="0.25">
      <c r="A66" s="205">
        <v>62</v>
      </c>
      <c r="B66" s="221" t="s">
        <v>366</v>
      </c>
      <c r="C66" s="222" t="s">
        <v>667</v>
      </c>
      <c r="D66" s="223">
        <v>100.28999999999999</v>
      </c>
    </row>
    <row r="67" spans="1:4" x14ac:dyDescent="0.25">
      <c r="A67" s="205">
        <v>63</v>
      </c>
      <c r="B67" s="221" t="s">
        <v>367</v>
      </c>
      <c r="C67" s="222" t="s">
        <v>667</v>
      </c>
      <c r="D67" s="223">
        <v>94.082999999999998</v>
      </c>
    </row>
    <row r="68" spans="1:4" x14ac:dyDescent="0.25">
      <c r="A68" s="205">
        <v>64</v>
      </c>
      <c r="B68" s="221" t="s">
        <v>368</v>
      </c>
      <c r="C68" s="222" t="s">
        <v>667</v>
      </c>
      <c r="D68" s="223">
        <v>96.5</v>
      </c>
    </row>
    <row r="69" spans="1:4" x14ac:dyDescent="0.25">
      <c r="A69" s="205">
        <v>65</v>
      </c>
      <c r="B69" s="221" t="s">
        <v>688</v>
      </c>
      <c r="C69" s="222" t="s">
        <v>658</v>
      </c>
      <c r="D69" s="223">
        <v>45.559999999999995</v>
      </c>
    </row>
    <row r="70" spans="1:4" x14ac:dyDescent="0.25">
      <c r="A70" s="205">
        <v>66</v>
      </c>
      <c r="B70" s="221" t="s">
        <v>370</v>
      </c>
      <c r="C70" s="222" t="s">
        <v>659</v>
      </c>
      <c r="D70" s="223">
        <v>46.059999999999995</v>
      </c>
    </row>
    <row r="71" spans="1:4" x14ac:dyDescent="0.25">
      <c r="A71" s="205">
        <v>67</v>
      </c>
      <c r="B71" s="221" t="s">
        <v>376</v>
      </c>
      <c r="C71" s="222" t="s">
        <v>680</v>
      </c>
      <c r="D71" s="223">
        <v>78.400000000000006</v>
      </c>
    </row>
    <row r="72" spans="1:4" x14ac:dyDescent="0.25">
      <c r="A72" s="205">
        <v>68</v>
      </c>
      <c r="B72" s="221" t="s">
        <v>689</v>
      </c>
      <c r="C72" s="222" t="s">
        <v>682</v>
      </c>
      <c r="D72" s="223">
        <v>84.5</v>
      </c>
    </row>
    <row r="73" spans="1:4" x14ac:dyDescent="0.25">
      <c r="A73" s="205">
        <v>69</v>
      </c>
      <c r="B73" s="221" t="s">
        <v>646</v>
      </c>
      <c r="C73" s="222" t="s">
        <v>644</v>
      </c>
      <c r="D73" s="223">
        <v>132.80000000000001</v>
      </c>
    </row>
    <row r="74" spans="1:4" x14ac:dyDescent="0.25">
      <c r="A74" s="205">
        <v>70</v>
      </c>
      <c r="B74" s="221" t="s">
        <v>690</v>
      </c>
      <c r="C74" s="222" t="s">
        <v>635</v>
      </c>
      <c r="D74" s="223">
        <v>83.5</v>
      </c>
    </row>
    <row r="75" spans="1:4" x14ac:dyDescent="0.25">
      <c r="A75" s="205">
        <v>71</v>
      </c>
      <c r="B75" s="221" t="s">
        <v>647</v>
      </c>
      <c r="C75" s="222" t="s">
        <v>636</v>
      </c>
      <c r="D75" s="223">
        <v>87.699999999999989</v>
      </c>
    </row>
    <row r="76" spans="1:4" x14ac:dyDescent="0.25">
      <c r="A76" s="205">
        <v>72</v>
      </c>
      <c r="B76" s="221" t="s">
        <v>648</v>
      </c>
      <c r="C76" s="222" t="s">
        <v>637</v>
      </c>
      <c r="D76" s="223">
        <v>92.9</v>
      </c>
    </row>
    <row r="77" spans="1:4" x14ac:dyDescent="0.25">
      <c r="A77" s="205">
        <v>73</v>
      </c>
      <c r="B77" s="221" t="s">
        <v>379</v>
      </c>
      <c r="C77" s="222" t="s">
        <v>635</v>
      </c>
      <c r="D77" s="223">
        <v>80.600000000000009</v>
      </c>
    </row>
    <row r="78" spans="1:4" x14ac:dyDescent="0.25">
      <c r="A78" s="205">
        <v>74</v>
      </c>
      <c r="B78" s="221" t="s">
        <v>380</v>
      </c>
      <c r="C78" s="222" t="s">
        <v>636</v>
      </c>
      <c r="D78" s="223">
        <v>85.199999999999989</v>
      </c>
    </row>
    <row r="79" spans="1:4" x14ac:dyDescent="0.25">
      <c r="A79" s="205">
        <v>75</v>
      </c>
      <c r="B79" s="221" t="s">
        <v>649</v>
      </c>
      <c r="C79" s="222" t="s">
        <v>637</v>
      </c>
      <c r="D79" s="223">
        <v>89.699999999999989</v>
      </c>
    </row>
    <row r="80" spans="1:4" x14ac:dyDescent="0.25">
      <c r="A80" s="205"/>
      <c r="B80" s="206"/>
      <c r="C80" s="212" t="s">
        <v>590</v>
      </c>
      <c r="D80" s="231">
        <f>SUM(D5:D79)</f>
        <v>5811.5199999999995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697</v>
      </c>
      <c r="C3" s="188" t="s">
        <v>571</v>
      </c>
      <c r="D3" s="230">
        <f>'3.2п'!D6</f>
        <v>20.14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6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0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476" t="s">
        <v>586</v>
      </c>
      <c r="B1" s="476"/>
      <c r="C1" s="476"/>
      <c r="D1" s="476"/>
    </row>
    <row r="2" spans="1:4" ht="18" customHeight="1" x14ac:dyDescent="0.25">
      <c r="A2" s="477" t="s">
        <v>654</v>
      </c>
      <c r="B2" s="478"/>
      <c r="C2" s="478"/>
      <c r="D2" s="479"/>
    </row>
    <row r="3" spans="1:4" ht="24" customHeight="1" x14ac:dyDescent="0.25">
      <c r="A3" s="476" t="s">
        <v>699</v>
      </c>
      <c r="B3" s="476"/>
      <c r="C3" s="476"/>
      <c r="D3" s="476"/>
    </row>
    <row r="4" spans="1:4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x14ac:dyDescent="0.25">
      <c r="A5" s="205">
        <v>1</v>
      </c>
      <c r="B5" s="221" t="s">
        <v>500</v>
      </c>
      <c r="C5" s="222" t="s">
        <v>662</v>
      </c>
      <c r="D5" s="223">
        <v>20.14</v>
      </c>
    </row>
    <row r="6" spans="1:4" x14ac:dyDescent="0.25">
      <c r="A6" s="205"/>
      <c r="B6" s="211"/>
      <c r="C6" s="212" t="s">
        <v>590</v>
      </c>
      <c r="D6" s="231">
        <f>SUM(D5:D5)</f>
        <v>20.14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44"/>
  <sheetViews>
    <sheetView workbookViewId="0">
      <selection sqref="A1:D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42" style="220" customWidth="1"/>
    <col min="4" max="4" width="13.109375" style="220" customWidth="1"/>
    <col min="5" max="16384" width="8.88671875" style="220"/>
  </cols>
  <sheetData>
    <row r="1" spans="1:4" x14ac:dyDescent="0.25">
      <c r="A1" s="476" t="s">
        <v>586</v>
      </c>
      <c r="B1" s="476"/>
      <c r="C1" s="476"/>
      <c r="D1" s="476"/>
    </row>
    <row r="2" spans="1:4" ht="18" customHeight="1" x14ac:dyDescent="0.25">
      <c r="A2" s="477" t="s">
        <v>692</v>
      </c>
      <c r="B2" s="478"/>
      <c r="C2" s="478"/>
      <c r="D2" s="479"/>
    </row>
    <row r="3" spans="1:4" ht="34.799999999999997" customHeight="1" x14ac:dyDescent="0.25">
      <c r="A3" s="476" t="s">
        <v>653</v>
      </c>
      <c r="B3" s="476"/>
      <c r="C3" s="476"/>
      <c r="D3" s="476"/>
    </row>
    <row r="4" spans="1:4" x14ac:dyDescent="0.25">
      <c r="A4" s="226" t="s">
        <v>580</v>
      </c>
      <c r="B4" s="227" t="s">
        <v>693</v>
      </c>
      <c r="C4" s="227" t="s">
        <v>691</v>
      </c>
      <c r="D4" s="228" t="s">
        <v>588</v>
      </c>
    </row>
    <row r="5" spans="1:4" ht="36" x14ac:dyDescent="0.25">
      <c r="A5" s="224">
        <v>1</v>
      </c>
      <c r="B5" s="221" t="s">
        <v>484</v>
      </c>
      <c r="C5" s="222" t="s">
        <v>655</v>
      </c>
      <c r="D5" s="225">
        <v>11.56</v>
      </c>
    </row>
    <row r="6" spans="1:4" x14ac:dyDescent="0.25">
      <c r="A6" s="224">
        <v>2</v>
      </c>
      <c r="B6" s="221" t="s">
        <v>487</v>
      </c>
      <c r="C6" s="222" t="s">
        <v>625</v>
      </c>
      <c r="D6" s="225">
        <v>23.28</v>
      </c>
    </row>
    <row r="7" spans="1:4" x14ac:dyDescent="0.25">
      <c r="A7" s="224">
        <v>3</v>
      </c>
      <c r="B7" s="221" t="s">
        <v>488</v>
      </c>
      <c r="C7" s="222" t="s">
        <v>626</v>
      </c>
      <c r="D7" s="225">
        <v>14.625</v>
      </c>
    </row>
    <row r="8" spans="1:4" x14ac:dyDescent="0.25">
      <c r="A8" s="224">
        <v>4</v>
      </c>
      <c r="B8" s="221" t="s">
        <v>489</v>
      </c>
      <c r="C8" s="222" t="s">
        <v>626</v>
      </c>
      <c r="D8" s="225">
        <v>13.26</v>
      </c>
    </row>
    <row r="9" spans="1:4" x14ac:dyDescent="0.25">
      <c r="A9" s="224">
        <v>5</v>
      </c>
      <c r="B9" s="221" t="s">
        <v>490</v>
      </c>
      <c r="C9" s="222" t="s">
        <v>626</v>
      </c>
      <c r="D9" s="225">
        <v>6.24</v>
      </c>
    </row>
    <row r="10" spans="1:4" ht="36" x14ac:dyDescent="0.25">
      <c r="A10" s="224">
        <v>6</v>
      </c>
      <c r="B10" s="221" t="s">
        <v>491</v>
      </c>
      <c r="C10" s="222" t="s">
        <v>627</v>
      </c>
      <c r="D10" s="225">
        <v>14.82</v>
      </c>
    </row>
    <row r="11" spans="1:4" x14ac:dyDescent="0.25">
      <c r="A11" s="224">
        <v>7</v>
      </c>
      <c r="B11" s="221" t="s">
        <v>492</v>
      </c>
      <c r="C11" s="222" t="s">
        <v>658</v>
      </c>
      <c r="D11" s="225">
        <v>4.2</v>
      </c>
    </row>
    <row r="12" spans="1:4" x14ac:dyDescent="0.25">
      <c r="A12" s="224">
        <v>8</v>
      </c>
      <c r="B12" s="221" t="s">
        <v>494</v>
      </c>
      <c r="C12" s="222" t="s">
        <v>659</v>
      </c>
      <c r="D12" s="225">
        <v>4.2</v>
      </c>
    </row>
    <row r="13" spans="1:4" x14ac:dyDescent="0.25">
      <c r="A13" s="224">
        <v>9</v>
      </c>
      <c r="B13" s="221" t="s">
        <v>660</v>
      </c>
      <c r="C13" s="222" t="s">
        <v>661</v>
      </c>
      <c r="D13" s="225">
        <v>2.25</v>
      </c>
    </row>
    <row r="14" spans="1:4" x14ac:dyDescent="0.25">
      <c r="A14" s="224">
        <v>10</v>
      </c>
      <c r="B14" s="221" t="s">
        <v>506</v>
      </c>
      <c r="C14" s="222" t="s">
        <v>664</v>
      </c>
      <c r="D14" s="225">
        <v>12.87</v>
      </c>
    </row>
    <row r="15" spans="1:4" x14ac:dyDescent="0.25">
      <c r="A15" s="224">
        <v>11</v>
      </c>
      <c r="B15" s="221" t="s">
        <v>539</v>
      </c>
      <c r="C15" s="222" t="s">
        <v>666</v>
      </c>
      <c r="D15" s="225">
        <v>4.68</v>
      </c>
    </row>
    <row r="16" spans="1:4" x14ac:dyDescent="0.25">
      <c r="A16" s="224">
        <v>12</v>
      </c>
      <c r="B16" s="221" t="s">
        <v>425</v>
      </c>
      <c r="C16" s="222" t="s">
        <v>667</v>
      </c>
      <c r="D16" s="225">
        <v>11.427</v>
      </c>
    </row>
    <row r="17" spans="1:4" ht="54" x14ac:dyDescent="0.25">
      <c r="A17" s="224">
        <v>13</v>
      </c>
      <c r="B17" s="221" t="s">
        <v>426</v>
      </c>
      <c r="C17" s="222" t="s">
        <v>668</v>
      </c>
      <c r="D17" s="225">
        <v>17.003999999999998</v>
      </c>
    </row>
    <row r="18" spans="1:4" ht="36" x14ac:dyDescent="0.25">
      <c r="A18" s="224">
        <v>14</v>
      </c>
      <c r="B18" s="221" t="s">
        <v>427</v>
      </c>
      <c r="C18" s="222" t="s">
        <v>669</v>
      </c>
      <c r="D18" s="225">
        <v>11.31</v>
      </c>
    </row>
    <row r="19" spans="1:4" x14ac:dyDescent="0.25">
      <c r="A19" s="224">
        <v>15</v>
      </c>
      <c r="B19" s="221" t="s">
        <v>428</v>
      </c>
      <c r="C19" s="222" t="s">
        <v>667</v>
      </c>
      <c r="D19" s="225">
        <v>11.427</v>
      </c>
    </row>
    <row r="20" spans="1:4" ht="72" x14ac:dyDescent="0.25">
      <c r="A20" s="224">
        <v>16</v>
      </c>
      <c r="B20" s="221" t="s">
        <v>429</v>
      </c>
      <c r="C20" s="222" t="s">
        <v>670</v>
      </c>
      <c r="D20" s="225">
        <v>13.181999999999999</v>
      </c>
    </row>
    <row r="21" spans="1:4" ht="72" x14ac:dyDescent="0.25">
      <c r="A21" s="224">
        <v>17</v>
      </c>
      <c r="B21" s="221" t="s">
        <v>430</v>
      </c>
      <c r="C21" s="222" t="s">
        <v>670</v>
      </c>
      <c r="D21" s="225">
        <v>10.256999999999998</v>
      </c>
    </row>
    <row r="22" spans="1:4" x14ac:dyDescent="0.25">
      <c r="A22" s="224">
        <v>18</v>
      </c>
      <c r="B22" s="221" t="s">
        <v>431</v>
      </c>
      <c r="C22" s="222" t="s">
        <v>667</v>
      </c>
      <c r="D22" s="225">
        <v>14.04</v>
      </c>
    </row>
    <row r="23" spans="1:4" x14ac:dyDescent="0.25">
      <c r="A23" s="224">
        <v>19</v>
      </c>
      <c r="B23" s="221" t="s">
        <v>432</v>
      </c>
      <c r="C23" s="222" t="s">
        <v>641</v>
      </c>
      <c r="D23" s="225">
        <v>19.5</v>
      </c>
    </row>
    <row r="24" spans="1:4" x14ac:dyDescent="0.25">
      <c r="A24" s="224">
        <v>20</v>
      </c>
      <c r="B24" s="221" t="s">
        <v>671</v>
      </c>
      <c r="C24" s="222" t="s">
        <v>672</v>
      </c>
      <c r="D24" s="225">
        <v>2.48</v>
      </c>
    </row>
    <row r="25" spans="1:4" x14ac:dyDescent="0.25">
      <c r="A25" s="224">
        <v>21</v>
      </c>
      <c r="B25" s="221" t="s">
        <v>434</v>
      </c>
      <c r="C25" s="222" t="s">
        <v>673</v>
      </c>
      <c r="D25" s="225">
        <v>0.56999999999999984</v>
      </c>
    </row>
    <row r="26" spans="1:4" x14ac:dyDescent="0.25">
      <c r="A26" s="224">
        <v>22</v>
      </c>
      <c r="B26" s="221" t="s">
        <v>435</v>
      </c>
      <c r="C26" s="222" t="s">
        <v>674</v>
      </c>
      <c r="D26" s="225">
        <v>7.1369999999999996</v>
      </c>
    </row>
    <row r="27" spans="1:4" x14ac:dyDescent="0.25">
      <c r="A27" s="224">
        <v>23</v>
      </c>
      <c r="B27" s="221" t="s">
        <v>438</v>
      </c>
      <c r="C27" s="222" t="s">
        <v>675</v>
      </c>
      <c r="D27" s="225">
        <v>4.68</v>
      </c>
    </row>
    <row r="28" spans="1:4" x14ac:dyDescent="0.25">
      <c r="A28" s="224">
        <v>24</v>
      </c>
      <c r="B28" s="221" t="s">
        <v>439</v>
      </c>
      <c r="C28" s="222" t="s">
        <v>658</v>
      </c>
      <c r="D28" s="225">
        <v>1.47</v>
      </c>
    </row>
    <row r="29" spans="1:4" ht="36" x14ac:dyDescent="0.25">
      <c r="A29" s="224">
        <v>25</v>
      </c>
      <c r="B29" s="221" t="s">
        <v>444</v>
      </c>
      <c r="C29" s="222" t="s">
        <v>677</v>
      </c>
      <c r="D29" s="225">
        <v>6.55</v>
      </c>
    </row>
    <row r="30" spans="1:4" x14ac:dyDescent="0.25">
      <c r="A30" s="224">
        <v>26</v>
      </c>
      <c r="B30" s="221" t="s">
        <v>447</v>
      </c>
      <c r="C30" s="222" t="s">
        <v>658</v>
      </c>
      <c r="D30" s="225">
        <v>4.2</v>
      </c>
    </row>
    <row r="31" spans="1:4" x14ac:dyDescent="0.25">
      <c r="A31" s="224">
        <v>27</v>
      </c>
      <c r="B31" s="221" t="s">
        <v>448</v>
      </c>
      <c r="C31" s="222" t="s">
        <v>659</v>
      </c>
      <c r="D31" s="225">
        <v>4.2</v>
      </c>
    </row>
    <row r="32" spans="1:4" x14ac:dyDescent="0.25">
      <c r="A32" s="224">
        <v>28</v>
      </c>
      <c r="B32" s="221" t="s">
        <v>678</v>
      </c>
      <c r="C32" s="222" t="s">
        <v>679</v>
      </c>
      <c r="D32" s="225">
        <v>6.63</v>
      </c>
    </row>
    <row r="33" spans="1:4" ht="54" x14ac:dyDescent="0.25">
      <c r="A33" s="224">
        <v>29</v>
      </c>
      <c r="B33" s="221" t="s">
        <v>469</v>
      </c>
      <c r="C33" s="222" t="s">
        <v>684</v>
      </c>
      <c r="D33" s="225">
        <v>32.450000000000003</v>
      </c>
    </row>
    <row r="34" spans="1:4" x14ac:dyDescent="0.25">
      <c r="A34" s="224">
        <v>30</v>
      </c>
      <c r="B34" s="221" t="s">
        <v>361</v>
      </c>
      <c r="C34" s="222" t="s">
        <v>667</v>
      </c>
      <c r="D34" s="225">
        <v>6.044999999999999</v>
      </c>
    </row>
    <row r="35" spans="1:4" ht="72" x14ac:dyDescent="0.25">
      <c r="A35" s="224">
        <v>31</v>
      </c>
      <c r="B35" s="221" t="s">
        <v>362</v>
      </c>
      <c r="C35" s="222" t="s">
        <v>686</v>
      </c>
      <c r="D35" s="225">
        <v>13.766999999999998</v>
      </c>
    </row>
    <row r="36" spans="1:4" x14ac:dyDescent="0.25">
      <c r="A36" s="224">
        <v>32</v>
      </c>
      <c r="B36" s="221" t="s">
        <v>363</v>
      </c>
      <c r="C36" s="222" t="s">
        <v>687</v>
      </c>
      <c r="D36" s="225">
        <v>9.0869999999999997</v>
      </c>
    </row>
    <row r="37" spans="1:4" x14ac:dyDescent="0.25">
      <c r="A37" s="224">
        <v>33</v>
      </c>
      <c r="B37" s="221" t="s">
        <v>364</v>
      </c>
      <c r="C37" s="222" t="s">
        <v>667</v>
      </c>
      <c r="D37" s="225">
        <v>12.479999999999999</v>
      </c>
    </row>
    <row r="38" spans="1:4" x14ac:dyDescent="0.25">
      <c r="A38" s="224">
        <v>34</v>
      </c>
      <c r="B38" s="221" t="s">
        <v>365</v>
      </c>
      <c r="C38" s="222" t="s">
        <v>667</v>
      </c>
      <c r="D38" s="225">
        <v>6.24</v>
      </c>
    </row>
    <row r="39" spans="1:4" x14ac:dyDescent="0.25">
      <c r="A39" s="224">
        <v>35</v>
      </c>
      <c r="B39" s="221" t="s">
        <v>366</v>
      </c>
      <c r="C39" s="222" t="s">
        <v>667</v>
      </c>
      <c r="D39" s="225">
        <v>6.24</v>
      </c>
    </row>
    <row r="40" spans="1:4" x14ac:dyDescent="0.25">
      <c r="A40" s="224">
        <v>36</v>
      </c>
      <c r="B40" s="221" t="s">
        <v>367</v>
      </c>
      <c r="C40" s="222" t="s">
        <v>667</v>
      </c>
      <c r="D40" s="225">
        <v>11.427</v>
      </c>
    </row>
    <row r="41" spans="1:4" x14ac:dyDescent="0.25">
      <c r="A41" s="224">
        <v>37</v>
      </c>
      <c r="B41" s="221" t="s">
        <v>368</v>
      </c>
      <c r="C41" s="222" t="s">
        <v>667</v>
      </c>
      <c r="D41" s="225">
        <v>10.140000000000002</v>
      </c>
    </row>
    <row r="42" spans="1:4" x14ac:dyDescent="0.25">
      <c r="A42" s="224">
        <v>38</v>
      </c>
      <c r="B42" s="221" t="s">
        <v>688</v>
      </c>
      <c r="C42" s="222" t="s">
        <v>658</v>
      </c>
      <c r="D42" s="225">
        <v>4.2</v>
      </c>
    </row>
    <row r="43" spans="1:4" x14ac:dyDescent="0.25">
      <c r="A43" s="224">
        <v>39</v>
      </c>
      <c r="B43" s="221" t="s">
        <v>370</v>
      </c>
      <c r="C43" s="222" t="s">
        <v>659</v>
      </c>
      <c r="D43" s="225">
        <v>4.2</v>
      </c>
    </row>
    <row r="44" spans="1:4" x14ac:dyDescent="0.25">
      <c r="A44" s="205"/>
      <c r="B44" s="211"/>
      <c r="C44" s="212" t="s">
        <v>590</v>
      </c>
      <c r="D44" s="207">
        <f>SUM(D5:D43)</f>
        <v>374.32499999999999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76" t="s">
        <v>586</v>
      </c>
      <c r="B1" s="476"/>
      <c r="C1" s="476"/>
      <c r="D1" s="476"/>
      <c r="E1" s="476"/>
      <c r="F1" s="476"/>
      <c r="G1" s="476"/>
      <c r="H1" s="476"/>
      <c r="I1" s="476"/>
      <c r="J1" s="476"/>
      <c r="K1" s="254"/>
    </row>
    <row r="2" spans="1:11" ht="18" customHeight="1" x14ac:dyDescent="0.25">
      <c r="A2" s="232" t="s">
        <v>580</v>
      </c>
      <c r="B2" s="476" t="s">
        <v>789</v>
      </c>
      <c r="C2" s="476"/>
      <c r="D2" s="476"/>
      <c r="E2" s="476"/>
      <c r="F2" s="476"/>
      <c r="G2" s="476"/>
      <c r="H2" s="476"/>
      <c r="I2" s="255" t="s">
        <v>583</v>
      </c>
      <c r="J2" s="255" t="s">
        <v>584</v>
      </c>
      <c r="K2" s="252"/>
    </row>
    <row r="3" spans="1:11" ht="36" customHeight="1" x14ac:dyDescent="0.25">
      <c r="A3" s="232">
        <v>1</v>
      </c>
      <c r="B3" s="483" t="s">
        <v>786</v>
      </c>
      <c r="C3" s="483"/>
      <c r="D3" s="483"/>
      <c r="E3" s="483"/>
      <c r="F3" s="483"/>
      <c r="G3" s="483"/>
      <c r="H3" s="483"/>
      <c r="I3" s="253" t="s">
        <v>571</v>
      </c>
      <c r="J3" s="256">
        <f>C35+G40+K31</f>
        <v>9286.130000000001</v>
      </c>
      <c r="K3" s="252"/>
    </row>
    <row r="4" spans="1:11" ht="37.200000000000003" customHeight="1" x14ac:dyDescent="0.25">
      <c r="A4" s="232">
        <v>2</v>
      </c>
      <c r="B4" s="484" t="s">
        <v>787</v>
      </c>
      <c r="C4" s="484"/>
      <c r="D4" s="484"/>
      <c r="E4" s="484"/>
      <c r="F4" s="484"/>
      <c r="G4" s="484"/>
      <c r="H4" s="484"/>
      <c r="I4" s="253" t="s">
        <v>788</v>
      </c>
      <c r="J4" s="253">
        <v>30.25</v>
      </c>
      <c r="K4" s="252"/>
    </row>
    <row r="5" spans="1:11" ht="8.4" customHeight="1" x14ac:dyDescent="0.25">
      <c r="A5" s="482"/>
      <c r="B5" s="482"/>
      <c r="C5" s="482"/>
      <c r="D5" s="482"/>
      <c r="E5" s="482"/>
      <c r="F5" s="482"/>
      <c r="G5" s="482"/>
      <c r="H5" s="482"/>
      <c r="I5" s="482"/>
      <c r="J5" s="482"/>
      <c r="K5" s="482"/>
    </row>
    <row r="6" spans="1:11" x14ac:dyDescent="0.25">
      <c r="A6" s="226" t="s">
        <v>580</v>
      </c>
      <c r="B6" s="227" t="s">
        <v>693</v>
      </c>
      <c r="C6" s="228" t="s">
        <v>588</v>
      </c>
      <c r="D6" s="480"/>
      <c r="E6" s="249" t="s">
        <v>580</v>
      </c>
      <c r="F6" s="250" t="s">
        <v>693</v>
      </c>
      <c r="G6" s="251" t="s">
        <v>588</v>
      </c>
      <c r="H6" s="481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481"/>
      <c r="E7" s="243">
        <v>29</v>
      </c>
      <c r="F7" s="234" t="s">
        <v>729</v>
      </c>
      <c r="G7" s="244">
        <v>48</v>
      </c>
      <c r="H7" s="481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481"/>
      <c r="E8" s="245">
        <v>30</v>
      </c>
      <c r="F8" s="235" t="s">
        <v>730</v>
      </c>
      <c r="G8" s="246">
        <v>110.2</v>
      </c>
      <c r="H8" s="481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481"/>
      <c r="E9" s="243">
        <v>31</v>
      </c>
      <c r="F9" s="234" t="s">
        <v>731</v>
      </c>
      <c r="G9" s="244">
        <v>76</v>
      </c>
      <c r="H9" s="481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481"/>
      <c r="E10" s="245">
        <v>32</v>
      </c>
      <c r="F10" s="235" t="s">
        <v>732</v>
      </c>
      <c r="G10" s="246">
        <v>108.3</v>
      </c>
      <c r="H10" s="481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481"/>
      <c r="E11" s="243">
        <v>33</v>
      </c>
      <c r="F11" s="234" t="s">
        <v>733</v>
      </c>
      <c r="G11" s="244">
        <v>43.9</v>
      </c>
      <c r="H11" s="481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481"/>
      <c r="E12" s="245">
        <v>34</v>
      </c>
      <c r="F12" s="235" t="s">
        <v>734</v>
      </c>
      <c r="G12" s="246">
        <v>127.2</v>
      </c>
      <c r="H12" s="481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481"/>
      <c r="E13" s="243">
        <v>35</v>
      </c>
      <c r="F13" s="234" t="s">
        <v>735</v>
      </c>
      <c r="G13" s="244">
        <v>92.5</v>
      </c>
      <c r="H13" s="481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481"/>
      <c r="E14" s="245">
        <v>36</v>
      </c>
      <c r="F14" s="237" t="s">
        <v>736</v>
      </c>
      <c r="G14" s="238">
        <v>287.7</v>
      </c>
      <c r="H14" s="481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481"/>
      <c r="E15" s="243">
        <v>37</v>
      </c>
      <c r="F15" s="236" t="s">
        <v>737</v>
      </c>
      <c r="G15" s="239">
        <v>80.3</v>
      </c>
      <c r="H15" s="481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481"/>
      <c r="E16" s="245">
        <v>38</v>
      </c>
      <c r="F16" s="237" t="s">
        <v>738</v>
      </c>
      <c r="G16" s="238">
        <v>266.39999999999998</v>
      </c>
      <c r="H16" s="481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481"/>
      <c r="E17" s="243">
        <v>39</v>
      </c>
      <c r="F17" s="236" t="s">
        <v>739</v>
      </c>
      <c r="G17" s="239">
        <v>106.3</v>
      </c>
      <c r="H17" s="481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481"/>
      <c r="E18" s="245">
        <v>40</v>
      </c>
      <c r="F18" s="237" t="s">
        <v>740</v>
      </c>
      <c r="G18" s="238">
        <v>104.5</v>
      </c>
      <c r="H18" s="481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481"/>
      <c r="E19" s="243">
        <v>41</v>
      </c>
      <c r="F19" s="236" t="s">
        <v>741</v>
      </c>
      <c r="G19" s="239">
        <v>102.3</v>
      </c>
      <c r="H19" s="481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481"/>
      <c r="E20" s="245">
        <v>42</v>
      </c>
      <c r="F20" s="237" t="s">
        <v>742</v>
      </c>
      <c r="G20" s="238">
        <v>105.3</v>
      </c>
      <c r="H20" s="481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481"/>
      <c r="E21" s="243">
        <v>43</v>
      </c>
      <c r="F21" s="236" t="s">
        <v>743</v>
      </c>
      <c r="G21" s="239">
        <v>173.9</v>
      </c>
      <c r="H21" s="481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481"/>
      <c r="E22" s="245">
        <v>44</v>
      </c>
      <c r="F22" s="237" t="s">
        <v>744</v>
      </c>
      <c r="G22" s="238">
        <v>78.7</v>
      </c>
      <c r="H22" s="481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481"/>
      <c r="E23" s="243">
        <v>45</v>
      </c>
      <c r="F23" s="236" t="s">
        <v>745</v>
      </c>
      <c r="G23" s="239">
        <v>73.8</v>
      </c>
      <c r="H23" s="481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481"/>
      <c r="E24" s="245">
        <v>46</v>
      </c>
      <c r="F24" s="237" t="s">
        <v>746</v>
      </c>
      <c r="G24" s="238">
        <v>103.6</v>
      </c>
      <c r="H24" s="481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481"/>
      <c r="E25" s="243">
        <v>47</v>
      </c>
      <c r="F25" s="236" t="s">
        <v>747</v>
      </c>
      <c r="G25" s="239">
        <v>94.6</v>
      </c>
      <c r="H25" s="481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481"/>
      <c r="E26" s="245">
        <v>48</v>
      </c>
      <c r="F26" s="237" t="s">
        <v>748</v>
      </c>
      <c r="G26" s="238">
        <v>15</v>
      </c>
      <c r="H26" s="481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481"/>
      <c r="E27" s="243">
        <v>49</v>
      </c>
      <c r="F27" s="236" t="s">
        <v>749</v>
      </c>
      <c r="G27" s="239">
        <v>10</v>
      </c>
      <c r="H27" s="481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481"/>
      <c r="E28" s="245">
        <v>50</v>
      </c>
      <c r="F28" s="237" t="s">
        <v>750</v>
      </c>
      <c r="G28" s="238">
        <v>10</v>
      </c>
      <c r="H28" s="481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481"/>
      <c r="E29" s="243">
        <v>51</v>
      </c>
      <c r="F29" s="236" t="s">
        <v>751</v>
      </c>
      <c r="G29" s="239">
        <v>170</v>
      </c>
      <c r="H29" s="481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481"/>
      <c r="E30" s="245">
        <v>52</v>
      </c>
      <c r="F30" s="237" t="s">
        <v>752</v>
      </c>
      <c r="G30" s="238">
        <v>90.38</v>
      </c>
      <c r="H30" s="481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481"/>
      <c r="E31" s="243">
        <v>53</v>
      </c>
      <c r="F31" s="236" t="s">
        <v>753</v>
      </c>
      <c r="G31" s="239">
        <v>93.81</v>
      </c>
      <c r="H31" s="481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481"/>
      <c r="E32" s="245">
        <v>54</v>
      </c>
      <c r="F32" s="237" t="s">
        <v>754</v>
      </c>
      <c r="G32" s="238">
        <v>93.37</v>
      </c>
      <c r="H32" s="481"/>
      <c r="I32" s="480"/>
      <c r="J32" s="480"/>
      <c r="K32" s="480"/>
    </row>
    <row r="33" spans="1:11" x14ac:dyDescent="0.25">
      <c r="A33" s="224">
        <v>27</v>
      </c>
      <c r="B33" s="221" t="s">
        <v>727</v>
      </c>
      <c r="C33" s="225">
        <v>82.94</v>
      </c>
      <c r="D33" s="481"/>
      <c r="E33" s="243">
        <v>55</v>
      </c>
      <c r="F33" s="236" t="s">
        <v>755</v>
      </c>
      <c r="G33" s="239">
        <f>82+107.45</f>
        <v>189.45</v>
      </c>
      <c r="H33" s="481"/>
      <c r="I33" s="481"/>
      <c r="J33" s="481"/>
      <c r="K33" s="481"/>
    </row>
    <row r="34" spans="1:11" x14ac:dyDescent="0.25">
      <c r="A34" s="224">
        <v>28</v>
      </c>
      <c r="B34" s="221" t="s">
        <v>728</v>
      </c>
      <c r="C34" s="225">
        <v>71.62</v>
      </c>
      <c r="D34" s="481"/>
      <c r="E34" s="245">
        <v>56</v>
      </c>
      <c r="F34" s="237" t="s">
        <v>756</v>
      </c>
      <c r="G34" s="238">
        <v>130.38</v>
      </c>
      <c r="H34" s="481"/>
      <c r="I34" s="481"/>
      <c r="J34" s="481"/>
      <c r="K34" s="481"/>
    </row>
    <row r="35" spans="1:11" x14ac:dyDescent="0.25">
      <c r="A35" s="205"/>
      <c r="B35" s="212" t="s">
        <v>590</v>
      </c>
      <c r="C35" s="207">
        <f>SUM(C7:C34)</f>
        <v>3113.3399999999997</v>
      </c>
      <c r="D35" s="481"/>
      <c r="E35" s="243">
        <v>57</v>
      </c>
      <c r="F35" s="236" t="s">
        <v>757</v>
      </c>
      <c r="G35" s="239">
        <v>90.9</v>
      </c>
      <c r="H35" s="481"/>
      <c r="I35" s="481"/>
      <c r="J35" s="481"/>
      <c r="K35" s="481"/>
    </row>
    <row r="36" spans="1:11" x14ac:dyDescent="0.25">
      <c r="A36" s="480"/>
      <c r="B36" s="480"/>
      <c r="C36" s="480"/>
      <c r="D36" s="481"/>
      <c r="E36" s="245">
        <v>58</v>
      </c>
      <c r="F36" s="237" t="s">
        <v>758</v>
      </c>
      <c r="G36" s="238">
        <v>86.81</v>
      </c>
      <c r="H36" s="481"/>
      <c r="I36" s="481"/>
      <c r="J36" s="481"/>
      <c r="K36" s="481"/>
    </row>
    <row r="37" spans="1:11" x14ac:dyDescent="0.25">
      <c r="A37" s="481"/>
      <c r="B37" s="481"/>
      <c r="C37" s="481"/>
      <c r="D37" s="481"/>
      <c r="E37" s="243">
        <v>59</v>
      </c>
      <c r="F37" s="236" t="s">
        <v>759</v>
      </c>
      <c r="G37" s="239">
        <v>91.84</v>
      </c>
      <c r="H37" s="481"/>
      <c r="I37" s="481"/>
      <c r="J37" s="481"/>
      <c r="K37" s="481"/>
    </row>
    <row r="38" spans="1:11" x14ac:dyDescent="0.25">
      <c r="A38" s="481"/>
      <c r="B38" s="481"/>
      <c r="C38" s="481"/>
      <c r="D38" s="481"/>
      <c r="E38" s="245">
        <v>60</v>
      </c>
      <c r="F38" s="237" t="s">
        <v>760</v>
      </c>
      <c r="G38" s="238">
        <v>133.22999999999999</v>
      </c>
      <c r="H38" s="481"/>
      <c r="I38" s="481"/>
      <c r="J38" s="481"/>
      <c r="K38" s="481"/>
    </row>
    <row r="39" spans="1:11" x14ac:dyDescent="0.25">
      <c r="A39" s="481"/>
      <c r="B39" s="481"/>
      <c r="C39" s="481"/>
      <c r="D39" s="481"/>
      <c r="E39" s="243">
        <v>61</v>
      </c>
      <c r="F39" s="236" t="s">
        <v>761</v>
      </c>
      <c r="G39" s="239">
        <v>70</v>
      </c>
      <c r="H39" s="481"/>
      <c r="I39" s="481"/>
      <c r="J39" s="481"/>
      <c r="K39" s="481"/>
    </row>
    <row r="40" spans="1:11" x14ac:dyDescent="0.25">
      <c r="A40" s="481"/>
      <c r="B40" s="481"/>
      <c r="C40" s="481"/>
      <c r="D40" s="481"/>
      <c r="E40" s="205"/>
      <c r="F40" s="212" t="s">
        <v>590</v>
      </c>
      <c r="G40" s="207">
        <f>SUM(G7:G39)</f>
        <v>3458.67</v>
      </c>
      <c r="H40" s="481"/>
      <c r="I40" s="481"/>
      <c r="J40" s="481"/>
      <c r="K40" s="481"/>
    </row>
  </sheetData>
  <mergeCells count="9">
    <mergeCell ref="B2:H2"/>
    <mergeCell ref="A1:J1"/>
    <mergeCell ref="I32:K40"/>
    <mergeCell ref="H6:H40"/>
    <mergeCell ref="D6:D40"/>
    <mergeCell ref="A36:C40"/>
    <mergeCell ref="A5:K5"/>
    <mergeCell ref="B3:H3"/>
    <mergeCell ref="B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7"/>
  <sheetViews>
    <sheetView zoomScale="40" zoomScaleNormal="40" workbookViewId="0">
      <selection activeCell="A18" sqref="A18:XFD63"/>
    </sheetView>
  </sheetViews>
  <sheetFormatPr defaultRowHeight="18" x14ac:dyDescent="0.25"/>
  <cols>
    <col min="1" max="1" width="9" style="220" customWidth="1"/>
    <col min="2" max="2" width="10.7773437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76" t="s">
        <v>586</v>
      </c>
      <c r="B1" s="476"/>
      <c r="C1" s="476"/>
      <c r="D1" s="476"/>
      <c r="E1" s="476"/>
      <c r="F1" s="476"/>
      <c r="G1" s="476"/>
      <c r="H1" s="476"/>
      <c r="I1" s="476"/>
      <c r="J1" s="476"/>
      <c r="K1" s="486"/>
    </row>
    <row r="2" spans="1:11" ht="18" customHeight="1" x14ac:dyDescent="0.25">
      <c r="A2" s="360" t="s">
        <v>580</v>
      </c>
      <c r="B2" s="476" t="s">
        <v>789</v>
      </c>
      <c r="C2" s="476"/>
      <c r="D2" s="476"/>
      <c r="E2" s="476"/>
      <c r="F2" s="476"/>
      <c r="G2" s="476"/>
      <c r="H2" s="476"/>
      <c r="I2" s="255" t="s">
        <v>583</v>
      </c>
      <c r="J2" s="255" t="s">
        <v>584</v>
      </c>
      <c r="K2" s="486"/>
    </row>
    <row r="3" spans="1:11" ht="36" customHeight="1" x14ac:dyDescent="0.25">
      <c r="A3" s="360">
        <v>1</v>
      </c>
      <c r="B3" s="483" t="s">
        <v>1505</v>
      </c>
      <c r="C3" s="483"/>
      <c r="D3" s="483"/>
      <c r="E3" s="483"/>
      <c r="F3" s="483"/>
      <c r="G3" s="483"/>
      <c r="H3" s="483"/>
      <c r="I3" s="253" t="s">
        <v>571</v>
      </c>
      <c r="J3" s="256">
        <f>C8+G17+K15</f>
        <v>81.929999999999993</v>
      </c>
      <c r="K3" s="486"/>
    </row>
    <row r="4" spans="1:11" ht="8.4" customHeight="1" x14ac:dyDescent="0.25">
      <c r="A4" s="482"/>
      <c r="B4" s="482"/>
      <c r="C4" s="482"/>
      <c r="D4" s="482"/>
      <c r="E4" s="482"/>
      <c r="F4" s="482"/>
      <c r="G4" s="482"/>
      <c r="H4" s="482"/>
      <c r="I4" s="482"/>
      <c r="J4" s="482"/>
      <c r="K4" s="482"/>
    </row>
    <row r="5" spans="1:11" x14ac:dyDescent="0.25">
      <c r="A5" s="226" t="s">
        <v>580</v>
      </c>
      <c r="B5" s="227" t="s">
        <v>693</v>
      </c>
      <c r="C5" s="228" t="s">
        <v>588</v>
      </c>
      <c r="D5" s="480"/>
      <c r="E5" s="249" t="s">
        <v>580</v>
      </c>
      <c r="F5" s="250" t="s">
        <v>693</v>
      </c>
      <c r="G5" s="251" t="s">
        <v>588</v>
      </c>
      <c r="H5" s="485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487</v>
      </c>
      <c r="C6" s="244">
        <v>7.06</v>
      </c>
      <c r="D6" s="481"/>
      <c r="E6" s="236" t="s">
        <v>1422</v>
      </c>
      <c r="F6" s="236" t="s">
        <v>425</v>
      </c>
      <c r="G6" s="239">
        <v>4.22</v>
      </c>
      <c r="H6" s="485"/>
      <c r="I6" s="237" t="s">
        <v>1503</v>
      </c>
      <c r="J6" s="237" t="s">
        <v>361</v>
      </c>
      <c r="K6" s="238">
        <v>4.22</v>
      </c>
    </row>
    <row r="7" spans="1:11" x14ac:dyDescent="0.25">
      <c r="A7" s="224">
        <v>2</v>
      </c>
      <c r="B7" s="235" t="s">
        <v>488</v>
      </c>
      <c r="C7" s="246">
        <v>5.0999999999999996</v>
      </c>
      <c r="D7" s="481"/>
      <c r="E7" s="237" t="s">
        <v>1495</v>
      </c>
      <c r="F7" s="237" t="s">
        <v>426</v>
      </c>
      <c r="G7" s="238">
        <v>5.78</v>
      </c>
      <c r="H7" s="485"/>
      <c r="I7" s="236" t="s">
        <v>1451</v>
      </c>
      <c r="J7" s="236" t="s">
        <v>362</v>
      </c>
      <c r="K7" s="239">
        <v>6.62</v>
      </c>
    </row>
    <row r="8" spans="1:11" x14ac:dyDescent="0.25">
      <c r="A8" s="205"/>
      <c r="B8" s="212" t="s">
        <v>590</v>
      </c>
      <c r="C8" s="364">
        <f>SUM(C6:C7)</f>
        <v>12.16</v>
      </c>
      <c r="D8" s="481"/>
      <c r="E8" s="236" t="s">
        <v>1496</v>
      </c>
      <c r="F8" s="236" t="s">
        <v>427</v>
      </c>
      <c r="G8" s="239">
        <v>1.56</v>
      </c>
      <c r="H8" s="485"/>
      <c r="I8" s="237" t="s">
        <v>1452</v>
      </c>
      <c r="J8" s="237" t="s">
        <v>363</v>
      </c>
      <c r="K8" s="238">
        <v>1.56</v>
      </c>
    </row>
    <row r="9" spans="1:11" x14ac:dyDescent="0.25">
      <c r="A9" s="480"/>
      <c r="B9" s="480"/>
      <c r="C9" s="480"/>
      <c r="D9" s="481"/>
      <c r="E9" s="237" t="s">
        <v>822</v>
      </c>
      <c r="F9" s="237" t="s">
        <v>428</v>
      </c>
      <c r="G9" s="238">
        <v>4.22</v>
      </c>
      <c r="H9" s="485"/>
      <c r="I9" s="236" t="s">
        <v>1453</v>
      </c>
      <c r="J9" s="236" t="s">
        <v>364</v>
      </c>
      <c r="K9" s="239">
        <v>3.96</v>
      </c>
    </row>
    <row r="10" spans="1:11" x14ac:dyDescent="0.25">
      <c r="A10" s="481"/>
      <c r="B10" s="481"/>
      <c r="C10" s="481"/>
      <c r="D10" s="481"/>
      <c r="E10" s="236" t="s">
        <v>1497</v>
      </c>
      <c r="F10" s="236" t="s">
        <v>429</v>
      </c>
      <c r="G10" s="239">
        <v>3.24</v>
      </c>
      <c r="H10" s="485"/>
      <c r="I10" s="237" t="s">
        <v>1454</v>
      </c>
      <c r="J10" s="237" t="s">
        <v>365</v>
      </c>
      <c r="K10" s="238">
        <v>4.22</v>
      </c>
    </row>
    <row r="11" spans="1:11" x14ac:dyDescent="0.25">
      <c r="A11" s="481"/>
      <c r="B11" s="481"/>
      <c r="C11" s="481"/>
      <c r="D11" s="481"/>
      <c r="E11" s="237" t="s">
        <v>1498</v>
      </c>
      <c r="F11" s="237" t="s">
        <v>430</v>
      </c>
      <c r="G11" s="238">
        <v>4.22</v>
      </c>
      <c r="H11" s="485"/>
      <c r="I11" s="236" t="s">
        <v>1455</v>
      </c>
      <c r="J11" s="236" t="s">
        <v>366</v>
      </c>
      <c r="K11" s="239">
        <v>4.2</v>
      </c>
    </row>
    <row r="12" spans="1:11" x14ac:dyDescent="0.25">
      <c r="A12" s="481"/>
      <c r="B12" s="481"/>
      <c r="C12" s="481"/>
      <c r="D12" s="481"/>
      <c r="E12" s="236" t="s">
        <v>1499</v>
      </c>
      <c r="F12" s="236" t="s">
        <v>431</v>
      </c>
      <c r="G12" s="239">
        <v>3.9</v>
      </c>
      <c r="H12" s="485"/>
      <c r="I12" s="237" t="s">
        <v>1456</v>
      </c>
      <c r="J12" s="237" t="s">
        <v>367</v>
      </c>
      <c r="K12" s="238">
        <v>4.22</v>
      </c>
    </row>
    <row r="13" spans="1:11" x14ac:dyDescent="0.25">
      <c r="A13" s="481"/>
      <c r="B13" s="481"/>
      <c r="C13" s="481"/>
      <c r="D13" s="481"/>
      <c r="E13" s="237" t="s">
        <v>806</v>
      </c>
      <c r="F13" s="237" t="s">
        <v>435</v>
      </c>
      <c r="G13" s="238">
        <v>1.5</v>
      </c>
      <c r="H13" s="485"/>
      <c r="I13" s="236" t="s">
        <v>1457</v>
      </c>
      <c r="J13" s="236" t="s">
        <v>368</v>
      </c>
      <c r="K13" s="239">
        <v>2.78</v>
      </c>
    </row>
    <row r="14" spans="1:11" x14ac:dyDescent="0.25">
      <c r="A14" s="481"/>
      <c r="B14" s="481"/>
      <c r="C14" s="481"/>
      <c r="D14" s="481"/>
      <c r="E14" s="236" t="s">
        <v>1500</v>
      </c>
      <c r="F14" s="236" t="s">
        <v>438</v>
      </c>
      <c r="G14" s="239">
        <v>1.42</v>
      </c>
      <c r="H14" s="485"/>
      <c r="I14" s="237" t="s">
        <v>1458</v>
      </c>
      <c r="J14" s="237" t="s">
        <v>371</v>
      </c>
      <c r="K14" s="238">
        <v>5.96</v>
      </c>
    </row>
    <row r="15" spans="1:11" x14ac:dyDescent="0.25">
      <c r="A15" s="481"/>
      <c r="B15" s="481"/>
      <c r="C15" s="481"/>
      <c r="D15" s="481"/>
      <c r="E15" s="237" t="s">
        <v>1501</v>
      </c>
      <c r="F15" s="237" t="s">
        <v>439</v>
      </c>
      <c r="G15" s="238">
        <v>0.65</v>
      </c>
      <c r="H15" s="485"/>
      <c r="I15" s="243"/>
      <c r="J15" s="212" t="s">
        <v>590</v>
      </c>
      <c r="K15" s="239">
        <f>SUM(K6:K14)</f>
        <v>37.739999999999995</v>
      </c>
    </row>
    <row r="16" spans="1:11" x14ac:dyDescent="0.25">
      <c r="A16" s="481"/>
      <c r="B16" s="481"/>
      <c r="C16" s="481"/>
      <c r="D16" s="481"/>
      <c r="E16" s="236" t="s">
        <v>1502</v>
      </c>
      <c r="F16" s="236" t="s">
        <v>444</v>
      </c>
      <c r="G16" s="239">
        <v>1.32</v>
      </c>
      <c r="H16" s="485"/>
      <c r="I16" s="480"/>
      <c r="J16" s="480"/>
      <c r="K16" s="480"/>
    </row>
    <row r="17" spans="1:11" x14ac:dyDescent="0.25">
      <c r="A17" s="481"/>
      <c r="B17" s="481"/>
      <c r="C17" s="481"/>
      <c r="D17" s="481"/>
      <c r="F17" s="212" t="s">
        <v>590</v>
      </c>
      <c r="G17" s="239">
        <f>SUM(G6:G16)</f>
        <v>32.03</v>
      </c>
      <c r="H17" s="485"/>
      <c r="I17" s="481"/>
      <c r="J17" s="481"/>
      <c r="K17" s="481"/>
    </row>
  </sheetData>
  <mergeCells count="9">
    <mergeCell ref="A9:C17"/>
    <mergeCell ref="H5:H17"/>
    <mergeCell ref="D5:D17"/>
    <mergeCell ref="I16:K17"/>
    <mergeCell ref="A1:J1"/>
    <mergeCell ref="K1:K3"/>
    <mergeCell ref="B2:H2"/>
    <mergeCell ref="B3:H3"/>
    <mergeCell ref="A4:K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9"/>
  <sheetViews>
    <sheetView zoomScale="55" zoomScaleNormal="55" workbookViewId="0">
      <selection activeCell="B3" sqref="B3:H3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76" t="s">
        <v>586</v>
      </c>
      <c r="B1" s="476"/>
      <c r="C1" s="476"/>
      <c r="D1" s="476"/>
      <c r="E1" s="476"/>
      <c r="F1" s="476"/>
      <c r="G1" s="476"/>
      <c r="H1" s="476"/>
      <c r="I1" s="476"/>
      <c r="J1" s="476"/>
      <c r="K1" s="486"/>
    </row>
    <row r="2" spans="1:11" ht="18" customHeight="1" x14ac:dyDescent="0.25">
      <c r="A2" s="360" t="s">
        <v>580</v>
      </c>
      <c r="B2" s="476" t="s">
        <v>789</v>
      </c>
      <c r="C2" s="476"/>
      <c r="D2" s="476"/>
      <c r="E2" s="476"/>
      <c r="F2" s="476"/>
      <c r="G2" s="476"/>
      <c r="H2" s="476"/>
      <c r="I2" s="255" t="s">
        <v>583</v>
      </c>
      <c r="J2" s="255" t="s">
        <v>584</v>
      </c>
      <c r="K2" s="486"/>
    </row>
    <row r="3" spans="1:11" ht="36" customHeight="1" x14ac:dyDescent="0.25">
      <c r="A3" s="360">
        <v>1</v>
      </c>
      <c r="B3" s="483" t="s">
        <v>1504</v>
      </c>
      <c r="C3" s="483"/>
      <c r="D3" s="483"/>
      <c r="E3" s="483"/>
      <c r="F3" s="483"/>
      <c r="G3" s="483"/>
      <c r="H3" s="483"/>
      <c r="I3" s="253" t="s">
        <v>571</v>
      </c>
      <c r="J3" s="256">
        <f>C11+G18+K19</f>
        <v>108.21</v>
      </c>
      <c r="K3" s="486"/>
    </row>
    <row r="4" spans="1:11" ht="8.4" customHeight="1" x14ac:dyDescent="0.25">
      <c r="A4" s="482"/>
      <c r="B4" s="482"/>
      <c r="C4" s="482"/>
      <c r="D4" s="482"/>
      <c r="E4" s="482"/>
      <c r="F4" s="482"/>
      <c r="G4" s="482"/>
      <c r="H4" s="482"/>
      <c r="I4" s="482"/>
      <c r="J4" s="482"/>
      <c r="K4" s="482"/>
    </row>
    <row r="5" spans="1:11" x14ac:dyDescent="0.25">
      <c r="A5" s="226" t="s">
        <v>580</v>
      </c>
      <c r="B5" s="227" t="s">
        <v>693</v>
      </c>
      <c r="C5" s="228" t="s">
        <v>588</v>
      </c>
      <c r="D5" s="480"/>
      <c r="E5" s="249" t="s">
        <v>580</v>
      </c>
      <c r="F5" s="250" t="s">
        <v>693</v>
      </c>
      <c r="G5" s="251" t="s">
        <v>588</v>
      </c>
      <c r="H5" s="481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484</v>
      </c>
      <c r="C6" s="244">
        <v>1.06</v>
      </c>
      <c r="D6" s="481"/>
      <c r="E6" s="236" t="s">
        <v>822</v>
      </c>
      <c r="F6" s="236" t="s">
        <v>425</v>
      </c>
      <c r="G6" s="239">
        <v>4.22</v>
      </c>
      <c r="H6" s="481"/>
      <c r="I6" s="237" t="s">
        <v>1454</v>
      </c>
      <c r="J6" s="237" t="s">
        <v>361</v>
      </c>
      <c r="K6" s="238">
        <v>4.22</v>
      </c>
    </row>
    <row r="7" spans="1:11" x14ac:dyDescent="0.25">
      <c r="A7" s="224">
        <v>2</v>
      </c>
      <c r="B7" s="235" t="s">
        <v>487</v>
      </c>
      <c r="C7" s="246">
        <v>7.06</v>
      </c>
      <c r="D7" s="481"/>
      <c r="E7" s="237" t="s">
        <v>1497</v>
      </c>
      <c r="F7" s="237" t="s">
        <v>426</v>
      </c>
      <c r="G7" s="238">
        <v>5.78</v>
      </c>
      <c r="H7" s="481"/>
      <c r="I7" s="236" t="s">
        <v>1454</v>
      </c>
      <c r="J7" s="236" t="s">
        <v>362</v>
      </c>
      <c r="K7" s="239">
        <v>6.62</v>
      </c>
    </row>
    <row r="8" spans="1:11" x14ac:dyDescent="0.25">
      <c r="A8" s="224">
        <v>3</v>
      </c>
      <c r="B8" s="234" t="s">
        <v>488</v>
      </c>
      <c r="C8" s="244">
        <v>5.0999999999999996</v>
      </c>
      <c r="D8" s="481"/>
      <c r="E8" s="236" t="s">
        <v>1498</v>
      </c>
      <c r="F8" s="236" t="s">
        <v>427</v>
      </c>
      <c r="G8" s="239">
        <v>1.56</v>
      </c>
      <c r="H8" s="481"/>
      <c r="I8" s="237" t="s">
        <v>1454</v>
      </c>
      <c r="J8" s="237" t="s">
        <v>363</v>
      </c>
      <c r="K8" s="238">
        <v>1.56</v>
      </c>
    </row>
    <row r="9" spans="1:11" x14ac:dyDescent="0.25">
      <c r="A9" s="224">
        <v>4</v>
      </c>
      <c r="B9" s="235" t="s">
        <v>660</v>
      </c>
      <c r="C9" s="246">
        <v>1.42</v>
      </c>
      <c r="D9" s="481"/>
      <c r="E9" s="237" t="s">
        <v>1499</v>
      </c>
      <c r="F9" s="237" t="s">
        <v>428</v>
      </c>
      <c r="G9" s="238">
        <v>4.22</v>
      </c>
      <c r="H9" s="481"/>
      <c r="I9" s="236" t="s">
        <v>1454</v>
      </c>
      <c r="J9" s="236" t="s">
        <v>364</v>
      </c>
      <c r="K9" s="239">
        <v>3.96</v>
      </c>
    </row>
    <row r="10" spans="1:11" x14ac:dyDescent="0.25">
      <c r="A10" s="224">
        <v>5</v>
      </c>
      <c r="B10" s="234" t="s">
        <v>511</v>
      </c>
      <c r="C10" s="244">
        <v>1.18</v>
      </c>
      <c r="D10" s="481"/>
      <c r="E10" s="236" t="s">
        <v>806</v>
      </c>
      <c r="F10" s="236" t="s">
        <v>429</v>
      </c>
      <c r="G10" s="239">
        <v>3.24</v>
      </c>
      <c r="H10" s="481"/>
      <c r="I10" s="237" t="s">
        <v>1454</v>
      </c>
      <c r="J10" s="237" t="s">
        <v>365</v>
      </c>
      <c r="K10" s="238">
        <v>4.22</v>
      </c>
    </row>
    <row r="11" spans="1:11" x14ac:dyDescent="0.25">
      <c r="A11" s="205"/>
      <c r="B11" s="212" t="s">
        <v>590</v>
      </c>
      <c r="C11" s="365">
        <f>SUM(C6:C10)</f>
        <v>15.819999999999999</v>
      </c>
      <c r="D11" s="481"/>
      <c r="E11" s="237" t="s">
        <v>1500</v>
      </c>
      <c r="F11" s="237" t="s">
        <v>430</v>
      </c>
      <c r="G11" s="238">
        <v>4.22</v>
      </c>
      <c r="H11" s="481"/>
      <c r="I11" s="236" t="s">
        <v>1454</v>
      </c>
      <c r="J11" s="236" t="s">
        <v>366</v>
      </c>
      <c r="K11" s="239">
        <v>4.2</v>
      </c>
    </row>
    <row r="12" spans="1:11" x14ac:dyDescent="0.25">
      <c r="A12" s="480"/>
      <c r="B12" s="480"/>
      <c r="C12" s="480"/>
      <c r="D12" s="481"/>
      <c r="E12" s="236" t="s">
        <v>1501</v>
      </c>
      <c r="F12" s="236" t="s">
        <v>431</v>
      </c>
      <c r="G12" s="239">
        <v>3.9</v>
      </c>
      <c r="H12" s="481"/>
      <c r="I12" s="237" t="s">
        <v>1454</v>
      </c>
      <c r="J12" s="237" t="s">
        <v>367</v>
      </c>
      <c r="K12" s="238">
        <v>4.22</v>
      </c>
    </row>
    <row r="13" spans="1:11" x14ac:dyDescent="0.25">
      <c r="A13" s="481"/>
      <c r="B13" s="481"/>
      <c r="C13" s="481"/>
      <c r="D13" s="481"/>
      <c r="E13" s="237" t="s">
        <v>1502</v>
      </c>
      <c r="F13" s="237" t="s">
        <v>435</v>
      </c>
      <c r="G13" s="238">
        <v>1.5</v>
      </c>
      <c r="H13" s="481"/>
      <c r="I13" s="236" t="s">
        <v>1454</v>
      </c>
      <c r="J13" s="236" t="s">
        <v>368</v>
      </c>
      <c r="K13" s="239">
        <v>2.78</v>
      </c>
    </row>
    <row r="14" spans="1:11" x14ac:dyDescent="0.25">
      <c r="A14" s="481"/>
      <c r="B14" s="481"/>
      <c r="C14" s="481"/>
      <c r="D14" s="481"/>
      <c r="E14" s="236" t="s">
        <v>1503</v>
      </c>
      <c r="F14" s="236" t="s">
        <v>438</v>
      </c>
      <c r="G14" s="239">
        <v>1.42</v>
      </c>
      <c r="H14" s="481"/>
      <c r="I14" s="237" t="s">
        <v>1454</v>
      </c>
      <c r="J14" s="237" t="s">
        <v>371</v>
      </c>
      <c r="K14" s="238">
        <v>5.96</v>
      </c>
    </row>
    <row r="15" spans="1:11" x14ac:dyDescent="0.25">
      <c r="A15" s="481"/>
      <c r="B15" s="481"/>
      <c r="C15" s="481"/>
      <c r="D15" s="481"/>
      <c r="E15" s="237" t="s">
        <v>1451</v>
      </c>
      <c r="F15" s="237" t="s">
        <v>439</v>
      </c>
      <c r="G15" s="238">
        <v>0.65</v>
      </c>
      <c r="H15" s="481"/>
      <c r="I15" s="236" t="s">
        <v>1454</v>
      </c>
      <c r="J15" s="236" t="s">
        <v>377</v>
      </c>
      <c r="K15" s="239">
        <v>2.36</v>
      </c>
    </row>
    <row r="16" spans="1:11" x14ac:dyDescent="0.25">
      <c r="A16" s="481"/>
      <c r="B16" s="481"/>
      <c r="C16" s="481"/>
      <c r="D16" s="481"/>
      <c r="E16" s="236" t="s">
        <v>1452</v>
      </c>
      <c r="F16" s="236" t="s">
        <v>444</v>
      </c>
      <c r="G16" s="239">
        <v>1.32</v>
      </c>
      <c r="H16" s="481"/>
      <c r="I16" s="237" t="s">
        <v>1454</v>
      </c>
      <c r="J16" s="237" t="s">
        <v>383</v>
      </c>
      <c r="K16" s="238">
        <v>3</v>
      </c>
    </row>
    <row r="17" spans="1:11" x14ac:dyDescent="0.25">
      <c r="A17" s="481"/>
      <c r="B17" s="481"/>
      <c r="C17" s="481"/>
      <c r="D17" s="481"/>
      <c r="E17" s="237" t="s">
        <v>1453</v>
      </c>
      <c r="F17" s="237" t="s">
        <v>451</v>
      </c>
      <c r="G17" s="238">
        <v>5.64</v>
      </c>
      <c r="H17" s="481"/>
      <c r="I17" s="236" t="s">
        <v>1454</v>
      </c>
      <c r="J17" s="236" t="s">
        <v>385</v>
      </c>
      <c r="K17" s="239">
        <v>5</v>
      </c>
    </row>
    <row r="18" spans="1:11" x14ac:dyDescent="0.25">
      <c r="A18" s="481"/>
      <c r="B18" s="481"/>
      <c r="C18" s="481"/>
      <c r="D18" s="481"/>
      <c r="F18" s="212" t="s">
        <v>590</v>
      </c>
      <c r="G18" s="239">
        <f>SUM(G6:G17)</f>
        <v>37.67</v>
      </c>
      <c r="H18" s="481"/>
      <c r="I18" s="237" t="s">
        <v>1454</v>
      </c>
      <c r="J18" s="237" t="s">
        <v>395</v>
      </c>
      <c r="K18" s="238">
        <v>6.62</v>
      </c>
    </row>
    <row r="19" spans="1:11" x14ac:dyDescent="0.25">
      <c r="A19" s="481"/>
      <c r="B19" s="481"/>
      <c r="C19" s="481"/>
      <c r="D19" s="481"/>
      <c r="E19" s="481"/>
      <c r="F19" s="481"/>
      <c r="G19" s="481"/>
      <c r="H19" s="481"/>
      <c r="I19" s="243"/>
      <c r="J19" s="212" t="s">
        <v>590</v>
      </c>
      <c r="K19" s="239">
        <f>SUM(K6:K18)</f>
        <v>54.719999999999992</v>
      </c>
    </row>
  </sheetData>
  <mergeCells count="9">
    <mergeCell ref="K1:K3"/>
    <mergeCell ref="B2:H2"/>
    <mergeCell ref="B3:H3"/>
    <mergeCell ref="A4:K4"/>
    <mergeCell ref="H5:H19"/>
    <mergeCell ref="D5:D19"/>
    <mergeCell ref="E19:G19"/>
    <mergeCell ref="A12:C19"/>
    <mergeCell ref="A1:J1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32"/>
  <sheetViews>
    <sheetView zoomScale="25" zoomScaleNormal="25" workbookViewId="0">
      <selection activeCell="A33" sqref="A33:XFD60"/>
    </sheetView>
  </sheetViews>
  <sheetFormatPr defaultRowHeight="18" x14ac:dyDescent="0.25"/>
  <cols>
    <col min="1" max="1" width="9" style="220" customWidth="1"/>
    <col min="2" max="2" width="10.7773437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76" t="s">
        <v>586</v>
      </c>
      <c r="B1" s="476"/>
      <c r="C1" s="476"/>
      <c r="D1" s="476"/>
      <c r="E1" s="476"/>
      <c r="F1" s="476"/>
      <c r="G1" s="476"/>
      <c r="H1" s="476"/>
      <c r="I1" s="476"/>
      <c r="J1" s="476"/>
      <c r="K1" s="486"/>
    </row>
    <row r="2" spans="1:11" ht="18" customHeight="1" x14ac:dyDescent="0.25">
      <c r="A2" s="360" t="s">
        <v>580</v>
      </c>
      <c r="B2" s="476" t="s">
        <v>789</v>
      </c>
      <c r="C2" s="476"/>
      <c r="D2" s="476"/>
      <c r="E2" s="476"/>
      <c r="F2" s="476"/>
      <c r="G2" s="476"/>
      <c r="H2" s="476"/>
      <c r="I2" s="255" t="s">
        <v>583</v>
      </c>
      <c r="J2" s="255" t="s">
        <v>584</v>
      </c>
      <c r="K2" s="486"/>
    </row>
    <row r="3" spans="1:11" ht="36" customHeight="1" x14ac:dyDescent="0.25">
      <c r="A3" s="360">
        <v>1</v>
      </c>
      <c r="B3" s="483" t="s">
        <v>1506</v>
      </c>
      <c r="C3" s="483"/>
      <c r="D3" s="483"/>
      <c r="E3" s="483"/>
      <c r="F3" s="483"/>
      <c r="G3" s="483"/>
      <c r="H3" s="483"/>
      <c r="I3" s="253" t="s">
        <v>571</v>
      </c>
      <c r="J3" s="256">
        <f>C20+G32+K24</f>
        <v>2049.8800000000006</v>
      </c>
      <c r="K3" s="486"/>
    </row>
    <row r="4" spans="1:11" ht="8.4" customHeight="1" x14ac:dyDescent="0.25">
      <c r="A4" s="482"/>
      <c r="B4" s="482"/>
      <c r="C4" s="482"/>
      <c r="D4" s="482"/>
      <c r="E4" s="482"/>
      <c r="F4" s="482"/>
      <c r="G4" s="482"/>
      <c r="H4" s="482"/>
      <c r="I4" s="482"/>
      <c r="J4" s="482"/>
      <c r="K4" s="482"/>
    </row>
    <row r="5" spans="1:11" x14ac:dyDescent="0.25">
      <c r="A5" s="226" t="s">
        <v>580</v>
      </c>
      <c r="B5" s="227" t="s">
        <v>693</v>
      </c>
      <c r="C5" s="228" t="s">
        <v>588</v>
      </c>
      <c r="D5" s="480"/>
      <c r="E5" s="249" t="s">
        <v>580</v>
      </c>
      <c r="F5" s="250" t="s">
        <v>693</v>
      </c>
      <c r="G5" s="251" t="s">
        <v>588</v>
      </c>
      <c r="H5" s="485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424</v>
      </c>
      <c r="C6" s="244">
        <v>2.7</v>
      </c>
      <c r="D6" s="481"/>
      <c r="E6" s="236" t="s">
        <v>1451</v>
      </c>
      <c r="F6" s="236" t="s">
        <v>425</v>
      </c>
      <c r="G6" s="239">
        <v>70.289999999999992</v>
      </c>
      <c r="H6" s="485"/>
      <c r="I6" s="237" t="s">
        <v>1477</v>
      </c>
      <c r="J6" s="237" t="s">
        <v>361</v>
      </c>
      <c r="K6" s="238">
        <v>73.419999999999987</v>
      </c>
    </row>
    <row r="7" spans="1:11" x14ac:dyDescent="0.25">
      <c r="A7" s="224">
        <v>2</v>
      </c>
      <c r="B7" s="235" t="s">
        <v>484</v>
      </c>
      <c r="C7" s="246">
        <v>1.98</v>
      </c>
      <c r="D7" s="481"/>
      <c r="E7" s="237" t="s">
        <v>1452</v>
      </c>
      <c r="F7" s="237" t="s">
        <v>426</v>
      </c>
      <c r="G7" s="238">
        <v>100.47</v>
      </c>
      <c r="H7" s="485"/>
      <c r="I7" s="236" t="s">
        <v>1480</v>
      </c>
      <c r="J7" s="236" t="s">
        <v>362</v>
      </c>
      <c r="K7" s="239">
        <v>91.710000000000008</v>
      </c>
    </row>
    <row r="8" spans="1:11" x14ac:dyDescent="0.25">
      <c r="A8" s="224">
        <v>3</v>
      </c>
      <c r="B8" s="234" t="s">
        <v>487</v>
      </c>
      <c r="C8" s="244">
        <v>153.72</v>
      </c>
      <c r="D8" s="481"/>
      <c r="E8" s="236" t="s">
        <v>1453</v>
      </c>
      <c r="F8" s="236" t="s">
        <v>427</v>
      </c>
      <c r="G8" s="239">
        <v>73.830000000000013</v>
      </c>
      <c r="H8" s="485"/>
      <c r="I8" s="237" t="s">
        <v>1481</v>
      </c>
      <c r="J8" s="237" t="s">
        <v>363</v>
      </c>
      <c r="K8" s="238">
        <v>48.550000000000004</v>
      </c>
    </row>
    <row r="9" spans="1:11" x14ac:dyDescent="0.25">
      <c r="A9" s="224">
        <v>4</v>
      </c>
      <c r="B9" s="235" t="s">
        <v>488</v>
      </c>
      <c r="C9" s="246">
        <v>4.59</v>
      </c>
      <c r="D9" s="481"/>
      <c r="E9" s="237" t="s">
        <v>1454</v>
      </c>
      <c r="F9" s="237" t="s">
        <v>428</v>
      </c>
      <c r="G9" s="238">
        <v>72.25</v>
      </c>
      <c r="H9" s="485"/>
      <c r="I9" s="236" t="s">
        <v>1482</v>
      </c>
      <c r="J9" s="236" t="s">
        <v>364</v>
      </c>
      <c r="K9" s="239">
        <v>66.53</v>
      </c>
    </row>
    <row r="10" spans="1:11" x14ac:dyDescent="0.25">
      <c r="A10" s="224">
        <v>5</v>
      </c>
      <c r="B10" s="234" t="s">
        <v>490</v>
      </c>
      <c r="C10" s="244">
        <v>5.0999999999999996</v>
      </c>
      <c r="D10" s="481"/>
      <c r="E10" s="236" t="s">
        <v>1455</v>
      </c>
      <c r="F10" s="236" t="s">
        <v>429</v>
      </c>
      <c r="G10" s="239">
        <v>63.230000000000011</v>
      </c>
      <c r="H10" s="485"/>
      <c r="I10" s="237" t="s">
        <v>1483</v>
      </c>
      <c r="J10" s="237" t="s">
        <v>365</v>
      </c>
      <c r="K10" s="238">
        <v>72.97999999999999</v>
      </c>
    </row>
    <row r="11" spans="1:11" x14ac:dyDescent="0.25">
      <c r="A11" s="224">
        <v>6</v>
      </c>
      <c r="B11" s="235" t="s">
        <v>491</v>
      </c>
      <c r="C11" s="246">
        <v>9.9600000000000009</v>
      </c>
      <c r="D11" s="481"/>
      <c r="E11" s="237" t="s">
        <v>1456</v>
      </c>
      <c r="F11" s="237" t="s">
        <v>430</v>
      </c>
      <c r="G11" s="238">
        <v>68.62</v>
      </c>
      <c r="H11" s="485"/>
      <c r="I11" s="236" t="s">
        <v>1484</v>
      </c>
      <c r="J11" s="236" t="s">
        <v>366</v>
      </c>
      <c r="K11" s="239">
        <v>62.12</v>
      </c>
    </row>
    <row r="12" spans="1:11" x14ac:dyDescent="0.25">
      <c r="A12" s="224">
        <v>7</v>
      </c>
      <c r="B12" s="234" t="s">
        <v>660</v>
      </c>
      <c r="C12" s="244">
        <v>2.1</v>
      </c>
      <c r="D12" s="481"/>
      <c r="E12" s="236" t="s">
        <v>1457</v>
      </c>
      <c r="F12" s="236" t="s">
        <v>431</v>
      </c>
      <c r="G12" s="239">
        <v>86.399999999999991</v>
      </c>
      <c r="H12" s="485"/>
      <c r="I12" s="237" t="s">
        <v>1485</v>
      </c>
      <c r="J12" s="237" t="s">
        <v>367</v>
      </c>
      <c r="K12" s="238">
        <v>58.88</v>
      </c>
    </row>
    <row r="13" spans="1:11" x14ac:dyDescent="0.25">
      <c r="A13" s="224">
        <v>8</v>
      </c>
      <c r="B13" s="237" t="s">
        <v>538</v>
      </c>
      <c r="C13" s="238">
        <v>5.64</v>
      </c>
      <c r="D13" s="481"/>
      <c r="E13" s="237" t="s">
        <v>1458</v>
      </c>
      <c r="F13" s="237" t="s">
        <v>432</v>
      </c>
      <c r="G13" s="238">
        <v>123.55000000000001</v>
      </c>
      <c r="H13" s="485"/>
      <c r="I13" s="236" t="s">
        <v>1486</v>
      </c>
      <c r="J13" s="236" t="s">
        <v>371</v>
      </c>
      <c r="K13" s="239">
        <v>203.81000000000003</v>
      </c>
    </row>
    <row r="14" spans="1:11" x14ac:dyDescent="0.25">
      <c r="A14" s="224">
        <v>9</v>
      </c>
      <c r="B14" s="236" t="s">
        <v>539</v>
      </c>
      <c r="C14" s="239">
        <v>7.370000000000001</v>
      </c>
      <c r="D14" s="481"/>
      <c r="E14" s="236" t="s">
        <v>1459</v>
      </c>
      <c r="F14" s="236" t="s">
        <v>671</v>
      </c>
      <c r="G14" s="239">
        <v>30.650000000000002</v>
      </c>
      <c r="H14" s="485"/>
      <c r="I14" s="237" t="s">
        <v>1487</v>
      </c>
      <c r="J14" s="237" t="s">
        <v>377</v>
      </c>
      <c r="K14" s="238">
        <v>3.71</v>
      </c>
    </row>
    <row r="15" spans="1:11" x14ac:dyDescent="0.25">
      <c r="A15" s="224">
        <v>10</v>
      </c>
      <c r="B15" s="237" t="s">
        <v>542</v>
      </c>
      <c r="C15" s="238">
        <v>1.45</v>
      </c>
      <c r="D15" s="481"/>
      <c r="E15" s="237" t="s">
        <v>1460</v>
      </c>
      <c r="F15" s="237" t="s">
        <v>435</v>
      </c>
      <c r="G15" s="238">
        <v>77.5</v>
      </c>
      <c r="H15" s="485"/>
      <c r="I15" s="236" t="s">
        <v>1488</v>
      </c>
      <c r="J15" s="236" t="s">
        <v>690</v>
      </c>
      <c r="K15" s="239">
        <v>1.45</v>
      </c>
    </row>
    <row r="16" spans="1:11" x14ac:dyDescent="0.25">
      <c r="A16" s="224">
        <v>11</v>
      </c>
      <c r="B16" s="236" t="s">
        <v>545</v>
      </c>
      <c r="C16" s="239">
        <v>5.75</v>
      </c>
      <c r="D16" s="481"/>
      <c r="E16" s="236" t="s">
        <v>1461</v>
      </c>
      <c r="F16" s="236" t="s">
        <v>438</v>
      </c>
      <c r="G16" s="239">
        <v>80.599999999999994</v>
      </c>
      <c r="H16" s="485"/>
      <c r="I16" s="237" t="s">
        <v>1489</v>
      </c>
      <c r="J16" s="237" t="s">
        <v>647</v>
      </c>
      <c r="K16" s="238">
        <v>5.75</v>
      </c>
    </row>
    <row r="17" spans="1:11" x14ac:dyDescent="0.25">
      <c r="A17" s="224">
        <v>12</v>
      </c>
      <c r="B17" s="237" t="s">
        <v>546</v>
      </c>
      <c r="C17" s="238">
        <v>3.27</v>
      </c>
      <c r="D17" s="481"/>
      <c r="E17" s="237" t="s">
        <v>1462</v>
      </c>
      <c r="F17" s="237" t="s">
        <v>439</v>
      </c>
      <c r="G17" s="238">
        <v>18.73</v>
      </c>
      <c r="H17" s="485"/>
      <c r="I17" s="236" t="s">
        <v>1490</v>
      </c>
      <c r="J17" s="236" t="s">
        <v>648</v>
      </c>
      <c r="K17" s="239">
        <v>3.27</v>
      </c>
    </row>
    <row r="18" spans="1:11" x14ac:dyDescent="0.25">
      <c r="A18" s="224">
        <v>13</v>
      </c>
      <c r="B18" s="236" t="s">
        <v>551</v>
      </c>
      <c r="C18" s="239">
        <v>5.75</v>
      </c>
      <c r="D18" s="481"/>
      <c r="E18" s="236" t="s">
        <v>1463</v>
      </c>
      <c r="F18" s="236" t="s">
        <v>443</v>
      </c>
      <c r="G18" s="239">
        <v>54.7</v>
      </c>
      <c r="H18" s="485"/>
      <c r="I18" s="237" t="s">
        <v>1478</v>
      </c>
      <c r="J18" s="237" t="s">
        <v>379</v>
      </c>
      <c r="K18" s="238">
        <v>1.45</v>
      </c>
    </row>
    <row r="19" spans="1:11" x14ac:dyDescent="0.25">
      <c r="A19" s="224">
        <v>14</v>
      </c>
      <c r="B19" s="237" t="s">
        <v>552</v>
      </c>
      <c r="C19" s="238">
        <v>4.8899999999999997</v>
      </c>
      <c r="D19" s="481"/>
      <c r="E19" s="237" t="s">
        <v>1464</v>
      </c>
      <c r="F19" s="237" t="s">
        <v>444</v>
      </c>
      <c r="G19" s="238">
        <v>54.199999999999996</v>
      </c>
      <c r="H19" s="485"/>
      <c r="I19" s="236" t="s">
        <v>1479</v>
      </c>
      <c r="J19" s="236" t="s">
        <v>380</v>
      </c>
      <c r="K19" s="239">
        <v>5.75</v>
      </c>
    </row>
    <row r="20" spans="1:11" x14ac:dyDescent="0.25">
      <c r="A20" s="205"/>
      <c r="B20" s="212" t="s">
        <v>590</v>
      </c>
      <c r="C20" s="364">
        <f>SUM(C6:C19)</f>
        <v>214.26999999999998</v>
      </c>
      <c r="D20" s="481"/>
      <c r="E20" s="236" t="s">
        <v>1465</v>
      </c>
      <c r="F20" s="236" t="s">
        <v>451</v>
      </c>
      <c r="G20" s="239">
        <v>7.56</v>
      </c>
      <c r="H20" s="485"/>
      <c r="I20" s="237" t="s">
        <v>1491</v>
      </c>
      <c r="J20" s="237" t="s">
        <v>649</v>
      </c>
      <c r="K20" s="238">
        <v>4.8899999999999997</v>
      </c>
    </row>
    <row r="21" spans="1:11" x14ac:dyDescent="0.25">
      <c r="A21" s="480"/>
      <c r="B21" s="480"/>
      <c r="C21" s="480"/>
      <c r="D21" s="481"/>
      <c r="E21" s="237" t="s">
        <v>1466</v>
      </c>
      <c r="F21" s="237" t="s">
        <v>678</v>
      </c>
      <c r="G21" s="238">
        <v>60.5</v>
      </c>
      <c r="H21" s="485"/>
      <c r="I21" s="236" t="s">
        <v>1492</v>
      </c>
      <c r="J21" s="236" t="s">
        <v>383</v>
      </c>
      <c r="K21" s="239">
        <v>5.28</v>
      </c>
    </row>
    <row r="22" spans="1:11" x14ac:dyDescent="0.25">
      <c r="A22" s="481"/>
      <c r="B22" s="481"/>
      <c r="C22" s="481"/>
      <c r="D22" s="481"/>
      <c r="E22" s="236" t="s">
        <v>1467</v>
      </c>
      <c r="F22" s="236" t="s">
        <v>459</v>
      </c>
      <c r="G22" s="239">
        <v>1.45</v>
      </c>
      <c r="H22" s="485"/>
      <c r="I22" s="237" t="s">
        <v>1493</v>
      </c>
      <c r="J22" s="237" t="s">
        <v>385</v>
      </c>
      <c r="K22" s="238">
        <v>5.4</v>
      </c>
    </row>
    <row r="23" spans="1:11" x14ac:dyDescent="0.25">
      <c r="A23" s="481"/>
      <c r="B23" s="481"/>
      <c r="C23" s="481"/>
      <c r="D23" s="481"/>
      <c r="E23" s="237" t="s">
        <v>1468</v>
      </c>
      <c r="F23" s="237" t="s">
        <v>462</v>
      </c>
      <c r="G23" s="238">
        <v>5.75</v>
      </c>
      <c r="H23" s="485"/>
      <c r="I23" s="236" t="s">
        <v>1494</v>
      </c>
      <c r="J23" s="236" t="s">
        <v>395</v>
      </c>
      <c r="K23" s="239">
        <v>7.26</v>
      </c>
    </row>
    <row r="24" spans="1:11" x14ac:dyDescent="0.25">
      <c r="A24" s="481"/>
      <c r="B24" s="481"/>
      <c r="C24" s="481"/>
      <c r="D24" s="481"/>
      <c r="E24" s="236" t="s">
        <v>1469</v>
      </c>
      <c r="F24" s="236" t="s">
        <v>463</v>
      </c>
      <c r="G24" s="239">
        <v>3.27</v>
      </c>
      <c r="H24" s="485"/>
      <c r="I24" s="243"/>
      <c r="J24" s="212" t="s">
        <v>590</v>
      </c>
      <c r="K24" s="239">
        <f>SUM(K6:K23)</f>
        <v>722.21000000000015</v>
      </c>
    </row>
    <row r="25" spans="1:11" x14ac:dyDescent="0.25">
      <c r="A25" s="481"/>
      <c r="B25" s="481"/>
      <c r="C25" s="481"/>
      <c r="D25" s="481"/>
      <c r="E25" s="237" t="s">
        <v>1470</v>
      </c>
      <c r="F25" s="237" t="s">
        <v>464</v>
      </c>
      <c r="G25" s="238">
        <v>1.45</v>
      </c>
      <c r="H25" s="485"/>
      <c r="I25" s="480"/>
      <c r="J25" s="480"/>
      <c r="K25" s="480"/>
    </row>
    <row r="26" spans="1:11" x14ac:dyDescent="0.25">
      <c r="A26" s="481"/>
      <c r="B26" s="481"/>
      <c r="C26" s="481"/>
      <c r="D26" s="481"/>
      <c r="E26" s="236" t="s">
        <v>1471</v>
      </c>
      <c r="F26" s="236" t="s">
        <v>466</v>
      </c>
      <c r="G26" s="239">
        <v>5.75</v>
      </c>
      <c r="H26" s="485"/>
      <c r="I26" s="481"/>
      <c r="J26" s="481"/>
      <c r="K26" s="481"/>
    </row>
    <row r="27" spans="1:11" x14ac:dyDescent="0.25">
      <c r="A27" s="481"/>
      <c r="B27" s="481"/>
      <c r="C27" s="481"/>
      <c r="D27" s="481"/>
      <c r="E27" s="237" t="s">
        <v>1472</v>
      </c>
      <c r="F27" s="237" t="s">
        <v>467</v>
      </c>
      <c r="G27" s="238">
        <v>4.8899999999999997</v>
      </c>
      <c r="H27" s="485"/>
      <c r="I27" s="481"/>
      <c r="J27" s="481"/>
      <c r="K27" s="481"/>
    </row>
    <row r="28" spans="1:11" x14ac:dyDescent="0.25">
      <c r="A28" s="481"/>
      <c r="B28" s="481"/>
      <c r="C28" s="481"/>
      <c r="D28" s="481"/>
      <c r="E28" s="236" t="s">
        <v>1473</v>
      </c>
      <c r="F28" s="236" t="s">
        <v>469</v>
      </c>
      <c r="G28" s="239">
        <v>5.28</v>
      </c>
      <c r="H28" s="485"/>
      <c r="I28" s="481"/>
      <c r="J28" s="481"/>
      <c r="K28" s="481"/>
    </row>
    <row r="29" spans="1:11" x14ac:dyDescent="0.25">
      <c r="A29" s="481"/>
      <c r="B29" s="481"/>
      <c r="C29" s="481"/>
      <c r="D29" s="481"/>
      <c r="E29" s="237" t="s">
        <v>1474</v>
      </c>
      <c r="F29" s="237" t="s">
        <v>470</v>
      </c>
      <c r="G29" s="238">
        <v>35.4</v>
      </c>
      <c r="H29" s="485"/>
      <c r="I29" s="481"/>
      <c r="J29" s="481"/>
      <c r="K29" s="481"/>
    </row>
    <row r="30" spans="1:11" x14ac:dyDescent="0.25">
      <c r="A30" s="481"/>
      <c r="B30" s="481"/>
      <c r="C30" s="481"/>
      <c r="D30" s="481"/>
      <c r="E30" s="236" t="s">
        <v>1475</v>
      </c>
      <c r="F30" s="236" t="s">
        <v>471</v>
      </c>
      <c r="G30" s="239">
        <v>5.28</v>
      </c>
      <c r="H30" s="485"/>
      <c r="I30" s="481"/>
      <c r="J30" s="481"/>
      <c r="K30" s="481"/>
    </row>
    <row r="31" spans="1:11" x14ac:dyDescent="0.25">
      <c r="A31" s="481"/>
      <c r="B31" s="481"/>
      <c r="C31" s="481"/>
      <c r="D31" s="481"/>
      <c r="E31" s="237" t="s">
        <v>1476</v>
      </c>
      <c r="F31" s="237" t="s">
        <v>480</v>
      </c>
      <c r="G31" s="238">
        <v>1.8</v>
      </c>
      <c r="H31" s="485"/>
      <c r="I31" s="481"/>
      <c r="J31" s="481"/>
      <c r="K31" s="481"/>
    </row>
    <row r="32" spans="1:11" x14ac:dyDescent="0.25">
      <c r="A32" s="481"/>
      <c r="B32" s="481"/>
      <c r="C32" s="481"/>
      <c r="D32" s="481"/>
      <c r="F32" s="212" t="s">
        <v>590</v>
      </c>
      <c r="G32" s="239">
        <f>SUM(G6:G31)</f>
        <v>1113.4000000000003</v>
      </c>
      <c r="H32" s="485"/>
      <c r="I32" s="481"/>
      <c r="J32" s="481"/>
      <c r="K32" s="481"/>
    </row>
  </sheetData>
  <mergeCells count="9">
    <mergeCell ref="H5:H32"/>
    <mergeCell ref="D5:D32"/>
    <mergeCell ref="I25:K32"/>
    <mergeCell ref="A21:C32"/>
    <mergeCell ref="A1:J1"/>
    <mergeCell ref="K1:K3"/>
    <mergeCell ref="B2:H2"/>
    <mergeCell ref="B3:H3"/>
    <mergeCell ref="A4:K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5"/>
  <sheetViews>
    <sheetView topLeftCell="A16" zoomScale="55" zoomScaleNormal="55" workbookViewId="0">
      <selection activeCell="A46" sqref="A46:XFD67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76" t="s">
        <v>586</v>
      </c>
      <c r="B1" s="476"/>
      <c r="C1" s="476"/>
      <c r="D1" s="476"/>
      <c r="E1" s="476"/>
      <c r="F1" s="476"/>
      <c r="G1" s="476"/>
      <c r="H1" s="476"/>
      <c r="I1" s="476"/>
      <c r="J1" s="476"/>
      <c r="K1" s="486"/>
    </row>
    <row r="2" spans="1:11" ht="18" customHeight="1" x14ac:dyDescent="0.25">
      <c r="A2" s="360" t="s">
        <v>580</v>
      </c>
      <c r="B2" s="476" t="s">
        <v>789</v>
      </c>
      <c r="C2" s="476"/>
      <c r="D2" s="476"/>
      <c r="E2" s="476"/>
      <c r="F2" s="476"/>
      <c r="G2" s="476"/>
      <c r="H2" s="476"/>
      <c r="I2" s="255" t="s">
        <v>583</v>
      </c>
      <c r="J2" s="255" t="s">
        <v>584</v>
      </c>
      <c r="K2" s="486"/>
    </row>
    <row r="3" spans="1:11" ht="36" customHeight="1" x14ac:dyDescent="0.25">
      <c r="A3" s="360">
        <v>1</v>
      </c>
      <c r="B3" s="483" t="s">
        <v>1450</v>
      </c>
      <c r="C3" s="483"/>
      <c r="D3" s="483"/>
      <c r="E3" s="483"/>
      <c r="F3" s="483"/>
      <c r="G3" s="483"/>
      <c r="H3" s="483"/>
      <c r="I3" s="253" t="s">
        <v>571</v>
      </c>
      <c r="J3" s="256">
        <f>C39+G45+K42</f>
        <v>7630.58</v>
      </c>
      <c r="K3" s="486"/>
    </row>
    <row r="4" spans="1:11" ht="37.200000000000003" customHeight="1" x14ac:dyDescent="0.25">
      <c r="A4" s="360">
        <v>2</v>
      </c>
      <c r="B4" s="484" t="s">
        <v>790</v>
      </c>
      <c r="C4" s="484"/>
      <c r="D4" s="484"/>
      <c r="E4" s="484"/>
      <c r="F4" s="484"/>
      <c r="G4" s="484"/>
      <c r="H4" s="484"/>
      <c r="I4" s="253" t="s">
        <v>788</v>
      </c>
      <c r="J4" s="256">
        <v>18.93</v>
      </c>
      <c r="K4" s="486"/>
    </row>
    <row r="5" spans="1:11" ht="8.4" customHeight="1" x14ac:dyDescent="0.25">
      <c r="A5" s="482"/>
      <c r="B5" s="482"/>
      <c r="C5" s="482"/>
      <c r="D5" s="482"/>
      <c r="E5" s="482"/>
      <c r="F5" s="482"/>
      <c r="G5" s="482"/>
      <c r="H5" s="482"/>
      <c r="I5" s="482"/>
      <c r="J5" s="482"/>
      <c r="K5" s="482"/>
    </row>
    <row r="6" spans="1:11" x14ac:dyDescent="0.25">
      <c r="A6" s="226" t="s">
        <v>580</v>
      </c>
      <c r="B6" s="227" t="s">
        <v>693</v>
      </c>
      <c r="C6" s="228" t="s">
        <v>588</v>
      </c>
      <c r="D6" s="480"/>
      <c r="E6" s="249" t="s">
        <v>580</v>
      </c>
      <c r="F6" s="250" t="s">
        <v>693</v>
      </c>
      <c r="G6" s="251" t="s">
        <v>588</v>
      </c>
      <c r="H6" s="485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34" t="s">
        <v>424</v>
      </c>
      <c r="C7" s="244">
        <v>2.7</v>
      </c>
      <c r="D7" s="481"/>
      <c r="E7" s="236">
        <v>33</v>
      </c>
      <c r="F7" s="236" t="s">
        <v>425</v>
      </c>
      <c r="G7" s="239">
        <v>78.44</v>
      </c>
      <c r="H7" s="485"/>
      <c r="I7" s="237">
        <v>71</v>
      </c>
      <c r="J7" s="237" t="s">
        <v>361</v>
      </c>
      <c r="K7" s="238">
        <v>79.469999999999985</v>
      </c>
    </row>
    <row r="8" spans="1:11" x14ac:dyDescent="0.25">
      <c r="A8" s="224">
        <v>2</v>
      </c>
      <c r="B8" s="235" t="s">
        <v>484</v>
      </c>
      <c r="C8" s="246">
        <v>88.33</v>
      </c>
      <c r="D8" s="481"/>
      <c r="E8" s="237">
        <v>34</v>
      </c>
      <c r="F8" s="237" t="s">
        <v>426</v>
      </c>
      <c r="G8" s="238">
        <v>114.9</v>
      </c>
      <c r="H8" s="485"/>
      <c r="I8" s="236">
        <v>72</v>
      </c>
      <c r="J8" s="236" t="s">
        <v>362</v>
      </c>
      <c r="K8" s="239">
        <v>104.97000000000001</v>
      </c>
    </row>
    <row r="9" spans="1:11" x14ac:dyDescent="0.25">
      <c r="A9" s="224">
        <v>3</v>
      </c>
      <c r="B9" s="234" t="s">
        <v>486</v>
      </c>
      <c r="C9" s="244">
        <v>46.7</v>
      </c>
      <c r="D9" s="481"/>
      <c r="E9" s="236">
        <v>35</v>
      </c>
      <c r="F9" s="236" t="s">
        <v>427</v>
      </c>
      <c r="G9" s="239">
        <v>83.580000000000013</v>
      </c>
      <c r="H9" s="485"/>
      <c r="I9" s="237">
        <v>73</v>
      </c>
      <c r="J9" s="237" t="s">
        <v>363</v>
      </c>
      <c r="K9" s="238">
        <v>53.2</v>
      </c>
    </row>
    <row r="10" spans="1:11" x14ac:dyDescent="0.25">
      <c r="A10" s="224">
        <v>4</v>
      </c>
      <c r="B10" s="235" t="s">
        <v>487</v>
      </c>
      <c r="C10" s="246">
        <v>153.72</v>
      </c>
      <c r="D10" s="481"/>
      <c r="E10" s="237">
        <v>36</v>
      </c>
      <c r="F10" s="237" t="s">
        <v>428</v>
      </c>
      <c r="G10" s="238">
        <v>82.39</v>
      </c>
      <c r="H10" s="485"/>
      <c r="I10" s="236">
        <v>74</v>
      </c>
      <c r="J10" s="236" t="s">
        <v>364</v>
      </c>
      <c r="K10" s="239">
        <v>79.010000000000005</v>
      </c>
    </row>
    <row r="11" spans="1:11" x14ac:dyDescent="0.25">
      <c r="A11" s="224">
        <v>5</v>
      </c>
      <c r="B11" s="234" t="s">
        <v>488</v>
      </c>
      <c r="C11" s="244">
        <v>4</v>
      </c>
      <c r="D11" s="481"/>
      <c r="E11" s="236">
        <v>37</v>
      </c>
      <c r="F11" s="236" t="s">
        <v>429</v>
      </c>
      <c r="G11" s="239">
        <v>75.13000000000001</v>
      </c>
      <c r="H11" s="485"/>
      <c r="I11" s="237">
        <v>75</v>
      </c>
      <c r="J11" s="237" t="s">
        <v>365</v>
      </c>
      <c r="K11" s="238">
        <v>79.219999999999985</v>
      </c>
    </row>
    <row r="12" spans="1:11" x14ac:dyDescent="0.25">
      <c r="A12" s="224">
        <v>6</v>
      </c>
      <c r="B12" s="235" t="s">
        <v>490</v>
      </c>
      <c r="C12" s="246">
        <v>5</v>
      </c>
      <c r="D12" s="481"/>
      <c r="E12" s="237">
        <v>38</v>
      </c>
      <c r="F12" s="237" t="s">
        <v>430</v>
      </c>
      <c r="G12" s="238">
        <v>77.59</v>
      </c>
      <c r="H12" s="485"/>
      <c r="I12" s="236">
        <v>76</v>
      </c>
      <c r="J12" s="236" t="s">
        <v>366</v>
      </c>
      <c r="K12" s="239">
        <v>68.36</v>
      </c>
    </row>
    <row r="13" spans="1:11" x14ac:dyDescent="0.25">
      <c r="A13" s="224">
        <v>7</v>
      </c>
      <c r="B13" s="234" t="s">
        <v>660</v>
      </c>
      <c r="C13" s="244">
        <v>72.239999999999995</v>
      </c>
      <c r="D13" s="481"/>
      <c r="E13" s="236">
        <v>39</v>
      </c>
      <c r="F13" s="236" t="s">
        <v>431</v>
      </c>
      <c r="G13" s="239">
        <v>100.44</v>
      </c>
      <c r="H13" s="485"/>
      <c r="I13" s="237">
        <v>77</v>
      </c>
      <c r="J13" s="237" t="s">
        <v>367</v>
      </c>
      <c r="K13" s="238">
        <v>67.850000000000009</v>
      </c>
    </row>
    <row r="14" spans="1:11" x14ac:dyDescent="0.25">
      <c r="A14" s="224">
        <v>8</v>
      </c>
      <c r="B14" s="237" t="s">
        <v>498</v>
      </c>
      <c r="C14" s="238">
        <v>33.089999999999996</v>
      </c>
      <c r="D14" s="481"/>
      <c r="E14" s="237">
        <v>40</v>
      </c>
      <c r="F14" s="237" t="s">
        <v>432</v>
      </c>
      <c r="G14" s="238">
        <v>176.5</v>
      </c>
      <c r="H14" s="485"/>
      <c r="I14" s="236">
        <v>78</v>
      </c>
      <c r="J14" s="236" t="s">
        <v>368</v>
      </c>
      <c r="K14" s="239">
        <v>97.22</v>
      </c>
    </row>
    <row r="15" spans="1:11" x14ac:dyDescent="0.25">
      <c r="A15" s="224">
        <v>9</v>
      </c>
      <c r="B15" s="236" t="s">
        <v>503</v>
      </c>
      <c r="C15" s="239">
        <v>47.46</v>
      </c>
      <c r="D15" s="481"/>
      <c r="E15" s="236">
        <v>41</v>
      </c>
      <c r="F15" s="236" t="s">
        <v>671</v>
      </c>
      <c r="G15" s="239">
        <v>30.650000000000002</v>
      </c>
      <c r="H15" s="485"/>
      <c r="I15" s="237">
        <v>79</v>
      </c>
      <c r="J15" s="237" t="s">
        <v>371</v>
      </c>
      <c r="K15" s="238">
        <v>203.81000000000003</v>
      </c>
    </row>
    <row r="16" spans="1:11" x14ac:dyDescent="0.25">
      <c r="A16" s="224">
        <v>10</v>
      </c>
      <c r="B16" s="237" t="s">
        <v>504</v>
      </c>
      <c r="C16" s="238">
        <v>56.46</v>
      </c>
      <c r="D16" s="481"/>
      <c r="E16" s="237">
        <v>42</v>
      </c>
      <c r="F16" s="237" t="s">
        <v>435</v>
      </c>
      <c r="G16" s="238">
        <v>77.5</v>
      </c>
      <c r="H16" s="485"/>
      <c r="I16" s="236">
        <v>80</v>
      </c>
      <c r="J16" s="236" t="s">
        <v>372</v>
      </c>
      <c r="K16" s="239">
        <v>55.58</v>
      </c>
    </row>
    <row r="17" spans="1:11" x14ac:dyDescent="0.25">
      <c r="A17" s="224">
        <v>11</v>
      </c>
      <c r="B17" s="236" t="s">
        <v>510</v>
      </c>
      <c r="C17" s="239">
        <v>73.900000000000006</v>
      </c>
      <c r="D17" s="481"/>
      <c r="E17" s="236">
        <v>43</v>
      </c>
      <c r="F17" s="236" t="s">
        <v>438</v>
      </c>
      <c r="G17" s="239">
        <v>80.599999999999994</v>
      </c>
      <c r="H17" s="485"/>
      <c r="I17" s="237">
        <v>81</v>
      </c>
      <c r="J17" s="237" t="s">
        <v>375</v>
      </c>
      <c r="K17" s="238">
        <v>48.900000000000006</v>
      </c>
    </row>
    <row r="18" spans="1:11" x14ac:dyDescent="0.25">
      <c r="A18" s="224">
        <v>12</v>
      </c>
      <c r="B18" s="237" t="s">
        <v>511</v>
      </c>
      <c r="C18" s="238">
        <v>82.3</v>
      </c>
      <c r="D18" s="481"/>
      <c r="E18" s="237">
        <v>44</v>
      </c>
      <c r="F18" s="237" t="s">
        <v>439</v>
      </c>
      <c r="G18" s="238">
        <v>18.73</v>
      </c>
      <c r="H18" s="485"/>
      <c r="I18" s="236">
        <v>82</v>
      </c>
      <c r="J18" s="236" t="s">
        <v>376</v>
      </c>
      <c r="K18" s="239">
        <v>78.400000000000006</v>
      </c>
    </row>
    <row r="19" spans="1:11" x14ac:dyDescent="0.25">
      <c r="A19" s="224">
        <v>13</v>
      </c>
      <c r="B19" s="236" t="s">
        <v>512</v>
      </c>
      <c r="C19" s="239">
        <v>78.400000000000006</v>
      </c>
      <c r="D19" s="481"/>
      <c r="E19" s="236">
        <v>45</v>
      </c>
      <c r="F19" s="236" t="s">
        <v>443</v>
      </c>
      <c r="G19" s="239">
        <v>54.7</v>
      </c>
      <c r="H19" s="485"/>
      <c r="I19" s="237">
        <v>83</v>
      </c>
      <c r="J19" s="237" t="s">
        <v>377</v>
      </c>
      <c r="K19" s="238">
        <v>109.79999999999998</v>
      </c>
    </row>
    <row r="20" spans="1:11" x14ac:dyDescent="0.25">
      <c r="A20" s="224">
        <v>14</v>
      </c>
      <c r="B20" s="237" t="s">
        <v>513</v>
      </c>
      <c r="C20" s="238">
        <v>96.3</v>
      </c>
      <c r="D20" s="481"/>
      <c r="E20" s="237">
        <v>46</v>
      </c>
      <c r="F20" s="237" t="s">
        <v>444</v>
      </c>
      <c r="G20" s="238">
        <v>54.199999999999996</v>
      </c>
      <c r="H20" s="485"/>
      <c r="I20" s="236">
        <v>84</v>
      </c>
      <c r="J20" s="236" t="s">
        <v>378</v>
      </c>
      <c r="K20" s="239">
        <v>146.11999999999998</v>
      </c>
    </row>
    <row r="21" spans="1:11" x14ac:dyDescent="0.25">
      <c r="A21" s="224">
        <v>15</v>
      </c>
      <c r="B21" s="236" t="s">
        <v>537</v>
      </c>
      <c r="C21" s="239">
        <v>30.04</v>
      </c>
      <c r="D21" s="481"/>
      <c r="E21" s="236">
        <v>47</v>
      </c>
      <c r="F21" s="236" t="s">
        <v>450</v>
      </c>
      <c r="G21" s="239">
        <v>34.369999999999997</v>
      </c>
      <c r="H21" s="485"/>
      <c r="I21" s="237">
        <v>85</v>
      </c>
      <c r="J21" s="237" t="s">
        <v>689</v>
      </c>
      <c r="K21" s="238">
        <v>84.5</v>
      </c>
    </row>
    <row r="22" spans="1:11" x14ac:dyDescent="0.25">
      <c r="A22" s="224">
        <v>16</v>
      </c>
      <c r="B22" s="237" t="s">
        <v>538</v>
      </c>
      <c r="C22" s="238">
        <v>81.740000000000009</v>
      </c>
      <c r="D22" s="481"/>
      <c r="E22" s="237">
        <v>48</v>
      </c>
      <c r="F22" s="237" t="s">
        <v>451</v>
      </c>
      <c r="G22" s="238">
        <v>152.58000000000001</v>
      </c>
      <c r="H22" s="485"/>
      <c r="I22" s="236">
        <v>86</v>
      </c>
      <c r="J22" s="236" t="s">
        <v>646</v>
      </c>
      <c r="K22" s="239">
        <v>132.80000000000001</v>
      </c>
    </row>
    <row r="23" spans="1:11" x14ac:dyDescent="0.25">
      <c r="A23" s="224">
        <v>17</v>
      </c>
      <c r="B23" s="236" t="s">
        <v>539</v>
      </c>
      <c r="C23" s="239">
        <v>24.84</v>
      </c>
      <c r="D23" s="481"/>
      <c r="E23" s="236">
        <v>49</v>
      </c>
      <c r="F23" s="236" t="s">
        <v>678</v>
      </c>
      <c r="G23" s="239">
        <v>60.5</v>
      </c>
      <c r="H23" s="485"/>
      <c r="I23" s="237">
        <v>87</v>
      </c>
      <c r="J23" s="237" t="s">
        <v>1449</v>
      </c>
      <c r="K23" s="238">
        <v>30.94</v>
      </c>
    </row>
    <row r="24" spans="1:11" x14ac:dyDescent="0.25">
      <c r="A24" s="224">
        <v>18</v>
      </c>
      <c r="B24" s="237" t="s">
        <v>541</v>
      </c>
      <c r="C24" s="238">
        <v>19.600000000000001</v>
      </c>
      <c r="D24" s="481"/>
      <c r="E24" s="237">
        <v>50</v>
      </c>
      <c r="F24" s="237" t="s">
        <v>452</v>
      </c>
      <c r="G24" s="238">
        <v>80.920000000000016</v>
      </c>
      <c r="H24" s="485"/>
      <c r="I24" s="236">
        <v>88</v>
      </c>
      <c r="J24" s="236" t="s">
        <v>690</v>
      </c>
      <c r="K24" s="239">
        <v>77.260000000000005</v>
      </c>
    </row>
    <row r="25" spans="1:11" x14ac:dyDescent="0.25">
      <c r="A25" s="224">
        <v>19</v>
      </c>
      <c r="B25" s="236" t="s">
        <v>542</v>
      </c>
      <c r="C25" s="239">
        <v>85.74</v>
      </c>
      <c r="D25" s="481"/>
      <c r="E25" s="236">
        <v>51</v>
      </c>
      <c r="F25" s="236" t="s">
        <v>453</v>
      </c>
      <c r="G25" s="239">
        <v>78.7</v>
      </c>
      <c r="H25" s="485"/>
      <c r="I25" s="237">
        <v>89</v>
      </c>
      <c r="J25" s="237" t="s">
        <v>647</v>
      </c>
      <c r="K25" s="238">
        <v>84.5</v>
      </c>
    </row>
    <row r="26" spans="1:11" x14ac:dyDescent="0.25">
      <c r="A26" s="224">
        <v>20</v>
      </c>
      <c r="B26" s="237" t="s">
        <v>543</v>
      </c>
      <c r="C26" s="238">
        <v>11.38</v>
      </c>
      <c r="D26" s="481"/>
      <c r="E26" s="237">
        <v>52</v>
      </c>
      <c r="F26" s="237" t="s">
        <v>455</v>
      </c>
      <c r="G26" s="238">
        <v>41</v>
      </c>
      <c r="H26" s="485"/>
      <c r="I26" s="236">
        <v>90</v>
      </c>
      <c r="J26" s="236" t="s">
        <v>648</v>
      </c>
      <c r="K26" s="239">
        <v>70.5</v>
      </c>
    </row>
    <row r="27" spans="1:11" x14ac:dyDescent="0.25">
      <c r="A27" s="224">
        <v>21</v>
      </c>
      <c r="B27" s="236" t="s">
        <v>545</v>
      </c>
      <c r="C27" s="239">
        <v>68.62</v>
      </c>
      <c r="D27" s="481"/>
      <c r="E27" s="236">
        <v>53</v>
      </c>
      <c r="F27" s="236" t="s">
        <v>456</v>
      </c>
      <c r="G27" s="239">
        <v>82.1</v>
      </c>
      <c r="H27" s="485"/>
      <c r="I27" s="237">
        <v>91</v>
      </c>
      <c r="J27" s="237" t="s">
        <v>379</v>
      </c>
      <c r="K27" s="238">
        <v>74.36</v>
      </c>
    </row>
    <row r="28" spans="1:11" x14ac:dyDescent="0.25">
      <c r="A28" s="224">
        <v>22</v>
      </c>
      <c r="B28" s="237" t="s">
        <v>546</v>
      </c>
      <c r="C28" s="238">
        <v>73.78</v>
      </c>
      <c r="D28" s="481"/>
      <c r="E28" s="237">
        <v>54</v>
      </c>
      <c r="F28" s="237" t="s">
        <v>457</v>
      </c>
      <c r="G28" s="238">
        <v>98.6</v>
      </c>
      <c r="H28" s="485"/>
      <c r="I28" s="236">
        <v>92</v>
      </c>
      <c r="J28" s="236" t="s">
        <v>380</v>
      </c>
      <c r="K28" s="239">
        <v>82</v>
      </c>
    </row>
    <row r="29" spans="1:11" x14ac:dyDescent="0.25">
      <c r="A29" s="224">
        <v>23</v>
      </c>
      <c r="B29" s="236" t="s">
        <v>547</v>
      </c>
      <c r="C29" s="239">
        <v>58.500000000000007</v>
      </c>
      <c r="D29" s="481"/>
      <c r="E29" s="236">
        <v>55</v>
      </c>
      <c r="F29" s="236" t="s">
        <v>458</v>
      </c>
      <c r="G29" s="239">
        <v>31.179999999999996</v>
      </c>
      <c r="H29" s="485"/>
      <c r="I29" s="237">
        <v>93</v>
      </c>
      <c r="J29" s="237" t="s">
        <v>649</v>
      </c>
      <c r="K29" s="238">
        <v>67.300000000000011</v>
      </c>
    </row>
    <row r="30" spans="1:11" x14ac:dyDescent="0.25">
      <c r="A30" s="224">
        <v>24</v>
      </c>
      <c r="B30" s="237" t="s">
        <v>548</v>
      </c>
      <c r="C30" s="238">
        <v>9.9799999999999986</v>
      </c>
      <c r="D30" s="481"/>
      <c r="E30" s="237">
        <v>56</v>
      </c>
      <c r="F30" s="237" t="s">
        <v>459</v>
      </c>
      <c r="G30" s="238">
        <v>77.580000000000013</v>
      </c>
      <c r="H30" s="485"/>
      <c r="I30" s="236">
        <v>94</v>
      </c>
      <c r="J30" s="236" t="s">
        <v>383</v>
      </c>
      <c r="K30" s="239">
        <v>110.50999999999999</v>
      </c>
    </row>
    <row r="31" spans="1:11" x14ac:dyDescent="0.25">
      <c r="A31" s="224">
        <v>25</v>
      </c>
      <c r="B31" s="236" t="s">
        <v>549</v>
      </c>
      <c r="C31" s="239">
        <v>11.649999999999999</v>
      </c>
      <c r="D31" s="481"/>
      <c r="E31" s="236">
        <v>57</v>
      </c>
      <c r="F31" s="236" t="s">
        <v>462</v>
      </c>
      <c r="G31" s="239">
        <v>85.8</v>
      </c>
      <c r="H31" s="485"/>
      <c r="I31" s="237">
        <v>95</v>
      </c>
      <c r="J31" s="237" t="s">
        <v>384</v>
      </c>
      <c r="K31" s="238">
        <v>41.2</v>
      </c>
    </row>
    <row r="32" spans="1:11" x14ac:dyDescent="0.25">
      <c r="A32" s="224">
        <v>26</v>
      </c>
      <c r="B32" s="237" t="s">
        <v>551</v>
      </c>
      <c r="C32" s="238">
        <v>64.12</v>
      </c>
      <c r="D32" s="481"/>
      <c r="E32" s="237">
        <v>58</v>
      </c>
      <c r="F32" s="237" t="s">
        <v>463</v>
      </c>
      <c r="G32" s="238">
        <v>83.96</v>
      </c>
      <c r="H32" s="485"/>
      <c r="I32" s="236">
        <v>96</v>
      </c>
      <c r="J32" s="236" t="s">
        <v>385</v>
      </c>
      <c r="K32" s="239">
        <v>83.02000000000001</v>
      </c>
    </row>
    <row r="33" spans="1:11" x14ac:dyDescent="0.25">
      <c r="A33" s="224">
        <v>27</v>
      </c>
      <c r="B33" s="236" t="s">
        <v>552</v>
      </c>
      <c r="C33" s="239">
        <v>69.2</v>
      </c>
      <c r="D33" s="481"/>
      <c r="E33" s="236">
        <v>59</v>
      </c>
      <c r="F33" s="236" t="s">
        <v>464</v>
      </c>
      <c r="G33" s="239">
        <v>75.38</v>
      </c>
      <c r="H33" s="485"/>
      <c r="I33" s="237">
        <v>97</v>
      </c>
      <c r="J33" s="237" t="s">
        <v>386</v>
      </c>
      <c r="K33" s="238">
        <v>35.69</v>
      </c>
    </row>
    <row r="34" spans="1:11" x14ac:dyDescent="0.25">
      <c r="A34" s="224">
        <v>28</v>
      </c>
      <c r="B34" s="237" t="s">
        <v>554</v>
      </c>
      <c r="C34" s="238">
        <v>36.450000000000003</v>
      </c>
      <c r="D34" s="481"/>
      <c r="E34" s="237">
        <v>60</v>
      </c>
      <c r="F34" s="237" t="s">
        <v>466</v>
      </c>
      <c r="G34" s="238">
        <v>84.5</v>
      </c>
      <c r="H34" s="485"/>
      <c r="I34" s="236">
        <v>98</v>
      </c>
      <c r="J34" s="236" t="s">
        <v>387</v>
      </c>
      <c r="K34" s="239">
        <v>38.4</v>
      </c>
    </row>
    <row r="35" spans="1:11" x14ac:dyDescent="0.25">
      <c r="A35" s="224">
        <v>29</v>
      </c>
      <c r="B35" s="236" t="s">
        <v>555</v>
      </c>
      <c r="C35" s="239">
        <v>92.15</v>
      </c>
      <c r="D35" s="481"/>
      <c r="E35" s="236">
        <v>61</v>
      </c>
      <c r="F35" s="236" t="s">
        <v>467</v>
      </c>
      <c r="G35" s="239">
        <v>87.4</v>
      </c>
      <c r="H35" s="485"/>
      <c r="I35" s="237">
        <v>99</v>
      </c>
      <c r="J35" s="237" t="s">
        <v>388</v>
      </c>
      <c r="K35" s="238">
        <v>103.5</v>
      </c>
    </row>
    <row r="36" spans="1:11" x14ac:dyDescent="0.25">
      <c r="A36" s="224">
        <v>30</v>
      </c>
      <c r="B36" s="237" t="s">
        <v>556</v>
      </c>
      <c r="C36" s="238">
        <v>94.82</v>
      </c>
      <c r="D36" s="481"/>
      <c r="E36" s="237">
        <v>62</v>
      </c>
      <c r="F36" s="237" t="s">
        <v>469</v>
      </c>
      <c r="G36" s="238">
        <v>103.34</v>
      </c>
      <c r="H36" s="485"/>
      <c r="I36" s="236">
        <v>100</v>
      </c>
      <c r="J36" s="236" t="s">
        <v>389</v>
      </c>
      <c r="K36" s="239">
        <v>37</v>
      </c>
    </row>
    <row r="37" spans="1:11" x14ac:dyDescent="0.25">
      <c r="A37" s="224">
        <v>31</v>
      </c>
      <c r="B37" s="236" t="s">
        <v>557</v>
      </c>
      <c r="C37" s="239">
        <v>105.7</v>
      </c>
      <c r="D37" s="481"/>
      <c r="E37" s="236">
        <v>63</v>
      </c>
      <c r="F37" s="236" t="s">
        <v>471</v>
      </c>
      <c r="G37" s="239">
        <v>100.7</v>
      </c>
      <c r="H37" s="485"/>
      <c r="I37" s="237">
        <v>101</v>
      </c>
      <c r="J37" s="237" t="s">
        <v>391</v>
      </c>
      <c r="K37" s="238">
        <v>86.32</v>
      </c>
    </row>
    <row r="38" spans="1:11" x14ac:dyDescent="0.25">
      <c r="A38" s="224">
        <v>32</v>
      </c>
      <c r="B38" s="237" t="s">
        <v>558</v>
      </c>
      <c r="C38" s="238">
        <v>78</v>
      </c>
      <c r="D38" s="481"/>
      <c r="E38" s="237">
        <v>64</v>
      </c>
      <c r="F38" s="237" t="s">
        <v>473</v>
      </c>
      <c r="G38" s="238">
        <v>33.099999999999994</v>
      </c>
      <c r="H38" s="485"/>
      <c r="I38" s="236">
        <v>102</v>
      </c>
      <c r="J38" s="236" t="s">
        <v>392</v>
      </c>
      <c r="K38" s="239">
        <v>101.72</v>
      </c>
    </row>
    <row r="39" spans="1:11" x14ac:dyDescent="0.25">
      <c r="A39" s="205"/>
      <c r="B39" s="212" t="s">
        <v>590</v>
      </c>
      <c r="C39" s="364">
        <f>SUM(C7:C38)</f>
        <v>1856.9100000000003</v>
      </c>
      <c r="D39" s="481"/>
      <c r="E39" s="236">
        <v>65</v>
      </c>
      <c r="F39" s="236" t="s">
        <v>475</v>
      </c>
      <c r="G39" s="239">
        <v>38.9</v>
      </c>
      <c r="H39" s="485"/>
      <c r="I39" s="237">
        <v>103</v>
      </c>
      <c r="J39" s="237" t="s">
        <v>393</v>
      </c>
      <c r="K39" s="238">
        <v>83.5</v>
      </c>
    </row>
    <row r="40" spans="1:11" x14ac:dyDescent="0.25">
      <c r="A40" s="480"/>
      <c r="B40" s="480"/>
      <c r="C40" s="480"/>
      <c r="D40" s="481"/>
      <c r="E40" s="237">
        <v>66</v>
      </c>
      <c r="F40" s="237" t="s">
        <v>476</v>
      </c>
      <c r="G40" s="238">
        <v>102.8</v>
      </c>
      <c r="H40" s="485"/>
      <c r="I40" s="236">
        <v>104</v>
      </c>
      <c r="J40" s="236" t="s">
        <v>394</v>
      </c>
      <c r="K40" s="239">
        <v>36.67</v>
      </c>
    </row>
    <row r="41" spans="1:11" x14ac:dyDescent="0.25">
      <c r="A41" s="481"/>
      <c r="B41" s="481"/>
      <c r="C41" s="481"/>
      <c r="D41" s="481"/>
      <c r="E41" s="236">
        <v>67</v>
      </c>
      <c r="F41" s="236" t="s">
        <v>477</v>
      </c>
      <c r="G41" s="239">
        <v>39</v>
      </c>
      <c r="H41" s="485"/>
      <c r="I41" s="237">
        <v>105</v>
      </c>
      <c r="J41" s="237" t="s">
        <v>395</v>
      </c>
      <c r="K41" s="238">
        <v>61.79</v>
      </c>
    </row>
    <row r="42" spans="1:11" x14ac:dyDescent="0.25">
      <c r="A42" s="481"/>
      <c r="B42" s="481"/>
      <c r="C42" s="481"/>
      <c r="D42" s="481"/>
      <c r="E42" s="237">
        <v>68</v>
      </c>
      <c r="F42" s="237" t="s">
        <v>478</v>
      </c>
      <c r="G42" s="238">
        <v>116.25</v>
      </c>
      <c r="H42" s="485"/>
      <c r="I42" s="243"/>
      <c r="J42" s="212" t="s">
        <v>590</v>
      </c>
      <c r="K42" s="239">
        <f>SUM(K7:K41)</f>
        <v>2795.39</v>
      </c>
    </row>
    <row r="43" spans="1:11" x14ac:dyDescent="0.25">
      <c r="A43" s="481"/>
      <c r="B43" s="481"/>
      <c r="C43" s="481"/>
      <c r="D43" s="481"/>
      <c r="E43" s="236">
        <v>69</v>
      </c>
      <c r="F43" s="236" t="s">
        <v>479</v>
      </c>
      <c r="G43" s="239">
        <v>83.5</v>
      </c>
      <c r="H43" s="485"/>
      <c r="I43" s="480"/>
      <c r="J43" s="480"/>
      <c r="K43" s="480"/>
    </row>
    <row r="44" spans="1:11" x14ac:dyDescent="0.25">
      <c r="A44" s="481"/>
      <c r="B44" s="481"/>
      <c r="C44" s="481"/>
      <c r="D44" s="481"/>
      <c r="E44" s="237">
        <v>70</v>
      </c>
      <c r="F44" s="237" t="s">
        <v>480</v>
      </c>
      <c r="G44" s="238">
        <v>100.77</v>
      </c>
      <c r="H44" s="485"/>
      <c r="I44" s="481"/>
      <c r="J44" s="481"/>
      <c r="K44" s="481"/>
    </row>
    <row r="45" spans="1:11" x14ac:dyDescent="0.25">
      <c r="A45" s="481"/>
      <c r="B45" s="481"/>
      <c r="C45" s="481"/>
      <c r="D45" s="481"/>
      <c r="F45" s="212" t="s">
        <v>590</v>
      </c>
      <c r="G45" s="239">
        <f>SUM(G7:G44)</f>
        <v>2978.28</v>
      </c>
      <c r="H45" s="485"/>
      <c r="I45" s="481"/>
      <c r="J45" s="481"/>
      <c r="K45" s="481"/>
    </row>
  </sheetData>
  <mergeCells count="10">
    <mergeCell ref="I43:K45"/>
    <mergeCell ref="A40:C45"/>
    <mergeCell ref="D6:D45"/>
    <mergeCell ref="H6:H45"/>
    <mergeCell ref="A1:J1"/>
    <mergeCell ref="K1:K4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activeCell="E18" sqref="E18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76" t="s">
        <v>586</v>
      </c>
      <c r="B1" s="476"/>
      <c r="C1" s="476"/>
      <c r="D1" s="476"/>
      <c r="E1" s="476"/>
      <c r="F1" s="476"/>
      <c r="G1" s="476"/>
      <c r="H1" s="476"/>
      <c r="I1" s="476"/>
      <c r="J1" s="476"/>
      <c r="K1" s="486"/>
    </row>
    <row r="2" spans="1:11" ht="18" customHeight="1" x14ac:dyDescent="0.25">
      <c r="A2" s="233" t="s">
        <v>580</v>
      </c>
      <c r="B2" s="476" t="s">
        <v>789</v>
      </c>
      <c r="C2" s="476"/>
      <c r="D2" s="476"/>
      <c r="E2" s="476"/>
      <c r="F2" s="476"/>
      <c r="G2" s="476"/>
      <c r="H2" s="476"/>
      <c r="I2" s="255" t="s">
        <v>583</v>
      </c>
      <c r="J2" s="255" t="s">
        <v>584</v>
      </c>
      <c r="K2" s="486"/>
    </row>
    <row r="3" spans="1:11" ht="36" customHeight="1" x14ac:dyDescent="0.25">
      <c r="A3" s="233">
        <v>1</v>
      </c>
      <c r="B3" s="483" t="s">
        <v>791</v>
      </c>
      <c r="C3" s="483"/>
      <c r="D3" s="483"/>
      <c r="E3" s="483"/>
      <c r="F3" s="483"/>
      <c r="G3" s="483"/>
      <c r="H3" s="483"/>
      <c r="I3" s="253" t="s">
        <v>571</v>
      </c>
      <c r="J3" s="256">
        <f>C35+G40+K31</f>
        <v>9286.130000000001</v>
      </c>
      <c r="K3" s="486"/>
    </row>
    <row r="4" spans="1:11" ht="37.200000000000003" customHeight="1" x14ac:dyDescent="0.25">
      <c r="A4" s="233">
        <v>2</v>
      </c>
      <c r="B4" s="484" t="s">
        <v>790</v>
      </c>
      <c r="C4" s="484"/>
      <c r="D4" s="484"/>
      <c r="E4" s="484"/>
      <c r="F4" s="484"/>
      <c r="G4" s="484"/>
      <c r="H4" s="484"/>
      <c r="I4" s="253" t="s">
        <v>788</v>
      </c>
      <c r="J4" s="256">
        <v>18.93</v>
      </c>
      <c r="K4" s="486"/>
    </row>
    <row r="5" spans="1:11" ht="8.4" customHeight="1" x14ac:dyDescent="0.25">
      <c r="A5" s="482"/>
      <c r="B5" s="482"/>
      <c r="C5" s="482"/>
      <c r="D5" s="482"/>
      <c r="E5" s="482"/>
      <c r="F5" s="482"/>
      <c r="G5" s="482"/>
      <c r="H5" s="482"/>
      <c r="I5" s="482"/>
      <c r="J5" s="482"/>
      <c r="K5" s="482"/>
    </row>
    <row r="6" spans="1:11" x14ac:dyDescent="0.25">
      <c r="A6" s="226" t="s">
        <v>580</v>
      </c>
      <c r="B6" s="227" t="s">
        <v>693</v>
      </c>
      <c r="C6" s="228" t="s">
        <v>588</v>
      </c>
      <c r="D6" s="480"/>
      <c r="E6" s="249" t="s">
        <v>580</v>
      </c>
      <c r="F6" s="250" t="s">
        <v>693</v>
      </c>
      <c r="G6" s="251" t="s">
        <v>588</v>
      </c>
      <c r="H6" s="481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481"/>
      <c r="E7" s="243">
        <v>29</v>
      </c>
      <c r="F7" s="234" t="s">
        <v>729</v>
      </c>
      <c r="G7" s="244">
        <v>48</v>
      </c>
      <c r="H7" s="481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481"/>
      <c r="E8" s="245">
        <v>30</v>
      </c>
      <c r="F8" s="235" t="s">
        <v>730</v>
      </c>
      <c r="G8" s="246">
        <v>110.2</v>
      </c>
      <c r="H8" s="481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481"/>
      <c r="E9" s="243">
        <v>31</v>
      </c>
      <c r="F9" s="234" t="s">
        <v>731</v>
      </c>
      <c r="G9" s="244">
        <v>76</v>
      </c>
      <c r="H9" s="481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481"/>
      <c r="E10" s="245">
        <v>32</v>
      </c>
      <c r="F10" s="235" t="s">
        <v>732</v>
      </c>
      <c r="G10" s="246">
        <v>108.3</v>
      </c>
      <c r="H10" s="481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481"/>
      <c r="E11" s="243">
        <v>33</v>
      </c>
      <c r="F11" s="234" t="s">
        <v>733</v>
      </c>
      <c r="G11" s="244">
        <v>43.9</v>
      </c>
      <c r="H11" s="481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481"/>
      <c r="E12" s="245">
        <v>34</v>
      </c>
      <c r="F12" s="235" t="s">
        <v>734</v>
      </c>
      <c r="G12" s="246">
        <v>127.2</v>
      </c>
      <c r="H12" s="481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481"/>
      <c r="E13" s="243">
        <v>35</v>
      </c>
      <c r="F13" s="234" t="s">
        <v>735</v>
      </c>
      <c r="G13" s="244">
        <v>92.5</v>
      </c>
      <c r="H13" s="481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481"/>
      <c r="E14" s="245">
        <v>36</v>
      </c>
      <c r="F14" s="237" t="s">
        <v>736</v>
      </c>
      <c r="G14" s="238">
        <v>287.7</v>
      </c>
      <c r="H14" s="481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481"/>
      <c r="E15" s="243">
        <v>37</v>
      </c>
      <c r="F15" s="236" t="s">
        <v>737</v>
      </c>
      <c r="G15" s="239">
        <v>80.3</v>
      </c>
      <c r="H15" s="481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481"/>
      <c r="E16" s="245">
        <v>38</v>
      </c>
      <c r="F16" s="237" t="s">
        <v>738</v>
      </c>
      <c r="G16" s="238">
        <v>266.39999999999998</v>
      </c>
      <c r="H16" s="481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481"/>
      <c r="E17" s="243">
        <v>39</v>
      </c>
      <c r="F17" s="236" t="s">
        <v>739</v>
      </c>
      <c r="G17" s="239">
        <v>106.3</v>
      </c>
      <c r="H17" s="481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481"/>
      <c r="E18" s="245">
        <v>40</v>
      </c>
      <c r="F18" s="237" t="s">
        <v>740</v>
      </c>
      <c r="G18" s="238">
        <v>104.5</v>
      </c>
      <c r="H18" s="481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481"/>
      <c r="E19" s="243">
        <v>41</v>
      </c>
      <c r="F19" s="236" t="s">
        <v>741</v>
      </c>
      <c r="G19" s="239">
        <v>102.3</v>
      </c>
      <c r="H19" s="481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481"/>
      <c r="E20" s="245">
        <v>42</v>
      </c>
      <c r="F20" s="237" t="s">
        <v>742</v>
      </c>
      <c r="G20" s="238">
        <v>105.3</v>
      </c>
      <c r="H20" s="481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481"/>
      <c r="E21" s="243">
        <v>43</v>
      </c>
      <c r="F21" s="236" t="s">
        <v>743</v>
      </c>
      <c r="G21" s="239">
        <v>173.9</v>
      </c>
      <c r="H21" s="481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481"/>
      <c r="E22" s="245">
        <v>44</v>
      </c>
      <c r="F22" s="237" t="s">
        <v>744</v>
      </c>
      <c r="G22" s="238">
        <v>78.7</v>
      </c>
      <c r="H22" s="481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481"/>
      <c r="E23" s="243">
        <v>45</v>
      </c>
      <c r="F23" s="236" t="s">
        <v>745</v>
      </c>
      <c r="G23" s="239">
        <v>73.8</v>
      </c>
      <c r="H23" s="481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481"/>
      <c r="E24" s="245">
        <v>46</v>
      </c>
      <c r="F24" s="237" t="s">
        <v>746</v>
      </c>
      <c r="G24" s="238">
        <v>103.6</v>
      </c>
      <c r="H24" s="481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481"/>
      <c r="E25" s="243">
        <v>47</v>
      </c>
      <c r="F25" s="236" t="s">
        <v>747</v>
      </c>
      <c r="G25" s="239">
        <v>94.6</v>
      </c>
      <c r="H25" s="481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481"/>
      <c r="E26" s="245">
        <v>48</v>
      </c>
      <c r="F26" s="237" t="s">
        <v>748</v>
      </c>
      <c r="G26" s="238">
        <v>15</v>
      </c>
      <c r="H26" s="481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481"/>
      <c r="E27" s="243">
        <v>49</v>
      </c>
      <c r="F27" s="236" t="s">
        <v>749</v>
      </c>
      <c r="G27" s="239">
        <v>10</v>
      </c>
      <c r="H27" s="481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481"/>
      <c r="E28" s="245">
        <v>50</v>
      </c>
      <c r="F28" s="237" t="s">
        <v>750</v>
      </c>
      <c r="G28" s="238">
        <v>10</v>
      </c>
      <c r="H28" s="481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481"/>
      <c r="E29" s="243">
        <v>51</v>
      </c>
      <c r="F29" s="236" t="s">
        <v>751</v>
      </c>
      <c r="G29" s="239">
        <v>170</v>
      </c>
      <c r="H29" s="481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481"/>
      <c r="E30" s="245">
        <v>52</v>
      </c>
      <c r="F30" s="237" t="s">
        <v>752</v>
      </c>
      <c r="G30" s="238">
        <v>90.38</v>
      </c>
      <c r="H30" s="481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481"/>
      <c r="E31" s="243">
        <v>53</v>
      </c>
      <c r="F31" s="236" t="s">
        <v>753</v>
      </c>
      <c r="G31" s="239">
        <v>93.81</v>
      </c>
      <c r="H31" s="481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481"/>
      <c r="E32" s="245">
        <v>54</v>
      </c>
      <c r="F32" s="237" t="s">
        <v>754</v>
      </c>
      <c r="G32" s="238">
        <v>93.37</v>
      </c>
      <c r="H32" s="481"/>
      <c r="I32" s="480"/>
      <c r="J32" s="480"/>
      <c r="K32" s="480"/>
    </row>
    <row r="33" spans="1:11" x14ac:dyDescent="0.25">
      <c r="A33" s="224">
        <v>27</v>
      </c>
      <c r="B33" s="221" t="s">
        <v>727</v>
      </c>
      <c r="C33" s="225">
        <v>82.94</v>
      </c>
      <c r="D33" s="481"/>
      <c r="E33" s="243">
        <v>55</v>
      </c>
      <c r="F33" s="236" t="s">
        <v>755</v>
      </c>
      <c r="G33" s="239">
        <f>82+107.45</f>
        <v>189.45</v>
      </c>
      <c r="H33" s="481"/>
      <c r="I33" s="481"/>
      <c r="J33" s="481"/>
      <c r="K33" s="481"/>
    </row>
    <row r="34" spans="1:11" x14ac:dyDescent="0.25">
      <c r="A34" s="224">
        <v>28</v>
      </c>
      <c r="B34" s="221" t="s">
        <v>728</v>
      </c>
      <c r="C34" s="225">
        <v>71.62</v>
      </c>
      <c r="D34" s="481"/>
      <c r="E34" s="245">
        <v>56</v>
      </c>
      <c r="F34" s="237" t="s">
        <v>756</v>
      </c>
      <c r="G34" s="238">
        <v>130.38</v>
      </c>
      <c r="H34" s="481"/>
      <c r="I34" s="481"/>
      <c r="J34" s="481"/>
      <c r="K34" s="481"/>
    </row>
    <row r="35" spans="1:11" x14ac:dyDescent="0.25">
      <c r="A35" s="205"/>
      <c r="B35" s="212" t="s">
        <v>590</v>
      </c>
      <c r="C35" s="207">
        <f>SUM(C7:C34)</f>
        <v>3113.3399999999997</v>
      </c>
      <c r="D35" s="481"/>
      <c r="E35" s="243">
        <v>57</v>
      </c>
      <c r="F35" s="236" t="s">
        <v>757</v>
      </c>
      <c r="G35" s="239">
        <v>90.9</v>
      </c>
      <c r="H35" s="481"/>
      <c r="I35" s="481"/>
      <c r="J35" s="481"/>
      <c r="K35" s="481"/>
    </row>
    <row r="36" spans="1:11" x14ac:dyDescent="0.25">
      <c r="A36" s="480"/>
      <c r="B36" s="480"/>
      <c r="C36" s="480"/>
      <c r="D36" s="481"/>
      <c r="E36" s="245">
        <v>58</v>
      </c>
      <c r="F36" s="237" t="s">
        <v>758</v>
      </c>
      <c r="G36" s="238">
        <v>86.81</v>
      </c>
      <c r="H36" s="481"/>
      <c r="I36" s="481"/>
      <c r="J36" s="481"/>
      <c r="K36" s="481"/>
    </row>
    <row r="37" spans="1:11" x14ac:dyDescent="0.25">
      <c r="A37" s="481"/>
      <c r="B37" s="481"/>
      <c r="C37" s="481"/>
      <c r="D37" s="481"/>
      <c r="E37" s="243">
        <v>59</v>
      </c>
      <c r="F37" s="236" t="s">
        <v>759</v>
      </c>
      <c r="G37" s="239">
        <v>91.84</v>
      </c>
      <c r="H37" s="481"/>
      <c r="I37" s="481"/>
      <c r="J37" s="481"/>
      <c r="K37" s="481"/>
    </row>
    <row r="38" spans="1:11" x14ac:dyDescent="0.25">
      <c r="A38" s="481"/>
      <c r="B38" s="481"/>
      <c r="C38" s="481"/>
      <c r="D38" s="481"/>
      <c r="E38" s="245">
        <v>60</v>
      </c>
      <c r="F38" s="237" t="s">
        <v>760</v>
      </c>
      <c r="G38" s="238">
        <v>133.22999999999999</v>
      </c>
      <c r="H38" s="481"/>
      <c r="I38" s="481"/>
      <c r="J38" s="481"/>
      <c r="K38" s="481"/>
    </row>
    <row r="39" spans="1:11" x14ac:dyDescent="0.25">
      <c r="A39" s="481"/>
      <c r="B39" s="481"/>
      <c r="C39" s="481"/>
      <c r="D39" s="481"/>
      <c r="E39" s="243">
        <v>61</v>
      </c>
      <c r="F39" s="236" t="s">
        <v>761</v>
      </c>
      <c r="G39" s="239">
        <v>70</v>
      </c>
      <c r="H39" s="481"/>
      <c r="I39" s="481"/>
      <c r="J39" s="481"/>
      <c r="K39" s="481"/>
    </row>
    <row r="40" spans="1:11" x14ac:dyDescent="0.25">
      <c r="A40" s="481"/>
      <c r="B40" s="481"/>
      <c r="C40" s="481"/>
      <c r="D40" s="481"/>
      <c r="E40" s="205"/>
      <c r="F40" s="212" t="s">
        <v>590</v>
      </c>
      <c r="G40" s="207">
        <f>SUM(G7:G39)</f>
        <v>3458.67</v>
      </c>
      <c r="H40" s="481"/>
      <c r="I40" s="481"/>
      <c r="J40" s="481"/>
      <c r="K40" s="481"/>
    </row>
  </sheetData>
  <mergeCells count="10">
    <mergeCell ref="D6:D40"/>
    <mergeCell ref="H6:H40"/>
    <mergeCell ref="I32:K40"/>
    <mergeCell ref="A36:C40"/>
    <mergeCell ref="K1:K4"/>
    <mergeCell ref="A1:J1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400"/>
  <sheetViews>
    <sheetView topLeftCell="A16" zoomScale="70" zoomScaleNormal="70" workbookViewId="0">
      <selection activeCell="D19" sqref="D19:E20"/>
    </sheetView>
  </sheetViews>
  <sheetFormatPr defaultRowHeight="14.4" x14ac:dyDescent="0.3"/>
  <cols>
    <col min="1" max="1" width="20" style="260" customWidth="1"/>
    <col min="2" max="2" width="21.77734375" style="260" bestFit="1" customWidth="1"/>
    <col min="3" max="3" width="79.88671875" style="260" customWidth="1"/>
    <col min="4" max="5" width="38" style="260" customWidth="1"/>
    <col min="6" max="6" width="16.44140625" style="260" customWidth="1"/>
    <col min="7" max="7" width="16.88671875" style="260" customWidth="1"/>
    <col min="8" max="8" width="16" style="260" customWidth="1"/>
    <col min="9" max="9" width="17.33203125" style="260" customWidth="1"/>
    <col min="10" max="16384" width="8.88671875" style="260"/>
  </cols>
  <sheetData>
    <row r="1" spans="1:9" ht="15" customHeight="1" x14ac:dyDescent="0.3">
      <c r="A1" s="257" t="s">
        <v>804</v>
      </c>
      <c r="B1" s="258"/>
      <c r="C1" s="258"/>
      <c r="D1" s="259" t="s">
        <v>805</v>
      </c>
      <c r="E1" s="259"/>
      <c r="F1" s="259" t="s">
        <v>806</v>
      </c>
      <c r="G1" s="259" t="s">
        <v>807</v>
      </c>
      <c r="H1" s="259" t="s">
        <v>808</v>
      </c>
      <c r="I1" s="259" t="s">
        <v>809</v>
      </c>
    </row>
    <row r="2" spans="1:9" ht="30.75" customHeight="1" x14ac:dyDescent="0.3">
      <c r="A2" s="487" t="s">
        <v>810</v>
      </c>
      <c r="B2" s="487"/>
      <c r="C2" s="487"/>
      <c r="D2" s="487"/>
      <c r="E2" s="487"/>
      <c r="F2" s="487"/>
      <c r="G2" s="487"/>
      <c r="H2" s="487"/>
      <c r="I2" s="487"/>
    </row>
    <row r="3" spans="1:9" ht="15" customHeight="1" x14ac:dyDescent="0.3">
      <c r="A3" s="488" t="s">
        <v>811</v>
      </c>
      <c r="B3" s="488"/>
      <c r="C3" s="488"/>
      <c r="D3" s="488"/>
      <c r="E3" s="488"/>
      <c r="F3" s="488"/>
      <c r="G3" s="488"/>
      <c r="H3" s="488"/>
      <c r="I3" s="488"/>
    </row>
    <row r="4" spans="1:9" ht="15" customHeight="1" x14ac:dyDescent="0.3">
      <c r="A4" s="489" t="s">
        <v>812</v>
      </c>
      <c r="B4" s="489"/>
      <c r="C4" s="489"/>
      <c r="D4" s="489"/>
      <c r="E4" s="489"/>
      <c r="F4" s="489"/>
      <c r="G4" s="489"/>
      <c r="H4" s="489"/>
      <c r="I4" s="489"/>
    </row>
    <row r="5" spans="1:9" ht="40.799999999999997" customHeight="1" x14ac:dyDescent="0.3">
      <c r="A5" s="278" t="s">
        <v>813</v>
      </c>
      <c r="B5" s="270" t="s">
        <v>814</v>
      </c>
      <c r="C5" s="270" t="s">
        <v>581</v>
      </c>
      <c r="D5" s="270" t="s">
        <v>815</v>
      </c>
      <c r="E5" s="270" t="s">
        <v>816</v>
      </c>
      <c r="F5" s="270" t="s">
        <v>583</v>
      </c>
      <c r="G5" s="270" t="s">
        <v>817</v>
      </c>
      <c r="H5" s="270" t="s">
        <v>818</v>
      </c>
      <c r="I5" s="279" t="s">
        <v>819</v>
      </c>
    </row>
    <row r="6" spans="1:9" ht="30" customHeight="1" x14ac:dyDescent="0.3">
      <c r="A6" s="273" t="s">
        <v>820</v>
      </c>
      <c r="B6" s="273"/>
      <c r="C6" s="273"/>
      <c r="D6" s="273"/>
      <c r="E6" s="273"/>
      <c r="F6" s="273"/>
      <c r="G6" s="273"/>
      <c r="H6" s="273"/>
      <c r="I6" s="273"/>
    </row>
    <row r="7" spans="1:9" ht="16.95" customHeight="1" x14ac:dyDescent="0.3">
      <c r="A7" s="274" t="s">
        <v>821</v>
      </c>
      <c r="B7" s="261" t="s">
        <v>822</v>
      </c>
      <c r="C7" s="271" t="s">
        <v>823</v>
      </c>
      <c r="D7" s="272"/>
      <c r="E7" s="272"/>
      <c r="F7" s="272"/>
      <c r="G7" s="272"/>
      <c r="H7" s="272"/>
      <c r="I7" s="272"/>
    </row>
    <row r="8" spans="1:9" ht="16.95" customHeight="1" x14ac:dyDescent="0.3">
      <c r="A8" s="274" t="s">
        <v>824</v>
      </c>
      <c r="B8" s="261" t="s">
        <v>825</v>
      </c>
      <c r="C8" s="271" t="s">
        <v>826</v>
      </c>
      <c r="D8" s="272"/>
      <c r="E8" s="272"/>
      <c r="F8" s="272"/>
      <c r="G8" s="272"/>
      <c r="H8" s="272"/>
      <c r="I8" s="272"/>
    </row>
    <row r="9" spans="1:9" ht="16.95" customHeight="1" x14ac:dyDescent="0.3">
      <c r="A9" s="274" t="s">
        <v>827</v>
      </c>
      <c r="B9" s="261" t="s">
        <v>828</v>
      </c>
      <c r="C9" s="271" t="s">
        <v>829</v>
      </c>
      <c r="D9" s="272"/>
      <c r="E9" s="272"/>
      <c r="F9" s="272"/>
      <c r="G9" s="272"/>
      <c r="H9" s="272"/>
      <c r="I9" s="272"/>
    </row>
    <row r="10" spans="1:9" ht="16.95" customHeight="1" x14ac:dyDescent="0.3">
      <c r="A10" s="274" t="s">
        <v>830</v>
      </c>
      <c r="B10" s="261" t="s">
        <v>831</v>
      </c>
      <c r="C10" s="271" t="s">
        <v>832</v>
      </c>
      <c r="D10" s="272"/>
      <c r="E10" s="272"/>
      <c r="F10" s="272"/>
      <c r="G10" s="272"/>
      <c r="H10" s="272"/>
      <c r="I10" s="272"/>
    </row>
    <row r="11" spans="1:9" ht="16.95" customHeight="1" x14ac:dyDescent="0.3">
      <c r="A11" s="274" t="s">
        <v>833</v>
      </c>
      <c r="B11" s="261" t="s">
        <v>834</v>
      </c>
      <c r="C11" s="271" t="s">
        <v>835</v>
      </c>
      <c r="D11" s="272"/>
      <c r="E11" s="272"/>
      <c r="F11" s="272"/>
      <c r="G11" s="272"/>
      <c r="H11" s="272"/>
      <c r="I11" s="272"/>
    </row>
    <row r="12" spans="1:9" ht="91.05" customHeight="1" x14ac:dyDescent="0.3">
      <c r="A12" s="274" t="s">
        <v>836</v>
      </c>
      <c r="B12" s="261" t="s">
        <v>837</v>
      </c>
      <c r="C12" s="262" t="s">
        <v>838</v>
      </c>
      <c r="D12" s="263"/>
      <c r="E12" s="263" t="s">
        <v>839</v>
      </c>
      <c r="F12" s="263" t="s">
        <v>571</v>
      </c>
      <c r="G12" s="264">
        <v>1</v>
      </c>
      <c r="H12" s="264"/>
      <c r="I12" s="275">
        <v>1707.54</v>
      </c>
    </row>
    <row r="13" spans="1:9" ht="87.45" customHeight="1" x14ac:dyDescent="0.3">
      <c r="A13" s="274" t="s">
        <v>840</v>
      </c>
      <c r="B13" s="261" t="s">
        <v>837</v>
      </c>
      <c r="C13" s="262" t="s">
        <v>838</v>
      </c>
      <c r="D13" s="263"/>
      <c r="E13" s="263" t="s">
        <v>841</v>
      </c>
      <c r="F13" s="263" t="s">
        <v>571</v>
      </c>
      <c r="G13" s="264">
        <v>1</v>
      </c>
      <c r="H13" s="264"/>
      <c r="I13" s="275">
        <v>2357.59</v>
      </c>
    </row>
    <row r="14" spans="1:9" ht="16.95" customHeight="1" x14ac:dyDescent="0.3">
      <c r="A14" s="274" t="s">
        <v>842</v>
      </c>
      <c r="B14" s="261" t="s">
        <v>843</v>
      </c>
      <c r="C14" s="271" t="s">
        <v>844</v>
      </c>
      <c r="D14" s="272"/>
      <c r="E14" s="272"/>
      <c r="F14" s="272"/>
      <c r="G14" s="272"/>
      <c r="H14" s="272"/>
      <c r="I14" s="272"/>
    </row>
    <row r="15" spans="1:9" ht="16.95" customHeight="1" x14ac:dyDescent="0.3">
      <c r="A15" s="274" t="s">
        <v>845</v>
      </c>
      <c r="B15" s="261" t="s">
        <v>846</v>
      </c>
      <c r="C15" s="271" t="s">
        <v>847</v>
      </c>
      <c r="D15" s="272"/>
      <c r="E15" s="272"/>
      <c r="F15" s="272"/>
      <c r="G15" s="272"/>
      <c r="H15" s="272"/>
      <c r="I15" s="272"/>
    </row>
    <row r="16" spans="1:9" ht="16.95" customHeight="1" x14ac:dyDescent="0.3">
      <c r="A16" s="274" t="s">
        <v>848</v>
      </c>
      <c r="B16" s="261" t="s">
        <v>849</v>
      </c>
      <c r="C16" s="271" t="s">
        <v>850</v>
      </c>
      <c r="D16" s="272"/>
      <c r="E16" s="272"/>
      <c r="F16" s="272"/>
      <c r="G16" s="272"/>
      <c r="H16" s="272"/>
      <c r="I16" s="272"/>
    </row>
    <row r="17" spans="1:9" ht="16.95" customHeight="1" x14ac:dyDescent="0.3">
      <c r="A17" s="274" t="s">
        <v>851</v>
      </c>
      <c r="B17" s="261" t="s">
        <v>852</v>
      </c>
      <c r="C17" s="271" t="s">
        <v>853</v>
      </c>
      <c r="D17" s="272"/>
      <c r="E17" s="272"/>
      <c r="F17" s="272"/>
      <c r="G17" s="272"/>
      <c r="H17" s="272"/>
      <c r="I17" s="272"/>
    </row>
    <row r="18" spans="1:9" ht="16.95" customHeight="1" x14ac:dyDescent="0.3">
      <c r="A18" s="274" t="s">
        <v>854</v>
      </c>
      <c r="B18" s="261" t="s">
        <v>855</v>
      </c>
      <c r="C18" s="271" t="s">
        <v>856</v>
      </c>
      <c r="D18" s="272"/>
      <c r="E18" s="272"/>
      <c r="F18" s="272"/>
      <c r="G18" s="272"/>
      <c r="H18" s="272"/>
      <c r="I18" s="272"/>
    </row>
    <row r="19" spans="1:9" ht="36" x14ac:dyDescent="0.3">
      <c r="A19" s="274" t="s">
        <v>857</v>
      </c>
      <c r="B19" s="261" t="s">
        <v>858</v>
      </c>
      <c r="C19" s="262" t="s">
        <v>859</v>
      </c>
      <c r="D19" s="263"/>
      <c r="E19" s="263"/>
      <c r="F19" s="263" t="s">
        <v>571</v>
      </c>
      <c r="G19" s="264">
        <v>1</v>
      </c>
      <c r="H19" s="264"/>
      <c r="I19" s="275">
        <v>0</v>
      </c>
    </row>
    <row r="20" spans="1:9" ht="54" x14ac:dyDescent="0.3">
      <c r="A20" s="274" t="s">
        <v>860</v>
      </c>
      <c r="B20" s="261"/>
      <c r="C20" s="265" t="s">
        <v>861</v>
      </c>
      <c r="D20" s="263"/>
      <c r="E20" s="263"/>
      <c r="F20" s="266" t="s">
        <v>862</v>
      </c>
      <c r="G20" s="267">
        <v>1</v>
      </c>
      <c r="H20" s="267"/>
      <c r="I20" s="276">
        <v>0</v>
      </c>
    </row>
    <row r="21" spans="1:9" ht="18" x14ac:dyDescent="0.3">
      <c r="A21" s="274" t="s">
        <v>863</v>
      </c>
      <c r="B21" s="261"/>
      <c r="C21" s="268" t="s">
        <v>864</v>
      </c>
      <c r="D21" s="263"/>
      <c r="E21" s="263"/>
      <c r="F21" s="266" t="s">
        <v>571</v>
      </c>
      <c r="G21" s="267">
        <v>4.2</v>
      </c>
      <c r="H21" s="267"/>
      <c r="I21" s="276">
        <v>0</v>
      </c>
    </row>
    <row r="22" spans="1:9" ht="18" x14ac:dyDescent="0.3">
      <c r="A22" s="274" t="s">
        <v>865</v>
      </c>
      <c r="B22" s="261"/>
      <c r="C22" s="268" t="s">
        <v>866</v>
      </c>
      <c r="D22" s="263"/>
      <c r="E22" s="263"/>
      <c r="F22" s="266" t="s">
        <v>867</v>
      </c>
      <c r="G22" s="267">
        <v>4.07</v>
      </c>
      <c r="H22" s="269"/>
      <c r="I22" s="277">
        <v>0</v>
      </c>
    </row>
    <row r="23" spans="1:9" ht="18" x14ac:dyDescent="0.3">
      <c r="A23" s="274" t="s">
        <v>868</v>
      </c>
      <c r="B23" s="261"/>
      <c r="C23" s="268" t="s">
        <v>869</v>
      </c>
      <c r="D23" s="263"/>
      <c r="E23" s="263"/>
      <c r="F23" s="266" t="s">
        <v>867</v>
      </c>
      <c r="G23" s="267">
        <v>1.42</v>
      </c>
      <c r="H23" s="269"/>
      <c r="I23" s="277">
        <v>0</v>
      </c>
    </row>
    <row r="24" spans="1:9" ht="36" x14ac:dyDescent="0.3">
      <c r="A24" s="274" t="s">
        <v>870</v>
      </c>
      <c r="B24" s="261" t="s">
        <v>858</v>
      </c>
      <c r="C24" s="262" t="s">
        <v>859</v>
      </c>
      <c r="D24" s="263"/>
      <c r="E24" s="263"/>
      <c r="F24" s="263" t="s">
        <v>571</v>
      </c>
      <c r="G24" s="264">
        <v>1</v>
      </c>
      <c r="H24" s="264"/>
      <c r="I24" s="275">
        <v>0</v>
      </c>
    </row>
    <row r="25" spans="1:9" ht="18" x14ac:dyDescent="0.3">
      <c r="A25" s="274" t="s">
        <v>871</v>
      </c>
      <c r="B25" s="261"/>
      <c r="C25" s="268" t="s">
        <v>866</v>
      </c>
      <c r="D25" s="263"/>
      <c r="E25" s="263"/>
      <c r="F25" s="266" t="s">
        <v>867</v>
      </c>
      <c r="G25" s="267">
        <v>4.07</v>
      </c>
      <c r="H25" s="269"/>
      <c r="I25" s="277">
        <v>0</v>
      </c>
    </row>
    <row r="26" spans="1:9" ht="18" x14ac:dyDescent="0.3">
      <c r="A26" s="274" t="s">
        <v>872</v>
      </c>
      <c r="B26" s="261"/>
      <c r="C26" s="268" t="s">
        <v>869</v>
      </c>
      <c r="D26" s="263"/>
      <c r="E26" s="263"/>
      <c r="F26" s="266" t="s">
        <v>867</v>
      </c>
      <c r="G26" s="267">
        <v>1.42</v>
      </c>
      <c r="H26" s="269"/>
      <c r="I26" s="277">
        <v>0</v>
      </c>
    </row>
    <row r="27" spans="1:9" ht="18" x14ac:dyDescent="0.3">
      <c r="A27" s="274" t="s">
        <v>873</v>
      </c>
      <c r="B27" s="261"/>
      <c r="C27" s="265" t="s">
        <v>874</v>
      </c>
      <c r="D27" s="263"/>
      <c r="E27" s="263"/>
      <c r="F27" s="266" t="s">
        <v>571</v>
      </c>
      <c r="G27" s="267">
        <v>2.1</v>
      </c>
      <c r="H27" s="267"/>
      <c r="I27" s="276">
        <v>0</v>
      </c>
    </row>
    <row r="28" spans="1:9" ht="54" x14ac:dyDescent="0.3">
      <c r="A28" s="274" t="s">
        <v>875</v>
      </c>
      <c r="B28" s="261"/>
      <c r="C28" s="265" t="s">
        <v>861</v>
      </c>
      <c r="D28" s="263"/>
      <c r="E28" s="263"/>
      <c r="F28" s="266" t="s">
        <v>862</v>
      </c>
      <c r="G28" s="267">
        <v>1</v>
      </c>
      <c r="H28" s="267"/>
      <c r="I28" s="276">
        <v>0</v>
      </c>
    </row>
    <row r="29" spans="1:9" ht="108" customHeight="1" x14ac:dyDescent="0.3">
      <c r="A29" s="274" t="s">
        <v>876</v>
      </c>
      <c r="B29" s="261" t="s">
        <v>858</v>
      </c>
      <c r="C29" s="262" t="s">
        <v>859</v>
      </c>
      <c r="D29" s="263"/>
      <c r="E29" s="263" t="s">
        <v>877</v>
      </c>
      <c r="F29" s="263" t="s">
        <v>571</v>
      </c>
      <c r="G29" s="264">
        <v>1</v>
      </c>
      <c r="H29" s="264"/>
      <c r="I29" s="275">
        <v>6.3</v>
      </c>
    </row>
    <row r="30" spans="1:9" ht="54" x14ac:dyDescent="0.3">
      <c r="A30" s="274" t="s">
        <v>878</v>
      </c>
      <c r="B30" s="261"/>
      <c r="C30" s="265" t="s">
        <v>861</v>
      </c>
      <c r="D30" s="263"/>
      <c r="E30" s="263"/>
      <c r="F30" s="266" t="s">
        <v>862</v>
      </c>
      <c r="G30" s="267">
        <v>1</v>
      </c>
      <c r="H30" s="267"/>
      <c r="I30" s="276">
        <v>6.3</v>
      </c>
    </row>
    <row r="31" spans="1:9" ht="18" x14ac:dyDescent="0.3">
      <c r="A31" s="274" t="s">
        <v>879</v>
      </c>
      <c r="B31" s="261"/>
      <c r="C31" s="268" t="s">
        <v>864</v>
      </c>
      <c r="D31" s="263"/>
      <c r="E31" s="263"/>
      <c r="F31" s="266" t="s">
        <v>571</v>
      </c>
      <c r="G31" s="267">
        <v>4.2</v>
      </c>
      <c r="H31" s="267"/>
      <c r="I31" s="276">
        <v>26.46</v>
      </c>
    </row>
    <row r="32" spans="1:9" ht="18" x14ac:dyDescent="0.3">
      <c r="A32" s="274" t="s">
        <v>880</v>
      </c>
      <c r="B32" s="261"/>
      <c r="C32" s="268" t="s">
        <v>866</v>
      </c>
      <c r="D32" s="263"/>
      <c r="E32" s="263"/>
      <c r="F32" s="266" t="s">
        <v>867</v>
      </c>
      <c r="G32" s="267">
        <v>4.07</v>
      </c>
      <c r="H32" s="269"/>
      <c r="I32" s="277">
        <v>25.640999999999998</v>
      </c>
    </row>
    <row r="33" spans="1:9" ht="18" x14ac:dyDescent="0.3">
      <c r="A33" s="274" t="s">
        <v>881</v>
      </c>
      <c r="B33" s="261"/>
      <c r="C33" s="268" t="s">
        <v>869</v>
      </c>
      <c r="D33" s="263"/>
      <c r="E33" s="263"/>
      <c r="F33" s="266" t="s">
        <v>867</v>
      </c>
      <c r="G33" s="267">
        <v>1.42</v>
      </c>
      <c r="H33" s="269"/>
      <c r="I33" s="277">
        <v>8.9459999999999997</v>
      </c>
    </row>
    <row r="34" spans="1:9" ht="118.05" customHeight="1" x14ac:dyDescent="0.3">
      <c r="A34" s="274" t="s">
        <v>882</v>
      </c>
      <c r="B34" s="261" t="s">
        <v>858</v>
      </c>
      <c r="C34" s="262" t="s">
        <v>859</v>
      </c>
      <c r="D34" s="263"/>
      <c r="E34" s="263" t="s">
        <v>883</v>
      </c>
      <c r="F34" s="263" t="s">
        <v>571</v>
      </c>
      <c r="G34" s="264">
        <v>1</v>
      </c>
      <c r="H34" s="264"/>
      <c r="I34" s="275">
        <v>25.4</v>
      </c>
    </row>
    <row r="35" spans="1:9" ht="18" x14ac:dyDescent="0.3">
      <c r="A35" s="274" t="s">
        <v>884</v>
      </c>
      <c r="B35" s="261"/>
      <c r="C35" s="268" t="s">
        <v>866</v>
      </c>
      <c r="D35" s="263"/>
      <c r="E35" s="263"/>
      <c r="F35" s="266" t="s">
        <v>867</v>
      </c>
      <c r="G35" s="267">
        <v>4.07</v>
      </c>
      <c r="H35" s="269"/>
      <c r="I35" s="277">
        <v>103.378</v>
      </c>
    </row>
    <row r="36" spans="1:9" ht="18" x14ac:dyDescent="0.3">
      <c r="A36" s="274" t="s">
        <v>885</v>
      </c>
      <c r="B36" s="261"/>
      <c r="C36" s="268" t="s">
        <v>869</v>
      </c>
      <c r="D36" s="263"/>
      <c r="E36" s="263"/>
      <c r="F36" s="266" t="s">
        <v>867</v>
      </c>
      <c r="G36" s="267">
        <v>1.42</v>
      </c>
      <c r="H36" s="269"/>
      <c r="I36" s="277">
        <v>36.067999999999998</v>
      </c>
    </row>
    <row r="37" spans="1:9" ht="18" x14ac:dyDescent="0.3">
      <c r="A37" s="274" t="s">
        <v>886</v>
      </c>
      <c r="B37" s="261"/>
      <c r="C37" s="265" t="s">
        <v>874</v>
      </c>
      <c r="D37" s="263"/>
      <c r="E37" s="263" t="s">
        <v>887</v>
      </c>
      <c r="F37" s="266" t="s">
        <v>571</v>
      </c>
      <c r="G37" s="267">
        <v>2.1</v>
      </c>
      <c r="H37" s="267"/>
      <c r="I37" s="276">
        <v>53.34</v>
      </c>
    </row>
    <row r="38" spans="1:9" ht="54" x14ac:dyDescent="0.3">
      <c r="A38" s="274" t="s">
        <v>888</v>
      </c>
      <c r="B38" s="261"/>
      <c r="C38" s="265" t="s">
        <v>861</v>
      </c>
      <c r="D38" s="263"/>
      <c r="E38" s="263"/>
      <c r="F38" s="266" t="s">
        <v>862</v>
      </c>
      <c r="G38" s="267">
        <v>1</v>
      </c>
      <c r="H38" s="267"/>
      <c r="I38" s="276">
        <v>25.4</v>
      </c>
    </row>
    <row r="39" spans="1:9" ht="36" x14ac:dyDescent="0.3">
      <c r="A39" s="274" t="s">
        <v>889</v>
      </c>
      <c r="B39" s="261" t="s">
        <v>890</v>
      </c>
      <c r="C39" s="262" t="s">
        <v>891</v>
      </c>
      <c r="D39" s="263" t="s">
        <v>892</v>
      </c>
      <c r="E39" s="263"/>
      <c r="F39" s="263" t="s">
        <v>571</v>
      </c>
      <c r="G39" s="264">
        <v>1</v>
      </c>
      <c r="H39" s="264"/>
      <c r="I39" s="275">
        <v>0</v>
      </c>
    </row>
    <row r="40" spans="1:9" ht="54" x14ac:dyDescent="0.3">
      <c r="A40" s="274" t="s">
        <v>893</v>
      </c>
      <c r="B40" s="261"/>
      <c r="C40" s="265" t="s">
        <v>894</v>
      </c>
      <c r="D40" s="263"/>
      <c r="E40" s="263"/>
      <c r="F40" s="266" t="s">
        <v>862</v>
      </c>
      <c r="G40" s="267">
        <v>1</v>
      </c>
      <c r="H40" s="267"/>
      <c r="I40" s="276">
        <v>0</v>
      </c>
    </row>
    <row r="41" spans="1:9" ht="18" x14ac:dyDescent="0.3">
      <c r="A41" s="274" t="s">
        <v>895</v>
      </c>
      <c r="B41" s="261"/>
      <c r="C41" s="268" t="s">
        <v>896</v>
      </c>
      <c r="D41" s="263"/>
      <c r="E41" s="263"/>
      <c r="F41" s="266" t="s">
        <v>571</v>
      </c>
      <c r="G41" s="267">
        <v>1.2</v>
      </c>
      <c r="H41" s="267"/>
      <c r="I41" s="276">
        <v>0</v>
      </c>
    </row>
    <row r="42" spans="1:9" ht="18" x14ac:dyDescent="0.3">
      <c r="A42" s="274" t="s">
        <v>897</v>
      </c>
      <c r="B42" s="261"/>
      <c r="C42" s="268" t="s">
        <v>866</v>
      </c>
      <c r="D42" s="263"/>
      <c r="E42" s="263"/>
      <c r="F42" s="266" t="s">
        <v>867</v>
      </c>
      <c r="G42" s="267">
        <v>2.1</v>
      </c>
      <c r="H42" s="267"/>
      <c r="I42" s="276">
        <v>0</v>
      </c>
    </row>
    <row r="43" spans="1:9" ht="18" x14ac:dyDescent="0.3">
      <c r="A43" s="274" t="s">
        <v>898</v>
      </c>
      <c r="B43" s="261"/>
      <c r="C43" s="265" t="s">
        <v>899</v>
      </c>
      <c r="D43" s="263"/>
      <c r="E43" s="263"/>
      <c r="F43" s="266" t="s">
        <v>867</v>
      </c>
      <c r="G43" s="267">
        <v>0.8</v>
      </c>
      <c r="H43" s="267"/>
      <c r="I43" s="276">
        <v>0</v>
      </c>
    </row>
    <row r="44" spans="1:9" ht="82.5" customHeight="1" x14ac:dyDescent="0.3">
      <c r="A44" s="274" t="s">
        <v>900</v>
      </c>
      <c r="B44" s="261" t="s">
        <v>890</v>
      </c>
      <c r="C44" s="262" t="s">
        <v>891</v>
      </c>
      <c r="D44" s="263" t="s">
        <v>892</v>
      </c>
      <c r="E44" s="263" t="s">
        <v>901</v>
      </c>
      <c r="F44" s="263" t="s">
        <v>571</v>
      </c>
      <c r="G44" s="264">
        <v>1</v>
      </c>
      <c r="H44" s="264"/>
      <c r="I44" s="275">
        <v>45.4</v>
      </c>
    </row>
    <row r="45" spans="1:9" ht="18" x14ac:dyDescent="0.3">
      <c r="A45" s="274" t="s">
        <v>902</v>
      </c>
      <c r="B45" s="261"/>
      <c r="C45" s="265" t="s">
        <v>899</v>
      </c>
      <c r="D45" s="263"/>
      <c r="E45" s="263"/>
      <c r="F45" s="266" t="s">
        <v>867</v>
      </c>
      <c r="G45" s="267">
        <v>0.8</v>
      </c>
      <c r="H45" s="267"/>
      <c r="I45" s="276">
        <v>36.32</v>
      </c>
    </row>
    <row r="46" spans="1:9" ht="18" x14ac:dyDescent="0.3">
      <c r="A46" s="274" t="s">
        <v>903</v>
      </c>
      <c r="B46" s="261"/>
      <c r="C46" s="268" t="s">
        <v>869</v>
      </c>
      <c r="D46" s="263"/>
      <c r="E46" s="263"/>
      <c r="F46" s="266" t="s">
        <v>867</v>
      </c>
      <c r="G46" s="267">
        <v>0.8</v>
      </c>
      <c r="H46" s="267"/>
      <c r="I46" s="276">
        <v>36.32</v>
      </c>
    </row>
    <row r="47" spans="1:9" ht="18" x14ac:dyDescent="0.3">
      <c r="A47" s="274" t="s">
        <v>904</v>
      </c>
      <c r="B47" s="261"/>
      <c r="C47" s="268" t="s">
        <v>905</v>
      </c>
      <c r="D47" s="263"/>
      <c r="E47" s="263"/>
      <c r="F47" s="266" t="s">
        <v>571</v>
      </c>
      <c r="G47" s="267">
        <v>1.2</v>
      </c>
      <c r="H47" s="267"/>
      <c r="I47" s="276">
        <v>54.48</v>
      </c>
    </row>
    <row r="48" spans="1:9" ht="54" x14ac:dyDescent="0.3">
      <c r="A48" s="274" t="s">
        <v>906</v>
      </c>
      <c r="B48" s="261"/>
      <c r="C48" s="265" t="s">
        <v>894</v>
      </c>
      <c r="D48" s="263"/>
      <c r="E48" s="263"/>
      <c r="F48" s="266" t="s">
        <v>862</v>
      </c>
      <c r="G48" s="267">
        <v>1</v>
      </c>
      <c r="H48" s="267"/>
      <c r="I48" s="276">
        <v>45.4</v>
      </c>
    </row>
    <row r="49" spans="1:9" ht="36" x14ac:dyDescent="0.3">
      <c r="A49" s="274" t="s">
        <v>907</v>
      </c>
      <c r="B49" s="261" t="s">
        <v>908</v>
      </c>
      <c r="C49" s="262" t="s">
        <v>909</v>
      </c>
      <c r="D49" s="263" t="s">
        <v>892</v>
      </c>
      <c r="E49" s="263"/>
      <c r="F49" s="263" t="s">
        <v>571</v>
      </c>
      <c r="G49" s="264">
        <v>1</v>
      </c>
      <c r="H49" s="264"/>
      <c r="I49" s="275">
        <v>0</v>
      </c>
    </row>
    <row r="50" spans="1:9" ht="54" x14ac:dyDescent="0.3">
      <c r="A50" s="274" t="s">
        <v>910</v>
      </c>
      <c r="B50" s="261"/>
      <c r="C50" s="265" t="s">
        <v>911</v>
      </c>
      <c r="D50" s="263"/>
      <c r="E50" s="263"/>
      <c r="F50" s="266" t="s">
        <v>862</v>
      </c>
      <c r="G50" s="267">
        <v>1</v>
      </c>
      <c r="H50" s="267"/>
      <c r="I50" s="276">
        <v>0</v>
      </c>
    </row>
    <row r="51" spans="1:9" ht="18" x14ac:dyDescent="0.3">
      <c r="A51" s="274" t="s">
        <v>912</v>
      </c>
      <c r="B51" s="261"/>
      <c r="C51" s="268" t="s">
        <v>864</v>
      </c>
      <c r="D51" s="263"/>
      <c r="E51" s="263"/>
      <c r="F51" s="266" t="s">
        <v>571</v>
      </c>
      <c r="G51" s="267">
        <v>2.2000000000000002</v>
      </c>
      <c r="H51" s="267"/>
      <c r="I51" s="276">
        <v>0</v>
      </c>
    </row>
    <row r="52" spans="1:9" ht="18" x14ac:dyDescent="0.3">
      <c r="A52" s="274" t="s">
        <v>913</v>
      </c>
      <c r="B52" s="261"/>
      <c r="C52" s="268" t="s">
        <v>866</v>
      </c>
      <c r="D52" s="263"/>
      <c r="E52" s="263"/>
      <c r="F52" s="266" t="s">
        <v>867</v>
      </c>
      <c r="G52" s="267">
        <v>2.1</v>
      </c>
      <c r="H52" s="267"/>
      <c r="I52" s="276">
        <v>0</v>
      </c>
    </row>
    <row r="53" spans="1:9" ht="18" x14ac:dyDescent="0.3">
      <c r="A53" s="274" t="s">
        <v>914</v>
      </c>
      <c r="B53" s="261"/>
      <c r="C53" s="268" t="s">
        <v>869</v>
      </c>
      <c r="D53" s="263"/>
      <c r="E53" s="263"/>
      <c r="F53" s="266" t="s">
        <v>867</v>
      </c>
      <c r="G53" s="267">
        <v>0.8</v>
      </c>
      <c r="H53" s="267"/>
      <c r="I53" s="276">
        <v>0</v>
      </c>
    </row>
    <row r="54" spans="1:9" ht="72" customHeight="1" x14ac:dyDescent="0.3">
      <c r="A54" s="274" t="s">
        <v>915</v>
      </c>
      <c r="B54" s="261" t="s">
        <v>908</v>
      </c>
      <c r="C54" s="262" t="s">
        <v>909</v>
      </c>
      <c r="D54" s="263" t="s">
        <v>892</v>
      </c>
      <c r="E54" s="263" t="s">
        <v>916</v>
      </c>
      <c r="F54" s="263" t="s">
        <v>571</v>
      </c>
      <c r="G54" s="264">
        <v>1</v>
      </c>
      <c r="H54" s="264"/>
      <c r="I54" s="275">
        <v>6.4</v>
      </c>
    </row>
    <row r="55" spans="1:9" ht="18" x14ac:dyDescent="0.3">
      <c r="A55" s="274" t="s">
        <v>917</v>
      </c>
      <c r="B55" s="261"/>
      <c r="C55" s="268" t="s">
        <v>866</v>
      </c>
      <c r="D55" s="263"/>
      <c r="E55" s="263"/>
      <c r="F55" s="266" t="s">
        <v>867</v>
      </c>
      <c r="G55" s="267">
        <v>2.1</v>
      </c>
      <c r="H55" s="267"/>
      <c r="I55" s="276">
        <v>13.44</v>
      </c>
    </row>
    <row r="56" spans="1:9" ht="18" x14ac:dyDescent="0.3">
      <c r="A56" s="274" t="s">
        <v>918</v>
      </c>
      <c r="B56" s="261"/>
      <c r="C56" s="268" t="s">
        <v>869</v>
      </c>
      <c r="D56" s="263"/>
      <c r="E56" s="263"/>
      <c r="F56" s="266" t="s">
        <v>867</v>
      </c>
      <c r="G56" s="267">
        <v>0.8</v>
      </c>
      <c r="H56" s="267"/>
      <c r="I56" s="276">
        <v>5.12</v>
      </c>
    </row>
    <row r="57" spans="1:9" ht="18" x14ac:dyDescent="0.3">
      <c r="A57" s="274" t="s">
        <v>919</v>
      </c>
      <c r="B57" s="261"/>
      <c r="C57" s="268" t="s">
        <v>864</v>
      </c>
      <c r="D57" s="263"/>
      <c r="E57" s="263"/>
      <c r="F57" s="266" t="s">
        <v>571</v>
      </c>
      <c r="G57" s="267">
        <v>2.2000000000000002</v>
      </c>
      <c r="H57" s="267"/>
      <c r="I57" s="276">
        <v>14.08</v>
      </c>
    </row>
    <row r="58" spans="1:9" ht="54" x14ac:dyDescent="0.3">
      <c r="A58" s="274" t="s">
        <v>920</v>
      </c>
      <c r="B58" s="261"/>
      <c r="C58" s="265" t="s">
        <v>911</v>
      </c>
      <c r="D58" s="263"/>
      <c r="E58" s="263"/>
      <c r="F58" s="266" t="s">
        <v>862</v>
      </c>
      <c r="G58" s="267">
        <v>1</v>
      </c>
      <c r="H58" s="267"/>
      <c r="I58" s="276">
        <v>6.4</v>
      </c>
    </row>
    <row r="59" spans="1:9" ht="16.95" customHeight="1" x14ac:dyDescent="0.3">
      <c r="A59" s="274" t="s">
        <v>931</v>
      </c>
      <c r="B59" s="261" t="s">
        <v>932</v>
      </c>
      <c r="C59" s="271" t="s">
        <v>933</v>
      </c>
      <c r="D59" s="272"/>
      <c r="E59" s="272"/>
      <c r="F59" s="272"/>
      <c r="G59" s="272"/>
      <c r="H59" s="272"/>
      <c r="I59" s="272"/>
    </row>
    <row r="60" spans="1:9" ht="16.95" customHeight="1" x14ac:dyDescent="0.3">
      <c r="A60" s="274" t="s">
        <v>934</v>
      </c>
      <c r="B60" s="261" t="s">
        <v>935</v>
      </c>
      <c r="C60" s="271" t="s">
        <v>936</v>
      </c>
      <c r="D60" s="272"/>
      <c r="E60" s="272"/>
      <c r="F60" s="272"/>
      <c r="G60" s="272"/>
      <c r="H60" s="272"/>
      <c r="I60" s="272"/>
    </row>
    <row r="61" spans="1:9" ht="178.8" customHeight="1" x14ac:dyDescent="0.3">
      <c r="A61" s="274" t="s">
        <v>937</v>
      </c>
      <c r="B61" s="261" t="s">
        <v>938</v>
      </c>
      <c r="C61" s="262" t="s">
        <v>939</v>
      </c>
      <c r="D61" s="263"/>
      <c r="E61" s="263" t="s">
        <v>940</v>
      </c>
      <c r="F61" s="263" t="s">
        <v>867</v>
      </c>
      <c r="G61" s="264">
        <v>1</v>
      </c>
      <c r="H61" s="264"/>
      <c r="I61" s="275">
        <v>2012.38</v>
      </c>
    </row>
    <row r="62" spans="1:9" ht="36" x14ac:dyDescent="0.3">
      <c r="A62" s="274" t="s">
        <v>941</v>
      </c>
      <c r="B62" s="261"/>
      <c r="C62" s="268" t="s">
        <v>942</v>
      </c>
      <c r="D62" s="263"/>
      <c r="E62" s="263"/>
      <c r="F62" s="266" t="s">
        <v>921</v>
      </c>
      <c r="G62" s="267">
        <v>0.3</v>
      </c>
      <c r="H62" s="269"/>
      <c r="I62" s="277">
        <v>603.71400000000006</v>
      </c>
    </row>
    <row r="63" spans="1:9" ht="36" x14ac:dyDescent="0.3">
      <c r="A63" s="274" t="s">
        <v>943</v>
      </c>
      <c r="B63" s="261"/>
      <c r="C63" s="265" t="s">
        <v>944</v>
      </c>
      <c r="D63" s="263"/>
      <c r="E63" s="263" t="s">
        <v>945</v>
      </c>
      <c r="F63" s="266" t="s">
        <v>867</v>
      </c>
      <c r="G63" s="267">
        <v>1.1000000000000001</v>
      </c>
      <c r="H63" s="269"/>
      <c r="I63" s="277">
        <v>4427.2359999999999</v>
      </c>
    </row>
    <row r="64" spans="1:9" ht="36" x14ac:dyDescent="0.3">
      <c r="A64" s="274" t="s">
        <v>946</v>
      </c>
      <c r="B64" s="261" t="s">
        <v>947</v>
      </c>
      <c r="C64" s="262" t="s">
        <v>948</v>
      </c>
      <c r="D64" s="263"/>
      <c r="E64" s="263"/>
      <c r="F64" s="263" t="s">
        <v>925</v>
      </c>
      <c r="G64" s="264">
        <v>1</v>
      </c>
      <c r="H64" s="264"/>
      <c r="I64" s="275">
        <v>0</v>
      </c>
    </row>
    <row r="65" spans="1:9" ht="18" x14ac:dyDescent="0.3">
      <c r="A65" s="274" t="s">
        <v>949</v>
      </c>
      <c r="B65" s="261"/>
      <c r="C65" s="265" t="s">
        <v>950</v>
      </c>
      <c r="D65" s="263"/>
      <c r="E65" s="263"/>
      <c r="F65" s="266" t="s">
        <v>923</v>
      </c>
      <c r="G65" s="267">
        <v>1E-3</v>
      </c>
      <c r="H65" s="269"/>
      <c r="I65" s="277">
        <v>0</v>
      </c>
    </row>
    <row r="66" spans="1:9" ht="18" x14ac:dyDescent="0.3">
      <c r="A66" s="274" t="s">
        <v>951</v>
      </c>
      <c r="B66" s="261"/>
      <c r="C66" s="265" t="s">
        <v>922</v>
      </c>
      <c r="D66" s="263"/>
      <c r="E66" s="263"/>
      <c r="F66" s="266" t="s">
        <v>921</v>
      </c>
      <c r="G66" s="267">
        <v>0.41</v>
      </c>
      <c r="H66" s="269"/>
      <c r="I66" s="277">
        <v>0</v>
      </c>
    </row>
    <row r="67" spans="1:9" ht="36" x14ac:dyDescent="0.3">
      <c r="A67" s="274" t="s">
        <v>952</v>
      </c>
      <c r="B67" s="261" t="s">
        <v>947</v>
      </c>
      <c r="C67" s="262" t="s">
        <v>948</v>
      </c>
      <c r="D67" s="263"/>
      <c r="E67" s="263" t="s">
        <v>953</v>
      </c>
      <c r="F67" s="263" t="s">
        <v>925</v>
      </c>
      <c r="G67" s="264">
        <v>1</v>
      </c>
      <c r="H67" s="264"/>
      <c r="I67" s="275">
        <v>357</v>
      </c>
    </row>
    <row r="68" spans="1:9" ht="18" x14ac:dyDescent="0.3">
      <c r="A68" s="274" t="s">
        <v>954</v>
      </c>
      <c r="B68" s="261"/>
      <c r="C68" s="265" t="s">
        <v>922</v>
      </c>
      <c r="D68" s="263"/>
      <c r="E68" s="263"/>
      <c r="F68" s="266" t="s">
        <v>921</v>
      </c>
      <c r="G68" s="267">
        <v>0.41</v>
      </c>
      <c r="H68" s="269"/>
      <c r="I68" s="277">
        <v>146.37</v>
      </c>
    </row>
    <row r="69" spans="1:9" ht="18" x14ac:dyDescent="0.3">
      <c r="A69" s="274" t="s">
        <v>955</v>
      </c>
      <c r="B69" s="261"/>
      <c r="C69" s="265" t="s">
        <v>950</v>
      </c>
      <c r="D69" s="263"/>
      <c r="E69" s="263"/>
      <c r="F69" s="266" t="s">
        <v>923</v>
      </c>
      <c r="G69" s="267">
        <v>1E-3</v>
      </c>
      <c r="H69" s="269"/>
      <c r="I69" s="277">
        <v>0.35699999999999998</v>
      </c>
    </row>
    <row r="70" spans="1:9" ht="67.95" customHeight="1" x14ac:dyDescent="0.3">
      <c r="A70" s="274" t="s">
        <v>956</v>
      </c>
      <c r="B70" s="261" t="s">
        <v>957</v>
      </c>
      <c r="C70" s="262" t="s">
        <v>791</v>
      </c>
      <c r="D70" s="263"/>
      <c r="E70" s="263" t="s">
        <v>958</v>
      </c>
      <c r="F70" s="263" t="s">
        <v>571</v>
      </c>
      <c r="G70" s="264">
        <v>1</v>
      </c>
      <c r="H70" s="264"/>
      <c r="I70" s="275">
        <v>195.78</v>
      </c>
    </row>
    <row r="71" spans="1:9" ht="18" x14ac:dyDescent="0.3">
      <c r="A71" s="274" t="s">
        <v>959</v>
      </c>
      <c r="B71" s="261"/>
      <c r="C71" s="265" t="s">
        <v>960</v>
      </c>
      <c r="D71" s="263"/>
      <c r="E71" s="263"/>
      <c r="F71" s="266" t="s">
        <v>921</v>
      </c>
      <c r="G71" s="267">
        <v>2</v>
      </c>
      <c r="H71" s="267"/>
      <c r="I71" s="276">
        <v>391.56</v>
      </c>
    </row>
    <row r="72" spans="1:9" ht="18" x14ac:dyDescent="0.3">
      <c r="A72" s="274" t="s">
        <v>961</v>
      </c>
      <c r="B72" s="261"/>
      <c r="C72" s="265" t="s">
        <v>962</v>
      </c>
      <c r="D72" s="263"/>
      <c r="E72" s="263"/>
      <c r="F72" s="266" t="s">
        <v>925</v>
      </c>
      <c r="G72" s="267">
        <v>0.3</v>
      </c>
      <c r="H72" s="267"/>
      <c r="I72" s="276">
        <v>58.734000000000002</v>
      </c>
    </row>
    <row r="73" spans="1:9" ht="18" x14ac:dyDescent="0.3">
      <c r="A73" s="274" t="s">
        <v>963</v>
      </c>
      <c r="B73" s="261"/>
      <c r="C73" s="265" t="s">
        <v>926</v>
      </c>
      <c r="D73" s="263"/>
      <c r="E73" s="263"/>
      <c r="F73" s="266" t="s">
        <v>921</v>
      </c>
      <c r="G73" s="267">
        <v>0.15</v>
      </c>
      <c r="H73" s="267"/>
      <c r="I73" s="276">
        <v>29.367000000000001</v>
      </c>
    </row>
    <row r="74" spans="1:9" ht="60.45" customHeight="1" x14ac:dyDescent="0.3">
      <c r="A74" s="274" t="s">
        <v>964</v>
      </c>
      <c r="B74" s="261" t="s">
        <v>957</v>
      </c>
      <c r="C74" s="262" t="s">
        <v>791</v>
      </c>
      <c r="D74" s="263"/>
      <c r="E74" s="263" t="s">
        <v>965</v>
      </c>
      <c r="F74" s="263" t="s">
        <v>571</v>
      </c>
      <c r="G74" s="264">
        <v>1</v>
      </c>
      <c r="H74" s="264"/>
      <c r="I74" s="275">
        <v>936</v>
      </c>
    </row>
    <row r="75" spans="1:9" ht="18" x14ac:dyDescent="0.3">
      <c r="A75" s="274" t="s">
        <v>966</v>
      </c>
      <c r="B75" s="261"/>
      <c r="C75" s="265" t="s">
        <v>926</v>
      </c>
      <c r="D75" s="263"/>
      <c r="E75" s="263"/>
      <c r="F75" s="266" t="s">
        <v>921</v>
      </c>
      <c r="G75" s="267">
        <v>0.15</v>
      </c>
      <c r="H75" s="267"/>
      <c r="I75" s="276">
        <v>140.4</v>
      </c>
    </row>
    <row r="76" spans="1:9" ht="18" x14ac:dyDescent="0.3">
      <c r="A76" s="274" t="s">
        <v>967</v>
      </c>
      <c r="B76" s="261"/>
      <c r="C76" s="265" t="s">
        <v>960</v>
      </c>
      <c r="D76" s="263"/>
      <c r="E76" s="263"/>
      <c r="F76" s="266" t="s">
        <v>921</v>
      </c>
      <c r="G76" s="267">
        <v>2</v>
      </c>
      <c r="H76" s="267"/>
      <c r="I76" s="276">
        <v>1872</v>
      </c>
    </row>
    <row r="77" spans="1:9" ht="61.05" customHeight="1" x14ac:dyDescent="0.3">
      <c r="A77" s="274" t="s">
        <v>968</v>
      </c>
      <c r="B77" s="261" t="s">
        <v>957</v>
      </c>
      <c r="C77" s="262" t="s">
        <v>791</v>
      </c>
      <c r="D77" s="263"/>
      <c r="E77" s="263" t="s">
        <v>969</v>
      </c>
      <c r="F77" s="263" t="s">
        <v>571</v>
      </c>
      <c r="G77" s="264">
        <v>1</v>
      </c>
      <c r="H77" s="264"/>
      <c r="I77" s="275">
        <v>4986.62</v>
      </c>
    </row>
    <row r="78" spans="1:9" ht="36" x14ac:dyDescent="0.3">
      <c r="A78" s="274" t="s">
        <v>970</v>
      </c>
      <c r="B78" s="261"/>
      <c r="C78" s="268" t="s">
        <v>942</v>
      </c>
      <c r="D78" s="263"/>
      <c r="E78" s="263"/>
      <c r="F78" s="266" t="s">
        <v>921</v>
      </c>
      <c r="G78" s="267">
        <v>1.8</v>
      </c>
      <c r="H78" s="267"/>
      <c r="I78" s="276">
        <v>8975.9159999999993</v>
      </c>
    </row>
    <row r="79" spans="1:9" ht="18" x14ac:dyDescent="0.3">
      <c r="A79" s="274" t="s">
        <v>971</v>
      </c>
      <c r="B79" s="261"/>
      <c r="C79" s="265" t="s">
        <v>962</v>
      </c>
      <c r="D79" s="263"/>
      <c r="E79" s="263"/>
      <c r="F79" s="266" t="s">
        <v>925</v>
      </c>
      <c r="G79" s="267">
        <v>0.3</v>
      </c>
      <c r="H79" s="267"/>
      <c r="I79" s="276">
        <v>1495.9860000000001</v>
      </c>
    </row>
    <row r="80" spans="1:9" ht="18" x14ac:dyDescent="0.3">
      <c r="A80" s="274" t="s">
        <v>972</v>
      </c>
      <c r="B80" s="261"/>
      <c r="C80" s="265" t="s">
        <v>926</v>
      </c>
      <c r="D80" s="263"/>
      <c r="E80" s="263"/>
      <c r="F80" s="266" t="s">
        <v>921</v>
      </c>
      <c r="G80" s="267">
        <v>0.15</v>
      </c>
      <c r="H80" s="267"/>
      <c r="I80" s="276">
        <v>747.99300000000005</v>
      </c>
    </row>
    <row r="81" spans="1:9" ht="72" x14ac:dyDescent="0.3">
      <c r="A81" s="274" t="s">
        <v>973</v>
      </c>
      <c r="B81" s="261" t="s">
        <v>957</v>
      </c>
      <c r="C81" s="262" t="s">
        <v>791</v>
      </c>
      <c r="D81" s="263"/>
      <c r="E81" s="263" t="s">
        <v>974</v>
      </c>
      <c r="F81" s="263" t="s">
        <v>571</v>
      </c>
      <c r="G81" s="264">
        <v>1</v>
      </c>
      <c r="H81" s="264"/>
      <c r="I81" s="275">
        <v>25.902000000000001</v>
      </c>
    </row>
    <row r="82" spans="1:9" ht="18" x14ac:dyDescent="0.3">
      <c r="A82" s="274" t="s">
        <v>975</v>
      </c>
      <c r="B82" s="261"/>
      <c r="C82" s="265" t="s">
        <v>926</v>
      </c>
      <c r="D82" s="263"/>
      <c r="E82" s="263"/>
      <c r="F82" s="266" t="s">
        <v>921</v>
      </c>
      <c r="G82" s="267">
        <v>0.15</v>
      </c>
      <c r="H82" s="267"/>
      <c r="I82" s="276">
        <v>3.8849999999999998</v>
      </c>
    </row>
    <row r="83" spans="1:9" ht="36" x14ac:dyDescent="0.3">
      <c r="A83" s="274" t="s">
        <v>976</v>
      </c>
      <c r="B83" s="261"/>
      <c r="C83" s="268" t="s">
        <v>942</v>
      </c>
      <c r="D83" s="263"/>
      <c r="E83" s="263"/>
      <c r="F83" s="266" t="s">
        <v>921</v>
      </c>
      <c r="G83" s="267">
        <v>1.8</v>
      </c>
      <c r="H83" s="267"/>
      <c r="I83" s="276">
        <v>46.624000000000002</v>
      </c>
    </row>
    <row r="84" spans="1:9" ht="78.45" customHeight="1" x14ac:dyDescent="0.3">
      <c r="A84" s="274" t="s">
        <v>977</v>
      </c>
      <c r="B84" s="261" t="s">
        <v>957</v>
      </c>
      <c r="C84" s="262" t="s">
        <v>791</v>
      </c>
      <c r="D84" s="263"/>
      <c r="E84" s="263" t="s">
        <v>978</v>
      </c>
      <c r="F84" s="263" t="s">
        <v>571</v>
      </c>
      <c r="G84" s="264">
        <v>1</v>
      </c>
      <c r="H84" s="264"/>
      <c r="I84" s="275">
        <v>11225.91</v>
      </c>
    </row>
    <row r="85" spans="1:9" ht="36" x14ac:dyDescent="0.3">
      <c r="A85" s="274" t="s">
        <v>979</v>
      </c>
      <c r="B85" s="261"/>
      <c r="C85" s="268" t="s">
        <v>942</v>
      </c>
      <c r="D85" s="263"/>
      <c r="E85" s="263" t="s">
        <v>980</v>
      </c>
      <c r="F85" s="266" t="s">
        <v>921</v>
      </c>
      <c r="G85" s="267">
        <v>1.8</v>
      </c>
      <c r="H85" s="267"/>
      <c r="I85" s="276">
        <v>20206.637999999999</v>
      </c>
    </row>
    <row r="86" spans="1:9" ht="18" x14ac:dyDescent="0.3">
      <c r="A86" s="274" t="s">
        <v>981</v>
      </c>
      <c r="B86" s="261"/>
      <c r="C86" s="265" t="s">
        <v>926</v>
      </c>
      <c r="D86" s="263"/>
      <c r="E86" s="263"/>
      <c r="F86" s="266" t="s">
        <v>921</v>
      </c>
      <c r="G86" s="267">
        <v>0.15</v>
      </c>
      <c r="H86" s="267"/>
      <c r="I86" s="276">
        <v>1683.8869999999999</v>
      </c>
    </row>
    <row r="87" spans="1:9" ht="72" x14ac:dyDescent="0.3">
      <c r="A87" s="274" t="s">
        <v>982</v>
      </c>
      <c r="B87" s="261" t="s">
        <v>957</v>
      </c>
      <c r="C87" s="262" t="s">
        <v>791</v>
      </c>
      <c r="D87" s="263"/>
      <c r="E87" s="263" t="s">
        <v>983</v>
      </c>
      <c r="F87" s="263" t="s">
        <v>571</v>
      </c>
      <c r="G87" s="264">
        <v>1</v>
      </c>
      <c r="H87" s="264"/>
      <c r="I87" s="275">
        <v>25.902000000000001</v>
      </c>
    </row>
    <row r="88" spans="1:9" ht="18" x14ac:dyDescent="0.3">
      <c r="A88" s="274" t="s">
        <v>984</v>
      </c>
      <c r="B88" s="261"/>
      <c r="C88" s="265" t="s">
        <v>926</v>
      </c>
      <c r="D88" s="263"/>
      <c r="E88" s="263"/>
      <c r="F88" s="266" t="s">
        <v>921</v>
      </c>
      <c r="G88" s="267">
        <v>0.15</v>
      </c>
      <c r="H88" s="267"/>
      <c r="I88" s="276">
        <v>3.8849999999999998</v>
      </c>
    </row>
    <row r="89" spans="1:9" ht="36" x14ac:dyDescent="0.3">
      <c r="A89" s="274" t="s">
        <v>985</v>
      </c>
      <c r="B89" s="261"/>
      <c r="C89" s="268" t="s">
        <v>942</v>
      </c>
      <c r="D89" s="263"/>
      <c r="E89" s="263" t="s">
        <v>980</v>
      </c>
      <c r="F89" s="266" t="s">
        <v>921</v>
      </c>
      <c r="G89" s="267">
        <v>1.8</v>
      </c>
      <c r="H89" s="267"/>
      <c r="I89" s="276">
        <v>46.624000000000002</v>
      </c>
    </row>
    <row r="90" spans="1:9" ht="108" x14ac:dyDescent="0.3">
      <c r="A90" s="274" t="s">
        <v>986</v>
      </c>
      <c r="B90" s="261" t="s">
        <v>987</v>
      </c>
      <c r="C90" s="262" t="s">
        <v>988</v>
      </c>
      <c r="D90" s="263" t="s">
        <v>989</v>
      </c>
      <c r="E90" s="263" t="s">
        <v>990</v>
      </c>
      <c r="F90" s="263" t="s">
        <v>571</v>
      </c>
      <c r="G90" s="264">
        <v>1</v>
      </c>
      <c r="H90" s="264"/>
      <c r="I90" s="275">
        <v>1178.82</v>
      </c>
    </row>
    <row r="91" spans="1:9" ht="36" x14ac:dyDescent="0.3">
      <c r="A91" s="274" t="s">
        <v>991</v>
      </c>
      <c r="B91" s="261"/>
      <c r="C91" s="265" t="s">
        <v>992</v>
      </c>
      <c r="D91" s="263"/>
      <c r="E91" s="263" t="s">
        <v>993</v>
      </c>
      <c r="F91" s="266" t="s">
        <v>921</v>
      </c>
      <c r="G91" s="267">
        <v>1.3</v>
      </c>
      <c r="H91" s="269"/>
      <c r="I91" s="277">
        <v>38311.65</v>
      </c>
    </row>
    <row r="92" spans="1:9" ht="18" x14ac:dyDescent="0.3">
      <c r="A92" s="274" t="s">
        <v>994</v>
      </c>
      <c r="B92" s="261"/>
      <c r="C92" s="265" t="s">
        <v>926</v>
      </c>
      <c r="D92" s="263"/>
      <c r="E92" s="263"/>
      <c r="F92" s="266" t="s">
        <v>921</v>
      </c>
      <c r="G92" s="267">
        <v>0.15</v>
      </c>
      <c r="H92" s="267"/>
      <c r="I92" s="276">
        <v>176.82300000000001</v>
      </c>
    </row>
    <row r="93" spans="1:9" ht="18" x14ac:dyDescent="0.3">
      <c r="A93" s="274" t="s">
        <v>995</v>
      </c>
      <c r="B93" s="261"/>
      <c r="C93" s="265" t="s">
        <v>996</v>
      </c>
      <c r="D93" s="263"/>
      <c r="E93" s="263"/>
      <c r="F93" s="266" t="s">
        <v>867</v>
      </c>
      <c r="G93" s="267">
        <v>1</v>
      </c>
      <c r="H93" s="269"/>
      <c r="I93" s="277">
        <v>1178.82</v>
      </c>
    </row>
    <row r="94" spans="1:9" ht="90" x14ac:dyDescent="0.3">
      <c r="A94" s="274" t="s">
        <v>997</v>
      </c>
      <c r="B94" s="261" t="s">
        <v>998</v>
      </c>
      <c r="C94" s="262" t="s">
        <v>999</v>
      </c>
      <c r="D94" s="263"/>
      <c r="E94" s="263" t="s">
        <v>1000</v>
      </c>
      <c r="F94" s="263" t="s">
        <v>571</v>
      </c>
      <c r="G94" s="264">
        <v>1</v>
      </c>
      <c r="H94" s="264"/>
      <c r="I94" s="275">
        <v>301.64</v>
      </c>
    </row>
    <row r="95" spans="1:9" ht="36" x14ac:dyDescent="0.3">
      <c r="A95" s="274" t="s">
        <v>1001</v>
      </c>
      <c r="B95" s="261"/>
      <c r="C95" s="268" t="s">
        <v>1002</v>
      </c>
      <c r="D95" s="263"/>
      <c r="E95" s="263"/>
      <c r="F95" s="266" t="s">
        <v>921</v>
      </c>
      <c r="G95" s="267">
        <v>1</v>
      </c>
      <c r="H95" s="269"/>
      <c r="I95" s="277">
        <v>7541</v>
      </c>
    </row>
    <row r="96" spans="1:9" ht="18" x14ac:dyDescent="0.3">
      <c r="A96" s="274" t="s">
        <v>1003</v>
      </c>
      <c r="B96" s="261"/>
      <c r="C96" s="265" t="s">
        <v>996</v>
      </c>
      <c r="D96" s="263"/>
      <c r="E96" s="263"/>
      <c r="F96" s="266" t="s">
        <v>867</v>
      </c>
      <c r="G96" s="267">
        <v>1</v>
      </c>
      <c r="H96" s="269"/>
      <c r="I96" s="277">
        <v>301.64</v>
      </c>
    </row>
    <row r="97" spans="1:9" ht="18" x14ac:dyDescent="0.3">
      <c r="A97" s="274" t="s">
        <v>1004</v>
      </c>
      <c r="B97" s="261"/>
      <c r="C97" s="265" t="s">
        <v>1005</v>
      </c>
      <c r="D97" s="263"/>
      <c r="E97" s="263"/>
      <c r="F97" s="266" t="s">
        <v>921</v>
      </c>
      <c r="G97" s="267">
        <v>0.25</v>
      </c>
      <c r="H97" s="267"/>
      <c r="I97" s="276">
        <v>75.41</v>
      </c>
    </row>
    <row r="98" spans="1:9" ht="120.6" customHeight="1" x14ac:dyDescent="0.3">
      <c r="A98" s="274" t="s">
        <v>1006</v>
      </c>
      <c r="B98" s="261" t="s">
        <v>998</v>
      </c>
      <c r="C98" s="262" t="s">
        <v>999</v>
      </c>
      <c r="D98" s="263"/>
      <c r="E98" s="263" t="s">
        <v>1007</v>
      </c>
      <c r="F98" s="263" t="s">
        <v>571</v>
      </c>
      <c r="G98" s="264">
        <v>1</v>
      </c>
      <c r="H98" s="264"/>
      <c r="I98" s="275">
        <v>1066.56</v>
      </c>
    </row>
    <row r="99" spans="1:9" ht="18" x14ac:dyDescent="0.3">
      <c r="A99" s="274" t="s">
        <v>1008</v>
      </c>
      <c r="B99" s="261"/>
      <c r="C99" s="265" t="s">
        <v>926</v>
      </c>
      <c r="D99" s="263"/>
      <c r="E99" s="263"/>
      <c r="F99" s="266" t="s">
        <v>921</v>
      </c>
      <c r="G99" s="267">
        <v>0.15</v>
      </c>
      <c r="H99" s="269"/>
      <c r="I99" s="277">
        <v>159.98400000000001</v>
      </c>
    </row>
    <row r="100" spans="1:9" ht="18" x14ac:dyDescent="0.3">
      <c r="A100" s="274" t="s">
        <v>1009</v>
      </c>
      <c r="B100" s="261"/>
      <c r="C100" s="265" t="s">
        <v>996</v>
      </c>
      <c r="D100" s="263"/>
      <c r="E100" s="263"/>
      <c r="F100" s="266" t="s">
        <v>867</v>
      </c>
      <c r="G100" s="267">
        <v>1</v>
      </c>
      <c r="H100" s="269"/>
      <c r="I100" s="277">
        <v>1066.56</v>
      </c>
    </row>
    <row r="101" spans="1:9" ht="36" x14ac:dyDescent="0.3">
      <c r="A101" s="274" t="s">
        <v>1010</v>
      </c>
      <c r="B101" s="261"/>
      <c r="C101" s="268" t="s">
        <v>1002</v>
      </c>
      <c r="D101" s="263"/>
      <c r="E101" s="263"/>
      <c r="F101" s="266" t="s">
        <v>921</v>
      </c>
      <c r="G101" s="267">
        <v>1</v>
      </c>
      <c r="H101" s="269"/>
      <c r="I101" s="277">
        <v>26664</v>
      </c>
    </row>
    <row r="102" spans="1:9" ht="16.95" customHeight="1" x14ac:dyDescent="0.3">
      <c r="A102" s="274" t="s">
        <v>1011</v>
      </c>
      <c r="B102" s="261" t="s">
        <v>1012</v>
      </c>
      <c r="C102" s="271" t="s">
        <v>1013</v>
      </c>
      <c r="D102" s="272"/>
      <c r="E102" s="272"/>
      <c r="F102" s="272"/>
      <c r="G102" s="272"/>
      <c r="H102" s="272"/>
      <c r="I102" s="272"/>
    </row>
    <row r="103" spans="1:9" ht="18" x14ac:dyDescent="0.3">
      <c r="A103" s="274" t="s">
        <v>1014</v>
      </c>
      <c r="B103" s="261" t="s">
        <v>1015</v>
      </c>
      <c r="C103" s="262" t="s">
        <v>1016</v>
      </c>
      <c r="D103" s="263"/>
      <c r="E103" s="263"/>
      <c r="F103" s="263" t="s">
        <v>571</v>
      </c>
      <c r="G103" s="264">
        <v>1</v>
      </c>
      <c r="H103" s="264"/>
      <c r="I103" s="275">
        <v>0</v>
      </c>
    </row>
    <row r="104" spans="1:9" ht="18" x14ac:dyDescent="0.3">
      <c r="A104" s="274" t="s">
        <v>1017</v>
      </c>
      <c r="B104" s="261"/>
      <c r="C104" s="265" t="s">
        <v>1018</v>
      </c>
      <c r="D104" s="263"/>
      <c r="E104" s="263"/>
      <c r="F104" s="266" t="s">
        <v>925</v>
      </c>
      <c r="G104" s="267">
        <v>1.5</v>
      </c>
      <c r="H104" s="267"/>
      <c r="I104" s="276">
        <v>0</v>
      </c>
    </row>
    <row r="105" spans="1:9" ht="18" x14ac:dyDescent="0.3">
      <c r="A105" s="274" t="s">
        <v>1019</v>
      </c>
      <c r="B105" s="261" t="s">
        <v>1015</v>
      </c>
      <c r="C105" s="262" t="s">
        <v>1016</v>
      </c>
      <c r="D105" s="263"/>
      <c r="E105" s="263"/>
      <c r="F105" s="263" t="s">
        <v>571</v>
      </c>
      <c r="G105" s="264">
        <v>1</v>
      </c>
      <c r="H105" s="264"/>
      <c r="I105" s="275">
        <v>0</v>
      </c>
    </row>
    <row r="106" spans="1:9" ht="18" x14ac:dyDescent="0.3">
      <c r="A106" s="274" t="s">
        <v>1020</v>
      </c>
      <c r="B106" s="261"/>
      <c r="C106" s="265" t="s">
        <v>1018</v>
      </c>
      <c r="D106" s="263"/>
      <c r="E106" s="263"/>
      <c r="F106" s="266" t="s">
        <v>925</v>
      </c>
      <c r="G106" s="267">
        <v>1.5</v>
      </c>
      <c r="H106" s="267"/>
      <c r="I106" s="276">
        <v>0</v>
      </c>
    </row>
    <row r="107" spans="1:9" ht="18" x14ac:dyDescent="0.3">
      <c r="A107" s="274" t="s">
        <v>1021</v>
      </c>
      <c r="B107" s="261" t="s">
        <v>1015</v>
      </c>
      <c r="C107" s="262" t="s">
        <v>1016</v>
      </c>
      <c r="D107" s="263"/>
      <c r="E107" s="263"/>
      <c r="F107" s="263" t="s">
        <v>571</v>
      </c>
      <c r="G107" s="264">
        <v>1</v>
      </c>
      <c r="H107" s="264"/>
      <c r="I107" s="275">
        <v>0</v>
      </c>
    </row>
    <row r="108" spans="1:9" ht="18" x14ac:dyDescent="0.3">
      <c r="A108" s="274" t="s">
        <v>1022</v>
      </c>
      <c r="B108" s="261"/>
      <c r="C108" s="265" t="s">
        <v>1018</v>
      </c>
      <c r="D108" s="263"/>
      <c r="E108" s="263"/>
      <c r="F108" s="266" t="s">
        <v>925</v>
      </c>
      <c r="G108" s="267">
        <v>1.5</v>
      </c>
      <c r="H108" s="267"/>
      <c r="I108" s="276">
        <v>0</v>
      </c>
    </row>
    <row r="109" spans="1:9" ht="18" x14ac:dyDescent="0.3">
      <c r="A109" s="274" t="s">
        <v>1023</v>
      </c>
      <c r="B109" s="261" t="s">
        <v>1015</v>
      </c>
      <c r="C109" s="262" t="s">
        <v>1016</v>
      </c>
      <c r="D109" s="263"/>
      <c r="E109" s="263"/>
      <c r="F109" s="263" t="s">
        <v>571</v>
      </c>
      <c r="G109" s="264">
        <v>1</v>
      </c>
      <c r="H109" s="264"/>
      <c r="I109" s="275">
        <v>0</v>
      </c>
    </row>
    <row r="110" spans="1:9" ht="18" x14ac:dyDescent="0.3">
      <c r="A110" s="274" t="s">
        <v>1024</v>
      </c>
      <c r="B110" s="261"/>
      <c r="C110" s="265" t="s">
        <v>1018</v>
      </c>
      <c r="D110" s="263"/>
      <c r="E110" s="263"/>
      <c r="F110" s="266" t="s">
        <v>925</v>
      </c>
      <c r="G110" s="267">
        <v>1.5</v>
      </c>
      <c r="H110" s="267"/>
      <c r="I110" s="276">
        <v>0</v>
      </c>
    </row>
    <row r="111" spans="1:9" ht="18" x14ac:dyDescent="0.3">
      <c r="A111" s="274" t="s">
        <v>1025</v>
      </c>
      <c r="B111" s="261" t="s">
        <v>1015</v>
      </c>
      <c r="C111" s="262" t="s">
        <v>1016</v>
      </c>
      <c r="D111" s="263"/>
      <c r="E111" s="263"/>
      <c r="F111" s="263" t="s">
        <v>571</v>
      </c>
      <c r="G111" s="264">
        <v>1</v>
      </c>
      <c r="H111" s="264"/>
      <c r="I111" s="275">
        <v>0</v>
      </c>
    </row>
    <row r="112" spans="1:9" ht="18" x14ac:dyDescent="0.3">
      <c r="A112" s="274" t="s">
        <v>1026</v>
      </c>
      <c r="B112" s="261"/>
      <c r="C112" s="265" t="s">
        <v>1018</v>
      </c>
      <c r="D112" s="263"/>
      <c r="E112" s="263"/>
      <c r="F112" s="266" t="s">
        <v>925</v>
      </c>
      <c r="G112" s="267">
        <v>1.5</v>
      </c>
      <c r="H112" s="267"/>
      <c r="I112" s="276">
        <v>0</v>
      </c>
    </row>
    <row r="113" spans="1:9" ht="18" x14ac:dyDescent="0.3">
      <c r="A113" s="274" t="s">
        <v>1027</v>
      </c>
      <c r="B113" s="261" t="s">
        <v>1015</v>
      </c>
      <c r="C113" s="262" t="s">
        <v>1016</v>
      </c>
      <c r="D113" s="263"/>
      <c r="E113" s="263"/>
      <c r="F113" s="263" t="s">
        <v>571</v>
      </c>
      <c r="G113" s="264">
        <v>1</v>
      </c>
      <c r="H113" s="264"/>
      <c r="I113" s="275">
        <v>0</v>
      </c>
    </row>
    <row r="114" spans="1:9" ht="18" x14ac:dyDescent="0.3">
      <c r="A114" s="274" t="s">
        <v>1028</v>
      </c>
      <c r="B114" s="261"/>
      <c r="C114" s="265" t="s">
        <v>1018</v>
      </c>
      <c r="D114" s="263"/>
      <c r="E114" s="263"/>
      <c r="F114" s="266" t="s">
        <v>925</v>
      </c>
      <c r="G114" s="267">
        <v>1.5</v>
      </c>
      <c r="H114" s="267"/>
      <c r="I114" s="276">
        <v>0</v>
      </c>
    </row>
    <row r="115" spans="1:9" ht="18" x14ac:dyDescent="0.3">
      <c r="A115" s="274" t="s">
        <v>1029</v>
      </c>
      <c r="B115" s="261" t="s">
        <v>1015</v>
      </c>
      <c r="C115" s="262" t="s">
        <v>1016</v>
      </c>
      <c r="D115" s="263"/>
      <c r="E115" s="263"/>
      <c r="F115" s="263" t="s">
        <v>571</v>
      </c>
      <c r="G115" s="264">
        <v>1</v>
      </c>
      <c r="H115" s="264"/>
      <c r="I115" s="275">
        <v>0</v>
      </c>
    </row>
    <row r="116" spans="1:9" ht="18" x14ac:dyDescent="0.3">
      <c r="A116" s="274" t="s">
        <v>1030</v>
      </c>
      <c r="B116" s="261"/>
      <c r="C116" s="265" t="s">
        <v>1018</v>
      </c>
      <c r="D116" s="263"/>
      <c r="E116" s="263"/>
      <c r="F116" s="266" t="s">
        <v>925</v>
      </c>
      <c r="G116" s="267">
        <v>1.5</v>
      </c>
      <c r="H116" s="267"/>
      <c r="I116" s="276">
        <v>0</v>
      </c>
    </row>
    <row r="117" spans="1:9" ht="18" x14ac:dyDescent="0.3">
      <c r="A117" s="274" t="s">
        <v>1031</v>
      </c>
      <c r="B117" s="261" t="s">
        <v>1015</v>
      </c>
      <c r="C117" s="262" t="s">
        <v>1016</v>
      </c>
      <c r="D117" s="263"/>
      <c r="E117" s="263"/>
      <c r="F117" s="263" t="s">
        <v>571</v>
      </c>
      <c r="G117" s="264">
        <v>1</v>
      </c>
      <c r="H117" s="264"/>
      <c r="I117" s="275">
        <v>0</v>
      </c>
    </row>
    <row r="118" spans="1:9" ht="18" x14ac:dyDescent="0.3">
      <c r="A118" s="274" t="s">
        <v>1032</v>
      </c>
      <c r="B118" s="261"/>
      <c r="C118" s="265" t="s">
        <v>1018</v>
      </c>
      <c r="D118" s="263"/>
      <c r="E118" s="263"/>
      <c r="F118" s="266" t="s">
        <v>925</v>
      </c>
      <c r="G118" s="267">
        <v>1.5</v>
      </c>
      <c r="H118" s="267"/>
      <c r="I118" s="276">
        <v>0</v>
      </c>
    </row>
    <row r="119" spans="1:9" ht="18" x14ac:dyDescent="0.3">
      <c r="A119" s="274" t="s">
        <v>1033</v>
      </c>
      <c r="B119" s="261" t="s">
        <v>1015</v>
      </c>
      <c r="C119" s="262" t="s">
        <v>1016</v>
      </c>
      <c r="D119" s="263"/>
      <c r="E119" s="263"/>
      <c r="F119" s="263" t="s">
        <v>571</v>
      </c>
      <c r="G119" s="264">
        <v>1</v>
      </c>
      <c r="H119" s="264"/>
      <c r="I119" s="275">
        <v>0</v>
      </c>
    </row>
    <row r="120" spans="1:9" ht="18" x14ac:dyDescent="0.3">
      <c r="A120" s="274" t="s">
        <v>1034</v>
      </c>
      <c r="B120" s="261"/>
      <c r="C120" s="265" t="s">
        <v>1018</v>
      </c>
      <c r="D120" s="263"/>
      <c r="E120" s="263"/>
      <c r="F120" s="266" t="s">
        <v>925</v>
      </c>
      <c r="G120" s="267">
        <v>1.5</v>
      </c>
      <c r="H120" s="267"/>
      <c r="I120" s="276">
        <v>0</v>
      </c>
    </row>
    <row r="121" spans="1:9" ht="18" x14ac:dyDescent="0.3">
      <c r="A121" s="274" t="s">
        <v>1035</v>
      </c>
      <c r="B121" s="261" t="s">
        <v>1015</v>
      </c>
      <c r="C121" s="262" t="s">
        <v>1016</v>
      </c>
      <c r="D121" s="263"/>
      <c r="E121" s="263"/>
      <c r="F121" s="263" t="s">
        <v>571</v>
      </c>
      <c r="G121" s="264">
        <v>1</v>
      </c>
      <c r="H121" s="264"/>
      <c r="I121" s="275">
        <v>0</v>
      </c>
    </row>
    <row r="122" spans="1:9" ht="18" x14ac:dyDescent="0.3">
      <c r="A122" s="274" t="s">
        <v>1036</v>
      </c>
      <c r="B122" s="261"/>
      <c r="C122" s="265" t="s">
        <v>1018</v>
      </c>
      <c r="D122" s="263"/>
      <c r="E122" s="263"/>
      <c r="F122" s="266" t="s">
        <v>925</v>
      </c>
      <c r="G122" s="267">
        <v>1.5</v>
      </c>
      <c r="H122" s="267"/>
      <c r="I122" s="276">
        <v>0</v>
      </c>
    </row>
    <row r="123" spans="1:9" ht="18" x14ac:dyDescent="0.3">
      <c r="A123" s="274" t="s">
        <v>1037</v>
      </c>
      <c r="B123" s="261" t="s">
        <v>1015</v>
      </c>
      <c r="C123" s="262" t="s">
        <v>1016</v>
      </c>
      <c r="D123" s="263"/>
      <c r="E123" s="263" t="s">
        <v>1038</v>
      </c>
      <c r="F123" s="263" t="s">
        <v>571</v>
      </c>
      <c r="G123" s="264">
        <v>1</v>
      </c>
      <c r="H123" s="264"/>
      <c r="I123" s="275">
        <v>195.1</v>
      </c>
    </row>
    <row r="124" spans="1:9" ht="18" x14ac:dyDescent="0.3">
      <c r="A124" s="274" t="s">
        <v>1039</v>
      </c>
      <c r="B124" s="261"/>
      <c r="C124" s="265" t="s">
        <v>1018</v>
      </c>
      <c r="D124" s="263"/>
      <c r="E124" s="263"/>
      <c r="F124" s="266" t="s">
        <v>925</v>
      </c>
      <c r="G124" s="267">
        <v>1.5</v>
      </c>
      <c r="H124" s="267"/>
      <c r="I124" s="276">
        <v>292.64999999999998</v>
      </c>
    </row>
    <row r="125" spans="1:9" ht="18" x14ac:dyDescent="0.3">
      <c r="A125" s="274" t="s">
        <v>1040</v>
      </c>
      <c r="B125" s="261" t="s">
        <v>1015</v>
      </c>
      <c r="C125" s="262" t="s">
        <v>1016</v>
      </c>
      <c r="D125" s="263"/>
      <c r="E125" s="263" t="s">
        <v>1041</v>
      </c>
      <c r="F125" s="263" t="s">
        <v>571</v>
      </c>
      <c r="G125" s="264">
        <v>1</v>
      </c>
      <c r="H125" s="264"/>
      <c r="I125" s="275">
        <v>23.1</v>
      </c>
    </row>
    <row r="126" spans="1:9" ht="18" x14ac:dyDescent="0.3">
      <c r="A126" s="274" t="s">
        <v>1042</v>
      </c>
      <c r="B126" s="261"/>
      <c r="C126" s="265" t="s">
        <v>1018</v>
      </c>
      <c r="D126" s="263"/>
      <c r="E126" s="263"/>
      <c r="F126" s="266" t="s">
        <v>925</v>
      </c>
      <c r="G126" s="267">
        <v>1.5</v>
      </c>
      <c r="H126" s="267"/>
      <c r="I126" s="276">
        <v>34.65</v>
      </c>
    </row>
    <row r="127" spans="1:9" ht="18" x14ac:dyDescent="0.3">
      <c r="A127" s="274" t="s">
        <v>1043</v>
      </c>
      <c r="B127" s="261" t="s">
        <v>1015</v>
      </c>
      <c r="C127" s="262" t="s">
        <v>1016</v>
      </c>
      <c r="D127" s="263"/>
      <c r="E127" s="263" t="s">
        <v>1044</v>
      </c>
      <c r="F127" s="263" t="s">
        <v>571</v>
      </c>
      <c r="G127" s="264">
        <v>1</v>
      </c>
      <c r="H127" s="264"/>
      <c r="I127" s="275">
        <v>75</v>
      </c>
    </row>
    <row r="128" spans="1:9" ht="18" x14ac:dyDescent="0.3">
      <c r="A128" s="274" t="s">
        <v>1045</v>
      </c>
      <c r="B128" s="261"/>
      <c r="C128" s="265" t="s">
        <v>1018</v>
      </c>
      <c r="D128" s="263"/>
      <c r="E128" s="263"/>
      <c r="F128" s="266" t="s">
        <v>925</v>
      </c>
      <c r="G128" s="267">
        <v>1.5</v>
      </c>
      <c r="H128" s="267"/>
      <c r="I128" s="276">
        <v>112.5</v>
      </c>
    </row>
    <row r="129" spans="1:9" ht="18" x14ac:dyDescent="0.3">
      <c r="A129" s="274" t="s">
        <v>1046</v>
      </c>
      <c r="B129" s="261" t="s">
        <v>1015</v>
      </c>
      <c r="C129" s="262" t="s">
        <v>1016</v>
      </c>
      <c r="D129" s="263"/>
      <c r="E129" s="263" t="s">
        <v>1047</v>
      </c>
      <c r="F129" s="263" t="s">
        <v>571</v>
      </c>
      <c r="G129" s="264">
        <v>1</v>
      </c>
      <c r="H129" s="264"/>
      <c r="I129" s="275">
        <v>41.8</v>
      </c>
    </row>
    <row r="130" spans="1:9" ht="18" x14ac:dyDescent="0.3">
      <c r="A130" s="274" t="s">
        <v>1048</v>
      </c>
      <c r="B130" s="261"/>
      <c r="C130" s="265" t="s">
        <v>1018</v>
      </c>
      <c r="D130" s="263"/>
      <c r="E130" s="263"/>
      <c r="F130" s="266" t="s">
        <v>925</v>
      </c>
      <c r="G130" s="267">
        <v>1.5</v>
      </c>
      <c r="H130" s="267"/>
      <c r="I130" s="276">
        <v>62.7</v>
      </c>
    </row>
    <row r="131" spans="1:9" ht="18" x14ac:dyDescent="0.3">
      <c r="A131" s="274" t="s">
        <v>1049</v>
      </c>
      <c r="B131" s="261" t="s">
        <v>1015</v>
      </c>
      <c r="C131" s="262" t="s">
        <v>1016</v>
      </c>
      <c r="D131" s="263"/>
      <c r="E131" s="263" t="s">
        <v>1050</v>
      </c>
      <c r="F131" s="263" t="s">
        <v>571</v>
      </c>
      <c r="G131" s="264">
        <v>1</v>
      </c>
      <c r="H131" s="264"/>
      <c r="I131" s="275">
        <v>25.2</v>
      </c>
    </row>
    <row r="132" spans="1:9" ht="18" x14ac:dyDescent="0.3">
      <c r="A132" s="274" t="s">
        <v>1051</v>
      </c>
      <c r="B132" s="261"/>
      <c r="C132" s="265" t="s">
        <v>1018</v>
      </c>
      <c r="D132" s="263"/>
      <c r="E132" s="263"/>
      <c r="F132" s="266" t="s">
        <v>925</v>
      </c>
      <c r="G132" s="267">
        <v>1.5</v>
      </c>
      <c r="H132" s="267"/>
      <c r="I132" s="276">
        <v>37.799999999999997</v>
      </c>
    </row>
    <row r="133" spans="1:9" ht="90" x14ac:dyDescent="0.3">
      <c r="A133" s="274" t="s">
        <v>1052</v>
      </c>
      <c r="B133" s="261" t="s">
        <v>1015</v>
      </c>
      <c r="C133" s="262" t="s">
        <v>1016</v>
      </c>
      <c r="D133" s="263"/>
      <c r="E133" s="263" t="s">
        <v>1053</v>
      </c>
      <c r="F133" s="263" t="s">
        <v>571</v>
      </c>
      <c r="G133" s="264">
        <v>1</v>
      </c>
      <c r="H133" s="264"/>
      <c r="I133" s="275">
        <v>9.3000000000000007</v>
      </c>
    </row>
    <row r="134" spans="1:9" ht="18" x14ac:dyDescent="0.3">
      <c r="A134" s="274" t="s">
        <v>1054</v>
      </c>
      <c r="B134" s="261"/>
      <c r="C134" s="265" t="s">
        <v>1018</v>
      </c>
      <c r="D134" s="263"/>
      <c r="E134" s="263"/>
      <c r="F134" s="266" t="s">
        <v>925</v>
      </c>
      <c r="G134" s="267">
        <v>1.5</v>
      </c>
      <c r="H134" s="267"/>
      <c r="I134" s="276">
        <v>13.95</v>
      </c>
    </row>
    <row r="135" spans="1:9" ht="90" x14ac:dyDescent="0.3">
      <c r="A135" s="274" t="s">
        <v>1055</v>
      </c>
      <c r="B135" s="261" t="s">
        <v>1015</v>
      </c>
      <c r="C135" s="262" t="s">
        <v>1016</v>
      </c>
      <c r="D135" s="263"/>
      <c r="E135" s="263" t="s">
        <v>1056</v>
      </c>
      <c r="F135" s="263" t="s">
        <v>571</v>
      </c>
      <c r="G135" s="264">
        <v>1</v>
      </c>
      <c r="H135" s="264"/>
      <c r="I135" s="275">
        <v>9.4</v>
      </c>
    </row>
    <row r="136" spans="1:9" ht="18" x14ac:dyDescent="0.3">
      <c r="A136" s="274" t="s">
        <v>1057</v>
      </c>
      <c r="B136" s="261"/>
      <c r="C136" s="265" t="s">
        <v>1018</v>
      </c>
      <c r="D136" s="263"/>
      <c r="E136" s="263"/>
      <c r="F136" s="266" t="s">
        <v>925</v>
      </c>
      <c r="G136" s="267">
        <v>1.5</v>
      </c>
      <c r="H136" s="267"/>
      <c r="I136" s="276">
        <v>14.1</v>
      </c>
    </row>
    <row r="137" spans="1:9" ht="18" x14ac:dyDescent="0.3">
      <c r="A137" s="274" t="s">
        <v>1058</v>
      </c>
      <c r="B137" s="261" t="s">
        <v>1015</v>
      </c>
      <c r="C137" s="262" t="s">
        <v>1016</v>
      </c>
      <c r="D137" s="263"/>
      <c r="E137" s="263"/>
      <c r="F137" s="263" t="s">
        <v>571</v>
      </c>
      <c r="G137" s="264">
        <v>1</v>
      </c>
      <c r="H137" s="264"/>
      <c r="I137" s="275">
        <v>0</v>
      </c>
    </row>
    <row r="138" spans="1:9" ht="18" x14ac:dyDescent="0.3">
      <c r="A138" s="274" t="s">
        <v>1059</v>
      </c>
      <c r="B138" s="261"/>
      <c r="C138" s="265" t="s">
        <v>1018</v>
      </c>
      <c r="D138" s="263"/>
      <c r="E138" s="263"/>
      <c r="F138" s="266" t="s">
        <v>925</v>
      </c>
      <c r="G138" s="267">
        <v>1.5</v>
      </c>
      <c r="H138" s="267"/>
      <c r="I138" s="276">
        <v>0</v>
      </c>
    </row>
    <row r="139" spans="1:9" ht="18" x14ac:dyDescent="0.3">
      <c r="A139" s="274" t="s">
        <v>1060</v>
      </c>
      <c r="B139" s="261" t="s">
        <v>1061</v>
      </c>
      <c r="C139" s="262" t="s">
        <v>1062</v>
      </c>
      <c r="D139" s="263"/>
      <c r="E139" s="263"/>
      <c r="F139" s="263" t="s">
        <v>571</v>
      </c>
      <c r="G139" s="264">
        <v>1</v>
      </c>
      <c r="H139" s="264"/>
      <c r="I139" s="275">
        <v>0</v>
      </c>
    </row>
    <row r="140" spans="1:9" ht="18" x14ac:dyDescent="0.3">
      <c r="A140" s="274" t="s">
        <v>1063</v>
      </c>
      <c r="B140" s="261"/>
      <c r="C140" s="265" t="s">
        <v>1064</v>
      </c>
      <c r="D140" s="263"/>
      <c r="E140" s="263"/>
      <c r="F140" s="266" t="s">
        <v>925</v>
      </c>
      <c r="G140" s="267">
        <v>1</v>
      </c>
      <c r="H140" s="267"/>
      <c r="I140" s="276">
        <v>0</v>
      </c>
    </row>
    <row r="141" spans="1:9" ht="181.95" customHeight="1" x14ac:dyDescent="0.3">
      <c r="A141" s="274" t="s">
        <v>1065</v>
      </c>
      <c r="B141" s="261" t="s">
        <v>1061</v>
      </c>
      <c r="C141" s="262" t="s">
        <v>1062</v>
      </c>
      <c r="D141" s="263"/>
      <c r="E141" s="263" t="s">
        <v>1066</v>
      </c>
      <c r="F141" s="263" t="s">
        <v>571</v>
      </c>
      <c r="G141" s="264">
        <v>1</v>
      </c>
      <c r="H141" s="264"/>
      <c r="I141" s="275">
        <v>227.3</v>
      </c>
    </row>
    <row r="142" spans="1:9" ht="118.05" customHeight="1" x14ac:dyDescent="0.3">
      <c r="A142" s="274" t="s">
        <v>1067</v>
      </c>
      <c r="B142" s="261"/>
      <c r="C142" s="265" t="s">
        <v>1064</v>
      </c>
      <c r="D142" s="263"/>
      <c r="E142" s="263" t="s">
        <v>1068</v>
      </c>
      <c r="F142" s="266" t="s">
        <v>925</v>
      </c>
      <c r="G142" s="267">
        <v>1</v>
      </c>
      <c r="H142" s="267"/>
      <c r="I142" s="276">
        <v>227.3</v>
      </c>
    </row>
    <row r="143" spans="1:9" ht="18" x14ac:dyDescent="0.3">
      <c r="A143" s="274" t="s">
        <v>1069</v>
      </c>
      <c r="B143" s="261" t="s">
        <v>1070</v>
      </c>
      <c r="C143" s="262" t="s">
        <v>1071</v>
      </c>
      <c r="D143" s="263"/>
      <c r="E143" s="263"/>
      <c r="F143" s="263" t="s">
        <v>571</v>
      </c>
      <c r="G143" s="264">
        <v>1</v>
      </c>
      <c r="H143" s="264"/>
      <c r="I143" s="275">
        <v>0</v>
      </c>
    </row>
    <row r="144" spans="1:9" ht="18" x14ac:dyDescent="0.3">
      <c r="A144" s="274" t="s">
        <v>1072</v>
      </c>
      <c r="B144" s="261"/>
      <c r="C144" s="265" t="s">
        <v>926</v>
      </c>
      <c r="D144" s="263"/>
      <c r="E144" s="263"/>
      <c r="F144" s="266" t="s">
        <v>921</v>
      </c>
      <c r="G144" s="267">
        <v>0.15</v>
      </c>
      <c r="H144" s="267"/>
      <c r="I144" s="276">
        <v>0</v>
      </c>
    </row>
    <row r="145" spans="1:9" ht="18" x14ac:dyDescent="0.3">
      <c r="A145" s="274" t="s">
        <v>1073</v>
      </c>
      <c r="B145" s="261"/>
      <c r="C145" s="265" t="s">
        <v>1074</v>
      </c>
      <c r="D145" s="263"/>
      <c r="E145" s="263"/>
      <c r="F145" s="266" t="s">
        <v>921</v>
      </c>
      <c r="G145" s="267">
        <v>0.3</v>
      </c>
      <c r="H145" s="267"/>
      <c r="I145" s="276">
        <v>0</v>
      </c>
    </row>
    <row r="146" spans="1:9" ht="18" x14ac:dyDescent="0.3">
      <c r="A146" s="274" t="s">
        <v>1075</v>
      </c>
      <c r="B146" s="261" t="s">
        <v>1070</v>
      </c>
      <c r="C146" s="262" t="s">
        <v>1071</v>
      </c>
      <c r="D146" s="263"/>
      <c r="E146" s="263"/>
      <c r="F146" s="263" t="s">
        <v>571</v>
      </c>
      <c r="G146" s="264">
        <v>1</v>
      </c>
      <c r="H146" s="264"/>
      <c r="I146" s="275">
        <v>0</v>
      </c>
    </row>
    <row r="147" spans="1:9" ht="18" x14ac:dyDescent="0.3">
      <c r="A147" s="274" t="s">
        <v>1076</v>
      </c>
      <c r="B147" s="261"/>
      <c r="C147" s="265" t="s">
        <v>1074</v>
      </c>
      <c r="D147" s="263"/>
      <c r="E147" s="263"/>
      <c r="F147" s="266" t="s">
        <v>921</v>
      </c>
      <c r="G147" s="267">
        <v>0.3</v>
      </c>
      <c r="H147" s="267"/>
      <c r="I147" s="276">
        <v>0</v>
      </c>
    </row>
    <row r="148" spans="1:9" ht="18" x14ac:dyDescent="0.3">
      <c r="A148" s="274" t="s">
        <v>1077</v>
      </c>
      <c r="B148" s="261"/>
      <c r="C148" s="265" t="s">
        <v>926</v>
      </c>
      <c r="D148" s="263"/>
      <c r="E148" s="263"/>
      <c r="F148" s="266" t="s">
        <v>921</v>
      </c>
      <c r="G148" s="267">
        <v>0.15</v>
      </c>
      <c r="H148" s="267"/>
      <c r="I148" s="276">
        <v>0</v>
      </c>
    </row>
    <row r="149" spans="1:9" ht="18" x14ac:dyDescent="0.3">
      <c r="A149" s="274" t="s">
        <v>1078</v>
      </c>
      <c r="B149" s="261" t="s">
        <v>1070</v>
      </c>
      <c r="C149" s="262" t="s">
        <v>1071</v>
      </c>
      <c r="D149" s="263"/>
      <c r="E149" s="263"/>
      <c r="F149" s="263" t="s">
        <v>571</v>
      </c>
      <c r="G149" s="264">
        <v>1</v>
      </c>
      <c r="H149" s="264"/>
      <c r="I149" s="275">
        <v>0</v>
      </c>
    </row>
    <row r="150" spans="1:9" ht="18" x14ac:dyDescent="0.3">
      <c r="A150" s="274" t="s">
        <v>1079</v>
      </c>
      <c r="B150" s="261"/>
      <c r="C150" s="265" t="s">
        <v>926</v>
      </c>
      <c r="D150" s="263"/>
      <c r="E150" s="263"/>
      <c r="F150" s="266" t="s">
        <v>921</v>
      </c>
      <c r="G150" s="267">
        <v>0.15</v>
      </c>
      <c r="H150" s="267"/>
      <c r="I150" s="276">
        <v>0</v>
      </c>
    </row>
    <row r="151" spans="1:9" ht="18" x14ac:dyDescent="0.3">
      <c r="A151" s="274" t="s">
        <v>1080</v>
      </c>
      <c r="B151" s="261"/>
      <c r="C151" s="265" t="s">
        <v>1074</v>
      </c>
      <c r="D151" s="263"/>
      <c r="E151" s="263"/>
      <c r="F151" s="266" t="s">
        <v>921</v>
      </c>
      <c r="G151" s="267">
        <v>0.3</v>
      </c>
      <c r="H151" s="267"/>
      <c r="I151" s="276">
        <v>0</v>
      </c>
    </row>
    <row r="152" spans="1:9" ht="18" x14ac:dyDescent="0.3">
      <c r="A152" s="274" t="s">
        <v>1081</v>
      </c>
      <c r="B152" s="261" t="s">
        <v>1070</v>
      </c>
      <c r="C152" s="262" t="s">
        <v>1071</v>
      </c>
      <c r="D152" s="263"/>
      <c r="E152" s="263"/>
      <c r="F152" s="263" t="s">
        <v>571</v>
      </c>
      <c r="G152" s="264">
        <v>1</v>
      </c>
      <c r="H152" s="264"/>
      <c r="I152" s="275">
        <v>0</v>
      </c>
    </row>
    <row r="153" spans="1:9" ht="18" x14ac:dyDescent="0.3">
      <c r="A153" s="274" t="s">
        <v>1082</v>
      </c>
      <c r="B153" s="261"/>
      <c r="C153" s="265" t="s">
        <v>1074</v>
      </c>
      <c r="D153" s="263"/>
      <c r="E153" s="263"/>
      <c r="F153" s="266" t="s">
        <v>921</v>
      </c>
      <c r="G153" s="267">
        <v>0.3</v>
      </c>
      <c r="H153" s="267"/>
      <c r="I153" s="276">
        <v>0</v>
      </c>
    </row>
    <row r="154" spans="1:9" ht="18" x14ac:dyDescent="0.3">
      <c r="A154" s="274" t="s">
        <v>1083</v>
      </c>
      <c r="B154" s="261"/>
      <c r="C154" s="265" t="s">
        <v>926</v>
      </c>
      <c r="D154" s="263"/>
      <c r="E154" s="263"/>
      <c r="F154" s="266" t="s">
        <v>921</v>
      </c>
      <c r="G154" s="267">
        <v>0.15</v>
      </c>
      <c r="H154" s="267"/>
      <c r="I154" s="276">
        <v>0</v>
      </c>
    </row>
    <row r="155" spans="1:9" ht="18" x14ac:dyDescent="0.3">
      <c r="A155" s="274" t="s">
        <v>1084</v>
      </c>
      <c r="B155" s="261" t="s">
        <v>1070</v>
      </c>
      <c r="C155" s="262" t="s">
        <v>1071</v>
      </c>
      <c r="D155" s="263"/>
      <c r="E155" s="263"/>
      <c r="F155" s="263" t="s">
        <v>571</v>
      </c>
      <c r="G155" s="264">
        <v>1</v>
      </c>
      <c r="H155" s="264"/>
      <c r="I155" s="275">
        <v>0</v>
      </c>
    </row>
    <row r="156" spans="1:9" ht="18" x14ac:dyDescent="0.3">
      <c r="A156" s="274" t="s">
        <v>1085</v>
      </c>
      <c r="B156" s="261"/>
      <c r="C156" s="265" t="s">
        <v>926</v>
      </c>
      <c r="D156" s="263"/>
      <c r="E156" s="263"/>
      <c r="F156" s="266" t="s">
        <v>921</v>
      </c>
      <c r="G156" s="267">
        <v>0.15</v>
      </c>
      <c r="H156" s="267"/>
      <c r="I156" s="276">
        <v>0</v>
      </c>
    </row>
    <row r="157" spans="1:9" ht="18" x14ac:dyDescent="0.3">
      <c r="A157" s="274" t="s">
        <v>1086</v>
      </c>
      <c r="B157" s="261"/>
      <c r="C157" s="265" t="s">
        <v>1074</v>
      </c>
      <c r="D157" s="263"/>
      <c r="E157" s="263"/>
      <c r="F157" s="266" t="s">
        <v>921</v>
      </c>
      <c r="G157" s="267">
        <v>0.3</v>
      </c>
      <c r="H157" s="267"/>
      <c r="I157" s="276">
        <v>0</v>
      </c>
    </row>
    <row r="158" spans="1:9" ht="18" x14ac:dyDescent="0.3">
      <c r="A158" s="274" t="s">
        <v>1087</v>
      </c>
      <c r="B158" s="261" t="s">
        <v>1070</v>
      </c>
      <c r="C158" s="262" t="s">
        <v>1071</v>
      </c>
      <c r="D158" s="263"/>
      <c r="E158" s="263"/>
      <c r="F158" s="263" t="s">
        <v>571</v>
      </c>
      <c r="G158" s="264">
        <v>1</v>
      </c>
      <c r="H158" s="264"/>
      <c r="I158" s="275">
        <v>0</v>
      </c>
    </row>
    <row r="159" spans="1:9" ht="18" x14ac:dyDescent="0.3">
      <c r="A159" s="274" t="s">
        <v>1088</v>
      </c>
      <c r="B159" s="261"/>
      <c r="C159" s="265" t="s">
        <v>1074</v>
      </c>
      <c r="D159" s="263"/>
      <c r="E159" s="263"/>
      <c r="F159" s="266" t="s">
        <v>921</v>
      </c>
      <c r="G159" s="267">
        <v>0.3</v>
      </c>
      <c r="H159" s="267"/>
      <c r="I159" s="276">
        <v>0</v>
      </c>
    </row>
    <row r="160" spans="1:9" ht="18" x14ac:dyDescent="0.3">
      <c r="A160" s="274" t="s">
        <v>1089</v>
      </c>
      <c r="B160" s="261"/>
      <c r="C160" s="265" t="s">
        <v>926</v>
      </c>
      <c r="D160" s="263"/>
      <c r="E160" s="263"/>
      <c r="F160" s="266" t="s">
        <v>921</v>
      </c>
      <c r="G160" s="267">
        <v>0.15</v>
      </c>
      <c r="H160" s="267"/>
      <c r="I160" s="276">
        <v>0</v>
      </c>
    </row>
    <row r="161" spans="1:9" ht="18" x14ac:dyDescent="0.3">
      <c r="A161" s="274" t="s">
        <v>1090</v>
      </c>
      <c r="B161" s="261" t="s">
        <v>1070</v>
      </c>
      <c r="C161" s="262" t="s">
        <v>1071</v>
      </c>
      <c r="D161" s="263"/>
      <c r="E161" s="263"/>
      <c r="F161" s="263" t="s">
        <v>571</v>
      </c>
      <c r="G161" s="264">
        <v>1</v>
      </c>
      <c r="H161" s="264"/>
      <c r="I161" s="275">
        <v>0</v>
      </c>
    </row>
    <row r="162" spans="1:9" ht="18" x14ac:dyDescent="0.3">
      <c r="A162" s="274" t="s">
        <v>1091</v>
      </c>
      <c r="B162" s="261"/>
      <c r="C162" s="265" t="s">
        <v>926</v>
      </c>
      <c r="D162" s="263"/>
      <c r="E162" s="263"/>
      <c r="F162" s="266" t="s">
        <v>921</v>
      </c>
      <c r="G162" s="267">
        <v>0.15</v>
      </c>
      <c r="H162" s="267"/>
      <c r="I162" s="276">
        <v>0</v>
      </c>
    </row>
    <row r="163" spans="1:9" ht="18" x14ac:dyDescent="0.3">
      <c r="A163" s="274" t="s">
        <v>1092</v>
      </c>
      <c r="B163" s="261"/>
      <c r="C163" s="265" t="s">
        <v>1074</v>
      </c>
      <c r="D163" s="263"/>
      <c r="E163" s="263"/>
      <c r="F163" s="266" t="s">
        <v>921</v>
      </c>
      <c r="G163" s="267">
        <v>0.3</v>
      </c>
      <c r="H163" s="267"/>
      <c r="I163" s="276">
        <v>0</v>
      </c>
    </row>
    <row r="164" spans="1:9" ht="18" x14ac:dyDescent="0.3">
      <c r="A164" s="274" t="s">
        <v>1093</v>
      </c>
      <c r="B164" s="261" t="s">
        <v>1070</v>
      </c>
      <c r="C164" s="262" t="s">
        <v>1071</v>
      </c>
      <c r="D164" s="263"/>
      <c r="E164" s="263"/>
      <c r="F164" s="263" t="s">
        <v>571</v>
      </c>
      <c r="G164" s="264">
        <v>1</v>
      </c>
      <c r="H164" s="264"/>
      <c r="I164" s="275">
        <v>0</v>
      </c>
    </row>
    <row r="165" spans="1:9" ht="18" x14ac:dyDescent="0.3">
      <c r="A165" s="274" t="s">
        <v>1094</v>
      </c>
      <c r="B165" s="261"/>
      <c r="C165" s="265" t="s">
        <v>1074</v>
      </c>
      <c r="D165" s="263"/>
      <c r="E165" s="263"/>
      <c r="F165" s="266" t="s">
        <v>921</v>
      </c>
      <c r="G165" s="267">
        <v>0.3</v>
      </c>
      <c r="H165" s="267"/>
      <c r="I165" s="276">
        <v>0</v>
      </c>
    </row>
    <row r="166" spans="1:9" ht="18" x14ac:dyDescent="0.3">
      <c r="A166" s="274" t="s">
        <v>1095</v>
      </c>
      <c r="B166" s="261"/>
      <c r="C166" s="265" t="s">
        <v>926</v>
      </c>
      <c r="D166" s="263"/>
      <c r="E166" s="263"/>
      <c r="F166" s="266" t="s">
        <v>921</v>
      </c>
      <c r="G166" s="267">
        <v>0.15</v>
      </c>
      <c r="H166" s="267"/>
      <c r="I166" s="276">
        <v>0</v>
      </c>
    </row>
    <row r="167" spans="1:9" ht="73.05" customHeight="1" x14ac:dyDescent="0.3">
      <c r="A167" s="274" t="s">
        <v>1096</v>
      </c>
      <c r="B167" s="261" t="s">
        <v>1070</v>
      </c>
      <c r="C167" s="262" t="s">
        <v>1071</v>
      </c>
      <c r="D167" s="263"/>
      <c r="E167" s="263" t="s">
        <v>1097</v>
      </c>
      <c r="F167" s="263" t="s">
        <v>571</v>
      </c>
      <c r="G167" s="264">
        <v>1</v>
      </c>
      <c r="H167" s="264"/>
      <c r="I167" s="275">
        <v>276</v>
      </c>
    </row>
    <row r="168" spans="1:9" ht="18" x14ac:dyDescent="0.3">
      <c r="A168" s="274" t="s">
        <v>1098</v>
      </c>
      <c r="B168" s="261"/>
      <c r="C168" s="265" t="s">
        <v>926</v>
      </c>
      <c r="D168" s="263"/>
      <c r="E168" s="263"/>
      <c r="F168" s="266" t="s">
        <v>921</v>
      </c>
      <c r="G168" s="267">
        <v>0.15</v>
      </c>
      <c r="H168" s="267"/>
      <c r="I168" s="276">
        <v>41.4</v>
      </c>
    </row>
    <row r="169" spans="1:9" ht="18" x14ac:dyDescent="0.3">
      <c r="A169" s="274" t="s">
        <v>1099</v>
      </c>
      <c r="B169" s="261"/>
      <c r="C169" s="265" t="s">
        <v>1074</v>
      </c>
      <c r="D169" s="263"/>
      <c r="E169" s="263"/>
      <c r="F169" s="266" t="s">
        <v>921</v>
      </c>
      <c r="G169" s="267">
        <v>0.3</v>
      </c>
      <c r="H169" s="267"/>
      <c r="I169" s="276">
        <v>82.8</v>
      </c>
    </row>
    <row r="170" spans="1:9" ht="73.05" customHeight="1" x14ac:dyDescent="0.3">
      <c r="A170" s="274" t="s">
        <v>1100</v>
      </c>
      <c r="B170" s="261" t="s">
        <v>1070</v>
      </c>
      <c r="C170" s="262" t="s">
        <v>1071</v>
      </c>
      <c r="D170" s="263"/>
      <c r="E170" s="263" t="s">
        <v>1101</v>
      </c>
      <c r="F170" s="263" t="s">
        <v>571</v>
      </c>
      <c r="G170" s="264">
        <v>1</v>
      </c>
      <c r="H170" s="264"/>
      <c r="I170" s="275">
        <v>224.5</v>
      </c>
    </row>
    <row r="171" spans="1:9" ht="18" x14ac:dyDescent="0.3">
      <c r="A171" s="274" t="s">
        <v>1102</v>
      </c>
      <c r="B171" s="261"/>
      <c r="C171" s="265" t="s">
        <v>1074</v>
      </c>
      <c r="D171" s="263"/>
      <c r="E171" s="263"/>
      <c r="F171" s="266" t="s">
        <v>921</v>
      </c>
      <c r="G171" s="267">
        <v>0.3</v>
      </c>
      <c r="H171" s="267"/>
      <c r="I171" s="276">
        <v>67.349999999999994</v>
      </c>
    </row>
    <row r="172" spans="1:9" ht="18" x14ac:dyDescent="0.3">
      <c r="A172" s="274" t="s">
        <v>1103</v>
      </c>
      <c r="B172" s="261"/>
      <c r="C172" s="265" t="s">
        <v>926</v>
      </c>
      <c r="D172" s="263"/>
      <c r="E172" s="263"/>
      <c r="F172" s="266" t="s">
        <v>921</v>
      </c>
      <c r="G172" s="267">
        <v>0.15</v>
      </c>
      <c r="H172" s="267"/>
      <c r="I172" s="276">
        <v>33.674999999999997</v>
      </c>
    </row>
    <row r="173" spans="1:9" ht="79.95" customHeight="1" x14ac:dyDescent="0.3">
      <c r="A173" s="274" t="s">
        <v>1104</v>
      </c>
      <c r="B173" s="261" t="s">
        <v>1070</v>
      </c>
      <c r="C173" s="262" t="s">
        <v>1071</v>
      </c>
      <c r="D173" s="263"/>
      <c r="E173" s="263" t="s">
        <v>1105</v>
      </c>
      <c r="F173" s="263" t="s">
        <v>571</v>
      </c>
      <c r="G173" s="264">
        <v>1</v>
      </c>
      <c r="H173" s="264"/>
      <c r="I173" s="275">
        <v>180</v>
      </c>
    </row>
    <row r="174" spans="1:9" ht="18" x14ac:dyDescent="0.3">
      <c r="A174" s="274" t="s">
        <v>1106</v>
      </c>
      <c r="B174" s="261"/>
      <c r="C174" s="265" t="s">
        <v>926</v>
      </c>
      <c r="D174" s="263"/>
      <c r="E174" s="263"/>
      <c r="F174" s="266" t="s">
        <v>921</v>
      </c>
      <c r="G174" s="267">
        <v>0.15</v>
      </c>
      <c r="H174" s="267"/>
      <c r="I174" s="276">
        <v>27</v>
      </c>
    </row>
    <row r="175" spans="1:9" ht="18" x14ac:dyDescent="0.3">
      <c r="A175" s="274" t="s">
        <v>1107</v>
      </c>
      <c r="B175" s="261"/>
      <c r="C175" s="265" t="s">
        <v>1074</v>
      </c>
      <c r="D175" s="263"/>
      <c r="E175" s="263"/>
      <c r="F175" s="266" t="s">
        <v>921</v>
      </c>
      <c r="G175" s="267">
        <v>0.3</v>
      </c>
      <c r="H175" s="267"/>
      <c r="I175" s="276">
        <v>54</v>
      </c>
    </row>
    <row r="176" spans="1:9" ht="69" customHeight="1" x14ac:dyDescent="0.3">
      <c r="A176" s="274" t="s">
        <v>1108</v>
      </c>
      <c r="B176" s="261" t="s">
        <v>1070</v>
      </c>
      <c r="C176" s="262" t="s">
        <v>1071</v>
      </c>
      <c r="D176" s="263"/>
      <c r="E176" s="263" t="s">
        <v>1109</v>
      </c>
      <c r="F176" s="263" t="s">
        <v>571</v>
      </c>
      <c r="G176" s="264">
        <v>1</v>
      </c>
      <c r="H176" s="264"/>
      <c r="I176" s="275">
        <v>1285.3</v>
      </c>
    </row>
    <row r="177" spans="1:9" ht="18" x14ac:dyDescent="0.3">
      <c r="A177" s="274" t="s">
        <v>1110</v>
      </c>
      <c r="B177" s="261"/>
      <c r="C177" s="265" t="s">
        <v>1074</v>
      </c>
      <c r="D177" s="263"/>
      <c r="E177" s="263"/>
      <c r="F177" s="266" t="s">
        <v>921</v>
      </c>
      <c r="G177" s="267">
        <v>0.3</v>
      </c>
      <c r="H177" s="267"/>
      <c r="I177" s="276">
        <v>385.59</v>
      </c>
    </row>
    <row r="178" spans="1:9" ht="18" x14ac:dyDescent="0.3">
      <c r="A178" s="274" t="s">
        <v>1111</v>
      </c>
      <c r="B178" s="261"/>
      <c r="C178" s="265" t="s">
        <v>926</v>
      </c>
      <c r="D178" s="263"/>
      <c r="E178" s="263"/>
      <c r="F178" s="266" t="s">
        <v>921</v>
      </c>
      <c r="G178" s="267">
        <v>0.15</v>
      </c>
      <c r="H178" s="267"/>
      <c r="I178" s="276">
        <v>192.79499999999999</v>
      </c>
    </row>
    <row r="179" spans="1:9" ht="73.95" customHeight="1" x14ac:dyDescent="0.3">
      <c r="A179" s="274" t="s">
        <v>1112</v>
      </c>
      <c r="B179" s="261" t="s">
        <v>1070</v>
      </c>
      <c r="C179" s="262" t="s">
        <v>1071</v>
      </c>
      <c r="D179" s="263"/>
      <c r="E179" s="263" t="s">
        <v>1113</v>
      </c>
      <c r="F179" s="263" t="s">
        <v>571</v>
      </c>
      <c r="G179" s="264">
        <v>1</v>
      </c>
      <c r="H179" s="264"/>
      <c r="I179" s="275">
        <v>101.4</v>
      </c>
    </row>
    <row r="180" spans="1:9" ht="18" x14ac:dyDescent="0.3">
      <c r="A180" s="274" t="s">
        <v>1114</v>
      </c>
      <c r="B180" s="261"/>
      <c r="C180" s="265" t="s">
        <v>926</v>
      </c>
      <c r="D180" s="263"/>
      <c r="E180" s="263"/>
      <c r="F180" s="266" t="s">
        <v>921</v>
      </c>
      <c r="G180" s="267">
        <v>0.15</v>
      </c>
      <c r="H180" s="267"/>
      <c r="I180" s="276">
        <v>15.21</v>
      </c>
    </row>
    <row r="181" spans="1:9" ht="18" x14ac:dyDescent="0.3">
      <c r="A181" s="274" t="s">
        <v>1115</v>
      </c>
      <c r="B181" s="261"/>
      <c r="C181" s="265" t="s">
        <v>1074</v>
      </c>
      <c r="D181" s="263"/>
      <c r="E181" s="263"/>
      <c r="F181" s="266" t="s">
        <v>921</v>
      </c>
      <c r="G181" s="267">
        <v>0.3</v>
      </c>
      <c r="H181" s="267"/>
      <c r="I181" s="276">
        <v>30.42</v>
      </c>
    </row>
    <row r="182" spans="1:9" ht="78" customHeight="1" x14ac:dyDescent="0.3">
      <c r="A182" s="274" t="s">
        <v>1116</v>
      </c>
      <c r="B182" s="261" t="s">
        <v>1070</v>
      </c>
      <c r="C182" s="262" t="s">
        <v>1071</v>
      </c>
      <c r="D182" s="263"/>
      <c r="E182" s="263" t="s">
        <v>1117</v>
      </c>
      <c r="F182" s="263" t="s">
        <v>571</v>
      </c>
      <c r="G182" s="264">
        <v>1</v>
      </c>
      <c r="H182" s="264"/>
      <c r="I182" s="275">
        <v>23.1</v>
      </c>
    </row>
    <row r="183" spans="1:9" ht="18" x14ac:dyDescent="0.3">
      <c r="A183" s="274" t="s">
        <v>1118</v>
      </c>
      <c r="B183" s="261"/>
      <c r="C183" s="265" t="s">
        <v>1074</v>
      </c>
      <c r="D183" s="263"/>
      <c r="E183" s="263"/>
      <c r="F183" s="266" t="s">
        <v>921</v>
      </c>
      <c r="G183" s="267">
        <v>0.3</v>
      </c>
      <c r="H183" s="267"/>
      <c r="I183" s="276">
        <v>6.93</v>
      </c>
    </row>
    <row r="184" spans="1:9" ht="18" x14ac:dyDescent="0.3">
      <c r="A184" s="274" t="s">
        <v>1119</v>
      </c>
      <c r="B184" s="261"/>
      <c r="C184" s="265" t="s">
        <v>926</v>
      </c>
      <c r="D184" s="263"/>
      <c r="E184" s="263"/>
      <c r="F184" s="266" t="s">
        <v>921</v>
      </c>
      <c r="G184" s="267">
        <v>0.15</v>
      </c>
      <c r="H184" s="267"/>
      <c r="I184" s="276">
        <v>3.4649999999999999</v>
      </c>
    </row>
    <row r="185" spans="1:9" ht="79.95" customHeight="1" x14ac:dyDescent="0.3">
      <c r="A185" s="274" t="s">
        <v>1120</v>
      </c>
      <c r="B185" s="261" t="s">
        <v>1070</v>
      </c>
      <c r="C185" s="262" t="s">
        <v>1071</v>
      </c>
      <c r="D185" s="263"/>
      <c r="E185" s="263" t="s">
        <v>1121</v>
      </c>
      <c r="F185" s="263" t="s">
        <v>571</v>
      </c>
      <c r="G185" s="264">
        <v>1</v>
      </c>
      <c r="H185" s="264"/>
      <c r="I185" s="275">
        <v>18.5</v>
      </c>
    </row>
    <row r="186" spans="1:9" ht="18" x14ac:dyDescent="0.3">
      <c r="A186" s="274" t="s">
        <v>1122</v>
      </c>
      <c r="B186" s="261"/>
      <c r="C186" s="265" t="s">
        <v>926</v>
      </c>
      <c r="D186" s="263"/>
      <c r="E186" s="263"/>
      <c r="F186" s="266" t="s">
        <v>921</v>
      </c>
      <c r="G186" s="267">
        <v>0.15</v>
      </c>
      <c r="H186" s="267"/>
      <c r="I186" s="276">
        <v>2.7749999999999999</v>
      </c>
    </row>
    <row r="187" spans="1:9" ht="18" x14ac:dyDescent="0.3">
      <c r="A187" s="274" t="s">
        <v>1123</v>
      </c>
      <c r="B187" s="261"/>
      <c r="C187" s="265" t="s">
        <v>1074</v>
      </c>
      <c r="D187" s="263"/>
      <c r="E187" s="263"/>
      <c r="F187" s="266" t="s">
        <v>921</v>
      </c>
      <c r="G187" s="267">
        <v>0.3</v>
      </c>
      <c r="H187" s="267"/>
      <c r="I187" s="276">
        <v>5.55</v>
      </c>
    </row>
    <row r="188" spans="1:9" ht="36" x14ac:dyDescent="0.3">
      <c r="A188" s="274" t="s">
        <v>1124</v>
      </c>
      <c r="B188" s="261" t="s">
        <v>1070</v>
      </c>
      <c r="C188" s="262" t="s">
        <v>1071</v>
      </c>
      <c r="D188" s="263"/>
      <c r="E188" s="263" t="s">
        <v>1125</v>
      </c>
      <c r="F188" s="263" t="s">
        <v>571</v>
      </c>
      <c r="G188" s="264">
        <v>1</v>
      </c>
      <c r="H188" s="264"/>
      <c r="I188" s="275">
        <v>253.5</v>
      </c>
    </row>
    <row r="189" spans="1:9" ht="18" x14ac:dyDescent="0.3">
      <c r="A189" s="274" t="s">
        <v>1126</v>
      </c>
      <c r="B189" s="261"/>
      <c r="C189" s="265" t="s">
        <v>1074</v>
      </c>
      <c r="D189" s="263"/>
      <c r="E189" s="263"/>
      <c r="F189" s="266" t="s">
        <v>921</v>
      </c>
      <c r="G189" s="267">
        <v>0.3</v>
      </c>
      <c r="H189" s="267"/>
      <c r="I189" s="276">
        <v>76.05</v>
      </c>
    </row>
    <row r="190" spans="1:9" ht="18" x14ac:dyDescent="0.3">
      <c r="A190" s="274" t="s">
        <v>1127</v>
      </c>
      <c r="B190" s="261"/>
      <c r="C190" s="265" t="s">
        <v>926</v>
      </c>
      <c r="D190" s="263"/>
      <c r="E190" s="263"/>
      <c r="F190" s="266" t="s">
        <v>921</v>
      </c>
      <c r="G190" s="267">
        <v>0.15</v>
      </c>
      <c r="H190" s="267"/>
      <c r="I190" s="276">
        <v>38.024999999999999</v>
      </c>
    </row>
    <row r="191" spans="1:9" ht="76.95" customHeight="1" x14ac:dyDescent="0.3">
      <c r="A191" s="274" t="s">
        <v>1128</v>
      </c>
      <c r="B191" s="261" t="s">
        <v>1070</v>
      </c>
      <c r="C191" s="262" t="s">
        <v>1071</v>
      </c>
      <c r="D191" s="263"/>
      <c r="E191" s="263" t="s">
        <v>1129</v>
      </c>
      <c r="F191" s="263" t="s">
        <v>571</v>
      </c>
      <c r="G191" s="264">
        <v>1</v>
      </c>
      <c r="H191" s="264"/>
      <c r="I191" s="275">
        <v>9391.9419999999991</v>
      </c>
    </row>
    <row r="192" spans="1:9" ht="36" x14ac:dyDescent="0.3">
      <c r="A192" s="274" t="s">
        <v>1130</v>
      </c>
      <c r="B192" s="261"/>
      <c r="C192" s="265" t="s">
        <v>1131</v>
      </c>
      <c r="D192" s="263"/>
      <c r="E192" s="263" t="s">
        <v>1132</v>
      </c>
      <c r="F192" s="266" t="s">
        <v>921</v>
      </c>
      <c r="G192" s="267">
        <v>0.3</v>
      </c>
      <c r="H192" s="267"/>
      <c r="I192" s="276">
        <v>2817.5830000000001</v>
      </c>
    </row>
    <row r="193" spans="1:9" ht="18" x14ac:dyDescent="0.3">
      <c r="A193" s="274" t="s">
        <v>1133</v>
      </c>
      <c r="B193" s="261"/>
      <c r="C193" s="265" t="s">
        <v>926</v>
      </c>
      <c r="D193" s="263"/>
      <c r="E193" s="263" t="s">
        <v>1134</v>
      </c>
      <c r="F193" s="266" t="s">
        <v>921</v>
      </c>
      <c r="G193" s="267">
        <v>0.15</v>
      </c>
      <c r="H193" s="267"/>
      <c r="I193" s="276">
        <v>1408.7909999999999</v>
      </c>
    </row>
    <row r="194" spans="1:9" ht="72" customHeight="1" x14ac:dyDescent="0.3">
      <c r="A194" s="274" t="s">
        <v>1135</v>
      </c>
      <c r="B194" s="261" t="s">
        <v>1070</v>
      </c>
      <c r="C194" s="262" t="s">
        <v>1071</v>
      </c>
      <c r="D194" s="263"/>
      <c r="E194" s="263" t="s">
        <v>1136</v>
      </c>
      <c r="F194" s="263" t="s">
        <v>571</v>
      </c>
      <c r="G194" s="264">
        <v>1</v>
      </c>
      <c r="H194" s="264"/>
      <c r="I194" s="275">
        <v>227.4</v>
      </c>
    </row>
    <row r="195" spans="1:9" ht="18" x14ac:dyDescent="0.3">
      <c r="A195" s="274" t="s">
        <v>1137</v>
      </c>
      <c r="B195" s="261"/>
      <c r="C195" s="265" t="s">
        <v>926</v>
      </c>
      <c r="D195" s="263"/>
      <c r="E195" s="263" t="s">
        <v>1134</v>
      </c>
      <c r="F195" s="266" t="s">
        <v>921</v>
      </c>
      <c r="G195" s="267">
        <v>0.15</v>
      </c>
      <c r="H195" s="267"/>
      <c r="I195" s="276">
        <v>34.11</v>
      </c>
    </row>
    <row r="196" spans="1:9" ht="54" x14ac:dyDescent="0.3">
      <c r="A196" s="274" t="s">
        <v>1138</v>
      </c>
      <c r="B196" s="261"/>
      <c r="C196" s="265" t="s">
        <v>1131</v>
      </c>
      <c r="D196" s="263"/>
      <c r="E196" s="263" t="s">
        <v>1139</v>
      </c>
      <c r="F196" s="266" t="s">
        <v>921</v>
      </c>
      <c r="G196" s="267">
        <v>0.3</v>
      </c>
      <c r="H196" s="267"/>
      <c r="I196" s="276">
        <v>68.22</v>
      </c>
    </row>
    <row r="197" spans="1:9" ht="69" customHeight="1" x14ac:dyDescent="0.3">
      <c r="A197" s="274" t="s">
        <v>1140</v>
      </c>
      <c r="B197" s="261" t="s">
        <v>1070</v>
      </c>
      <c r="C197" s="262" t="s">
        <v>1071</v>
      </c>
      <c r="D197" s="263"/>
      <c r="E197" s="263" t="s">
        <v>1141</v>
      </c>
      <c r="F197" s="263" t="s">
        <v>571</v>
      </c>
      <c r="G197" s="264">
        <v>1</v>
      </c>
      <c r="H197" s="264"/>
      <c r="I197" s="275">
        <v>185.9</v>
      </c>
    </row>
    <row r="198" spans="1:9" ht="54" x14ac:dyDescent="0.3">
      <c r="A198" s="274" t="s">
        <v>1142</v>
      </c>
      <c r="B198" s="261"/>
      <c r="C198" s="265" t="s">
        <v>1131</v>
      </c>
      <c r="D198" s="263"/>
      <c r="E198" s="263" t="s">
        <v>1143</v>
      </c>
      <c r="F198" s="266" t="s">
        <v>921</v>
      </c>
      <c r="G198" s="267">
        <v>0.3</v>
      </c>
      <c r="H198" s="267"/>
      <c r="I198" s="276">
        <v>55.77</v>
      </c>
    </row>
    <row r="199" spans="1:9" ht="18" x14ac:dyDescent="0.3">
      <c r="A199" s="274" t="s">
        <v>1144</v>
      </c>
      <c r="B199" s="261"/>
      <c r="C199" s="265" t="s">
        <v>926</v>
      </c>
      <c r="D199" s="263"/>
      <c r="E199" s="263" t="s">
        <v>1134</v>
      </c>
      <c r="F199" s="266" t="s">
        <v>921</v>
      </c>
      <c r="G199" s="267">
        <v>0.15</v>
      </c>
      <c r="H199" s="267"/>
      <c r="I199" s="276">
        <v>27.885000000000002</v>
      </c>
    </row>
    <row r="200" spans="1:9" ht="78" customHeight="1" x14ac:dyDescent="0.3">
      <c r="A200" s="274" t="s">
        <v>1145</v>
      </c>
      <c r="B200" s="261" t="s">
        <v>1070</v>
      </c>
      <c r="C200" s="262" t="s">
        <v>1071</v>
      </c>
      <c r="D200" s="263"/>
      <c r="E200" s="263" t="s">
        <v>1146</v>
      </c>
      <c r="F200" s="263" t="s">
        <v>571</v>
      </c>
      <c r="G200" s="264">
        <v>1</v>
      </c>
      <c r="H200" s="264"/>
      <c r="I200" s="275">
        <v>65.7</v>
      </c>
    </row>
    <row r="201" spans="1:9" ht="18" x14ac:dyDescent="0.3">
      <c r="A201" s="274" t="s">
        <v>1147</v>
      </c>
      <c r="B201" s="261"/>
      <c r="C201" s="265" t="s">
        <v>926</v>
      </c>
      <c r="D201" s="263"/>
      <c r="E201" s="263" t="s">
        <v>1134</v>
      </c>
      <c r="F201" s="266" t="s">
        <v>921</v>
      </c>
      <c r="G201" s="267">
        <v>0.15</v>
      </c>
      <c r="H201" s="267"/>
      <c r="I201" s="276">
        <v>9.8550000000000004</v>
      </c>
    </row>
    <row r="202" spans="1:9" ht="36" x14ac:dyDescent="0.3">
      <c r="A202" s="274" t="s">
        <v>1148</v>
      </c>
      <c r="B202" s="261"/>
      <c r="C202" s="265" t="s">
        <v>1131</v>
      </c>
      <c r="D202" s="263"/>
      <c r="E202" s="263" t="s">
        <v>1149</v>
      </c>
      <c r="F202" s="266" t="s">
        <v>921</v>
      </c>
      <c r="G202" s="267">
        <v>0.3</v>
      </c>
      <c r="H202" s="267"/>
      <c r="I202" s="276">
        <v>19.71</v>
      </c>
    </row>
    <row r="203" spans="1:9" ht="72" customHeight="1" x14ac:dyDescent="0.3">
      <c r="A203" s="274" t="s">
        <v>1150</v>
      </c>
      <c r="B203" s="261" t="s">
        <v>1070</v>
      </c>
      <c r="C203" s="262" t="s">
        <v>1071</v>
      </c>
      <c r="D203" s="263"/>
      <c r="E203" s="263" t="s">
        <v>1151</v>
      </c>
      <c r="F203" s="263" t="s">
        <v>571</v>
      </c>
      <c r="G203" s="264">
        <v>1</v>
      </c>
      <c r="H203" s="264"/>
      <c r="I203" s="275">
        <v>33</v>
      </c>
    </row>
    <row r="204" spans="1:9" ht="54" x14ac:dyDescent="0.3">
      <c r="A204" s="274" t="s">
        <v>1152</v>
      </c>
      <c r="B204" s="261"/>
      <c r="C204" s="265" t="s">
        <v>1131</v>
      </c>
      <c r="D204" s="263"/>
      <c r="E204" s="263" t="s">
        <v>1153</v>
      </c>
      <c r="F204" s="266" t="s">
        <v>921</v>
      </c>
      <c r="G204" s="267">
        <v>0.3</v>
      </c>
      <c r="H204" s="267"/>
      <c r="I204" s="276">
        <v>9.9</v>
      </c>
    </row>
    <row r="205" spans="1:9" ht="18" x14ac:dyDescent="0.3">
      <c r="A205" s="274" t="s">
        <v>1154</v>
      </c>
      <c r="B205" s="261"/>
      <c r="C205" s="265" t="s">
        <v>926</v>
      </c>
      <c r="D205" s="263"/>
      <c r="E205" s="263" t="s">
        <v>1134</v>
      </c>
      <c r="F205" s="266" t="s">
        <v>921</v>
      </c>
      <c r="G205" s="267">
        <v>0.15</v>
      </c>
      <c r="H205" s="267"/>
      <c r="I205" s="276">
        <v>4.95</v>
      </c>
    </row>
    <row r="206" spans="1:9" ht="64.95" customHeight="1" x14ac:dyDescent="0.3">
      <c r="A206" s="274" t="s">
        <v>1155</v>
      </c>
      <c r="B206" s="261" t="s">
        <v>1070</v>
      </c>
      <c r="C206" s="262" t="s">
        <v>1071</v>
      </c>
      <c r="D206" s="263"/>
      <c r="E206" s="263" t="s">
        <v>1156</v>
      </c>
      <c r="F206" s="263" t="s">
        <v>571</v>
      </c>
      <c r="G206" s="264">
        <v>1</v>
      </c>
      <c r="H206" s="264"/>
      <c r="I206" s="275">
        <v>1203.0999999999999</v>
      </c>
    </row>
    <row r="207" spans="1:9" ht="18" x14ac:dyDescent="0.3">
      <c r="A207" s="274" t="s">
        <v>1157</v>
      </c>
      <c r="B207" s="261"/>
      <c r="C207" s="265" t="s">
        <v>926</v>
      </c>
      <c r="D207" s="263"/>
      <c r="E207" s="263" t="s">
        <v>1134</v>
      </c>
      <c r="F207" s="266" t="s">
        <v>921</v>
      </c>
      <c r="G207" s="267">
        <v>0.15</v>
      </c>
      <c r="H207" s="267"/>
      <c r="I207" s="276">
        <v>180.465</v>
      </c>
    </row>
    <row r="208" spans="1:9" ht="36" x14ac:dyDescent="0.3">
      <c r="A208" s="274" t="s">
        <v>1158</v>
      </c>
      <c r="B208" s="261"/>
      <c r="C208" s="265" t="s">
        <v>1131</v>
      </c>
      <c r="D208" s="263"/>
      <c r="E208" s="263" t="s">
        <v>1159</v>
      </c>
      <c r="F208" s="266" t="s">
        <v>921</v>
      </c>
      <c r="G208" s="267">
        <v>0.3</v>
      </c>
      <c r="H208" s="267"/>
      <c r="I208" s="276">
        <v>360.93</v>
      </c>
    </row>
    <row r="209" spans="1:9" ht="61.95" customHeight="1" x14ac:dyDescent="0.3">
      <c r="A209" s="274" t="s">
        <v>1160</v>
      </c>
      <c r="B209" s="261" t="s">
        <v>1070</v>
      </c>
      <c r="C209" s="262" t="s">
        <v>1071</v>
      </c>
      <c r="D209" s="263"/>
      <c r="E209" s="263" t="s">
        <v>1161</v>
      </c>
      <c r="F209" s="263" t="s">
        <v>571</v>
      </c>
      <c r="G209" s="264">
        <v>1</v>
      </c>
      <c r="H209" s="264"/>
      <c r="I209" s="275">
        <v>104.1</v>
      </c>
    </row>
    <row r="210" spans="1:9" ht="54" x14ac:dyDescent="0.3">
      <c r="A210" s="274" t="s">
        <v>1162</v>
      </c>
      <c r="B210" s="261"/>
      <c r="C210" s="265" t="s">
        <v>1131</v>
      </c>
      <c r="D210" s="263"/>
      <c r="E210" s="263" t="s">
        <v>1163</v>
      </c>
      <c r="F210" s="266" t="s">
        <v>921</v>
      </c>
      <c r="G210" s="267">
        <v>0.3</v>
      </c>
      <c r="H210" s="267"/>
      <c r="I210" s="276">
        <v>31.23</v>
      </c>
    </row>
    <row r="211" spans="1:9" ht="18" x14ac:dyDescent="0.3">
      <c r="A211" s="274" t="s">
        <v>1164</v>
      </c>
      <c r="B211" s="261"/>
      <c r="C211" s="265" t="s">
        <v>926</v>
      </c>
      <c r="D211" s="263"/>
      <c r="E211" s="263" t="s">
        <v>1134</v>
      </c>
      <c r="F211" s="266" t="s">
        <v>921</v>
      </c>
      <c r="G211" s="267">
        <v>0.15</v>
      </c>
      <c r="H211" s="267"/>
      <c r="I211" s="276">
        <v>15.615</v>
      </c>
    </row>
    <row r="212" spans="1:9" ht="18" x14ac:dyDescent="0.3">
      <c r="A212" s="274" t="s">
        <v>1165</v>
      </c>
      <c r="B212" s="261" t="s">
        <v>1166</v>
      </c>
      <c r="C212" s="262" t="s">
        <v>1167</v>
      </c>
      <c r="D212" s="263"/>
      <c r="E212" s="263"/>
      <c r="F212" s="263" t="s">
        <v>571</v>
      </c>
      <c r="G212" s="264">
        <v>1</v>
      </c>
      <c r="H212" s="264"/>
      <c r="I212" s="275">
        <v>0</v>
      </c>
    </row>
    <row r="213" spans="1:9" ht="18" x14ac:dyDescent="0.3">
      <c r="A213" s="274" t="s">
        <v>1168</v>
      </c>
      <c r="B213" s="261"/>
      <c r="C213" s="265" t="s">
        <v>1169</v>
      </c>
      <c r="D213" s="263"/>
      <c r="E213" s="263"/>
      <c r="F213" s="266" t="s">
        <v>921</v>
      </c>
      <c r="G213" s="267">
        <v>0.3</v>
      </c>
      <c r="H213" s="267"/>
      <c r="I213" s="276">
        <v>0</v>
      </c>
    </row>
    <row r="214" spans="1:9" ht="18" x14ac:dyDescent="0.3">
      <c r="A214" s="274" t="s">
        <v>1170</v>
      </c>
      <c r="B214" s="261"/>
      <c r="C214" s="265" t="s">
        <v>926</v>
      </c>
      <c r="D214" s="263"/>
      <c r="E214" s="263"/>
      <c r="F214" s="266" t="s">
        <v>921</v>
      </c>
      <c r="G214" s="267">
        <v>0.1</v>
      </c>
      <c r="H214" s="267"/>
      <c r="I214" s="276">
        <v>0</v>
      </c>
    </row>
    <row r="215" spans="1:9" ht="75" customHeight="1" x14ac:dyDescent="0.3">
      <c r="A215" s="274" t="s">
        <v>1171</v>
      </c>
      <c r="B215" s="261" t="s">
        <v>1166</v>
      </c>
      <c r="C215" s="262" t="s">
        <v>1167</v>
      </c>
      <c r="D215" s="263"/>
      <c r="E215" s="263" t="s">
        <v>1172</v>
      </c>
      <c r="F215" s="263" t="s">
        <v>571</v>
      </c>
      <c r="G215" s="264">
        <v>1</v>
      </c>
      <c r="H215" s="264"/>
      <c r="I215" s="275">
        <v>170.8</v>
      </c>
    </row>
    <row r="216" spans="1:9" ht="18" x14ac:dyDescent="0.3">
      <c r="A216" s="274" t="s">
        <v>1173</v>
      </c>
      <c r="B216" s="261"/>
      <c r="C216" s="265" t="s">
        <v>926</v>
      </c>
      <c r="D216" s="263"/>
      <c r="E216" s="263"/>
      <c r="F216" s="266" t="s">
        <v>921</v>
      </c>
      <c r="G216" s="267">
        <v>0.1</v>
      </c>
      <c r="H216" s="267"/>
      <c r="I216" s="276">
        <v>17.079999999999998</v>
      </c>
    </row>
    <row r="217" spans="1:9" ht="18" x14ac:dyDescent="0.3">
      <c r="A217" s="274" t="s">
        <v>1174</v>
      </c>
      <c r="B217" s="261"/>
      <c r="C217" s="265" t="s">
        <v>1169</v>
      </c>
      <c r="D217" s="263"/>
      <c r="E217" s="263"/>
      <c r="F217" s="266" t="s">
        <v>921</v>
      </c>
      <c r="G217" s="267">
        <v>0.3</v>
      </c>
      <c r="H217" s="267"/>
      <c r="I217" s="276">
        <v>51.24</v>
      </c>
    </row>
    <row r="218" spans="1:9" ht="67.05" customHeight="1" x14ac:dyDescent="0.3">
      <c r="A218" s="274" t="s">
        <v>1175</v>
      </c>
      <c r="B218" s="261" t="s">
        <v>1166</v>
      </c>
      <c r="C218" s="262" t="s">
        <v>1167</v>
      </c>
      <c r="D218" s="263"/>
      <c r="E218" s="263" t="s">
        <v>1176</v>
      </c>
      <c r="F218" s="263" t="s">
        <v>571</v>
      </c>
      <c r="G218" s="264">
        <v>1</v>
      </c>
      <c r="H218" s="264"/>
      <c r="I218" s="275">
        <v>282.81</v>
      </c>
    </row>
    <row r="219" spans="1:9" ht="36" x14ac:dyDescent="0.3">
      <c r="A219" s="274" t="s">
        <v>1177</v>
      </c>
      <c r="B219" s="261"/>
      <c r="C219" s="265" t="s">
        <v>1169</v>
      </c>
      <c r="D219" s="263"/>
      <c r="E219" s="263" t="s">
        <v>1178</v>
      </c>
      <c r="F219" s="266" t="s">
        <v>921</v>
      </c>
      <c r="G219" s="267">
        <v>0.3</v>
      </c>
      <c r="H219" s="267"/>
      <c r="I219" s="276">
        <v>84.843000000000004</v>
      </c>
    </row>
    <row r="220" spans="1:9" ht="18" x14ac:dyDescent="0.3">
      <c r="A220" s="274" t="s">
        <v>1179</v>
      </c>
      <c r="B220" s="261"/>
      <c r="C220" s="265" t="s">
        <v>926</v>
      </c>
      <c r="D220" s="263"/>
      <c r="E220" s="263" t="s">
        <v>1134</v>
      </c>
      <c r="F220" s="266" t="s">
        <v>921</v>
      </c>
      <c r="G220" s="267">
        <v>0.1</v>
      </c>
      <c r="H220" s="267"/>
      <c r="I220" s="276">
        <v>28.280999999999999</v>
      </c>
    </row>
    <row r="221" spans="1:9" ht="36" x14ac:dyDescent="0.3">
      <c r="A221" s="274" t="s">
        <v>1180</v>
      </c>
      <c r="B221" s="261" t="s">
        <v>1181</v>
      </c>
      <c r="C221" s="262" t="s">
        <v>569</v>
      </c>
      <c r="D221" s="263"/>
      <c r="E221" s="263"/>
      <c r="F221" s="263" t="s">
        <v>571</v>
      </c>
      <c r="G221" s="264">
        <v>1</v>
      </c>
      <c r="H221" s="264"/>
      <c r="I221" s="275">
        <v>0</v>
      </c>
    </row>
    <row r="222" spans="1:9" ht="18" x14ac:dyDescent="0.3">
      <c r="A222" s="274" t="s">
        <v>1182</v>
      </c>
      <c r="B222" s="261"/>
      <c r="C222" s="265" t="s">
        <v>927</v>
      </c>
      <c r="D222" s="263"/>
      <c r="E222" s="263"/>
      <c r="F222" s="266" t="s">
        <v>921</v>
      </c>
      <c r="G222" s="267">
        <v>0.25</v>
      </c>
      <c r="H222" s="269"/>
      <c r="I222" s="277">
        <v>0</v>
      </c>
    </row>
    <row r="223" spans="1:9" ht="18" x14ac:dyDescent="0.3">
      <c r="A223" s="274" t="s">
        <v>1183</v>
      </c>
      <c r="B223" s="261"/>
      <c r="C223" s="265" t="s">
        <v>924</v>
      </c>
      <c r="D223" s="263"/>
      <c r="E223" s="263"/>
      <c r="F223" s="266" t="s">
        <v>921</v>
      </c>
      <c r="G223" s="267">
        <v>0.15</v>
      </c>
      <c r="H223" s="267"/>
      <c r="I223" s="276">
        <v>0</v>
      </c>
    </row>
    <row r="224" spans="1:9" ht="18" x14ac:dyDescent="0.3">
      <c r="A224" s="274" t="s">
        <v>1184</v>
      </c>
      <c r="B224" s="261"/>
      <c r="C224" s="268" t="s">
        <v>929</v>
      </c>
      <c r="D224" s="263"/>
      <c r="E224" s="263"/>
      <c r="F224" s="266" t="s">
        <v>921</v>
      </c>
      <c r="G224" s="267">
        <v>1.2</v>
      </c>
      <c r="H224" s="269"/>
      <c r="I224" s="277">
        <v>0</v>
      </c>
    </row>
    <row r="225" spans="1:9" ht="36" x14ac:dyDescent="0.3">
      <c r="A225" s="274" t="s">
        <v>1185</v>
      </c>
      <c r="B225" s="261"/>
      <c r="C225" s="268" t="s">
        <v>1186</v>
      </c>
      <c r="D225" s="263"/>
      <c r="E225" s="263"/>
      <c r="F225" s="266" t="s">
        <v>571</v>
      </c>
      <c r="G225" s="267">
        <v>1.07</v>
      </c>
      <c r="H225" s="269"/>
      <c r="I225" s="277">
        <v>0</v>
      </c>
    </row>
    <row r="226" spans="1:9" ht="36" x14ac:dyDescent="0.3">
      <c r="A226" s="274" t="s">
        <v>1187</v>
      </c>
      <c r="B226" s="261" t="s">
        <v>1181</v>
      </c>
      <c r="C226" s="262" t="s">
        <v>569</v>
      </c>
      <c r="D226" s="263"/>
      <c r="E226" s="263"/>
      <c r="F226" s="263" t="s">
        <v>571</v>
      </c>
      <c r="G226" s="264">
        <v>1</v>
      </c>
      <c r="H226" s="264"/>
      <c r="I226" s="275">
        <v>0</v>
      </c>
    </row>
    <row r="227" spans="1:9" ht="36" x14ac:dyDescent="0.3">
      <c r="A227" s="274" t="s">
        <v>1188</v>
      </c>
      <c r="B227" s="261"/>
      <c r="C227" s="268" t="s">
        <v>1189</v>
      </c>
      <c r="D227" s="263"/>
      <c r="E227" s="263"/>
      <c r="F227" s="266" t="s">
        <v>571</v>
      </c>
      <c r="G227" s="267">
        <v>1.07</v>
      </c>
      <c r="H227" s="269"/>
      <c r="I227" s="277">
        <v>0</v>
      </c>
    </row>
    <row r="228" spans="1:9" ht="18" x14ac:dyDescent="0.3">
      <c r="A228" s="274" t="s">
        <v>1190</v>
      </c>
      <c r="B228" s="261"/>
      <c r="C228" s="268" t="s">
        <v>929</v>
      </c>
      <c r="D228" s="263"/>
      <c r="E228" s="263"/>
      <c r="F228" s="266" t="s">
        <v>921</v>
      </c>
      <c r="G228" s="267">
        <v>1.2</v>
      </c>
      <c r="H228" s="269"/>
      <c r="I228" s="277">
        <v>0</v>
      </c>
    </row>
    <row r="229" spans="1:9" ht="18" x14ac:dyDescent="0.3">
      <c r="A229" s="274" t="s">
        <v>1191</v>
      </c>
      <c r="B229" s="261"/>
      <c r="C229" s="265" t="s">
        <v>924</v>
      </c>
      <c r="D229" s="263"/>
      <c r="E229" s="263"/>
      <c r="F229" s="266" t="s">
        <v>921</v>
      </c>
      <c r="G229" s="267">
        <v>0.15</v>
      </c>
      <c r="H229" s="267"/>
      <c r="I229" s="276">
        <v>0</v>
      </c>
    </row>
    <row r="230" spans="1:9" ht="18" x14ac:dyDescent="0.3">
      <c r="A230" s="274" t="s">
        <v>1192</v>
      </c>
      <c r="B230" s="261"/>
      <c r="C230" s="265" t="s">
        <v>927</v>
      </c>
      <c r="D230" s="263"/>
      <c r="E230" s="263"/>
      <c r="F230" s="266" t="s">
        <v>921</v>
      </c>
      <c r="G230" s="267">
        <v>0.25</v>
      </c>
      <c r="H230" s="269"/>
      <c r="I230" s="277">
        <v>0</v>
      </c>
    </row>
    <row r="231" spans="1:9" ht="36" x14ac:dyDescent="0.3">
      <c r="A231" s="274" t="s">
        <v>1193</v>
      </c>
      <c r="B231" s="261" t="s">
        <v>1181</v>
      </c>
      <c r="C231" s="262" t="s">
        <v>569</v>
      </c>
      <c r="D231" s="263"/>
      <c r="E231" s="263"/>
      <c r="F231" s="263" t="s">
        <v>571</v>
      </c>
      <c r="G231" s="264">
        <v>1</v>
      </c>
      <c r="H231" s="264"/>
      <c r="I231" s="275">
        <v>0</v>
      </c>
    </row>
    <row r="232" spans="1:9" ht="18" x14ac:dyDescent="0.3">
      <c r="A232" s="274" t="s">
        <v>1194</v>
      </c>
      <c r="B232" s="261"/>
      <c r="C232" s="265" t="s">
        <v>927</v>
      </c>
      <c r="D232" s="263"/>
      <c r="E232" s="263"/>
      <c r="F232" s="266" t="s">
        <v>921</v>
      </c>
      <c r="G232" s="267">
        <v>0.25</v>
      </c>
      <c r="H232" s="269"/>
      <c r="I232" s="277">
        <v>0</v>
      </c>
    </row>
    <row r="233" spans="1:9" ht="18" x14ac:dyDescent="0.3">
      <c r="A233" s="274" t="s">
        <v>1195</v>
      </c>
      <c r="B233" s="261"/>
      <c r="C233" s="265" t="s">
        <v>924</v>
      </c>
      <c r="D233" s="263"/>
      <c r="E233" s="263"/>
      <c r="F233" s="266" t="s">
        <v>921</v>
      </c>
      <c r="G233" s="267">
        <v>0.15</v>
      </c>
      <c r="H233" s="267"/>
      <c r="I233" s="276">
        <v>0</v>
      </c>
    </row>
    <row r="234" spans="1:9" ht="18" x14ac:dyDescent="0.3">
      <c r="A234" s="274" t="s">
        <v>1196</v>
      </c>
      <c r="B234" s="261"/>
      <c r="C234" s="268" t="s">
        <v>929</v>
      </c>
      <c r="D234" s="263"/>
      <c r="E234" s="263"/>
      <c r="F234" s="266" t="s">
        <v>921</v>
      </c>
      <c r="G234" s="267">
        <v>1.2</v>
      </c>
      <c r="H234" s="269"/>
      <c r="I234" s="277">
        <v>0</v>
      </c>
    </row>
    <row r="235" spans="1:9" ht="36" x14ac:dyDescent="0.3">
      <c r="A235" s="274" t="s">
        <v>1197</v>
      </c>
      <c r="B235" s="261"/>
      <c r="C235" s="268" t="s">
        <v>1186</v>
      </c>
      <c r="D235" s="263"/>
      <c r="E235" s="263"/>
      <c r="F235" s="266" t="s">
        <v>571</v>
      </c>
      <c r="G235" s="267">
        <v>1.07</v>
      </c>
      <c r="H235" s="269"/>
      <c r="I235" s="277">
        <v>0</v>
      </c>
    </row>
    <row r="236" spans="1:9" ht="36" x14ac:dyDescent="0.3">
      <c r="A236" s="274" t="s">
        <v>1198</v>
      </c>
      <c r="B236" s="261" t="s">
        <v>1181</v>
      </c>
      <c r="C236" s="262" t="s">
        <v>569</v>
      </c>
      <c r="D236" s="263"/>
      <c r="E236" s="263" t="s">
        <v>570</v>
      </c>
      <c r="F236" s="263" t="s">
        <v>571</v>
      </c>
      <c r="G236" s="264">
        <v>1</v>
      </c>
      <c r="H236" s="264"/>
      <c r="I236" s="275">
        <v>1163</v>
      </c>
    </row>
    <row r="237" spans="1:9" ht="72" x14ac:dyDescent="0.3">
      <c r="A237" s="274" t="s">
        <v>1199</v>
      </c>
      <c r="B237" s="261"/>
      <c r="C237" s="268" t="s">
        <v>1186</v>
      </c>
      <c r="D237" s="263"/>
      <c r="E237" s="263" t="s">
        <v>928</v>
      </c>
      <c r="F237" s="266" t="s">
        <v>571</v>
      </c>
      <c r="G237" s="267">
        <v>1.07</v>
      </c>
      <c r="H237" s="269"/>
      <c r="I237" s="277">
        <v>1244.4100000000001</v>
      </c>
    </row>
    <row r="238" spans="1:9" ht="18" x14ac:dyDescent="0.3">
      <c r="A238" s="274" t="s">
        <v>1200</v>
      </c>
      <c r="B238" s="261"/>
      <c r="C238" s="268" t="s">
        <v>929</v>
      </c>
      <c r="D238" s="263"/>
      <c r="E238" s="263"/>
      <c r="F238" s="266" t="s">
        <v>921</v>
      </c>
      <c r="G238" s="267">
        <v>1.2</v>
      </c>
      <c r="H238" s="269"/>
      <c r="I238" s="277">
        <v>1395.6</v>
      </c>
    </row>
    <row r="239" spans="1:9" ht="18" x14ac:dyDescent="0.3">
      <c r="A239" s="274" t="s">
        <v>1201</v>
      </c>
      <c r="B239" s="261"/>
      <c r="C239" s="265" t="s">
        <v>924</v>
      </c>
      <c r="D239" s="263"/>
      <c r="E239" s="263"/>
      <c r="F239" s="266" t="s">
        <v>921</v>
      </c>
      <c r="G239" s="267">
        <v>0.15</v>
      </c>
      <c r="H239" s="267"/>
      <c r="I239" s="276">
        <v>174.45</v>
      </c>
    </row>
    <row r="240" spans="1:9" ht="18" x14ac:dyDescent="0.3">
      <c r="A240" s="274" t="s">
        <v>1202</v>
      </c>
      <c r="B240" s="261"/>
      <c r="C240" s="265" t="s">
        <v>927</v>
      </c>
      <c r="D240" s="263"/>
      <c r="E240" s="263"/>
      <c r="F240" s="266" t="s">
        <v>921</v>
      </c>
      <c r="G240" s="267">
        <v>0.25</v>
      </c>
      <c r="H240" s="269"/>
      <c r="I240" s="277">
        <v>290.75</v>
      </c>
    </row>
    <row r="241" spans="1:9" ht="36" x14ac:dyDescent="0.3">
      <c r="A241" s="274" t="s">
        <v>1203</v>
      </c>
      <c r="B241" s="261" t="s">
        <v>1181</v>
      </c>
      <c r="C241" s="262" t="s">
        <v>569</v>
      </c>
      <c r="D241" s="263"/>
      <c r="E241" s="263" t="s">
        <v>572</v>
      </c>
      <c r="F241" s="263" t="s">
        <v>571</v>
      </c>
      <c r="G241" s="264">
        <v>1</v>
      </c>
      <c r="H241" s="264"/>
      <c r="I241" s="275">
        <v>593.5</v>
      </c>
    </row>
    <row r="242" spans="1:9" ht="18" x14ac:dyDescent="0.3">
      <c r="A242" s="274" t="s">
        <v>1204</v>
      </c>
      <c r="B242" s="261"/>
      <c r="C242" s="265" t="s">
        <v>927</v>
      </c>
      <c r="D242" s="263"/>
      <c r="E242" s="263"/>
      <c r="F242" s="266" t="s">
        <v>921</v>
      </c>
      <c r="G242" s="267">
        <v>0.25</v>
      </c>
      <c r="H242" s="269"/>
      <c r="I242" s="277">
        <v>148.375</v>
      </c>
    </row>
    <row r="243" spans="1:9" ht="18" x14ac:dyDescent="0.3">
      <c r="A243" s="274" t="s">
        <v>1205</v>
      </c>
      <c r="B243" s="261"/>
      <c r="C243" s="265" t="s">
        <v>924</v>
      </c>
      <c r="D243" s="263"/>
      <c r="E243" s="263"/>
      <c r="F243" s="266" t="s">
        <v>921</v>
      </c>
      <c r="G243" s="267">
        <v>0.15</v>
      </c>
      <c r="H243" s="267"/>
      <c r="I243" s="276">
        <v>89.025000000000006</v>
      </c>
    </row>
    <row r="244" spans="1:9" ht="18" x14ac:dyDescent="0.3">
      <c r="A244" s="274" t="s">
        <v>1206</v>
      </c>
      <c r="B244" s="261"/>
      <c r="C244" s="268" t="s">
        <v>929</v>
      </c>
      <c r="D244" s="263"/>
      <c r="E244" s="263"/>
      <c r="F244" s="266" t="s">
        <v>921</v>
      </c>
      <c r="G244" s="267">
        <v>1.2</v>
      </c>
      <c r="H244" s="269"/>
      <c r="I244" s="277">
        <v>712.2</v>
      </c>
    </row>
    <row r="245" spans="1:9" ht="36" x14ac:dyDescent="0.3">
      <c r="A245" s="274" t="s">
        <v>1207</v>
      </c>
      <c r="B245" s="261"/>
      <c r="C245" s="268" t="s">
        <v>1189</v>
      </c>
      <c r="D245" s="263"/>
      <c r="E245" s="263"/>
      <c r="F245" s="266" t="s">
        <v>571</v>
      </c>
      <c r="G245" s="267">
        <v>1.07</v>
      </c>
      <c r="H245" s="269"/>
      <c r="I245" s="277">
        <v>635.04499999999996</v>
      </c>
    </row>
    <row r="246" spans="1:9" ht="36" x14ac:dyDescent="0.3">
      <c r="A246" s="274" t="s">
        <v>1208</v>
      </c>
      <c r="B246" s="261" t="s">
        <v>1181</v>
      </c>
      <c r="C246" s="262" t="s">
        <v>569</v>
      </c>
      <c r="D246" s="263"/>
      <c r="E246" s="263" t="s">
        <v>573</v>
      </c>
      <c r="F246" s="263" t="s">
        <v>571</v>
      </c>
      <c r="G246" s="264">
        <v>1</v>
      </c>
      <c r="H246" s="264"/>
      <c r="I246" s="275">
        <v>46</v>
      </c>
    </row>
    <row r="247" spans="1:9" ht="36" x14ac:dyDescent="0.3">
      <c r="A247" s="274" t="s">
        <v>1209</v>
      </c>
      <c r="B247" s="261"/>
      <c r="C247" s="268" t="s">
        <v>1186</v>
      </c>
      <c r="D247" s="263"/>
      <c r="E247" s="263"/>
      <c r="F247" s="266" t="s">
        <v>571</v>
      </c>
      <c r="G247" s="267">
        <v>1.07</v>
      </c>
      <c r="H247" s="269"/>
      <c r="I247" s="277">
        <v>49.22</v>
      </c>
    </row>
    <row r="248" spans="1:9" ht="18" x14ac:dyDescent="0.3">
      <c r="A248" s="274" t="s">
        <v>1210</v>
      </c>
      <c r="B248" s="261"/>
      <c r="C248" s="268" t="s">
        <v>929</v>
      </c>
      <c r="D248" s="263"/>
      <c r="E248" s="263"/>
      <c r="F248" s="266" t="s">
        <v>921</v>
      </c>
      <c r="G248" s="267">
        <v>1.2</v>
      </c>
      <c r="H248" s="269"/>
      <c r="I248" s="277">
        <v>55.2</v>
      </c>
    </row>
    <row r="249" spans="1:9" ht="18" x14ac:dyDescent="0.3">
      <c r="A249" s="274" t="s">
        <v>1211</v>
      </c>
      <c r="B249" s="261"/>
      <c r="C249" s="265" t="s">
        <v>924</v>
      </c>
      <c r="D249" s="263"/>
      <c r="E249" s="263"/>
      <c r="F249" s="266" t="s">
        <v>921</v>
      </c>
      <c r="G249" s="267">
        <v>0.15</v>
      </c>
      <c r="H249" s="267"/>
      <c r="I249" s="276">
        <v>6.9</v>
      </c>
    </row>
    <row r="250" spans="1:9" ht="18" x14ac:dyDescent="0.3">
      <c r="A250" s="274" t="s">
        <v>1212</v>
      </c>
      <c r="B250" s="261"/>
      <c r="C250" s="265" t="s">
        <v>927</v>
      </c>
      <c r="D250" s="263"/>
      <c r="E250" s="263"/>
      <c r="F250" s="266" t="s">
        <v>921</v>
      </c>
      <c r="G250" s="267">
        <v>0.25</v>
      </c>
      <c r="H250" s="269"/>
      <c r="I250" s="277">
        <v>11.5</v>
      </c>
    </row>
    <row r="251" spans="1:9" ht="91.05" customHeight="1" x14ac:dyDescent="0.3">
      <c r="A251" s="274" t="s">
        <v>1213</v>
      </c>
      <c r="B251" s="261" t="s">
        <v>1181</v>
      </c>
      <c r="C251" s="262" t="s">
        <v>569</v>
      </c>
      <c r="D251" s="263"/>
      <c r="E251" s="263" t="s">
        <v>1214</v>
      </c>
      <c r="F251" s="263" t="s">
        <v>571</v>
      </c>
      <c r="G251" s="264">
        <v>1</v>
      </c>
      <c r="H251" s="264"/>
      <c r="I251" s="275">
        <v>67.87</v>
      </c>
    </row>
    <row r="252" spans="1:9" ht="36" x14ac:dyDescent="0.3">
      <c r="A252" s="274" t="s">
        <v>1215</v>
      </c>
      <c r="B252" s="261"/>
      <c r="C252" s="265" t="s">
        <v>1216</v>
      </c>
      <c r="D252" s="263"/>
      <c r="E252" s="263" t="s">
        <v>1217</v>
      </c>
      <c r="F252" s="266" t="s">
        <v>921</v>
      </c>
      <c r="G252" s="267">
        <v>0.17699999999999999</v>
      </c>
      <c r="H252" s="269"/>
      <c r="I252" s="277">
        <v>12.013</v>
      </c>
    </row>
    <row r="253" spans="1:9" ht="18" x14ac:dyDescent="0.3">
      <c r="A253" s="274" t="s">
        <v>1218</v>
      </c>
      <c r="B253" s="261"/>
      <c r="C253" s="265" t="s">
        <v>924</v>
      </c>
      <c r="D253" s="263"/>
      <c r="E253" s="263"/>
      <c r="F253" s="266" t="s">
        <v>921</v>
      </c>
      <c r="G253" s="267">
        <v>0.15</v>
      </c>
      <c r="H253" s="267"/>
      <c r="I253" s="276">
        <v>10.180999999999999</v>
      </c>
    </row>
    <row r="254" spans="1:9" ht="18" x14ac:dyDescent="0.3">
      <c r="A254" s="274" t="s">
        <v>1219</v>
      </c>
      <c r="B254" s="261"/>
      <c r="C254" s="268" t="s">
        <v>929</v>
      </c>
      <c r="D254" s="263"/>
      <c r="E254" s="263"/>
      <c r="F254" s="266" t="s">
        <v>921</v>
      </c>
      <c r="G254" s="267">
        <v>1.2</v>
      </c>
      <c r="H254" s="269"/>
      <c r="I254" s="277">
        <v>244.33199999999999</v>
      </c>
    </row>
    <row r="255" spans="1:9" ht="54" x14ac:dyDescent="0.3">
      <c r="A255" s="274" t="s">
        <v>1220</v>
      </c>
      <c r="B255" s="261"/>
      <c r="C255" s="268" t="s">
        <v>1186</v>
      </c>
      <c r="D255" s="263"/>
      <c r="E255" s="263" t="s">
        <v>1221</v>
      </c>
      <c r="F255" s="266" t="s">
        <v>571</v>
      </c>
      <c r="G255" s="267">
        <v>1.07</v>
      </c>
      <c r="H255" s="269"/>
      <c r="I255" s="277">
        <v>72.620999999999995</v>
      </c>
    </row>
    <row r="256" spans="1:9" ht="85.95" customHeight="1" x14ac:dyDescent="0.3">
      <c r="A256" s="274" t="s">
        <v>1222</v>
      </c>
      <c r="B256" s="261" t="s">
        <v>1181</v>
      </c>
      <c r="C256" s="262" t="s">
        <v>569</v>
      </c>
      <c r="D256" s="263"/>
      <c r="E256" s="263" t="s">
        <v>1223</v>
      </c>
      <c r="F256" s="263" t="s">
        <v>571</v>
      </c>
      <c r="G256" s="264">
        <v>1</v>
      </c>
      <c r="H256" s="264"/>
      <c r="I256" s="275">
        <v>115.5</v>
      </c>
    </row>
    <row r="257" spans="1:9" ht="54" x14ac:dyDescent="0.3">
      <c r="A257" s="274" t="s">
        <v>1224</v>
      </c>
      <c r="B257" s="261"/>
      <c r="C257" s="268" t="s">
        <v>1186</v>
      </c>
      <c r="D257" s="263"/>
      <c r="E257" s="263" t="s">
        <v>1221</v>
      </c>
      <c r="F257" s="266" t="s">
        <v>571</v>
      </c>
      <c r="G257" s="267">
        <v>1.07</v>
      </c>
      <c r="H257" s="269"/>
      <c r="I257" s="277">
        <v>123.58499999999999</v>
      </c>
    </row>
    <row r="258" spans="1:9" ht="36" x14ac:dyDescent="0.3">
      <c r="A258" s="274" t="s">
        <v>1225</v>
      </c>
      <c r="B258" s="261"/>
      <c r="C258" s="268" t="s">
        <v>929</v>
      </c>
      <c r="D258" s="263"/>
      <c r="E258" s="263" t="s">
        <v>1226</v>
      </c>
      <c r="F258" s="266" t="s">
        <v>921</v>
      </c>
      <c r="G258" s="267">
        <v>1.2</v>
      </c>
      <c r="H258" s="269"/>
      <c r="I258" s="277">
        <v>415.8</v>
      </c>
    </row>
    <row r="259" spans="1:9" ht="18" x14ac:dyDescent="0.3">
      <c r="A259" s="274" t="s">
        <v>1227</v>
      </c>
      <c r="B259" s="261"/>
      <c r="C259" s="265" t="s">
        <v>924</v>
      </c>
      <c r="D259" s="263"/>
      <c r="E259" s="263"/>
      <c r="F259" s="266" t="s">
        <v>921</v>
      </c>
      <c r="G259" s="267">
        <v>0.15</v>
      </c>
      <c r="H259" s="267"/>
      <c r="I259" s="276">
        <v>17.324999999999999</v>
      </c>
    </row>
    <row r="260" spans="1:9" ht="18" x14ac:dyDescent="0.3">
      <c r="A260" s="274" t="s">
        <v>1228</v>
      </c>
      <c r="B260" s="261"/>
      <c r="C260" s="265" t="s">
        <v>927</v>
      </c>
      <c r="D260" s="263"/>
      <c r="E260" s="263"/>
      <c r="F260" s="266" t="s">
        <v>921</v>
      </c>
      <c r="G260" s="267">
        <v>0.25</v>
      </c>
      <c r="H260" s="269"/>
      <c r="I260" s="277">
        <v>28.875</v>
      </c>
    </row>
    <row r="261" spans="1:9" ht="96" customHeight="1" x14ac:dyDescent="0.3">
      <c r="A261" s="274" t="s">
        <v>1229</v>
      </c>
      <c r="B261" s="261" t="s">
        <v>1181</v>
      </c>
      <c r="C261" s="262" t="s">
        <v>569</v>
      </c>
      <c r="D261" s="263"/>
      <c r="E261" s="263" t="s">
        <v>1230</v>
      </c>
      <c r="F261" s="263" t="s">
        <v>571</v>
      </c>
      <c r="G261" s="264">
        <v>1</v>
      </c>
      <c r="H261" s="264"/>
      <c r="I261" s="275">
        <v>628.91</v>
      </c>
    </row>
    <row r="262" spans="1:9" ht="18" x14ac:dyDescent="0.3">
      <c r="A262" s="274" t="s">
        <v>1231</v>
      </c>
      <c r="B262" s="261"/>
      <c r="C262" s="265" t="s">
        <v>927</v>
      </c>
      <c r="D262" s="263"/>
      <c r="E262" s="263"/>
      <c r="F262" s="266" t="s">
        <v>921</v>
      </c>
      <c r="G262" s="267">
        <v>0.25</v>
      </c>
      <c r="H262" s="269"/>
      <c r="I262" s="277">
        <v>157.22800000000001</v>
      </c>
    </row>
    <row r="263" spans="1:9" ht="18" x14ac:dyDescent="0.3">
      <c r="A263" s="274" t="s">
        <v>1232</v>
      </c>
      <c r="B263" s="261"/>
      <c r="C263" s="265" t="s">
        <v>924</v>
      </c>
      <c r="D263" s="263"/>
      <c r="E263" s="263"/>
      <c r="F263" s="266" t="s">
        <v>921</v>
      </c>
      <c r="G263" s="267">
        <v>0.15</v>
      </c>
      <c r="H263" s="267"/>
      <c r="I263" s="276">
        <v>94.337000000000003</v>
      </c>
    </row>
    <row r="264" spans="1:9" ht="36" x14ac:dyDescent="0.3">
      <c r="A264" s="274" t="s">
        <v>1233</v>
      </c>
      <c r="B264" s="261"/>
      <c r="C264" s="268" t="s">
        <v>929</v>
      </c>
      <c r="D264" s="263"/>
      <c r="E264" s="263" t="s">
        <v>1226</v>
      </c>
      <c r="F264" s="266" t="s">
        <v>921</v>
      </c>
      <c r="G264" s="267">
        <v>1.2</v>
      </c>
      <c r="H264" s="269"/>
      <c r="I264" s="277">
        <v>2264.076</v>
      </c>
    </row>
    <row r="265" spans="1:9" ht="36" x14ac:dyDescent="0.3">
      <c r="A265" s="274" t="s">
        <v>1234</v>
      </c>
      <c r="B265" s="261"/>
      <c r="C265" s="268" t="s">
        <v>1189</v>
      </c>
      <c r="D265" s="263"/>
      <c r="E265" s="263"/>
      <c r="F265" s="266" t="s">
        <v>571</v>
      </c>
      <c r="G265" s="267">
        <v>1.07</v>
      </c>
      <c r="H265" s="269"/>
      <c r="I265" s="277">
        <v>672.93399999999997</v>
      </c>
    </row>
    <row r="266" spans="1:9" ht="85.05" customHeight="1" x14ac:dyDescent="0.3">
      <c r="A266" s="274" t="s">
        <v>1235</v>
      </c>
      <c r="B266" s="261" t="s">
        <v>1181</v>
      </c>
      <c r="C266" s="262" t="s">
        <v>569</v>
      </c>
      <c r="D266" s="263"/>
      <c r="E266" s="263" t="s">
        <v>1236</v>
      </c>
      <c r="F266" s="263" t="s">
        <v>571</v>
      </c>
      <c r="G266" s="264">
        <v>1</v>
      </c>
      <c r="H266" s="264"/>
      <c r="I266" s="275">
        <v>2.3199999999999998</v>
      </c>
    </row>
    <row r="267" spans="1:9" ht="54" x14ac:dyDescent="0.3">
      <c r="A267" s="274" t="s">
        <v>1237</v>
      </c>
      <c r="B267" s="261"/>
      <c r="C267" s="268" t="s">
        <v>1186</v>
      </c>
      <c r="D267" s="263"/>
      <c r="E267" s="263" t="s">
        <v>1221</v>
      </c>
      <c r="F267" s="266" t="s">
        <v>571</v>
      </c>
      <c r="G267" s="267">
        <v>1.07</v>
      </c>
      <c r="H267" s="269"/>
      <c r="I267" s="277">
        <v>2.4820000000000002</v>
      </c>
    </row>
    <row r="268" spans="1:9" ht="18" x14ac:dyDescent="0.3">
      <c r="A268" s="274" t="s">
        <v>1238</v>
      </c>
      <c r="B268" s="261"/>
      <c r="C268" s="268" t="s">
        <v>929</v>
      </c>
      <c r="D268" s="263"/>
      <c r="E268" s="263"/>
      <c r="F268" s="266" t="s">
        <v>921</v>
      </c>
      <c r="G268" s="267">
        <v>1.2</v>
      </c>
      <c r="H268" s="269"/>
      <c r="I268" s="277">
        <v>8.3520000000000003</v>
      </c>
    </row>
    <row r="269" spans="1:9" ht="18" x14ac:dyDescent="0.3">
      <c r="A269" s="274" t="s">
        <v>1239</v>
      </c>
      <c r="B269" s="261"/>
      <c r="C269" s="265" t="s">
        <v>924</v>
      </c>
      <c r="D269" s="263"/>
      <c r="E269" s="263"/>
      <c r="F269" s="266" t="s">
        <v>921</v>
      </c>
      <c r="G269" s="267">
        <v>0.15</v>
      </c>
      <c r="H269" s="267"/>
      <c r="I269" s="276">
        <v>0.34799999999999998</v>
      </c>
    </row>
    <row r="270" spans="1:9" ht="18" x14ac:dyDescent="0.3">
      <c r="A270" s="274" t="s">
        <v>1240</v>
      </c>
      <c r="B270" s="261"/>
      <c r="C270" s="265" t="s">
        <v>927</v>
      </c>
      <c r="D270" s="263"/>
      <c r="E270" s="263"/>
      <c r="F270" s="266" t="s">
        <v>921</v>
      </c>
      <c r="G270" s="267">
        <v>0.25</v>
      </c>
      <c r="H270" s="269"/>
      <c r="I270" s="277">
        <v>0.57999999999999996</v>
      </c>
    </row>
    <row r="271" spans="1:9" ht="36" x14ac:dyDescent="0.3">
      <c r="A271" s="274" t="s">
        <v>1241</v>
      </c>
      <c r="B271" s="261" t="s">
        <v>1242</v>
      </c>
      <c r="C271" s="262" t="s">
        <v>574</v>
      </c>
      <c r="D271" s="263"/>
      <c r="E271" s="263"/>
      <c r="F271" s="263" t="s">
        <v>571</v>
      </c>
      <c r="G271" s="264">
        <v>1</v>
      </c>
      <c r="H271" s="264"/>
      <c r="I271" s="275">
        <v>0</v>
      </c>
    </row>
    <row r="272" spans="1:9" ht="18" x14ac:dyDescent="0.3">
      <c r="A272" s="274" t="s">
        <v>1243</v>
      </c>
      <c r="B272" s="261"/>
      <c r="C272" s="268" t="s">
        <v>1244</v>
      </c>
      <c r="D272" s="263"/>
      <c r="E272" s="263"/>
      <c r="F272" s="266" t="s">
        <v>571</v>
      </c>
      <c r="G272" s="267">
        <v>1.1000000000000001</v>
      </c>
      <c r="H272" s="269"/>
      <c r="I272" s="277">
        <v>0</v>
      </c>
    </row>
    <row r="273" spans="1:9" ht="18" x14ac:dyDescent="0.3">
      <c r="A273" s="274" t="s">
        <v>1245</v>
      </c>
      <c r="B273" s="261"/>
      <c r="C273" s="268" t="s">
        <v>929</v>
      </c>
      <c r="D273" s="263"/>
      <c r="E273" s="263"/>
      <c r="F273" s="266" t="s">
        <v>921</v>
      </c>
      <c r="G273" s="267">
        <v>1.2</v>
      </c>
      <c r="H273" s="269"/>
      <c r="I273" s="277">
        <v>0</v>
      </c>
    </row>
    <row r="274" spans="1:9" ht="18" x14ac:dyDescent="0.3">
      <c r="A274" s="274" t="s">
        <v>1246</v>
      </c>
      <c r="B274" s="261"/>
      <c r="C274" s="265" t="s">
        <v>927</v>
      </c>
      <c r="D274" s="263"/>
      <c r="E274" s="263"/>
      <c r="F274" s="266" t="s">
        <v>921</v>
      </c>
      <c r="G274" s="267">
        <v>0.25</v>
      </c>
      <c r="H274" s="269"/>
      <c r="I274" s="277">
        <v>0</v>
      </c>
    </row>
    <row r="275" spans="1:9" ht="18" x14ac:dyDescent="0.3">
      <c r="A275" s="274" t="s">
        <v>1247</v>
      </c>
      <c r="B275" s="261"/>
      <c r="C275" s="265" t="s">
        <v>924</v>
      </c>
      <c r="D275" s="263"/>
      <c r="E275" s="263"/>
      <c r="F275" s="266" t="s">
        <v>921</v>
      </c>
      <c r="G275" s="267">
        <v>0.15</v>
      </c>
      <c r="H275" s="267"/>
      <c r="I275" s="276">
        <v>0</v>
      </c>
    </row>
    <row r="276" spans="1:9" ht="36" x14ac:dyDescent="0.3">
      <c r="A276" s="274" t="s">
        <v>1248</v>
      </c>
      <c r="B276" s="261" t="s">
        <v>1242</v>
      </c>
      <c r="C276" s="262" t="s">
        <v>574</v>
      </c>
      <c r="D276" s="263"/>
      <c r="E276" s="263"/>
      <c r="F276" s="263" t="s">
        <v>571</v>
      </c>
      <c r="G276" s="264">
        <v>1</v>
      </c>
      <c r="H276" s="264"/>
      <c r="I276" s="275">
        <v>0</v>
      </c>
    </row>
    <row r="277" spans="1:9" ht="18" x14ac:dyDescent="0.3">
      <c r="A277" s="274" t="s">
        <v>1249</v>
      </c>
      <c r="B277" s="261"/>
      <c r="C277" s="265" t="s">
        <v>924</v>
      </c>
      <c r="D277" s="263"/>
      <c r="E277" s="263"/>
      <c r="F277" s="266" t="s">
        <v>921</v>
      </c>
      <c r="G277" s="267">
        <v>0.15</v>
      </c>
      <c r="H277" s="267"/>
      <c r="I277" s="276">
        <v>0</v>
      </c>
    </row>
    <row r="278" spans="1:9" ht="18" x14ac:dyDescent="0.3">
      <c r="A278" s="274" t="s">
        <v>1250</v>
      </c>
      <c r="B278" s="261"/>
      <c r="C278" s="265" t="s">
        <v>927</v>
      </c>
      <c r="D278" s="263"/>
      <c r="E278" s="263"/>
      <c r="F278" s="266" t="s">
        <v>921</v>
      </c>
      <c r="G278" s="267">
        <v>0.25</v>
      </c>
      <c r="H278" s="269"/>
      <c r="I278" s="277">
        <v>0</v>
      </c>
    </row>
    <row r="279" spans="1:9" ht="18" x14ac:dyDescent="0.3">
      <c r="A279" s="274" t="s">
        <v>1251</v>
      </c>
      <c r="B279" s="261"/>
      <c r="C279" s="268" t="s">
        <v>929</v>
      </c>
      <c r="D279" s="263"/>
      <c r="E279" s="263"/>
      <c r="F279" s="266" t="s">
        <v>921</v>
      </c>
      <c r="G279" s="267">
        <v>1.2</v>
      </c>
      <c r="H279" s="269"/>
      <c r="I279" s="277">
        <v>0</v>
      </c>
    </row>
    <row r="280" spans="1:9" ht="18" x14ac:dyDescent="0.3">
      <c r="A280" s="274" t="s">
        <v>1252</v>
      </c>
      <c r="B280" s="261"/>
      <c r="C280" s="268" t="s">
        <v>1244</v>
      </c>
      <c r="D280" s="263"/>
      <c r="E280" s="263"/>
      <c r="F280" s="266" t="s">
        <v>571</v>
      </c>
      <c r="G280" s="267">
        <v>1.1000000000000001</v>
      </c>
      <c r="H280" s="269"/>
      <c r="I280" s="277">
        <v>0</v>
      </c>
    </row>
    <row r="281" spans="1:9" ht="36" x14ac:dyDescent="0.3">
      <c r="A281" s="274" t="s">
        <v>1253</v>
      </c>
      <c r="B281" s="261" t="s">
        <v>1242</v>
      </c>
      <c r="C281" s="262" t="s">
        <v>574</v>
      </c>
      <c r="D281" s="263"/>
      <c r="E281" s="263"/>
      <c r="F281" s="263" t="s">
        <v>571</v>
      </c>
      <c r="G281" s="264">
        <v>1</v>
      </c>
      <c r="H281" s="264"/>
      <c r="I281" s="275">
        <v>0</v>
      </c>
    </row>
    <row r="282" spans="1:9" ht="18" x14ac:dyDescent="0.3">
      <c r="A282" s="274" t="s">
        <v>1254</v>
      </c>
      <c r="B282" s="261"/>
      <c r="C282" s="268" t="s">
        <v>1244</v>
      </c>
      <c r="D282" s="263"/>
      <c r="E282" s="263"/>
      <c r="F282" s="266" t="s">
        <v>571</v>
      </c>
      <c r="G282" s="267">
        <v>1.1000000000000001</v>
      </c>
      <c r="H282" s="269"/>
      <c r="I282" s="277">
        <v>0</v>
      </c>
    </row>
    <row r="283" spans="1:9" ht="18" x14ac:dyDescent="0.3">
      <c r="A283" s="274" t="s">
        <v>1255</v>
      </c>
      <c r="B283" s="261"/>
      <c r="C283" s="268" t="s">
        <v>929</v>
      </c>
      <c r="D283" s="263"/>
      <c r="E283" s="263"/>
      <c r="F283" s="266" t="s">
        <v>921</v>
      </c>
      <c r="G283" s="267">
        <v>1.2</v>
      </c>
      <c r="H283" s="269"/>
      <c r="I283" s="277">
        <v>0</v>
      </c>
    </row>
    <row r="284" spans="1:9" ht="18" x14ac:dyDescent="0.3">
      <c r="A284" s="274" t="s">
        <v>1256</v>
      </c>
      <c r="B284" s="261"/>
      <c r="C284" s="265" t="s">
        <v>927</v>
      </c>
      <c r="D284" s="263"/>
      <c r="E284" s="263"/>
      <c r="F284" s="266" t="s">
        <v>921</v>
      </c>
      <c r="G284" s="267">
        <v>0.25</v>
      </c>
      <c r="H284" s="269"/>
      <c r="I284" s="277">
        <v>0</v>
      </c>
    </row>
    <row r="285" spans="1:9" ht="18" x14ac:dyDescent="0.3">
      <c r="A285" s="274" t="s">
        <v>1257</v>
      </c>
      <c r="B285" s="261"/>
      <c r="C285" s="265" t="s">
        <v>924</v>
      </c>
      <c r="D285" s="263"/>
      <c r="E285" s="263"/>
      <c r="F285" s="266" t="s">
        <v>921</v>
      </c>
      <c r="G285" s="267">
        <v>0.15</v>
      </c>
      <c r="H285" s="267"/>
      <c r="I285" s="276">
        <v>0</v>
      </c>
    </row>
    <row r="286" spans="1:9" ht="36" x14ac:dyDescent="0.3">
      <c r="A286" s="274" t="s">
        <v>1258</v>
      </c>
      <c r="B286" s="261" t="s">
        <v>1242</v>
      </c>
      <c r="C286" s="262" t="s">
        <v>574</v>
      </c>
      <c r="D286" s="263"/>
      <c r="E286" s="263"/>
      <c r="F286" s="263" t="s">
        <v>571</v>
      </c>
      <c r="G286" s="264">
        <v>1</v>
      </c>
      <c r="H286" s="264"/>
      <c r="I286" s="275">
        <v>0</v>
      </c>
    </row>
    <row r="287" spans="1:9" ht="18" x14ac:dyDescent="0.3">
      <c r="A287" s="274" t="s">
        <v>1259</v>
      </c>
      <c r="B287" s="261"/>
      <c r="C287" s="265" t="s">
        <v>924</v>
      </c>
      <c r="D287" s="263"/>
      <c r="E287" s="263"/>
      <c r="F287" s="266" t="s">
        <v>921</v>
      </c>
      <c r="G287" s="267">
        <v>0.15</v>
      </c>
      <c r="H287" s="267"/>
      <c r="I287" s="276">
        <v>0</v>
      </c>
    </row>
    <row r="288" spans="1:9" ht="18" x14ac:dyDescent="0.3">
      <c r="A288" s="274" t="s">
        <v>1260</v>
      </c>
      <c r="B288" s="261"/>
      <c r="C288" s="265" t="s">
        <v>927</v>
      </c>
      <c r="D288" s="263"/>
      <c r="E288" s="263"/>
      <c r="F288" s="266" t="s">
        <v>921</v>
      </c>
      <c r="G288" s="267">
        <v>0.25</v>
      </c>
      <c r="H288" s="269"/>
      <c r="I288" s="277">
        <v>0</v>
      </c>
    </row>
    <row r="289" spans="1:9" ht="18" x14ac:dyDescent="0.3">
      <c r="A289" s="274" t="s">
        <v>1261</v>
      </c>
      <c r="B289" s="261"/>
      <c r="C289" s="268" t="s">
        <v>929</v>
      </c>
      <c r="D289" s="263"/>
      <c r="E289" s="263"/>
      <c r="F289" s="266" t="s">
        <v>921</v>
      </c>
      <c r="G289" s="267">
        <v>1.2</v>
      </c>
      <c r="H289" s="269"/>
      <c r="I289" s="277">
        <v>0</v>
      </c>
    </row>
    <row r="290" spans="1:9" ht="18" x14ac:dyDescent="0.3">
      <c r="A290" s="274" t="s">
        <v>1262</v>
      </c>
      <c r="B290" s="261"/>
      <c r="C290" s="268" t="s">
        <v>1244</v>
      </c>
      <c r="D290" s="263"/>
      <c r="E290" s="263"/>
      <c r="F290" s="266" t="s">
        <v>571</v>
      </c>
      <c r="G290" s="267">
        <v>1.1000000000000001</v>
      </c>
      <c r="H290" s="269"/>
      <c r="I290" s="277">
        <v>0</v>
      </c>
    </row>
    <row r="291" spans="1:9" ht="36" x14ac:dyDescent="0.3">
      <c r="A291" s="274" t="s">
        <v>1263</v>
      </c>
      <c r="B291" s="261" t="s">
        <v>1242</v>
      </c>
      <c r="C291" s="262" t="s">
        <v>574</v>
      </c>
      <c r="D291" s="263"/>
      <c r="E291" s="263" t="s">
        <v>575</v>
      </c>
      <c r="F291" s="263" t="s">
        <v>571</v>
      </c>
      <c r="G291" s="264">
        <v>1</v>
      </c>
      <c r="H291" s="264"/>
      <c r="I291" s="275">
        <v>320.39999999999998</v>
      </c>
    </row>
    <row r="292" spans="1:9" ht="72" x14ac:dyDescent="0.3">
      <c r="A292" s="274" t="s">
        <v>1264</v>
      </c>
      <c r="B292" s="261"/>
      <c r="C292" s="268" t="s">
        <v>1244</v>
      </c>
      <c r="D292" s="263"/>
      <c r="E292" s="263" t="s">
        <v>1265</v>
      </c>
      <c r="F292" s="266" t="s">
        <v>571</v>
      </c>
      <c r="G292" s="267">
        <v>1.1000000000000001</v>
      </c>
      <c r="H292" s="269"/>
      <c r="I292" s="277">
        <v>352.44</v>
      </c>
    </row>
    <row r="293" spans="1:9" ht="18" x14ac:dyDescent="0.3">
      <c r="A293" s="274" t="s">
        <v>1266</v>
      </c>
      <c r="B293" s="261"/>
      <c r="C293" s="268" t="s">
        <v>929</v>
      </c>
      <c r="D293" s="263"/>
      <c r="E293" s="263"/>
      <c r="F293" s="266" t="s">
        <v>921</v>
      </c>
      <c r="G293" s="267">
        <v>1.2</v>
      </c>
      <c r="H293" s="269"/>
      <c r="I293" s="277">
        <v>384.48</v>
      </c>
    </row>
    <row r="294" spans="1:9" ht="18" x14ac:dyDescent="0.3">
      <c r="A294" s="274" t="s">
        <v>1267</v>
      </c>
      <c r="B294" s="261"/>
      <c r="C294" s="265" t="s">
        <v>927</v>
      </c>
      <c r="D294" s="263"/>
      <c r="E294" s="263"/>
      <c r="F294" s="266" t="s">
        <v>921</v>
      </c>
      <c r="G294" s="267">
        <v>0.25</v>
      </c>
      <c r="H294" s="269"/>
      <c r="I294" s="277">
        <v>80.099999999999994</v>
      </c>
    </row>
    <row r="295" spans="1:9" ht="18" x14ac:dyDescent="0.3">
      <c r="A295" s="274" t="s">
        <v>1268</v>
      </c>
      <c r="B295" s="261"/>
      <c r="C295" s="265" t="s">
        <v>924</v>
      </c>
      <c r="D295" s="263"/>
      <c r="E295" s="263"/>
      <c r="F295" s="266" t="s">
        <v>921</v>
      </c>
      <c r="G295" s="267">
        <v>0.15</v>
      </c>
      <c r="H295" s="267"/>
      <c r="I295" s="276">
        <v>48.06</v>
      </c>
    </row>
    <row r="296" spans="1:9" ht="36" x14ac:dyDescent="0.3">
      <c r="A296" s="274" t="s">
        <v>1269</v>
      </c>
      <c r="B296" s="261" t="s">
        <v>1242</v>
      </c>
      <c r="C296" s="262" t="s">
        <v>574</v>
      </c>
      <c r="D296" s="263"/>
      <c r="E296" s="263" t="s">
        <v>576</v>
      </c>
      <c r="F296" s="263" t="s">
        <v>571</v>
      </c>
      <c r="G296" s="264">
        <v>1</v>
      </c>
      <c r="H296" s="264"/>
      <c r="I296" s="275">
        <v>249.1</v>
      </c>
    </row>
    <row r="297" spans="1:9" ht="18" x14ac:dyDescent="0.3">
      <c r="A297" s="274" t="s">
        <v>1270</v>
      </c>
      <c r="B297" s="261"/>
      <c r="C297" s="265" t="s">
        <v>924</v>
      </c>
      <c r="D297" s="263"/>
      <c r="E297" s="263"/>
      <c r="F297" s="266" t="s">
        <v>921</v>
      </c>
      <c r="G297" s="267">
        <v>0.15</v>
      </c>
      <c r="H297" s="267"/>
      <c r="I297" s="276">
        <v>37.365000000000002</v>
      </c>
    </row>
    <row r="298" spans="1:9" ht="18" x14ac:dyDescent="0.3">
      <c r="A298" s="274" t="s">
        <v>1271</v>
      </c>
      <c r="B298" s="261"/>
      <c r="C298" s="265" t="s">
        <v>927</v>
      </c>
      <c r="D298" s="263"/>
      <c r="E298" s="263"/>
      <c r="F298" s="266" t="s">
        <v>921</v>
      </c>
      <c r="G298" s="267">
        <v>0.25</v>
      </c>
      <c r="H298" s="269"/>
      <c r="I298" s="277">
        <v>62.274999999999999</v>
      </c>
    </row>
    <row r="299" spans="1:9" ht="18" x14ac:dyDescent="0.3">
      <c r="A299" s="274" t="s">
        <v>1272</v>
      </c>
      <c r="B299" s="261"/>
      <c r="C299" s="268" t="s">
        <v>929</v>
      </c>
      <c r="D299" s="263"/>
      <c r="E299" s="263"/>
      <c r="F299" s="266" t="s">
        <v>921</v>
      </c>
      <c r="G299" s="267">
        <v>1.2</v>
      </c>
      <c r="H299" s="269"/>
      <c r="I299" s="277">
        <v>298.92</v>
      </c>
    </row>
    <row r="300" spans="1:9" ht="72" x14ac:dyDescent="0.3">
      <c r="A300" s="274" t="s">
        <v>1273</v>
      </c>
      <c r="B300" s="261"/>
      <c r="C300" s="268" t="s">
        <v>1244</v>
      </c>
      <c r="D300" s="263"/>
      <c r="E300" s="263" t="s">
        <v>1274</v>
      </c>
      <c r="F300" s="266" t="s">
        <v>571</v>
      </c>
      <c r="G300" s="267">
        <v>1.1000000000000001</v>
      </c>
      <c r="H300" s="269"/>
      <c r="I300" s="277">
        <v>274.01</v>
      </c>
    </row>
    <row r="301" spans="1:9" ht="36" x14ac:dyDescent="0.3">
      <c r="A301" s="274" t="s">
        <v>1275</v>
      </c>
      <c r="B301" s="261" t="s">
        <v>1242</v>
      </c>
      <c r="C301" s="262" t="s">
        <v>574</v>
      </c>
      <c r="D301" s="263"/>
      <c r="E301" s="263" t="s">
        <v>577</v>
      </c>
      <c r="F301" s="263" t="s">
        <v>571</v>
      </c>
      <c r="G301" s="264">
        <v>1</v>
      </c>
      <c r="H301" s="264"/>
      <c r="I301" s="275">
        <v>238.4</v>
      </c>
    </row>
    <row r="302" spans="1:9" ht="72" x14ac:dyDescent="0.3">
      <c r="A302" s="274" t="s">
        <v>1276</v>
      </c>
      <c r="B302" s="261"/>
      <c r="C302" s="268" t="s">
        <v>1244</v>
      </c>
      <c r="D302" s="263"/>
      <c r="E302" s="263" t="s">
        <v>930</v>
      </c>
      <c r="F302" s="266" t="s">
        <v>571</v>
      </c>
      <c r="G302" s="267">
        <v>1.1000000000000001</v>
      </c>
      <c r="H302" s="269"/>
      <c r="I302" s="277">
        <v>262.24</v>
      </c>
    </row>
    <row r="303" spans="1:9" ht="18" x14ac:dyDescent="0.3">
      <c r="A303" s="274" t="s">
        <v>1277</v>
      </c>
      <c r="B303" s="261"/>
      <c r="C303" s="268" t="s">
        <v>929</v>
      </c>
      <c r="D303" s="263"/>
      <c r="E303" s="263"/>
      <c r="F303" s="266" t="s">
        <v>921</v>
      </c>
      <c r="G303" s="267">
        <v>1.2</v>
      </c>
      <c r="H303" s="269"/>
      <c r="I303" s="277">
        <v>286.08</v>
      </c>
    </row>
    <row r="304" spans="1:9" ht="18" x14ac:dyDescent="0.3">
      <c r="A304" s="274" t="s">
        <v>1278</v>
      </c>
      <c r="B304" s="261"/>
      <c r="C304" s="265" t="s">
        <v>927</v>
      </c>
      <c r="D304" s="263"/>
      <c r="E304" s="263"/>
      <c r="F304" s="266" t="s">
        <v>921</v>
      </c>
      <c r="G304" s="267">
        <v>0.25</v>
      </c>
      <c r="H304" s="269"/>
      <c r="I304" s="277">
        <v>59.6</v>
      </c>
    </row>
    <row r="305" spans="1:9" ht="18" x14ac:dyDescent="0.3">
      <c r="A305" s="274" t="s">
        <v>1279</v>
      </c>
      <c r="B305" s="261"/>
      <c r="C305" s="265" t="s">
        <v>924</v>
      </c>
      <c r="D305" s="263"/>
      <c r="E305" s="263"/>
      <c r="F305" s="266" t="s">
        <v>921</v>
      </c>
      <c r="G305" s="267">
        <v>0.15</v>
      </c>
      <c r="H305" s="267"/>
      <c r="I305" s="276">
        <v>35.76</v>
      </c>
    </row>
    <row r="306" spans="1:9" ht="36" x14ac:dyDescent="0.3">
      <c r="A306" s="274" t="s">
        <v>1280</v>
      </c>
      <c r="B306" s="261" t="s">
        <v>1242</v>
      </c>
      <c r="C306" s="262" t="s">
        <v>574</v>
      </c>
      <c r="D306" s="263"/>
      <c r="E306" s="263" t="s">
        <v>578</v>
      </c>
      <c r="F306" s="263" t="s">
        <v>571</v>
      </c>
      <c r="G306" s="264">
        <v>1</v>
      </c>
      <c r="H306" s="264"/>
      <c r="I306" s="275">
        <v>6.1</v>
      </c>
    </row>
    <row r="307" spans="1:9" ht="18" x14ac:dyDescent="0.3">
      <c r="A307" s="274" t="s">
        <v>1281</v>
      </c>
      <c r="B307" s="261"/>
      <c r="C307" s="265" t="s">
        <v>924</v>
      </c>
      <c r="D307" s="263"/>
      <c r="E307" s="263"/>
      <c r="F307" s="266" t="s">
        <v>921</v>
      </c>
      <c r="G307" s="267">
        <v>0.15</v>
      </c>
      <c r="H307" s="267"/>
      <c r="I307" s="276">
        <v>0.91500000000000004</v>
      </c>
    </row>
    <row r="308" spans="1:9" ht="18" x14ac:dyDescent="0.3">
      <c r="A308" s="274" t="s">
        <v>1282</v>
      </c>
      <c r="B308" s="261"/>
      <c r="C308" s="265" t="s">
        <v>927</v>
      </c>
      <c r="D308" s="263"/>
      <c r="E308" s="263"/>
      <c r="F308" s="266" t="s">
        <v>921</v>
      </c>
      <c r="G308" s="267">
        <v>0.25</v>
      </c>
      <c r="H308" s="269"/>
      <c r="I308" s="277">
        <v>1.5249999999999999</v>
      </c>
    </row>
    <row r="309" spans="1:9" ht="18" x14ac:dyDescent="0.3">
      <c r="A309" s="274" t="s">
        <v>1283</v>
      </c>
      <c r="B309" s="261"/>
      <c r="C309" s="268" t="s">
        <v>929</v>
      </c>
      <c r="D309" s="263"/>
      <c r="E309" s="263"/>
      <c r="F309" s="266" t="s">
        <v>921</v>
      </c>
      <c r="G309" s="267">
        <v>1.2</v>
      </c>
      <c r="H309" s="269"/>
      <c r="I309" s="277">
        <v>7.32</v>
      </c>
    </row>
    <row r="310" spans="1:9" ht="18" x14ac:dyDescent="0.3">
      <c r="A310" s="274" t="s">
        <v>1284</v>
      </c>
      <c r="B310" s="261"/>
      <c r="C310" s="268" t="s">
        <v>1244</v>
      </c>
      <c r="D310" s="263"/>
      <c r="E310" s="263"/>
      <c r="F310" s="266" t="s">
        <v>571</v>
      </c>
      <c r="G310" s="267">
        <v>1.1000000000000001</v>
      </c>
      <c r="H310" s="269"/>
      <c r="I310" s="277">
        <v>6.71</v>
      </c>
    </row>
    <row r="311" spans="1:9" ht="144" x14ac:dyDescent="0.3">
      <c r="A311" s="274" t="s">
        <v>1285</v>
      </c>
      <c r="B311" s="261" t="s">
        <v>1242</v>
      </c>
      <c r="C311" s="262" t="s">
        <v>574</v>
      </c>
      <c r="D311" s="263"/>
      <c r="E311" s="263" t="s">
        <v>1286</v>
      </c>
      <c r="F311" s="263" t="s">
        <v>571</v>
      </c>
      <c r="G311" s="264">
        <v>1</v>
      </c>
      <c r="H311" s="264"/>
      <c r="I311" s="275">
        <v>454.34</v>
      </c>
    </row>
    <row r="312" spans="1:9" ht="72" x14ac:dyDescent="0.3">
      <c r="A312" s="274" t="s">
        <v>1287</v>
      </c>
      <c r="B312" s="261"/>
      <c r="C312" s="268" t="s">
        <v>1244</v>
      </c>
      <c r="D312" s="263"/>
      <c r="E312" s="263" t="s">
        <v>1265</v>
      </c>
      <c r="F312" s="266" t="s">
        <v>571</v>
      </c>
      <c r="G312" s="267">
        <v>1.1000000000000001</v>
      </c>
      <c r="H312" s="269"/>
      <c r="I312" s="277">
        <v>499.774</v>
      </c>
    </row>
    <row r="313" spans="1:9" ht="18" x14ac:dyDescent="0.3">
      <c r="A313" s="274" t="s">
        <v>1288</v>
      </c>
      <c r="B313" s="261"/>
      <c r="C313" s="268" t="s">
        <v>929</v>
      </c>
      <c r="D313" s="263"/>
      <c r="E313" s="263"/>
      <c r="F313" s="266" t="s">
        <v>921</v>
      </c>
      <c r="G313" s="267">
        <v>1.2</v>
      </c>
      <c r="H313" s="269"/>
      <c r="I313" s="277">
        <v>1635.624</v>
      </c>
    </row>
    <row r="314" spans="1:9" ht="18" x14ac:dyDescent="0.3">
      <c r="A314" s="274" t="s">
        <v>1289</v>
      </c>
      <c r="B314" s="261"/>
      <c r="C314" s="265" t="s">
        <v>927</v>
      </c>
      <c r="D314" s="263"/>
      <c r="E314" s="263"/>
      <c r="F314" s="266" t="s">
        <v>921</v>
      </c>
      <c r="G314" s="267">
        <v>0.25</v>
      </c>
      <c r="H314" s="269"/>
      <c r="I314" s="277">
        <v>113.58499999999999</v>
      </c>
    </row>
    <row r="315" spans="1:9" ht="18" x14ac:dyDescent="0.3">
      <c r="A315" s="274" t="s">
        <v>1290</v>
      </c>
      <c r="B315" s="261"/>
      <c r="C315" s="265" t="s">
        <v>924</v>
      </c>
      <c r="D315" s="263"/>
      <c r="E315" s="263"/>
      <c r="F315" s="266" t="s">
        <v>921</v>
      </c>
      <c r="G315" s="267">
        <v>0.15</v>
      </c>
      <c r="H315" s="267"/>
      <c r="I315" s="276">
        <v>68.150999999999996</v>
      </c>
    </row>
    <row r="316" spans="1:9" ht="144" x14ac:dyDescent="0.3">
      <c r="A316" s="274" t="s">
        <v>1291</v>
      </c>
      <c r="B316" s="261" t="s">
        <v>1242</v>
      </c>
      <c r="C316" s="262" t="s">
        <v>574</v>
      </c>
      <c r="D316" s="263"/>
      <c r="E316" s="263" t="s">
        <v>1292</v>
      </c>
      <c r="F316" s="263" t="s">
        <v>571</v>
      </c>
      <c r="G316" s="264">
        <v>1</v>
      </c>
      <c r="H316" s="264"/>
      <c r="I316" s="275">
        <v>274.39999999999998</v>
      </c>
    </row>
    <row r="317" spans="1:9" ht="18" x14ac:dyDescent="0.3">
      <c r="A317" s="274" t="s">
        <v>1293</v>
      </c>
      <c r="B317" s="261"/>
      <c r="C317" s="265" t="s">
        <v>924</v>
      </c>
      <c r="D317" s="263"/>
      <c r="E317" s="263"/>
      <c r="F317" s="266" t="s">
        <v>921</v>
      </c>
      <c r="G317" s="267">
        <v>0.15</v>
      </c>
      <c r="H317" s="267"/>
      <c r="I317" s="276">
        <v>41.16</v>
      </c>
    </row>
    <row r="318" spans="1:9" ht="18" x14ac:dyDescent="0.3">
      <c r="A318" s="274" t="s">
        <v>1294</v>
      </c>
      <c r="B318" s="261"/>
      <c r="C318" s="265" t="s">
        <v>927</v>
      </c>
      <c r="D318" s="263"/>
      <c r="E318" s="263"/>
      <c r="F318" s="266" t="s">
        <v>921</v>
      </c>
      <c r="G318" s="267">
        <v>0.25</v>
      </c>
      <c r="H318" s="269"/>
      <c r="I318" s="277">
        <v>68.599999999999994</v>
      </c>
    </row>
    <row r="319" spans="1:9" ht="18" x14ac:dyDescent="0.3">
      <c r="A319" s="274" t="s">
        <v>1295</v>
      </c>
      <c r="B319" s="261"/>
      <c r="C319" s="268" t="s">
        <v>929</v>
      </c>
      <c r="D319" s="263"/>
      <c r="E319" s="263"/>
      <c r="F319" s="266" t="s">
        <v>921</v>
      </c>
      <c r="G319" s="267">
        <v>1.2</v>
      </c>
      <c r="H319" s="269"/>
      <c r="I319" s="277">
        <v>987.84</v>
      </c>
    </row>
    <row r="320" spans="1:9" ht="72" x14ac:dyDescent="0.3">
      <c r="A320" s="274" t="s">
        <v>1296</v>
      </c>
      <c r="B320" s="261"/>
      <c r="C320" s="268" t="s">
        <v>1297</v>
      </c>
      <c r="D320" s="263"/>
      <c r="E320" s="263" t="s">
        <v>1274</v>
      </c>
      <c r="F320" s="266" t="s">
        <v>571</v>
      </c>
      <c r="G320" s="267">
        <v>0.1</v>
      </c>
      <c r="H320" s="269"/>
      <c r="I320" s="277">
        <v>27.44</v>
      </c>
    </row>
    <row r="321" spans="1:9" ht="162" x14ac:dyDescent="0.3">
      <c r="A321" s="274" t="s">
        <v>1298</v>
      </c>
      <c r="B321" s="261" t="s">
        <v>1242</v>
      </c>
      <c r="C321" s="262" t="s">
        <v>574</v>
      </c>
      <c r="D321" s="263"/>
      <c r="E321" s="263" t="s">
        <v>1299</v>
      </c>
      <c r="F321" s="263" t="s">
        <v>571</v>
      </c>
      <c r="G321" s="264">
        <v>1</v>
      </c>
      <c r="H321" s="264"/>
      <c r="I321" s="275">
        <v>86.72</v>
      </c>
    </row>
    <row r="322" spans="1:9" ht="72" x14ac:dyDescent="0.3">
      <c r="A322" s="274" t="s">
        <v>1300</v>
      </c>
      <c r="B322" s="261"/>
      <c r="C322" s="268" t="s">
        <v>1244</v>
      </c>
      <c r="D322" s="263"/>
      <c r="E322" s="263" t="s">
        <v>930</v>
      </c>
      <c r="F322" s="266" t="s">
        <v>571</v>
      </c>
      <c r="G322" s="267">
        <v>1.1000000000000001</v>
      </c>
      <c r="H322" s="269"/>
      <c r="I322" s="277">
        <v>95.391999999999996</v>
      </c>
    </row>
    <row r="323" spans="1:9" ht="18" x14ac:dyDescent="0.3">
      <c r="A323" s="274" t="s">
        <v>1301</v>
      </c>
      <c r="B323" s="261"/>
      <c r="C323" s="268" t="s">
        <v>929</v>
      </c>
      <c r="D323" s="263"/>
      <c r="E323" s="263"/>
      <c r="F323" s="266" t="s">
        <v>921</v>
      </c>
      <c r="G323" s="267">
        <v>1.2</v>
      </c>
      <c r="H323" s="269"/>
      <c r="I323" s="277">
        <v>312.19200000000001</v>
      </c>
    </row>
    <row r="324" spans="1:9" ht="18" x14ac:dyDescent="0.3">
      <c r="A324" s="274" t="s">
        <v>1302</v>
      </c>
      <c r="B324" s="261"/>
      <c r="C324" s="265" t="s">
        <v>927</v>
      </c>
      <c r="D324" s="263"/>
      <c r="E324" s="263"/>
      <c r="F324" s="266" t="s">
        <v>921</v>
      </c>
      <c r="G324" s="267">
        <v>0.25</v>
      </c>
      <c r="H324" s="269"/>
      <c r="I324" s="277">
        <v>21.68</v>
      </c>
    </row>
    <row r="325" spans="1:9" ht="18" x14ac:dyDescent="0.3">
      <c r="A325" s="274" t="s">
        <v>1303</v>
      </c>
      <c r="B325" s="261"/>
      <c r="C325" s="265" t="s">
        <v>924</v>
      </c>
      <c r="D325" s="263"/>
      <c r="E325" s="263"/>
      <c r="F325" s="266" t="s">
        <v>921</v>
      </c>
      <c r="G325" s="267">
        <v>0.15</v>
      </c>
      <c r="H325" s="267"/>
      <c r="I325" s="276">
        <v>13.007999999999999</v>
      </c>
    </row>
    <row r="326" spans="1:9" ht="162" x14ac:dyDescent="0.3">
      <c r="A326" s="274" t="s">
        <v>1304</v>
      </c>
      <c r="B326" s="261" t="s">
        <v>1242</v>
      </c>
      <c r="C326" s="262" t="s">
        <v>574</v>
      </c>
      <c r="D326" s="263"/>
      <c r="E326" s="263" t="s">
        <v>1305</v>
      </c>
      <c r="F326" s="263" t="s">
        <v>571</v>
      </c>
      <c r="G326" s="264">
        <v>1</v>
      </c>
      <c r="H326" s="264"/>
      <c r="I326" s="275">
        <v>284.92</v>
      </c>
    </row>
    <row r="327" spans="1:9" ht="18" x14ac:dyDescent="0.3">
      <c r="A327" s="274" t="s">
        <v>1306</v>
      </c>
      <c r="B327" s="261"/>
      <c r="C327" s="265" t="s">
        <v>924</v>
      </c>
      <c r="D327" s="263"/>
      <c r="E327" s="263"/>
      <c r="F327" s="266" t="s">
        <v>921</v>
      </c>
      <c r="G327" s="267">
        <v>0.15</v>
      </c>
      <c r="H327" s="267"/>
      <c r="I327" s="276">
        <v>42.738</v>
      </c>
    </row>
    <row r="328" spans="1:9" ht="18" x14ac:dyDescent="0.3">
      <c r="A328" s="274" t="s">
        <v>1307</v>
      </c>
      <c r="B328" s="261"/>
      <c r="C328" s="265" t="s">
        <v>927</v>
      </c>
      <c r="D328" s="263"/>
      <c r="E328" s="263"/>
      <c r="F328" s="266" t="s">
        <v>921</v>
      </c>
      <c r="G328" s="267">
        <v>0.25</v>
      </c>
      <c r="H328" s="269"/>
      <c r="I328" s="277">
        <v>71.23</v>
      </c>
    </row>
    <row r="329" spans="1:9" ht="36" x14ac:dyDescent="0.3">
      <c r="A329" s="274" t="s">
        <v>1308</v>
      </c>
      <c r="B329" s="261"/>
      <c r="C329" s="268" t="s">
        <v>929</v>
      </c>
      <c r="D329" s="263"/>
      <c r="E329" s="263" t="s">
        <v>1226</v>
      </c>
      <c r="F329" s="266" t="s">
        <v>921</v>
      </c>
      <c r="G329" s="267">
        <v>1.2</v>
      </c>
      <c r="H329" s="269"/>
      <c r="I329" s="277">
        <v>1025.712</v>
      </c>
    </row>
    <row r="330" spans="1:9" ht="72" x14ac:dyDescent="0.3">
      <c r="A330" s="274" t="s">
        <v>1309</v>
      </c>
      <c r="B330" s="261"/>
      <c r="C330" s="268" t="s">
        <v>1244</v>
      </c>
      <c r="D330" s="263"/>
      <c r="E330" s="263" t="s">
        <v>930</v>
      </c>
      <c r="F330" s="266" t="s">
        <v>571</v>
      </c>
      <c r="G330" s="267">
        <v>1.1000000000000001</v>
      </c>
      <c r="H330" s="269"/>
      <c r="I330" s="277">
        <v>313.41199999999998</v>
      </c>
    </row>
    <row r="331" spans="1:9" ht="16.95" customHeight="1" x14ac:dyDescent="0.3">
      <c r="A331" s="274" t="s">
        <v>1310</v>
      </c>
      <c r="B331" s="261" t="s">
        <v>1311</v>
      </c>
      <c r="C331" s="271" t="s">
        <v>1312</v>
      </c>
      <c r="D331" s="272"/>
      <c r="E331" s="272"/>
      <c r="F331" s="272"/>
      <c r="G331" s="272"/>
      <c r="H331" s="272"/>
      <c r="I331" s="272"/>
    </row>
    <row r="332" spans="1:9" ht="108" x14ac:dyDescent="0.3">
      <c r="A332" s="274" t="s">
        <v>1313</v>
      </c>
      <c r="B332" s="261" t="s">
        <v>1314</v>
      </c>
      <c r="C332" s="262" t="s">
        <v>1315</v>
      </c>
      <c r="D332" s="263"/>
      <c r="E332" s="263" t="s">
        <v>1316</v>
      </c>
      <c r="F332" s="263" t="s">
        <v>571</v>
      </c>
      <c r="G332" s="264">
        <v>1</v>
      </c>
      <c r="H332" s="264"/>
      <c r="I332" s="275">
        <v>409.83</v>
      </c>
    </row>
    <row r="333" spans="1:9" ht="36" x14ac:dyDescent="0.3">
      <c r="A333" s="274" t="s">
        <v>1317</v>
      </c>
      <c r="B333" s="261"/>
      <c r="C333" s="268" t="s">
        <v>1318</v>
      </c>
      <c r="D333" s="263"/>
      <c r="E333" s="263"/>
      <c r="F333" s="266" t="s">
        <v>921</v>
      </c>
      <c r="G333" s="267">
        <v>1.1000000000000001</v>
      </c>
      <c r="H333" s="269"/>
      <c r="I333" s="277">
        <v>11270.325000000001</v>
      </c>
    </row>
    <row r="334" spans="1:9" ht="18" x14ac:dyDescent="0.3">
      <c r="A334" s="274" t="s">
        <v>1319</v>
      </c>
      <c r="B334" s="261"/>
      <c r="C334" s="265" t="s">
        <v>1320</v>
      </c>
      <c r="D334" s="263"/>
      <c r="E334" s="263"/>
      <c r="F334" s="266" t="s">
        <v>571</v>
      </c>
      <c r="G334" s="267">
        <v>1.1000000000000001</v>
      </c>
      <c r="H334" s="267"/>
      <c r="I334" s="276">
        <v>450.81299999999999</v>
      </c>
    </row>
    <row r="335" spans="1:9" ht="18" x14ac:dyDescent="0.3">
      <c r="A335" s="274" t="s">
        <v>1321</v>
      </c>
      <c r="B335" s="261"/>
      <c r="C335" s="265" t="s">
        <v>1322</v>
      </c>
      <c r="D335" s="263"/>
      <c r="E335" s="263"/>
      <c r="F335" s="266" t="s">
        <v>867</v>
      </c>
      <c r="G335" s="267">
        <v>1</v>
      </c>
      <c r="H335" s="267"/>
      <c r="I335" s="276">
        <v>409.83</v>
      </c>
    </row>
    <row r="336" spans="1:9" ht="18" x14ac:dyDescent="0.3">
      <c r="A336" s="274" t="s">
        <v>1323</v>
      </c>
      <c r="B336" s="261"/>
      <c r="C336" s="265" t="s">
        <v>1005</v>
      </c>
      <c r="D336" s="263"/>
      <c r="E336" s="263"/>
      <c r="F336" s="266" t="s">
        <v>921</v>
      </c>
      <c r="G336" s="267">
        <v>0.25</v>
      </c>
      <c r="H336" s="267"/>
      <c r="I336" s="276">
        <v>102.458</v>
      </c>
    </row>
    <row r="337" spans="1:9" ht="108" x14ac:dyDescent="0.3">
      <c r="A337" s="274" t="s">
        <v>1324</v>
      </c>
      <c r="B337" s="261" t="s">
        <v>1314</v>
      </c>
      <c r="C337" s="262" t="s">
        <v>1315</v>
      </c>
      <c r="D337" s="263"/>
      <c r="E337" s="263" t="s">
        <v>1325</v>
      </c>
      <c r="F337" s="263" t="s">
        <v>571</v>
      </c>
      <c r="G337" s="264">
        <v>1</v>
      </c>
      <c r="H337" s="264"/>
      <c r="I337" s="275">
        <v>44.15</v>
      </c>
    </row>
    <row r="338" spans="1:9" ht="18" x14ac:dyDescent="0.3">
      <c r="A338" s="274" t="s">
        <v>1326</v>
      </c>
      <c r="B338" s="261"/>
      <c r="C338" s="265" t="s">
        <v>926</v>
      </c>
      <c r="D338" s="263"/>
      <c r="E338" s="263"/>
      <c r="F338" s="266" t="s">
        <v>921</v>
      </c>
      <c r="G338" s="267">
        <v>0.15</v>
      </c>
      <c r="H338" s="267"/>
      <c r="I338" s="276">
        <v>6.6230000000000002</v>
      </c>
    </row>
    <row r="339" spans="1:9" ht="18" x14ac:dyDescent="0.3">
      <c r="A339" s="274" t="s">
        <v>1327</v>
      </c>
      <c r="B339" s="261"/>
      <c r="C339" s="265" t="s">
        <v>1322</v>
      </c>
      <c r="D339" s="263"/>
      <c r="E339" s="263"/>
      <c r="F339" s="266" t="s">
        <v>867</v>
      </c>
      <c r="G339" s="267">
        <v>1</v>
      </c>
      <c r="H339" s="267"/>
      <c r="I339" s="276">
        <v>44.15</v>
      </c>
    </row>
    <row r="340" spans="1:9" ht="18" x14ac:dyDescent="0.3">
      <c r="A340" s="274" t="s">
        <v>1328</v>
      </c>
      <c r="B340" s="261"/>
      <c r="C340" s="265" t="s">
        <v>1320</v>
      </c>
      <c r="D340" s="263"/>
      <c r="E340" s="263"/>
      <c r="F340" s="266" t="s">
        <v>571</v>
      </c>
      <c r="G340" s="267">
        <v>1.1000000000000001</v>
      </c>
      <c r="H340" s="267"/>
      <c r="I340" s="276">
        <v>48.564999999999998</v>
      </c>
    </row>
    <row r="341" spans="1:9" ht="36" x14ac:dyDescent="0.3">
      <c r="A341" s="274" t="s">
        <v>1329</v>
      </c>
      <c r="B341" s="261"/>
      <c r="C341" s="268" t="s">
        <v>1318</v>
      </c>
      <c r="D341" s="263"/>
      <c r="E341" s="263"/>
      <c r="F341" s="266" t="s">
        <v>921</v>
      </c>
      <c r="G341" s="267">
        <v>1.1000000000000001</v>
      </c>
      <c r="H341" s="269"/>
      <c r="I341" s="277">
        <v>1214.125</v>
      </c>
    </row>
    <row r="342" spans="1:9" ht="144" x14ac:dyDescent="0.3">
      <c r="A342" s="274" t="s">
        <v>1330</v>
      </c>
      <c r="B342" s="261" t="s">
        <v>1314</v>
      </c>
      <c r="C342" s="262" t="s">
        <v>1315</v>
      </c>
      <c r="D342" s="263"/>
      <c r="E342" s="263" t="s">
        <v>1331</v>
      </c>
      <c r="F342" s="263" t="s">
        <v>571</v>
      </c>
      <c r="G342" s="264">
        <v>1</v>
      </c>
      <c r="H342" s="264"/>
      <c r="I342" s="275">
        <v>43.47</v>
      </c>
    </row>
    <row r="343" spans="1:9" ht="36" x14ac:dyDescent="0.3">
      <c r="A343" s="274" t="s">
        <v>1332</v>
      </c>
      <c r="B343" s="261"/>
      <c r="C343" s="265" t="s">
        <v>1333</v>
      </c>
      <c r="D343" s="263"/>
      <c r="E343" s="263" t="s">
        <v>993</v>
      </c>
      <c r="F343" s="266" t="s">
        <v>921</v>
      </c>
      <c r="G343" s="267">
        <v>1.8</v>
      </c>
      <c r="H343" s="269"/>
      <c r="I343" s="277">
        <v>1956.15</v>
      </c>
    </row>
    <row r="344" spans="1:9" ht="18" x14ac:dyDescent="0.3">
      <c r="A344" s="274" t="s">
        <v>1334</v>
      </c>
      <c r="B344" s="261"/>
      <c r="C344" s="265" t="s">
        <v>1320</v>
      </c>
      <c r="D344" s="263"/>
      <c r="E344" s="263"/>
      <c r="F344" s="266" t="s">
        <v>571</v>
      </c>
      <c r="G344" s="267">
        <v>1.1000000000000001</v>
      </c>
      <c r="H344" s="267"/>
      <c r="I344" s="276">
        <v>47.817</v>
      </c>
    </row>
    <row r="345" spans="1:9" ht="18" x14ac:dyDescent="0.3">
      <c r="A345" s="274" t="s">
        <v>1335</v>
      </c>
      <c r="B345" s="261"/>
      <c r="C345" s="265" t="s">
        <v>1322</v>
      </c>
      <c r="D345" s="263"/>
      <c r="E345" s="263"/>
      <c r="F345" s="266" t="s">
        <v>867</v>
      </c>
      <c r="G345" s="267">
        <v>1</v>
      </c>
      <c r="H345" s="267"/>
      <c r="I345" s="276">
        <v>43.47</v>
      </c>
    </row>
    <row r="346" spans="1:9" ht="18" x14ac:dyDescent="0.3">
      <c r="A346" s="274" t="s">
        <v>1336</v>
      </c>
      <c r="B346" s="261"/>
      <c r="C346" s="265" t="s">
        <v>926</v>
      </c>
      <c r="D346" s="263"/>
      <c r="E346" s="263"/>
      <c r="F346" s="266" t="s">
        <v>921</v>
      </c>
      <c r="G346" s="267">
        <v>0.15</v>
      </c>
      <c r="H346" s="267"/>
      <c r="I346" s="276">
        <v>6.5209999999999999</v>
      </c>
    </row>
    <row r="347" spans="1:9" ht="97.95" customHeight="1" x14ac:dyDescent="0.3">
      <c r="A347" s="274" t="s">
        <v>1337</v>
      </c>
      <c r="B347" s="261" t="s">
        <v>1314</v>
      </c>
      <c r="C347" s="262" t="s">
        <v>1315</v>
      </c>
      <c r="D347" s="263"/>
      <c r="E347" s="263" t="s">
        <v>1338</v>
      </c>
      <c r="F347" s="263" t="s">
        <v>571</v>
      </c>
      <c r="G347" s="264">
        <v>1</v>
      </c>
      <c r="H347" s="264"/>
      <c r="I347" s="275">
        <v>53.76</v>
      </c>
    </row>
    <row r="348" spans="1:9" ht="18" x14ac:dyDescent="0.3">
      <c r="A348" s="274" t="s">
        <v>1339</v>
      </c>
      <c r="B348" s="261"/>
      <c r="C348" s="265" t="s">
        <v>926</v>
      </c>
      <c r="D348" s="263"/>
      <c r="E348" s="263"/>
      <c r="F348" s="266" t="s">
        <v>921</v>
      </c>
      <c r="G348" s="267">
        <v>0.15</v>
      </c>
      <c r="H348" s="267"/>
      <c r="I348" s="276">
        <v>8.0640000000000001</v>
      </c>
    </row>
    <row r="349" spans="1:9" ht="18" x14ac:dyDescent="0.3">
      <c r="A349" s="274" t="s">
        <v>1340</v>
      </c>
      <c r="B349" s="261"/>
      <c r="C349" s="265" t="s">
        <v>1322</v>
      </c>
      <c r="D349" s="263"/>
      <c r="E349" s="263"/>
      <c r="F349" s="266" t="s">
        <v>867</v>
      </c>
      <c r="G349" s="267">
        <v>1</v>
      </c>
      <c r="H349" s="267"/>
      <c r="I349" s="276">
        <v>53.76</v>
      </c>
    </row>
    <row r="350" spans="1:9" ht="18" x14ac:dyDescent="0.3">
      <c r="A350" s="274" t="s">
        <v>1341</v>
      </c>
      <c r="B350" s="261"/>
      <c r="C350" s="265" t="s">
        <v>1320</v>
      </c>
      <c r="D350" s="263"/>
      <c r="E350" s="263"/>
      <c r="F350" s="266" t="s">
        <v>571</v>
      </c>
      <c r="G350" s="267">
        <v>1.1000000000000001</v>
      </c>
      <c r="H350" s="267"/>
      <c r="I350" s="276">
        <v>59.136000000000003</v>
      </c>
    </row>
    <row r="351" spans="1:9" ht="36" x14ac:dyDescent="0.3">
      <c r="A351" s="274" t="s">
        <v>1342</v>
      </c>
      <c r="B351" s="261"/>
      <c r="C351" s="265" t="s">
        <v>1333</v>
      </c>
      <c r="D351" s="263"/>
      <c r="E351" s="263" t="s">
        <v>993</v>
      </c>
      <c r="F351" s="266" t="s">
        <v>921</v>
      </c>
      <c r="G351" s="267">
        <v>1.8</v>
      </c>
      <c r="H351" s="269"/>
      <c r="I351" s="277">
        <v>2419.1999999999998</v>
      </c>
    </row>
    <row r="352" spans="1:9" ht="88.05" customHeight="1" x14ac:dyDescent="0.3">
      <c r="A352" s="274" t="s">
        <v>1343</v>
      </c>
      <c r="B352" s="261" t="s">
        <v>1314</v>
      </c>
      <c r="C352" s="262" t="s">
        <v>1315</v>
      </c>
      <c r="D352" s="263"/>
      <c r="E352" s="263" t="s">
        <v>1344</v>
      </c>
      <c r="F352" s="263" t="s">
        <v>571</v>
      </c>
      <c r="G352" s="264">
        <v>1</v>
      </c>
      <c r="H352" s="264"/>
      <c r="I352" s="275">
        <v>181.82</v>
      </c>
    </row>
    <row r="353" spans="1:9" ht="36" x14ac:dyDescent="0.3">
      <c r="A353" s="274" t="s">
        <v>1345</v>
      </c>
      <c r="B353" s="261"/>
      <c r="C353" s="268" t="s">
        <v>1318</v>
      </c>
      <c r="D353" s="263"/>
      <c r="E353" s="263"/>
      <c r="F353" s="266" t="s">
        <v>921</v>
      </c>
      <c r="G353" s="267">
        <v>1.1000000000000001</v>
      </c>
      <c r="H353" s="269"/>
      <c r="I353" s="277">
        <v>5000.05</v>
      </c>
    </row>
    <row r="354" spans="1:9" ht="18" x14ac:dyDescent="0.3">
      <c r="A354" s="274" t="s">
        <v>1346</v>
      </c>
      <c r="B354" s="261"/>
      <c r="C354" s="265" t="s">
        <v>1320</v>
      </c>
      <c r="D354" s="263"/>
      <c r="E354" s="263"/>
      <c r="F354" s="266" t="s">
        <v>571</v>
      </c>
      <c r="G354" s="267">
        <v>1.1000000000000001</v>
      </c>
      <c r="H354" s="267"/>
      <c r="I354" s="276">
        <v>200.00200000000001</v>
      </c>
    </row>
    <row r="355" spans="1:9" ht="18" x14ac:dyDescent="0.3">
      <c r="A355" s="274" t="s">
        <v>1347</v>
      </c>
      <c r="B355" s="261"/>
      <c r="C355" s="265" t="s">
        <v>1322</v>
      </c>
      <c r="D355" s="263"/>
      <c r="E355" s="263"/>
      <c r="F355" s="266" t="s">
        <v>867</v>
      </c>
      <c r="G355" s="267">
        <v>1</v>
      </c>
      <c r="H355" s="267"/>
      <c r="I355" s="276">
        <v>181.82</v>
      </c>
    </row>
    <row r="356" spans="1:9" ht="18" x14ac:dyDescent="0.3">
      <c r="A356" s="274" t="s">
        <v>1348</v>
      </c>
      <c r="B356" s="261"/>
      <c r="C356" s="265" t="s">
        <v>1005</v>
      </c>
      <c r="D356" s="263"/>
      <c r="E356" s="263"/>
      <c r="F356" s="266" t="s">
        <v>921</v>
      </c>
      <c r="G356" s="267">
        <v>0.25</v>
      </c>
      <c r="H356" s="267"/>
      <c r="I356" s="276">
        <v>45.454999999999998</v>
      </c>
    </row>
    <row r="357" spans="1:9" ht="90" x14ac:dyDescent="0.3">
      <c r="A357" s="274" t="s">
        <v>1349</v>
      </c>
      <c r="B357" s="261" t="s">
        <v>1314</v>
      </c>
      <c r="C357" s="262" t="s">
        <v>1315</v>
      </c>
      <c r="D357" s="263"/>
      <c r="E357" s="263" t="s">
        <v>1350</v>
      </c>
      <c r="F357" s="263" t="s">
        <v>571</v>
      </c>
      <c r="G357" s="264">
        <v>1</v>
      </c>
      <c r="H357" s="264"/>
      <c r="I357" s="275">
        <v>1.03</v>
      </c>
    </row>
    <row r="358" spans="1:9" ht="18" x14ac:dyDescent="0.3">
      <c r="A358" s="274" t="s">
        <v>1351</v>
      </c>
      <c r="B358" s="261"/>
      <c r="C358" s="265" t="s">
        <v>1005</v>
      </c>
      <c r="D358" s="263"/>
      <c r="E358" s="263"/>
      <c r="F358" s="266" t="s">
        <v>921</v>
      </c>
      <c r="G358" s="267">
        <v>0.25</v>
      </c>
      <c r="H358" s="267"/>
      <c r="I358" s="276">
        <v>0.25800000000000001</v>
      </c>
    </row>
    <row r="359" spans="1:9" ht="18" x14ac:dyDescent="0.3">
      <c r="A359" s="274" t="s">
        <v>1352</v>
      </c>
      <c r="B359" s="261"/>
      <c r="C359" s="265" t="s">
        <v>1322</v>
      </c>
      <c r="D359" s="263"/>
      <c r="E359" s="263"/>
      <c r="F359" s="266" t="s">
        <v>867</v>
      </c>
      <c r="G359" s="267">
        <v>1</v>
      </c>
      <c r="H359" s="267"/>
      <c r="I359" s="276">
        <v>1.03</v>
      </c>
    </row>
    <row r="360" spans="1:9" ht="18" x14ac:dyDescent="0.3">
      <c r="A360" s="274" t="s">
        <v>1353</v>
      </c>
      <c r="B360" s="261"/>
      <c r="C360" s="265" t="s">
        <v>1320</v>
      </c>
      <c r="D360" s="263"/>
      <c r="E360" s="263"/>
      <c r="F360" s="266" t="s">
        <v>571</v>
      </c>
      <c r="G360" s="267">
        <v>1.1000000000000001</v>
      </c>
      <c r="H360" s="267"/>
      <c r="I360" s="276">
        <v>1.133</v>
      </c>
    </row>
    <row r="361" spans="1:9" ht="36" x14ac:dyDescent="0.3">
      <c r="A361" s="274" t="s">
        <v>1354</v>
      </c>
      <c r="B361" s="261"/>
      <c r="C361" s="265" t="s">
        <v>1333</v>
      </c>
      <c r="D361" s="263"/>
      <c r="E361" s="263" t="s">
        <v>993</v>
      </c>
      <c r="F361" s="266" t="s">
        <v>921</v>
      </c>
      <c r="G361" s="267">
        <v>1.8</v>
      </c>
      <c r="H361" s="269"/>
      <c r="I361" s="277">
        <v>46.35</v>
      </c>
    </row>
    <row r="362" spans="1:9" ht="90" x14ac:dyDescent="0.3">
      <c r="A362" s="274" t="s">
        <v>1355</v>
      </c>
      <c r="B362" s="261" t="s">
        <v>1314</v>
      </c>
      <c r="C362" s="262" t="s">
        <v>1315</v>
      </c>
      <c r="D362" s="263"/>
      <c r="E362" s="263" t="s">
        <v>1356</v>
      </c>
      <c r="F362" s="263" t="s">
        <v>571</v>
      </c>
      <c r="G362" s="264">
        <v>1</v>
      </c>
      <c r="H362" s="264"/>
      <c r="I362" s="275">
        <v>6.22</v>
      </c>
    </row>
    <row r="363" spans="1:9" ht="36" x14ac:dyDescent="0.3">
      <c r="A363" s="274" t="s">
        <v>1357</v>
      </c>
      <c r="B363" s="261"/>
      <c r="C363" s="265" t="s">
        <v>1333</v>
      </c>
      <c r="D363" s="263"/>
      <c r="E363" s="263" t="s">
        <v>1358</v>
      </c>
      <c r="F363" s="266" t="s">
        <v>921</v>
      </c>
      <c r="G363" s="267">
        <v>1.8</v>
      </c>
      <c r="H363" s="269"/>
      <c r="I363" s="277">
        <v>111.96</v>
      </c>
    </row>
    <row r="364" spans="1:9" ht="18" x14ac:dyDescent="0.3">
      <c r="A364" s="274" t="s">
        <v>1359</v>
      </c>
      <c r="B364" s="261"/>
      <c r="C364" s="265" t="s">
        <v>1005</v>
      </c>
      <c r="D364" s="263"/>
      <c r="E364" s="263"/>
      <c r="F364" s="266" t="s">
        <v>921</v>
      </c>
      <c r="G364" s="267">
        <v>0.25</v>
      </c>
      <c r="H364" s="267"/>
      <c r="I364" s="276">
        <v>1.5549999999999999</v>
      </c>
    </row>
    <row r="365" spans="1:9" ht="90" x14ac:dyDescent="0.3">
      <c r="A365" s="274" t="s">
        <v>1360</v>
      </c>
      <c r="B365" s="261" t="s">
        <v>1314</v>
      </c>
      <c r="C365" s="262" t="s">
        <v>1315</v>
      </c>
      <c r="D365" s="263"/>
      <c r="E365" s="263" t="s">
        <v>1361</v>
      </c>
      <c r="F365" s="263" t="s">
        <v>571</v>
      </c>
      <c r="G365" s="264">
        <v>1</v>
      </c>
      <c r="H365" s="264"/>
      <c r="I365" s="275">
        <v>77.31</v>
      </c>
    </row>
    <row r="366" spans="1:9" ht="18" x14ac:dyDescent="0.3">
      <c r="A366" s="274" t="s">
        <v>1362</v>
      </c>
      <c r="B366" s="261"/>
      <c r="C366" s="265" t="s">
        <v>1005</v>
      </c>
      <c r="D366" s="263"/>
      <c r="E366" s="263"/>
      <c r="F366" s="266" t="s">
        <v>921</v>
      </c>
      <c r="G366" s="267">
        <v>0.25</v>
      </c>
      <c r="H366" s="267"/>
      <c r="I366" s="276">
        <v>19.327999999999999</v>
      </c>
    </row>
    <row r="367" spans="1:9" ht="18" x14ac:dyDescent="0.3">
      <c r="A367" s="274" t="s">
        <v>1363</v>
      </c>
      <c r="B367" s="261"/>
      <c r="C367" s="265" t="s">
        <v>1322</v>
      </c>
      <c r="D367" s="263"/>
      <c r="E367" s="263"/>
      <c r="F367" s="266" t="s">
        <v>867</v>
      </c>
      <c r="G367" s="267">
        <v>1</v>
      </c>
      <c r="H367" s="267"/>
      <c r="I367" s="276">
        <v>77.31</v>
      </c>
    </row>
    <row r="368" spans="1:9" ht="18" x14ac:dyDescent="0.3">
      <c r="A368" s="274" t="s">
        <v>1364</v>
      </c>
      <c r="B368" s="261"/>
      <c r="C368" s="265" t="s">
        <v>1320</v>
      </c>
      <c r="D368" s="263"/>
      <c r="E368" s="263"/>
      <c r="F368" s="266" t="s">
        <v>571</v>
      </c>
      <c r="G368" s="267">
        <v>1.1000000000000001</v>
      </c>
      <c r="H368" s="267"/>
      <c r="I368" s="276">
        <v>85.040999999999997</v>
      </c>
    </row>
    <row r="369" spans="1:9" ht="36" x14ac:dyDescent="0.3">
      <c r="A369" s="274" t="s">
        <v>1365</v>
      </c>
      <c r="B369" s="261"/>
      <c r="C369" s="268" t="s">
        <v>1318</v>
      </c>
      <c r="D369" s="263"/>
      <c r="E369" s="263"/>
      <c r="F369" s="266" t="s">
        <v>921</v>
      </c>
      <c r="G369" s="267">
        <v>1.1000000000000001</v>
      </c>
      <c r="H369" s="269"/>
      <c r="I369" s="277">
        <v>2126.0250000000001</v>
      </c>
    </row>
    <row r="370" spans="1:9" ht="90" x14ac:dyDescent="0.3">
      <c r="A370" s="274" t="s">
        <v>1366</v>
      </c>
      <c r="B370" s="261" t="s">
        <v>1367</v>
      </c>
      <c r="C370" s="262" t="s">
        <v>1368</v>
      </c>
      <c r="D370" s="263"/>
      <c r="E370" s="263" t="s">
        <v>1369</v>
      </c>
      <c r="F370" s="263" t="s">
        <v>571</v>
      </c>
      <c r="G370" s="264">
        <v>1</v>
      </c>
      <c r="H370" s="264"/>
      <c r="I370" s="275">
        <v>279.94</v>
      </c>
    </row>
    <row r="371" spans="1:9" ht="18" x14ac:dyDescent="0.3">
      <c r="A371" s="274" t="s">
        <v>1370</v>
      </c>
      <c r="B371" s="261"/>
      <c r="C371" s="265" t="s">
        <v>962</v>
      </c>
      <c r="D371" s="263"/>
      <c r="E371" s="263"/>
      <c r="F371" s="266" t="s">
        <v>925</v>
      </c>
      <c r="G371" s="267">
        <v>0.3</v>
      </c>
      <c r="H371" s="267"/>
      <c r="I371" s="276">
        <v>83.981999999999999</v>
      </c>
    </row>
    <row r="372" spans="1:9" ht="36" x14ac:dyDescent="0.3">
      <c r="A372" s="274" t="s">
        <v>1371</v>
      </c>
      <c r="B372" s="261"/>
      <c r="C372" s="268" t="s">
        <v>942</v>
      </c>
      <c r="D372" s="263"/>
      <c r="E372" s="263"/>
      <c r="F372" s="266" t="s">
        <v>921</v>
      </c>
      <c r="G372" s="267">
        <v>4.5</v>
      </c>
      <c r="H372" s="267"/>
      <c r="I372" s="276">
        <v>1259.73</v>
      </c>
    </row>
    <row r="373" spans="1:9" ht="18" x14ac:dyDescent="0.3">
      <c r="A373" s="274" t="s">
        <v>1372</v>
      </c>
      <c r="B373" s="261"/>
      <c r="C373" s="265" t="s">
        <v>926</v>
      </c>
      <c r="D373" s="263"/>
      <c r="E373" s="263"/>
      <c r="F373" s="266" t="s">
        <v>921</v>
      </c>
      <c r="G373" s="267">
        <v>0.15</v>
      </c>
      <c r="H373" s="267"/>
      <c r="I373" s="276">
        <v>41.991</v>
      </c>
    </row>
    <row r="374" spans="1:9" ht="90" x14ac:dyDescent="0.3">
      <c r="A374" s="274" t="s">
        <v>1373</v>
      </c>
      <c r="B374" s="261" t="s">
        <v>1367</v>
      </c>
      <c r="C374" s="262" t="s">
        <v>1368</v>
      </c>
      <c r="D374" s="263"/>
      <c r="E374" s="263" t="s">
        <v>1374</v>
      </c>
      <c r="F374" s="263" t="s">
        <v>571</v>
      </c>
      <c r="G374" s="264">
        <v>1</v>
      </c>
      <c r="H374" s="264"/>
      <c r="I374" s="275">
        <v>305.22000000000003</v>
      </c>
    </row>
    <row r="375" spans="1:9" ht="18" x14ac:dyDescent="0.3">
      <c r="A375" s="274" t="s">
        <v>1375</v>
      </c>
      <c r="B375" s="261"/>
      <c r="C375" s="265" t="s">
        <v>926</v>
      </c>
      <c r="D375" s="263"/>
      <c r="E375" s="263"/>
      <c r="F375" s="266" t="s">
        <v>921</v>
      </c>
      <c r="G375" s="267">
        <v>0.15</v>
      </c>
      <c r="H375" s="267"/>
      <c r="I375" s="276">
        <v>45.783000000000001</v>
      </c>
    </row>
    <row r="376" spans="1:9" ht="36" x14ac:dyDescent="0.3">
      <c r="A376" s="274" t="s">
        <v>1376</v>
      </c>
      <c r="B376" s="261"/>
      <c r="C376" s="268" t="s">
        <v>942</v>
      </c>
      <c r="D376" s="263"/>
      <c r="E376" s="263" t="s">
        <v>980</v>
      </c>
      <c r="F376" s="266" t="s">
        <v>921</v>
      </c>
      <c r="G376" s="267">
        <v>4.5</v>
      </c>
      <c r="H376" s="267"/>
      <c r="I376" s="276">
        <v>1373.49</v>
      </c>
    </row>
    <row r="377" spans="1:9" ht="108" customHeight="1" x14ac:dyDescent="0.3">
      <c r="A377" s="274" t="s">
        <v>1377</v>
      </c>
      <c r="B377" s="261" t="s">
        <v>1367</v>
      </c>
      <c r="C377" s="262" t="s">
        <v>1368</v>
      </c>
      <c r="D377" s="263"/>
      <c r="E377" s="263" t="s">
        <v>1378</v>
      </c>
      <c r="F377" s="263" t="s">
        <v>571</v>
      </c>
      <c r="G377" s="264">
        <v>1</v>
      </c>
      <c r="H377" s="264"/>
      <c r="I377" s="275">
        <v>895.56100000000004</v>
      </c>
    </row>
    <row r="378" spans="1:9" ht="18" x14ac:dyDescent="0.3">
      <c r="A378" s="274" t="s">
        <v>1379</v>
      </c>
      <c r="B378" s="261"/>
      <c r="C378" s="265" t="s">
        <v>1380</v>
      </c>
      <c r="D378" s="263"/>
      <c r="E378" s="263"/>
      <c r="F378" s="266" t="s">
        <v>925</v>
      </c>
      <c r="G378" s="267">
        <v>0.3</v>
      </c>
      <c r="H378" s="269"/>
      <c r="I378" s="277">
        <v>591.07000000000005</v>
      </c>
    </row>
    <row r="379" spans="1:9" ht="115.05" customHeight="1" x14ac:dyDescent="0.3">
      <c r="A379" s="274" t="s">
        <v>1381</v>
      </c>
      <c r="B379" s="261" t="s">
        <v>1367</v>
      </c>
      <c r="C379" s="262" t="s">
        <v>1368</v>
      </c>
      <c r="D379" s="263"/>
      <c r="E379" s="263" t="s">
        <v>1382</v>
      </c>
      <c r="F379" s="263" t="s">
        <v>571</v>
      </c>
      <c r="G379" s="264">
        <v>1</v>
      </c>
      <c r="H379" s="264"/>
      <c r="I379" s="275">
        <v>789.13300000000004</v>
      </c>
    </row>
    <row r="380" spans="1:9" ht="18" x14ac:dyDescent="0.3">
      <c r="A380" s="274" t="s">
        <v>1383</v>
      </c>
      <c r="B380" s="261"/>
      <c r="C380" s="265" t="s">
        <v>1380</v>
      </c>
      <c r="D380" s="263"/>
      <c r="E380" s="263"/>
      <c r="F380" s="266" t="s">
        <v>925</v>
      </c>
      <c r="G380" s="267">
        <v>0.3</v>
      </c>
      <c r="H380" s="269"/>
      <c r="I380" s="277">
        <v>1302.069</v>
      </c>
    </row>
    <row r="381" spans="1:9" ht="18" x14ac:dyDescent="0.3">
      <c r="A381" s="274" t="s">
        <v>1384</v>
      </c>
      <c r="B381" s="261" t="s">
        <v>1385</v>
      </c>
      <c r="C381" s="262" t="s">
        <v>1386</v>
      </c>
      <c r="D381" s="263"/>
      <c r="E381" s="263"/>
      <c r="F381" s="263" t="s">
        <v>571</v>
      </c>
      <c r="G381" s="264">
        <v>1</v>
      </c>
      <c r="H381" s="264"/>
      <c r="I381" s="275">
        <v>0</v>
      </c>
    </row>
    <row r="382" spans="1:9" ht="18" x14ac:dyDescent="0.3">
      <c r="A382" s="274" t="s">
        <v>1387</v>
      </c>
      <c r="B382" s="261"/>
      <c r="C382" s="265" t="s">
        <v>1388</v>
      </c>
      <c r="D382" s="263"/>
      <c r="E382" s="263"/>
      <c r="F382" s="266" t="s">
        <v>925</v>
      </c>
      <c r="G382" s="267">
        <v>1</v>
      </c>
      <c r="H382" s="269"/>
      <c r="I382" s="277">
        <v>0</v>
      </c>
    </row>
    <row r="383" spans="1:9" ht="18" x14ac:dyDescent="0.3">
      <c r="A383" s="274" t="s">
        <v>1389</v>
      </c>
      <c r="B383" s="261"/>
      <c r="C383" s="265" t="s">
        <v>1390</v>
      </c>
      <c r="D383" s="263"/>
      <c r="E383" s="263"/>
      <c r="F383" s="266" t="s">
        <v>867</v>
      </c>
      <c r="G383" s="267">
        <v>1</v>
      </c>
      <c r="H383" s="269"/>
      <c r="I383" s="277">
        <v>0</v>
      </c>
    </row>
    <row r="384" spans="1:9" ht="18" x14ac:dyDescent="0.3">
      <c r="A384" s="274" t="s">
        <v>1391</v>
      </c>
      <c r="B384" s="261"/>
      <c r="C384" s="265" t="s">
        <v>899</v>
      </c>
      <c r="D384" s="263"/>
      <c r="E384" s="263"/>
      <c r="F384" s="266" t="s">
        <v>867</v>
      </c>
      <c r="G384" s="267">
        <v>1</v>
      </c>
      <c r="H384" s="269"/>
      <c r="I384" s="277">
        <v>0</v>
      </c>
    </row>
    <row r="385" spans="1:9" ht="18" x14ac:dyDescent="0.3">
      <c r="A385" s="274" t="s">
        <v>1392</v>
      </c>
      <c r="B385" s="261"/>
      <c r="C385" s="265" t="s">
        <v>1393</v>
      </c>
      <c r="D385" s="263"/>
      <c r="E385" s="263"/>
      <c r="F385" s="266" t="s">
        <v>571</v>
      </c>
      <c r="G385" s="267">
        <v>1.1000000000000001</v>
      </c>
      <c r="H385" s="269"/>
      <c r="I385" s="277">
        <v>0</v>
      </c>
    </row>
    <row r="386" spans="1:9" ht="18" x14ac:dyDescent="0.3">
      <c r="A386" s="274" t="s">
        <v>1394</v>
      </c>
      <c r="B386" s="261" t="s">
        <v>1385</v>
      </c>
      <c r="C386" s="262" t="s">
        <v>1386</v>
      </c>
      <c r="D386" s="263"/>
      <c r="E386" s="263"/>
      <c r="F386" s="263" t="s">
        <v>571</v>
      </c>
      <c r="G386" s="264">
        <v>1</v>
      </c>
      <c r="H386" s="264"/>
      <c r="I386" s="275">
        <v>0</v>
      </c>
    </row>
    <row r="387" spans="1:9" ht="18" x14ac:dyDescent="0.3">
      <c r="A387" s="274" t="s">
        <v>1395</v>
      </c>
      <c r="B387" s="261"/>
      <c r="C387" s="268" t="s">
        <v>905</v>
      </c>
      <c r="D387" s="263"/>
      <c r="E387" s="263"/>
      <c r="F387" s="266" t="s">
        <v>571</v>
      </c>
      <c r="G387" s="267">
        <v>1.1000000000000001</v>
      </c>
      <c r="H387" s="269"/>
      <c r="I387" s="277">
        <v>0</v>
      </c>
    </row>
    <row r="388" spans="1:9" ht="18" x14ac:dyDescent="0.3">
      <c r="A388" s="274" t="s">
        <v>1396</v>
      </c>
      <c r="B388" s="261"/>
      <c r="C388" s="265" t="s">
        <v>1390</v>
      </c>
      <c r="D388" s="263"/>
      <c r="E388" s="263"/>
      <c r="F388" s="266" t="s">
        <v>867</v>
      </c>
      <c r="G388" s="267">
        <v>1</v>
      </c>
      <c r="H388" s="269"/>
      <c r="I388" s="277">
        <v>0</v>
      </c>
    </row>
    <row r="389" spans="1:9" ht="18" x14ac:dyDescent="0.3">
      <c r="A389" s="274" t="s">
        <v>1397</v>
      </c>
      <c r="B389" s="261"/>
      <c r="C389" s="265" t="s">
        <v>899</v>
      </c>
      <c r="D389" s="263"/>
      <c r="E389" s="263"/>
      <c r="F389" s="266" t="s">
        <v>867</v>
      </c>
      <c r="G389" s="267">
        <v>1</v>
      </c>
      <c r="H389" s="269"/>
      <c r="I389" s="277">
        <v>0</v>
      </c>
    </row>
    <row r="390" spans="1:9" ht="18" x14ac:dyDescent="0.3">
      <c r="A390" s="274" t="s">
        <v>1398</v>
      </c>
      <c r="B390" s="261"/>
      <c r="C390" s="265" t="s">
        <v>1388</v>
      </c>
      <c r="D390" s="263"/>
      <c r="E390" s="263"/>
      <c r="F390" s="266" t="s">
        <v>925</v>
      </c>
      <c r="G390" s="267">
        <v>1</v>
      </c>
      <c r="H390" s="269"/>
      <c r="I390" s="277">
        <v>0</v>
      </c>
    </row>
    <row r="391" spans="1:9" ht="90" x14ac:dyDescent="0.3">
      <c r="A391" s="274" t="s">
        <v>1399</v>
      </c>
      <c r="B391" s="261" t="s">
        <v>1385</v>
      </c>
      <c r="C391" s="262" t="s">
        <v>1386</v>
      </c>
      <c r="D391" s="263"/>
      <c r="E391" s="263" t="s">
        <v>1400</v>
      </c>
      <c r="F391" s="263" t="s">
        <v>571</v>
      </c>
      <c r="G391" s="264">
        <v>1</v>
      </c>
      <c r="H391" s="264"/>
      <c r="I391" s="275">
        <v>118.4</v>
      </c>
    </row>
    <row r="392" spans="1:9" ht="18" x14ac:dyDescent="0.3">
      <c r="A392" s="274" t="s">
        <v>1401</v>
      </c>
      <c r="B392" s="261"/>
      <c r="C392" s="265" t="s">
        <v>1388</v>
      </c>
      <c r="D392" s="263"/>
      <c r="E392" s="263"/>
      <c r="F392" s="266" t="s">
        <v>925</v>
      </c>
      <c r="G392" s="267">
        <v>1</v>
      </c>
      <c r="H392" s="269"/>
      <c r="I392" s="277">
        <v>123</v>
      </c>
    </row>
    <row r="393" spans="1:9" ht="18" x14ac:dyDescent="0.3">
      <c r="A393" s="274" t="s">
        <v>1402</v>
      </c>
      <c r="B393" s="261"/>
      <c r="C393" s="265" t="s">
        <v>1390</v>
      </c>
      <c r="D393" s="263"/>
      <c r="E393" s="263"/>
      <c r="F393" s="266" t="s">
        <v>867</v>
      </c>
      <c r="G393" s="267">
        <v>1</v>
      </c>
      <c r="H393" s="269"/>
      <c r="I393" s="277">
        <v>592</v>
      </c>
    </row>
    <row r="394" spans="1:9" ht="18" x14ac:dyDescent="0.3">
      <c r="A394" s="274" t="s">
        <v>1403</v>
      </c>
      <c r="B394" s="261"/>
      <c r="C394" s="265" t="s">
        <v>899</v>
      </c>
      <c r="D394" s="263"/>
      <c r="E394" s="263"/>
      <c r="F394" s="266" t="s">
        <v>867</v>
      </c>
      <c r="G394" s="267">
        <v>1</v>
      </c>
      <c r="H394" s="269"/>
      <c r="I394" s="277">
        <v>178</v>
      </c>
    </row>
    <row r="395" spans="1:9" ht="18" x14ac:dyDescent="0.3">
      <c r="A395" s="274" t="s">
        <v>1404</v>
      </c>
      <c r="B395" s="261"/>
      <c r="C395" s="265" t="s">
        <v>1393</v>
      </c>
      <c r="D395" s="263"/>
      <c r="E395" s="263"/>
      <c r="F395" s="266" t="s">
        <v>571</v>
      </c>
      <c r="G395" s="267">
        <v>1.1000000000000001</v>
      </c>
      <c r="H395" s="269"/>
      <c r="I395" s="277">
        <v>130.24</v>
      </c>
    </row>
    <row r="396" spans="1:9" ht="100.05" customHeight="1" x14ac:dyDescent="0.3">
      <c r="A396" s="274" t="s">
        <v>1405</v>
      </c>
      <c r="B396" s="261" t="s">
        <v>1385</v>
      </c>
      <c r="C396" s="262" t="s">
        <v>1386</v>
      </c>
      <c r="D396" s="263"/>
      <c r="E396" s="263" t="s">
        <v>1406</v>
      </c>
      <c r="F396" s="263" t="s">
        <v>571</v>
      </c>
      <c r="G396" s="264">
        <v>1</v>
      </c>
      <c r="H396" s="264"/>
      <c r="I396" s="275">
        <v>358.7</v>
      </c>
    </row>
    <row r="397" spans="1:9" ht="18" x14ac:dyDescent="0.3">
      <c r="A397" s="274" t="s">
        <v>1407</v>
      </c>
      <c r="B397" s="261"/>
      <c r="C397" s="268" t="s">
        <v>905</v>
      </c>
      <c r="D397" s="263"/>
      <c r="E397" s="263"/>
      <c r="F397" s="266" t="s">
        <v>571</v>
      </c>
      <c r="G397" s="267">
        <v>1.1000000000000001</v>
      </c>
      <c r="H397" s="269"/>
      <c r="I397" s="277">
        <v>394.57</v>
      </c>
    </row>
    <row r="398" spans="1:9" ht="18" x14ac:dyDescent="0.3">
      <c r="A398" s="274" t="s">
        <v>1408</v>
      </c>
      <c r="B398" s="261"/>
      <c r="C398" s="265" t="s">
        <v>1390</v>
      </c>
      <c r="D398" s="263"/>
      <c r="E398" s="263"/>
      <c r="F398" s="266" t="s">
        <v>867</v>
      </c>
      <c r="G398" s="267">
        <v>1</v>
      </c>
      <c r="H398" s="269"/>
      <c r="I398" s="277">
        <v>1794</v>
      </c>
    </row>
    <row r="399" spans="1:9" ht="18" x14ac:dyDescent="0.3">
      <c r="A399" s="274" t="s">
        <v>1409</v>
      </c>
      <c r="B399" s="261"/>
      <c r="C399" s="265" t="s">
        <v>899</v>
      </c>
      <c r="D399" s="263"/>
      <c r="E399" s="263"/>
      <c r="F399" s="266" t="s">
        <v>867</v>
      </c>
      <c r="G399" s="267">
        <v>1</v>
      </c>
      <c r="H399" s="269"/>
      <c r="I399" s="277">
        <v>539</v>
      </c>
    </row>
    <row r="400" spans="1:9" ht="18" x14ac:dyDescent="0.3">
      <c r="A400" s="280" t="s">
        <v>1410</v>
      </c>
      <c r="B400" s="281"/>
      <c r="C400" s="282" t="s">
        <v>1388</v>
      </c>
      <c r="D400" s="283"/>
      <c r="E400" s="283"/>
      <c r="F400" s="284" t="s">
        <v>925</v>
      </c>
      <c r="G400" s="285">
        <v>1</v>
      </c>
      <c r="H400" s="286"/>
      <c r="I400" s="287">
        <v>374</v>
      </c>
    </row>
  </sheetData>
  <mergeCells count="3">
    <mergeCell ref="A2:I2"/>
    <mergeCell ref="A3:I3"/>
    <mergeCell ref="A4:I4"/>
  </mergeCells>
  <pageMargins left="0.7" right="0.7" top="0.75" bottom="0.75" header="0.3" footer="0.3"/>
  <pageSetup paperSize="9" scale="30" orientation="portrait" horizontalDpi="0" verticalDpi="0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C6:G16"/>
  <sheetViews>
    <sheetView workbookViewId="0"/>
  </sheetViews>
  <sheetFormatPr defaultRowHeight="13.2" x14ac:dyDescent="0.25"/>
  <sheetData>
    <row r="6" spans="3:7" x14ac:dyDescent="0.25">
      <c r="D6" t="s">
        <v>798</v>
      </c>
      <c r="E6" t="s">
        <v>799</v>
      </c>
      <c r="F6" t="s">
        <v>800</v>
      </c>
    </row>
    <row r="7" spans="3:7" x14ac:dyDescent="0.25">
      <c r="C7" t="s">
        <v>792</v>
      </c>
      <c r="D7">
        <v>75.3</v>
      </c>
      <c r="E7">
        <v>12</v>
      </c>
      <c r="F7">
        <v>4.3</v>
      </c>
    </row>
    <row r="9" spans="3:7" x14ac:dyDescent="0.25">
      <c r="C9" t="s">
        <v>793</v>
      </c>
      <c r="D9">
        <v>198.6</v>
      </c>
      <c r="E9">
        <v>27.1</v>
      </c>
      <c r="F9">
        <v>0</v>
      </c>
      <c r="G9">
        <f>SUM(D9:F9)</f>
        <v>225.7</v>
      </c>
    </row>
    <row r="10" spans="3:7" x14ac:dyDescent="0.25">
      <c r="C10" t="s">
        <v>794</v>
      </c>
      <c r="D10">
        <v>4.3</v>
      </c>
      <c r="E10">
        <v>0</v>
      </c>
      <c r="F10">
        <v>0</v>
      </c>
      <c r="G10">
        <f t="shared" ref="G10:G16" si="0">SUM(D10:F10)</f>
        <v>4.3</v>
      </c>
    </row>
    <row r="11" spans="3:7" x14ac:dyDescent="0.25">
      <c r="C11" t="s">
        <v>795</v>
      </c>
      <c r="D11">
        <v>203.6</v>
      </c>
      <c r="E11">
        <v>177.4</v>
      </c>
      <c r="F11">
        <v>20.5</v>
      </c>
      <c r="G11">
        <f t="shared" si="0"/>
        <v>401.5</v>
      </c>
    </row>
    <row r="12" spans="3:7" x14ac:dyDescent="0.25">
      <c r="C12" s="288" t="s">
        <v>796</v>
      </c>
      <c r="D12" s="288">
        <v>6.1</v>
      </c>
      <c r="E12" s="288">
        <v>0</v>
      </c>
      <c r="F12" s="288">
        <v>0</v>
      </c>
      <c r="G12" s="288">
        <f t="shared" si="0"/>
        <v>6.1</v>
      </c>
    </row>
    <row r="13" spans="3:7" x14ac:dyDescent="0.25">
      <c r="C13" s="288" t="s">
        <v>797</v>
      </c>
      <c r="D13" s="288">
        <v>12.8</v>
      </c>
      <c r="E13" s="288">
        <v>11.3</v>
      </c>
      <c r="F13" s="288">
        <v>0</v>
      </c>
      <c r="G13" s="288">
        <f t="shared" si="0"/>
        <v>24.1</v>
      </c>
    </row>
    <row r="14" spans="3:7" x14ac:dyDescent="0.25">
      <c r="C14" s="288" t="s">
        <v>801</v>
      </c>
      <c r="D14" s="288">
        <v>0</v>
      </c>
      <c r="E14" s="288">
        <v>0.4</v>
      </c>
      <c r="F14" s="288">
        <v>0</v>
      </c>
      <c r="G14" s="288">
        <f t="shared" si="0"/>
        <v>0.4</v>
      </c>
    </row>
    <row r="15" spans="3:7" x14ac:dyDescent="0.25">
      <c r="C15" t="s">
        <v>802</v>
      </c>
      <c r="D15">
        <v>0</v>
      </c>
      <c r="E15">
        <v>36.700000000000003</v>
      </c>
      <c r="F15">
        <v>0</v>
      </c>
      <c r="G15">
        <f t="shared" si="0"/>
        <v>36.700000000000003</v>
      </c>
    </row>
    <row r="16" spans="3:7" x14ac:dyDescent="0.25">
      <c r="C16" t="s">
        <v>803</v>
      </c>
      <c r="D16">
        <v>0</v>
      </c>
      <c r="E16">
        <v>34.6</v>
      </c>
      <c r="F16">
        <v>0</v>
      </c>
      <c r="G16">
        <f t="shared" si="0"/>
        <v>34.6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76" t="s">
        <v>586</v>
      </c>
      <c r="B1" s="476"/>
      <c r="C1" s="476"/>
      <c r="D1" s="476"/>
      <c r="E1" s="476"/>
      <c r="F1" s="476"/>
      <c r="G1" s="476"/>
      <c r="H1" s="476"/>
    </row>
    <row r="2" spans="1:8" ht="18" customHeight="1" x14ac:dyDescent="0.25">
      <c r="A2" s="289" t="s">
        <v>580</v>
      </c>
      <c r="B2" s="476" t="s">
        <v>789</v>
      </c>
      <c r="C2" s="476"/>
      <c r="D2" s="476"/>
      <c r="E2" s="476"/>
      <c r="F2" s="289" t="s">
        <v>582</v>
      </c>
      <c r="G2" s="255" t="s">
        <v>583</v>
      </c>
      <c r="H2" s="255" t="s">
        <v>584</v>
      </c>
    </row>
    <row r="3" spans="1:8" ht="50.4" customHeight="1" x14ac:dyDescent="0.25">
      <c r="A3" s="289">
        <v>1</v>
      </c>
      <c r="B3" s="483" t="s">
        <v>569</v>
      </c>
      <c r="C3" s="483"/>
      <c r="D3" s="483"/>
      <c r="E3" s="483"/>
      <c r="F3" s="290" t="s">
        <v>1416</v>
      </c>
      <c r="G3" s="253" t="s">
        <v>571</v>
      </c>
      <c r="H3" s="256">
        <f>D22</f>
        <v>1153.1373000000001</v>
      </c>
    </row>
    <row r="4" spans="1:8" ht="19.2" customHeight="1" x14ac:dyDescent="0.25">
      <c r="A4" s="480"/>
      <c r="B4" s="480"/>
      <c r="C4" s="480"/>
      <c r="D4" s="480"/>
      <c r="E4" s="480"/>
      <c r="F4" s="480"/>
      <c r="G4" s="480"/>
      <c r="H4" s="480"/>
    </row>
    <row r="5" spans="1:8" x14ac:dyDescent="0.25">
      <c r="A5" s="253" t="s">
        <v>580</v>
      </c>
      <c r="B5" s="253" t="s">
        <v>1412</v>
      </c>
      <c r="C5" s="253" t="s">
        <v>1413</v>
      </c>
      <c r="D5" s="253" t="s">
        <v>1414</v>
      </c>
      <c r="E5" s="490"/>
      <c r="F5" s="481"/>
      <c r="G5" s="481"/>
      <c r="H5" s="481"/>
    </row>
    <row r="6" spans="1:8" x14ac:dyDescent="0.25">
      <c r="A6" s="253">
        <v>1</v>
      </c>
      <c r="B6" s="303" t="s">
        <v>517</v>
      </c>
      <c r="C6" s="253" t="s">
        <v>571</v>
      </c>
      <c r="D6" s="256">
        <v>110.625</v>
      </c>
      <c r="E6" s="490"/>
      <c r="F6" s="481"/>
      <c r="G6" s="481"/>
      <c r="H6" s="481"/>
    </row>
    <row r="7" spans="1:8" x14ac:dyDescent="0.25">
      <c r="A7" s="253">
        <v>2</v>
      </c>
      <c r="B7" s="303" t="s">
        <v>518</v>
      </c>
      <c r="C7" s="253" t="s">
        <v>571</v>
      </c>
      <c r="D7" s="256">
        <v>50.179500000000004</v>
      </c>
      <c r="E7" s="490"/>
      <c r="F7" s="481"/>
      <c r="G7" s="481"/>
      <c r="H7" s="481"/>
    </row>
    <row r="8" spans="1:8" x14ac:dyDescent="0.25">
      <c r="A8" s="253">
        <v>3</v>
      </c>
      <c r="B8" s="303" t="s">
        <v>519</v>
      </c>
      <c r="C8" s="253" t="s">
        <v>571</v>
      </c>
      <c r="D8" s="256">
        <v>169.3005</v>
      </c>
      <c r="E8" s="490"/>
      <c r="F8" s="481"/>
      <c r="G8" s="481"/>
      <c r="H8" s="481"/>
    </row>
    <row r="9" spans="1:8" x14ac:dyDescent="0.25">
      <c r="A9" s="253">
        <v>4</v>
      </c>
      <c r="B9" s="303" t="s">
        <v>520</v>
      </c>
      <c r="C9" s="253" t="s">
        <v>571</v>
      </c>
      <c r="D9" s="256">
        <v>60.356999999999999</v>
      </c>
      <c r="E9" s="490"/>
      <c r="F9" s="481"/>
      <c r="G9" s="481"/>
      <c r="H9" s="481"/>
    </row>
    <row r="10" spans="1:8" x14ac:dyDescent="0.25">
      <c r="A10" s="253">
        <v>5</v>
      </c>
      <c r="B10" s="303" t="s">
        <v>521</v>
      </c>
      <c r="C10" s="253" t="s">
        <v>571</v>
      </c>
      <c r="D10" s="256">
        <v>50.268000000000001</v>
      </c>
      <c r="E10" s="490"/>
      <c r="F10" s="481"/>
      <c r="G10" s="481"/>
      <c r="H10" s="481"/>
    </row>
    <row r="11" spans="1:8" x14ac:dyDescent="0.25">
      <c r="A11" s="253">
        <v>6</v>
      </c>
      <c r="B11" s="303" t="s">
        <v>522</v>
      </c>
      <c r="C11" s="253" t="s">
        <v>571</v>
      </c>
      <c r="D11" s="256">
        <v>86.375999999999991</v>
      </c>
      <c r="E11" s="490"/>
      <c r="F11" s="481"/>
      <c r="G11" s="481"/>
      <c r="H11" s="481"/>
    </row>
    <row r="12" spans="1:8" x14ac:dyDescent="0.25">
      <c r="A12" s="253">
        <v>7</v>
      </c>
      <c r="B12" s="303" t="s">
        <v>523</v>
      </c>
      <c r="C12" s="253" t="s">
        <v>571</v>
      </c>
      <c r="D12" s="256">
        <v>48.497999999999998</v>
      </c>
      <c r="E12" s="490"/>
      <c r="F12" s="481"/>
      <c r="G12" s="481"/>
      <c r="H12" s="481"/>
    </row>
    <row r="13" spans="1:8" x14ac:dyDescent="0.25">
      <c r="A13" s="253">
        <v>8</v>
      </c>
      <c r="B13" s="303" t="s">
        <v>525</v>
      </c>
      <c r="C13" s="253" t="s">
        <v>571</v>
      </c>
      <c r="D13" s="256">
        <v>48.409500000000001</v>
      </c>
      <c r="E13" s="490"/>
      <c r="F13" s="481"/>
      <c r="G13" s="481"/>
      <c r="H13" s="481"/>
    </row>
    <row r="14" spans="1:8" x14ac:dyDescent="0.25">
      <c r="A14" s="253">
        <v>9</v>
      </c>
      <c r="B14" s="303" t="s">
        <v>526</v>
      </c>
      <c r="C14" s="253" t="s">
        <v>571</v>
      </c>
      <c r="D14" s="256">
        <v>36.816000000000003</v>
      </c>
      <c r="E14" s="490"/>
      <c r="F14" s="481"/>
      <c r="G14" s="481"/>
      <c r="H14" s="481"/>
    </row>
    <row r="15" spans="1:8" x14ac:dyDescent="0.25">
      <c r="A15" s="253">
        <v>10</v>
      </c>
      <c r="B15" s="303" t="s">
        <v>528</v>
      </c>
      <c r="C15" s="253" t="s">
        <v>571</v>
      </c>
      <c r="D15" s="256">
        <v>44.25</v>
      </c>
      <c r="E15" s="490"/>
      <c r="F15" s="481"/>
      <c r="G15" s="481"/>
      <c r="H15" s="481"/>
    </row>
    <row r="16" spans="1:8" x14ac:dyDescent="0.25">
      <c r="A16" s="253">
        <v>11</v>
      </c>
      <c r="B16" s="303" t="s">
        <v>532</v>
      </c>
      <c r="C16" s="253" t="s">
        <v>571</v>
      </c>
      <c r="D16" s="256">
        <v>20.514299999999999</v>
      </c>
      <c r="E16" s="490"/>
      <c r="F16" s="481"/>
      <c r="G16" s="481"/>
      <c r="H16" s="481"/>
    </row>
    <row r="17" spans="1:8" x14ac:dyDescent="0.25">
      <c r="A17" s="253">
        <v>12</v>
      </c>
      <c r="B17" s="303" t="s">
        <v>533</v>
      </c>
      <c r="C17" s="253" t="s">
        <v>571</v>
      </c>
      <c r="D17" s="256">
        <v>39.5595</v>
      </c>
      <c r="E17" s="490"/>
      <c r="F17" s="481"/>
      <c r="G17" s="481"/>
      <c r="H17" s="481"/>
    </row>
    <row r="18" spans="1:8" x14ac:dyDescent="0.25">
      <c r="A18" s="253">
        <v>13</v>
      </c>
      <c r="B18" s="303" t="s">
        <v>534</v>
      </c>
      <c r="C18" s="253" t="s">
        <v>571</v>
      </c>
      <c r="D18" s="256">
        <v>39.471000000000004</v>
      </c>
      <c r="E18" s="490"/>
      <c r="F18" s="481"/>
      <c r="G18" s="481"/>
      <c r="H18" s="481"/>
    </row>
    <row r="19" spans="1:8" x14ac:dyDescent="0.25">
      <c r="A19" s="253">
        <v>14</v>
      </c>
      <c r="B19" s="303" t="s">
        <v>535</v>
      </c>
      <c r="C19" s="253" t="s">
        <v>571</v>
      </c>
      <c r="D19" s="256">
        <v>59.472000000000001</v>
      </c>
      <c r="E19" s="490"/>
      <c r="F19" s="481"/>
      <c r="G19" s="481"/>
      <c r="H19" s="481"/>
    </row>
    <row r="20" spans="1:8" x14ac:dyDescent="0.25">
      <c r="A20" s="253">
        <v>15</v>
      </c>
      <c r="B20" s="303" t="s">
        <v>536</v>
      </c>
      <c r="C20" s="253" t="s">
        <v>571</v>
      </c>
      <c r="D20" s="256">
        <v>175.49550000000002</v>
      </c>
      <c r="E20" s="490"/>
      <c r="F20" s="481"/>
      <c r="G20" s="481"/>
      <c r="H20" s="481"/>
    </row>
    <row r="21" spans="1:8" x14ac:dyDescent="0.25">
      <c r="A21" s="253">
        <v>16</v>
      </c>
      <c r="B21" s="303" t="s">
        <v>560</v>
      </c>
      <c r="C21" s="253" t="s">
        <v>571</v>
      </c>
      <c r="D21" s="256">
        <v>113.5455</v>
      </c>
      <c r="E21" s="490"/>
      <c r="F21" s="481"/>
      <c r="G21" s="481"/>
      <c r="H21" s="481"/>
    </row>
    <row r="22" spans="1:8" x14ac:dyDescent="0.25">
      <c r="A22" s="253"/>
      <c r="B22" s="253" t="s">
        <v>1415</v>
      </c>
      <c r="C22" s="253" t="s">
        <v>571</v>
      </c>
      <c r="D22" s="256">
        <f>SUM(D6:D21)</f>
        <v>1153.1373000000001</v>
      </c>
      <c r="E22" s="490"/>
      <c r="F22" s="481"/>
      <c r="G22" s="481"/>
      <c r="H22" s="481"/>
    </row>
  </sheetData>
  <mergeCells count="5">
    <mergeCell ref="A1:H1"/>
    <mergeCell ref="B2:E2"/>
    <mergeCell ref="B3:E3"/>
    <mergeCell ref="E5:H22"/>
    <mergeCell ref="A4:H4"/>
  </mergeCells>
  <pageMargins left="0.7" right="0.7" top="0.75" bottom="0.75" header="0.3" footer="0.3"/>
  <ignoredErrors>
    <ignoredError sqref="B6:B21" twoDigitTextYear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76" t="s">
        <v>586</v>
      </c>
      <c r="B1" s="476"/>
      <c r="C1" s="476"/>
      <c r="D1" s="476"/>
      <c r="E1" s="476"/>
      <c r="F1" s="476"/>
      <c r="G1" s="476"/>
      <c r="H1" s="476"/>
    </row>
    <row r="2" spans="1:8" ht="18" customHeight="1" x14ac:dyDescent="0.25">
      <c r="A2" s="304" t="s">
        <v>580</v>
      </c>
      <c r="B2" s="476" t="s">
        <v>789</v>
      </c>
      <c r="C2" s="476"/>
      <c r="D2" s="476"/>
      <c r="E2" s="476"/>
      <c r="F2" s="304" t="s">
        <v>582</v>
      </c>
      <c r="G2" s="255" t="s">
        <v>583</v>
      </c>
      <c r="H2" s="255" t="s">
        <v>584</v>
      </c>
    </row>
    <row r="3" spans="1:8" ht="50.4" customHeight="1" x14ac:dyDescent="0.25">
      <c r="A3" s="304">
        <v>1</v>
      </c>
      <c r="B3" s="483" t="s">
        <v>1071</v>
      </c>
      <c r="C3" s="483"/>
      <c r="D3" s="483"/>
      <c r="E3" s="483"/>
      <c r="F3" s="305" t="s">
        <v>1417</v>
      </c>
      <c r="G3" s="253" t="s">
        <v>571</v>
      </c>
      <c r="H3" s="256">
        <f>D9</f>
        <v>1254.2</v>
      </c>
    </row>
    <row r="4" spans="1:8" ht="19.2" customHeight="1" x14ac:dyDescent="0.25">
      <c r="A4" s="480"/>
      <c r="B4" s="480"/>
      <c r="C4" s="480"/>
      <c r="D4" s="480"/>
      <c r="E4" s="480"/>
      <c r="F4" s="480"/>
      <c r="G4" s="480"/>
      <c r="H4" s="480"/>
    </row>
    <row r="5" spans="1:8" x14ac:dyDescent="0.25">
      <c r="A5" s="253" t="s">
        <v>580</v>
      </c>
      <c r="B5" s="253" t="s">
        <v>1419</v>
      </c>
      <c r="C5" s="253" t="s">
        <v>1418</v>
      </c>
      <c r="D5" s="253" t="s">
        <v>1414</v>
      </c>
      <c r="E5" s="490"/>
      <c r="F5" s="481"/>
      <c r="G5" s="481"/>
      <c r="H5" s="481"/>
    </row>
    <row r="6" spans="1:8" x14ac:dyDescent="0.25">
      <c r="A6" s="253">
        <v>1</v>
      </c>
      <c r="B6" s="303" t="s">
        <v>1420</v>
      </c>
      <c r="C6" s="253" t="s">
        <v>571</v>
      </c>
      <c r="D6" s="256">
        <v>659.2</v>
      </c>
      <c r="E6" s="490"/>
      <c r="F6" s="481"/>
      <c r="G6" s="481"/>
      <c r="H6" s="481"/>
    </row>
    <row r="7" spans="1:8" x14ac:dyDescent="0.25">
      <c r="A7" s="253">
        <v>2</v>
      </c>
      <c r="B7" s="303" t="s">
        <v>1421</v>
      </c>
      <c r="C7" s="253" t="s">
        <v>571</v>
      </c>
      <c r="D7" s="256">
        <v>203.4</v>
      </c>
      <c r="E7" s="490"/>
      <c r="F7" s="481"/>
      <c r="G7" s="481"/>
      <c r="H7" s="481"/>
    </row>
    <row r="8" spans="1:8" x14ac:dyDescent="0.25">
      <c r="A8" s="253">
        <v>3</v>
      </c>
      <c r="B8" s="303" t="s">
        <v>1422</v>
      </c>
      <c r="C8" s="253" t="s">
        <v>571</v>
      </c>
      <c r="D8" s="256">
        <v>391.6</v>
      </c>
      <c r="E8" s="490"/>
      <c r="F8" s="481"/>
      <c r="G8" s="481"/>
      <c r="H8" s="481"/>
    </row>
    <row r="9" spans="1:8" x14ac:dyDescent="0.25">
      <c r="A9" s="253"/>
      <c r="B9" s="253" t="s">
        <v>1415</v>
      </c>
      <c r="C9" s="253" t="s">
        <v>571</v>
      </c>
      <c r="D9" s="256">
        <f>SUM(D6:D8)</f>
        <v>1254.2</v>
      </c>
      <c r="E9" s="490"/>
      <c r="F9" s="481"/>
      <c r="G9" s="481"/>
      <c r="H9" s="481"/>
    </row>
  </sheetData>
  <mergeCells count="5">
    <mergeCell ref="A1:H1"/>
    <mergeCell ref="B2:E2"/>
    <mergeCell ref="B3:E3"/>
    <mergeCell ref="A4:H4"/>
    <mergeCell ref="E5:H9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76" t="s">
        <v>586</v>
      </c>
      <c r="B1" s="476"/>
      <c r="C1" s="476"/>
      <c r="D1" s="476"/>
      <c r="E1" s="476"/>
      <c r="F1" s="476"/>
      <c r="G1" s="476"/>
      <c r="H1" s="476"/>
    </row>
    <row r="2" spans="1:8" ht="18" customHeight="1" x14ac:dyDescent="0.25">
      <c r="A2" s="304" t="s">
        <v>580</v>
      </c>
      <c r="B2" s="476" t="s">
        <v>789</v>
      </c>
      <c r="C2" s="476"/>
      <c r="D2" s="476"/>
      <c r="E2" s="476"/>
      <c r="F2" s="304" t="s">
        <v>582</v>
      </c>
      <c r="G2" s="255" t="s">
        <v>583</v>
      </c>
      <c r="H2" s="255" t="s">
        <v>584</v>
      </c>
    </row>
    <row r="3" spans="1:8" ht="50.4" customHeight="1" x14ac:dyDescent="0.25">
      <c r="A3" s="304">
        <v>1</v>
      </c>
      <c r="B3" s="483" t="s">
        <v>1071</v>
      </c>
      <c r="C3" s="483"/>
      <c r="D3" s="483"/>
      <c r="E3" s="483"/>
      <c r="F3" s="305" t="s">
        <v>1423</v>
      </c>
      <c r="G3" s="253" t="s">
        <v>571</v>
      </c>
      <c r="H3" s="256">
        <f>D9</f>
        <v>0</v>
      </c>
    </row>
    <row r="4" spans="1:8" ht="19.2" customHeight="1" x14ac:dyDescent="0.25">
      <c r="A4" s="314"/>
      <c r="B4" s="314"/>
      <c r="C4" s="314"/>
      <c r="D4" s="314"/>
      <c r="E4" s="314"/>
      <c r="F4" s="314"/>
      <c r="G4" s="314"/>
      <c r="H4" s="314"/>
    </row>
    <row r="5" spans="1:8" x14ac:dyDescent="0.25">
      <c r="A5" s="253" t="s">
        <v>580</v>
      </c>
      <c r="B5" s="253" t="s">
        <v>1419</v>
      </c>
      <c r="C5" s="253" t="s">
        <v>1418</v>
      </c>
      <c r="D5" s="253" t="s">
        <v>1414</v>
      </c>
      <c r="E5" s="315"/>
      <c r="F5" s="252"/>
      <c r="G5" s="252"/>
      <c r="H5" s="252">
        <v>276</v>
      </c>
    </row>
    <row r="6" spans="1:8" x14ac:dyDescent="0.25">
      <c r="A6" s="253">
        <v>1</v>
      </c>
      <c r="B6" s="303"/>
      <c r="C6" s="253" t="s">
        <v>571</v>
      </c>
      <c r="D6" s="256"/>
      <c r="E6" s="315"/>
      <c r="F6" s="252">
        <v>202.4</v>
      </c>
      <c r="G6" s="252">
        <v>35.5</v>
      </c>
      <c r="H6" s="252">
        <v>38.700000000000003</v>
      </c>
    </row>
    <row r="7" spans="1:8" x14ac:dyDescent="0.25">
      <c r="A7" s="253">
        <v>2</v>
      </c>
      <c r="B7" s="303"/>
      <c r="C7" s="253" t="s">
        <v>571</v>
      </c>
      <c r="D7" s="256"/>
      <c r="E7" s="315"/>
      <c r="F7" s="252"/>
      <c r="G7" s="252"/>
      <c r="H7" s="252"/>
    </row>
    <row r="8" spans="1:8" x14ac:dyDescent="0.25">
      <c r="A8" s="253">
        <v>3</v>
      </c>
      <c r="B8" s="303"/>
      <c r="C8" s="253" t="s">
        <v>571</v>
      </c>
      <c r="D8" s="256"/>
      <c r="E8" s="315"/>
      <c r="F8" s="252"/>
      <c r="G8" s="252"/>
      <c r="H8" s="252"/>
    </row>
    <row r="9" spans="1:8" x14ac:dyDescent="0.25">
      <c r="A9" s="253"/>
      <c r="B9" s="253" t="s">
        <v>1415</v>
      </c>
      <c r="C9" s="253" t="s">
        <v>571</v>
      </c>
      <c r="D9" s="256">
        <f>SUM(D6:D8)</f>
        <v>0</v>
      </c>
      <c r="E9" s="315"/>
      <c r="F9" s="252"/>
      <c r="G9" s="252"/>
      <c r="H9" s="252"/>
    </row>
  </sheetData>
  <mergeCells count="3">
    <mergeCell ref="A1:H1"/>
    <mergeCell ref="B2:E2"/>
    <mergeCell ref="B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64</vt:i4>
      </vt:variant>
    </vt:vector>
  </HeadingPairs>
  <TitlesOfParts>
    <vt:vector size="64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6.2леса</vt:lpstr>
      <vt:lpstr>3.8Деф</vt:lpstr>
      <vt:lpstr>4.2РВР</vt:lpstr>
      <vt:lpstr>4.1</vt:lpstr>
      <vt:lpstr>3.3ШтРем</vt:lpstr>
      <vt:lpstr>Лист1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1.3.1FK12</vt:lpstr>
      <vt:lpstr>4.1-WD6 5</vt:lpstr>
      <vt:lpstr>1.4.1FK16 и 4 Ост</vt:lpstr>
      <vt:lpstr>1.4-Ст</vt:lpstr>
      <vt:lpstr>2.1-Ст</vt:lpstr>
      <vt:lpstr>2.1п</vt:lpstr>
      <vt:lpstr>2.2-Ст</vt:lpstr>
      <vt:lpstr>2.2п</vt:lpstr>
      <vt:lpstr>2.3-Ст</vt:lpstr>
      <vt:lpstr>2.3п</vt:lpstr>
      <vt:lpstr>3.1-Ст</vt:lpstr>
      <vt:lpstr>3.1п</vt:lpstr>
      <vt:lpstr>3.2-Ст</vt:lpstr>
      <vt:lpstr>3.2п</vt:lpstr>
      <vt:lpstr>3.3п</vt:lpstr>
      <vt:lpstr>1Дм</vt:lpstr>
      <vt:lpstr>3.7-Шп.фин.отк</vt:lpstr>
      <vt:lpstr>3.6-Шп.Баз.отк</vt:lpstr>
      <vt:lpstr>3.5-Шп.фин</vt:lpstr>
      <vt:lpstr>3.4-Шп.Баз</vt:lpstr>
      <vt:lpstr>5.1-Шп.Баз прошл</vt:lpstr>
      <vt:lpstr>КП</vt:lpstr>
      <vt:lpstr>Перегр</vt:lpstr>
      <vt:lpstr>1.5-FK9</vt:lpstr>
      <vt:lpstr>1.6-FK13</vt:lpstr>
      <vt:lpstr>1.7-FK2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2026-06-17T07:30:51Z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