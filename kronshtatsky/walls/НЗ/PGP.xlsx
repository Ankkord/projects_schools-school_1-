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kronshtatsky\walls\НЗ\"/>
    </mc:Choice>
  </mc:AlternateContent>
  <bookViews>
    <workbookView xWindow="0" yWindow="0" windowWidth="23040" windowHeight="10416"/>
  </bookViews>
  <sheets>
    <sheet name="Лист1" sheetId="2" r:id="rId1"/>
    <sheet name="ПГП" sheetId="1" r:id="rId2"/>
    <sheet name="1 эт" sheetId="3" r:id="rId3"/>
    <sheet name="2 эт" sheetId="5" r:id="rId4"/>
    <sheet name="3 эт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3" i="2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3" i="6"/>
  <c r="E19" i="6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3" i="5"/>
  <c r="E20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3" i="3"/>
  <c r="D19" i="6"/>
  <c r="C19" i="6"/>
  <c r="D23" i="5"/>
  <c r="C23" i="5"/>
  <c r="D20" i="3"/>
  <c r="C20" i="3"/>
  <c r="E61" i="2"/>
  <c r="F61" i="2"/>
  <c r="E23" i="5" l="1"/>
  <c r="E3" i="1"/>
  <c r="D61" i="2"/>
</calcChain>
</file>

<file path=xl/sharedStrings.xml><?xml version="1.0" encoding="utf-8"?>
<sst xmlns="http://schemas.openxmlformats.org/spreadsheetml/2006/main" count="321" uniqueCount="81">
  <si>
    <t>Ведомость работ и используемых материалов</t>
  </si>
  <si>
    <t>№ п.п.</t>
  </si>
  <si>
    <t>Наименование затрат</t>
  </si>
  <si>
    <t>Описание</t>
  </si>
  <si>
    <t>Ед. изм.</t>
  </si>
  <si>
    <t>Объем</t>
  </si>
  <si>
    <t>м2</t>
  </si>
  <si>
    <t>Устройство перегородок из ПГП без устройства перемычек, включая проклейку углов примыкания армирующей лентой, толщ. до 115 мм</t>
  </si>
  <si>
    <t>РАСЧЕТ ПО ПГП</t>
  </si>
  <si>
    <t>Разница</t>
  </si>
  <si>
    <t>1.22 Санузел персонала 4,4</t>
  </si>
  <si>
    <t>Кладка из ПГП</t>
  </si>
  <si>
    <t>1.24 Кладовая инвентаря 9,6</t>
  </si>
  <si>
    <t>1.10 Учебный кабинет 1 класс 63,3</t>
  </si>
  <si>
    <t>2.03 Кабинет с рабочим местом для учителей 38,7</t>
  </si>
  <si>
    <t>2.21 Кабинет для индивидуальных занятий, в т.ч с учителем-логопедом 13,7</t>
  </si>
  <si>
    <t>2.14 Санузел для мальчиков 8,1</t>
  </si>
  <si>
    <t>2.13 Душевая для мальчиков 12,3</t>
  </si>
  <si>
    <t>2.11 Раздевальная для мальчиков (МГН) 12,7</t>
  </si>
  <si>
    <t>2.17 Душевая девочек 10,9</t>
  </si>
  <si>
    <t>3.16 Лифтовой холл (зона безопасности) 12,7</t>
  </si>
  <si>
    <t>1.30 Рекреация коридорного типа 89,5</t>
  </si>
  <si>
    <t>1.35 Лестничная клетка №4 (Тип Н2) 29,9</t>
  </si>
  <si>
    <t>2.24 Санузел для девочек 15,0</t>
  </si>
  <si>
    <t>2.35 Лестничная клетка №4 (Тип Н2) 30,1</t>
  </si>
  <si>
    <t>3.19 Коридор 105,8</t>
  </si>
  <si>
    <t>3.06 Учебный кабинет 2-4 класс 64,4</t>
  </si>
  <si>
    <t>3.10 Санузел для девочек 15,1</t>
  </si>
  <si>
    <t>3.21 Лестничная клетка №4 (Тип Н2) 30,1</t>
  </si>
  <si>
    <t>3.12 Многофункциональный информационный библиотечный центр с зонами для индивидуальных и групповых занятий, медиатеки, читательских мест и выдачи книг</t>
  </si>
  <si>
    <t>2.56 Коридор 62,1</t>
  </si>
  <si>
    <t>2.25 Санузел для мальчиков 15,0</t>
  </si>
  <si>
    <t>2.04 Учебный кабинет 2-4 класс 63,3</t>
  </si>
  <si>
    <t>2.08 Коридор 77,7</t>
  </si>
  <si>
    <t>1.11 Учебный кабинет 1 класс 63,4</t>
  </si>
  <si>
    <t>2.49 Музыкальный зал 73,6</t>
  </si>
  <si>
    <t>3.31 Буфет 6,3</t>
  </si>
  <si>
    <t>3.28 Раздевальная комната 21,0</t>
  </si>
  <si>
    <t>3.26 Спальная 56,0</t>
  </si>
  <si>
    <t>3.22 Раздаточная 8,3</t>
  </si>
  <si>
    <t>3.24 Буфет 6,3</t>
  </si>
  <si>
    <t>3.40 Помещение уборочного инвентаря 6,0</t>
  </si>
  <si>
    <t>3.35 Кабинет для развивающих занятий с возможностью зонирования раздвижной трансформируемой перегородкой 73,8</t>
  </si>
  <si>
    <t>3.33 Помещение (open space) для администрации , с рабочими местами для музыкального руководителя , воспитателя 74,5</t>
  </si>
  <si>
    <t>3.42 Коридор 61,4</t>
  </si>
  <si>
    <t>3.32 Туалет (в т.ч. МГН) 28,9</t>
  </si>
  <si>
    <t>3.27 Туалет (в т.ч. МГН) 28,9</t>
  </si>
  <si>
    <t>1.66 Туалет (в т.ч. МГН) 28,9</t>
  </si>
  <si>
    <t>1.21 Помещение для приготовления дезинфицирующих растворов 5,7</t>
  </si>
  <si>
    <t>1.09 Учебный кабинет 1 класс 61,9</t>
  </si>
  <si>
    <t>1.27 Коридор 25,5</t>
  </si>
  <si>
    <t>1.03 Санузел для посетителей 5,5</t>
  </si>
  <si>
    <t>1.37 Умывальная 11,4</t>
  </si>
  <si>
    <t>1.75 Помещение уборочного инвентаря 5,5</t>
  </si>
  <si>
    <t>1.65 Буфет 6,3</t>
  </si>
  <si>
    <t>1.71 Буфет 6,3</t>
  </si>
  <si>
    <t>2.50 Помещение хранения для музыкального зала 6,0</t>
  </si>
  <si>
    <t>2.39 Туалет (в т.ч. МГН) 28,9</t>
  </si>
  <si>
    <t>2.46 Туалет (в т.ч. МГН) 28,9</t>
  </si>
  <si>
    <t>2.47 Многофункциональный физкультурный зал для проведения активных игр и занятий с детьми 71,0</t>
  </si>
  <si>
    <t>2.52 Помещение уборочного инвентаря 5,5</t>
  </si>
  <si>
    <t>2.36 Раздаточная 8,0</t>
  </si>
  <si>
    <t>2.43 Буфет 6,3</t>
  </si>
  <si>
    <t>1.72 Туалет (в т.ч. МГН) 29,2</t>
  </si>
  <si>
    <t>1.06 Санузел для МГН 5,6</t>
  </si>
  <si>
    <t>Помещения</t>
  </si>
  <si>
    <t>Тип</t>
  </si>
  <si>
    <t>Объем.</t>
  </si>
  <si>
    <t>АС влаго</t>
  </si>
  <si>
    <t>ПГП</t>
  </si>
  <si>
    <t>3.12 Многофункциональный информационный библиотечный центр</t>
  </si>
  <si>
    <t>Итог:</t>
  </si>
  <si>
    <t>ВПГП</t>
  </si>
  <si>
    <t>3.06 Учебный кабинет 2-4 класс</t>
  </si>
  <si>
    <t>2.21 Кабинет для индивидуальных занятий, в т.ч с учителем-логопедом</t>
  </si>
  <si>
    <t>2.24 Санузел для девочек</t>
  </si>
  <si>
    <t>2.25 Санузел для мальчиков</t>
  </si>
  <si>
    <t>2.47 Многофункциональный физкультурный зал</t>
  </si>
  <si>
    <t>2.14 Санузел для мальчиков</t>
  </si>
  <si>
    <t>2.13 Душевая для мальчиков</t>
  </si>
  <si>
    <t>1.21 Помещение для приготовления дезинфицирующих растворов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</si>
</sst>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color rgb="FF000000"/>
      <name val="Times New Roman"/>
      <charset val="204"/>
    </font>
    <font>
      <b/>
      <sz val="14"/>
      <color theme="1"/>
      <name val="ГОСТ тип А"/>
      <family val="2"/>
      <charset val="204"/>
    </font>
    <font>
      <sz val="14"/>
      <color theme="1"/>
      <name val="ГОСТ тип А"/>
      <family val="2"/>
      <charset val="204"/>
    </font>
    <font>
      <b/>
      <sz val="14"/>
      <color rgb="FF000000"/>
      <name val="ГОСТ тип А"/>
      <family val="2"/>
      <charset val="204"/>
    </font>
    <font>
      <sz val="14"/>
      <color rgb="FF000000"/>
      <name val="ГОСТ тип А"/>
      <family val="2"/>
      <charset val="204"/>
    </font>
    <font>
      <b/>
      <sz val="14"/>
      <color theme="1"/>
      <name val="ГОСТ тип А"/>
    </font>
    <font>
      <b/>
      <sz val="14"/>
      <name val="ГОСТ тип А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0" fillId="0" borderId="0" xfId="0" applyFill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/>
    <xf numFmtId="0" fontId="2" fillId="3" borderId="0" xfId="0" applyFont="1" applyFill="1" applyBorder="1" applyAlignment="1">
      <alignment vertical="center" wrapText="1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2" fillId="0" borderId="6" xfId="0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10" xfId="0" applyFont="1" applyBorder="1" applyAlignment="1">
      <alignment wrapText="1"/>
    </xf>
    <xf numFmtId="0" fontId="5" fillId="0" borderId="10" xfId="0" applyFont="1" applyBorder="1" applyAlignment="1"/>
    <xf numFmtId="0" fontId="1" fillId="0" borderId="11" xfId="0" applyFont="1" applyBorder="1" applyAlignment="1"/>
    <xf numFmtId="0" fontId="1" fillId="0" borderId="1" xfId="0" applyFont="1" applyBorder="1" applyAlignment="1">
      <alignment horizontal="right" vertical="center" wrapText="1"/>
    </xf>
    <xf numFmtId="0" fontId="3" fillId="0" borderId="5" xfId="0" applyFont="1" applyBorder="1"/>
    <xf numFmtId="0" fontId="1" fillId="2" borderId="1" xfId="0" applyFont="1" applyFill="1" applyBorder="1" applyAlignment="1">
      <alignment horizontal="right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right" vertical="center" wrapText="1"/>
    </xf>
    <xf numFmtId="0" fontId="3" fillId="0" borderId="13" xfId="0" applyFont="1" applyBorder="1" applyAlignment="1"/>
    <xf numFmtId="0" fontId="3" fillId="0" borderId="13" xfId="0" applyFont="1" applyBorder="1"/>
    <xf numFmtId="0" fontId="3" fillId="0" borderId="14" xfId="0" applyFont="1" applyBorder="1"/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35">
    <dxf>
      <font>
        <strike val="0"/>
        <outline val="0"/>
        <shadow val="0"/>
        <u val="none"/>
        <vertAlign val="baseline"/>
        <sz val="14"/>
        <name val="ГОСТ тип А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</border>
    </dxf>
    <dxf>
      <font>
        <strike val="0"/>
        <outline val="0"/>
        <shadow val="0"/>
        <u val="none"/>
        <vertAlign val="baseline"/>
        <sz val="14"/>
        <name val="ГОСТ тип А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ГОСТ тип А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</border>
    </dxf>
    <dxf>
      <font>
        <strike val="0"/>
        <outline val="0"/>
        <shadow val="0"/>
        <u val="none"/>
        <vertAlign val="baseline"/>
        <sz val="14"/>
        <name val="ГОСТ тип А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ГОСТ тип А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</border>
    </dxf>
    <dxf>
      <font>
        <strike val="0"/>
        <outline val="0"/>
        <shadow val="0"/>
        <u val="none"/>
        <vertAlign val="baseline"/>
        <sz val="14"/>
        <name val="ГОСТ тип А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Таблица1" displayName="Таблица1" ref="A2:G60" totalsRowShown="0" headerRowDxfId="34" headerRowBorderDxfId="33" tableBorderDxfId="32" totalsRowBorderDxfId="31">
  <autoFilter ref="A2:G60"/>
  <sortState ref="A3:F60">
    <sortCondition ref="A2:A60"/>
  </sortState>
  <tableColumns count="7">
    <tableColumn id="1" name="Помещения" dataDxfId="30"/>
    <tableColumn id="2" name="Тип" dataDxfId="29"/>
    <tableColumn id="3" name="Ед. изм." dataDxfId="28"/>
    <tableColumn id="4" name="Объем." dataDxfId="27"/>
    <tableColumn id="7" name="ВПГП" dataDxfId="26"/>
    <tableColumn id="8" name="ПГП" dataDxfId="25"/>
    <tableColumn id="9" name="Разница" dataDxfId="24">
      <calculatedColumnFormula>(Таблица1[[#This Row],[ВПГП]]+Таблица1[[#This Row],[ПГП]])-Таблица1[[#This Row],[Объем.]]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Таблица13" displayName="Таблица13" ref="A2:E19" totalsRowShown="0" headerRowDxfId="23" dataDxfId="22" tableBorderDxfId="21">
  <autoFilter ref="A2:E19"/>
  <sortState ref="A3:F60">
    <sortCondition ref="A2:A60"/>
  </sortState>
  <tableColumns count="5">
    <tableColumn id="1" name="Помещения" dataDxfId="20"/>
    <tableColumn id="3" name="Ед. изм." dataDxfId="19"/>
    <tableColumn id="7" name="ВПГП" dataDxfId="18"/>
    <tableColumn id="8" name="ПГП" dataDxfId="17"/>
    <tableColumn id="9" name="Итог:" dataDxfId="16">
      <calculatedColumnFormula>Таблица13[[#This Row],[ПГП]]+Таблица13[[#This Row],[ВПГП]]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3" name="Таблица134" displayName="Таблица134" ref="A2:E22" totalsRowShown="0" headerRowDxfId="15" dataDxfId="14" tableBorderDxfId="13">
  <autoFilter ref="A2:E22"/>
  <sortState ref="A3:F60">
    <sortCondition ref="A2:A60"/>
  </sortState>
  <tableColumns count="5">
    <tableColumn id="1" name="Помещения" dataDxfId="12"/>
    <tableColumn id="3" name="Ед. изм." dataDxfId="11"/>
    <tableColumn id="7" name="АС влаго" dataDxfId="10"/>
    <tableColumn id="8" name="ПГП" dataDxfId="9"/>
    <tableColumn id="9" name="Итог:" dataDxfId="8">
      <calculatedColumnFormula>Таблица134[[#This Row],[ПГП]]+Таблица134[[#This Row],[АС влаго]]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Таблица1345" displayName="Таблица1345" ref="A2:E18" totalsRowShown="0" headerRowDxfId="7" dataDxfId="6" tableBorderDxfId="5">
  <autoFilter ref="A2:E18"/>
  <sortState ref="A3:F60">
    <sortCondition ref="A2:A60"/>
  </sortState>
  <tableColumns count="5">
    <tableColumn id="1" name="Помещения" dataDxfId="4"/>
    <tableColumn id="3" name="Ед. изм." dataDxfId="3"/>
    <tableColumn id="7" name="АС влаго" dataDxfId="2"/>
    <tableColumn id="8" name="ПГП" dataDxfId="1"/>
    <tableColumn id="9" name="Итог:" dataDxfId="0">
      <calculatedColumnFormula>Таблица1345[[#This Row],[ПГП]]+Таблица1345[[#This Row],[АС влаго]]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61"/>
  <sheetViews>
    <sheetView tabSelected="1" zoomScale="70" zoomScaleNormal="70" workbookViewId="0">
      <selection activeCell="I8" sqref="I8"/>
    </sheetView>
  </sheetViews>
  <sheetFormatPr defaultRowHeight="18" x14ac:dyDescent="0.35"/>
  <cols>
    <col min="1" max="1" width="30.5546875" style="9" customWidth="1"/>
    <col min="2" max="2" width="14.77734375" style="9" customWidth="1"/>
    <col min="3" max="3" width="11.44140625" style="13" customWidth="1"/>
    <col min="4" max="4" width="10.33203125" style="13" customWidth="1"/>
    <col min="5" max="16384" width="8.88671875" style="13"/>
  </cols>
  <sheetData>
    <row r="1" spans="1:7" x14ac:dyDescent="0.35">
      <c r="A1" s="18" t="s">
        <v>8</v>
      </c>
      <c r="B1" s="19"/>
      <c r="C1" s="19"/>
      <c r="D1" s="20"/>
    </row>
    <row r="2" spans="1:7" ht="34.799999999999997" customHeight="1" x14ac:dyDescent="0.35">
      <c r="A2" s="31" t="s">
        <v>65</v>
      </c>
      <c r="B2" s="32" t="s">
        <v>66</v>
      </c>
      <c r="C2" s="32" t="s">
        <v>4</v>
      </c>
      <c r="D2" s="32" t="s">
        <v>67</v>
      </c>
      <c r="E2" s="33" t="s">
        <v>72</v>
      </c>
      <c r="F2" s="34" t="s">
        <v>69</v>
      </c>
      <c r="G2" s="35" t="s">
        <v>9</v>
      </c>
    </row>
    <row r="3" spans="1:7" ht="36" x14ac:dyDescent="0.35">
      <c r="A3" s="21" t="s">
        <v>51</v>
      </c>
      <c r="B3" s="10" t="s">
        <v>11</v>
      </c>
      <c r="C3" s="14" t="s">
        <v>6</v>
      </c>
      <c r="D3" s="36">
        <v>6.6</v>
      </c>
      <c r="E3" s="16">
        <v>41.32</v>
      </c>
      <c r="F3" s="15"/>
      <c r="G3" s="37">
        <f>(Таблица1[[#This Row],[ВПГП]]+Таблица1[[#This Row],[ПГП]])-Таблица1[[#This Row],[Объем.]]</f>
        <v>34.72</v>
      </c>
    </row>
    <row r="4" spans="1:7" x14ac:dyDescent="0.35">
      <c r="A4" s="22" t="s">
        <v>64</v>
      </c>
      <c r="B4" s="11" t="s">
        <v>11</v>
      </c>
      <c r="C4" s="17" t="s">
        <v>6</v>
      </c>
      <c r="D4" s="38">
        <v>4.7</v>
      </c>
      <c r="E4" s="16">
        <v>24.56</v>
      </c>
      <c r="F4" s="15"/>
      <c r="G4" s="37">
        <f>(Таблица1[[#This Row],[ВПГП]]+Таблица1[[#This Row],[ПГП]])-Таблица1[[#This Row],[Объем.]]</f>
        <v>19.86</v>
      </c>
    </row>
    <row r="5" spans="1:7" ht="36" x14ac:dyDescent="0.35">
      <c r="A5" s="21" t="s">
        <v>49</v>
      </c>
      <c r="B5" s="10" t="s">
        <v>11</v>
      </c>
      <c r="C5" s="14" t="s">
        <v>6</v>
      </c>
      <c r="D5" s="36">
        <v>8.6</v>
      </c>
      <c r="E5" s="16">
        <v>11.96</v>
      </c>
      <c r="F5" s="15"/>
      <c r="G5" s="37">
        <f>(Таблица1[[#This Row],[ВПГП]]+Таблица1[[#This Row],[ПГП]])-Таблица1[[#This Row],[Объем.]]</f>
        <v>3.3600000000000012</v>
      </c>
    </row>
    <row r="6" spans="1:7" ht="36" x14ac:dyDescent="0.35">
      <c r="A6" s="21" t="s">
        <v>13</v>
      </c>
      <c r="B6" s="10" t="s">
        <v>11</v>
      </c>
      <c r="C6" s="14" t="s">
        <v>6</v>
      </c>
      <c r="D6" s="36">
        <v>6.5</v>
      </c>
      <c r="E6" s="16">
        <v>6.44</v>
      </c>
      <c r="F6" s="15"/>
      <c r="G6" s="37">
        <f>(Таблица1[[#This Row],[ВПГП]]+Таблица1[[#This Row],[ПГП]])-Таблица1[[#This Row],[Объем.]]</f>
        <v>-5.9999999999999609E-2</v>
      </c>
    </row>
    <row r="7" spans="1:7" ht="36" x14ac:dyDescent="0.35">
      <c r="A7" s="21" t="s">
        <v>34</v>
      </c>
      <c r="B7" s="10" t="s">
        <v>11</v>
      </c>
      <c r="C7" s="14" t="s">
        <v>6</v>
      </c>
      <c r="D7" s="36">
        <v>9</v>
      </c>
      <c r="E7" s="16">
        <v>8.24</v>
      </c>
      <c r="F7" s="15"/>
      <c r="G7" s="37">
        <f>(Таблица1[[#This Row],[ВПГП]]+Таблица1[[#This Row],[ПГП]])-Таблица1[[#This Row],[Объем.]]</f>
        <v>-0.75999999999999979</v>
      </c>
    </row>
    <row r="8" spans="1:7" ht="72" x14ac:dyDescent="0.35">
      <c r="A8" s="21" t="s">
        <v>48</v>
      </c>
      <c r="B8" s="10" t="s">
        <v>11</v>
      </c>
      <c r="C8" s="14" t="s">
        <v>6</v>
      </c>
      <c r="D8" s="36">
        <v>15.4</v>
      </c>
      <c r="E8" s="16">
        <v>12.52</v>
      </c>
      <c r="F8" s="15"/>
      <c r="G8" s="37">
        <f>(Таблица1[[#This Row],[ВПГП]]+Таблица1[[#This Row],[ПГП]])-Таблица1[[#This Row],[Объем.]]</f>
        <v>-2.8800000000000008</v>
      </c>
    </row>
    <row r="9" spans="1:7" ht="36" x14ac:dyDescent="0.35">
      <c r="A9" s="21" t="s">
        <v>10</v>
      </c>
      <c r="B9" s="10" t="s">
        <v>11</v>
      </c>
      <c r="C9" s="14" t="s">
        <v>6</v>
      </c>
      <c r="D9" s="36">
        <v>15</v>
      </c>
      <c r="E9" s="16">
        <v>25.8</v>
      </c>
      <c r="F9" s="15"/>
      <c r="G9" s="37">
        <f>(Таблица1[[#This Row],[ВПГП]]+Таблица1[[#This Row],[ПГП]])-Таблица1[[#This Row],[Объем.]]</f>
        <v>10.8</v>
      </c>
    </row>
    <row r="10" spans="1:7" ht="36" x14ac:dyDescent="0.35">
      <c r="A10" s="21" t="s">
        <v>12</v>
      </c>
      <c r="B10" s="10" t="s">
        <v>11</v>
      </c>
      <c r="C10" s="14" t="s">
        <v>6</v>
      </c>
      <c r="D10" s="36">
        <v>4.5</v>
      </c>
      <c r="E10" s="16">
        <v>28</v>
      </c>
      <c r="F10" s="15"/>
      <c r="G10" s="37">
        <f>(Таблица1[[#This Row],[ВПГП]]+Таблица1[[#This Row],[ПГП]])-Таблица1[[#This Row],[Объем.]]</f>
        <v>23.5</v>
      </c>
    </row>
    <row r="11" spans="1:7" ht="36" x14ac:dyDescent="0.35">
      <c r="A11" s="21" t="s">
        <v>50</v>
      </c>
      <c r="B11" s="10" t="s">
        <v>11</v>
      </c>
      <c r="C11" s="14" t="s">
        <v>6</v>
      </c>
      <c r="D11" s="36">
        <v>6.6</v>
      </c>
      <c r="E11" s="16">
        <v>7</v>
      </c>
      <c r="F11" s="15">
        <v>4.3499999999999996</v>
      </c>
      <c r="G11" s="37">
        <f>(Таблица1[[#This Row],[ВПГП]]+Таблица1[[#This Row],[ПГП]])-Таблица1[[#This Row],[Объем.]]</f>
        <v>4.75</v>
      </c>
    </row>
    <row r="12" spans="1:7" ht="36" x14ac:dyDescent="0.35">
      <c r="A12" s="21" t="s">
        <v>21</v>
      </c>
      <c r="B12" s="10" t="s">
        <v>11</v>
      </c>
      <c r="C12" s="14" t="s">
        <v>6</v>
      </c>
      <c r="D12" s="36">
        <v>9.6</v>
      </c>
      <c r="E12" s="15">
        <v>24.76</v>
      </c>
      <c r="F12" s="15"/>
      <c r="G12" s="37">
        <f>(Таблица1[[#This Row],[ВПГП]]+Таблица1[[#This Row],[ПГП]])-Таблица1[[#This Row],[Объем.]]</f>
        <v>15.160000000000002</v>
      </c>
    </row>
    <row r="13" spans="1:7" ht="36" x14ac:dyDescent="0.35">
      <c r="A13" s="21" t="s">
        <v>22</v>
      </c>
      <c r="B13" s="10" t="s">
        <v>11</v>
      </c>
      <c r="C13" s="14" t="s">
        <v>6</v>
      </c>
      <c r="D13" s="36">
        <v>13.5</v>
      </c>
      <c r="E13" s="16"/>
      <c r="F13" s="15">
        <v>13.6</v>
      </c>
      <c r="G13" s="37">
        <f>(Таблица1[[#This Row],[ВПГП]]+Таблица1[[#This Row],[ПГП]])-Таблица1[[#This Row],[Объем.]]</f>
        <v>9.9999999999999645E-2</v>
      </c>
    </row>
    <row r="14" spans="1:7" ht="36" x14ac:dyDescent="0.35">
      <c r="A14" s="21" t="s">
        <v>52</v>
      </c>
      <c r="B14" s="10" t="s">
        <v>11</v>
      </c>
      <c r="C14" s="14" t="s">
        <v>6</v>
      </c>
      <c r="D14" s="36">
        <v>20.5</v>
      </c>
      <c r="E14" s="16">
        <v>42.36</v>
      </c>
      <c r="F14" s="15"/>
      <c r="G14" s="37">
        <f>(Таблица1[[#This Row],[ВПГП]]+Таблица1[[#This Row],[ПГП]])-Таблица1[[#This Row],[Объем.]]</f>
        <v>21.86</v>
      </c>
    </row>
    <row r="15" spans="1:7" ht="36" x14ac:dyDescent="0.35">
      <c r="A15" s="21" t="s">
        <v>54</v>
      </c>
      <c r="B15" s="10" t="s">
        <v>11</v>
      </c>
      <c r="C15" s="14" t="s">
        <v>6</v>
      </c>
      <c r="D15" s="36">
        <v>14.5</v>
      </c>
      <c r="E15" s="16"/>
      <c r="F15" s="15">
        <v>17.84</v>
      </c>
      <c r="G15" s="37">
        <f>(Таблица1[[#This Row],[ВПГП]]+Таблица1[[#This Row],[ПГП]])-Таблица1[[#This Row],[Объем.]]</f>
        <v>3.34</v>
      </c>
    </row>
    <row r="16" spans="1:7" ht="36" x14ac:dyDescent="0.35">
      <c r="A16" s="21" t="s">
        <v>47</v>
      </c>
      <c r="B16" s="10" t="s">
        <v>11</v>
      </c>
      <c r="C16" s="14" t="s">
        <v>6</v>
      </c>
      <c r="D16" s="36">
        <v>7</v>
      </c>
      <c r="E16" s="16">
        <v>94.68</v>
      </c>
      <c r="F16" s="15"/>
      <c r="G16" s="37">
        <f>(Таблица1[[#This Row],[ВПГП]]+Таблица1[[#This Row],[ПГП]])-Таблица1[[#This Row],[Объем.]]</f>
        <v>87.68</v>
      </c>
    </row>
    <row r="17" spans="1:7" ht="36" x14ac:dyDescent="0.35">
      <c r="A17" s="21" t="s">
        <v>55</v>
      </c>
      <c r="B17" s="10" t="s">
        <v>11</v>
      </c>
      <c r="C17" s="14" t="s">
        <v>6</v>
      </c>
      <c r="D17" s="36">
        <v>14.5</v>
      </c>
      <c r="E17" s="16"/>
      <c r="F17" s="15">
        <v>17.440000000000001</v>
      </c>
      <c r="G17" s="37">
        <f>(Таблица1[[#This Row],[ВПГП]]+Таблица1[[#This Row],[ПГП]])-Таблица1[[#This Row],[Объем.]]</f>
        <v>2.9400000000000013</v>
      </c>
    </row>
    <row r="18" spans="1:7" ht="36" x14ac:dyDescent="0.35">
      <c r="A18" s="22" t="s">
        <v>63</v>
      </c>
      <c r="B18" s="11" t="s">
        <v>11</v>
      </c>
      <c r="C18" s="17" t="s">
        <v>6</v>
      </c>
      <c r="D18" s="38">
        <v>78.5</v>
      </c>
      <c r="E18" s="16">
        <v>94.32</v>
      </c>
      <c r="F18" s="15"/>
      <c r="G18" s="37">
        <f>(Таблица1[[#This Row],[ВПГП]]+Таблица1[[#This Row],[ПГП]])-Таблица1[[#This Row],[Объем.]]</f>
        <v>15.819999999999993</v>
      </c>
    </row>
    <row r="19" spans="1:7" ht="36" x14ac:dyDescent="0.35">
      <c r="A19" s="21" t="s">
        <v>53</v>
      </c>
      <c r="B19" s="10" t="s">
        <v>11</v>
      </c>
      <c r="C19" s="14" t="s">
        <v>6</v>
      </c>
      <c r="D19" s="36">
        <v>19</v>
      </c>
      <c r="E19" s="16">
        <v>32.72</v>
      </c>
      <c r="F19" s="15">
        <v>9.8699999999999992</v>
      </c>
      <c r="G19" s="37">
        <f>(Таблица1[[#This Row],[ВПГП]]+Таблица1[[#This Row],[ПГП]])-Таблица1[[#This Row],[Объем.]]</f>
        <v>23.589999999999996</v>
      </c>
    </row>
    <row r="20" spans="1:7" ht="36" x14ac:dyDescent="0.35">
      <c r="A20" s="21" t="s">
        <v>14</v>
      </c>
      <c r="B20" s="10" t="s">
        <v>11</v>
      </c>
      <c r="C20" s="14" t="s">
        <v>6</v>
      </c>
      <c r="D20" s="36">
        <v>16</v>
      </c>
      <c r="E20" s="16">
        <v>23.92</v>
      </c>
      <c r="F20" s="15"/>
      <c r="G20" s="37">
        <f>(Таблица1[[#This Row],[ВПГП]]+Таблица1[[#This Row],[ПГП]])-Таблица1[[#This Row],[Объем.]]</f>
        <v>7.9200000000000017</v>
      </c>
    </row>
    <row r="21" spans="1:7" ht="36" x14ac:dyDescent="0.35">
      <c r="A21" s="21" t="s">
        <v>32</v>
      </c>
      <c r="B21" s="10" t="s">
        <v>11</v>
      </c>
      <c r="C21" s="14" t="s">
        <v>6</v>
      </c>
      <c r="D21" s="36">
        <v>13.5</v>
      </c>
      <c r="E21" s="16">
        <v>8.24</v>
      </c>
      <c r="F21" s="15">
        <v>4.6399999999999997</v>
      </c>
      <c r="G21" s="37">
        <f>(Таблица1[[#This Row],[ВПГП]]+Таблица1[[#This Row],[ПГП]])-Таблица1[[#This Row],[Объем.]]</f>
        <v>-0.62000000000000099</v>
      </c>
    </row>
    <row r="22" spans="1:7" ht="36" x14ac:dyDescent="0.35">
      <c r="A22" s="21" t="s">
        <v>33</v>
      </c>
      <c r="B22" s="10" t="s">
        <v>11</v>
      </c>
      <c r="C22" s="14" t="s">
        <v>6</v>
      </c>
      <c r="D22" s="36">
        <v>5</v>
      </c>
      <c r="E22" s="16">
        <v>14.96</v>
      </c>
      <c r="F22" s="15"/>
      <c r="G22" s="37">
        <f>(Таблица1[[#This Row],[ВПГП]]+Таблица1[[#This Row],[ПГП]])-Таблица1[[#This Row],[Объем.]]</f>
        <v>9.9600000000000009</v>
      </c>
    </row>
    <row r="23" spans="1:7" ht="36" x14ac:dyDescent="0.35">
      <c r="A23" s="21" t="s">
        <v>18</v>
      </c>
      <c r="B23" s="10" t="s">
        <v>11</v>
      </c>
      <c r="C23" s="14" t="s">
        <v>6</v>
      </c>
      <c r="D23" s="36">
        <v>13</v>
      </c>
      <c r="E23" s="16">
        <v>37.64</v>
      </c>
      <c r="F23" s="15"/>
      <c r="G23" s="37">
        <f>(Таблица1[[#This Row],[ВПГП]]+Таблица1[[#This Row],[ПГП]])-Таблица1[[#This Row],[Объем.]]</f>
        <v>24.64</v>
      </c>
    </row>
    <row r="24" spans="1:7" ht="36" x14ac:dyDescent="0.35">
      <c r="A24" s="21" t="s">
        <v>17</v>
      </c>
      <c r="B24" s="10" t="s">
        <v>11</v>
      </c>
      <c r="C24" s="14" t="s">
        <v>6</v>
      </c>
      <c r="D24" s="36">
        <v>28.8</v>
      </c>
      <c r="E24" s="16">
        <v>40.270000000000003</v>
      </c>
      <c r="F24" s="15"/>
      <c r="G24" s="37">
        <f>(Таблица1[[#This Row],[ВПГП]]+Таблица1[[#This Row],[ПГП]])-Таблица1[[#This Row],[Объем.]]</f>
        <v>11.470000000000002</v>
      </c>
    </row>
    <row r="25" spans="1:7" ht="36" x14ac:dyDescent="0.35">
      <c r="A25" s="21" t="s">
        <v>16</v>
      </c>
      <c r="B25" s="10" t="s">
        <v>11</v>
      </c>
      <c r="C25" s="14" t="s">
        <v>6</v>
      </c>
      <c r="D25" s="36">
        <v>34.700000000000003</v>
      </c>
      <c r="E25" s="16">
        <v>47.9</v>
      </c>
      <c r="F25" s="15"/>
      <c r="G25" s="37">
        <f>(Таблица1[[#This Row],[ВПГП]]+Таблица1[[#This Row],[ПГП]])-Таблица1[[#This Row],[Объем.]]</f>
        <v>13.199999999999996</v>
      </c>
    </row>
    <row r="26" spans="1:7" ht="36" x14ac:dyDescent="0.35">
      <c r="A26" s="21" t="s">
        <v>19</v>
      </c>
      <c r="B26" s="10" t="s">
        <v>11</v>
      </c>
      <c r="C26" s="14" t="s">
        <v>6</v>
      </c>
      <c r="D26" s="36">
        <v>21.5</v>
      </c>
      <c r="E26" s="16">
        <v>37.4</v>
      </c>
      <c r="F26" s="15"/>
      <c r="G26" s="37">
        <f>(Таблица1[[#This Row],[ВПГП]]+Таблица1[[#This Row],[ПГП]])-Таблица1[[#This Row],[Объем.]]</f>
        <v>15.899999999999999</v>
      </c>
    </row>
    <row r="27" spans="1:7" ht="72" x14ac:dyDescent="0.35">
      <c r="A27" s="21" t="s">
        <v>15</v>
      </c>
      <c r="B27" s="10" t="s">
        <v>11</v>
      </c>
      <c r="C27" s="14" t="s">
        <v>6</v>
      </c>
      <c r="D27" s="36">
        <v>15</v>
      </c>
      <c r="E27" s="16">
        <v>14.26</v>
      </c>
      <c r="F27" s="15"/>
      <c r="G27" s="37">
        <f>(Таблица1[[#This Row],[ВПГП]]+Таблица1[[#This Row],[ПГП]])-Таблица1[[#This Row],[Объем.]]</f>
        <v>-0.74000000000000021</v>
      </c>
    </row>
    <row r="28" spans="1:7" ht="36" x14ac:dyDescent="0.35">
      <c r="A28" s="21" t="s">
        <v>23</v>
      </c>
      <c r="B28" s="10" t="s">
        <v>11</v>
      </c>
      <c r="C28" s="14" t="s">
        <v>6</v>
      </c>
      <c r="D28" s="36">
        <v>14</v>
      </c>
      <c r="E28" s="16">
        <v>30.56</v>
      </c>
      <c r="F28" s="15"/>
      <c r="G28" s="37">
        <f>(Таблица1[[#This Row],[ВПГП]]+Таблица1[[#This Row],[ПГП]])-Таблица1[[#This Row],[Объем.]]</f>
        <v>16.559999999999999</v>
      </c>
    </row>
    <row r="29" spans="1:7" ht="36" x14ac:dyDescent="0.35">
      <c r="A29" s="21" t="s">
        <v>31</v>
      </c>
      <c r="B29" s="10" t="s">
        <v>11</v>
      </c>
      <c r="C29" s="14" t="s">
        <v>6</v>
      </c>
      <c r="D29" s="36">
        <v>25</v>
      </c>
      <c r="E29" s="16">
        <v>30.56</v>
      </c>
      <c r="F29" s="15"/>
      <c r="G29" s="37">
        <f>(Таблица1[[#This Row],[ВПГП]]+Таблица1[[#This Row],[ПГП]])-Таблица1[[#This Row],[Объем.]]</f>
        <v>5.5599999999999987</v>
      </c>
    </row>
    <row r="30" spans="1:7" ht="36" x14ac:dyDescent="0.35">
      <c r="A30" s="21" t="s">
        <v>31</v>
      </c>
      <c r="B30" s="10" t="s">
        <v>11</v>
      </c>
      <c r="C30" s="14" t="s">
        <v>6</v>
      </c>
      <c r="D30" s="36">
        <v>2.2999999999999998</v>
      </c>
      <c r="E30" s="16">
        <v>0</v>
      </c>
      <c r="F30" s="15"/>
      <c r="G30" s="37">
        <f>(Таблица1[[#This Row],[ВПГП]]+Таблица1[[#This Row],[ПГП]])-Таблица1[[#This Row],[Объем.]]</f>
        <v>-2.2999999999999998</v>
      </c>
    </row>
    <row r="31" spans="1:7" ht="36" x14ac:dyDescent="0.35">
      <c r="A31" s="21" t="s">
        <v>24</v>
      </c>
      <c r="B31" s="10" t="s">
        <v>11</v>
      </c>
      <c r="C31" s="14" t="s">
        <v>6</v>
      </c>
      <c r="D31" s="36">
        <v>13.5</v>
      </c>
      <c r="E31" s="16"/>
      <c r="F31" s="15">
        <v>13.6</v>
      </c>
      <c r="G31" s="37">
        <f>(Таблица1[[#This Row],[ВПГП]]+Таблица1[[#This Row],[ПГП]])-Таблица1[[#This Row],[Объем.]]</f>
        <v>9.9999999999999645E-2</v>
      </c>
    </row>
    <row r="32" spans="1:7" ht="36" x14ac:dyDescent="0.35">
      <c r="A32" s="21" t="s">
        <v>61</v>
      </c>
      <c r="B32" s="10" t="s">
        <v>11</v>
      </c>
      <c r="C32" s="14" t="s">
        <v>6</v>
      </c>
      <c r="D32" s="36">
        <v>9</v>
      </c>
      <c r="E32" s="16">
        <v>12.36</v>
      </c>
      <c r="F32" s="15">
        <v>15.48</v>
      </c>
      <c r="G32" s="37">
        <f>(Таблица1[[#This Row],[ВПГП]]+Таблица1[[#This Row],[ПГП]])-Таблица1[[#This Row],[Объем.]]</f>
        <v>18.84</v>
      </c>
    </row>
    <row r="33" spans="1:7" ht="36" x14ac:dyDescent="0.35">
      <c r="A33" s="21" t="s">
        <v>57</v>
      </c>
      <c r="B33" s="10" t="s">
        <v>11</v>
      </c>
      <c r="C33" s="14" t="s">
        <v>6</v>
      </c>
      <c r="D33" s="36">
        <v>78.5</v>
      </c>
      <c r="E33" s="16">
        <v>94.36</v>
      </c>
      <c r="F33" s="15"/>
      <c r="G33" s="37">
        <f>(Таблица1[[#This Row],[ВПГП]]+Таблица1[[#This Row],[ПГП]])-Таблица1[[#This Row],[Объем.]]</f>
        <v>15.86</v>
      </c>
    </row>
    <row r="34" spans="1:7" ht="36" x14ac:dyDescent="0.35">
      <c r="A34" s="21" t="s">
        <v>57</v>
      </c>
      <c r="B34" s="10" t="s">
        <v>11</v>
      </c>
      <c r="C34" s="14" t="s">
        <v>6</v>
      </c>
      <c r="D34" s="36">
        <v>14</v>
      </c>
      <c r="E34" s="16">
        <v>0</v>
      </c>
      <c r="F34" s="15"/>
      <c r="G34" s="37">
        <f>(Таблица1[[#This Row],[ВПГП]]+Таблица1[[#This Row],[ПГП]])-Таблица1[[#This Row],[Объем.]]</f>
        <v>-14</v>
      </c>
    </row>
    <row r="35" spans="1:7" ht="36" x14ac:dyDescent="0.35">
      <c r="A35" s="21" t="s">
        <v>62</v>
      </c>
      <c r="B35" s="10" t="s">
        <v>11</v>
      </c>
      <c r="C35" s="14" t="s">
        <v>6</v>
      </c>
      <c r="D35" s="36">
        <v>14</v>
      </c>
      <c r="E35" s="16"/>
      <c r="F35" s="15">
        <v>17.440000000000001</v>
      </c>
      <c r="G35" s="37">
        <f>(Таблица1[[#This Row],[ВПГП]]+Таблица1[[#This Row],[ПГП]])-Таблица1[[#This Row],[Объем.]]</f>
        <v>3.4400000000000013</v>
      </c>
    </row>
    <row r="36" spans="1:7" ht="36" x14ac:dyDescent="0.35">
      <c r="A36" s="21" t="s">
        <v>58</v>
      </c>
      <c r="B36" s="10" t="s">
        <v>11</v>
      </c>
      <c r="C36" s="14" t="s">
        <v>6</v>
      </c>
      <c r="D36" s="36">
        <v>78.5</v>
      </c>
      <c r="E36" s="16">
        <v>94.36</v>
      </c>
      <c r="F36" s="15"/>
      <c r="G36" s="37">
        <f>(Таблица1[[#This Row],[ВПГП]]+Таблица1[[#This Row],[ПГП]])-Таблица1[[#This Row],[Объем.]]</f>
        <v>15.86</v>
      </c>
    </row>
    <row r="37" spans="1:7" ht="36" x14ac:dyDescent="0.35">
      <c r="A37" s="22" t="s">
        <v>58</v>
      </c>
      <c r="B37" s="11" t="s">
        <v>11</v>
      </c>
      <c r="C37" s="17" t="s">
        <v>6</v>
      </c>
      <c r="D37" s="38">
        <v>21.5</v>
      </c>
      <c r="E37" s="16">
        <v>0</v>
      </c>
      <c r="F37" s="15"/>
      <c r="G37" s="37">
        <f>(Таблица1[[#This Row],[ВПГП]]+Таблица1[[#This Row],[ПГП]])-Таблица1[[#This Row],[Объем.]]</f>
        <v>-21.5</v>
      </c>
    </row>
    <row r="38" spans="1:7" ht="72" x14ac:dyDescent="0.35">
      <c r="A38" s="21" t="s">
        <v>59</v>
      </c>
      <c r="B38" s="10" t="s">
        <v>11</v>
      </c>
      <c r="C38" s="14" t="s">
        <v>6</v>
      </c>
      <c r="D38" s="36">
        <v>10.5</v>
      </c>
      <c r="E38" s="16">
        <v>8.32</v>
      </c>
      <c r="F38" s="15"/>
      <c r="G38" s="37">
        <f>(Таблица1[[#This Row],[ВПГП]]+Таблица1[[#This Row],[ПГП]])-Таблица1[[#This Row],[Объем.]]</f>
        <v>-2.1799999999999997</v>
      </c>
    </row>
    <row r="39" spans="1:7" ht="36" x14ac:dyDescent="0.35">
      <c r="A39" s="21" t="s">
        <v>35</v>
      </c>
      <c r="B39" s="10" t="s">
        <v>11</v>
      </c>
      <c r="C39" s="14" t="s">
        <v>6</v>
      </c>
      <c r="D39" s="36">
        <v>3.5</v>
      </c>
      <c r="E39" s="16">
        <v>5.12</v>
      </c>
      <c r="F39" s="15"/>
      <c r="G39" s="37">
        <f>(Таблица1[[#This Row],[ВПГП]]+Таблица1[[#This Row],[ПГП]])-Таблица1[[#This Row],[Объем.]]</f>
        <v>1.62</v>
      </c>
    </row>
    <row r="40" spans="1:7" ht="36" x14ac:dyDescent="0.35">
      <c r="A40" s="21" t="s">
        <v>56</v>
      </c>
      <c r="B40" s="10" t="s">
        <v>11</v>
      </c>
      <c r="C40" s="14" t="s">
        <v>6</v>
      </c>
      <c r="D40" s="36">
        <v>13</v>
      </c>
      <c r="E40" s="16">
        <v>13.04</v>
      </c>
      <c r="F40" s="15"/>
      <c r="G40" s="37">
        <f>(Таблица1[[#This Row],[ВПГП]]+Таблица1[[#This Row],[ПГП]])-Таблица1[[#This Row],[Объем.]]</f>
        <v>3.9999999999999147E-2</v>
      </c>
    </row>
    <row r="41" spans="1:7" ht="36" x14ac:dyDescent="0.35">
      <c r="A41" s="21" t="s">
        <v>60</v>
      </c>
      <c r="B41" s="10" t="s">
        <v>11</v>
      </c>
      <c r="C41" s="14" t="s">
        <v>6</v>
      </c>
      <c r="D41" s="36">
        <v>5.8</v>
      </c>
      <c r="E41" s="16">
        <v>20.72</v>
      </c>
      <c r="F41" s="15"/>
      <c r="G41" s="37">
        <f>(Таблица1[[#This Row],[ВПГП]]+Таблица1[[#This Row],[ПГП]])-Таблица1[[#This Row],[Объем.]]</f>
        <v>14.919999999999998</v>
      </c>
    </row>
    <row r="42" spans="1:7" ht="36" x14ac:dyDescent="0.35">
      <c r="A42" s="21" t="s">
        <v>30</v>
      </c>
      <c r="B42" s="10" t="s">
        <v>11</v>
      </c>
      <c r="C42" s="14" t="s">
        <v>6</v>
      </c>
      <c r="D42" s="36">
        <v>4.2</v>
      </c>
      <c r="E42" s="16"/>
      <c r="F42" s="15">
        <v>6.8</v>
      </c>
      <c r="G42" s="37">
        <f>(Таблица1[[#This Row],[ВПГП]]+Таблица1[[#This Row],[ПГП]])-Таблица1[[#This Row],[Объем.]]</f>
        <v>2.5999999999999996</v>
      </c>
    </row>
    <row r="43" spans="1:7" ht="36" x14ac:dyDescent="0.35">
      <c r="A43" s="21" t="s">
        <v>30</v>
      </c>
      <c r="B43" s="10" t="s">
        <v>11</v>
      </c>
      <c r="C43" s="14" t="s">
        <v>6</v>
      </c>
      <c r="D43" s="36">
        <v>6.6</v>
      </c>
      <c r="E43" s="16"/>
      <c r="F43" s="15"/>
      <c r="G43" s="37">
        <f>(Таблица1[[#This Row],[ВПГП]]+Таблица1[[#This Row],[ПГП]])-Таблица1[[#This Row],[Объем.]]</f>
        <v>-6.6</v>
      </c>
    </row>
    <row r="44" spans="1:7" ht="36" x14ac:dyDescent="0.35">
      <c r="A44" s="21" t="s">
        <v>26</v>
      </c>
      <c r="B44" s="10" t="s">
        <v>11</v>
      </c>
      <c r="C44" s="14" t="s">
        <v>6</v>
      </c>
      <c r="D44" s="36">
        <v>8</v>
      </c>
      <c r="E44" s="16">
        <v>11.46</v>
      </c>
      <c r="F44" s="15">
        <v>8.4</v>
      </c>
      <c r="G44" s="37">
        <f>(Таблица1[[#This Row],[ВПГП]]+Таблица1[[#This Row],[ПГП]])-Таблица1[[#This Row],[Объем.]]</f>
        <v>11.86</v>
      </c>
    </row>
    <row r="45" spans="1:7" ht="36" x14ac:dyDescent="0.35">
      <c r="A45" s="21" t="s">
        <v>27</v>
      </c>
      <c r="B45" s="10" t="s">
        <v>11</v>
      </c>
      <c r="C45" s="14" t="s">
        <v>6</v>
      </c>
      <c r="D45" s="36">
        <v>14</v>
      </c>
      <c r="E45" s="16">
        <v>25.76</v>
      </c>
      <c r="F45" s="15"/>
      <c r="G45" s="37">
        <f>(Таблица1[[#This Row],[ВПГП]]+Таблица1[[#This Row],[ПГП]])-Таблица1[[#This Row],[Объем.]]</f>
        <v>11.760000000000002</v>
      </c>
    </row>
    <row r="46" spans="1:7" ht="126" x14ac:dyDescent="0.35">
      <c r="A46" s="21" t="s">
        <v>29</v>
      </c>
      <c r="B46" s="10" t="s">
        <v>11</v>
      </c>
      <c r="C46" s="14" t="s">
        <v>6</v>
      </c>
      <c r="D46" s="36">
        <v>22</v>
      </c>
      <c r="E46" s="16">
        <v>19.079999999999998</v>
      </c>
      <c r="F46" s="15">
        <v>6.36</v>
      </c>
      <c r="G46" s="37">
        <f>(Таблица1[[#This Row],[ВПГП]]+Таблица1[[#This Row],[ПГП]])-Таблица1[[#This Row],[Объем.]]</f>
        <v>3.4399999999999977</v>
      </c>
    </row>
    <row r="47" spans="1:7" ht="36" x14ac:dyDescent="0.35">
      <c r="A47" s="21" t="s">
        <v>20</v>
      </c>
      <c r="B47" s="10" t="s">
        <v>11</v>
      </c>
      <c r="C47" s="14" t="s">
        <v>6</v>
      </c>
      <c r="D47" s="36">
        <v>22.7</v>
      </c>
      <c r="E47" s="16">
        <v>0</v>
      </c>
      <c r="F47" s="15">
        <v>0</v>
      </c>
      <c r="G47" s="37">
        <f>(Таблица1[[#This Row],[ВПГП]]+Таблица1[[#This Row],[ПГП]])-Таблица1[[#This Row],[Объем.]]</f>
        <v>-22.7</v>
      </c>
    </row>
    <row r="48" spans="1:7" ht="36" x14ac:dyDescent="0.35">
      <c r="A48" s="21" t="s">
        <v>25</v>
      </c>
      <c r="B48" s="10" t="s">
        <v>11</v>
      </c>
      <c r="C48" s="14" t="s">
        <v>6</v>
      </c>
      <c r="D48" s="36">
        <v>2.4</v>
      </c>
      <c r="E48" s="16">
        <v>2.4</v>
      </c>
      <c r="F48" s="15"/>
      <c r="G48" s="37">
        <f>(Таблица1[[#This Row],[ВПГП]]+Таблица1[[#This Row],[ПГП]])-Таблица1[[#This Row],[Объем.]]</f>
        <v>0</v>
      </c>
    </row>
    <row r="49" spans="1:7" ht="36" x14ac:dyDescent="0.35">
      <c r="A49" s="21" t="s">
        <v>28</v>
      </c>
      <c r="B49" s="10" t="s">
        <v>11</v>
      </c>
      <c r="C49" s="14" t="s">
        <v>6</v>
      </c>
      <c r="D49" s="36">
        <v>18</v>
      </c>
      <c r="E49" s="16"/>
      <c r="F49" s="15">
        <v>13.6</v>
      </c>
      <c r="G49" s="37">
        <f>(Таблица1[[#This Row],[ВПГП]]+Таблица1[[#This Row],[ПГП]])-Таблица1[[#This Row],[Объем.]]</f>
        <v>-4.4000000000000004</v>
      </c>
    </row>
    <row r="50" spans="1:7" ht="36" x14ac:dyDescent="0.35">
      <c r="A50" s="21" t="s">
        <v>39</v>
      </c>
      <c r="B50" s="10" t="s">
        <v>11</v>
      </c>
      <c r="C50" s="14" t="s">
        <v>6</v>
      </c>
      <c r="D50" s="36">
        <v>9.6999999999999993</v>
      </c>
      <c r="E50" s="16"/>
      <c r="F50" s="15">
        <v>26.05</v>
      </c>
      <c r="G50" s="37">
        <f>(Таблица1[[#This Row],[ВПГП]]+Таблица1[[#This Row],[ПГП]])-Таблица1[[#This Row],[Объем.]]</f>
        <v>16.350000000000001</v>
      </c>
    </row>
    <row r="51" spans="1:7" ht="36" x14ac:dyDescent="0.35">
      <c r="A51" s="21" t="s">
        <v>40</v>
      </c>
      <c r="B51" s="10" t="s">
        <v>11</v>
      </c>
      <c r="C51" s="14" t="s">
        <v>6</v>
      </c>
      <c r="D51" s="36">
        <v>14</v>
      </c>
      <c r="E51" s="16">
        <v>19.04</v>
      </c>
      <c r="F51" s="15"/>
      <c r="G51" s="37">
        <f>(Таблица1[[#This Row],[ВПГП]]+Таблица1[[#This Row],[ПГП]])-Таблица1[[#This Row],[Объем.]]</f>
        <v>5.0399999999999991</v>
      </c>
    </row>
    <row r="52" spans="1:7" ht="36" x14ac:dyDescent="0.35">
      <c r="A52" s="21" t="s">
        <v>38</v>
      </c>
      <c r="B52" s="10" t="s">
        <v>11</v>
      </c>
      <c r="C52" s="14" t="s">
        <v>6</v>
      </c>
      <c r="D52" s="36">
        <v>19.399999999999999</v>
      </c>
      <c r="E52" s="16">
        <v>19.920000000000002</v>
      </c>
      <c r="F52" s="15"/>
      <c r="G52" s="37">
        <f>(Таблица1[[#This Row],[ВПГП]]+Таблица1[[#This Row],[ПГП]])-Таблица1[[#This Row],[Объем.]]</f>
        <v>0.52000000000000313</v>
      </c>
    </row>
    <row r="53" spans="1:7" ht="36" x14ac:dyDescent="0.35">
      <c r="A53" s="21" t="s">
        <v>46</v>
      </c>
      <c r="B53" s="10" t="s">
        <v>11</v>
      </c>
      <c r="C53" s="14" t="s">
        <v>6</v>
      </c>
      <c r="D53" s="36">
        <v>78.5</v>
      </c>
      <c r="E53" s="16">
        <v>86.68</v>
      </c>
      <c r="F53" s="15"/>
      <c r="G53" s="37">
        <f>(Таблица1[[#This Row],[ВПГП]]+Таблица1[[#This Row],[ПГП]])-Таблица1[[#This Row],[Объем.]]</f>
        <v>8.1800000000000068</v>
      </c>
    </row>
    <row r="54" spans="1:7" ht="36" x14ac:dyDescent="0.35">
      <c r="A54" s="21" t="s">
        <v>37</v>
      </c>
      <c r="B54" s="10" t="s">
        <v>11</v>
      </c>
      <c r="C54" s="14" t="s">
        <v>6</v>
      </c>
      <c r="D54" s="36">
        <v>1.7</v>
      </c>
      <c r="E54" s="16"/>
      <c r="F54" s="15">
        <v>31.06</v>
      </c>
      <c r="G54" s="37">
        <f>(Таблица1[[#This Row],[ВПГП]]+Таблица1[[#This Row],[ПГП]])-Таблица1[[#This Row],[Объем.]]</f>
        <v>29.36</v>
      </c>
    </row>
    <row r="55" spans="1:7" ht="36" x14ac:dyDescent="0.35">
      <c r="A55" s="21" t="s">
        <v>36</v>
      </c>
      <c r="B55" s="10" t="s">
        <v>11</v>
      </c>
      <c r="C55" s="14" t="s">
        <v>6</v>
      </c>
      <c r="D55" s="36">
        <v>14</v>
      </c>
      <c r="E55" s="16"/>
      <c r="F55" s="15">
        <v>19.399999999999999</v>
      </c>
      <c r="G55" s="37">
        <f>(Таблица1[[#This Row],[ВПГП]]+Таблица1[[#This Row],[ПГП]])-Таблица1[[#This Row],[Объем.]]</f>
        <v>5.3999999999999986</v>
      </c>
    </row>
    <row r="56" spans="1:7" ht="36" x14ac:dyDescent="0.35">
      <c r="A56" s="21" t="s">
        <v>45</v>
      </c>
      <c r="B56" s="10" t="s">
        <v>11</v>
      </c>
      <c r="C56" s="14" t="s">
        <v>6</v>
      </c>
      <c r="D56" s="36">
        <v>78.5</v>
      </c>
      <c r="E56" s="16">
        <v>86.08</v>
      </c>
      <c r="F56" s="15"/>
      <c r="G56" s="37">
        <f>(Таблица1[[#This Row],[ВПГП]]+Таблица1[[#This Row],[ПГП]])-Таблица1[[#This Row],[Объем.]]</f>
        <v>7.5799999999999983</v>
      </c>
    </row>
    <row r="57" spans="1:7" ht="90" x14ac:dyDescent="0.35">
      <c r="A57" s="21" t="s">
        <v>43</v>
      </c>
      <c r="B57" s="10" t="s">
        <v>11</v>
      </c>
      <c r="C57" s="14" t="s">
        <v>6</v>
      </c>
      <c r="D57" s="36">
        <v>9.3000000000000007</v>
      </c>
      <c r="E57" s="16">
        <v>8.7200000000000006</v>
      </c>
      <c r="F57" s="15"/>
      <c r="G57" s="37">
        <f>(Таблица1[[#This Row],[ВПГП]]+Таблица1[[#This Row],[ПГП]])-Таблица1[[#This Row],[Объем.]]</f>
        <v>-0.58000000000000007</v>
      </c>
    </row>
    <row r="58" spans="1:7" ht="108" x14ac:dyDescent="0.35">
      <c r="A58" s="21" t="s">
        <v>42</v>
      </c>
      <c r="B58" s="10" t="s">
        <v>11</v>
      </c>
      <c r="C58" s="14" t="s">
        <v>6</v>
      </c>
      <c r="D58" s="36">
        <v>2.7</v>
      </c>
      <c r="E58" s="16">
        <v>3.8</v>
      </c>
      <c r="F58" s="15"/>
      <c r="G58" s="37">
        <f>(Таблица1[[#This Row],[ВПГП]]+Таблица1[[#This Row],[ПГП]])-Таблица1[[#This Row],[Объем.]]</f>
        <v>1.0999999999999996</v>
      </c>
    </row>
    <row r="59" spans="1:7" ht="36" x14ac:dyDescent="0.35">
      <c r="A59" s="21" t="s">
        <v>41</v>
      </c>
      <c r="B59" s="10" t="s">
        <v>11</v>
      </c>
      <c r="C59" s="14" t="s">
        <v>6</v>
      </c>
      <c r="D59" s="36">
        <v>1.6</v>
      </c>
      <c r="E59" s="16">
        <v>5.52</v>
      </c>
      <c r="F59" s="15">
        <v>4.12</v>
      </c>
      <c r="G59" s="37">
        <f>(Таблица1[[#This Row],[ВПГП]]+Таблица1[[#This Row],[ПГП]])-Таблица1[[#This Row],[Объем.]]</f>
        <v>8.0400000000000009</v>
      </c>
    </row>
    <row r="60" spans="1:7" ht="36" x14ac:dyDescent="0.35">
      <c r="A60" s="39" t="s">
        <v>44</v>
      </c>
      <c r="B60" s="40" t="s">
        <v>11</v>
      </c>
      <c r="C60" s="41" t="s">
        <v>6</v>
      </c>
      <c r="D60" s="42">
        <v>6.8</v>
      </c>
      <c r="E60" s="43"/>
      <c r="F60" s="44">
        <v>6.78</v>
      </c>
      <c r="G60" s="45">
        <f>(Таблица1[[#This Row],[ВПГП]]+Таблица1[[#This Row],[ПГП]])-Таблица1[[#This Row],[Объем.]]</f>
        <v>-1.9999999999999574E-2</v>
      </c>
    </row>
    <row r="61" spans="1:7" ht="18.600000000000001" thickBot="1" x14ac:dyDescent="0.4">
      <c r="A61" s="12"/>
      <c r="B61" s="12"/>
      <c r="C61" s="29" t="s">
        <v>6</v>
      </c>
      <c r="D61" s="30">
        <f>SUM(D3:D60)</f>
        <v>1038.7</v>
      </c>
      <c r="E61" s="30">
        <f t="shared" ref="E61:G61" si="0">SUM(E3:E60)</f>
        <v>1277.1299999999999</v>
      </c>
      <c r="F61" s="30">
        <f t="shared" si="0"/>
        <v>236.83</v>
      </c>
      <c r="G61" s="30">
        <f t="shared" si="0"/>
        <v>475.2600000000001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zoomScale="70" zoomScaleNormal="70" workbookViewId="0">
      <selection activeCell="B3" sqref="B3"/>
    </sheetView>
  </sheetViews>
  <sheetFormatPr defaultRowHeight="13.2" x14ac:dyDescent="0.25"/>
  <cols>
    <col min="1" max="1" width="8.6640625" style="5" customWidth="1"/>
    <col min="2" max="2" width="37.88671875" style="5" customWidth="1"/>
    <col min="3" max="3" width="26.77734375" style="5" customWidth="1"/>
    <col min="4" max="4" width="11.6640625" style="5" customWidth="1"/>
    <col min="5" max="5" width="9.21875" style="5" customWidth="1"/>
    <col min="6" max="16384" width="8.88671875" style="5"/>
  </cols>
  <sheetData>
    <row r="1" spans="1:5" ht="18" x14ac:dyDescent="0.35">
      <c r="A1" s="1"/>
      <c r="B1" s="2" t="s">
        <v>0</v>
      </c>
      <c r="C1" s="3"/>
      <c r="D1" s="3"/>
      <c r="E1" s="4"/>
    </row>
    <row r="2" spans="1:5" ht="18" x14ac:dyDescent="0.25">
      <c r="A2" s="1" t="s">
        <v>1</v>
      </c>
      <c r="B2" s="6" t="s">
        <v>2</v>
      </c>
      <c r="C2" s="6" t="s">
        <v>3</v>
      </c>
      <c r="D2" s="6" t="s">
        <v>4</v>
      </c>
      <c r="E2" s="3" t="s">
        <v>5</v>
      </c>
    </row>
    <row r="3" spans="1:5" ht="90" x14ac:dyDescent="0.25">
      <c r="A3" s="7">
        <v>1</v>
      </c>
      <c r="B3" s="8" t="s">
        <v>7</v>
      </c>
      <c r="C3" s="8"/>
      <c r="D3" s="8" t="s">
        <v>6</v>
      </c>
      <c r="E3" s="49">
        <f>'1 эт'!E20+'2 эт'!E23+'3 эт'!E19</f>
        <v>1513.96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="70" zoomScaleNormal="70" workbookViewId="0">
      <selection activeCell="C25" sqref="C25"/>
    </sheetView>
  </sheetViews>
  <sheetFormatPr defaultRowHeight="18" x14ac:dyDescent="0.35"/>
  <cols>
    <col min="1" max="1" width="30.5546875" style="24" customWidth="1"/>
    <col min="2" max="2" width="9.6640625" style="13" customWidth="1"/>
    <col min="3" max="16384" width="8.88671875" style="13"/>
  </cols>
  <sheetData>
    <row r="1" spans="1:5" x14ac:dyDescent="0.35">
      <c r="A1" s="28" t="s">
        <v>8</v>
      </c>
      <c r="B1" s="7"/>
      <c r="C1" s="23"/>
      <c r="D1" s="23"/>
      <c r="E1" s="15"/>
    </row>
    <row r="2" spans="1:5" x14ac:dyDescent="0.35">
      <c r="A2" s="2" t="s">
        <v>65</v>
      </c>
      <c r="B2" s="7" t="s">
        <v>4</v>
      </c>
      <c r="C2" s="14" t="s">
        <v>72</v>
      </c>
      <c r="D2" s="7" t="s">
        <v>69</v>
      </c>
      <c r="E2" s="7" t="s">
        <v>71</v>
      </c>
    </row>
    <row r="3" spans="1:5" ht="36" x14ac:dyDescent="0.35">
      <c r="A3" s="25" t="s">
        <v>51</v>
      </c>
      <c r="B3" s="14" t="s">
        <v>6</v>
      </c>
      <c r="C3" s="23">
        <v>41.32</v>
      </c>
      <c r="D3" s="23"/>
      <c r="E3" s="23">
        <f>Таблица13[[#This Row],[ПГП]]+Таблица13[[#This Row],[ВПГП]]</f>
        <v>41.32</v>
      </c>
    </row>
    <row r="4" spans="1:5" x14ac:dyDescent="0.35">
      <c r="A4" s="26" t="s">
        <v>64</v>
      </c>
      <c r="B4" s="27" t="s">
        <v>6</v>
      </c>
      <c r="C4" s="23">
        <v>24.56</v>
      </c>
      <c r="D4" s="23"/>
      <c r="E4" s="23">
        <f>Таблица13[[#This Row],[ПГП]]+Таблица13[[#This Row],[ВПГП]]</f>
        <v>24.56</v>
      </c>
    </row>
    <row r="5" spans="1:5" ht="36" x14ac:dyDescent="0.35">
      <c r="A5" s="25" t="s">
        <v>49</v>
      </c>
      <c r="B5" s="14" t="s">
        <v>6</v>
      </c>
      <c r="C5" s="23">
        <v>11.96</v>
      </c>
      <c r="D5" s="23"/>
      <c r="E5" s="23">
        <f>Таблица13[[#This Row],[ПГП]]+Таблица13[[#This Row],[ВПГП]]</f>
        <v>11.96</v>
      </c>
    </row>
    <row r="6" spans="1:5" ht="36" x14ac:dyDescent="0.35">
      <c r="A6" s="25" t="s">
        <v>13</v>
      </c>
      <c r="B6" s="14" t="s">
        <v>6</v>
      </c>
      <c r="C6" s="23">
        <v>6.44</v>
      </c>
      <c r="D6" s="23"/>
      <c r="E6" s="23">
        <f>Таблица13[[#This Row],[ПГП]]+Таблица13[[#This Row],[ВПГП]]</f>
        <v>6.44</v>
      </c>
    </row>
    <row r="7" spans="1:5" ht="36" x14ac:dyDescent="0.35">
      <c r="A7" s="25" t="s">
        <v>34</v>
      </c>
      <c r="B7" s="14" t="s">
        <v>6</v>
      </c>
      <c r="C7" s="23">
        <v>8.24</v>
      </c>
      <c r="D7" s="23"/>
      <c r="E7" s="23">
        <f>Таблица13[[#This Row],[ПГП]]+Таблица13[[#This Row],[ВПГП]]</f>
        <v>8.24</v>
      </c>
    </row>
    <row r="8" spans="1:5" ht="72" x14ac:dyDescent="0.35">
      <c r="A8" s="25" t="s">
        <v>80</v>
      </c>
      <c r="B8" s="14" t="s">
        <v>6</v>
      </c>
      <c r="C8" s="23">
        <v>12.52</v>
      </c>
      <c r="D8" s="23"/>
      <c r="E8" s="23">
        <f>Таблица13[[#This Row],[ПГП]]+Таблица13[[#This Row],[ВПГП]]</f>
        <v>12.52</v>
      </c>
    </row>
    <row r="9" spans="1:5" x14ac:dyDescent="0.35">
      <c r="A9" s="25" t="s">
        <v>10</v>
      </c>
      <c r="B9" s="14" t="s">
        <v>6</v>
      </c>
      <c r="C9" s="23">
        <v>25.8</v>
      </c>
      <c r="D9" s="23"/>
      <c r="E9" s="23">
        <f>Таблица13[[#This Row],[ПГП]]+Таблица13[[#This Row],[ВПГП]]</f>
        <v>25.8</v>
      </c>
    </row>
    <row r="10" spans="1:5" ht="36" x14ac:dyDescent="0.35">
      <c r="A10" s="25" t="s">
        <v>12</v>
      </c>
      <c r="B10" s="14" t="s">
        <v>6</v>
      </c>
      <c r="C10" s="23">
        <v>28</v>
      </c>
      <c r="D10" s="23"/>
      <c r="E10" s="23">
        <f>Таблица13[[#This Row],[ПГП]]+Таблица13[[#This Row],[ВПГП]]</f>
        <v>28</v>
      </c>
    </row>
    <row r="11" spans="1:5" x14ac:dyDescent="0.35">
      <c r="A11" s="25" t="s">
        <v>50</v>
      </c>
      <c r="B11" s="14" t="s">
        <v>6</v>
      </c>
      <c r="C11" s="23">
        <v>7</v>
      </c>
      <c r="D11" s="23">
        <v>4.3499999999999996</v>
      </c>
      <c r="E11" s="23">
        <f>Таблица13[[#This Row],[ПГП]]+Таблица13[[#This Row],[ВПГП]]</f>
        <v>11.35</v>
      </c>
    </row>
    <row r="12" spans="1:5" ht="36" x14ac:dyDescent="0.35">
      <c r="A12" s="25" t="s">
        <v>21</v>
      </c>
      <c r="B12" s="14" t="s">
        <v>6</v>
      </c>
      <c r="C12" s="23">
        <v>24.76</v>
      </c>
      <c r="D12" s="23"/>
      <c r="E12" s="23">
        <f>Таблица13[[#This Row],[ПГП]]+Таблица13[[#This Row],[ВПГП]]</f>
        <v>24.76</v>
      </c>
    </row>
    <row r="13" spans="1:5" ht="36" x14ac:dyDescent="0.35">
      <c r="A13" s="25" t="s">
        <v>22</v>
      </c>
      <c r="B13" s="14" t="s">
        <v>6</v>
      </c>
      <c r="C13" s="23"/>
      <c r="D13" s="23">
        <v>13.6</v>
      </c>
      <c r="E13" s="23">
        <f>Таблица13[[#This Row],[ПГП]]+Таблица13[[#This Row],[ВПГП]]</f>
        <v>13.6</v>
      </c>
    </row>
    <row r="14" spans="1:5" x14ac:dyDescent="0.35">
      <c r="A14" s="25" t="s">
        <v>52</v>
      </c>
      <c r="B14" s="14" t="s">
        <v>6</v>
      </c>
      <c r="C14" s="23">
        <v>42.36</v>
      </c>
      <c r="D14" s="23"/>
      <c r="E14" s="23">
        <f>Таблица13[[#This Row],[ПГП]]+Таблица13[[#This Row],[ВПГП]]</f>
        <v>42.36</v>
      </c>
    </row>
    <row r="15" spans="1:5" x14ac:dyDescent="0.35">
      <c r="A15" s="25" t="s">
        <v>54</v>
      </c>
      <c r="B15" s="14" t="s">
        <v>6</v>
      </c>
      <c r="C15" s="23"/>
      <c r="D15" s="23">
        <v>17.84</v>
      </c>
      <c r="E15" s="23">
        <f>Таблица13[[#This Row],[ПГП]]+Таблица13[[#This Row],[ВПГП]]</f>
        <v>17.84</v>
      </c>
    </row>
    <row r="16" spans="1:5" ht="36" x14ac:dyDescent="0.35">
      <c r="A16" s="25" t="s">
        <v>47</v>
      </c>
      <c r="B16" s="14" t="s">
        <v>6</v>
      </c>
      <c r="C16" s="23">
        <v>94.68</v>
      </c>
      <c r="D16" s="23"/>
      <c r="E16" s="23">
        <f>Таблица13[[#This Row],[ПГП]]+Таблица13[[#This Row],[ВПГП]]</f>
        <v>94.68</v>
      </c>
    </row>
    <row r="17" spans="1:5" x14ac:dyDescent="0.35">
      <c r="A17" s="25" t="s">
        <v>55</v>
      </c>
      <c r="B17" s="14" t="s">
        <v>6</v>
      </c>
      <c r="C17" s="23"/>
      <c r="D17" s="23">
        <v>17.440000000000001</v>
      </c>
      <c r="E17" s="23">
        <f>Таблица13[[#This Row],[ПГП]]+Таблица13[[#This Row],[ВПГП]]</f>
        <v>17.440000000000001</v>
      </c>
    </row>
    <row r="18" spans="1:5" ht="36" x14ac:dyDescent="0.35">
      <c r="A18" s="26" t="s">
        <v>63</v>
      </c>
      <c r="B18" s="27" t="s">
        <v>6</v>
      </c>
      <c r="C18" s="23">
        <v>94.32</v>
      </c>
      <c r="D18" s="23"/>
      <c r="E18" s="23">
        <f>Таблица13[[#This Row],[ПГП]]+Таблица13[[#This Row],[ВПГП]]</f>
        <v>94.32</v>
      </c>
    </row>
    <row r="19" spans="1:5" ht="36" x14ac:dyDescent="0.35">
      <c r="A19" s="25" t="s">
        <v>53</v>
      </c>
      <c r="B19" s="14" t="s">
        <v>6</v>
      </c>
      <c r="C19" s="23">
        <v>32.72</v>
      </c>
      <c r="D19" s="23">
        <v>9.8699999999999992</v>
      </c>
      <c r="E19" s="23">
        <f>Таблица13[[#This Row],[ПГП]]+Таблица13[[#This Row],[ВПГП]]</f>
        <v>42.589999999999996</v>
      </c>
    </row>
    <row r="20" spans="1:5" x14ac:dyDescent="0.35">
      <c r="A20" s="47" t="s">
        <v>71</v>
      </c>
      <c r="B20" s="27" t="s">
        <v>6</v>
      </c>
      <c r="C20" s="27">
        <f>SUM(C3:C19)</f>
        <v>454.67999999999995</v>
      </c>
      <c r="D20" s="27">
        <f>SUM(D3:D19)</f>
        <v>63.1</v>
      </c>
      <c r="E20" s="27">
        <f>SUM(E3:E19)</f>
        <v>517.78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="70" zoomScaleNormal="70" workbookViewId="0">
      <selection activeCell="C23" sqref="C23"/>
    </sheetView>
  </sheetViews>
  <sheetFormatPr defaultRowHeight="18" x14ac:dyDescent="0.35"/>
  <cols>
    <col min="1" max="1" width="30.5546875" style="24" customWidth="1"/>
    <col min="2" max="2" width="11.44140625" style="13" customWidth="1"/>
    <col min="3" max="3" width="10" style="13" customWidth="1"/>
    <col min="4" max="4" width="8.88671875" style="13"/>
    <col min="5" max="5" width="11.5546875" style="13" customWidth="1"/>
    <col min="6" max="16384" width="8.88671875" style="13"/>
  </cols>
  <sheetData>
    <row r="1" spans="1:5" x14ac:dyDescent="0.35">
      <c r="A1" s="28" t="s">
        <v>8</v>
      </c>
      <c r="B1" s="7"/>
      <c r="C1" s="23"/>
      <c r="D1" s="23"/>
      <c r="E1" s="15"/>
    </row>
    <row r="2" spans="1:5" ht="36" x14ac:dyDescent="0.35">
      <c r="A2" s="2" t="s">
        <v>65</v>
      </c>
      <c r="B2" s="7" t="s">
        <v>4</v>
      </c>
      <c r="C2" s="14" t="s">
        <v>68</v>
      </c>
      <c r="D2" s="7" t="s">
        <v>69</v>
      </c>
      <c r="E2" s="7" t="s">
        <v>71</v>
      </c>
    </row>
    <row r="3" spans="1:5" ht="36" x14ac:dyDescent="0.35">
      <c r="A3" s="25" t="s">
        <v>14</v>
      </c>
      <c r="B3" s="14" t="s">
        <v>6</v>
      </c>
      <c r="C3" s="23">
        <v>23.92</v>
      </c>
      <c r="D3" s="23"/>
      <c r="E3" s="23">
        <f>Таблица134[[#This Row],[ПГП]]+Таблица134[[#This Row],[АС влаго]]</f>
        <v>23.92</v>
      </c>
    </row>
    <row r="4" spans="1:5" ht="36" x14ac:dyDescent="0.35">
      <c r="A4" s="25" t="s">
        <v>32</v>
      </c>
      <c r="B4" s="14" t="s">
        <v>6</v>
      </c>
      <c r="C4" s="23">
        <v>8.24</v>
      </c>
      <c r="D4" s="23">
        <v>4.6399999999999997</v>
      </c>
      <c r="E4" s="23">
        <f>Таблица134[[#This Row],[ПГП]]+Таблица134[[#This Row],[АС влаго]]</f>
        <v>12.879999999999999</v>
      </c>
    </row>
    <row r="5" spans="1:5" x14ac:dyDescent="0.35">
      <c r="A5" s="25" t="s">
        <v>33</v>
      </c>
      <c r="B5" s="14" t="s">
        <v>6</v>
      </c>
      <c r="C5" s="23">
        <v>14.96</v>
      </c>
      <c r="D5" s="23"/>
      <c r="E5" s="23">
        <f>Таблица134[[#This Row],[ПГП]]+Таблица134[[#This Row],[АС влаго]]</f>
        <v>14.96</v>
      </c>
    </row>
    <row r="6" spans="1:5" ht="36" x14ac:dyDescent="0.35">
      <c r="A6" s="25" t="s">
        <v>18</v>
      </c>
      <c r="B6" s="14" t="s">
        <v>6</v>
      </c>
      <c r="C6" s="23">
        <v>37.64</v>
      </c>
      <c r="D6" s="23"/>
      <c r="E6" s="23">
        <f>Таблица134[[#This Row],[ПГП]]+Таблица134[[#This Row],[АС влаго]]</f>
        <v>37.64</v>
      </c>
    </row>
    <row r="7" spans="1:5" ht="36" x14ac:dyDescent="0.35">
      <c r="A7" s="25" t="s">
        <v>79</v>
      </c>
      <c r="B7" s="14" t="s">
        <v>6</v>
      </c>
      <c r="C7" s="23">
        <v>40.270000000000003</v>
      </c>
      <c r="D7" s="23"/>
      <c r="E7" s="23">
        <f>Таблица134[[#This Row],[ПГП]]+Таблица134[[#This Row],[АС влаго]]</f>
        <v>40.270000000000003</v>
      </c>
    </row>
    <row r="8" spans="1:5" x14ac:dyDescent="0.35">
      <c r="A8" s="25" t="s">
        <v>78</v>
      </c>
      <c r="B8" s="14" t="s">
        <v>6</v>
      </c>
      <c r="C8" s="23">
        <v>47.9</v>
      </c>
      <c r="D8" s="23"/>
      <c r="E8" s="23">
        <f>Таблица134[[#This Row],[ПГП]]+Таблица134[[#This Row],[АС влаго]]</f>
        <v>47.9</v>
      </c>
    </row>
    <row r="9" spans="1:5" x14ac:dyDescent="0.35">
      <c r="A9" s="25" t="s">
        <v>19</v>
      </c>
      <c r="B9" s="14" t="s">
        <v>6</v>
      </c>
      <c r="C9" s="23">
        <v>37.4</v>
      </c>
      <c r="D9" s="23"/>
      <c r="E9" s="23">
        <f>Таблица134[[#This Row],[ПГП]]+Таблица134[[#This Row],[АС влаго]]</f>
        <v>37.4</v>
      </c>
    </row>
    <row r="10" spans="1:5" ht="54" x14ac:dyDescent="0.35">
      <c r="A10" s="25" t="s">
        <v>74</v>
      </c>
      <c r="B10" s="14" t="s">
        <v>6</v>
      </c>
      <c r="C10" s="23">
        <v>14.26</v>
      </c>
      <c r="D10" s="23"/>
      <c r="E10" s="23">
        <f>Таблица134[[#This Row],[ПГП]]+Таблица134[[#This Row],[АС влаго]]</f>
        <v>14.26</v>
      </c>
    </row>
    <row r="11" spans="1:5" x14ac:dyDescent="0.35">
      <c r="A11" s="25" t="s">
        <v>75</v>
      </c>
      <c r="B11" s="14" t="s">
        <v>6</v>
      </c>
      <c r="C11" s="23">
        <v>30.56</v>
      </c>
      <c r="D11" s="23"/>
      <c r="E11" s="23">
        <f>Таблица134[[#This Row],[ПГП]]+Таблица134[[#This Row],[АС влаго]]</f>
        <v>30.56</v>
      </c>
    </row>
    <row r="12" spans="1:5" x14ac:dyDescent="0.35">
      <c r="A12" s="25" t="s">
        <v>76</v>
      </c>
      <c r="B12" s="14" t="s">
        <v>6</v>
      </c>
      <c r="C12" s="23">
        <v>30.56</v>
      </c>
      <c r="D12" s="23"/>
      <c r="E12" s="23">
        <f>Таблица134[[#This Row],[ПГП]]+Таблица134[[#This Row],[АС влаго]]</f>
        <v>30.56</v>
      </c>
    </row>
    <row r="13" spans="1:5" ht="36" x14ac:dyDescent="0.35">
      <c r="A13" s="25" t="s">
        <v>24</v>
      </c>
      <c r="B13" s="14" t="s">
        <v>6</v>
      </c>
      <c r="C13" s="23"/>
      <c r="D13" s="23">
        <v>13.6</v>
      </c>
      <c r="E13" s="23">
        <f>Таблица134[[#This Row],[ПГП]]+Таблица134[[#This Row],[АС влаго]]</f>
        <v>13.6</v>
      </c>
    </row>
    <row r="14" spans="1:5" x14ac:dyDescent="0.35">
      <c r="A14" s="25" t="s">
        <v>61</v>
      </c>
      <c r="B14" s="14" t="s">
        <v>6</v>
      </c>
      <c r="C14" s="23">
        <v>12.36</v>
      </c>
      <c r="D14" s="23">
        <v>15.48</v>
      </c>
      <c r="E14" s="23">
        <f>Таблица134[[#This Row],[ПГП]]+Таблица134[[#This Row],[АС влаго]]</f>
        <v>27.84</v>
      </c>
    </row>
    <row r="15" spans="1:5" ht="36" x14ac:dyDescent="0.35">
      <c r="A15" s="25" t="s">
        <v>57</v>
      </c>
      <c r="B15" s="14" t="s">
        <v>6</v>
      </c>
      <c r="C15" s="23">
        <v>94.36</v>
      </c>
      <c r="D15" s="23"/>
      <c r="E15" s="23">
        <f>Таблица134[[#This Row],[ПГП]]+Таблица134[[#This Row],[АС влаго]]</f>
        <v>94.36</v>
      </c>
    </row>
    <row r="16" spans="1:5" x14ac:dyDescent="0.35">
      <c r="A16" s="25" t="s">
        <v>62</v>
      </c>
      <c r="B16" s="14" t="s">
        <v>6</v>
      </c>
      <c r="C16" s="23"/>
      <c r="D16" s="23">
        <v>17.440000000000001</v>
      </c>
      <c r="E16" s="23">
        <f>Таблица134[[#This Row],[ПГП]]+Таблица134[[#This Row],[АС влаго]]</f>
        <v>17.440000000000001</v>
      </c>
    </row>
    <row r="17" spans="1:5" ht="36" x14ac:dyDescent="0.35">
      <c r="A17" s="25" t="s">
        <v>58</v>
      </c>
      <c r="B17" s="14" t="s">
        <v>6</v>
      </c>
      <c r="C17" s="23">
        <v>94.36</v>
      </c>
      <c r="D17" s="23"/>
      <c r="E17" s="23">
        <f>Таблица134[[#This Row],[ПГП]]+Таблица134[[#This Row],[АС влаго]]</f>
        <v>94.36</v>
      </c>
    </row>
    <row r="18" spans="1:5" ht="36" x14ac:dyDescent="0.35">
      <c r="A18" s="25" t="s">
        <v>77</v>
      </c>
      <c r="B18" s="14" t="s">
        <v>6</v>
      </c>
      <c r="C18" s="23">
        <v>8.32</v>
      </c>
      <c r="D18" s="23"/>
      <c r="E18" s="23">
        <f>Таблица134[[#This Row],[ПГП]]+Таблица134[[#This Row],[АС влаго]]</f>
        <v>8.32</v>
      </c>
    </row>
    <row r="19" spans="1:5" x14ac:dyDescent="0.35">
      <c r="A19" s="25" t="s">
        <v>35</v>
      </c>
      <c r="B19" s="14" t="s">
        <v>6</v>
      </c>
      <c r="C19" s="23">
        <v>5.12</v>
      </c>
      <c r="D19" s="23"/>
      <c r="E19" s="23">
        <f>Таблица134[[#This Row],[ПГП]]+Таблица134[[#This Row],[АС влаго]]</f>
        <v>5.12</v>
      </c>
    </row>
    <row r="20" spans="1:5" ht="36" x14ac:dyDescent="0.35">
      <c r="A20" s="25" t="s">
        <v>56</v>
      </c>
      <c r="B20" s="14" t="s">
        <v>6</v>
      </c>
      <c r="C20" s="23">
        <v>13.04</v>
      </c>
      <c r="D20" s="23"/>
      <c r="E20" s="23">
        <f>Таблица134[[#This Row],[ПГП]]+Таблица134[[#This Row],[АС влаго]]</f>
        <v>13.04</v>
      </c>
    </row>
    <row r="21" spans="1:5" ht="36" x14ac:dyDescent="0.35">
      <c r="A21" s="25" t="s">
        <v>60</v>
      </c>
      <c r="B21" s="14" t="s">
        <v>6</v>
      </c>
      <c r="C21" s="23">
        <v>20.72</v>
      </c>
      <c r="D21" s="23"/>
      <c r="E21" s="23">
        <f>Таблица134[[#This Row],[ПГП]]+Таблица134[[#This Row],[АС влаго]]</f>
        <v>20.72</v>
      </c>
    </row>
    <row r="22" spans="1:5" x14ac:dyDescent="0.35">
      <c r="A22" s="25" t="s">
        <v>30</v>
      </c>
      <c r="B22" s="14" t="s">
        <v>6</v>
      </c>
      <c r="C22" s="23"/>
      <c r="D22" s="23">
        <v>6.8</v>
      </c>
      <c r="E22" s="23">
        <f>Таблица134[[#This Row],[ПГП]]+Таблица134[[#This Row],[АС влаго]]</f>
        <v>6.8</v>
      </c>
    </row>
    <row r="23" spans="1:5" x14ac:dyDescent="0.35">
      <c r="A23" s="47" t="s">
        <v>71</v>
      </c>
      <c r="B23" s="46" t="s">
        <v>6</v>
      </c>
      <c r="C23" s="48">
        <f>SUM(C3:C22)</f>
        <v>533.99</v>
      </c>
      <c r="D23" s="46">
        <f>SUM(D3:D22)</f>
        <v>57.959999999999994</v>
      </c>
      <c r="E23" s="48">
        <f>SUM(E3:E22)</f>
        <v>591.95000000000005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zoomScale="70" zoomScaleNormal="70" workbookViewId="0">
      <selection activeCell="E19" sqref="E19"/>
    </sheetView>
  </sheetViews>
  <sheetFormatPr defaultRowHeight="18" x14ac:dyDescent="0.35"/>
  <cols>
    <col min="1" max="1" width="35.77734375" style="24" customWidth="1"/>
    <col min="2" max="2" width="11.44140625" style="13" customWidth="1"/>
    <col min="3" max="16384" width="8.88671875" style="13"/>
  </cols>
  <sheetData>
    <row r="1" spans="1:5" x14ac:dyDescent="0.35">
      <c r="A1" s="28" t="s">
        <v>8</v>
      </c>
      <c r="B1" s="7"/>
      <c r="C1" s="23"/>
      <c r="D1" s="23"/>
      <c r="E1" s="15"/>
    </row>
    <row r="2" spans="1:5" ht="36" x14ac:dyDescent="0.35">
      <c r="A2" s="2" t="s">
        <v>65</v>
      </c>
      <c r="B2" s="7" t="s">
        <v>4</v>
      </c>
      <c r="C2" s="14" t="s">
        <v>68</v>
      </c>
      <c r="D2" s="7" t="s">
        <v>69</v>
      </c>
      <c r="E2" s="7" t="s">
        <v>71</v>
      </c>
    </row>
    <row r="3" spans="1:5" x14ac:dyDescent="0.35">
      <c r="A3" s="25" t="s">
        <v>73</v>
      </c>
      <c r="B3" s="14" t="s">
        <v>6</v>
      </c>
      <c r="C3" s="23">
        <v>11.46</v>
      </c>
      <c r="D3" s="23">
        <v>8.4</v>
      </c>
      <c r="E3" s="23">
        <f>Таблица1345[[#This Row],[ПГП]]+Таблица1345[[#This Row],[АС влаго]]</f>
        <v>19.86</v>
      </c>
    </row>
    <row r="4" spans="1:5" x14ac:dyDescent="0.35">
      <c r="A4" s="25" t="s">
        <v>27</v>
      </c>
      <c r="B4" s="14" t="s">
        <v>6</v>
      </c>
      <c r="C4" s="23">
        <v>25.76</v>
      </c>
      <c r="D4" s="23"/>
      <c r="E4" s="23">
        <f>Таблица1345[[#This Row],[ПГП]]+Таблица1345[[#This Row],[АС влаго]]</f>
        <v>25.76</v>
      </c>
    </row>
    <row r="5" spans="1:5" ht="54" x14ac:dyDescent="0.35">
      <c r="A5" s="25" t="s">
        <v>70</v>
      </c>
      <c r="B5" s="14" t="s">
        <v>6</v>
      </c>
      <c r="C5" s="23">
        <v>19.079999999999998</v>
      </c>
      <c r="D5" s="23">
        <v>6.36</v>
      </c>
      <c r="E5" s="23">
        <f>Таблица1345[[#This Row],[ПГП]]+Таблица1345[[#This Row],[АС влаго]]</f>
        <v>25.439999999999998</v>
      </c>
    </row>
    <row r="6" spans="1:5" x14ac:dyDescent="0.35">
      <c r="A6" s="25" t="s">
        <v>25</v>
      </c>
      <c r="B6" s="14" t="s">
        <v>6</v>
      </c>
      <c r="C6" s="23">
        <v>2.4</v>
      </c>
      <c r="D6" s="23"/>
      <c r="E6" s="23">
        <f>Таблица1345[[#This Row],[ПГП]]+Таблица1345[[#This Row],[АС влаго]]</f>
        <v>2.4</v>
      </c>
    </row>
    <row r="7" spans="1:5" ht="36" x14ac:dyDescent="0.35">
      <c r="A7" s="25" t="s">
        <v>28</v>
      </c>
      <c r="B7" s="14" t="s">
        <v>6</v>
      </c>
      <c r="C7" s="23"/>
      <c r="D7" s="23">
        <v>13.6</v>
      </c>
      <c r="E7" s="23">
        <f>Таблица1345[[#This Row],[ПГП]]+Таблица1345[[#This Row],[АС влаго]]</f>
        <v>13.6</v>
      </c>
    </row>
    <row r="8" spans="1:5" x14ac:dyDescent="0.35">
      <c r="A8" s="25" t="s">
        <v>39</v>
      </c>
      <c r="B8" s="14" t="s">
        <v>6</v>
      </c>
      <c r="C8" s="23"/>
      <c r="D8" s="23">
        <v>26.05</v>
      </c>
      <c r="E8" s="23">
        <f>Таблица1345[[#This Row],[ПГП]]+Таблица1345[[#This Row],[АС влаго]]</f>
        <v>26.05</v>
      </c>
    </row>
    <row r="9" spans="1:5" x14ac:dyDescent="0.35">
      <c r="A9" s="25" t="s">
        <v>40</v>
      </c>
      <c r="B9" s="14" t="s">
        <v>6</v>
      </c>
      <c r="C9" s="23">
        <v>19.04</v>
      </c>
      <c r="D9" s="23"/>
      <c r="E9" s="23">
        <f>Таблица1345[[#This Row],[ПГП]]+Таблица1345[[#This Row],[АС влаго]]</f>
        <v>19.04</v>
      </c>
    </row>
    <row r="10" spans="1:5" x14ac:dyDescent="0.35">
      <c r="A10" s="25" t="s">
        <v>38</v>
      </c>
      <c r="B10" s="14" t="s">
        <v>6</v>
      </c>
      <c r="C10" s="23">
        <v>19.920000000000002</v>
      </c>
      <c r="D10" s="23"/>
      <c r="E10" s="23">
        <f>Таблица1345[[#This Row],[ПГП]]+Таблица1345[[#This Row],[АС влаго]]</f>
        <v>19.920000000000002</v>
      </c>
    </row>
    <row r="11" spans="1:5" x14ac:dyDescent="0.35">
      <c r="A11" s="25" t="s">
        <v>46</v>
      </c>
      <c r="B11" s="14" t="s">
        <v>6</v>
      </c>
      <c r="C11" s="23">
        <v>86.68</v>
      </c>
      <c r="D11" s="23"/>
      <c r="E11" s="23">
        <f>Таблица1345[[#This Row],[ПГП]]+Таблица1345[[#This Row],[АС влаго]]</f>
        <v>86.68</v>
      </c>
    </row>
    <row r="12" spans="1:5" x14ac:dyDescent="0.35">
      <c r="A12" s="25" t="s">
        <v>37</v>
      </c>
      <c r="B12" s="14" t="s">
        <v>6</v>
      </c>
      <c r="C12" s="23"/>
      <c r="D12" s="23">
        <v>31.06</v>
      </c>
      <c r="E12" s="23">
        <f>Таблица1345[[#This Row],[ПГП]]+Таблица1345[[#This Row],[АС влаго]]</f>
        <v>31.06</v>
      </c>
    </row>
    <row r="13" spans="1:5" x14ac:dyDescent="0.35">
      <c r="A13" s="25" t="s">
        <v>36</v>
      </c>
      <c r="B13" s="14" t="s">
        <v>6</v>
      </c>
      <c r="C13" s="23"/>
      <c r="D13" s="23">
        <v>19.399999999999999</v>
      </c>
      <c r="E13" s="23">
        <f>Таблица1345[[#This Row],[ПГП]]+Таблица1345[[#This Row],[АС влаго]]</f>
        <v>19.399999999999999</v>
      </c>
    </row>
    <row r="14" spans="1:5" x14ac:dyDescent="0.35">
      <c r="A14" s="25" t="s">
        <v>45</v>
      </c>
      <c r="B14" s="14" t="s">
        <v>6</v>
      </c>
      <c r="C14" s="23">
        <v>86.08</v>
      </c>
      <c r="D14" s="23"/>
      <c r="E14" s="23">
        <f>Таблица1345[[#This Row],[ПГП]]+Таблица1345[[#This Row],[АС влаго]]</f>
        <v>86.08</v>
      </c>
    </row>
    <row r="15" spans="1:5" ht="90" x14ac:dyDescent="0.35">
      <c r="A15" s="25" t="s">
        <v>43</v>
      </c>
      <c r="B15" s="14" t="s">
        <v>6</v>
      </c>
      <c r="C15" s="23">
        <v>8.7200000000000006</v>
      </c>
      <c r="D15" s="23"/>
      <c r="E15" s="23">
        <f>Таблица1345[[#This Row],[ПГП]]+Таблица1345[[#This Row],[АС влаго]]</f>
        <v>8.7200000000000006</v>
      </c>
    </row>
    <row r="16" spans="1:5" ht="90" x14ac:dyDescent="0.35">
      <c r="A16" s="25" t="s">
        <v>42</v>
      </c>
      <c r="B16" s="14" t="s">
        <v>6</v>
      </c>
      <c r="C16" s="23">
        <v>3.8</v>
      </c>
      <c r="D16" s="23"/>
      <c r="E16" s="23">
        <f>Таблица1345[[#This Row],[ПГП]]+Таблица1345[[#This Row],[АС влаго]]</f>
        <v>3.8</v>
      </c>
    </row>
    <row r="17" spans="1:5" ht="36" x14ac:dyDescent="0.35">
      <c r="A17" s="25" t="s">
        <v>41</v>
      </c>
      <c r="B17" s="14" t="s">
        <v>6</v>
      </c>
      <c r="C17" s="23">
        <v>5.52</v>
      </c>
      <c r="D17" s="23">
        <v>4.12</v>
      </c>
      <c r="E17" s="23">
        <f>Таблица1345[[#This Row],[ПГП]]+Таблица1345[[#This Row],[АС влаго]]</f>
        <v>9.64</v>
      </c>
    </row>
    <row r="18" spans="1:5" x14ac:dyDescent="0.35">
      <c r="A18" s="25" t="s">
        <v>44</v>
      </c>
      <c r="B18" s="14" t="s">
        <v>6</v>
      </c>
      <c r="C18" s="23"/>
      <c r="D18" s="23">
        <v>6.78</v>
      </c>
      <c r="E18" s="23">
        <f>Таблица1345[[#This Row],[ПГП]]+Таблица1345[[#This Row],[АС влаго]]</f>
        <v>6.78</v>
      </c>
    </row>
    <row r="19" spans="1:5" x14ac:dyDescent="0.35">
      <c r="A19" s="47" t="s">
        <v>71</v>
      </c>
      <c r="B19" s="27" t="s">
        <v>6</v>
      </c>
      <c r="C19" s="27">
        <f>SUM(C3:C18)</f>
        <v>288.46000000000004</v>
      </c>
      <c r="D19" s="27">
        <f>SUM(D3:D18)</f>
        <v>115.77000000000001</v>
      </c>
      <c r="E19" s="27">
        <f>SUM(E3:E18)</f>
        <v>404.22999999999996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ПГП</vt:lpstr>
      <vt:lpstr>1 эт</vt:lpstr>
      <vt:lpstr>2 эт</vt:lpstr>
      <vt:lpstr>3 эт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2026-02-13T13:37:00Z</dcterms:created>
  <dcterms:modified xsi:type="dcterms:W3CDTF">2026-02-17T07:27:55Z</dcterms:modified>
</cp:coreProperties>
</file>