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minimized="1" xWindow="51480" yWindow="5496" windowWidth="29040" windowHeight="15840"/>
  </bookViews>
  <sheets>
    <sheet name="Лист1" sheetId="1" r:id="rId1"/>
    <sheet name="Лист2" sheetId="2" r:id="rId2"/>
  </sheets>
  <definedNames>
    <definedName name="_xlnm._FilterDatabase" localSheetId="0" hidden="1">Лист1!$A$9:$H$139</definedName>
    <definedName name="_xlnm.Print_Area" localSheetId="0">Лист1!$A$1:$H$157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" l="1"/>
  <c r="H101" i="1" s="1"/>
  <c r="H25" i="1"/>
  <c r="H48" i="1" s="1"/>
  <c r="E125" i="1"/>
  <c r="E119" i="1"/>
  <c r="E88" i="1"/>
  <c r="E84" i="1"/>
  <c r="E73" i="1"/>
  <c r="E66" i="1"/>
  <c r="E65" i="1"/>
  <c r="E64" i="1"/>
  <c r="E62" i="1"/>
  <c r="E61" i="1"/>
  <c r="E59" i="1"/>
  <c r="E42" i="1"/>
  <c r="E41" i="1"/>
  <c r="E38" i="1"/>
  <c r="E33" i="1"/>
  <c r="E27" i="1"/>
  <c r="E25" i="1"/>
  <c r="D138" i="1"/>
  <c r="F138" i="1"/>
  <c r="G138" i="1"/>
  <c r="H138" i="1"/>
  <c r="C138" i="1"/>
  <c r="D101" i="1"/>
  <c r="F101" i="1"/>
  <c r="G101" i="1"/>
  <c r="C101" i="1"/>
  <c r="D48" i="1"/>
  <c r="F48" i="1"/>
  <c r="G48" i="1"/>
  <c r="C48" i="1"/>
  <c r="C139" i="1" l="1"/>
  <c r="E48" i="1"/>
  <c r="E101" i="1"/>
  <c r="E138" i="1"/>
  <c r="G139" i="1" l="1"/>
  <c r="F139" i="1" l="1"/>
  <c r="H139" i="1" l="1"/>
  <c r="E139" i="1" l="1"/>
  <c r="D139" i="1" l="1"/>
  <c r="K139" i="1" s="1"/>
  <c r="L139" i="1" s="1"/>
</calcChain>
</file>

<file path=xl/sharedStrings.xml><?xml version="1.0" encoding="utf-8"?>
<sst xmlns="http://schemas.openxmlformats.org/spreadsheetml/2006/main" count="287" uniqueCount="227">
  <si>
    <t>1.04</t>
  </si>
  <si>
    <t>1.11</t>
  </si>
  <si>
    <t>1.12</t>
  </si>
  <si>
    <t>1.20</t>
  </si>
  <si>
    <t>1.25</t>
  </si>
  <si>
    <t>1.26</t>
  </si>
  <si>
    <t>1.27</t>
  </si>
  <si>
    <t>1.30</t>
  </si>
  <si>
    <t>1.31</t>
  </si>
  <si>
    <t>1.32</t>
  </si>
  <si>
    <t>1.33</t>
  </si>
  <si>
    <t>1.34</t>
  </si>
  <si>
    <t>1.35</t>
  </si>
  <si>
    <t>1.38</t>
  </si>
  <si>
    <t>1.41</t>
  </si>
  <si>
    <t>1.46</t>
  </si>
  <si>
    <t>1.49</t>
  </si>
  <si>
    <t>1.52</t>
  </si>
  <si>
    <t>1.54</t>
  </si>
  <si>
    <t>1.60</t>
  </si>
  <si>
    <t>1.63</t>
  </si>
  <si>
    <t>1.64</t>
  </si>
  <si>
    <t>1.65</t>
  </si>
  <si>
    <t>1.67</t>
  </si>
  <si>
    <t>1.68</t>
  </si>
  <si>
    <t>1.69</t>
  </si>
  <si>
    <t>1.70</t>
  </si>
  <si>
    <t>1.71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</si>
  <si>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</si>
  <si>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</si>
  <si>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</si>
  <si>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</si>
  <si>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</si>
  <si>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</si>
  <si>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</si>
  <si>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</si>
  <si>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</si>
  <si>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 этаж</t>
  </si>
  <si>
    <t>2 этаж</t>
  </si>
  <si>
    <t>2.01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</si>
  <si>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</si>
  <si>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</si>
  <si>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</si>
  <si>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</si>
  <si>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</si>
  <si>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</si>
  <si>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</si>
  <si>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</si>
  <si>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</si>
  <si>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</si>
  <si>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</si>
  <si>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</si>
  <si>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</si>
  <si>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</si>
  <si>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</si>
  <si>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</si>
  <si>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</si>
  <si>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</si>
  <si>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</si>
  <si>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</si>
  <si>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</si>
  <si>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</si>
  <si>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</si>
  <si>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2.27</t>
  </si>
  <si>
    <t>2.28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</si>
  <si>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</si>
  <si>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</si>
  <si>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</si>
  <si>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</si>
  <si>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</si>
  <si>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</si>
  <si>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</si>
  <si>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</si>
  <si>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</si>
  <si>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2.40</t>
  </si>
  <si>
    <t>2.41</t>
  </si>
  <si>
    <t>2.42</t>
  </si>
  <si>
    <t>2.43</t>
  </si>
  <si>
    <t>2.44</t>
  </si>
  <si>
    <t>2.45</t>
  </si>
  <si>
    <t>2.47</t>
  </si>
  <si>
    <t>2.49</t>
  </si>
  <si>
    <t>2.51</t>
  </si>
  <si>
    <t>2.52</t>
  </si>
  <si>
    <t>2.53</t>
  </si>
  <si>
    <t>2.54</t>
  </si>
  <si>
    <t>2.55</t>
  </si>
  <si>
    <t>2.56</t>
  </si>
  <si>
    <t>2.57</t>
  </si>
  <si>
    <t>2.58</t>
  </si>
  <si>
    <t>3 этаж</t>
  </si>
  <si>
    <t>3.01</t>
  </si>
  <si>
    <t>3.03</t>
  </si>
  <si>
    <t>3.04</t>
  </si>
  <si>
    <t>3.07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</si>
  <si>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</si>
  <si>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</si>
  <si>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</si>
  <si>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</si>
  <si>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</si>
  <si>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</si>
  <si>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</si>
  <si>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</si>
  <si>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</si>
  <si>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</si>
  <si>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</si>
  <si>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</si>
  <si>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</si>
  <si>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</si>
  <si>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</si>
  <si>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3.28</t>
  </si>
  <si>
    <t>3.29</t>
  </si>
  <si>
    <t>3.30</t>
  </si>
  <si>
    <t>3.31</t>
  </si>
  <si>
    <t>3.33</t>
  </si>
  <si>
    <t>3.34</t>
  </si>
  <si>
    <t>3.35</t>
  </si>
  <si>
    <t>3.36</t>
  </si>
  <si>
    <t>3.37</t>
  </si>
  <si>
    <t>3.38</t>
  </si>
  <si>
    <t>3.39</t>
  </si>
  <si>
    <t>3.41</t>
  </si>
  <si>
    <t>3.42</t>
  </si>
  <si>
    <t>3.43</t>
  </si>
  <si>
    <t>3.44</t>
  </si>
  <si>
    <t>3.45</t>
  </si>
  <si>
    <t>Итого по 3-му этажу</t>
  </si>
  <si>
    <t>Итого по 2-му этажу</t>
  </si>
  <si>
    <t>номер помещения</t>
  </si>
  <si>
    <t>Итого по 1-му этажу</t>
  </si>
  <si>
    <t>Заместитель директора по строительству ООО "ГлобалСтройТех"</t>
  </si>
  <si>
    <t>должность</t>
  </si>
  <si>
    <t>Строительный контроль (заказчик)</t>
  </si>
  <si>
    <r>
      <rPr>
        <b/>
        <sz val="11"/>
        <rFont val="Calibri"/>
        <family val="2"/>
        <scheme val="minor"/>
      </rPr>
      <t xml:space="preserve">Гипсовая </t>
    </r>
    <r>
      <rPr>
        <sz val="11"/>
        <rFont val="Calibri"/>
        <family val="2"/>
        <scheme val="minor"/>
      </rPr>
      <t xml:space="preserve">по бетону + </t>
    </r>
    <r>
      <rPr>
        <b/>
        <sz val="11"/>
        <rFont val="Calibri"/>
        <family val="2"/>
        <scheme val="minor"/>
      </rPr>
      <t>Бетонконтакт</t>
    </r>
    <r>
      <rPr>
        <sz val="11"/>
        <rFont val="Calibri"/>
        <family val="2"/>
        <scheme val="minor"/>
      </rPr>
      <t>, м2</t>
    </r>
  </si>
  <si>
    <r>
      <rPr>
        <b/>
        <sz val="11"/>
        <rFont val="Calibri"/>
        <family val="2"/>
        <scheme val="minor"/>
      </rPr>
      <t>Гипсовая</t>
    </r>
    <r>
      <rPr>
        <sz val="11"/>
        <rFont val="Calibri"/>
        <family val="2"/>
        <scheme val="minor"/>
      </rPr>
      <t xml:space="preserve"> по Блоку ячеистому, кирпичу и ПГП + </t>
    </r>
    <r>
      <rPr>
        <b/>
        <sz val="11"/>
        <rFont val="Calibri"/>
        <family val="2"/>
        <scheme val="minor"/>
      </rPr>
      <t>Грунт глубокого проникновения</t>
    </r>
    <r>
      <rPr>
        <sz val="11"/>
        <rFont val="Calibri"/>
        <family val="2"/>
        <scheme val="minor"/>
      </rPr>
      <t>, м2</t>
    </r>
  </si>
  <si>
    <r>
      <rPr>
        <b/>
        <sz val="11"/>
        <rFont val="Calibri"/>
        <family val="2"/>
        <scheme val="minor"/>
      </rPr>
      <t>Гипсовая</t>
    </r>
    <r>
      <rPr>
        <sz val="11"/>
        <rFont val="Calibri"/>
        <family val="2"/>
        <scheme val="minor"/>
      </rPr>
      <t xml:space="preserve"> по бетону + </t>
    </r>
    <r>
      <rPr>
        <b/>
        <sz val="11"/>
        <rFont val="Calibri"/>
        <family val="2"/>
        <scheme val="minor"/>
      </rPr>
      <t>Бетонконтакт</t>
    </r>
    <r>
      <rPr>
        <sz val="11"/>
        <rFont val="Calibri"/>
        <family val="2"/>
        <scheme val="minor"/>
      </rPr>
      <t>, м2</t>
    </r>
  </si>
  <si>
    <t>Тамбур</t>
  </si>
  <si>
    <t>возможностью проведения общественных мероприятий на 200 мест (с эстрадой в уровне пола)</t>
  </si>
  <si>
    <t>Учебный кабинет 1 класс</t>
  </si>
  <si>
    <t>Игровая с возможностью организации спальных мест</t>
  </si>
  <si>
    <t>Санузел для девочек</t>
  </si>
  <si>
    <t>Санузел для мальчиков</t>
  </si>
  <si>
    <t>Холл</t>
  </si>
  <si>
    <t>Помещение уборочного инвентаря</t>
  </si>
  <si>
    <t>Артистическая</t>
  </si>
  <si>
    <t>Коридор</t>
  </si>
  <si>
    <t>Рекреация коридорного типа</t>
  </si>
  <si>
    <t>ЛК №1 (тип Н2)</t>
  </si>
  <si>
    <t>ЛК №2 (тип Н2)</t>
  </si>
  <si>
    <t>ЛК №3 (тип Н2)</t>
  </si>
  <si>
    <t>ЛК №4 (тип Н2)</t>
  </si>
  <si>
    <t>Лифтовой холл</t>
  </si>
  <si>
    <t>Обеденный зал на 150 мест</t>
  </si>
  <si>
    <t>Горячий цех</t>
  </si>
  <si>
    <t>Помещение персонала</t>
  </si>
  <si>
    <t>Раздаточная</t>
  </si>
  <si>
    <t>Санузел персонала</t>
  </si>
  <si>
    <t>Гардероб персонала с душем</t>
  </si>
  <si>
    <t>Вестибюль с зоной для посетителей</t>
  </si>
  <si>
    <t>Раздевальная комната</t>
  </si>
  <si>
    <t>Буфет</t>
  </si>
  <si>
    <t>Групповая</t>
  </si>
  <si>
    <t>Спальная</t>
  </si>
  <si>
    <t xml:space="preserve">Групповая </t>
  </si>
  <si>
    <t>Комната персонала с гардеробом, душем и туалетом</t>
  </si>
  <si>
    <t>ЛК №5 (тип Н2)</t>
  </si>
  <si>
    <t>ЛК №6 (тип Л2)</t>
  </si>
  <si>
    <t>Учебный кабинет 2-4 класс</t>
  </si>
  <si>
    <t>Кабинет с рабочим местом для учителей</t>
  </si>
  <si>
    <t>Универсальное помещение с возможностью проведения занятий во внеурочное время в том числе для групп продленного дня</t>
  </si>
  <si>
    <t xml:space="preserve">Коридор </t>
  </si>
  <si>
    <t>Раздевальная для девочек (МГН)</t>
  </si>
  <si>
    <t>Раздевальная для мальчиков (МГН)</t>
  </si>
  <si>
    <t>Раздевальная для мальчиков</t>
  </si>
  <si>
    <t>Душевая для мальчиков</t>
  </si>
  <si>
    <t>Раздевальная для девочек</t>
  </si>
  <si>
    <t>Душевая для девочек</t>
  </si>
  <si>
    <t>Инвентарная (снарядная)</t>
  </si>
  <si>
    <t>Спортивный зал 15х24 м</t>
  </si>
  <si>
    <t>Комната инструктора (с душем и туалетом)</t>
  </si>
  <si>
    <t>Кабинет для индивидуальных занятий, в т.ч. С учителем-логопедом</t>
  </si>
  <si>
    <t>Рекреация</t>
  </si>
  <si>
    <t>ЛК №1 (Тип Н2)</t>
  </si>
  <si>
    <t>ЛК №2 (Тип Н2)</t>
  </si>
  <si>
    <t>Лифтовой холл (зона безопасности)</t>
  </si>
  <si>
    <t>ЛК №3 (Тип Н2)</t>
  </si>
  <si>
    <t>ЛК №4 (Тип Н2)</t>
  </si>
  <si>
    <t>Раздевальная</t>
  </si>
  <si>
    <t>Многофункциональный физкультурный зал для проведения активных игр и занятий с детьми</t>
  </si>
  <si>
    <t>Музыкальный зал</t>
  </si>
  <si>
    <t>Хозяйственная кладовая</t>
  </si>
  <si>
    <t>ЛК №5 (Тип Н2)</t>
  </si>
  <si>
    <t>ЛК №6 (Тип Л1)</t>
  </si>
  <si>
    <t>Административный кабинет</t>
  </si>
  <si>
    <t>Многофункциональный информационный библиотечный центр с зонами для индивидуальных и групповых занятий, медиатеки, хранения (закрытый фонд) и выдачи книг</t>
  </si>
  <si>
    <t>Книгохранилище</t>
  </si>
  <si>
    <t>Помещение (open spcse) для администрации, с рабочими местами для музыкального руководителя, воспитателя</t>
  </si>
  <si>
    <t>Вспомогательное помещение</t>
  </si>
  <si>
    <t>Кабинет для развивающих занятий с возможностью зонирования раздвижной трансформируемой перегородкой</t>
  </si>
  <si>
    <t>Помещение приемки и сортировки грязного белья</t>
  </si>
  <si>
    <t>Комната чистого белья</t>
  </si>
  <si>
    <r>
      <rPr>
        <b/>
        <sz val="11"/>
        <rFont val="Calibri"/>
        <family val="2"/>
        <scheme val="minor"/>
      </rPr>
      <t>Гипсовая</t>
    </r>
    <r>
      <rPr>
        <sz val="11"/>
        <rFont val="Calibri"/>
        <family val="2"/>
        <scheme val="minor"/>
      </rPr>
      <t xml:space="preserve"> по блоку, кирпичу и ПГП + грунт глубокого проникновения, м2</t>
    </r>
  </si>
  <si>
    <t>Семений В.В.</t>
  </si>
  <si>
    <t xml:space="preserve">Руководитель проекта ООО "МФ-Строй" ООО "СК СТРИВЕРИОН"  </t>
  </si>
  <si>
    <t>Долаков М.С.</t>
  </si>
  <si>
    <r>
      <rPr>
        <b/>
        <sz val="11"/>
        <rFont val="Calibri"/>
        <family val="2"/>
        <scheme val="minor"/>
      </rPr>
      <t>Цементная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Грунт глубокого проникновения</t>
    </r>
    <r>
      <rPr>
        <sz val="11"/>
        <rFont val="Calibri"/>
        <family val="2"/>
        <scheme val="minor"/>
      </rPr>
      <t xml:space="preserve"> (по бетону, блоку ячеистому и ПГП под плитку), м2</t>
    </r>
  </si>
  <si>
    <r>
      <rPr>
        <b/>
        <sz val="11"/>
        <rFont val="Calibri"/>
        <family val="2"/>
        <scheme val="minor"/>
      </rPr>
      <t>Цементная + Грунт глубокого проникновения</t>
    </r>
    <r>
      <rPr>
        <sz val="11"/>
        <rFont val="Calibri"/>
        <family val="2"/>
        <scheme val="minor"/>
      </rPr>
      <t xml:space="preserve"> (по бетону, блоку ячеистому и ПГП под плитку, м2</t>
    </r>
  </si>
  <si>
    <t>Итого ремонт, м2</t>
  </si>
  <si>
    <t>Всего штукатурки по РД, м2</t>
  </si>
  <si>
    <t>15.04.2026</t>
  </si>
  <si>
    <t>г.Москва</t>
  </si>
  <si>
    <t>на Объекте "Учебный корпус на 300 мест и 150 дошкольных мест" по адресу: г. Москва, Кронштадтский бульвар, вл.14</t>
  </si>
  <si>
    <t>за период с ноября 2025 г. по март 2026 г. включительно</t>
  </si>
  <si>
    <t>ВЕДОМОСТЬ ОБЪЕМОВ РАБОТ ,</t>
  </si>
  <si>
    <t>выполненных ООО "МФ-СТРОЙ",</t>
  </si>
  <si>
    <t>по ремонту штукатурки и шпаклевки 1-3 этажей, пришедших в негодность в результате протечек кровли и механических повреждений</t>
  </si>
  <si>
    <t>ВСЕГО штукатурка по 1-3 этажам</t>
  </si>
  <si>
    <t>1. Штукатурка стен 1-3 этажи</t>
  </si>
  <si>
    <t>2. Шпаклевка стен 1-3 этажи.</t>
  </si>
  <si>
    <t>2.1.    1-й, 2-й и 3-й этаж стены, колонны и простенки шириной до 500 мм. Грунтовка, шпатлевка на гипсовой основе. Базовый слой 2 мм. - 8741,67 м2</t>
  </si>
  <si>
    <t>2.2.    1-й, 2-й и 3-й этаж стены, колонны и простенки шириной до 500 мм. Грунтовка, шпатлевка на гипсовой основе. Финишный слой 2 мм. - 2502,38 м2</t>
  </si>
  <si>
    <t>2.3.    Шпаклевка гипсовая базовая Откосы оконные, витражные и дверные (этажи 1, 2, 3). - 108,21 м2.</t>
  </si>
  <si>
    <t>2.4.    Шпаклевка гипсовая финишная Откосы оконны, витражные и дверные (этажи 1, 2, 3). - 82,93 м2</t>
  </si>
  <si>
    <t>Весь объем шпаклевки стен и откосов 1-3 этажей, выполненных до начала работ на объекте ООО "МФ-строй" (согласно АРОР от 19.02.2026г.), подлежит замене (демонтажу и восстановлению), ввиду того, что шпаклевка пришла в негодность в результате затеканий, замораживаний/размораживаний, загрязнений при работе по резке, бурению, демонтажу/монтажу, усилению конструкций здания:</t>
  </si>
  <si>
    <t xml:space="preserve">Ремонт штукатурки стен  </t>
  </si>
  <si>
    <t>Ремонт штукатурки колонн и простенков до 500 мм</t>
  </si>
  <si>
    <t>Мальсагов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</si>
</sst>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1"/>
      <name val="Arial"/>
      <family val="2"/>
      <charset val="204"/>
    </font>
    <font>
      <i/>
      <sz val="7"/>
      <color theme="1"/>
      <name val="Arial"/>
      <family val="2"/>
      <charset val="204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3FB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/>
      <top style="thin">
        <color rgb="FFFFFFFF"/>
      </top>
      <bottom style="thin">
        <color rgb="FF434343"/>
      </bottom>
      <diagonal/>
    </border>
    <border>
      <left/>
      <right style="thin">
        <color rgb="FFFFFFFF"/>
      </right>
      <top style="thin">
        <color rgb="FFFFFFFF"/>
      </top>
      <bottom style="thin">
        <color rgb="FF434343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434343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4" fontId="0" fillId="0" borderId="0" xfId="0" applyNumberFormat="1" applyAlignment="1">
      <alignment wrapText="1"/>
    </xf>
    <xf numFmtId="0" fontId="3" fillId="0" borderId="0" xfId="0" applyFont="1"/>
    <xf numFmtId="0" fontId="3" fillId="2" borderId="0" xfId="0" applyFont="1" applyFill="1"/>
    <xf numFmtId="4" fontId="3" fillId="4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4" fontId="0" fillId="3" borderId="0" xfId="0" applyNumberFormat="1" applyFill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 applyAlignment="1">
      <alignment horizontal="left" vertical="center"/>
    </xf>
    <xf numFmtId="4" fontId="0" fillId="3" borderId="0" xfId="0" applyNumberFormat="1" applyFill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4" fontId="13" fillId="3" borderId="1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3" borderId="0" xfId="0" applyFill="1"/>
    <xf numFmtId="4" fontId="3" fillId="0" borderId="0" xfId="0" applyNumberFormat="1" applyFont="1"/>
    <xf numFmtId="49" fontId="6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4" fontId="8" fillId="0" borderId="0" xfId="0" applyNumberFormat="1" applyFont="1"/>
    <xf numFmtId="0" fontId="1" fillId="0" borderId="0" xfId="0" applyFont="1"/>
    <xf numFmtId="9" fontId="8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  <xf numFmtId="4" fontId="1" fillId="0" borderId="0" xfId="0" applyNumberFormat="1" applyFont="1"/>
    <xf numFmtId="4" fontId="4" fillId="0" borderId="1" xfId="0" applyNumberFormat="1" applyFont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0" xfId="0" applyFont="1" applyBorder="1"/>
    <xf numFmtId="0" fontId="11" fillId="0" borderId="16" xfId="0" applyFont="1" applyBorder="1"/>
    <xf numFmtId="0" fontId="11" fillId="0" borderId="18" xfId="0" applyFont="1" applyBorder="1"/>
    <xf numFmtId="49" fontId="6" fillId="0" borderId="0" xfId="0" applyNumberFormat="1" applyFont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5" fillId="0" borderId="2" xfId="0" applyFont="1" applyBorder="1"/>
    <xf numFmtId="0" fontId="5" fillId="0" borderId="13" xfId="0" applyFont="1" applyBorder="1"/>
    <xf numFmtId="0" fontId="12" fillId="0" borderId="9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5" fillId="0" borderId="10" xfId="0" applyFont="1" applyBorder="1"/>
    <xf numFmtId="0" fontId="5" fillId="0" borderId="11" xfId="0" applyFont="1" applyBorder="1"/>
    <xf numFmtId="49" fontId="4" fillId="4" borderId="1" xfId="0" applyNumberFormat="1" applyFont="1" applyFill="1" applyBorder="1" applyAlignment="1">
      <alignment horizontal="center"/>
    </xf>
    <xf numFmtId="49" fontId="6" fillId="0" borderId="0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11" fillId="0" borderId="1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4" fillId="5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7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3FB99"/>
      <color rgb="FFFFCCFF"/>
      <color rgb="FF70FF29"/>
      <color rgb="FFFF00FF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7"/>
  <sheetViews>
    <sheetView tabSelected="1" view="pageBreakPreview" zoomScale="70" zoomScaleNormal="75" zoomScaleSheetLayoutView="70" workbookViewId="0">
      <pane ySplit="9" topLeftCell="A130" activePane="bottomLeft" state="frozen"/>
      <selection pane="bottomLeft" activeCell="C138" sqref="C138:H138"/>
    </sheetView>
  </sheetViews>
  <sheetFormatPr defaultRowHeight="14.4" x14ac:dyDescent="0.3"/>
  <cols>
    <col min="1" max="1" width="14.33203125" style="8" customWidth="1"/>
    <col min="2" max="2" width="22.77734375" style="8" hidden="1" customWidth="1"/>
    <col min="3" max="8" width="20" style="7" customWidth="1"/>
    <col min="10" max="10" width="28.21875" customWidth="1"/>
    <col min="11" max="11" width="11.5546875" customWidth="1"/>
    <col min="12" max="12" width="9.21875" customWidth="1"/>
  </cols>
  <sheetData>
    <row r="1" spans="1:8" ht="28.5" hidden="1" customHeight="1" x14ac:dyDescent="0.3">
      <c r="A1" s="41" t="s">
        <v>213</v>
      </c>
      <c r="B1" s="41"/>
      <c r="C1" s="41"/>
      <c r="D1" s="41"/>
      <c r="E1" s="41"/>
      <c r="F1" s="41"/>
      <c r="G1" s="41"/>
      <c r="H1" s="41"/>
    </row>
    <row r="2" spans="1:8" ht="19.5" hidden="1" customHeight="1" x14ac:dyDescent="0.3">
      <c r="A2" s="41" t="s">
        <v>214</v>
      </c>
      <c r="B2" s="41"/>
      <c r="C2" s="41"/>
      <c r="D2" s="41"/>
      <c r="E2" s="41"/>
      <c r="F2" s="41"/>
      <c r="G2" s="41"/>
      <c r="H2" s="41"/>
    </row>
    <row r="3" spans="1:8" ht="19.5" hidden="1" customHeight="1" x14ac:dyDescent="0.3">
      <c r="A3" s="41" t="s">
        <v>215</v>
      </c>
      <c r="B3" s="41"/>
      <c r="C3" s="41"/>
      <c r="D3" s="41"/>
      <c r="E3" s="41"/>
      <c r="F3" s="41"/>
      <c r="G3" s="41"/>
      <c r="H3" s="41"/>
    </row>
    <row r="4" spans="1:8" ht="24" hidden="1" customHeight="1" x14ac:dyDescent="0.3">
      <c r="A4" s="41" t="s">
        <v>211</v>
      </c>
      <c r="B4" s="41"/>
      <c r="C4" s="41"/>
      <c r="D4" s="41"/>
      <c r="E4" s="41"/>
      <c r="F4" s="41"/>
      <c r="G4" s="41"/>
      <c r="H4" s="41"/>
    </row>
    <row r="5" spans="1:8" ht="24" hidden="1" customHeight="1" x14ac:dyDescent="0.3">
      <c r="A5" s="41" t="s">
        <v>212</v>
      </c>
      <c r="B5" s="41"/>
      <c r="C5" s="41"/>
      <c r="D5" s="41"/>
      <c r="E5" s="41"/>
      <c r="F5" s="41"/>
      <c r="G5" s="41"/>
      <c r="H5" s="41"/>
    </row>
    <row r="6" spans="1:8" ht="24" hidden="1" customHeight="1" x14ac:dyDescent="0.3">
      <c r="A6" s="23" t="s">
        <v>210</v>
      </c>
      <c r="B6" s="23"/>
      <c r="C6" s="23"/>
      <c r="D6" s="23"/>
      <c r="E6" s="23"/>
      <c r="F6" s="23"/>
      <c r="G6" s="23"/>
      <c r="H6" s="23" t="s">
        <v>209</v>
      </c>
    </row>
    <row r="7" spans="1:8" ht="24" customHeight="1" x14ac:dyDescent="0.3">
      <c r="A7" s="44" t="s">
        <v>217</v>
      </c>
      <c r="B7" s="44"/>
      <c r="C7" s="44"/>
      <c r="D7" s="44"/>
      <c r="E7" s="44"/>
      <c r="F7" s="44"/>
      <c r="G7" s="44"/>
      <c r="H7" s="44"/>
    </row>
    <row r="8" spans="1:8" ht="15.6" x14ac:dyDescent="0.3">
      <c r="A8" s="42" t="s">
        <v>128</v>
      </c>
      <c r="B8" s="30"/>
      <c r="C8" s="43" t="s">
        <v>224</v>
      </c>
      <c r="D8" s="43"/>
      <c r="E8" s="43"/>
      <c r="F8" s="43" t="s">
        <v>225</v>
      </c>
      <c r="G8" s="43"/>
      <c r="H8" s="43"/>
    </row>
    <row r="9" spans="1:8" s="1" customFormat="1" ht="86.4" x14ac:dyDescent="0.3">
      <c r="A9" s="42"/>
      <c r="B9" s="30"/>
      <c r="C9" s="59" t="s">
        <v>133</v>
      </c>
      <c r="D9" s="60" t="s">
        <v>134</v>
      </c>
      <c r="E9" s="61" t="s">
        <v>205</v>
      </c>
      <c r="F9" s="59" t="s">
        <v>135</v>
      </c>
      <c r="G9" s="30" t="s">
        <v>201</v>
      </c>
      <c r="H9" s="30" t="s">
        <v>206</v>
      </c>
    </row>
    <row r="10" spans="1:8" x14ac:dyDescent="0.3">
      <c r="A10" s="53" t="s">
        <v>37</v>
      </c>
      <c r="B10" s="53"/>
      <c r="C10" s="31"/>
      <c r="D10" s="31"/>
      <c r="E10" s="31"/>
      <c r="F10" s="31"/>
      <c r="G10" s="31"/>
      <c r="H10" s="31"/>
    </row>
    <row r="11" spans="1:8" s="21" customFormat="1" ht="86.4" x14ac:dyDescent="0.3">
      <c r="A11" s="32" t="s">
        <v>0</v>
      </c>
      <c r="B11" s="32" t="s">
        <v>137</v>
      </c>
      <c r="C11" s="18">
        <v>9.7050000000000001</v>
      </c>
      <c r="D11" s="18">
        <v>27.761999999999997</v>
      </c>
      <c r="E11" s="18">
        <v>7.53</v>
      </c>
      <c r="F11" s="18"/>
      <c r="G11" s="18"/>
      <c r="H11" s="18"/>
    </row>
    <row r="12" spans="1:8" s="21" customFormat="1" ht="28.8" x14ac:dyDescent="0.3">
      <c r="A12" s="32" t="s">
        <v>1</v>
      </c>
      <c r="B12" s="32" t="s">
        <v>138</v>
      </c>
      <c r="C12" s="18">
        <v>28.318999999999999</v>
      </c>
      <c r="D12" s="18"/>
      <c r="E12" s="18">
        <v>1.329</v>
      </c>
      <c r="F12" s="18">
        <v>1.8719999999999999</v>
      </c>
      <c r="G12" s="18"/>
      <c r="H12" s="18"/>
    </row>
    <row r="13" spans="1:8" s="21" customFormat="1" ht="57.6" x14ac:dyDescent="0.3">
      <c r="A13" s="32" t="s">
        <v>2</v>
      </c>
      <c r="B13" s="32" t="s">
        <v>139</v>
      </c>
      <c r="C13" s="18">
        <v>27.404249999999998</v>
      </c>
      <c r="D13" s="18"/>
      <c r="E13" s="18">
        <v>2.2349999999999999</v>
      </c>
      <c r="F13" s="18">
        <v>4.4459999999999997</v>
      </c>
      <c r="G13" s="18"/>
      <c r="H13" s="18"/>
    </row>
    <row r="14" spans="1:8" s="21" customFormat="1" ht="15.6" x14ac:dyDescent="0.3">
      <c r="A14" s="32" t="s">
        <v>3</v>
      </c>
      <c r="B14" s="32" t="s">
        <v>142</v>
      </c>
      <c r="C14" s="18">
        <v>1.1100000000000001</v>
      </c>
      <c r="D14" s="18">
        <v>6.8534999999999995</v>
      </c>
      <c r="E14" s="18"/>
      <c r="F14" s="18">
        <v>0.70199999999999996</v>
      </c>
      <c r="G14" s="18"/>
      <c r="H14" s="18"/>
    </row>
    <row r="15" spans="1:8" s="21" customFormat="1" ht="15.6" x14ac:dyDescent="0.3">
      <c r="A15" s="32" t="s">
        <v>4</v>
      </c>
      <c r="B15" s="32" t="s">
        <v>144</v>
      </c>
      <c r="C15" s="18">
        <v>2.9279999999999999</v>
      </c>
      <c r="D15" s="18">
        <v>11.31</v>
      </c>
      <c r="E15" s="18">
        <v>0.97199999999999998</v>
      </c>
      <c r="F15" s="18"/>
      <c r="G15" s="18"/>
      <c r="H15" s="18"/>
    </row>
    <row r="16" spans="1:8" s="21" customFormat="1" ht="15.6" x14ac:dyDescent="0.3">
      <c r="A16" s="32" t="s">
        <v>5</v>
      </c>
      <c r="B16" s="32" t="s">
        <v>144</v>
      </c>
      <c r="C16" s="18">
        <v>5.1180000000000003</v>
      </c>
      <c r="D16" s="18">
        <v>11.819999999999999</v>
      </c>
      <c r="E16" s="18">
        <v>0.97199999999999998</v>
      </c>
      <c r="F16" s="18"/>
      <c r="G16" s="18"/>
      <c r="H16" s="18"/>
    </row>
    <row r="17" spans="1:8" s="21" customFormat="1" ht="15.6" x14ac:dyDescent="0.3">
      <c r="A17" s="32" t="s">
        <v>6</v>
      </c>
      <c r="B17" s="32" t="s">
        <v>145</v>
      </c>
      <c r="C17" s="18">
        <v>6.8100000000000005</v>
      </c>
      <c r="D17" s="18">
        <v>12.239999999999998</v>
      </c>
      <c r="E17" s="18"/>
      <c r="F17" s="18"/>
      <c r="G17" s="18"/>
      <c r="H17" s="18"/>
    </row>
    <row r="18" spans="1:8" s="21" customFormat="1" ht="28.8" x14ac:dyDescent="0.3">
      <c r="A18" s="32" t="s">
        <v>7</v>
      </c>
      <c r="B18" s="32" t="s">
        <v>146</v>
      </c>
      <c r="C18" s="18">
        <v>9.7200000000000006</v>
      </c>
      <c r="D18" s="18">
        <v>13.011284999999999</v>
      </c>
      <c r="E18" s="18"/>
      <c r="F18" s="18"/>
      <c r="G18" s="18"/>
      <c r="H18" s="18"/>
    </row>
    <row r="19" spans="1:8" s="21" customFormat="1" ht="15.6" x14ac:dyDescent="0.3">
      <c r="A19" s="32" t="s">
        <v>8</v>
      </c>
      <c r="B19" s="32" t="s">
        <v>145</v>
      </c>
      <c r="C19" s="18">
        <v>53.4</v>
      </c>
      <c r="D19" s="18"/>
      <c r="E19" s="18">
        <v>0.69</v>
      </c>
      <c r="F19" s="18"/>
      <c r="G19" s="18"/>
      <c r="H19" s="18"/>
    </row>
    <row r="20" spans="1:8" s="21" customFormat="1" ht="15.6" x14ac:dyDescent="0.3">
      <c r="A20" s="32" t="s">
        <v>9</v>
      </c>
      <c r="B20" s="32" t="s">
        <v>147</v>
      </c>
      <c r="C20" s="18">
        <v>46.125000000000007</v>
      </c>
      <c r="D20" s="18"/>
      <c r="E20" s="18"/>
      <c r="F20" s="18"/>
      <c r="G20" s="18"/>
      <c r="H20" s="18"/>
    </row>
    <row r="21" spans="1:8" s="21" customFormat="1" ht="15.6" x14ac:dyDescent="0.3">
      <c r="A21" s="32" t="s">
        <v>10</v>
      </c>
      <c r="B21" s="32" t="s">
        <v>148</v>
      </c>
      <c r="C21" s="18">
        <v>51.4375</v>
      </c>
      <c r="D21" s="18"/>
      <c r="E21" s="18"/>
      <c r="F21" s="18"/>
      <c r="G21" s="18"/>
      <c r="H21" s="18"/>
    </row>
    <row r="22" spans="1:8" s="21" customFormat="1" ht="15.6" x14ac:dyDescent="0.3">
      <c r="A22" s="32" t="s">
        <v>11</v>
      </c>
      <c r="B22" s="32" t="s">
        <v>149</v>
      </c>
      <c r="C22" s="18">
        <v>62.720000000000006</v>
      </c>
      <c r="D22" s="18"/>
      <c r="E22" s="18"/>
      <c r="F22" s="18"/>
      <c r="G22" s="18"/>
      <c r="H22" s="18"/>
    </row>
    <row r="23" spans="1:8" s="21" customFormat="1" ht="15.6" x14ac:dyDescent="0.3">
      <c r="A23" s="32" t="s">
        <v>12</v>
      </c>
      <c r="B23" s="32" t="s">
        <v>150</v>
      </c>
      <c r="C23" s="18">
        <v>51.625</v>
      </c>
      <c r="D23" s="18">
        <v>8.5625</v>
      </c>
      <c r="E23" s="18"/>
      <c r="F23" s="18"/>
      <c r="G23" s="18"/>
      <c r="H23" s="18"/>
    </row>
    <row r="24" spans="1:8" s="21" customFormat="1" ht="28.8" x14ac:dyDescent="0.3">
      <c r="A24" s="32" t="s">
        <v>13</v>
      </c>
      <c r="B24" s="32" t="s">
        <v>152</v>
      </c>
      <c r="C24" s="18">
        <v>24.140999999999998</v>
      </c>
      <c r="D24" s="18">
        <v>21.413999999999998</v>
      </c>
      <c r="E24" s="18">
        <v>11.406000000000001</v>
      </c>
      <c r="F24" s="18">
        <v>3.8234999999999997</v>
      </c>
      <c r="G24" s="18"/>
      <c r="H24" s="18">
        <v>0.876</v>
      </c>
    </row>
    <row r="25" spans="1:8" s="21" customFormat="1" ht="15.6" x14ac:dyDescent="0.3">
      <c r="A25" s="32" t="s">
        <v>14</v>
      </c>
      <c r="B25" s="32" t="s">
        <v>153</v>
      </c>
      <c r="C25" s="18"/>
      <c r="D25" s="18"/>
      <c r="E25" s="18">
        <f>31.101+20.26</f>
        <v>51.361000000000004</v>
      </c>
      <c r="F25" s="18"/>
      <c r="G25" s="18"/>
      <c r="H25" s="18">
        <f>5.499+0.53</f>
        <v>6.0289999999999999</v>
      </c>
    </row>
    <row r="26" spans="1:8" s="21" customFormat="1" ht="15.6" x14ac:dyDescent="0.3">
      <c r="A26" s="32" t="s">
        <v>15</v>
      </c>
      <c r="B26" s="32" t="s">
        <v>154</v>
      </c>
      <c r="C26" s="18">
        <v>0.42899999999999988</v>
      </c>
      <c r="D26" s="18">
        <v>14.46</v>
      </c>
      <c r="E26" s="18"/>
      <c r="F26" s="18">
        <v>1.5210000000000001</v>
      </c>
      <c r="G26" s="18"/>
      <c r="H26" s="18"/>
    </row>
    <row r="27" spans="1:8" s="21" customFormat="1" ht="15.6" x14ac:dyDescent="0.3">
      <c r="A27" s="32" t="s">
        <v>16</v>
      </c>
      <c r="B27" s="32" t="s">
        <v>156</v>
      </c>
      <c r="C27" s="18"/>
      <c r="D27" s="18"/>
      <c r="E27" s="18">
        <f>2.106+2.81</f>
        <v>4.9160000000000004</v>
      </c>
      <c r="F27" s="18"/>
      <c r="G27" s="18"/>
      <c r="H27" s="18">
        <v>1.4039999999999999</v>
      </c>
    </row>
    <row r="28" spans="1:8" s="21" customFormat="1" ht="15.6" x14ac:dyDescent="0.3">
      <c r="A28" s="32" t="s">
        <v>17</v>
      </c>
      <c r="B28" s="32" t="s">
        <v>136</v>
      </c>
      <c r="C28" s="18">
        <v>9.916999999999998</v>
      </c>
      <c r="D28" s="18">
        <v>9.7830000000000013</v>
      </c>
      <c r="E28" s="18"/>
      <c r="F28" s="18"/>
      <c r="G28" s="18"/>
      <c r="H28" s="18"/>
    </row>
    <row r="29" spans="1:8" s="21" customFormat="1" ht="28.8" x14ac:dyDescent="0.3">
      <c r="A29" s="32" t="s">
        <v>18</v>
      </c>
      <c r="B29" s="32" t="s">
        <v>157</v>
      </c>
      <c r="C29" s="18">
        <v>0.79500000000000004</v>
      </c>
      <c r="D29" s="18">
        <v>11.216399999999997</v>
      </c>
      <c r="E29" s="18"/>
      <c r="F29" s="18"/>
      <c r="G29" s="18"/>
      <c r="H29" s="18"/>
    </row>
    <row r="30" spans="1:8" s="21" customFormat="1" ht="28.8" x14ac:dyDescent="0.3">
      <c r="A30" s="32" t="s">
        <v>19</v>
      </c>
      <c r="B30" s="32" t="s">
        <v>158</v>
      </c>
      <c r="C30" s="18">
        <v>12.420000000000002</v>
      </c>
      <c r="D30" s="18">
        <v>11.489999999999998</v>
      </c>
      <c r="E30" s="18"/>
      <c r="F30" s="18">
        <v>8.01</v>
      </c>
      <c r="G30" s="18"/>
      <c r="H30" s="18"/>
    </row>
    <row r="31" spans="1:8" s="21" customFormat="1" ht="15.6" x14ac:dyDescent="0.3">
      <c r="A31" s="32" t="s">
        <v>20</v>
      </c>
      <c r="B31" s="32" t="s">
        <v>136</v>
      </c>
      <c r="C31" s="18">
        <v>5.88</v>
      </c>
      <c r="D31" s="18"/>
      <c r="E31" s="18"/>
      <c r="F31" s="18"/>
      <c r="G31" s="18"/>
      <c r="H31" s="18"/>
    </row>
    <row r="32" spans="1:8" s="21" customFormat="1" ht="15.6" x14ac:dyDescent="0.3">
      <c r="A32" s="32" t="s">
        <v>21</v>
      </c>
      <c r="B32" s="32" t="s">
        <v>159</v>
      </c>
      <c r="C32" s="18">
        <v>15.54</v>
      </c>
      <c r="D32" s="18">
        <v>11.459999999999999</v>
      </c>
      <c r="E32" s="18"/>
      <c r="F32" s="18"/>
      <c r="G32" s="18"/>
      <c r="H32" s="18"/>
    </row>
    <row r="33" spans="1:8" s="21" customFormat="1" ht="15.6" x14ac:dyDescent="0.3">
      <c r="A33" s="32" t="s">
        <v>22</v>
      </c>
      <c r="B33" s="32" t="s">
        <v>160</v>
      </c>
      <c r="C33" s="18"/>
      <c r="D33" s="18"/>
      <c r="E33" s="18">
        <f>1.59+6.28</f>
        <v>7.87</v>
      </c>
      <c r="F33" s="18"/>
      <c r="G33" s="18"/>
      <c r="H33" s="18"/>
    </row>
    <row r="34" spans="1:8" s="21" customFormat="1" ht="15.6" x14ac:dyDescent="0.3">
      <c r="A34" s="32" t="s">
        <v>23</v>
      </c>
      <c r="B34" s="32" t="s">
        <v>161</v>
      </c>
      <c r="C34" s="18">
        <v>8.7750000000000004</v>
      </c>
      <c r="D34" s="18">
        <v>5.0249999999999995</v>
      </c>
      <c r="E34" s="18"/>
      <c r="F34" s="18"/>
      <c r="G34" s="18"/>
      <c r="H34" s="18"/>
    </row>
    <row r="35" spans="1:8" s="21" customFormat="1" ht="15.6" x14ac:dyDescent="0.3">
      <c r="A35" s="32" t="s">
        <v>24</v>
      </c>
      <c r="B35" s="32" t="s">
        <v>162</v>
      </c>
      <c r="C35" s="18">
        <v>11.370000000000001</v>
      </c>
      <c r="D35" s="18">
        <v>2.8649999999999998</v>
      </c>
      <c r="E35" s="18"/>
      <c r="F35" s="18"/>
      <c r="G35" s="18"/>
      <c r="H35" s="18"/>
    </row>
    <row r="36" spans="1:8" s="21" customFormat="1" ht="15.6" x14ac:dyDescent="0.3">
      <c r="A36" s="32" t="s">
        <v>25</v>
      </c>
      <c r="B36" s="32" t="s">
        <v>159</v>
      </c>
      <c r="C36" s="18">
        <v>11.52</v>
      </c>
      <c r="D36" s="18">
        <v>8.6999999999999993</v>
      </c>
      <c r="E36" s="18"/>
      <c r="F36" s="18"/>
      <c r="G36" s="18"/>
      <c r="H36" s="18"/>
    </row>
    <row r="37" spans="1:8" s="21" customFormat="1" ht="15.6" x14ac:dyDescent="0.3">
      <c r="A37" s="32" t="s">
        <v>26</v>
      </c>
      <c r="B37" s="32" t="s">
        <v>136</v>
      </c>
      <c r="C37" s="18">
        <v>1.1849999999999998</v>
      </c>
      <c r="D37" s="18">
        <v>5.2649999999999997</v>
      </c>
      <c r="E37" s="18"/>
      <c r="F37" s="18"/>
      <c r="G37" s="18"/>
      <c r="H37" s="18"/>
    </row>
    <row r="38" spans="1:8" s="21" customFormat="1" ht="15.6" x14ac:dyDescent="0.3">
      <c r="A38" s="32" t="s">
        <v>27</v>
      </c>
      <c r="B38" s="32" t="s">
        <v>160</v>
      </c>
      <c r="C38" s="18"/>
      <c r="D38" s="18"/>
      <c r="E38" s="18">
        <f>1.56+6.31</f>
        <v>7.8699999999999992</v>
      </c>
      <c r="F38" s="18"/>
      <c r="G38" s="18"/>
      <c r="H38" s="18"/>
    </row>
    <row r="39" spans="1:8" s="21" customFormat="1" ht="15.6" x14ac:dyDescent="0.3">
      <c r="A39" s="32" t="s">
        <v>28</v>
      </c>
      <c r="B39" s="32" t="s">
        <v>163</v>
      </c>
      <c r="C39" s="18">
        <v>15.39</v>
      </c>
      <c r="D39" s="18">
        <v>10.860000000000001</v>
      </c>
      <c r="E39" s="18"/>
      <c r="F39" s="18"/>
      <c r="G39" s="18"/>
      <c r="H39" s="18"/>
    </row>
    <row r="40" spans="1:8" s="21" customFormat="1" ht="15.6" x14ac:dyDescent="0.3">
      <c r="A40" s="32" t="s">
        <v>29</v>
      </c>
      <c r="B40" s="32" t="s">
        <v>162</v>
      </c>
      <c r="C40" s="18">
        <v>19.979999999999997</v>
      </c>
      <c r="D40" s="18">
        <v>5.97</v>
      </c>
      <c r="E40" s="18"/>
      <c r="F40" s="18"/>
      <c r="G40" s="18"/>
      <c r="H40" s="18"/>
    </row>
    <row r="41" spans="1:8" s="21" customFormat="1" ht="28.8" x14ac:dyDescent="0.3">
      <c r="A41" s="32" t="s">
        <v>30</v>
      </c>
      <c r="B41" s="32" t="s">
        <v>143</v>
      </c>
      <c r="C41" s="18"/>
      <c r="D41" s="18"/>
      <c r="E41" s="18">
        <f>0.12+3.94</f>
        <v>4.0599999999999996</v>
      </c>
      <c r="F41" s="18"/>
      <c r="G41" s="18"/>
      <c r="H41" s="18">
        <v>0.74</v>
      </c>
    </row>
    <row r="42" spans="1:8" s="21" customFormat="1" ht="43.2" x14ac:dyDescent="0.3">
      <c r="A42" s="32" t="s">
        <v>31</v>
      </c>
      <c r="B42" s="32" t="s">
        <v>164</v>
      </c>
      <c r="C42" s="18">
        <v>3.1717499999999998</v>
      </c>
      <c r="D42" s="18">
        <v>1.4372999999999998</v>
      </c>
      <c r="E42" s="18">
        <f>1.18755+5.25</f>
        <v>6.4375499999999999</v>
      </c>
      <c r="F42" s="18"/>
      <c r="G42" s="18"/>
      <c r="H42" s="18">
        <v>0.22</v>
      </c>
    </row>
    <row r="43" spans="1:8" s="21" customFormat="1" ht="15.6" x14ac:dyDescent="0.3">
      <c r="A43" s="32" t="s">
        <v>32</v>
      </c>
      <c r="B43" s="32" t="s">
        <v>145</v>
      </c>
      <c r="C43" s="18">
        <v>12.54</v>
      </c>
      <c r="D43" s="18">
        <v>18.66</v>
      </c>
      <c r="E43" s="18"/>
      <c r="F43" s="18"/>
      <c r="G43" s="18"/>
      <c r="H43" s="18"/>
    </row>
    <row r="44" spans="1:8" s="21" customFormat="1" ht="15.6" x14ac:dyDescent="0.3">
      <c r="A44" s="32" t="s">
        <v>33</v>
      </c>
      <c r="B44" s="32" t="s">
        <v>145</v>
      </c>
      <c r="C44" s="18">
        <v>16.32</v>
      </c>
      <c r="D44" s="18">
        <v>24.029999999999998</v>
      </c>
      <c r="E44" s="18"/>
      <c r="F44" s="18"/>
      <c r="G44" s="18"/>
      <c r="H44" s="18"/>
    </row>
    <row r="45" spans="1:8" s="21" customFormat="1" ht="15.6" x14ac:dyDescent="0.3">
      <c r="A45" s="32" t="s">
        <v>34</v>
      </c>
      <c r="B45" s="32" t="s">
        <v>165</v>
      </c>
      <c r="C45" s="18">
        <v>66.0625</v>
      </c>
      <c r="D45" s="18"/>
      <c r="E45" s="18"/>
      <c r="F45" s="18"/>
      <c r="G45" s="18"/>
      <c r="H45" s="18"/>
    </row>
    <row r="46" spans="1:8" s="21" customFormat="1" ht="15.6" x14ac:dyDescent="0.3">
      <c r="A46" s="32" t="s">
        <v>35</v>
      </c>
      <c r="B46" s="32" t="s">
        <v>166</v>
      </c>
      <c r="C46" s="18">
        <v>55.16</v>
      </c>
      <c r="D46" s="18"/>
      <c r="E46" s="18"/>
      <c r="F46" s="18"/>
      <c r="G46" s="18"/>
      <c r="H46" s="18"/>
    </row>
    <row r="47" spans="1:8" s="21" customFormat="1" ht="15.6" x14ac:dyDescent="0.3">
      <c r="A47" s="32" t="s">
        <v>36</v>
      </c>
      <c r="B47" s="32" t="s">
        <v>151</v>
      </c>
      <c r="C47" s="18">
        <v>7.8599999999999994</v>
      </c>
      <c r="D47" s="18">
        <v>3.7019999999999991</v>
      </c>
      <c r="E47" s="18"/>
      <c r="F47" s="18">
        <v>0.46799999999999997</v>
      </c>
      <c r="G47" s="18"/>
      <c r="H47" s="18"/>
    </row>
    <row r="48" spans="1:8" s="2" customFormat="1" ht="28.8" x14ac:dyDescent="0.3">
      <c r="A48" s="33" t="s">
        <v>129</v>
      </c>
      <c r="B48" s="33"/>
      <c r="C48" s="9">
        <f>SUM(C11:C47)</f>
        <v>654.87799999999993</v>
      </c>
      <c r="D48" s="9">
        <f t="shared" ref="D48:H48" si="0">SUM(D11:D47)</f>
        <v>257.89698500000003</v>
      </c>
      <c r="E48" s="9">
        <f t="shared" si="0"/>
        <v>107.64855000000001</v>
      </c>
      <c r="F48" s="9">
        <f t="shared" si="0"/>
        <v>20.842499999999998</v>
      </c>
      <c r="G48" s="9">
        <f t="shared" si="0"/>
        <v>0</v>
      </c>
      <c r="H48" s="9">
        <f t="shared" si="0"/>
        <v>9.2690000000000019</v>
      </c>
    </row>
    <row r="49" spans="1:8" x14ac:dyDescent="0.3">
      <c r="A49" s="53" t="s">
        <v>38</v>
      </c>
      <c r="B49" s="53"/>
      <c r="C49" s="31"/>
      <c r="D49" s="31"/>
      <c r="E49" s="31"/>
      <c r="F49" s="31"/>
      <c r="G49" s="31"/>
      <c r="H49" s="31"/>
    </row>
    <row r="50" spans="1:8" s="21" customFormat="1" ht="28.8" x14ac:dyDescent="0.3">
      <c r="A50" s="32" t="s">
        <v>39</v>
      </c>
      <c r="B50" s="32" t="s">
        <v>167</v>
      </c>
      <c r="C50" s="18">
        <v>6.2595000000000001</v>
      </c>
      <c r="D50" s="18">
        <v>6.1636499999999987</v>
      </c>
      <c r="E50" s="18"/>
      <c r="F50" s="18">
        <v>1.3455000000000001</v>
      </c>
      <c r="G50" s="18"/>
      <c r="H50" s="18"/>
    </row>
    <row r="51" spans="1:8" s="21" customFormat="1" ht="28.8" x14ac:dyDescent="0.3">
      <c r="A51" s="32" t="s">
        <v>40</v>
      </c>
      <c r="B51" s="32" t="s">
        <v>168</v>
      </c>
      <c r="C51" s="18">
        <v>2.2124999999999999</v>
      </c>
      <c r="D51" s="18">
        <v>9.1021500000000017</v>
      </c>
      <c r="E51" s="18"/>
      <c r="F51" s="18">
        <v>1.4624999999999999</v>
      </c>
      <c r="G51" s="18"/>
      <c r="H51" s="18"/>
    </row>
    <row r="52" spans="1:8" s="21" customFormat="1" ht="28.8" x14ac:dyDescent="0.3">
      <c r="A52" s="32" t="s">
        <v>41</v>
      </c>
      <c r="B52" s="32" t="s">
        <v>167</v>
      </c>
      <c r="C52" s="18">
        <v>12.773999999999999</v>
      </c>
      <c r="D52" s="18"/>
      <c r="E52" s="18"/>
      <c r="F52" s="18">
        <v>3.0420000000000003</v>
      </c>
      <c r="G52" s="18"/>
      <c r="H52" s="18"/>
    </row>
    <row r="53" spans="1:8" s="21" customFormat="1" ht="100.8" x14ac:dyDescent="0.3">
      <c r="A53" s="32" t="s">
        <v>42</v>
      </c>
      <c r="B53" s="32" t="s">
        <v>169</v>
      </c>
      <c r="C53" s="18">
        <v>6.5557499999999997</v>
      </c>
      <c r="D53" s="18">
        <v>5.1085500000000001</v>
      </c>
      <c r="E53" s="18"/>
      <c r="F53" s="18">
        <v>1.7842499999999999</v>
      </c>
      <c r="G53" s="18"/>
      <c r="H53" s="18"/>
    </row>
    <row r="54" spans="1:8" s="21" customFormat="1" ht="100.8" x14ac:dyDescent="0.3">
      <c r="A54" s="32" t="s">
        <v>43</v>
      </c>
      <c r="B54" s="32" t="s">
        <v>169</v>
      </c>
      <c r="C54" s="18">
        <v>7.1595000000000004</v>
      </c>
      <c r="D54" s="18">
        <v>5.3124000000000002</v>
      </c>
      <c r="E54" s="18"/>
      <c r="F54" s="18">
        <v>1.3454999999999997</v>
      </c>
      <c r="G54" s="18"/>
      <c r="H54" s="18"/>
    </row>
    <row r="55" spans="1:8" s="21" customFormat="1" ht="28.8" x14ac:dyDescent="0.3">
      <c r="A55" s="32" t="s">
        <v>44</v>
      </c>
      <c r="B55" s="32" t="s">
        <v>167</v>
      </c>
      <c r="C55" s="18">
        <v>10.104000000000001</v>
      </c>
      <c r="D55" s="18">
        <v>4.2690000000000001</v>
      </c>
      <c r="E55" s="18"/>
      <c r="F55" s="18">
        <v>2.1059999999999999</v>
      </c>
      <c r="G55" s="18"/>
      <c r="H55" s="18"/>
    </row>
    <row r="56" spans="1:8" s="21" customFormat="1" ht="15.6" x14ac:dyDescent="0.3">
      <c r="A56" s="32" t="s">
        <v>45</v>
      </c>
      <c r="B56" s="32" t="s">
        <v>170</v>
      </c>
      <c r="C56" s="18">
        <v>9.6</v>
      </c>
      <c r="D56" s="18">
        <v>37.5</v>
      </c>
      <c r="E56" s="18"/>
      <c r="F56" s="18">
        <v>5.85</v>
      </c>
      <c r="G56" s="18"/>
      <c r="H56" s="18"/>
    </row>
    <row r="57" spans="1:8" s="21" customFormat="1" ht="28.8" x14ac:dyDescent="0.3">
      <c r="A57" s="32" t="s">
        <v>46</v>
      </c>
      <c r="B57" s="32" t="s">
        <v>143</v>
      </c>
      <c r="C57" s="18"/>
      <c r="D57" s="18"/>
      <c r="E57" s="18">
        <v>10.89</v>
      </c>
      <c r="F57" s="18"/>
      <c r="G57" s="18"/>
      <c r="H57" s="18"/>
    </row>
    <row r="58" spans="1:8" s="21" customFormat="1" ht="28.8" x14ac:dyDescent="0.3">
      <c r="A58" s="32" t="s">
        <v>47</v>
      </c>
      <c r="B58" s="32" t="s">
        <v>171</v>
      </c>
      <c r="C58" s="18"/>
      <c r="D58" s="18"/>
      <c r="E58" s="18">
        <v>15.6</v>
      </c>
      <c r="F58" s="18"/>
      <c r="G58" s="18"/>
      <c r="H58" s="18">
        <v>1.5</v>
      </c>
    </row>
    <row r="59" spans="1:8" s="21" customFormat="1" ht="28.8" x14ac:dyDescent="0.3">
      <c r="A59" s="32" t="s">
        <v>48</v>
      </c>
      <c r="B59" s="32" t="s">
        <v>172</v>
      </c>
      <c r="C59" s="18"/>
      <c r="D59" s="18"/>
      <c r="E59" s="18">
        <f>4.191+11.25</f>
        <v>15.440999999999999</v>
      </c>
      <c r="F59" s="18"/>
      <c r="G59" s="18"/>
      <c r="H59" s="18">
        <v>0.60899999999999987</v>
      </c>
    </row>
    <row r="60" spans="1:8" s="21" customFormat="1" ht="28.8" x14ac:dyDescent="0.3">
      <c r="A60" s="32" t="s">
        <v>49</v>
      </c>
      <c r="B60" s="32" t="s">
        <v>173</v>
      </c>
      <c r="C60" s="18">
        <v>2.5688999999999997</v>
      </c>
      <c r="D60" s="18">
        <v>18.54</v>
      </c>
      <c r="E60" s="18"/>
      <c r="F60" s="18">
        <v>2.1410999999999998</v>
      </c>
      <c r="G60" s="18"/>
      <c r="H60" s="18"/>
    </row>
    <row r="61" spans="1:8" s="21" customFormat="1" ht="15.6" x14ac:dyDescent="0.3">
      <c r="A61" s="32" t="s">
        <v>50</v>
      </c>
      <c r="B61" s="32" t="s">
        <v>174</v>
      </c>
      <c r="C61" s="18"/>
      <c r="D61" s="18"/>
      <c r="E61" s="18">
        <f>3.66+9</f>
        <v>12.66</v>
      </c>
      <c r="F61" s="18"/>
      <c r="G61" s="18"/>
      <c r="H61" s="18"/>
    </row>
    <row r="62" spans="1:8" s="21" customFormat="1" ht="15.6" x14ac:dyDescent="0.3">
      <c r="A62" s="32" t="s">
        <v>51</v>
      </c>
      <c r="B62" s="32" t="s">
        <v>141</v>
      </c>
      <c r="C62" s="18"/>
      <c r="D62" s="18"/>
      <c r="E62" s="18">
        <f>3.78+1.95</f>
        <v>5.7299999999999995</v>
      </c>
      <c r="F62" s="18"/>
      <c r="G62" s="18"/>
      <c r="H62" s="18"/>
    </row>
    <row r="63" spans="1:8" s="21" customFormat="1" ht="28.8" x14ac:dyDescent="0.3">
      <c r="A63" s="32" t="s">
        <v>52</v>
      </c>
      <c r="B63" s="32" t="s">
        <v>175</v>
      </c>
      <c r="C63" s="18">
        <v>3.0660000000000003</v>
      </c>
      <c r="D63" s="18">
        <v>19.71</v>
      </c>
      <c r="E63" s="18"/>
      <c r="F63" s="18">
        <v>1.4039999999999999</v>
      </c>
      <c r="G63" s="18"/>
      <c r="H63" s="18"/>
    </row>
    <row r="64" spans="1:8" s="21" customFormat="1" ht="15.6" x14ac:dyDescent="0.3">
      <c r="A64" s="32" t="s">
        <v>53</v>
      </c>
      <c r="B64" s="32" t="s">
        <v>140</v>
      </c>
      <c r="C64" s="18"/>
      <c r="D64" s="18"/>
      <c r="E64" s="18">
        <f>1.911+9.39</f>
        <v>11.301</v>
      </c>
      <c r="F64" s="18"/>
      <c r="G64" s="18">
        <v>0.81899999999999995</v>
      </c>
      <c r="H64" s="18"/>
    </row>
    <row r="65" spans="1:8" s="21" customFormat="1" ht="15.6" x14ac:dyDescent="0.3">
      <c r="A65" s="32" t="s">
        <v>54</v>
      </c>
      <c r="B65" s="32" t="s">
        <v>176</v>
      </c>
      <c r="C65" s="18"/>
      <c r="D65" s="18"/>
      <c r="E65" s="18">
        <f>3.693+8.24</f>
        <v>11.933</v>
      </c>
      <c r="F65" s="18"/>
      <c r="G65" s="18">
        <v>0.83699999999999997</v>
      </c>
      <c r="H65" s="18"/>
    </row>
    <row r="66" spans="1:8" s="21" customFormat="1" ht="28.8" x14ac:dyDescent="0.3">
      <c r="A66" s="32" t="s">
        <v>55</v>
      </c>
      <c r="B66" s="32" t="s">
        <v>177</v>
      </c>
      <c r="C66" s="18"/>
      <c r="D66" s="18"/>
      <c r="E66" s="18">
        <f>15.36+7.29</f>
        <v>22.65</v>
      </c>
      <c r="F66" s="18"/>
      <c r="G66" s="18"/>
      <c r="H66" s="18">
        <v>4.17</v>
      </c>
    </row>
    <row r="67" spans="1:8" s="21" customFormat="1" ht="15.6" x14ac:dyDescent="0.3">
      <c r="A67" s="32" t="s">
        <v>56</v>
      </c>
      <c r="B67" s="32" t="s">
        <v>178</v>
      </c>
      <c r="C67" s="18">
        <v>25.808999999999994</v>
      </c>
      <c r="D67" s="18">
        <v>40.341000000000001</v>
      </c>
      <c r="E67" s="18"/>
      <c r="F67" s="18">
        <v>46.725000000000001</v>
      </c>
      <c r="G67" s="18"/>
      <c r="H67" s="18"/>
    </row>
    <row r="68" spans="1:8" s="21" customFormat="1" ht="28.8" x14ac:dyDescent="0.3">
      <c r="A68" s="32" t="s">
        <v>57</v>
      </c>
      <c r="B68" s="32" t="s">
        <v>179</v>
      </c>
      <c r="C68" s="18">
        <v>16.41</v>
      </c>
      <c r="D68" s="18"/>
      <c r="E68" s="18">
        <v>4.55</v>
      </c>
      <c r="F68" s="18"/>
      <c r="G68" s="18"/>
      <c r="H68" s="18"/>
    </row>
    <row r="69" spans="1:8" s="21" customFormat="1" ht="57.6" x14ac:dyDescent="0.3">
      <c r="A69" s="32" t="s">
        <v>58</v>
      </c>
      <c r="B69" s="32" t="s">
        <v>180</v>
      </c>
      <c r="C69" s="18">
        <v>4.3890000000000002</v>
      </c>
      <c r="D69" s="18">
        <v>6.3243</v>
      </c>
      <c r="E69" s="18"/>
      <c r="F69" s="18">
        <v>1.17</v>
      </c>
      <c r="G69" s="18"/>
      <c r="H69" s="18"/>
    </row>
    <row r="70" spans="1:8" s="21" customFormat="1" ht="15.6" x14ac:dyDescent="0.3">
      <c r="A70" s="32" t="s">
        <v>59</v>
      </c>
      <c r="B70" s="32" t="s">
        <v>156</v>
      </c>
      <c r="C70" s="18"/>
      <c r="D70" s="18"/>
      <c r="E70" s="18">
        <v>7.8179999999999996</v>
      </c>
      <c r="F70" s="18"/>
      <c r="G70" s="18"/>
      <c r="H70" s="18">
        <v>0.70199999999999996</v>
      </c>
    </row>
    <row r="71" spans="1:8" s="21" customFormat="1" ht="28.8" x14ac:dyDescent="0.3">
      <c r="A71" s="32" t="s">
        <v>60</v>
      </c>
      <c r="B71" s="32" t="s">
        <v>143</v>
      </c>
      <c r="C71" s="18"/>
      <c r="D71" s="18"/>
      <c r="E71" s="18">
        <v>5.7</v>
      </c>
      <c r="F71" s="18"/>
      <c r="G71" s="18"/>
      <c r="H71" s="18">
        <f>0.585+0.33</f>
        <v>0.91500000000000004</v>
      </c>
    </row>
    <row r="72" spans="1:8" s="21" customFormat="1" ht="15.6" x14ac:dyDescent="0.3">
      <c r="A72" s="32" t="s">
        <v>61</v>
      </c>
      <c r="B72" s="32" t="s">
        <v>140</v>
      </c>
      <c r="C72" s="18"/>
      <c r="D72" s="18"/>
      <c r="E72" s="18">
        <v>11.295</v>
      </c>
      <c r="F72" s="18"/>
      <c r="G72" s="18"/>
      <c r="H72" s="18">
        <v>0.70199999999999996</v>
      </c>
    </row>
    <row r="73" spans="1:8" s="21" customFormat="1" ht="15.6" x14ac:dyDescent="0.3">
      <c r="A73" s="32" t="s">
        <v>62</v>
      </c>
      <c r="B73" s="32" t="s">
        <v>141</v>
      </c>
      <c r="C73" s="18"/>
      <c r="D73" s="18"/>
      <c r="E73" s="18">
        <f>12.45+5.55</f>
        <v>18</v>
      </c>
      <c r="F73" s="18"/>
      <c r="G73" s="18"/>
      <c r="H73" s="18">
        <v>1.9889999999999999</v>
      </c>
    </row>
    <row r="74" spans="1:8" s="21" customFormat="1" ht="15.6" x14ac:dyDescent="0.3">
      <c r="A74" s="32" t="s">
        <v>63</v>
      </c>
      <c r="B74" s="32" t="s">
        <v>145</v>
      </c>
      <c r="C74" s="18">
        <v>4.8899999999999997</v>
      </c>
      <c r="D74" s="18">
        <v>9.18</v>
      </c>
      <c r="E74" s="18"/>
      <c r="F74" s="18"/>
      <c r="G74" s="18"/>
      <c r="H74" s="18"/>
    </row>
    <row r="75" spans="1:8" s="21" customFormat="1" ht="15.6" x14ac:dyDescent="0.3">
      <c r="A75" s="32" t="s">
        <v>64</v>
      </c>
      <c r="B75" s="32" t="s">
        <v>181</v>
      </c>
      <c r="C75" s="18">
        <v>44.984999999999992</v>
      </c>
      <c r="D75" s="18">
        <v>34.6143</v>
      </c>
      <c r="E75" s="18"/>
      <c r="F75" s="18">
        <v>4.0949999999999998</v>
      </c>
      <c r="G75" s="18"/>
      <c r="H75" s="18"/>
    </row>
    <row r="76" spans="1:8" s="21" customFormat="1" ht="15.6" x14ac:dyDescent="0.3">
      <c r="A76" s="32" t="s">
        <v>65</v>
      </c>
      <c r="B76" s="32" t="s">
        <v>145</v>
      </c>
      <c r="C76" s="18">
        <v>54.860100000000003</v>
      </c>
      <c r="D76" s="18"/>
      <c r="E76" s="18">
        <v>0.69</v>
      </c>
      <c r="F76" s="18">
        <v>0.54989999999999994</v>
      </c>
      <c r="G76" s="18"/>
      <c r="H76" s="18"/>
    </row>
    <row r="77" spans="1:8" s="21" customFormat="1" ht="15.6" x14ac:dyDescent="0.3">
      <c r="A77" s="32" t="s">
        <v>66</v>
      </c>
      <c r="B77" s="32" t="s">
        <v>182</v>
      </c>
      <c r="C77" s="18">
        <v>49.1875</v>
      </c>
      <c r="D77" s="18"/>
      <c r="E77" s="18"/>
      <c r="F77" s="18"/>
      <c r="G77" s="18"/>
      <c r="H77" s="18"/>
    </row>
    <row r="78" spans="1:8" s="21" customFormat="1" ht="15.6" x14ac:dyDescent="0.3">
      <c r="A78" s="32" t="s">
        <v>67</v>
      </c>
      <c r="B78" s="32" t="s">
        <v>183</v>
      </c>
      <c r="C78" s="18">
        <v>52.5</v>
      </c>
      <c r="D78" s="18"/>
      <c r="E78" s="18"/>
      <c r="F78" s="18"/>
      <c r="G78" s="18"/>
      <c r="H78" s="18"/>
    </row>
    <row r="79" spans="1:8" s="21" customFormat="1" ht="28.8" x14ac:dyDescent="0.3">
      <c r="A79" s="32" t="s">
        <v>68</v>
      </c>
      <c r="B79" s="32" t="s">
        <v>184</v>
      </c>
      <c r="C79" s="18">
        <v>7.6050000000000004</v>
      </c>
      <c r="D79" s="18">
        <v>3.0599999999999996</v>
      </c>
      <c r="E79" s="18"/>
      <c r="F79" s="18"/>
      <c r="G79" s="18"/>
      <c r="H79" s="18"/>
    </row>
    <row r="80" spans="1:8" s="21" customFormat="1" ht="15.6" x14ac:dyDescent="0.3">
      <c r="A80" s="32" t="s">
        <v>69</v>
      </c>
      <c r="B80" s="32" t="s">
        <v>185</v>
      </c>
      <c r="C80" s="18">
        <v>51.3125</v>
      </c>
      <c r="D80" s="18"/>
      <c r="E80" s="18"/>
      <c r="F80" s="18"/>
      <c r="G80" s="18"/>
      <c r="H80" s="18"/>
    </row>
    <row r="81" spans="1:8" s="21" customFormat="1" ht="15.6" x14ac:dyDescent="0.3">
      <c r="A81" s="32" t="s">
        <v>70</v>
      </c>
      <c r="B81" s="32" t="s">
        <v>186</v>
      </c>
      <c r="C81" s="18">
        <v>53.249999999999993</v>
      </c>
      <c r="D81" s="18">
        <v>8.4375</v>
      </c>
      <c r="E81" s="18"/>
      <c r="F81" s="18"/>
      <c r="G81" s="18"/>
      <c r="H81" s="18"/>
    </row>
    <row r="82" spans="1:8" s="21" customFormat="1" ht="15.6" x14ac:dyDescent="0.3">
      <c r="A82" s="32" t="s">
        <v>71</v>
      </c>
      <c r="B82" s="32" t="s">
        <v>155</v>
      </c>
      <c r="C82" s="18">
        <v>2.5680000000000001</v>
      </c>
      <c r="D82" s="18">
        <v>8.8559999999999999</v>
      </c>
      <c r="E82" s="18"/>
      <c r="F82" s="18"/>
      <c r="G82" s="18"/>
      <c r="H82" s="18"/>
    </row>
    <row r="83" spans="1:8" s="21" customFormat="1" ht="15.6" x14ac:dyDescent="0.3">
      <c r="A83" s="32" t="s">
        <v>72</v>
      </c>
      <c r="B83" s="32" t="s">
        <v>187</v>
      </c>
      <c r="C83" s="18">
        <v>15.029999999999998</v>
      </c>
      <c r="D83" s="18">
        <v>10.139999999999999</v>
      </c>
      <c r="E83" s="18"/>
      <c r="F83" s="18"/>
      <c r="G83" s="18"/>
      <c r="H83" s="18"/>
    </row>
    <row r="84" spans="1:8" s="21" customFormat="1" ht="15.6" x14ac:dyDescent="0.3">
      <c r="A84" s="32" t="s">
        <v>73</v>
      </c>
      <c r="B84" s="32" t="s">
        <v>160</v>
      </c>
      <c r="C84" s="18"/>
      <c r="D84" s="18"/>
      <c r="E84" s="18">
        <f>1.56+6.16</f>
        <v>7.7200000000000006</v>
      </c>
      <c r="F84" s="18"/>
      <c r="G84" s="18"/>
      <c r="H84" s="18"/>
    </row>
    <row r="85" spans="1:8" s="21" customFormat="1" ht="15.6" x14ac:dyDescent="0.3">
      <c r="A85" s="32" t="s">
        <v>74</v>
      </c>
      <c r="B85" s="32" t="s">
        <v>161</v>
      </c>
      <c r="C85" s="18">
        <v>7.8449999999999989</v>
      </c>
      <c r="D85" s="18">
        <v>10.049999999999999</v>
      </c>
      <c r="E85" s="18"/>
      <c r="F85" s="18"/>
      <c r="G85" s="18"/>
      <c r="H85" s="18"/>
    </row>
    <row r="86" spans="1:8" s="21" customFormat="1" ht="15.6" x14ac:dyDescent="0.3">
      <c r="A86" s="32" t="s">
        <v>75</v>
      </c>
      <c r="B86" s="32" t="s">
        <v>162</v>
      </c>
      <c r="C86" s="18">
        <v>10.935</v>
      </c>
      <c r="D86" s="18">
        <v>5.76</v>
      </c>
      <c r="E86" s="18"/>
      <c r="F86" s="18"/>
      <c r="G86" s="18"/>
      <c r="H86" s="18"/>
    </row>
    <row r="87" spans="1:8" s="21" customFormat="1" ht="15.6" x14ac:dyDescent="0.3">
      <c r="A87" s="32" t="s">
        <v>76</v>
      </c>
      <c r="B87" s="32" t="s">
        <v>159</v>
      </c>
      <c r="C87" s="18">
        <v>14.639999999999999</v>
      </c>
      <c r="D87" s="18">
        <v>9.8699999999999992</v>
      </c>
      <c r="E87" s="18"/>
      <c r="F87" s="18"/>
      <c r="G87" s="18"/>
      <c r="H87" s="18"/>
    </row>
    <row r="88" spans="1:8" s="21" customFormat="1" ht="15.6" x14ac:dyDescent="0.3">
      <c r="A88" s="32" t="s">
        <v>77</v>
      </c>
      <c r="B88" s="32" t="s">
        <v>160</v>
      </c>
      <c r="C88" s="18"/>
      <c r="D88" s="18"/>
      <c r="E88" s="18">
        <f>1.56+6.16</f>
        <v>7.7200000000000006</v>
      </c>
      <c r="F88" s="18"/>
      <c r="G88" s="18"/>
      <c r="H88" s="18"/>
    </row>
    <row r="89" spans="1:8" s="21" customFormat="1" ht="15.6" x14ac:dyDescent="0.3">
      <c r="A89" s="32" t="s">
        <v>78</v>
      </c>
      <c r="B89" s="32" t="s">
        <v>161</v>
      </c>
      <c r="C89" s="18">
        <v>7.6499999999999995</v>
      </c>
      <c r="D89" s="18">
        <v>10.049999999999999</v>
      </c>
      <c r="E89" s="18"/>
      <c r="F89" s="18"/>
      <c r="G89" s="18"/>
      <c r="H89" s="18"/>
    </row>
    <row r="90" spans="1:8" s="21" customFormat="1" ht="15.6" x14ac:dyDescent="0.3">
      <c r="A90" s="32" t="s">
        <v>79</v>
      </c>
      <c r="B90" s="32" t="s">
        <v>162</v>
      </c>
      <c r="C90" s="18">
        <v>10.23</v>
      </c>
      <c r="D90" s="18">
        <v>5.76</v>
      </c>
      <c r="E90" s="18"/>
      <c r="F90" s="18"/>
      <c r="G90" s="18"/>
      <c r="H90" s="18"/>
    </row>
    <row r="91" spans="1:8" s="21" customFormat="1" ht="57.6" x14ac:dyDescent="0.3">
      <c r="A91" s="32" t="s">
        <v>80</v>
      </c>
      <c r="B91" s="32" t="s">
        <v>188</v>
      </c>
      <c r="C91" s="18">
        <v>4.2374999999999998</v>
      </c>
      <c r="D91" s="18">
        <v>7.7099999999999991</v>
      </c>
      <c r="E91" s="18"/>
      <c r="F91" s="18">
        <v>3.7425000000000002</v>
      </c>
      <c r="G91" s="18"/>
      <c r="H91" s="18"/>
    </row>
    <row r="92" spans="1:8" s="21" customFormat="1" ht="15.6" x14ac:dyDescent="0.3">
      <c r="A92" s="32" t="s">
        <v>81</v>
      </c>
      <c r="B92" s="32" t="s">
        <v>189</v>
      </c>
      <c r="C92" s="18">
        <v>3.8354999999999997</v>
      </c>
      <c r="D92" s="18">
        <v>8.52</v>
      </c>
      <c r="E92" s="18"/>
      <c r="F92" s="18">
        <v>3.2295000000000003</v>
      </c>
      <c r="G92" s="18"/>
      <c r="H92" s="18"/>
    </row>
    <row r="93" spans="1:8" s="21" customFormat="1" ht="15.6" x14ac:dyDescent="0.3">
      <c r="A93" s="32" t="s">
        <v>82</v>
      </c>
      <c r="B93" s="32" t="s">
        <v>145</v>
      </c>
      <c r="C93" s="18">
        <v>24.472000000000001</v>
      </c>
      <c r="D93" s="18"/>
      <c r="E93" s="18"/>
      <c r="F93" s="18"/>
      <c r="G93" s="18"/>
      <c r="H93" s="18"/>
    </row>
    <row r="94" spans="1:8" s="21" customFormat="1" ht="28.8" x14ac:dyDescent="0.3">
      <c r="A94" s="32" t="s">
        <v>83</v>
      </c>
      <c r="B94" s="32" t="s">
        <v>143</v>
      </c>
      <c r="C94" s="18"/>
      <c r="D94" s="18"/>
      <c r="E94" s="18">
        <v>2.99</v>
      </c>
      <c r="F94" s="18"/>
      <c r="G94" s="18"/>
      <c r="H94" s="18"/>
    </row>
    <row r="95" spans="1:8" s="21" customFormat="1" ht="28.8" x14ac:dyDescent="0.3">
      <c r="A95" s="32" t="s">
        <v>84</v>
      </c>
      <c r="B95" s="32" t="s">
        <v>190</v>
      </c>
      <c r="C95" s="18">
        <v>7.56</v>
      </c>
      <c r="D95" s="18">
        <v>4.1099999999999994</v>
      </c>
      <c r="E95" s="18"/>
      <c r="F95" s="18"/>
      <c r="G95" s="18"/>
      <c r="H95" s="18"/>
    </row>
    <row r="96" spans="1:8" s="21" customFormat="1" ht="15.6" x14ac:dyDescent="0.3">
      <c r="A96" s="32" t="s">
        <v>85</v>
      </c>
      <c r="B96" s="32" t="s">
        <v>191</v>
      </c>
      <c r="C96" s="18">
        <v>31.2</v>
      </c>
      <c r="D96" s="18"/>
      <c r="E96" s="18"/>
      <c r="F96" s="18"/>
      <c r="G96" s="18"/>
      <c r="H96" s="18"/>
    </row>
    <row r="97" spans="1:8" s="21" customFormat="1" ht="28.8" x14ac:dyDescent="0.3">
      <c r="A97" s="32" t="s">
        <v>86</v>
      </c>
      <c r="B97" s="32" t="s">
        <v>184</v>
      </c>
      <c r="C97" s="18">
        <v>15.659999999999998</v>
      </c>
      <c r="D97" s="18">
        <v>6.7439999999999998</v>
      </c>
      <c r="E97" s="18"/>
      <c r="F97" s="18">
        <v>0.93599999999999994</v>
      </c>
      <c r="G97" s="18"/>
      <c r="H97" s="18"/>
    </row>
    <row r="98" spans="1:8" s="21" customFormat="1" ht="15.6" x14ac:dyDescent="0.3">
      <c r="A98" s="32" t="s">
        <v>87</v>
      </c>
      <c r="B98" s="32" t="s">
        <v>145</v>
      </c>
      <c r="C98" s="18">
        <v>9.0299999999999994</v>
      </c>
      <c r="D98" s="18">
        <v>13.02</v>
      </c>
      <c r="E98" s="18"/>
      <c r="F98" s="18"/>
      <c r="G98" s="18"/>
      <c r="H98" s="18"/>
    </row>
    <row r="99" spans="1:8" s="21" customFormat="1" ht="15.6" x14ac:dyDescent="0.3">
      <c r="A99" s="32" t="s">
        <v>88</v>
      </c>
      <c r="B99" s="32" t="s">
        <v>192</v>
      </c>
      <c r="C99" s="18">
        <v>52.1875</v>
      </c>
      <c r="D99" s="18"/>
      <c r="E99" s="18"/>
      <c r="F99" s="18"/>
      <c r="G99" s="18"/>
      <c r="H99" s="18"/>
    </row>
    <row r="100" spans="1:8" s="21" customFormat="1" ht="15.6" x14ac:dyDescent="0.3">
      <c r="A100" s="32" t="s">
        <v>89</v>
      </c>
      <c r="B100" s="32" t="s">
        <v>181</v>
      </c>
      <c r="C100" s="18">
        <v>10.728</v>
      </c>
      <c r="D100" s="18">
        <v>14.329199999999998</v>
      </c>
      <c r="E100" s="18"/>
      <c r="F100" s="18">
        <v>1.8719999999999999</v>
      </c>
      <c r="G100" s="18"/>
      <c r="H100" s="18"/>
    </row>
    <row r="101" spans="1:8" s="2" customFormat="1" ht="28.8" x14ac:dyDescent="0.3">
      <c r="A101" s="33" t="s">
        <v>127</v>
      </c>
      <c r="B101" s="34"/>
      <c r="C101" s="9">
        <f>SUM(C50:C100)</f>
        <v>653.30674999999985</v>
      </c>
      <c r="D101" s="9">
        <f t="shared" ref="D101:H101" si="1">SUM(D50:D100)</f>
        <v>322.58204999999998</v>
      </c>
      <c r="E101" s="9">
        <f t="shared" si="1"/>
        <v>172.68799999999999</v>
      </c>
      <c r="F101" s="9">
        <f t="shared" si="1"/>
        <v>82.800750000000008</v>
      </c>
      <c r="G101" s="9">
        <f t="shared" si="1"/>
        <v>1.6559999999999999</v>
      </c>
      <c r="H101" s="9">
        <f t="shared" si="1"/>
        <v>10.587</v>
      </c>
    </row>
    <row r="102" spans="1:8" x14ac:dyDescent="0.3">
      <c r="A102" s="53" t="s">
        <v>90</v>
      </c>
      <c r="B102" s="53"/>
      <c r="C102" s="31"/>
      <c r="D102" s="31"/>
      <c r="E102" s="31"/>
      <c r="F102" s="31"/>
      <c r="G102" s="31"/>
      <c r="H102" s="31"/>
    </row>
    <row r="103" spans="1:8" s="21" customFormat="1" ht="28.8" x14ac:dyDescent="0.3">
      <c r="A103" s="32" t="s">
        <v>91</v>
      </c>
      <c r="B103" s="32" t="s">
        <v>167</v>
      </c>
      <c r="C103" s="18">
        <v>6.2182499999999994</v>
      </c>
      <c r="D103" s="18">
        <v>7.633799999999999</v>
      </c>
      <c r="E103" s="18"/>
      <c r="F103" s="18">
        <v>0.90674999999999983</v>
      </c>
      <c r="G103" s="18"/>
      <c r="H103" s="18"/>
    </row>
    <row r="104" spans="1:8" s="21" customFormat="1" ht="28.8" x14ac:dyDescent="0.3">
      <c r="A104" s="32" t="s">
        <v>92</v>
      </c>
      <c r="B104" s="32" t="s">
        <v>193</v>
      </c>
      <c r="C104" s="18">
        <v>3.8265000000000007</v>
      </c>
      <c r="D104" s="18">
        <v>15.058799999999998</v>
      </c>
      <c r="E104" s="18"/>
      <c r="F104" s="18">
        <v>1.8134999999999997</v>
      </c>
      <c r="G104" s="18"/>
      <c r="H104" s="18"/>
    </row>
    <row r="105" spans="1:8" s="21" customFormat="1" ht="28.8" x14ac:dyDescent="0.3">
      <c r="A105" s="32" t="s">
        <v>93</v>
      </c>
      <c r="B105" s="32" t="s">
        <v>167</v>
      </c>
      <c r="C105" s="18">
        <v>5.9279999999999999</v>
      </c>
      <c r="D105" s="18">
        <v>7.730249999999999</v>
      </c>
      <c r="E105" s="18"/>
      <c r="F105" s="18">
        <v>1.8719999999999997</v>
      </c>
      <c r="G105" s="18"/>
      <c r="H105" s="18"/>
    </row>
    <row r="106" spans="1:8" s="21" customFormat="1" ht="28.8" x14ac:dyDescent="0.3">
      <c r="A106" s="32" t="s">
        <v>94</v>
      </c>
      <c r="B106" s="32" t="s">
        <v>167</v>
      </c>
      <c r="C106" s="18">
        <v>13.689</v>
      </c>
      <c r="D106" s="18">
        <v>9.2943000000000016</v>
      </c>
      <c r="E106" s="18"/>
      <c r="F106" s="18">
        <v>2.6910000000000003</v>
      </c>
      <c r="G106" s="18"/>
      <c r="H106" s="18"/>
    </row>
    <row r="107" spans="1:8" s="21" customFormat="1" ht="129.6" x14ac:dyDescent="0.3">
      <c r="A107" s="32" t="s">
        <v>95</v>
      </c>
      <c r="B107" s="32" t="s">
        <v>194</v>
      </c>
      <c r="C107" s="18">
        <v>44.516999999999996</v>
      </c>
      <c r="D107" s="18">
        <v>30.186449999999997</v>
      </c>
      <c r="E107" s="18"/>
      <c r="F107" s="18">
        <v>49.283999999999999</v>
      </c>
      <c r="G107" s="18"/>
      <c r="H107" s="18"/>
    </row>
    <row r="108" spans="1:8" s="21" customFormat="1" ht="15.6" x14ac:dyDescent="0.3">
      <c r="A108" s="32" t="s">
        <v>96</v>
      </c>
      <c r="B108" s="32" t="s">
        <v>195</v>
      </c>
      <c r="C108" s="18">
        <v>11.805</v>
      </c>
      <c r="D108" s="18"/>
      <c r="E108" s="18"/>
      <c r="F108" s="18"/>
      <c r="G108" s="18"/>
      <c r="H108" s="18"/>
    </row>
    <row r="109" spans="1:8" s="21" customFormat="1" ht="15.6" x14ac:dyDescent="0.3">
      <c r="A109" s="32" t="s">
        <v>97</v>
      </c>
      <c r="B109" s="32" t="s">
        <v>156</v>
      </c>
      <c r="C109" s="18"/>
      <c r="D109" s="18"/>
      <c r="E109" s="18">
        <v>3.8940000000000001</v>
      </c>
      <c r="F109" s="18"/>
      <c r="G109" s="18"/>
      <c r="H109" s="18">
        <v>0.35099999999999998</v>
      </c>
    </row>
    <row r="110" spans="1:8" s="21" customFormat="1" ht="28.8" x14ac:dyDescent="0.3">
      <c r="A110" s="32" t="s">
        <v>98</v>
      </c>
      <c r="B110" s="32" t="s">
        <v>143</v>
      </c>
      <c r="C110" s="18"/>
      <c r="D110" s="18"/>
      <c r="E110" s="18">
        <v>8.1809999999999992</v>
      </c>
      <c r="F110" s="18"/>
      <c r="G110" s="18"/>
      <c r="H110" s="18">
        <v>0.81899999999999995</v>
      </c>
    </row>
    <row r="111" spans="1:8" s="21" customFormat="1" ht="28.8" x14ac:dyDescent="0.3">
      <c r="A111" s="32" t="s">
        <v>99</v>
      </c>
      <c r="B111" s="32" t="s">
        <v>184</v>
      </c>
      <c r="C111" s="18">
        <v>6.7639999999999993</v>
      </c>
      <c r="D111" s="18"/>
      <c r="E111" s="18"/>
      <c r="F111" s="18">
        <v>0.156</v>
      </c>
      <c r="G111" s="18"/>
      <c r="H111" s="18"/>
    </row>
    <row r="112" spans="1:8" s="21" customFormat="1" ht="15.6" x14ac:dyDescent="0.3">
      <c r="A112" s="32" t="s">
        <v>100</v>
      </c>
      <c r="B112" s="32" t="s">
        <v>182</v>
      </c>
      <c r="C112" s="18">
        <v>49</v>
      </c>
      <c r="D112" s="18"/>
      <c r="E112" s="18"/>
      <c r="F112" s="18"/>
      <c r="G112" s="18"/>
      <c r="H112" s="18"/>
    </row>
    <row r="113" spans="1:8" s="21" customFormat="1" ht="15.6" x14ac:dyDescent="0.3">
      <c r="A113" s="32" t="s">
        <v>101</v>
      </c>
      <c r="B113" s="32" t="s">
        <v>181</v>
      </c>
      <c r="C113" s="18">
        <v>25.001999999999999</v>
      </c>
      <c r="D113" s="18">
        <v>13.897500000000001</v>
      </c>
      <c r="E113" s="18"/>
      <c r="F113" s="18">
        <v>1.6379999999999999</v>
      </c>
      <c r="G113" s="18"/>
      <c r="H113" s="18"/>
    </row>
    <row r="114" spans="1:8" s="21" customFormat="1" ht="15.6" x14ac:dyDescent="0.3">
      <c r="A114" s="32" t="s">
        <v>102</v>
      </c>
      <c r="B114" s="32" t="s">
        <v>145</v>
      </c>
      <c r="C114" s="18">
        <v>62.14</v>
      </c>
      <c r="D114" s="18"/>
      <c r="E114" s="18">
        <v>0.69</v>
      </c>
      <c r="F114" s="18"/>
      <c r="G114" s="18"/>
      <c r="H114" s="18"/>
    </row>
    <row r="115" spans="1:8" s="21" customFormat="1" ht="15.6" x14ac:dyDescent="0.3">
      <c r="A115" s="32" t="s">
        <v>103</v>
      </c>
      <c r="B115" s="32" t="s">
        <v>185</v>
      </c>
      <c r="C115" s="18">
        <v>52.8125</v>
      </c>
      <c r="D115" s="18"/>
      <c r="E115" s="18"/>
      <c r="F115" s="18"/>
      <c r="G115" s="18"/>
      <c r="H115" s="18"/>
    </row>
    <row r="116" spans="1:8" s="21" customFormat="1" ht="15.6" x14ac:dyDescent="0.3">
      <c r="A116" s="32" t="s">
        <v>104</v>
      </c>
      <c r="B116" s="32" t="s">
        <v>186</v>
      </c>
      <c r="C116" s="18">
        <v>71.375</v>
      </c>
      <c r="D116" s="18">
        <v>11.625</v>
      </c>
      <c r="E116" s="18"/>
      <c r="F116" s="18"/>
      <c r="G116" s="18"/>
      <c r="H116" s="18"/>
    </row>
    <row r="117" spans="1:8" s="21" customFormat="1" ht="15.6" x14ac:dyDescent="0.3">
      <c r="A117" s="32" t="s">
        <v>105</v>
      </c>
      <c r="B117" s="32" t="s">
        <v>155</v>
      </c>
      <c r="C117" s="18">
        <v>2.5919999999999996</v>
      </c>
      <c r="D117" s="18">
        <v>8.8079999999999998</v>
      </c>
      <c r="E117" s="18"/>
      <c r="F117" s="18"/>
      <c r="G117" s="18"/>
      <c r="H117" s="18"/>
    </row>
    <row r="118" spans="1:8" s="21" customFormat="1" ht="15.6" x14ac:dyDescent="0.3">
      <c r="A118" s="32" t="s">
        <v>106</v>
      </c>
      <c r="B118" s="32" t="s">
        <v>159</v>
      </c>
      <c r="C118" s="18">
        <v>19.96</v>
      </c>
      <c r="D118" s="18">
        <v>13.440000000000001</v>
      </c>
      <c r="E118" s="18"/>
      <c r="F118" s="18"/>
      <c r="G118" s="18"/>
      <c r="H118" s="18"/>
    </row>
    <row r="119" spans="1:8" s="21" customFormat="1" ht="15.6" x14ac:dyDescent="0.3">
      <c r="A119" s="32" t="s">
        <v>107</v>
      </c>
      <c r="B119" s="32" t="s">
        <v>160</v>
      </c>
      <c r="C119" s="18"/>
      <c r="D119" s="18"/>
      <c r="E119" s="18">
        <f>1.56+6.1</f>
        <v>7.66</v>
      </c>
      <c r="F119" s="18"/>
      <c r="G119" s="18"/>
      <c r="H119" s="18"/>
    </row>
    <row r="120" spans="1:8" s="21" customFormat="1" ht="15.6" x14ac:dyDescent="0.3">
      <c r="A120" s="32" t="s">
        <v>108</v>
      </c>
      <c r="B120" s="32" t="s">
        <v>161</v>
      </c>
      <c r="C120" s="18">
        <v>16.32</v>
      </c>
      <c r="D120" s="18">
        <v>9.9899999999999984</v>
      </c>
      <c r="E120" s="18"/>
      <c r="F120" s="18"/>
      <c r="G120" s="18"/>
      <c r="H120" s="18"/>
    </row>
    <row r="121" spans="1:8" s="21" customFormat="1" ht="15.6" x14ac:dyDescent="0.3">
      <c r="A121" s="32" t="s">
        <v>109</v>
      </c>
      <c r="B121" s="32" t="s">
        <v>162</v>
      </c>
      <c r="C121" s="18">
        <v>27.869999999999997</v>
      </c>
      <c r="D121" s="18"/>
      <c r="E121" s="18"/>
      <c r="F121" s="18"/>
      <c r="G121" s="18"/>
      <c r="H121" s="18"/>
    </row>
    <row r="122" spans="1:8" s="21" customFormat="1" ht="15.6" x14ac:dyDescent="0.3">
      <c r="A122" s="32" t="s">
        <v>110</v>
      </c>
      <c r="B122" s="32" t="s">
        <v>159</v>
      </c>
      <c r="C122" s="18">
        <v>19.160000000000004</v>
      </c>
      <c r="D122" s="18">
        <v>13.080000000000002</v>
      </c>
      <c r="E122" s="18"/>
      <c r="F122" s="18"/>
      <c r="G122" s="18"/>
      <c r="H122" s="18"/>
    </row>
    <row r="123" spans="1:8" s="21" customFormat="1" ht="15.6" x14ac:dyDescent="0.3">
      <c r="A123" s="32" t="s">
        <v>111</v>
      </c>
      <c r="B123" s="32" t="s">
        <v>161</v>
      </c>
      <c r="C123" s="18">
        <v>15.569999999999999</v>
      </c>
      <c r="D123" s="18">
        <v>9.9899999999999984</v>
      </c>
      <c r="E123" s="18"/>
      <c r="F123" s="18"/>
      <c r="G123" s="18"/>
      <c r="H123" s="18"/>
    </row>
    <row r="124" spans="1:8" s="21" customFormat="1" ht="15.6" x14ac:dyDescent="0.3">
      <c r="A124" s="32" t="s">
        <v>112</v>
      </c>
      <c r="B124" s="32" t="s">
        <v>162</v>
      </c>
      <c r="C124" s="18">
        <v>21.179999999999996</v>
      </c>
      <c r="D124" s="18">
        <v>5.73</v>
      </c>
      <c r="E124" s="18"/>
      <c r="F124" s="18"/>
      <c r="G124" s="18"/>
      <c r="H124" s="18"/>
    </row>
    <row r="125" spans="1:8" s="21" customFormat="1" ht="15.6" x14ac:dyDescent="0.3">
      <c r="A125" s="32" t="s">
        <v>113</v>
      </c>
      <c r="B125" s="32" t="s">
        <v>160</v>
      </c>
      <c r="C125" s="18"/>
      <c r="D125" s="18"/>
      <c r="E125" s="18">
        <f>1.53+6.13</f>
        <v>7.66</v>
      </c>
      <c r="F125" s="18"/>
      <c r="G125" s="18"/>
      <c r="H125" s="18"/>
    </row>
    <row r="126" spans="1:8" s="21" customFormat="1" ht="86.4" x14ac:dyDescent="0.3">
      <c r="A126" s="32" t="s">
        <v>114</v>
      </c>
      <c r="B126" s="32" t="s">
        <v>196</v>
      </c>
      <c r="C126" s="18">
        <v>15.864999999999998</v>
      </c>
      <c r="D126" s="18">
        <v>34.4</v>
      </c>
      <c r="E126" s="18"/>
      <c r="F126" s="18">
        <v>12.285</v>
      </c>
      <c r="G126" s="18"/>
      <c r="H126" s="18"/>
    </row>
    <row r="127" spans="1:8" s="21" customFormat="1" ht="28.8" x14ac:dyDescent="0.3">
      <c r="A127" s="32" t="s">
        <v>115</v>
      </c>
      <c r="B127" s="32" t="s">
        <v>197</v>
      </c>
      <c r="C127" s="18">
        <v>5.0699999999999994</v>
      </c>
      <c r="D127" s="18">
        <v>1.1100000000000001</v>
      </c>
      <c r="E127" s="18"/>
      <c r="F127" s="18"/>
      <c r="G127" s="18"/>
      <c r="H127" s="18"/>
    </row>
    <row r="128" spans="1:8" s="21" customFormat="1" ht="100.8" x14ac:dyDescent="0.3">
      <c r="A128" s="32" t="s">
        <v>116</v>
      </c>
      <c r="B128" s="32" t="s">
        <v>198</v>
      </c>
      <c r="C128" s="18">
        <v>14.195</v>
      </c>
      <c r="D128" s="18">
        <v>36.099999999999994</v>
      </c>
      <c r="E128" s="18"/>
      <c r="F128" s="18">
        <v>7.8550000000000004</v>
      </c>
      <c r="G128" s="18"/>
      <c r="H128" s="18"/>
    </row>
    <row r="129" spans="1:12" s="21" customFormat="1" ht="43.2" x14ac:dyDescent="0.3">
      <c r="A129" s="32" t="s">
        <v>117</v>
      </c>
      <c r="B129" s="32" t="s">
        <v>199</v>
      </c>
      <c r="C129" s="18">
        <v>2.73</v>
      </c>
      <c r="D129" s="18">
        <v>9</v>
      </c>
      <c r="E129" s="18"/>
      <c r="F129" s="18"/>
      <c r="G129" s="18"/>
      <c r="H129" s="18"/>
    </row>
    <row r="130" spans="1:12" s="21" customFormat="1" ht="15.6" x14ac:dyDescent="0.3">
      <c r="A130" s="32" t="s">
        <v>118</v>
      </c>
      <c r="B130" s="32" t="s">
        <v>200</v>
      </c>
      <c r="C130" s="18">
        <v>9.9600000000000009</v>
      </c>
      <c r="D130" s="18">
        <v>5.44</v>
      </c>
      <c r="E130" s="18"/>
      <c r="F130" s="18"/>
      <c r="G130" s="18"/>
      <c r="H130" s="18"/>
    </row>
    <row r="131" spans="1:12" s="21" customFormat="1" ht="15.6" x14ac:dyDescent="0.3">
      <c r="A131" s="32" t="s">
        <v>119</v>
      </c>
      <c r="B131" s="32" t="s">
        <v>191</v>
      </c>
      <c r="C131" s="18">
        <v>64.6875</v>
      </c>
      <c r="D131" s="18"/>
      <c r="E131" s="18"/>
      <c r="F131" s="18"/>
      <c r="G131" s="18"/>
      <c r="H131" s="18"/>
    </row>
    <row r="132" spans="1:12" s="21" customFormat="1" ht="28.8" x14ac:dyDescent="0.3">
      <c r="A132" s="32" t="s">
        <v>120</v>
      </c>
      <c r="B132" s="32" t="s">
        <v>184</v>
      </c>
      <c r="C132" s="18">
        <v>5.79</v>
      </c>
      <c r="D132" s="18">
        <v>5.31</v>
      </c>
      <c r="E132" s="18"/>
      <c r="F132" s="18"/>
      <c r="G132" s="18"/>
      <c r="H132" s="18"/>
    </row>
    <row r="133" spans="1:12" s="21" customFormat="1" ht="15.6" x14ac:dyDescent="0.3">
      <c r="A133" s="32" t="s">
        <v>121</v>
      </c>
      <c r="B133" s="32" t="s">
        <v>145</v>
      </c>
      <c r="C133" s="18">
        <v>12.239999999999998</v>
      </c>
      <c r="D133" s="18">
        <v>15.75</v>
      </c>
      <c r="E133" s="18"/>
      <c r="F133" s="18"/>
      <c r="G133" s="18"/>
      <c r="H133" s="18"/>
    </row>
    <row r="134" spans="1:12" s="21" customFormat="1" ht="15.6" x14ac:dyDescent="0.3">
      <c r="A134" s="32" t="s">
        <v>122</v>
      </c>
      <c r="B134" s="32" t="s">
        <v>145</v>
      </c>
      <c r="C134" s="18">
        <v>17.399999999999999</v>
      </c>
      <c r="D134" s="18">
        <v>36.869999999999997</v>
      </c>
      <c r="E134" s="18"/>
      <c r="F134" s="18"/>
      <c r="G134" s="18"/>
      <c r="H134" s="18"/>
    </row>
    <row r="135" spans="1:12" s="21" customFormat="1" ht="15.6" x14ac:dyDescent="0.3">
      <c r="A135" s="32" t="s">
        <v>123</v>
      </c>
      <c r="B135" s="32" t="s">
        <v>192</v>
      </c>
      <c r="C135" s="18">
        <v>52.1875</v>
      </c>
      <c r="D135" s="18"/>
      <c r="E135" s="18"/>
      <c r="F135" s="18"/>
      <c r="G135" s="18"/>
      <c r="H135" s="18"/>
    </row>
    <row r="136" spans="1:12" s="21" customFormat="1" ht="15.6" x14ac:dyDescent="0.3">
      <c r="A136" s="32" t="s">
        <v>124</v>
      </c>
      <c r="B136" s="32" t="s">
        <v>145</v>
      </c>
      <c r="C136" s="18">
        <v>10.62</v>
      </c>
      <c r="D136" s="18">
        <v>18.899999999999999</v>
      </c>
      <c r="E136" s="18"/>
      <c r="F136" s="18"/>
      <c r="G136" s="18"/>
      <c r="H136" s="18"/>
    </row>
    <row r="137" spans="1:12" s="21" customFormat="1" ht="15.6" x14ac:dyDescent="0.3">
      <c r="A137" s="32" t="s">
        <v>125</v>
      </c>
      <c r="B137" s="32" t="s">
        <v>181</v>
      </c>
      <c r="C137" s="18">
        <v>24.912000000000003</v>
      </c>
      <c r="D137" s="18">
        <v>21.531600000000001</v>
      </c>
      <c r="E137" s="18"/>
      <c r="F137" s="18">
        <v>5.1479999999999997</v>
      </c>
      <c r="G137" s="18"/>
      <c r="H137" s="18"/>
    </row>
    <row r="138" spans="1:12" s="3" customFormat="1" ht="28.8" x14ac:dyDescent="0.3">
      <c r="A138" s="33" t="s">
        <v>126</v>
      </c>
      <c r="B138" s="34"/>
      <c r="C138" s="9">
        <f>SUM(C103:C137)</f>
        <v>711.38625000000002</v>
      </c>
      <c r="D138" s="9">
        <f t="shared" ref="D138:H138" si="2">SUM(D103:D137)</f>
        <v>340.87569999999999</v>
      </c>
      <c r="E138" s="9">
        <f t="shared" si="2"/>
        <v>28.084999999999997</v>
      </c>
      <c r="F138" s="9">
        <f t="shared" si="2"/>
        <v>83.649249999999995</v>
      </c>
      <c r="G138" s="9">
        <f t="shared" si="2"/>
        <v>0</v>
      </c>
      <c r="H138" s="9">
        <f t="shared" si="2"/>
        <v>1.17</v>
      </c>
    </row>
    <row r="139" spans="1:12" s="2" customFormat="1" ht="43.2" x14ac:dyDescent="0.3">
      <c r="A139" s="35" t="s">
        <v>216</v>
      </c>
      <c r="B139" s="36"/>
      <c r="C139" s="4">
        <f t="shared" ref="C139:H139" si="3">C138+C101+C48</f>
        <v>2019.5709999999997</v>
      </c>
      <c r="D139" s="4">
        <f t="shared" si="3"/>
        <v>921.35473500000012</v>
      </c>
      <c r="E139" s="4">
        <f t="shared" si="3"/>
        <v>308.42155000000002</v>
      </c>
      <c r="F139" s="4">
        <f t="shared" si="3"/>
        <v>187.29249999999999</v>
      </c>
      <c r="G139" s="4">
        <f t="shared" si="3"/>
        <v>1.6559999999999999</v>
      </c>
      <c r="H139" s="4">
        <f t="shared" si="3"/>
        <v>21.026000000000003</v>
      </c>
      <c r="I139" s="22"/>
      <c r="J139" s="24" t="s">
        <v>207</v>
      </c>
      <c r="K139" s="25">
        <f>C139+D139+E139+F139+G139+H139</f>
        <v>3459.3217849999996</v>
      </c>
      <c r="L139" s="27">
        <f>K139/K140</f>
        <v>0.20675490646092312</v>
      </c>
    </row>
    <row r="140" spans="1:12" x14ac:dyDescent="0.3">
      <c r="A140" s="40"/>
      <c r="B140" s="40"/>
      <c r="C140" s="40"/>
      <c r="D140" s="40"/>
      <c r="E140" s="12"/>
      <c r="F140" s="12"/>
      <c r="G140" s="12"/>
      <c r="H140" s="13"/>
      <c r="J140" s="26" t="s">
        <v>208</v>
      </c>
      <c r="K140" s="29">
        <v>16731.509999999998</v>
      </c>
      <c r="L140" s="28">
        <v>1</v>
      </c>
    </row>
    <row r="141" spans="1:12" ht="15.6" x14ac:dyDescent="0.3">
      <c r="A141" s="54" t="s">
        <v>218</v>
      </c>
      <c r="B141" s="54"/>
      <c r="C141" s="54"/>
      <c r="D141" s="54"/>
      <c r="E141" s="54"/>
      <c r="F141" s="54"/>
      <c r="G141" s="54"/>
      <c r="H141" s="54"/>
      <c r="J141" s="26"/>
      <c r="K141" s="29"/>
      <c r="L141" s="28"/>
    </row>
    <row r="142" spans="1:12" ht="41.55" customHeight="1" x14ac:dyDescent="0.3">
      <c r="A142" s="55" t="s">
        <v>223</v>
      </c>
      <c r="B142" s="55"/>
      <c r="C142" s="55"/>
      <c r="D142" s="55"/>
      <c r="E142" s="55"/>
      <c r="F142" s="55"/>
      <c r="G142" s="55"/>
      <c r="H142" s="55"/>
      <c r="J142" s="26"/>
      <c r="K142" s="29"/>
      <c r="L142" s="28"/>
    </row>
    <row r="143" spans="1:12" x14ac:dyDescent="0.3">
      <c r="A143" s="56" t="s">
        <v>219</v>
      </c>
      <c r="B143" s="56"/>
      <c r="C143" s="56"/>
      <c r="D143" s="56"/>
      <c r="E143" s="56"/>
      <c r="F143" s="56"/>
      <c r="G143" s="56"/>
      <c r="H143" s="56"/>
      <c r="J143" s="26"/>
      <c r="K143" s="29"/>
      <c r="L143" s="28"/>
    </row>
    <row r="144" spans="1:12" x14ac:dyDescent="0.3">
      <c r="A144" s="56" t="s">
        <v>220</v>
      </c>
      <c r="B144" s="56"/>
      <c r="C144" s="56"/>
      <c r="D144" s="56"/>
      <c r="E144" s="56"/>
      <c r="F144" s="56"/>
      <c r="G144" s="56"/>
      <c r="H144" s="56"/>
      <c r="J144" s="26"/>
      <c r="K144" s="29"/>
      <c r="L144" s="28"/>
    </row>
    <row r="145" spans="1:12" x14ac:dyDescent="0.3">
      <c r="A145" s="56" t="s">
        <v>221</v>
      </c>
      <c r="B145" s="56"/>
      <c r="C145" s="56"/>
      <c r="D145" s="56"/>
      <c r="E145" s="56"/>
      <c r="F145" s="56"/>
      <c r="G145" s="56"/>
      <c r="H145" s="56"/>
      <c r="J145" s="26"/>
      <c r="K145" s="29"/>
      <c r="L145" s="28"/>
    </row>
    <row r="146" spans="1:12" x14ac:dyDescent="0.3">
      <c r="A146" s="56" t="s">
        <v>222</v>
      </c>
      <c r="B146" s="56"/>
      <c r="C146" s="56"/>
      <c r="D146" s="56"/>
      <c r="E146" s="56"/>
      <c r="F146" s="56"/>
      <c r="G146" s="56"/>
      <c r="H146" s="56"/>
      <c r="J146" s="26"/>
      <c r="K146" s="29"/>
      <c r="L146" s="28"/>
    </row>
    <row r="147" spans="1:12" x14ac:dyDescent="0.3">
      <c r="A147" s="57"/>
      <c r="B147" s="58"/>
      <c r="C147" s="58"/>
      <c r="D147" s="58"/>
      <c r="E147" s="58"/>
      <c r="F147" s="58"/>
      <c r="G147" s="58"/>
      <c r="H147" s="58"/>
      <c r="J147" s="26"/>
      <c r="K147" s="29"/>
      <c r="L147" s="28"/>
    </row>
    <row r="148" spans="1:12" x14ac:dyDescent="0.3">
      <c r="A148" s="37"/>
      <c r="B148" s="38"/>
      <c r="C148" s="38"/>
      <c r="D148" s="39"/>
      <c r="E148" s="12"/>
      <c r="F148" s="12"/>
      <c r="G148" s="12"/>
      <c r="H148" s="13"/>
      <c r="J148" s="26"/>
      <c r="K148" s="29"/>
      <c r="L148" s="28"/>
    </row>
    <row r="149" spans="1:12" x14ac:dyDescent="0.3">
      <c r="A149" s="37"/>
      <c r="B149" s="38"/>
      <c r="C149" s="38"/>
      <c r="D149" s="39"/>
      <c r="E149" s="12"/>
      <c r="F149" s="12"/>
      <c r="G149" s="12"/>
      <c r="H149" s="13"/>
      <c r="J149" s="26"/>
      <c r="K149" s="29"/>
      <c r="L149" s="28"/>
    </row>
    <row r="150" spans="1:12" x14ac:dyDescent="0.3">
      <c r="A150" s="15" t="s">
        <v>130</v>
      </c>
      <c r="B150" s="19"/>
      <c r="C150" s="5"/>
      <c r="D150" s="6"/>
      <c r="E150" s="16" t="s">
        <v>202</v>
      </c>
      <c r="F150" s="12"/>
      <c r="G150" s="12"/>
      <c r="H150" s="13"/>
      <c r="J150" s="26"/>
      <c r="K150" s="26"/>
      <c r="L150" s="26"/>
    </row>
    <row r="151" spans="1:12" x14ac:dyDescent="0.3">
      <c r="A151" s="49" t="s">
        <v>131</v>
      </c>
      <c r="B151" s="50"/>
      <c r="C151" s="51"/>
      <c r="D151" s="52"/>
      <c r="E151" s="12"/>
      <c r="F151" s="12"/>
      <c r="G151" s="12"/>
      <c r="H151" s="13"/>
    </row>
    <row r="152" spans="1:12" x14ac:dyDescent="0.3">
      <c r="A152" s="14"/>
      <c r="B152" s="14"/>
      <c r="C152" s="14"/>
      <c r="D152" s="14"/>
      <c r="E152" s="12"/>
      <c r="F152" s="12"/>
      <c r="G152" s="12"/>
      <c r="H152" s="13"/>
    </row>
    <row r="153" spans="1:12" x14ac:dyDescent="0.3">
      <c r="A153" s="17" t="s">
        <v>203</v>
      </c>
      <c r="B153" s="20"/>
      <c r="C153" s="10"/>
      <c r="D153" s="11"/>
      <c r="E153" s="16" t="s">
        <v>204</v>
      </c>
      <c r="F153" s="16"/>
      <c r="G153" s="16"/>
      <c r="H153" s="13"/>
    </row>
    <row r="154" spans="1:12" x14ac:dyDescent="0.3">
      <c r="A154" s="49" t="s">
        <v>131</v>
      </c>
      <c r="B154" s="50"/>
      <c r="C154" s="51"/>
      <c r="D154" s="52"/>
      <c r="E154" s="12"/>
      <c r="F154" s="12"/>
      <c r="G154" s="12"/>
      <c r="H154" s="13"/>
    </row>
    <row r="155" spans="1:12" x14ac:dyDescent="0.3">
      <c r="A155" s="14"/>
      <c r="B155" s="14"/>
      <c r="C155" s="14"/>
      <c r="D155" s="14"/>
      <c r="E155" s="12"/>
      <c r="F155" s="12"/>
      <c r="G155" s="12"/>
      <c r="H155" s="13"/>
    </row>
    <row r="156" spans="1:12" x14ac:dyDescent="0.3">
      <c r="A156" s="17" t="s">
        <v>132</v>
      </c>
      <c r="B156" s="20"/>
      <c r="C156" s="10"/>
      <c r="D156" s="11"/>
      <c r="E156" s="16" t="s">
        <v>226</v>
      </c>
      <c r="F156" s="12"/>
      <c r="G156" s="12"/>
      <c r="H156" s="13"/>
    </row>
    <row r="157" spans="1:12" x14ac:dyDescent="0.3">
      <c r="A157" s="45" t="s">
        <v>131</v>
      </c>
      <c r="B157" s="46"/>
      <c r="C157" s="47"/>
      <c r="D157" s="48"/>
      <c r="E157" s="12"/>
      <c r="F157" s="12"/>
      <c r="G157" s="12"/>
      <c r="H157" s="13"/>
    </row>
  </sheetData>
  <autoFilter ref="A9:H139"/>
  <mergeCells count="22">
    <mergeCell ref="A157:D157"/>
    <mergeCell ref="A151:D151"/>
    <mergeCell ref="A10:B10"/>
    <mergeCell ref="A49:B49"/>
    <mergeCell ref="A102:B102"/>
    <mergeCell ref="A141:H141"/>
    <mergeCell ref="A142:H142"/>
    <mergeCell ref="A143:H143"/>
    <mergeCell ref="A144:H144"/>
    <mergeCell ref="A145:H145"/>
    <mergeCell ref="A146:H146"/>
    <mergeCell ref="A147:H147"/>
    <mergeCell ref="A154:D154"/>
    <mergeCell ref="A1:H1"/>
    <mergeCell ref="A8:A9"/>
    <mergeCell ref="C8:E8"/>
    <mergeCell ref="F8:H8"/>
    <mergeCell ref="A7:H7"/>
    <mergeCell ref="A4:H4"/>
    <mergeCell ref="A3:H3"/>
    <mergeCell ref="A2:H2"/>
    <mergeCell ref="A5:H5"/>
  </mergeCells>
  <phoneticPr fontId="2" type="noConversion"/>
  <pageMargins left="0.39370078740157483" right="0" top="0.15748031496062992" bottom="0.35433070866141736" header="0.31496062992125984" footer="0.31496062992125984"/>
  <pageSetup paperSize="9" scale="73" fitToHeight="23" orientation="portrait" r:id="rId1"/>
  <rowBreaks count="1" manualBreakCount="1">
    <brk id="101" max="7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A62"/>
  <sheetViews>
    <sheetView topLeftCell="A38" zoomScale="70" zoomScaleNormal="70" workbookViewId="0">
      <selection activeCell="A45" sqref="A1:CO1048576"/>
    </sheetView>
  </sheetViews>
  <sheetFormatPr defaultRowHeight="14.4" x14ac:dyDescent="0.3"/>
  <sheetData>
    <row r="8" ht="28.5" customHeight="1" x14ac:dyDescent="0.3"/>
    <row r="9" ht="28.5" customHeight="1" x14ac:dyDescent="0.3"/>
    <row r="10" s="1" customFormat="1" ht="169.05" customHeight="1" x14ac:dyDescent="0.3"/>
    <row r="11" s="21" customFormat="1" ht="31.8" customHeight="1" x14ac:dyDescent="0.3"/>
    <row r="12" s="21" customFormat="1" x14ac:dyDescent="0.3"/>
    <row r="13" s="21" customFormat="1" x14ac:dyDescent="0.3"/>
    <row r="14" s="21" customFormat="1" x14ac:dyDescent="0.3"/>
    <row r="15" s="21" customFormat="1" x14ac:dyDescent="0.3"/>
    <row r="16" s="21" customFormat="1" x14ac:dyDescent="0.3"/>
    <row r="17" s="21" customFormat="1" x14ac:dyDescent="0.3"/>
    <row r="18" s="21" customFormat="1" x14ac:dyDescent="0.3"/>
    <row r="19" s="21" customFormat="1" x14ac:dyDescent="0.3"/>
    <row r="20" s="21" customFormat="1" x14ac:dyDescent="0.3"/>
    <row r="21" s="21" customFormat="1" x14ac:dyDescent="0.3"/>
    <row r="22" s="21" customFormat="1" x14ac:dyDescent="0.3"/>
    <row r="23" s="21" customFormat="1" x14ac:dyDescent="0.3"/>
    <row r="24" s="21" customFormat="1" x14ac:dyDescent="0.3"/>
    <row r="25" s="21" customFormat="1" x14ac:dyDescent="0.3"/>
    <row r="26" s="21" customFormat="1" x14ac:dyDescent="0.3"/>
    <row r="27" s="21" customFormat="1" x14ac:dyDescent="0.3"/>
    <row r="28" s="21" customFormat="1" x14ac:dyDescent="0.3"/>
    <row r="29" s="21" customFormat="1" x14ac:dyDescent="0.3"/>
    <row r="30" s="21" customFormat="1" x14ac:dyDescent="0.3"/>
    <row r="31" s="21" customFormat="1" x14ac:dyDescent="0.3"/>
    <row r="32" s="21" customFormat="1" x14ac:dyDescent="0.3"/>
    <row r="33" s="21" customFormat="1" x14ac:dyDescent="0.3"/>
    <row r="34" s="21" customFormat="1" x14ac:dyDescent="0.3"/>
    <row r="35" s="21" customFormat="1" x14ac:dyDescent="0.3"/>
    <row r="36" s="21" customFormat="1" x14ac:dyDescent="0.3"/>
    <row r="37" s="21" customFormat="1" x14ac:dyDescent="0.3"/>
    <row r="38" s="21" customFormat="1" x14ac:dyDescent="0.3"/>
    <row r="39" s="21" customFormat="1" x14ac:dyDescent="0.3"/>
    <row r="40" s="21" customFormat="1" x14ac:dyDescent="0.3"/>
    <row r="41" s="21" customFormat="1" x14ac:dyDescent="0.3"/>
    <row r="42" s="21" customFormat="1" x14ac:dyDescent="0.3"/>
    <row r="43" s="21" customFormat="1" x14ac:dyDescent="0.3"/>
    <row r="44" s="21" customFormat="1" x14ac:dyDescent="0.3"/>
    <row r="45" s="21" customFormat="1" x14ac:dyDescent="0.3"/>
    <row r="46" s="21" customFormat="1" x14ac:dyDescent="0.3"/>
    <row r="47" s="21" customFormat="1" x14ac:dyDescent="0.3"/>
    <row r="48" s="21" customFormat="1" x14ac:dyDescent="0.3"/>
    <row r="49" s="21" customFormat="1" x14ac:dyDescent="0.3"/>
    <row r="50" s="21" customFormat="1" x14ac:dyDescent="0.3"/>
    <row r="51" s="21" customFormat="1" x14ac:dyDescent="0.3"/>
    <row r="52" s="21" customFormat="1" x14ac:dyDescent="0.3"/>
    <row r="53" s="21" customFormat="1" x14ac:dyDescent="0.3"/>
    <row r="54" s="21" customFormat="1" x14ac:dyDescent="0.3"/>
    <row r="55" s="21" customFormat="1" x14ac:dyDescent="0.3"/>
    <row r="56" s="21" customFormat="1" x14ac:dyDescent="0.3"/>
    <row r="57" s="21" customFormat="1" x14ac:dyDescent="0.3"/>
    <row r="58" s="21" customFormat="1" x14ac:dyDescent="0.3"/>
    <row r="59" s="21" customFormat="1" x14ac:dyDescent="0.3"/>
    <row r="60" s="21" customFormat="1" x14ac:dyDescent="0.3"/>
    <row r="61" s="21" customFormat="1" x14ac:dyDescent="0.3"/>
    <row r="62" s="2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Баскакова</dc:creator>
  <cp:lastModifiedBy>Linux</cp:lastModifiedBy>
  <cp:lastPrinted>2026-04-15T11:00:58Z</cp:lastPrinted>
  <dcterms:created xsi:type="dcterms:W3CDTF">2015-06-05T18:19:34Z</dcterms:created>
  <dcterms:modified xsi:type="dcterms:W3CDTF">2026-04-25T12:47:06Z</dcterms:modified>
</cp:coreProperties>
</file>