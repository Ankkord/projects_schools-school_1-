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kronshtatsky\"/>
    </mc:Choice>
  </mc:AlternateContent>
  <bookViews>
    <workbookView xWindow="0" yWindow="0" windowWidth="17256" windowHeight="6636" activeTab="1"/>
  </bookViews>
  <sheets>
    <sheet name="ТКП" sheetId="1" r:id="rId1"/>
    <sheet name="Лист1" sheetId="2" r:id="rId2"/>
  </sheets>
  <definedNames>
    <definedName name="_xlnm._FilterDatabase" localSheetId="0" hidden="1">ТКП!$A$7:$U$7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65" i="2" l="1"/>
  <c r="S565" i="2"/>
  <c r="Y565" i="2" s="1"/>
  <c r="M565" i="2"/>
  <c r="Z564" i="2"/>
  <c r="AA564" i="2" s="1"/>
  <c r="Y564" i="2"/>
  <c r="W564" i="2"/>
  <c r="V564" i="2"/>
  <c r="U564" i="2"/>
  <c r="R564" i="2"/>
  <c r="X564" i="2" s="1"/>
  <c r="O564" i="2"/>
  <c r="L564" i="2"/>
  <c r="V563" i="2"/>
  <c r="S563" i="2"/>
  <c r="Y563" i="2" s="1"/>
  <c r="M563" i="2"/>
  <c r="Z562" i="2"/>
  <c r="Y562" i="2"/>
  <c r="X562" i="2"/>
  <c r="W562" i="2"/>
  <c r="V562" i="2"/>
  <c r="U562" i="2"/>
  <c r="R562" i="2"/>
  <c r="O562" i="2"/>
  <c r="L562" i="2"/>
  <c r="V561" i="2"/>
  <c r="S561" i="2"/>
  <c r="Y561" i="2" s="1"/>
  <c r="M561" i="2"/>
  <c r="Z560" i="2"/>
  <c r="Y560" i="2"/>
  <c r="AA560" i="2" s="1"/>
  <c r="X560" i="2"/>
  <c r="W560" i="2"/>
  <c r="V560" i="2"/>
  <c r="U560" i="2"/>
  <c r="R560" i="2"/>
  <c r="O560" i="2"/>
  <c r="L560" i="2"/>
  <c r="V559" i="2"/>
  <c r="S559" i="2"/>
  <c r="Y559" i="2" s="1"/>
  <c r="M559" i="2"/>
  <c r="Z558" i="2"/>
  <c r="Y558" i="2"/>
  <c r="AA558" i="2" s="1"/>
  <c r="W558" i="2"/>
  <c r="V558" i="2"/>
  <c r="U558" i="2"/>
  <c r="R558" i="2"/>
  <c r="X558" i="2" s="1"/>
  <c r="O558" i="2"/>
  <c r="L558" i="2"/>
  <c r="Y557" i="2"/>
  <c r="V557" i="2"/>
  <c r="S557" i="2"/>
  <c r="M557" i="2"/>
  <c r="Z556" i="2"/>
  <c r="Y556" i="2"/>
  <c r="W556" i="2"/>
  <c r="V556" i="2"/>
  <c r="U556" i="2"/>
  <c r="R556" i="2"/>
  <c r="X556" i="2" s="1"/>
  <c r="O556" i="2"/>
  <c r="L556" i="2"/>
  <c r="Y555" i="2"/>
  <c r="V555" i="2"/>
  <c r="S555" i="2"/>
  <c r="M555" i="2"/>
  <c r="Z554" i="2"/>
  <c r="Y554" i="2"/>
  <c r="AA554" i="2" s="1"/>
  <c r="X554" i="2"/>
  <c r="W554" i="2"/>
  <c r="V554" i="2"/>
  <c r="U554" i="2"/>
  <c r="R554" i="2"/>
  <c r="O554" i="2"/>
  <c r="L554" i="2"/>
  <c r="V553" i="2"/>
  <c r="S553" i="2"/>
  <c r="Y553" i="2" s="1"/>
  <c r="M553" i="2"/>
  <c r="Z552" i="2"/>
  <c r="AA552" i="2" s="1"/>
  <c r="Y552" i="2"/>
  <c r="W552" i="2"/>
  <c r="V552" i="2"/>
  <c r="U552" i="2"/>
  <c r="R552" i="2"/>
  <c r="X552" i="2" s="1"/>
  <c r="O552" i="2"/>
  <c r="L552" i="2"/>
  <c r="V551" i="2"/>
  <c r="S551" i="2"/>
  <c r="Y551" i="2" s="1"/>
  <c r="M551" i="2"/>
  <c r="AA550" i="2"/>
  <c r="Z550" i="2"/>
  <c r="Y550" i="2"/>
  <c r="W550" i="2"/>
  <c r="V550" i="2"/>
  <c r="U550" i="2"/>
  <c r="R550" i="2"/>
  <c r="X550" i="2" s="1"/>
  <c r="O550" i="2"/>
  <c r="L550" i="2"/>
  <c r="Y549" i="2"/>
  <c r="V549" i="2"/>
  <c r="S549" i="2"/>
  <c r="M549" i="2"/>
  <c r="V548" i="2"/>
  <c r="S548" i="2"/>
  <c r="Y548" i="2" s="1"/>
  <c r="M548" i="2"/>
  <c r="V547" i="2"/>
  <c r="S547" i="2"/>
  <c r="Y547" i="2" s="1"/>
  <c r="M547" i="2"/>
  <c r="V546" i="2"/>
  <c r="S546" i="2"/>
  <c r="Y546" i="2" s="1"/>
  <c r="M546" i="2"/>
  <c r="V545" i="2"/>
  <c r="S545" i="2"/>
  <c r="Y545" i="2" s="1"/>
  <c r="M545" i="2"/>
  <c r="V544" i="2"/>
  <c r="S544" i="2"/>
  <c r="Y544" i="2" s="1"/>
  <c r="M544" i="2"/>
  <c r="Y543" i="2"/>
  <c r="V543" i="2"/>
  <c r="S543" i="2"/>
  <c r="M543" i="2"/>
  <c r="V542" i="2"/>
  <c r="S542" i="2"/>
  <c r="Y542" i="2" s="1"/>
  <c r="M542" i="2"/>
  <c r="Y541" i="2"/>
  <c r="V541" i="2"/>
  <c r="S541" i="2"/>
  <c r="M541" i="2"/>
  <c r="Y540" i="2"/>
  <c r="V540" i="2"/>
  <c r="S540" i="2"/>
  <c r="M540" i="2"/>
  <c r="Y539" i="2"/>
  <c r="V539" i="2"/>
  <c r="S539" i="2"/>
  <c r="M539" i="2"/>
  <c r="V538" i="2"/>
  <c r="S538" i="2"/>
  <c r="Y538" i="2" s="1"/>
  <c r="M538" i="2"/>
  <c r="V537" i="2"/>
  <c r="S537" i="2"/>
  <c r="Y537" i="2" s="1"/>
  <c r="M537" i="2"/>
  <c r="Z536" i="2"/>
  <c r="AA536" i="2" s="1"/>
  <c r="Y536" i="2"/>
  <c r="W536" i="2"/>
  <c r="V536" i="2"/>
  <c r="U536" i="2"/>
  <c r="R536" i="2"/>
  <c r="X536" i="2" s="1"/>
  <c r="O536" i="2"/>
  <c r="L536" i="2"/>
  <c r="V535" i="2"/>
  <c r="S535" i="2"/>
  <c r="Y535" i="2" s="1"/>
  <c r="M535" i="2"/>
  <c r="V534" i="2"/>
  <c r="S534" i="2"/>
  <c r="Y534" i="2" s="1"/>
  <c r="M534" i="2"/>
  <c r="Y533" i="2"/>
  <c r="V533" i="2"/>
  <c r="S533" i="2"/>
  <c r="M533" i="2"/>
  <c r="V532" i="2"/>
  <c r="S532" i="2"/>
  <c r="Y532" i="2" s="1"/>
  <c r="M532" i="2"/>
  <c r="V531" i="2"/>
  <c r="S531" i="2"/>
  <c r="Y531" i="2" s="1"/>
  <c r="M531" i="2"/>
  <c r="Y530" i="2"/>
  <c r="V530" i="2"/>
  <c r="S530" i="2"/>
  <c r="M530" i="2"/>
  <c r="V529" i="2"/>
  <c r="S529" i="2"/>
  <c r="Y529" i="2" s="1"/>
  <c r="M529" i="2"/>
  <c r="V528" i="2"/>
  <c r="S528" i="2"/>
  <c r="Y528" i="2" s="1"/>
  <c r="M528" i="2"/>
  <c r="V527" i="2"/>
  <c r="S527" i="2"/>
  <c r="Y527" i="2" s="1"/>
  <c r="M527" i="2"/>
  <c r="V526" i="2"/>
  <c r="S526" i="2"/>
  <c r="Y526" i="2" s="1"/>
  <c r="M526" i="2"/>
  <c r="Y525" i="2"/>
  <c r="V525" i="2"/>
  <c r="S525" i="2"/>
  <c r="M525" i="2"/>
  <c r="V524" i="2"/>
  <c r="S524" i="2"/>
  <c r="Y524" i="2" s="1"/>
  <c r="M524" i="2"/>
  <c r="V523" i="2"/>
  <c r="S523" i="2"/>
  <c r="Y523" i="2" s="1"/>
  <c r="M523" i="2"/>
  <c r="AA522" i="2"/>
  <c r="Z522" i="2"/>
  <c r="Y522" i="2"/>
  <c r="W522" i="2"/>
  <c r="V522" i="2"/>
  <c r="U522" i="2"/>
  <c r="R522" i="2"/>
  <c r="X522" i="2" s="1"/>
  <c r="O522" i="2"/>
  <c r="L522" i="2"/>
  <c r="V521" i="2"/>
  <c r="S521" i="2"/>
  <c r="Y521" i="2" s="1"/>
  <c r="M521" i="2"/>
  <c r="Z520" i="2"/>
  <c r="Y520" i="2"/>
  <c r="AA520" i="2" s="1"/>
  <c r="W520" i="2"/>
  <c r="V520" i="2"/>
  <c r="U520" i="2"/>
  <c r="R520" i="2"/>
  <c r="X520" i="2" s="1"/>
  <c r="O520" i="2"/>
  <c r="L520" i="2"/>
  <c r="V519" i="2"/>
  <c r="S519" i="2"/>
  <c r="Y519" i="2" s="1"/>
  <c r="M519" i="2"/>
  <c r="Z518" i="2"/>
  <c r="Y518" i="2"/>
  <c r="AA518" i="2" s="1"/>
  <c r="W518" i="2"/>
  <c r="V518" i="2"/>
  <c r="U518" i="2"/>
  <c r="R518" i="2"/>
  <c r="X518" i="2" s="1"/>
  <c r="O518" i="2"/>
  <c r="L518" i="2"/>
  <c r="Z517" i="2"/>
  <c r="AA517" i="2" s="1"/>
  <c r="W517" i="2"/>
  <c r="U517" i="2"/>
  <c r="R517" i="2"/>
  <c r="X517" i="2" s="1"/>
  <c r="O517" i="2"/>
  <c r="L517" i="2"/>
  <c r="Z516" i="2"/>
  <c r="AA516" i="2" s="1"/>
  <c r="W516" i="2"/>
  <c r="U516" i="2"/>
  <c r="R516" i="2"/>
  <c r="X516" i="2" s="1"/>
  <c r="O516" i="2"/>
  <c r="L516" i="2"/>
  <c r="Y515" i="2"/>
  <c r="V515" i="2"/>
  <c r="S515" i="2"/>
  <c r="M515" i="2"/>
  <c r="Z514" i="2"/>
  <c r="Y514" i="2"/>
  <c r="AA514" i="2" s="1"/>
  <c r="W514" i="2"/>
  <c r="V514" i="2"/>
  <c r="U514" i="2"/>
  <c r="R514" i="2"/>
  <c r="X514" i="2" s="1"/>
  <c r="O514" i="2"/>
  <c r="L514" i="2"/>
  <c r="Y513" i="2"/>
  <c r="V513" i="2"/>
  <c r="S513" i="2"/>
  <c r="M513" i="2"/>
  <c r="Z512" i="2"/>
  <c r="Y512" i="2"/>
  <c r="AA512" i="2" s="1"/>
  <c r="W512" i="2"/>
  <c r="V512" i="2"/>
  <c r="U512" i="2"/>
  <c r="R512" i="2"/>
  <c r="X512" i="2" s="1"/>
  <c r="O512" i="2"/>
  <c r="L512" i="2"/>
  <c r="Y511" i="2"/>
  <c r="V511" i="2"/>
  <c r="S511" i="2"/>
  <c r="M511" i="2"/>
  <c r="AA510" i="2"/>
  <c r="Z510" i="2"/>
  <c r="Y510" i="2"/>
  <c r="W510" i="2"/>
  <c r="V510" i="2"/>
  <c r="U510" i="2"/>
  <c r="R510" i="2"/>
  <c r="X510" i="2" s="1"/>
  <c r="O510" i="2"/>
  <c r="L510" i="2"/>
  <c r="Y509" i="2"/>
  <c r="V509" i="2"/>
  <c r="S509" i="2"/>
  <c r="M509" i="2"/>
  <c r="Z508" i="2"/>
  <c r="Y508" i="2"/>
  <c r="AA508" i="2" s="1"/>
  <c r="W508" i="2"/>
  <c r="V508" i="2"/>
  <c r="U508" i="2"/>
  <c r="R508" i="2"/>
  <c r="X508" i="2" s="1"/>
  <c r="O508" i="2"/>
  <c r="L508" i="2"/>
  <c r="V507" i="2"/>
  <c r="S507" i="2"/>
  <c r="Y507" i="2" s="1"/>
  <c r="M507" i="2"/>
  <c r="Z506" i="2"/>
  <c r="Y506" i="2"/>
  <c r="AA506" i="2" s="1"/>
  <c r="W506" i="2"/>
  <c r="V506" i="2"/>
  <c r="U506" i="2"/>
  <c r="R506" i="2"/>
  <c r="X506" i="2" s="1"/>
  <c r="O506" i="2"/>
  <c r="L506" i="2"/>
  <c r="V505" i="2"/>
  <c r="S505" i="2"/>
  <c r="Y505" i="2" s="1"/>
  <c r="M505" i="2"/>
  <c r="Z504" i="2"/>
  <c r="Y504" i="2"/>
  <c r="W504" i="2"/>
  <c r="V504" i="2"/>
  <c r="U504" i="2"/>
  <c r="R504" i="2"/>
  <c r="X504" i="2" s="1"/>
  <c r="O504" i="2"/>
  <c r="L504" i="2"/>
  <c r="Y503" i="2"/>
  <c r="V503" i="2"/>
  <c r="S503" i="2"/>
  <c r="M503" i="2"/>
  <c r="V502" i="2"/>
  <c r="S502" i="2"/>
  <c r="Y502" i="2" s="1"/>
  <c r="M502" i="2"/>
  <c r="AA501" i="2"/>
  <c r="Z501" i="2"/>
  <c r="Y501" i="2"/>
  <c r="W501" i="2"/>
  <c r="V501" i="2"/>
  <c r="U501" i="2"/>
  <c r="R501" i="2"/>
  <c r="X501" i="2" s="1"/>
  <c r="O501" i="2"/>
  <c r="L501" i="2"/>
  <c r="V500" i="2"/>
  <c r="S500" i="2"/>
  <c r="Y500" i="2" s="1"/>
  <c r="M500" i="2"/>
  <c r="V499" i="2"/>
  <c r="S499" i="2"/>
  <c r="Y499" i="2" s="1"/>
  <c r="M499" i="2"/>
  <c r="Y498" i="2"/>
  <c r="V498" i="2"/>
  <c r="S498" i="2"/>
  <c r="M498" i="2"/>
  <c r="Z497" i="2"/>
  <c r="Y497" i="2"/>
  <c r="AA497" i="2" s="1"/>
  <c r="X497" i="2"/>
  <c r="W497" i="2"/>
  <c r="V497" i="2"/>
  <c r="U497" i="2"/>
  <c r="R497" i="2"/>
  <c r="O497" i="2"/>
  <c r="L497" i="2"/>
  <c r="T496" i="2"/>
  <c r="S496" i="2"/>
  <c r="N496" i="2"/>
  <c r="M496" i="2"/>
  <c r="V495" i="2"/>
  <c r="S495" i="2"/>
  <c r="Y495" i="2" s="1"/>
  <c r="M495" i="2"/>
  <c r="V494" i="2"/>
  <c r="S494" i="2"/>
  <c r="Y494" i="2" s="1"/>
  <c r="M494" i="2"/>
  <c r="Z493" i="2"/>
  <c r="Y493" i="2"/>
  <c r="W493" i="2"/>
  <c r="V493" i="2"/>
  <c r="U493" i="2"/>
  <c r="R493" i="2"/>
  <c r="X493" i="2" s="1"/>
  <c r="O493" i="2"/>
  <c r="L493" i="2"/>
  <c r="V492" i="2"/>
  <c r="S492" i="2"/>
  <c r="Y492" i="2" s="1"/>
  <c r="M492" i="2"/>
  <c r="V491" i="2"/>
  <c r="S491" i="2"/>
  <c r="Y491" i="2" s="1"/>
  <c r="M491" i="2"/>
  <c r="Z490" i="2"/>
  <c r="Y490" i="2"/>
  <c r="W490" i="2"/>
  <c r="V490" i="2"/>
  <c r="U490" i="2"/>
  <c r="R490" i="2"/>
  <c r="X490" i="2" s="1"/>
  <c r="O490" i="2"/>
  <c r="L490" i="2"/>
  <c r="V489" i="2"/>
  <c r="S489" i="2"/>
  <c r="Y489" i="2" s="1"/>
  <c r="M489" i="2"/>
  <c r="V488" i="2"/>
  <c r="S488" i="2"/>
  <c r="Y488" i="2" s="1"/>
  <c r="M488" i="2"/>
  <c r="Z487" i="2"/>
  <c r="Y487" i="2"/>
  <c r="AA487" i="2" s="1"/>
  <c r="W487" i="2"/>
  <c r="V487" i="2"/>
  <c r="U487" i="2"/>
  <c r="R487" i="2"/>
  <c r="X487" i="2" s="1"/>
  <c r="O487" i="2"/>
  <c r="L487" i="2"/>
  <c r="V486" i="2"/>
  <c r="S486" i="2"/>
  <c r="Y486" i="2" s="1"/>
  <c r="M486" i="2"/>
  <c r="V485" i="2"/>
  <c r="S485" i="2"/>
  <c r="Y485" i="2" s="1"/>
  <c r="M485" i="2"/>
  <c r="Z484" i="2"/>
  <c r="Y484" i="2"/>
  <c r="W484" i="2"/>
  <c r="V484" i="2"/>
  <c r="U484" i="2"/>
  <c r="R484" i="2"/>
  <c r="X484" i="2" s="1"/>
  <c r="O484" i="2"/>
  <c r="L484" i="2"/>
  <c r="V483" i="2"/>
  <c r="S483" i="2"/>
  <c r="Y483" i="2" s="1"/>
  <c r="M483" i="2"/>
  <c r="V482" i="2"/>
  <c r="S482" i="2"/>
  <c r="Y482" i="2" s="1"/>
  <c r="M482" i="2"/>
  <c r="Z481" i="2"/>
  <c r="Y481" i="2"/>
  <c r="AA481" i="2" s="1"/>
  <c r="W481" i="2"/>
  <c r="V481" i="2"/>
  <c r="U481" i="2"/>
  <c r="R481" i="2"/>
  <c r="X481" i="2" s="1"/>
  <c r="O481" i="2"/>
  <c r="L481" i="2"/>
  <c r="V480" i="2"/>
  <c r="S480" i="2"/>
  <c r="Y480" i="2" s="1"/>
  <c r="M480" i="2"/>
  <c r="V479" i="2"/>
  <c r="S479" i="2"/>
  <c r="Y479" i="2" s="1"/>
  <c r="M479" i="2"/>
  <c r="Z478" i="2"/>
  <c r="Y478" i="2"/>
  <c r="AA478" i="2" s="1"/>
  <c r="X478" i="2"/>
  <c r="W478" i="2"/>
  <c r="V478" i="2"/>
  <c r="U478" i="2"/>
  <c r="R478" i="2"/>
  <c r="O478" i="2"/>
  <c r="L478" i="2"/>
  <c r="V477" i="2"/>
  <c r="S477" i="2"/>
  <c r="Y477" i="2" s="1"/>
  <c r="M477" i="2"/>
  <c r="V476" i="2"/>
  <c r="S476" i="2"/>
  <c r="Y476" i="2" s="1"/>
  <c r="M476" i="2"/>
  <c r="Z475" i="2"/>
  <c r="Y475" i="2"/>
  <c r="AA475" i="2" s="1"/>
  <c r="X475" i="2"/>
  <c r="W475" i="2"/>
  <c r="V475" i="2"/>
  <c r="U475" i="2"/>
  <c r="R475" i="2"/>
  <c r="O475" i="2"/>
  <c r="L475" i="2"/>
  <c r="V474" i="2"/>
  <c r="S474" i="2"/>
  <c r="Y474" i="2" s="1"/>
  <c r="M474" i="2"/>
  <c r="V473" i="2"/>
  <c r="S473" i="2"/>
  <c r="Y473" i="2" s="1"/>
  <c r="M473" i="2"/>
  <c r="Z472" i="2"/>
  <c r="Y472" i="2"/>
  <c r="X472" i="2"/>
  <c r="W472" i="2"/>
  <c r="V472" i="2"/>
  <c r="U472" i="2"/>
  <c r="R472" i="2"/>
  <c r="O472" i="2"/>
  <c r="L472" i="2"/>
  <c r="Y471" i="2"/>
  <c r="V471" i="2"/>
  <c r="S471" i="2"/>
  <c r="M471" i="2"/>
  <c r="V470" i="2"/>
  <c r="S470" i="2"/>
  <c r="Y470" i="2" s="1"/>
  <c r="M470" i="2"/>
  <c r="Z469" i="2"/>
  <c r="Y469" i="2"/>
  <c r="W469" i="2"/>
  <c r="V469" i="2"/>
  <c r="U469" i="2"/>
  <c r="R469" i="2"/>
  <c r="X469" i="2" s="1"/>
  <c r="O469" i="2"/>
  <c r="L469" i="2"/>
  <c r="T468" i="2"/>
  <c r="T454" i="2" s="1"/>
  <c r="S468" i="2"/>
  <c r="N468" i="2"/>
  <c r="M468" i="2"/>
  <c r="V467" i="2"/>
  <c r="S467" i="2"/>
  <c r="Y467" i="2" s="1"/>
  <c r="M467" i="2"/>
  <c r="V466" i="2"/>
  <c r="S466" i="2"/>
  <c r="Y466" i="2" s="1"/>
  <c r="M466" i="2"/>
  <c r="Z465" i="2"/>
  <c r="Y465" i="2"/>
  <c r="AA465" i="2" s="1"/>
  <c r="X465" i="2"/>
  <c r="W465" i="2"/>
  <c r="V465" i="2"/>
  <c r="U465" i="2"/>
  <c r="R465" i="2"/>
  <c r="O465" i="2"/>
  <c r="L465" i="2"/>
  <c r="V464" i="2"/>
  <c r="S464" i="2"/>
  <c r="Y464" i="2" s="1"/>
  <c r="M464" i="2"/>
  <c r="V463" i="2"/>
  <c r="S463" i="2"/>
  <c r="Y463" i="2" s="1"/>
  <c r="M463" i="2"/>
  <c r="Z462" i="2"/>
  <c r="Y462" i="2"/>
  <c r="W462" i="2"/>
  <c r="V462" i="2"/>
  <c r="U462" i="2"/>
  <c r="R462" i="2"/>
  <c r="X462" i="2" s="1"/>
  <c r="O462" i="2"/>
  <c r="L462" i="2"/>
  <c r="V461" i="2"/>
  <c r="S461" i="2"/>
  <c r="Y461" i="2" s="1"/>
  <c r="M461" i="2"/>
  <c r="V460" i="2"/>
  <c r="S460" i="2"/>
  <c r="Y460" i="2" s="1"/>
  <c r="M460" i="2"/>
  <c r="Z459" i="2"/>
  <c r="Y459" i="2"/>
  <c r="W459" i="2"/>
  <c r="V459" i="2"/>
  <c r="U459" i="2"/>
  <c r="R459" i="2"/>
  <c r="X459" i="2" s="1"/>
  <c r="O459" i="2"/>
  <c r="L459" i="2"/>
  <c r="V458" i="2"/>
  <c r="S458" i="2"/>
  <c r="Y458" i="2" s="1"/>
  <c r="M458" i="2"/>
  <c r="V457" i="2"/>
  <c r="S457" i="2"/>
  <c r="Y457" i="2" s="1"/>
  <c r="M457" i="2"/>
  <c r="Z456" i="2"/>
  <c r="AA456" i="2" s="1"/>
  <c r="Y456" i="2"/>
  <c r="W456" i="2"/>
  <c r="V456" i="2"/>
  <c r="U456" i="2"/>
  <c r="R456" i="2"/>
  <c r="X456" i="2" s="1"/>
  <c r="O456" i="2"/>
  <c r="O455" i="2" s="1"/>
  <c r="L456" i="2"/>
  <c r="T455" i="2"/>
  <c r="S455" i="2"/>
  <c r="S454" i="2" s="1"/>
  <c r="N455" i="2"/>
  <c r="M455" i="2"/>
  <c r="N454" i="2"/>
  <c r="M454" i="2"/>
  <c r="Y453" i="2"/>
  <c r="V453" i="2"/>
  <c r="S453" i="2"/>
  <c r="M453" i="2"/>
  <c r="V452" i="2"/>
  <c r="S452" i="2"/>
  <c r="Y452" i="2" s="1"/>
  <c r="M452" i="2"/>
  <c r="V451" i="2"/>
  <c r="S451" i="2"/>
  <c r="Y451" i="2" s="1"/>
  <c r="M451" i="2"/>
  <c r="Y450" i="2"/>
  <c r="V450" i="2"/>
  <c r="S450" i="2"/>
  <c r="M450" i="2"/>
  <c r="Z449" i="2"/>
  <c r="AA449" i="2" s="1"/>
  <c r="Y449" i="2"/>
  <c r="W449" i="2"/>
  <c r="V449" i="2"/>
  <c r="U449" i="2"/>
  <c r="R449" i="2"/>
  <c r="X449" i="2" s="1"/>
  <c r="O449" i="2"/>
  <c r="L449" i="2"/>
  <c r="V448" i="2"/>
  <c r="S448" i="2"/>
  <c r="Y448" i="2" s="1"/>
  <c r="M448" i="2"/>
  <c r="V447" i="2"/>
  <c r="S447" i="2"/>
  <c r="Y447" i="2" s="1"/>
  <c r="M447" i="2"/>
  <c r="V446" i="2"/>
  <c r="S446" i="2"/>
  <c r="Y446" i="2" s="1"/>
  <c r="M446" i="2"/>
  <c r="Y445" i="2"/>
  <c r="V445" i="2"/>
  <c r="S445" i="2"/>
  <c r="M445" i="2"/>
  <c r="Z444" i="2"/>
  <c r="Y444" i="2"/>
  <c r="W444" i="2"/>
  <c r="V444" i="2"/>
  <c r="U444" i="2"/>
  <c r="R444" i="2"/>
  <c r="X444" i="2" s="1"/>
  <c r="O444" i="2"/>
  <c r="L444" i="2"/>
  <c r="Y443" i="2"/>
  <c r="V443" i="2"/>
  <c r="S443" i="2"/>
  <c r="M443" i="2"/>
  <c r="V442" i="2"/>
  <c r="S442" i="2"/>
  <c r="Y442" i="2" s="1"/>
  <c r="M442" i="2"/>
  <c r="V441" i="2"/>
  <c r="S441" i="2"/>
  <c r="Y441" i="2" s="1"/>
  <c r="M441" i="2"/>
  <c r="V440" i="2"/>
  <c r="S440" i="2"/>
  <c r="Y440" i="2" s="1"/>
  <c r="M440" i="2"/>
  <c r="Z439" i="2"/>
  <c r="Y439" i="2"/>
  <c r="AA439" i="2" s="1"/>
  <c r="W439" i="2"/>
  <c r="V439" i="2"/>
  <c r="U439" i="2"/>
  <c r="R439" i="2"/>
  <c r="X439" i="2" s="1"/>
  <c r="O439" i="2"/>
  <c r="L439" i="2"/>
  <c r="Y438" i="2"/>
  <c r="V438" i="2"/>
  <c r="S438" i="2"/>
  <c r="M438" i="2"/>
  <c r="Y437" i="2"/>
  <c r="V437" i="2"/>
  <c r="S437" i="2"/>
  <c r="M437" i="2"/>
  <c r="V436" i="2"/>
  <c r="S436" i="2"/>
  <c r="Y436" i="2" s="1"/>
  <c r="M436" i="2"/>
  <c r="V435" i="2"/>
  <c r="S435" i="2"/>
  <c r="Y435" i="2" s="1"/>
  <c r="M435" i="2"/>
  <c r="Z434" i="2"/>
  <c r="Y434" i="2"/>
  <c r="Y433" i="2" s="1"/>
  <c r="W434" i="2"/>
  <c r="V434" i="2"/>
  <c r="U434" i="2"/>
  <c r="R434" i="2"/>
  <c r="X434" i="2" s="1"/>
  <c r="O434" i="2"/>
  <c r="L434" i="2"/>
  <c r="T433" i="2"/>
  <c r="S433" i="2"/>
  <c r="O433" i="2"/>
  <c r="N433" i="2"/>
  <c r="M433" i="2"/>
  <c r="V432" i="2"/>
  <c r="S432" i="2"/>
  <c r="Y432" i="2" s="1"/>
  <c r="M432" i="2"/>
  <c r="V431" i="2"/>
  <c r="S431" i="2"/>
  <c r="Y431" i="2" s="1"/>
  <c r="M431" i="2"/>
  <c r="V430" i="2"/>
  <c r="S430" i="2"/>
  <c r="Y430" i="2" s="1"/>
  <c r="M430" i="2"/>
  <c r="V429" i="2"/>
  <c r="S429" i="2"/>
  <c r="Y429" i="2" s="1"/>
  <c r="M429" i="2"/>
  <c r="Z428" i="2"/>
  <c r="Y428" i="2"/>
  <c r="W428" i="2"/>
  <c r="V428" i="2"/>
  <c r="U428" i="2"/>
  <c r="R428" i="2"/>
  <c r="X428" i="2" s="1"/>
  <c r="O428" i="2"/>
  <c r="L428" i="2"/>
  <c r="V427" i="2"/>
  <c r="S427" i="2"/>
  <c r="Y427" i="2" s="1"/>
  <c r="M427" i="2"/>
  <c r="V426" i="2"/>
  <c r="S426" i="2"/>
  <c r="Y426" i="2" s="1"/>
  <c r="M426" i="2"/>
  <c r="Y425" i="2"/>
  <c r="V425" i="2"/>
  <c r="S425" i="2"/>
  <c r="M425" i="2"/>
  <c r="V424" i="2"/>
  <c r="S424" i="2"/>
  <c r="Y424" i="2" s="1"/>
  <c r="M424" i="2"/>
  <c r="Z423" i="2"/>
  <c r="Y423" i="2"/>
  <c r="AA423" i="2" s="1"/>
  <c r="W423" i="2"/>
  <c r="V423" i="2"/>
  <c r="U423" i="2"/>
  <c r="R423" i="2"/>
  <c r="X423" i="2" s="1"/>
  <c r="O423" i="2"/>
  <c r="L423" i="2"/>
  <c r="V422" i="2"/>
  <c r="S422" i="2"/>
  <c r="Y422" i="2" s="1"/>
  <c r="M422" i="2"/>
  <c r="V421" i="2"/>
  <c r="S421" i="2"/>
  <c r="Y421" i="2" s="1"/>
  <c r="M421" i="2"/>
  <c r="V420" i="2"/>
  <c r="S420" i="2"/>
  <c r="Y420" i="2" s="1"/>
  <c r="M420" i="2"/>
  <c r="V419" i="2"/>
  <c r="S419" i="2"/>
  <c r="Y419" i="2" s="1"/>
  <c r="M419" i="2"/>
  <c r="Z418" i="2"/>
  <c r="Y418" i="2"/>
  <c r="W418" i="2"/>
  <c r="V418" i="2"/>
  <c r="U418" i="2"/>
  <c r="R418" i="2"/>
  <c r="X418" i="2" s="1"/>
  <c r="O418" i="2"/>
  <c r="L418" i="2"/>
  <c r="V417" i="2"/>
  <c r="S417" i="2"/>
  <c r="Y417" i="2" s="1"/>
  <c r="M417" i="2"/>
  <c r="Y416" i="2"/>
  <c r="V416" i="2"/>
  <c r="S416" i="2"/>
  <c r="M416" i="2"/>
  <c r="V415" i="2"/>
  <c r="S415" i="2"/>
  <c r="Y415" i="2" s="1"/>
  <c r="M415" i="2"/>
  <c r="V414" i="2"/>
  <c r="S414" i="2"/>
  <c r="Y414" i="2" s="1"/>
  <c r="M414" i="2"/>
  <c r="Z413" i="2"/>
  <c r="Y413" i="2"/>
  <c r="X413" i="2"/>
  <c r="W413" i="2"/>
  <c r="V413" i="2"/>
  <c r="U413" i="2"/>
  <c r="R413" i="2"/>
  <c r="O413" i="2"/>
  <c r="L413" i="2"/>
  <c r="V412" i="2"/>
  <c r="S412" i="2"/>
  <c r="Y412" i="2" s="1"/>
  <c r="M412" i="2"/>
  <c r="V411" i="2"/>
  <c r="S411" i="2"/>
  <c r="Y411" i="2" s="1"/>
  <c r="M411" i="2"/>
  <c r="V410" i="2"/>
  <c r="S410" i="2"/>
  <c r="Y410" i="2" s="1"/>
  <c r="M410" i="2"/>
  <c r="V409" i="2"/>
  <c r="S409" i="2"/>
  <c r="Y409" i="2" s="1"/>
  <c r="M409" i="2"/>
  <c r="Z408" i="2"/>
  <c r="Y408" i="2"/>
  <c r="X408" i="2"/>
  <c r="W408" i="2"/>
  <c r="V408" i="2"/>
  <c r="U408" i="2"/>
  <c r="R408" i="2"/>
  <c r="O408" i="2"/>
  <c r="L408" i="2"/>
  <c r="Y407" i="2"/>
  <c r="V407" i="2"/>
  <c r="S407" i="2"/>
  <c r="M407" i="2"/>
  <c r="V406" i="2"/>
  <c r="S406" i="2"/>
  <c r="Y406" i="2" s="1"/>
  <c r="M406" i="2"/>
  <c r="V405" i="2"/>
  <c r="S405" i="2"/>
  <c r="Y405" i="2" s="1"/>
  <c r="M405" i="2"/>
  <c r="Y404" i="2"/>
  <c r="V404" i="2"/>
  <c r="S404" i="2"/>
  <c r="M404" i="2"/>
  <c r="Z403" i="2"/>
  <c r="Y403" i="2"/>
  <c r="W403" i="2"/>
  <c r="V403" i="2"/>
  <c r="U403" i="2"/>
  <c r="R403" i="2"/>
  <c r="X403" i="2" s="1"/>
  <c r="O403" i="2"/>
  <c r="L403" i="2"/>
  <c r="Y402" i="2"/>
  <c r="V402" i="2"/>
  <c r="S402" i="2"/>
  <c r="M402" i="2"/>
  <c r="Y401" i="2"/>
  <c r="V401" i="2"/>
  <c r="S401" i="2"/>
  <c r="M401" i="2"/>
  <c r="V400" i="2"/>
  <c r="S400" i="2"/>
  <c r="Y400" i="2" s="1"/>
  <c r="M400" i="2"/>
  <c r="V399" i="2"/>
  <c r="S399" i="2"/>
  <c r="Y399" i="2" s="1"/>
  <c r="M399" i="2"/>
  <c r="Z398" i="2"/>
  <c r="Y398" i="2"/>
  <c r="AA398" i="2" s="1"/>
  <c r="X398" i="2"/>
  <c r="W398" i="2"/>
  <c r="V398" i="2"/>
  <c r="U398" i="2"/>
  <c r="R398" i="2"/>
  <c r="O398" i="2"/>
  <c r="L398" i="2"/>
  <c r="V397" i="2"/>
  <c r="S397" i="2"/>
  <c r="Y397" i="2" s="1"/>
  <c r="M397" i="2"/>
  <c r="V396" i="2"/>
  <c r="S396" i="2"/>
  <c r="Y396" i="2" s="1"/>
  <c r="M396" i="2"/>
  <c r="V395" i="2"/>
  <c r="S395" i="2"/>
  <c r="Y395" i="2" s="1"/>
  <c r="M395" i="2"/>
  <c r="Y394" i="2"/>
  <c r="V394" i="2"/>
  <c r="S394" i="2"/>
  <c r="M394" i="2"/>
  <c r="Z393" i="2"/>
  <c r="Y393" i="2"/>
  <c r="AA393" i="2" s="1"/>
  <c r="W393" i="2"/>
  <c r="V393" i="2"/>
  <c r="U393" i="2"/>
  <c r="R393" i="2"/>
  <c r="X393" i="2" s="1"/>
  <c r="O393" i="2"/>
  <c r="L393" i="2"/>
  <c r="Y392" i="2"/>
  <c r="V392" i="2"/>
  <c r="S392" i="2"/>
  <c r="M392" i="2"/>
  <c r="V391" i="2"/>
  <c r="S391" i="2"/>
  <c r="Y391" i="2" s="1"/>
  <c r="M391" i="2"/>
  <c r="V390" i="2"/>
  <c r="S390" i="2"/>
  <c r="Y390" i="2" s="1"/>
  <c r="M390" i="2"/>
  <c r="V389" i="2"/>
  <c r="S389" i="2"/>
  <c r="Y389" i="2" s="1"/>
  <c r="M389" i="2"/>
  <c r="Z388" i="2"/>
  <c r="Y388" i="2"/>
  <c r="AA388" i="2" s="1"/>
  <c r="W388" i="2"/>
  <c r="V388" i="2"/>
  <c r="U388" i="2"/>
  <c r="R388" i="2"/>
  <c r="X388" i="2" s="1"/>
  <c r="O388" i="2"/>
  <c r="L388" i="2"/>
  <c r="V387" i="2"/>
  <c r="S387" i="2"/>
  <c r="Y387" i="2" s="1"/>
  <c r="M387" i="2"/>
  <c r="V386" i="2"/>
  <c r="S386" i="2"/>
  <c r="Y386" i="2" s="1"/>
  <c r="M386" i="2"/>
  <c r="V385" i="2"/>
  <c r="S385" i="2"/>
  <c r="Y385" i="2" s="1"/>
  <c r="M385" i="2"/>
  <c r="V384" i="2"/>
  <c r="S384" i="2"/>
  <c r="Y384" i="2" s="1"/>
  <c r="M384" i="2"/>
  <c r="Z383" i="2"/>
  <c r="Y383" i="2"/>
  <c r="W383" i="2"/>
  <c r="V383" i="2"/>
  <c r="U383" i="2"/>
  <c r="R383" i="2"/>
  <c r="X383" i="2" s="1"/>
  <c r="O383" i="2"/>
  <c r="L383" i="2"/>
  <c r="V382" i="2"/>
  <c r="S382" i="2"/>
  <c r="Y382" i="2" s="1"/>
  <c r="M382" i="2"/>
  <c r="V381" i="2"/>
  <c r="S381" i="2"/>
  <c r="Y381" i="2" s="1"/>
  <c r="M381" i="2"/>
  <c r="V380" i="2"/>
  <c r="S380" i="2"/>
  <c r="Y380" i="2" s="1"/>
  <c r="M380" i="2"/>
  <c r="V379" i="2"/>
  <c r="S379" i="2"/>
  <c r="Y379" i="2" s="1"/>
  <c r="M379" i="2"/>
  <c r="Z378" i="2"/>
  <c r="Y378" i="2"/>
  <c r="AA378" i="2" s="1"/>
  <c r="W378" i="2"/>
  <c r="V378" i="2"/>
  <c r="U378" i="2"/>
  <c r="R378" i="2"/>
  <c r="X378" i="2" s="1"/>
  <c r="O378" i="2"/>
  <c r="L378" i="2"/>
  <c r="Y377" i="2"/>
  <c r="V377" i="2"/>
  <c r="S377" i="2"/>
  <c r="M377" i="2"/>
  <c r="Y376" i="2"/>
  <c r="V376" i="2"/>
  <c r="S376" i="2"/>
  <c r="M376" i="2"/>
  <c r="V375" i="2"/>
  <c r="S375" i="2"/>
  <c r="Y375" i="2" s="1"/>
  <c r="M375" i="2"/>
  <c r="V374" i="2"/>
  <c r="S374" i="2"/>
  <c r="Y374" i="2" s="1"/>
  <c r="M374" i="2"/>
  <c r="Z373" i="2"/>
  <c r="Y373" i="2"/>
  <c r="W373" i="2"/>
  <c r="V373" i="2"/>
  <c r="U373" i="2"/>
  <c r="R373" i="2"/>
  <c r="X373" i="2" s="1"/>
  <c r="O373" i="2"/>
  <c r="L373" i="2"/>
  <c r="V372" i="2"/>
  <c r="S372" i="2"/>
  <c r="Y372" i="2" s="1"/>
  <c r="M372" i="2"/>
  <c r="V371" i="2"/>
  <c r="S371" i="2"/>
  <c r="Y371" i="2" s="1"/>
  <c r="M371" i="2"/>
  <c r="Y370" i="2"/>
  <c r="V370" i="2"/>
  <c r="S370" i="2"/>
  <c r="M370" i="2"/>
  <c r="V369" i="2"/>
  <c r="S369" i="2"/>
  <c r="Y369" i="2" s="1"/>
  <c r="M369" i="2"/>
  <c r="Z368" i="2"/>
  <c r="Y368" i="2"/>
  <c r="W368" i="2"/>
  <c r="V368" i="2"/>
  <c r="U368" i="2"/>
  <c r="R368" i="2"/>
  <c r="X368" i="2" s="1"/>
  <c r="O368" i="2"/>
  <c r="L368" i="2"/>
  <c r="Y367" i="2"/>
  <c r="V367" i="2"/>
  <c r="S367" i="2"/>
  <c r="M367" i="2"/>
  <c r="V366" i="2"/>
  <c r="S366" i="2"/>
  <c r="Y366" i="2" s="1"/>
  <c r="M366" i="2"/>
  <c r="V365" i="2"/>
  <c r="S365" i="2"/>
  <c r="Y365" i="2" s="1"/>
  <c r="M365" i="2"/>
  <c r="V364" i="2"/>
  <c r="S364" i="2"/>
  <c r="Y364" i="2" s="1"/>
  <c r="M364" i="2"/>
  <c r="Z363" i="2"/>
  <c r="Y363" i="2"/>
  <c r="W363" i="2"/>
  <c r="V363" i="2"/>
  <c r="U363" i="2"/>
  <c r="R363" i="2"/>
  <c r="X363" i="2" s="1"/>
  <c r="O363" i="2"/>
  <c r="L363" i="2"/>
  <c r="V362" i="2"/>
  <c r="S362" i="2"/>
  <c r="Y362" i="2" s="1"/>
  <c r="M362" i="2"/>
  <c r="V361" i="2"/>
  <c r="S361" i="2"/>
  <c r="Y361" i="2" s="1"/>
  <c r="M361" i="2"/>
  <c r="Z360" i="2"/>
  <c r="Y360" i="2"/>
  <c r="W360" i="2"/>
  <c r="V360" i="2"/>
  <c r="U360" i="2"/>
  <c r="R360" i="2"/>
  <c r="X360" i="2" s="1"/>
  <c r="O360" i="2"/>
  <c r="L360" i="2"/>
  <c r="V359" i="2"/>
  <c r="S359" i="2"/>
  <c r="Y359" i="2" s="1"/>
  <c r="M359" i="2"/>
  <c r="Y358" i="2"/>
  <c r="V358" i="2"/>
  <c r="S358" i="2"/>
  <c r="M358" i="2"/>
  <c r="Z357" i="2"/>
  <c r="Y357" i="2"/>
  <c r="AA357" i="2" s="1"/>
  <c r="W357" i="2"/>
  <c r="V357" i="2"/>
  <c r="U357" i="2"/>
  <c r="R357" i="2"/>
  <c r="X357" i="2" s="1"/>
  <c r="O357" i="2"/>
  <c r="L357" i="2"/>
  <c r="Y356" i="2"/>
  <c r="V356" i="2"/>
  <c r="S356" i="2"/>
  <c r="M356" i="2"/>
  <c r="V355" i="2"/>
  <c r="S355" i="2"/>
  <c r="Y355" i="2" s="1"/>
  <c r="M355" i="2"/>
  <c r="Z354" i="2"/>
  <c r="Y354" i="2"/>
  <c r="AA354" i="2" s="1"/>
  <c r="W354" i="2"/>
  <c r="V354" i="2"/>
  <c r="U354" i="2"/>
  <c r="R354" i="2"/>
  <c r="X354" i="2" s="1"/>
  <c r="O354" i="2"/>
  <c r="L354" i="2"/>
  <c r="V353" i="2"/>
  <c r="S353" i="2"/>
  <c r="Y353" i="2" s="1"/>
  <c r="M353" i="2"/>
  <c r="V352" i="2"/>
  <c r="S352" i="2"/>
  <c r="Y352" i="2" s="1"/>
  <c r="M352" i="2"/>
  <c r="Z351" i="2"/>
  <c r="Y351" i="2"/>
  <c r="W351" i="2"/>
  <c r="V351" i="2"/>
  <c r="U351" i="2"/>
  <c r="R351" i="2"/>
  <c r="X351" i="2" s="1"/>
  <c r="O351" i="2"/>
  <c r="L351" i="2"/>
  <c r="V350" i="2"/>
  <c r="S350" i="2"/>
  <c r="Y350" i="2" s="1"/>
  <c r="M350" i="2"/>
  <c r="V349" i="2"/>
  <c r="S349" i="2"/>
  <c r="Y349" i="2" s="1"/>
  <c r="M349" i="2"/>
  <c r="Z348" i="2"/>
  <c r="AA348" i="2" s="1"/>
  <c r="Y348" i="2"/>
  <c r="W348" i="2"/>
  <c r="V348" i="2"/>
  <c r="U348" i="2"/>
  <c r="R348" i="2"/>
  <c r="X348" i="2" s="1"/>
  <c r="O348" i="2"/>
  <c r="L348" i="2"/>
  <c r="V347" i="2"/>
  <c r="S347" i="2"/>
  <c r="Y347" i="2" s="1"/>
  <c r="M347" i="2"/>
  <c r="V346" i="2"/>
  <c r="S346" i="2"/>
  <c r="Y346" i="2" s="1"/>
  <c r="M346" i="2"/>
  <c r="Z345" i="2"/>
  <c r="Y345" i="2"/>
  <c r="AA345" i="2" s="1"/>
  <c r="W345" i="2"/>
  <c r="V345" i="2"/>
  <c r="U345" i="2"/>
  <c r="R345" i="2"/>
  <c r="X345" i="2" s="1"/>
  <c r="O345" i="2"/>
  <c r="L345" i="2"/>
  <c r="V344" i="2"/>
  <c r="S344" i="2"/>
  <c r="Y344" i="2" s="1"/>
  <c r="M344" i="2"/>
  <c r="V343" i="2"/>
  <c r="S343" i="2"/>
  <c r="Y343" i="2" s="1"/>
  <c r="M343" i="2"/>
  <c r="Z342" i="2"/>
  <c r="Y342" i="2"/>
  <c r="AA342" i="2" s="1"/>
  <c r="W342" i="2"/>
  <c r="V342" i="2"/>
  <c r="U342" i="2"/>
  <c r="R342" i="2"/>
  <c r="X342" i="2" s="1"/>
  <c r="O342" i="2"/>
  <c r="L342" i="2"/>
  <c r="V341" i="2"/>
  <c r="S341" i="2"/>
  <c r="Y341" i="2" s="1"/>
  <c r="M341" i="2"/>
  <c r="Y340" i="2"/>
  <c r="V340" i="2"/>
  <c r="S340" i="2"/>
  <c r="M340" i="2"/>
  <c r="Z339" i="2"/>
  <c r="AA339" i="2" s="1"/>
  <c r="Y339" i="2"/>
  <c r="W339" i="2"/>
  <c r="V339" i="2"/>
  <c r="U339" i="2"/>
  <c r="R339" i="2"/>
  <c r="X339" i="2" s="1"/>
  <c r="O339" i="2"/>
  <c r="L339" i="2"/>
  <c r="V338" i="2"/>
  <c r="S338" i="2"/>
  <c r="Y338" i="2" s="1"/>
  <c r="M338" i="2"/>
  <c r="V337" i="2"/>
  <c r="S337" i="2"/>
  <c r="Y337" i="2" s="1"/>
  <c r="M337" i="2"/>
  <c r="Z336" i="2"/>
  <c r="Y336" i="2"/>
  <c r="AA336" i="2" s="1"/>
  <c r="W336" i="2"/>
  <c r="V336" i="2"/>
  <c r="U336" i="2"/>
  <c r="R336" i="2"/>
  <c r="X336" i="2" s="1"/>
  <c r="O336" i="2"/>
  <c r="L336" i="2"/>
  <c r="V335" i="2"/>
  <c r="S335" i="2"/>
  <c r="Y335" i="2" s="1"/>
  <c r="M335" i="2"/>
  <c r="V334" i="2"/>
  <c r="S334" i="2"/>
  <c r="Y334" i="2" s="1"/>
  <c r="M334" i="2"/>
  <c r="Z333" i="2"/>
  <c r="Y333" i="2"/>
  <c r="AA333" i="2" s="1"/>
  <c r="W333" i="2"/>
  <c r="V333" i="2"/>
  <c r="U333" i="2"/>
  <c r="R333" i="2"/>
  <c r="X333" i="2" s="1"/>
  <c r="O333" i="2"/>
  <c r="L333" i="2"/>
  <c r="V332" i="2"/>
  <c r="S332" i="2"/>
  <c r="Y332" i="2" s="1"/>
  <c r="M332" i="2"/>
  <c r="V331" i="2"/>
  <c r="S331" i="2"/>
  <c r="Y331" i="2" s="1"/>
  <c r="M331" i="2"/>
  <c r="Z330" i="2"/>
  <c r="Y330" i="2"/>
  <c r="AA330" i="2" s="1"/>
  <c r="W330" i="2"/>
  <c r="V330" i="2"/>
  <c r="U330" i="2"/>
  <c r="R330" i="2"/>
  <c r="X330" i="2" s="1"/>
  <c r="O330" i="2"/>
  <c r="L330" i="2"/>
  <c r="V329" i="2"/>
  <c r="S329" i="2"/>
  <c r="Y329" i="2" s="1"/>
  <c r="M329" i="2"/>
  <c r="V328" i="2"/>
  <c r="S328" i="2"/>
  <c r="Y328" i="2" s="1"/>
  <c r="M328" i="2"/>
  <c r="Z327" i="2"/>
  <c r="Y327" i="2"/>
  <c r="W327" i="2"/>
  <c r="V327" i="2"/>
  <c r="U327" i="2"/>
  <c r="R327" i="2"/>
  <c r="X327" i="2" s="1"/>
  <c r="O327" i="2"/>
  <c r="L327" i="2"/>
  <c r="V326" i="2"/>
  <c r="S326" i="2"/>
  <c r="Y326" i="2" s="1"/>
  <c r="M326" i="2"/>
  <c r="V325" i="2"/>
  <c r="S325" i="2"/>
  <c r="Y325" i="2" s="1"/>
  <c r="M325" i="2"/>
  <c r="Z324" i="2"/>
  <c r="Y324" i="2"/>
  <c r="AA324" i="2" s="1"/>
  <c r="W324" i="2"/>
  <c r="V324" i="2"/>
  <c r="U324" i="2"/>
  <c r="R324" i="2"/>
  <c r="X324" i="2" s="1"/>
  <c r="O324" i="2"/>
  <c r="L324" i="2"/>
  <c r="V323" i="2"/>
  <c r="S323" i="2"/>
  <c r="Y323" i="2" s="1"/>
  <c r="M323" i="2"/>
  <c r="V322" i="2"/>
  <c r="S322" i="2"/>
  <c r="Y322" i="2" s="1"/>
  <c r="M322" i="2"/>
  <c r="Z321" i="2"/>
  <c r="AA321" i="2" s="1"/>
  <c r="Y321" i="2"/>
  <c r="W321" i="2"/>
  <c r="V321" i="2"/>
  <c r="U321" i="2"/>
  <c r="R321" i="2"/>
  <c r="X321" i="2" s="1"/>
  <c r="O321" i="2"/>
  <c r="L321" i="2"/>
  <c r="V320" i="2"/>
  <c r="S320" i="2"/>
  <c r="Y320" i="2" s="1"/>
  <c r="M320" i="2"/>
  <c r="V319" i="2"/>
  <c r="S319" i="2"/>
  <c r="Y319" i="2" s="1"/>
  <c r="M319" i="2"/>
  <c r="Z318" i="2"/>
  <c r="Y318" i="2"/>
  <c r="AA318" i="2" s="1"/>
  <c r="W318" i="2"/>
  <c r="V318" i="2"/>
  <c r="U318" i="2"/>
  <c r="R318" i="2"/>
  <c r="X318" i="2" s="1"/>
  <c r="O318" i="2"/>
  <c r="L318" i="2"/>
  <c r="V317" i="2"/>
  <c r="S317" i="2"/>
  <c r="Y317" i="2" s="1"/>
  <c r="M317" i="2"/>
  <c r="V316" i="2"/>
  <c r="S316" i="2"/>
  <c r="Y316" i="2" s="1"/>
  <c r="M316" i="2"/>
  <c r="Z315" i="2"/>
  <c r="Y315" i="2"/>
  <c r="W315" i="2"/>
  <c r="V315" i="2"/>
  <c r="U315" i="2"/>
  <c r="R315" i="2"/>
  <c r="X315" i="2" s="1"/>
  <c r="O315" i="2"/>
  <c r="L315" i="2"/>
  <c r="V314" i="2"/>
  <c r="S314" i="2"/>
  <c r="Y314" i="2" s="1"/>
  <c r="M314" i="2"/>
  <c r="V313" i="2"/>
  <c r="S313" i="2"/>
  <c r="Y313" i="2" s="1"/>
  <c r="M313" i="2"/>
  <c r="Z312" i="2"/>
  <c r="Y312" i="2"/>
  <c r="AA312" i="2" s="1"/>
  <c r="W312" i="2"/>
  <c r="V312" i="2"/>
  <c r="U312" i="2"/>
  <c r="R312" i="2"/>
  <c r="X312" i="2" s="1"/>
  <c r="O312" i="2"/>
  <c r="L312" i="2"/>
  <c r="V311" i="2"/>
  <c r="S311" i="2"/>
  <c r="Y311" i="2" s="1"/>
  <c r="M311" i="2"/>
  <c r="V310" i="2"/>
  <c r="S310" i="2"/>
  <c r="Y310" i="2" s="1"/>
  <c r="M310" i="2"/>
  <c r="Z309" i="2"/>
  <c r="Y309" i="2"/>
  <c r="AA309" i="2" s="1"/>
  <c r="W309" i="2"/>
  <c r="V309" i="2"/>
  <c r="U309" i="2"/>
  <c r="R309" i="2"/>
  <c r="X309" i="2" s="1"/>
  <c r="O309" i="2"/>
  <c r="L309" i="2"/>
  <c r="V308" i="2"/>
  <c r="S308" i="2"/>
  <c r="Y308" i="2" s="1"/>
  <c r="M308" i="2"/>
  <c r="Z307" i="2"/>
  <c r="Y307" i="2"/>
  <c r="AA307" i="2" s="1"/>
  <c r="W307" i="2"/>
  <c r="V307" i="2"/>
  <c r="U307" i="2"/>
  <c r="R307" i="2"/>
  <c r="X307" i="2" s="1"/>
  <c r="O307" i="2"/>
  <c r="L307" i="2"/>
  <c r="V306" i="2"/>
  <c r="S306" i="2"/>
  <c r="Y306" i="2" s="1"/>
  <c r="M306" i="2"/>
  <c r="Z305" i="2"/>
  <c r="AA305" i="2" s="1"/>
  <c r="Y305" i="2"/>
  <c r="W305" i="2"/>
  <c r="V305" i="2"/>
  <c r="U305" i="2"/>
  <c r="R305" i="2"/>
  <c r="X305" i="2" s="1"/>
  <c r="O305" i="2"/>
  <c r="L305" i="2"/>
  <c r="Y304" i="2"/>
  <c r="V304" i="2"/>
  <c r="S304" i="2"/>
  <c r="M304" i="2"/>
  <c r="Z303" i="2"/>
  <c r="Y303" i="2"/>
  <c r="W303" i="2"/>
  <c r="V303" i="2"/>
  <c r="U303" i="2"/>
  <c r="R303" i="2"/>
  <c r="X303" i="2" s="1"/>
  <c r="O303" i="2"/>
  <c r="L303" i="2"/>
  <c r="V302" i="2"/>
  <c r="S302" i="2"/>
  <c r="Y302" i="2" s="1"/>
  <c r="M302" i="2"/>
  <c r="AA301" i="2"/>
  <c r="Z301" i="2"/>
  <c r="Y301" i="2"/>
  <c r="W301" i="2"/>
  <c r="V301" i="2"/>
  <c r="U301" i="2"/>
  <c r="R301" i="2"/>
  <c r="X301" i="2" s="1"/>
  <c r="O301" i="2"/>
  <c r="L301" i="2"/>
  <c r="V300" i="2"/>
  <c r="S300" i="2"/>
  <c r="Y300" i="2" s="1"/>
  <c r="M300" i="2"/>
  <c r="Z299" i="2"/>
  <c r="Y299" i="2"/>
  <c r="AA299" i="2" s="1"/>
  <c r="W299" i="2"/>
  <c r="V299" i="2"/>
  <c r="U299" i="2"/>
  <c r="R299" i="2"/>
  <c r="X299" i="2" s="1"/>
  <c r="O299" i="2"/>
  <c r="L299" i="2"/>
  <c r="V298" i="2"/>
  <c r="S298" i="2"/>
  <c r="Y298" i="2" s="1"/>
  <c r="M298" i="2"/>
  <c r="Z297" i="2"/>
  <c r="Y297" i="2"/>
  <c r="AA297" i="2" s="1"/>
  <c r="X297" i="2"/>
  <c r="W297" i="2"/>
  <c r="V297" i="2"/>
  <c r="U297" i="2"/>
  <c r="R297" i="2"/>
  <c r="O297" i="2"/>
  <c r="L297" i="2"/>
  <c r="V296" i="2"/>
  <c r="S296" i="2"/>
  <c r="Y296" i="2" s="1"/>
  <c r="M296" i="2"/>
  <c r="Z295" i="2"/>
  <c r="Y295" i="2"/>
  <c r="W295" i="2"/>
  <c r="V295" i="2"/>
  <c r="U295" i="2"/>
  <c r="R295" i="2"/>
  <c r="X295" i="2" s="1"/>
  <c r="O295" i="2"/>
  <c r="L295" i="2"/>
  <c r="V294" i="2"/>
  <c r="S294" i="2"/>
  <c r="Y294" i="2" s="1"/>
  <c r="M294" i="2"/>
  <c r="Z293" i="2"/>
  <c r="Y293" i="2"/>
  <c r="AA293" i="2" s="1"/>
  <c r="W293" i="2"/>
  <c r="V293" i="2"/>
  <c r="U293" i="2"/>
  <c r="R293" i="2"/>
  <c r="X293" i="2" s="1"/>
  <c r="O293" i="2"/>
  <c r="L293" i="2"/>
  <c r="V292" i="2"/>
  <c r="S292" i="2"/>
  <c r="Y292" i="2" s="1"/>
  <c r="M292" i="2"/>
  <c r="Z291" i="2"/>
  <c r="Y291" i="2"/>
  <c r="W291" i="2"/>
  <c r="V291" i="2"/>
  <c r="U291" i="2"/>
  <c r="R291" i="2"/>
  <c r="X291" i="2" s="1"/>
  <c r="O291" i="2"/>
  <c r="L291" i="2"/>
  <c r="V290" i="2"/>
  <c r="S290" i="2"/>
  <c r="Y290" i="2" s="1"/>
  <c r="M290" i="2"/>
  <c r="Z289" i="2"/>
  <c r="AA289" i="2" s="1"/>
  <c r="Y289" i="2"/>
  <c r="W289" i="2"/>
  <c r="V289" i="2"/>
  <c r="U289" i="2"/>
  <c r="R289" i="2"/>
  <c r="X289" i="2" s="1"/>
  <c r="O289" i="2"/>
  <c r="L289" i="2"/>
  <c r="V288" i="2"/>
  <c r="S288" i="2"/>
  <c r="Y288" i="2" s="1"/>
  <c r="M288" i="2"/>
  <c r="Z287" i="2"/>
  <c r="Y287" i="2"/>
  <c r="AA287" i="2" s="1"/>
  <c r="X287" i="2"/>
  <c r="W287" i="2"/>
  <c r="V287" i="2"/>
  <c r="U287" i="2"/>
  <c r="R287" i="2"/>
  <c r="O287" i="2"/>
  <c r="L287" i="2"/>
  <c r="V286" i="2"/>
  <c r="S286" i="2"/>
  <c r="Y286" i="2" s="1"/>
  <c r="M286" i="2"/>
  <c r="Z285" i="2"/>
  <c r="Y285" i="2"/>
  <c r="AA285" i="2" s="1"/>
  <c r="W285" i="2"/>
  <c r="V285" i="2"/>
  <c r="U285" i="2"/>
  <c r="R285" i="2"/>
  <c r="X285" i="2" s="1"/>
  <c r="O285" i="2"/>
  <c r="L285" i="2"/>
  <c r="V284" i="2"/>
  <c r="S284" i="2"/>
  <c r="Y284" i="2" s="1"/>
  <c r="M284" i="2"/>
  <c r="Z283" i="2"/>
  <c r="Y283" i="2"/>
  <c r="AA283" i="2" s="1"/>
  <c r="W283" i="2"/>
  <c r="V283" i="2"/>
  <c r="U283" i="2"/>
  <c r="R283" i="2"/>
  <c r="X283" i="2" s="1"/>
  <c r="O283" i="2"/>
  <c r="L283" i="2"/>
  <c r="V282" i="2"/>
  <c r="S282" i="2"/>
  <c r="Y282" i="2" s="1"/>
  <c r="M282" i="2"/>
  <c r="Z281" i="2"/>
  <c r="AA281" i="2" s="1"/>
  <c r="Y281" i="2"/>
  <c r="W281" i="2"/>
  <c r="V281" i="2"/>
  <c r="U281" i="2"/>
  <c r="R281" i="2"/>
  <c r="X281" i="2" s="1"/>
  <c r="O281" i="2"/>
  <c r="O268" i="2" s="1"/>
  <c r="L281" i="2"/>
  <c r="V280" i="2"/>
  <c r="S280" i="2"/>
  <c r="Y280" i="2" s="1"/>
  <c r="M280" i="2"/>
  <c r="Z279" i="2"/>
  <c r="Y279" i="2"/>
  <c r="W279" i="2"/>
  <c r="V279" i="2"/>
  <c r="U279" i="2"/>
  <c r="R279" i="2"/>
  <c r="X279" i="2" s="1"/>
  <c r="O279" i="2"/>
  <c r="L279" i="2"/>
  <c r="V278" i="2"/>
  <c r="S278" i="2"/>
  <c r="Y278" i="2" s="1"/>
  <c r="M278" i="2"/>
  <c r="Z277" i="2"/>
  <c r="Y277" i="2"/>
  <c r="AA277" i="2" s="1"/>
  <c r="X277" i="2"/>
  <c r="W277" i="2"/>
  <c r="V277" i="2"/>
  <c r="U277" i="2"/>
  <c r="R277" i="2"/>
  <c r="O277" i="2"/>
  <c r="L277" i="2"/>
  <c r="V276" i="2"/>
  <c r="S276" i="2"/>
  <c r="Y276" i="2" s="1"/>
  <c r="M276" i="2"/>
  <c r="Z275" i="2"/>
  <c r="AA275" i="2" s="1"/>
  <c r="Y275" i="2"/>
  <c r="W275" i="2"/>
  <c r="V275" i="2"/>
  <c r="U275" i="2"/>
  <c r="R275" i="2"/>
  <c r="X275" i="2" s="1"/>
  <c r="O275" i="2"/>
  <c r="L275" i="2"/>
  <c r="V274" i="2"/>
  <c r="S274" i="2"/>
  <c r="Y274" i="2" s="1"/>
  <c r="M274" i="2"/>
  <c r="Z273" i="2"/>
  <c r="Y273" i="2"/>
  <c r="W273" i="2"/>
  <c r="V273" i="2"/>
  <c r="U273" i="2"/>
  <c r="R273" i="2"/>
  <c r="X273" i="2" s="1"/>
  <c r="O273" i="2"/>
  <c r="L273" i="2"/>
  <c r="Y272" i="2"/>
  <c r="V272" i="2"/>
  <c r="S272" i="2"/>
  <c r="M272" i="2"/>
  <c r="Z271" i="2"/>
  <c r="Y271" i="2"/>
  <c r="W271" i="2"/>
  <c r="V271" i="2"/>
  <c r="U271" i="2"/>
  <c r="R271" i="2"/>
  <c r="X271" i="2" s="1"/>
  <c r="O271" i="2"/>
  <c r="L271" i="2"/>
  <c r="V270" i="2"/>
  <c r="S270" i="2"/>
  <c r="Y270" i="2" s="1"/>
  <c r="M270" i="2"/>
  <c r="AA269" i="2"/>
  <c r="Z269" i="2"/>
  <c r="Y269" i="2"/>
  <c r="X269" i="2"/>
  <c r="W269" i="2"/>
  <c r="V269" i="2"/>
  <c r="U269" i="2"/>
  <c r="R269" i="2"/>
  <c r="O269" i="2"/>
  <c r="L269" i="2"/>
  <c r="T268" i="2"/>
  <c r="S268" i="2"/>
  <c r="N268" i="2"/>
  <c r="M268" i="2"/>
  <c r="Y267" i="2"/>
  <c r="V267" i="2"/>
  <c r="S267" i="2"/>
  <c r="M267" i="2"/>
  <c r="V266" i="2"/>
  <c r="S266" i="2"/>
  <c r="Y266" i="2" s="1"/>
  <c r="M266" i="2"/>
  <c r="Z265" i="2"/>
  <c r="Y265" i="2"/>
  <c r="AA265" i="2" s="1"/>
  <c r="X265" i="2"/>
  <c r="W265" i="2"/>
  <c r="V265" i="2"/>
  <c r="U265" i="2"/>
  <c r="R265" i="2"/>
  <c r="O265" i="2"/>
  <c r="L265" i="2"/>
  <c r="Y264" i="2"/>
  <c r="V264" i="2"/>
  <c r="S264" i="2"/>
  <c r="M264" i="2"/>
  <c r="V263" i="2"/>
  <c r="S263" i="2"/>
  <c r="Y263" i="2" s="1"/>
  <c r="M263" i="2"/>
  <c r="Z262" i="2"/>
  <c r="Z261" i="2" s="1"/>
  <c r="Y262" i="2"/>
  <c r="X262" i="2"/>
  <c r="W262" i="2"/>
  <c r="V262" i="2"/>
  <c r="U262" i="2"/>
  <c r="R262" i="2"/>
  <c r="O262" i="2"/>
  <c r="O261" i="2" s="1"/>
  <c r="L262" i="2"/>
  <c r="T261" i="2"/>
  <c r="T260" i="2" s="1"/>
  <c r="S261" i="2"/>
  <c r="S260" i="2" s="1"/>
  <c r="N261" i="2"/>
  <c r="M261" i="2"/>
  <c r="V259" i="2"/>
  <c r="S259" i="2"/>
  <c r="Y259" i="2" s="1"/>
  <c r="M259" i="2"/>
  <c r="Z258" i="2"/>
  <c r="Y258" i="2"/>
  <c r="W258" i="2"/>
  <c r="V258" i="2"/>
  <c r="U258" i="2"/>
  <c r="R258" i="2"/>
  <c r="X258" i="2" s="1"/>
  <c r="O258" i="2"/>
  <c r="L258" i="2"/>
  <c r="V257" i="2"/>
  <c r="S257" i="2"/>
  <c r="Y257" i="2" s="1"/>
  <c r="M257" i="2"/>
  <c r="Z256" i="2"/>
  <c r="Y256" i="2"/>
  <c r="W256" i="2"/>
  <c r="V256" i="2"/>
  <c r="U256" i="2"/>
  <c r="R256" i="2"/>
  <c r="X256" i="2" s="1"/>
  <c r="O256" i="2"/>
  <c r="L256" i="2"/>
  <c r="T255" i="2"/>
  <c r="S255" i="2"/>
  <c r="O255" i="2"/>
  <c r="N255" i="2"/>
  <c r="M255" i="2"/>
  <c r="V254" i="2"/>
  <c r="S254" i="2"/>
  <c r="Y254" i="2" s="1"/>
  <c r="M254" i="2"/>
  <c r="V253" i="2"/>
  <c r="S253" i="2"/>
  <c r="Y253" i="2" s="1"/>
  <c r="M253" i="2"/>
  <c r="V252" i="2"/>
  <c r="S252" i="2"/>
  <c r="Y252" i="2" s="1"/>
  <c r="M252" i="2"/>
  <c r="V251" i="2"/>
  <c r="S251" i="2"/>
  <c r="Y251" i="2" s="1"/>
  <c r="M251" i="2"/>
  <c r="Z250" i="2"/>
  <c r="AA250" i="2" s="1"/>
  <c r="Y250" i="2"/>
  <c r="W250" i="2"/>
  <c r="V250" i="2"/>
  <c r="U250" i="2"/>
  <c r="R250" i="2"/>
  <c r="X250" i="2" s="1"/>
  <c r="O250" i="2"/>
  <c r="L250" i="2"/>
  <c r="V249" i="2"/>
  <c r="S249" i="2"/>
  <c r="Y249" i="2" s="1"/>
  <c r="M249" i="2"/>
  <c r="V248" i="2"/>
  <c r="S248" i="2"/>
  <c r="Y248" i="2" s="1"/>
  <c r="M248" i="2"/>
  <c r="V247" i="2"/>
  <c r="S247" i="2"/>
  <c r="Y247" i="2" s="1"/>
  <c r="M247" i="2"/>
  <c r="V246" i="2"/>
  <c r="S246" i="2"/>
  <c r="Y246" i="2" s="1"/>
  <c r="M246" i="2"/>
  <c r="Z245" i="2"/>
  <c r="Y245" i="2"/>
  <c r="AA245" i="2" s="1"/>
  <c r="W245" i="2"/>
  <c r="V245" i="2"/>
  <c r="U245" i="2"/>
  <c r="R245" i="2"/>
  <c r="X245" i="2" s="1"/>
  <c r="O245" i="2"/>
  <c r="L245" i="2"/>
  <c r="V244" i="2"/>
  <c r="S244" i="2"/>
  <c r="Y244" i="2" s="1"/>
  <c r="M244" i="2"/>
  <c r="V243" i="2"/>
  <c r="S243" i="2"/>
  <c r="Y243" i="2" s="1"/>
  <c r="M243" i="2"/>
  <c r="V242" i="2"/>
  <c r="S242" i="2"/>
  <c r="Y242" i="2" s="1"/>
  <c r="M242" i="2"/>
  <c r="V241" i="2"/>
  <c r="S241" i="2"/>
  <c r="Y241" i="2" s="1"/>
  <c r="M241" i="2"/>
  <c r="Z240" i="2"/>
  <c r="Y240" i="2"/>
  <c r="AA240" i="2" s="1"/>
  <c r="X240" i="2"/>
  <c r="W240" i="2"/>
  <c r="V240" i="2"/>
  <c r="U240" i="2"/>
  <c r="R240" i="2"/>
  <c r="O240" i="2"/>
  <c r="L240" i="2"/>
  <c r="V239" i="2"/>
  <c r="S239" i="2"/>
  <c r="Y239" i="2" s="1"/>
  <c r="M239" i="2"/>
  <c r="V238" i="2"/>
  <c r="S238" i="2"/>
  <c r="Y238" i="2" s="1"/>
  <c r="M238" i="2"/>
  <c r="V237" i="2"/>
  <c r="S237" i="2"/>
  <c r="Y237" i="2" s="1"/>
  <c r="M237" i="2"/>
  <c r="V236" i="2"/>
  <c r="S236" i="2"/>
  <c r="Y236" i="2" s="1"/>
  <c r="M236" i="2"/>
  <c r="Z235" i="2"/>
  <c r="Y235" i="2"/>
  <c r="AA235" i="2" s="1"/>
  <c r="W235" i="2"/>
  <c r="V235" i="2"/>
  <c r="U235" i="2"/>
  <c r="R235" i="2"/>
  <c r="X235" i="2" s="1"/>
  <c r="O235" i="2"/>
  <c r="L235" i="2"/>
  <c r="V234" i="2"/>
  <c r="S234" i="2"/>
  <c r="Y234" i="2" s="1"/>
  <c r="M234" i="2"/>
  <c r="V233" i="2"/>
  <c r="S233" i="2"/>
  <c r="Y233" i="2" s="1"/>
  <c r="M233" i="2"/>
  <c r="V232" i="2"/>
  <c r="S232" i="2"/>
  <c r="Y232" i="2" s="1"/>
  <c r="M232" i="2"/>
  <c r="V231" i="2"/>
  <c r="S231" i="2"/>
  <c r="Y231" i="2" s="1"/>
  <c r="M231" i="2"/>
  <c r="Z230" i="2"/>
  <c r="Y230" i="2"/>
  <c r="AA230" i="2" s="1"/>
  <c r="W230" i="2"/>
  <c r="V230" i="2"/>
  <c r="U230" i="2"/>
  <c r="R230" i="2"/>
  <c r="X230" i="2" s="1"/>
  <c r="O230" i="2"/>
  <c r="L230" i="2"/>
  <c r="V229" i="2"/>
  <c r="S229" i="2"/>
  <c r="Y229" i="2" s="1"/>
  <c r="M229" i="2"/>
  <c r="V228" i="2"/>
  <c r="S228" i="2"/>
  <c r="Y228" i="2" s="1"/>
  <c r="M228" i="2"/>
  <c r="V227" i="2"/>
  <c r="S227" i="2"/>
  <c r="Y227" i="2" s="1"/>
  <c r="M227" i="2"/>
  <c r="V226" i="2"/>
  <c r="S226" i="2"/>
  <c r="Y226" i="2" s="1"/>
  <c r="M226" i="2"/>
  <c r="Z225" i="2"/>
  <c r="Y225" i="2"/>
  <c r="AA225" i="2" s="1"/>
  <c r="X225" i="2"/>
  <c r="W225" i="2"/>
  <c r="V225" i="2"/>
  <c r="U225" i="2"/>
  <c r="R225" i="2"/>
  <c r="O225" i="2"/>
  <c r="L225" i="2"/>
  <c r="V224" i="2"/>
  <c r="S224" i="2"/>
  <c r="Y224" i="2" s="1"/>
  <c r="M224" i="2"/>
  <c r="V223" i="2"/>
  <c r="S223" i="2"/>
  <c r="Y223" i="2" s="1"/>
  <c r="M223" i="2"/>
  <c r="V222" i="2"/>
  <c r="S222" i="2"/>
  <c r="Y222" i="2" s="1"/>
  <c r="M222" i="2"/>
  <c r="V221" i="2"/>
  <c r="S221" i="2"/>
  <c r="Y221" i="2" s="1"/>
  <c r="M221" i="2"/>
  <c r="Z220" i="2"/>
  <c r="Y220" i="2"/>
  <c r="W220" i="2"/>
  <c r="V220" i="2"/>
  <c r="U220" i="2"/>
  <c r="R220" i="2"/>
  <c r="X220" i="2" s="1"/>
  <c r="O220" i="2"/>
  <c r="L220" i="2"/>
  <c r="V219" i="2"/>
  <c r="S219" i="2"/>
  <c r="Y219" i="2" s="1"/>
  <c r="M219" i="2"/>
  <c r="V218" i="2"/>
  <c r="S218" i="2"/>
  <c r="Y218" i="2" s="1"/>
  <c r="M218" i="2"/>
  <c r="Y217" i="2"/>
  <c r="V217" i="2"/>
  <c r="S217" i="2"/>
  <c r="M217" i="2"/>
  <c r="V216" i="2"/>
  <c r="S216" i="2"/>
  <c r="Y216" i="2" s="1"/>
  <c r="M216" i="2"/>
  <c r="Z215" i="2"/>
  <c r="Y215" i="2"/>
  <c r="W215" i="2"/>
  <c r="V215" i="2"/>
  <c r="U215" i="2"/>
  <c r="R215" i="2"/>
  <c r="X215" i="2" s="1"/>
  <c r="O215" i="2"/>
  <c r="L215" i="2"/>
  <c r="V214" i="2"/>
  <c r="S214" i="2"/>
  <c r="Y214" i="2" s="1"/>
  <c r="M214" i="2"/>
  <c r="V213" i="2"/>
  <c r="S213" i="2"/>
  <c r="Y213" i="2" s="1"/>
  <c r="M213" i="2"/>
  <c r="V212" i="2"/>
  <c r="S212" i="2"/>
  <c r="Y212" i="2" s="1"/>
  <c r="M212" i="2"/>
  <c r="V211" i="2"/>
  <c r="S211" i="2"/>
  <c r="Y211" i="2" s="1"/>
  <c r="M211" i="2"/>
  <c r="Z210" i="2"/>
  <c r="Y210" i="2"/>
  <c r="W210" i="2"/>
  <c r="V210" i="2"/>
  <c r="U210" i="2"/>
  <c r="R210" i="2"/>
  <c r="X210" i="2" s="1"/>
  <c r="O210" i="2"/>
  <c r="L210" i="2"/>
  <c r="V209" i="2"/>
  <c r="S209" i="2"/>
  <c r="Y209" i="2" s="1"/>
  <c r="M209" i="2"/>
  <c r="V208" i="2"/>
  <c r="S208" i="2"/>
  <c r="Y208" i="2" s="1"/>
  <c r="M208" i="2"/>
  <c r="Y207" i="2"/>
  <c r="V207" i="2"/>
  <c r="S207" i="2"/>
  <c r="M207" i="2"/>
  <c r="V206" i="2"/>
  <c r="S206" i="2"/>
  <c r="Y206" i="2" s="1"/>
  <c r="M206" i="2"/>
  <c r="Z205" i="2"/>
  <c r="Y205" i="2"/>
  <c r="AA205" i="2" s="1"/>
  <c r="W205" i="2"/>
  <c r="V205" i="2"/>
  <c r="U205" i="2"/>
  <c r="R205" i="2"/>
  <c r="X205" i="2" s="1"/>
  <c r="O205" i="2"/>
  <c r="L205" i="2"/>
  <c r="Y204" i="2"/>
  <c r="V204" i="2"/>
  <c r="S204" i="2"/>
  <c r="M204" i="2"/>
  <c r="V203" i="2"/>
  <c r="S203" i="2"/>
  <c r="Y203" i="2" s="1"/>
  <c r="M203" i="2"/>
  <c r="V202" i="2"/>
  <c r="S202" i="2"/>
  <c r="Y202" i="2" s="1"/>
  <c r="M202" i="2"/>
  <c r="V201" i="2"/>
  <c r="S201" i="2"/>
  <c r="Y201" i="2" s="1"/>
  <c r="M201" i="2"/>
  <c r="Z200" i="2"/>
  <c r="Y200" i="2"/>
  <c r="X200" i="2"/>
  <c r="W200" i="2"/>
  <c r="V200" i="2"/>
  <c r="U200" i="2"/>
  <c r="R200" i="2"/>
  <c r="O200" i="2"/>
  <c r="L200" i="2"/>
  <c r="V199" i="2"/>
  <c r="S199" i="2"/>
  <c r="Y199" i="2" s="1"/>
  <c r="M199" i="2"/>
  <c r="V198" i="2"/>
  <c r="S198" i="2"/>
  <c r="Y198" i="2" s="1"/>
  <c r="M198" i="2"/>
  <c r="V197" i="2"/>
  <c r="S197" i="2"/>
  <c r="Y197" i="2" s="1"/>
  <c r="M197" i="2"/>
  <c r="V196" i="2"/>
  <c r="S196" i="2"/>
  <c r="Y196" i="2" s="1"/>
  <c r="M196" i="2"/>
  <c r="Z195" i="2"/>
  <c r="Y195" i="2"/>
  <c r="W195" i="2"/>
  <c r="V195" i="2"/>
  <c r="U195" i="2"/>
  <c r="R195" i="2"/>
  <c r="X195" i="2" s="1"/>
  <c r="O195" i="2"/>
  <c r="L195" i="2"/>
  <c r="V194" i="2"/>
  <c r="S194" i="2"/>
  <c r="Y194" i="2" s="1"/>
  <c r="M194" i="2"/>
  <c r="V193" i="2"/>
  <c r="S193" i="2"/>
  <c r="Y193" i="2" s="1"/>
  <c r="M193" i="2"/>
  <c r="V192" i="2"/>
  <c r="S192" i="2"/>
  <c r="Y192" i="2" s="1"/>
  <c r="M192" i="2"/>
  <c r="V191" i="2"/>
  <c r="S191" i="2"/>
  <c r="Y191" i="2" s="1"/>
  <c r="M191" i="2"/>
  <c r="Z190" i="2"/>
  <c r="Y190" i="2"/>
  <c r="AA190" i="2" s="1"/>
  <c r="W190" i="2"/>
  <c r="V190" i="2"/>
  <c r="U190" i="2"/>
  <c r="R190" i="2"/>
  <c r="X190" i="2" s="1"/>
  <c r="O190" i="2"/>
  <c r="L190" i="2"/>
  <c r="V189" i="2"/>
  <c r="S189" i="2"/>
  <c r="Y189" i="2" s="1"/>
  <c r="M189" i="2"/>
  <c r="V188" i="2"/>
  <c r="S188" i="2"/>
  <c r="Y188" i="2" s="1"/>
  <c r="M188" i="2"/>
  <c r="V187" i="2"/>
  <c r="S187" i="2"/>
  <c r="Y187" i="2" s="1"/>
  <c r="M187" i="2"/>
  <c r="Y186" i="2"/>
  <c r="V186" i="2"/>
  <c r="S186" i="2"/>
  <c r="M186" i="2"/>
  <c r="Z185" i="2"/>
  <c r="Y185" i="2"/>
  <c r="AA185" i="2" s="1"/>
  <c r="X185" i="2"/>
  <c r="W185" i="2"/>
  <c r="V185" i="2"/>
  <c r="U185" i="2"/>
  <c r="R185" i="2"/>
  <c r="O185" i="2"/>
  <c r="L185" i="2"/>
  <c r="V184" i="2"/>
  <c r="S184" i="2"/>
  <c r="Y184" i="2" s="1"/>
  <c r="M184" i="2"/>
  <c r="V183" i="2"/>
  <c r="S183" i="2"/>
  <c r="Y183" i="2" s="1"/>
  <c r="M183" i="2"/>
  <c r="V182" i="2"/>
  <c r="S182" i="2"/>
  <c r="Y182" i="2" s="1"/>
  <c r="M182" i="2"/>
  <c r="V181" i="2"/>
  <c r="S181" i="2"/>
  <c r="Y181" i="2" s="1"/>
  <c r="M181" i="2"/>
  <c r="Z180" i="2"/>
  <c r="Y180" i="2"/>
  <c r="X180" i="2"/>
  <c r="W180" i="2"/>
  <c r="V180" i="2"/>
  <c r="U180" i="2"/>
  <c r="R180" i="2"/>
  <c r="O180" i="2"/>
  <c r="L180" i="2"/>
  <c r="V179" i="2"/>
  <c r="S179" i="2"/>
  <c r="Y179" i="2" s="1"/>
  <c r="M179" i="2"/>
  <c r="V178" i="2"/>
  <c r="S178" i="2"/>
  <c r="Y178" i="2" s="1"/>
  <c r="M178" i="2"/>
  <c r="V177" i="2"/>
  <c r="S177" i="2"/>
  <c r="Y177" i="2" s="1"/>
  <c r="M177" i="2"/>
  <c r="V176" i="2"/>
  <c r="S176" i="2"/>
  <c r="Y176" i="2" s="1"/>
  <c r="M176" i="2"/>
  <c r="Z175" i="2"/>
  <c r="AA175" i="2" s="1"/>
  <c r="Y175" i="2"/>
  <c r="W175" i="2"/>
  <c r="V175" i="2"/>
  <c r="U175" i="2"/>
  <c r="R175" i="2"/>
  <c r="X175" i="2" s="1"/>
  <c r="O175" i="2"/>
  <c r="L175" i="2"/>
  <c r="V174" i="2"/>
  <c r="S174" i="2"/>
  <c r="Y174" i="2" s="1"/>
  <c r="M174" i="2"/>
  <c r="V173" i="2"/>
  <c r="S173" i="2"/>
  <c r="Y173" i="2" s="1"/>
  <c r="M173" i="2"/>
  <c r="V172" i="2"/>
  <c r="S172" i="2"/>
  <c r="Y172" i="2" s="1"/>
  <c r="M172" i="2"/>
  <c r="Z171" i="2"/>
  <c r="Y171" i="2"/>
  <c r="AA171" i="2" s="1"/>
  <c r="X171" i="2"/>
  <c r="W171" i="2"/>
  <c r="V171" i="2"/>
  <c r="U171" i="2"/>
  <c r="R171" i="2"/>
  <c r="O171" i="2"/>
  <c r="L171" i="2"/>
  <c r="Y170" i="2"/>
  <c r="V170" i="2"/>
  <c r="S170" i="2"/>
  <c r="M170" i="2"/>
  <c r="V169" i="2"/>
  <c r="S169" i="2"/>
  <c r="Y169" i="2" s="1"/>
  <c r="M169" i="2"/>
  <c r="V168" i="2"/>
  <c r="S168" i="2"/>
  <c r="Y168" i="2" s="1"/>
  <c r="M168" i="2"/>
  <c r="Z167" i="2"/>
  <c r="AA167" i="2" s="1"/>
  <c r="Y167" i="2"/>
  <c r="W167" i="2"/>
  <c r="V167" i="2"/>
  <c r="U167" i="2"/>
  <c r="R167" i="2"/>
  <c r="X167" i="2" s="1"/>
  <c r="O167" i="2"/>
  <c r="L167" i="2"/>
  <c r="V166" i="2"/>
  <c r="S166" i="2"/>
  <c r="Y166" i="2" s="1"/>
  <c r="M166" i="2"/>
  <c r="V165" i="2"/>
  <c r="S165" i="2"/>
  <c r="Y165" i="2" s="1"/>
  <c r="M165" i="2"/>
  <c r="Y164" i="2"/>
  <c r="V164" i="2"/>
  <c r="S164" i="2"/>
  <c r="M164" i="2"/>
  <c r="V163" i="2"/>
  <c r="S163" i="2"/>
  <c r="Y163" i="2" s="1"/>
  <c r="M163" i="2"/>
  <c r="Z162" i="2"/>
  <c r="Y162" i="2"/>
  <c r="AA162" i="2" s="1"/>
  <c r="W162" i="2"/>
  <c r="V162" i="2"/>
  <c r="U162" i="2"/>
  <c r="R162" i="2"/>
  <c r="X162" i="2" s="1"/>
  <c r="O162" i="2"/>
  <c r="L162" i="2"/>
  <c r="Y161" i="2"/>
  <c r="V161" i="2"/>
  <c r="S161" i="2"/>
  <c r="M161" i="2"/>
  <c r="V160" i="2"/>
  <c r="S160" i="2"/>
  <c r="Y160" i="2" s="1"/>
  <c r="M160" i="2"/>
  <c r="V159" i="2"/>
  <c r="S159" i="2"/>
  <c r="Y159" i="2" s="1"/>
  <c r="M159" i="2"/>
  <c r="V158" i="2"/>
  <c r="S158" i="2"/>
  <c r="Y158" i="2" s="1"/>
  <c r="M158" i="2"/>
  <c r="Z157" i="2"/>
  <c r="Y157" i="2"/>
  <c r="W157" i="2"/>
  <c r="V157" i="2"/>
  <c r="U157" i="2"/>
  <c r="R157" i="2"/>
  <c r="X157" i="2" s="1"/>
  <c r="O157" i="2"/>
  <c r="L157" i="2"/>
  <c r="V156" i="2"/>
  <c r="S156" i="2"/>
  <c r="Y156" i="2" s="1"/>
  <c r="M156" i="2"/>
  <c r="V155" i="2"/>
  <c r="S155" i="2"/>
  <c r="Y155" i="2" s="1"/>
  <c r="M155" i="2"/>
  <c r="V154" i="2"/>
  <c r="S154" i="2"/>
  <c r="Y154" i="2" s="1"/>
  <c r="M154" i="2"/>
  <c r="V153" i="2"/>
  <c r="S153" i="2"/>
  <c r="Y153" i="2" s="1"/>
  <c r="M153" i="2"/>
  <c r="Z152" i="2"/>
  <c r="Y152" i="2"/>
  <c r="AA152" i="2" s="1"/>
  <c r="W152" i="2"/>
  <c r="V152" i="2"/>
  <c r="U152" i="2"/>
  <c r="R152" i="2"/>
  <c r="X152" i="2" s="1"/>
  <c r="O152" i="2"/>
  <c r="L152" i="2"/>
  <c r="V151" i="2"/>
  <c r="S151" i="2"/>
  <c r="Y151" i="2" s="1"/>
  <c r="M151" i="2"/>
  <c r="V150" i="2"/>
  <c r="S150" i="2"/>
  <c r="Y150" i="2" s="1"/>
  <c r="M150" i="2"/>
  <c r="V149" i="2"/>
  <c r="S149" i="2"/>
  <c r="Y149" i="2" s="1"/>
  <c r="M149" i="2"/>
  <c r="V148" i="2"/>
  <c r="S148" i="2"/>
  <c r="Y148" i="2" s="1"/>
  <c r="M148" i="2"/>
  <c r="Z147" i="2"/>
  <c r="Y147" i="2"/>
  <c r="AA147" i="2" s="1"/>
  <c r="X147" i="2"/>
  <c r="W147" i="2"/>
  <c r="V147" i="2"/>
  <c r="U147" i="2"/>
  <c r="R147" i="2"/>
  <c r="O147" i="2"/>
  <c r="L147" i="2"/>
  <c r="V146" i="2"/>
  <c r="S146" i="2"/>
  <c r="Y146" i="2" s="1"/>
  <c r="M146" i="2"/>
  <c r="V145" i="2"/>
  <c r="S145" i="2"/>
  <c r="Y145" i="2" s="1"/>
  <c r="M145" i="2"/>
  <c r="V144" i="2"/>
  <c r="S144" i="2"/>
  <c r="Y144" i="2" s="1"/>
  <c r="M144" i="2"/>
  <c r="V143" i="2"/>
  <c r="S143" i="2"/>
  <c r="Y143" i="2" s="1"/>
  <c r="M143" i="2"/>
  <c r="Z142" i="2"/>
  <c r="Y142" i="2"/>
  <c r="AA142" i="2" s="1"/>
  <c r="W142" i="2"/>
  <c r="V142" i="2"/>
  <c r="U142" i="2"/>
  <c r="R142" i="2"/>
  <c r="X142" i="2" s="1"/>
  <c r="O142" i="2"/>
  <c r="L142" i="2"/>
  <c r="Y141" i="2"/>
  <c r="V141" i="2"/>
  <c r="S141" i="2"/>
  <c r="M141" i="2"/>
  <c r="V140" i="2"/>
  <c r="S140" i="2"/>
  <c r="Y140" i="2" s="1"/>
  <c r="M140" i="2"/>
  <c r="V139" i="2"/>
  <c r="S139" i="2"/>
  <c r="Y139" i="2" s="1"/>
  <c r="M139" i="2"/>
  <c r="V138" i="2"/>
  <c r="S138" i="2"/>
  <c r="Y138" i="2" s="1"/>
  <c r="M138" i="2"/>
  <c r="Z137" i="2"/>
  <c r="Y137" i="2"/>
  <c r="W137" i="2"/>
  <c r="V137" i="2"/>
  <c r="U137" i="2"/>
  <c r="R137" i="2"/>
  <c r="X137" i="2" s="1"/>
  <c r="O137" i="2"/>
  <c r="L137" i="2"/>
  <c r="V136" i="2"/>
  <c r="S136" i="2"/>
  <c r="Y136" i="2" s="1"/>
  <c r="M136" i="2"/>
  <c r="V135" i="2"/>
  <c r="S135" i="2"/>
  <c r="Y135" i="2" s="1"/>
  <c r="M135" i="2"/>
  <c r="V134" i="2"/>
  <c r="S134" i="2"/>
  <c r="Y134" i="2" s="1"/>
  <c r="M134" i="2"/>
  <c r="Y133" i="2"/>
  <c r="V133" i="2"/>
  <c r="S133" i="2"/>
  <c r="M133" i="2"/>
  <c r="Z132" i="2"/>
  <c r="Y132" i="2"/>
  <c r="AA132" i="2" s="1"/>
  <c r="W132" i="2"/>
  <c r="V132" i="2"/>
  <c r="U132" i="2"/>
  <c r="R132" i="2"/>
  <c r="X132" i="2" s="1"/>
  <c r="O132" i="2"/>
  <c r="L132" i="2"/>
  <c r="V131" i="2"/>
  <c r="S131" i="2"/>
  <c r="Y131" i="2" s="1"/>
  <c r="M131" i="2"/>
  <c r="Y130" i="2"/>
  <c r="V130" i="2"/>
  <c r="S130" i="2"/>
  <c r="M130" i="2"/>
  <c r="V129" i="2"/>
  <c r="S129" i="2"/>
  <c r="Y129" i="2" s="1"/>
  <c r="M129" i="2"/>
  <c r="V128" i="2"/>
  <c r="S128" i="2"/>
  <c r="Y128" i="2" s="1"/>
  <c r="M128" i="2"/>
  <c r="Z127" i="2"/>
  <c r="Y127" i="2"/>
  <c r="AA127" i="2" s="1"/>
  <c r="W127" i="2"/>
  <c r="V127" i="2"/>
  <c r="U127" i="2"/>
  <c r="R127" i="2"/>
  <c r="X127" i="2" s="1"/>
  <c r="O127" i="2"/>
  <c r="L127" i="2"/>
  <c r="V126" i="2"/>
  <c r="S126" i="2"/>
  <c r="Y126" i="2" s="1"/>
  <c r="M126" i="2"/>
  <c r="Z125" i="2"/>
  <c r="Y125" i="2"/>
  <c r="X125" i="2"/>
  <c r="W125" i="2"/>
  <c r="V125" i="2"/>
  <c r="U125" i="2"/>
  <c r="R125" i="2"/>
  <c r="O125" i="2"/>
  <c r="L125" i="2"/>
  <c r="V124" i="2"/>
  <c r="S124" i="2"/>
  <c r="Y124" i="2" s="1"/>
  <c r="M124" i="2"/>
  <c r="Z123" i="2"/>
  <c r="Y123" i="2"/>
  <c r="AA123" i="2" s="1"/>
  <c r="W123" i="2"/>
  <c r="V123" i="2"/>
  <c r="U123" i="2"/>
  <c r="R123" i="2"/>
  <c r="X123" i="2" s="1"/>
  <c r="O123" i="2"/>
  <c r="L123" i="2"/>
  <c r="V122" i="2"/>
  <c r="S122" i="2"/>
  <c r="Y122" i="2" s="1"/>
  <c r="M122" i="2"/>
  <c r="Z121" i="2"/>
  <c r="Y121" i="2"/>
  <c r="W121" i="2"/>
  <c r="V121" i="2"/>
  <c r="U121" i="2"/>
  <c r="R121" i="2"/>
  <c r="X121" i="2" s="1"/>
  <c r="O121" i="2"/>
  <c r="L121" i="2"/>
  <c r="Y120" i="2"/>
  <c r="V120" i="2"/>
  <c r="S120" i="2"/>
  <c r="M120" i="2"/>
  <c r="Z119" i="2"/>
  <c r="Y119" i="2"/>
  <c r="AA119" i="2" s="1"/>
  <c r="W119" i="2"/>
  <c r="V119" i="2"/>
  <c r="U119" i="2"/>
  <c r="R119" i="2"/>
  <c r="X119" i="2" s="1"/>
  <c r="O119" i="2"/>
  <c r="L119" i="2"/>
  <c r="V118" i="2"/>
  <c r="S118" i="2"/>
  <c r="Y118" i="2" s="1"/>
  <c r="M118" i="2"/>
  <c r="V117" i="2"/>
  <c r="S117" i="2"/>
  <c r="Y117" i="2" s="1"/>
  <c r="M117" i="2"/>
  <c r="Z116" i="2"/>
  <c r="Y116" i="2"/>
  <c r="W116" i="2"/>
  <c r="V116" i="2"/>
  <c r="U116" i="2"/>
  <c r="R116" i="2"/>
  <c r="X116" i="2" s="1"/>
  <c r="O116" i="2"/>
  <c r="L116" i="2"/>
  <c r="V115" i="2"/>
  <c r="S115" i="2"/>
  <c r="Y115" i="2" s="1"/>
  <c r="M115" i="2"/>
  <c r="V114" i="2"/>
  <c r="S114" i="2"/>
  <c r="Y114" i="2" s="1"/>
  <c r="M114" i="2"/>
  <c r="Z113" i="2"/>
  <c r="Y113" i="2"/>
  <c r="W113" i="2"/>
  <c r="V113" i="2"/>
  <c r="U113" i="2"/>
  <c r="R113" i="2"/>
  <c r="X113" i="2" s="1"/>
  <c r="O113" i="2"/>
  <c r="L113" i="2"/>
  <c r="V112" i="2"/>
  <c r="S112" i="2"/>
  <c r="Y112" i="2" s="1"/>
  <c r="M112" i="2"/>
  <c r="V111" i="2"/>
  <c r="S111" i="2"/>
  <c r="Y111" i="2" s="1"/>
  <c r="M111" i="2"/>
  <c r="Z110" i="2"/>
  <c r="Y110" i="2"/>
  <c r="AA110" i="2" s="1"/>
  <c r="W110" i="2"/>
  <c r="V110" i="2"/>
  <c r="U110" i="2"/>
  <c r="R110" i="2"/>
  <c r="X110" i="2" s="1"/>
  <c r="O110" i="2"/>
  <c r="L110" i="2"/>
  <c r="V109" i="2"/>
  <c r="S109" i="2"/>
  <c r="Y109" i="2" s="1"/>
  <c r="M109" i="2"/>
  <c r="V108" i="2"/>
  <c r="S108" i="2"/>
  <c r="Y108" i="2" s="1"/>
  <c r="M108" i="2"/>
  <c r="Z107" i="2"/>
  <c r="Y107" i="2"/>
  <c r="W107" i="2"/>
  <c r="V107" i="2"/>
  <c r="U107" i="2"/>
  <c r="R107" i="2"/>
  <c r="X107" i="2" s="1"/>
  <c r="O107" i="2"/>
  <c r="L107" i="2"/>
  <c r="V106" i="2"/>
  <c r="S106" i="2"/>
  <c r="Y106" i="2" s="1"/>
  <c r="M106" i="2"/>
  <c r="V105" i="2"/>
  <c r="S105" i="2"/>
  <c r="Y105" i="2" s="1"/>
  <c r="M105" i="2"/>
  <c r="Z104" i="2"/>
  <c r="Y104" i="2"/>
  <c r="AA104" i="2" s="1"/>
  <c r="X104" i="2"/>
  <c r="W104" i="2"/>
  <c r="V104" i="2"/>
  <c r="U104" i="2"/>
  <c r="R104" i="2"/>
  <c r="O104" i="2"/>
  <c r="L104" i="2"/>
  <c r="V103" i="2"/>
  <c r="S103" i="2"/>
  <c r="Y103" i="2" s="1"/>
  <c r="M103" i="2"/>
  <c r="V102" i="2"/>
  <c r="S102" i="2"/>
  <c r="Y102" i="2" s="1"/>
  <c r="M102" i="2"/>
  <c r="Z101" i="2"/>
  <c r="AA101" i="2" s="1"/>
  <c r="Y101" i="2"/>
  <c r="W101" i="2"/>
  <c r="V101" i="2"/>
  <c r="U101" i="2"/>
  <c r="R101" i="2"/>
  <c r="X101" i="2" s="1"/>
  <c r="O101" i="2"/>
  <c r="L101" i="2"/>
  <c r="V100" i="2"/>
  <c r="S100" i="2"/>
  <c r="Y100" i="2" s="1"/>
  <c r="M100" i="2"/>
  <c r="V99" i="2"/>
  <c r="S99" i="2"/>
  <c r="Y99" i="2" s="1"/>
  <c r="M99" i="2"/>
  <c r="Z98" i="2"/>
  <c r="Y98" i="2"/>
  <c r="AA98" i="2" s="1"/>
  <c r="W98" i="2"/>
  <c r="V98" i="2"/>
  <c r="U98" i="2"/>
  <c r="R98" i="2"/>
  <c r="X98" i="2" s="1"/>
  <c r="O98" i="2"/>
  <c r="L98" i="2"/>
  <c r="V97" i="2"/>
  <c r="S97" i="2"/>
  <c r="Y97" i="2" s="1"/>
  <c r="M97" i="2"/>
  <c r="V96" i="2"/>
  <c r="S96" i="2"/>
  <c r="Y96" i="2" s="1"/>
  <c r="M96" i="2"/>
  <c r="Z95" i="2"/>
  <c r="Y95" i="2"/>
  <c r="AA95" i="2" s="1"/>
  <c r="W95" i="2"/>
  <c r="V95" i="2"/>
  <c r="U95" i="2"/>
  <c r="R95" i="2"/>
  <c r="X95" i="2" s="1"/>
  <c r="O95" i="2"/>
  <c r="L95" i="2"/>
  <c r="V94" i="2"/>
  <c r="S94" i="2"/>
  <c r="Y94" i="2" s="1"/>
  <c r="M94" i="2"/>
  <c r="V93" i="2"/>
  <c r="S93" i="2"/>
  <c r="Y93" i="2" s="1"/>
  <c r="M93" i="2"/>
  <c r="Z92" i="2"/>
  <c r="Y92" i="2"/>
  <c r="AA92" i="2" s="1"/>
  <c r="W92" i="2"/>
  <c r="V92" i="2"/>
  <c r="U92" i="2"/>
  <c r="R92" i="2"/>
  <c r="X92" i="2" s="1"/>
  <c r="O92" i="2"/>
  <c r="L92" i="2"/>
  <c r="V91" i="2"/>
  <c r="S91" i="2"/>
  <c r="Y91" i="2" s="1"/>
  <c r="M91" i="2"/>
  <c r="V90" i="2"/>
  <c r="S90" i="2"/>
  <c r="Y90" i="2" s="1"/>
  <c r="M90" i="2"/>
  <c r="Z89" i="2"/>
  <c r="Y89" i="2"/>
  <c r="AA89" i="2" s="1"/>
  <c r="W89" i="2"/>
  <c r="V89" i="2"/>
  <c r="U89" i="2"/>
  <c r="R89" i="2"/>
  <c r="X89" i="2" s="1"/>
  <c r="O89" i="2"/>
  <c r="L89" i="2"/>
  <c r="V88" i="2"/>
  <c r="S88" i="2"/>
  <c r="Y88" i="2" s="1"/>
  <c r="M88" i="2"/>
  <c r="V87" i="2"/>
  <c r="S87" i="2"/>
  <c r="Y87" i="2" s="1"/>
  <c r="M87" i="2"/>
  <c r="Z86" i="2"/>
  <c r="Y86" i="2"/>
  <c r="AA86" i="2" s="1"/>
  <c r="W86" i="2"/>
  <c r="V86" i="2"/>
  <c r="U86" i="2"/>
  <c r="R86" i="2"/>
  <c r="X86" i="2" s="1"/>
  <c r="O86" i="2"/>
  <c r="L86" i="2"/>
  <c r="V85" i="2"/>
  <c r="S85" i="2"/>
  <c r="Y85" i="2" s="1"/>
  <c r="M85" i="2"/>
  <c r="V84" i="2"/>
  <c r="S84" i="2"/>
  <c r="Y84" i="2" s="1"/>
  <c r="M84" i="2"/>
  <c r="Z83" i="2"/>
  <c r="Y83" i="2"/>
  <c r="AA83" i="2" s="1"/>
  <c r="W83" i="2"/>
  <c r="V83" i="2"/>
  <c r="U83" i="2"/>
  <c r="R83" i="2"/>
  <c r="X83" i="2" s="1"/>
  <c r="O83" i="2"/>
  <c r="L83" i="2"/>
  <c r="V82" i="2"/>
  <c r="S82" i="2"/>
  <c r="Y82" i="2" s="1"/>
  <c r="M82" i="2"/>
  <c r="V81" i="2"/>
  <c r="S81" i="2"/>
  <c r="Y81" i="2" s="1"/>
  <c r="M81" i="2"/>
  <c r="Z80" i="2"/>
  <c r="Y80" i="2"/>
  <c r="AA80" i="2" s="1"/>
  <c r="X80" i="2"/>
  <c r="W80" i="2"/>
  <c r="V80" i="2"/>
  <c r="U80" i="2"/>
  <c r="R80" i="2"/>
  <c r="O80" i="2"/>
  <c r="L80" i="2"/>
  <c r="V79" i="2"/>
  <c r="S79" i="2"/>
  <c r="Y79" i="2" s="1"/>
  <c r="M79" i="2"/>
  <c r="V78" i="2"/>
  <c r="S78" i="2"/>
  <c r="Y78" i="2" s="1"/>
  <c r="M78" i="2"/>
  <c r="V77" i="2"/>
  <c r="S77" i="2"/>
  <c r="Y77" i="2" s="1"/>
  <c r="M77" i="2"/>
  <c r="Z76" i="2"/>
  <c r="Y76" i="2"/>
  <c r="W76" i="2"/>
  <c r="V76" i="2"/>
  <c r="U76" i="2"/>
  <c r="R76" i="2"/>
  <c r="X76" i="2" s="1"/>
  <c r="O76" i="2"/>
  <c r="O59" i="2" s="1"/>
  <c r="O58" i="2" s="1"/>
  <c r="L76" i="2"/>
  <c r="V75" i="2"/>
  <c r="S75" i="2"/>
  <c r="Y75" i="2" s="1"/>
  <c r="M75" i="2"/>
  <c r="V74" i="2"/>
  <c r="S74" i="2"/>
  <c r="Y74" i="2" s="1"/>
  <c r="M74" i="2"/>
  <c r="V73" i="2"/>
  <c r="S73" i="2"/>
  <c r="Y73" i="2" s="1"/>
  <c r="M73" i="2"/>
  <c r="Z72" i="2"/>
  <c r="Y72" i="2"/>
  <c r="W72" i="2"/>
  <c r="V72" i="2"/>
  <c r="U72" i="2"/>
  <c r="R72" i="2"/>
  <c r="X72" i="2" s="1"/>
  <c r="O72" i="2"/>
  <c r="L72" i="2"/>
  <c r="V71" i="2"/>
  <c r="S71" i="2"/>
  <c r="Y71" i="2" s="1"/>
  <c r="M71" i="2"/>
  <c r="V70" i="2"/>
  <c r="S70" i="2"/>
  <c r="Y70" i="2" s="1"/>
  <c r="M70" i="2"/>
  <c r="V69" i="2"/>
  <c r="S69" i="2"/>
  <c r="Y69" i="2" s="1"/>
  <c r="M69" i="2"/>
  <c r="Z68" i="2"/>
  <c r="Y68" i="2"/>
  <c r="W68" i="2"/>
  <c r="V68" i="2"/>
  <c r="U68" i="2"/>
  <c r="R68" i="2"/>
  <c r="X68" i="2" s="1"/>
  <c r="O68" i="2"/>
  <c r="L68" i="2"/>
  <c r="V67" i="2"/>
  <c r="S67" i="2"/>
  <c r="Y67" i="2" s="1"/>
  <c r="M67" i="2"/>
  <c r="V66" i="2"/>
  <c r="S66" i="2"/>
  <c r="Y66" i="2" s="1"/>
  <c r="M66" i="2"/>
  <c r="V65" i="2"/>
  <c r="S65" i="2"/>
  <c r="Y65" i="2" s="1"/>
  <c r="M65" i="2"/>
  <c r="Z64" i="2"/>
  <c r="Y64" i="2"/>
  <c r="X64" i="2"/>
  <c r="W64" i="2"/>
  <c r="V64" i="2"/>
  <c r="U64" i="2"/>
  <c r="R64" i="2"/>
  <c r="O64" i="2"/>
  <c r="L64" i="2"/>
  <c r="V63" i="2"/>
  <c r="S63" i="2"/>
  <c r="Y63" i="2" s="1"/>
  <c r="M63" i="2"/>
  <c r="V62" i="2"/>
  <c r="S62" i="2"/>
  <c r="Y62" i="2" s="1"/>
  <c r="M62" i="2"/>
  <c r="V61" i="2"/>
  <c r="S61" i="2"/>
  <c r="Y61" i="2" s="1"/>
  <c r="M61" i="2"/>
  <c r="Z60" i="2"/>
  <c r="Y60" i="2"/>
  <c r="AA60" i="2" s="1"/>
  <c r="W60" i="2"/>
  <c r="V60" i="2"/>
  <c r="U60" i="2"/>
  <c r="R60" i="2"/>
  <c r="X60" i="2" s="1"/>
  <c r="O60" i="2"/>
  <c r="L60" i="2"/>
  <c r="T59" i="2"/>
  <c r="T58" i="2" s="1"/>
  <c r="S59" i="2"/>
  <c r="N59" i="2"/>
  <c r="M59" i="2"/>
  <c r="Y54" i="2"/>
  <c r="V54" i="2"/>
  <c r="S54" i="2"/>
  <c r="M54" i="2"/>
  <c r="V53" i="2"/>
  <c r="S53" i="2"/>
  <c r="Y53" i="2" s="1"/>
  <c r="M53" i="2"/>
  <c r="V52" i="2"/>
  <c r="S52" i="2"/>
  <c r="Y52" i="2" s="1"/>
  <c r="M52" i="2"/>
  <c r="V51" i="2"/>
  <c r="S51" i="2"/>
  <c r="Y51" i="2" s="1"/>
  <c r="M51" i="2"/>
  <c r="AA50" i="2"/>
  <c r="Z50" i="2"/>
  <c r="Y50" i="2"/>
  <c r="W50" i="2"/>
  <c r="V50" i="2"/>
  <c r="U50" i="2"/>
  <c r="R50" i="2"/>
  <c r="X50" i="2" s="1"/>
  <c r="O50" i="2"/>
  <c r="L50" i="2"/>
  <c r="V49" i="2"/>
  <c r="S49" i="2"/>
  <c r="Y49" i="2" s="1"/>
  <c r="M49" i="2"/>
  <c r="V48" i="2"/>
  <c r="S48" i="2"/>
  <c r="Y48" i="2" s="1"/>
  <c r="M48" i="2"/>
  <c r="V47" i="2"/>
  <c r="S47" i="2"/>
  <c r="Y47" i="2" s="1"/>
  <c r="M47" i="2"/>
  <c r="V46" i="2"/>
  <c r="S46" i="2"/>
  <c r="Y46" i="2" s="1"/>
  <c r="M46" i="2"/>
  <c r="Z45" i="2"/>
  <c r="Y45" i="2"/>
  <c r="AA45" i="2" s="1"/>
  <c r="X45" i="2"/>
  <c r="W45" i="2"/>
  <c r="V45" i="2"/>
  <c r="U45" i="2"/>
  <c r="R45" i="2"/>
  <c r="O45" i="2"/>
  <c r="L45" i="2"/>
  <c r="Y44" i="2"/>
  <c r="V44" i="2"/>
  <c r="S44" i="2"/>
  <c r="M44" i="2"/>
  <c r="V43" i="2"/>
  <c r="S43" i="2"/>
  <c r="Y43" i="2" s="1"/>
  <c r="M43" i="2"/>
  <c r="V42" i="2"/>
  <c r="S42" i="2"/>
  <c r="Y42" i="2" s="1"/>
  <c r="M42" i="2"/>
  <c r="Y41" i="2"/>
  <c r="V41" i="2"/>
  <c r="S41" i="2"/>
  <c r="M41" i="2"/>
  <c r="Z40" i="2"/>
  <c r="Y40" i="2"/>
  <c r="AA40" i="2" s="1"/>
  <c r="W40" i="2"/>
  <c r="V40" i="2"/>
  <c r="U40" i="2"/>
  <c r="R40" i="2"/>
  <c r="X40" i="2" s="1"/>
  <c r="O40" i="2"/>
  <c r="L40" i="2"/>
  <c r="V39" i="2"/>
  <c r="S39" i="2"/>
  <c r="Y39" i="2" s="1"/>
  <c r="M39" i="2"/>
  <c r="V38" i="2"/>
  <c r="S38" i="2"/>
  <c r="Y38" i="2" s="1"/>
  <c r="M38" i="2"/>
  <c r="V37" i="2"/>
  <c r="S37" i="2"/>
  <c r="Y37" i="2" s="1"/>
  <c r="M37" i="2"/>
  <c r="V36" i="2"/>
  <c r="S36" i="2"/>
  <c r="Y36" i="2" s="1"/>
  <c r="M36" i="2"/>
  <c r="Z35" i="2"/>
  <c r="Y35" i="2"/>
  <c r="AA35" i="2" s="1"/>
  <c r="W35" i="2"/>
  <c r="V35" i="2"/>
  <c r="U35" i="2"/>
  <c r="R35" i="2"/>
  <c r="X35" i="2" s="1"/>
  <c r="O35" i="2"/>
  <c r="L35" i="2"/>
  <c r="V34" i="2"/>
  <c r="S34" i="2"/>
  <c r="Y34" i="2" s="1"/>
  <c r="M34" i="2"/>
  <c r="V33" i="2"/>
  <c r="S33" i="2"/>
  <c r="Y33" i="2" s="1"/>
  <c r="M33" i="2"/>
  <c r="Y32" i="2"/>
  <c r="V32" i="2"/>
  <c r="S32" i="2"/>
  <c r="M32" i="2"/>
  <c r="V31" i="2"/>
  <c r="S31" i="2"/>
  <c r="Y31" i="2" s="1"/>
  <c r="M31" i="2"/>
  <c r="Z30" i="2"/>
  <c r="Y30" i="2"/>
  <c r="AA30" i="2" s="1"/>
  <c r="W30" i="2"/>
  <c r="V30" i="2"/>
  <c r="U30" i="2"/>
  <c r="R30" i="2"/>
  <c r="X30" i="2" s="1"/>
  <c r="O30" i="2"/>
  <c r="L30" i="2"/>
  <c r="V29" i="2"/>
  <c r="S29" i="2"/>
  <c r="Y29" i="2" s="1"/>
  <c r="M29" i="2"/>
  <c r="Y28" i="2"/>
  <c r="V28" i="2"/>
  <c r="S28" i="2"/>
  <c r="M28" i="2"/>
  <c r="V27" i="2"/>
  <c r="S27" i="2"/>
  <c r="Y27" i="2" s="1"/>
  <c r="M27" i="2"/>
  <c r="V26" i="2"/>
  <c r="S26" i="2"/>
  <c r="Y26" i="2" s="1"/>
  <c r="M26" i="2"/>
  <c r="Z25" i="2"/>
  <c r="Y25" i="2"/>
  <c r="W25" i="2"/>
  <c r="V25" i="2"/>
  <c r="U25" i="2"/>
  <c r="R25" i="2"/>
  <c r="X25" i="2" s="1"/>
  <c r="O25" i="2"/>
  <c r="L25" i="2"/>
  <c r="V24" i="2"/>
  <c r="S24" i="2"/>
  <c r="Y24" i="2" s="1"/>
  <c r="M24" i="2"/>
  <c r="V23" i="2"/>
  <c r="S23" i="2"/>
  <c r="Y23" i="2" s="1"/>
  <c r="M23" i="2"/>
  <c r="Y22" i="2"/>
  <c r="V22" i="2"/>
  <c r="S22" i="2"/>
  <c r="M22" i="2"/>
  <c r="V21" i="2"/>
  <c r="S21" i="2"/>
  <c r="Y21" i="2" s="1"/>
  <c r="M21" i="2"/>
  <c r="Z20" i="2"/>
  <c r="Y20" i="2"/>
  <c r="AA20" i="2" s="1"/>
  <c r="W20" i="2"/>
  <c r="V20" i="2"/>
  <c r="U20" i="2"/>
  <c r="R20" i="2"/>
  <c r="X20" i="2" s="1"/>
  <c r="O20" i="2"/>
  <c r="L20" i="2"/>
  <c r="V19" i="2"/>
  <c r="S19" i="2"/>
  <c r="Y19" i="2" s="1"/>
  <c r="M19" i="2"/>
  <c r="V18" i="2"/>
  <c r="S18" i="2"/>
  <c r="Y18" i="2" s="1"/>
  <c r="M18" i="2"/>
  <c r="V17" i="2"/>
  <c r="S17" i="2"/>
  <c r="Y17" i="2" s="1"/>
  <c r="M17" i="2"/>
  <c r="V16" i="2"/>
  <c r="S16" i="2"/>
  <c r="Y16" i="2" s="1"/>
  <c r="M16" i="2"/>
  <c r="Z15" i="2"/>
  <c r="Y15" i="2"/>
  <c r="X15" i="2"/>
  <c r="W15" i="2"/>
  <c r="V15" i="2"/>
  <c r="U15" i="2"/>
  <c r="R15" i="2"/>
  <c r="O15" i="2"/>
  <c r="L15" i="2"/>
  <c r="T14" i="2"/>
  <c r="T13" i="2" s="1"/>
  <c r="T12" i="2" s="1"/>
  <c r="T11" i="2" s="1"/>
  <c r="T10" i="2" s="1"/>
  <c r="S14" i="2"/>
  <c r="N14" i="2"/>
  <c r="N13" i="2" s="1"/>
  <c r="N12" i="2" s="1"/>
  <c r="N11" i="2" s="1"/>
  <c r="N10" i="2" s="1"/>
  <c r="M14" i="2"/>
  <c r="M13" i="2" s="1"/>
  <c r="M12" i="2" s="1"/>
  <c r="M11" i="2" s="1"/>
  <c r="M10" i="2" s="1"/>
  <c r="S13" i="2"/>
  <c r="S12" i="2" s="1"/>
  <c r="S11" i="2" s="1"/>
  <c r="S10" i="2" s="1"/>
  <c r="O14" i="2" l="1"/>
  <c r="O13" i="2" s="1"/>
  <c r="O12" i="2" s="1"/>
  <c r="O11" i="2" s="1"/>
  <c r="O10" i="2" s="1"/>
  <c r="AA273" i="2"/>
  <c r="AA315" i="2"/>
  <c r="AA403" i="2"/>
  <c r="Y468" i="2"/>
  <c r="Z455" i="2"/>
  <c r="AA116" i="2"/>
  <c r="AA200" i="2"/>
  <c r="Z468" i="2"/>
  <c r="AA303" i="2"/>
  <c r="Z14" i="2"/>
  <c r="Z13" i="2" s="1"/>
  <c r="Z12" i="2" s="1"/>
  <c r="Z11" i="2" s="1"/>
  <c r="Z10" i="2" s="1"/>
  <c r="AA113" i="2"/>
  <c r="Y59" i="2"/>
  <c r="Y58" i="2" s="1"/>
  <c r="AA157" i="2"/>
  <c r="AA215" i="2"/>
  <c r="Z255" i="2"/>
  <c r="AA360" i="2"/>
  <c r="AA363" i="2"/>
  <c r="AA418" i="2"/>
  <c r="AA472" i="2"/>
  <c r="Z496" i="2"/>
  <c r="AA504" i="2"/>
  <c r="AA496" i="2" s="1"/>
  <c r="AA271" i="2"/>
  <c r="S9" i="2"/>
  <c r="S8" i="2" s="1"/>
  <c r="S566" i="2" s="1"/>
  <c r="U268" i="2"/>
  <c r="T57" i="2"/>
  <c r="T56" i="2" s="1"/>
  <c r="T55" i="2" s="1"/>
  <c r="T9" i="2" s="1"/>
  <c r="T8" i="2" s="1"/>
  <c r="T566" i="2" s="1"/>
  <c r="U566" i="2" s="1"/>
  <c r="U59" i="2"/>
  <c r="AA107" i="2"/>
  <c r="M58" i="2"/>
  <c r="AA351" i="2"/>
  <c r="AA408" i="2"/>
  <c r="Z268" i="2"/>
  <c r="AA291" i="2"/>
  <c r="AA444" i="2"/>
  <c r="AA556" i="2"/>
  <c r="O468" i="2"/>
  <c r="O454" i="2" s="1"/>
  <c r="AA383" i="2"/>
  <c r="Z433" i="2"/>
  <c r="Z260" i="2" s="1"/>
  <c r="Z59" i="2"/>
  <c r="Z58" i="2" s="1"/>
  <c r="AA180" i="2"/>
  <c r="AA195" i="2"/>
  <c r="AA327" i="2"/>
  <c r="U455" i="2"/>
  <c r="U454" i="2" s="1"/>
  <c r="AA68" i="2"/>
  <c r="AA121" i="2"/>
  <c r="AA137" i="2"/>
  <c r="U468" i="2"/>
  <c r="U433" i="2"/>
  <c r="AA25" i="2"/>
  <c r="S58" i="2"/>
  <c r="S57" i="2" s="1"/>
  <c r="S56" i="2" s="1"/>
  <c r="S55" i="2" s="1"/>
  <c r="AA72" i="2"/>
  <c r="AA76" i="2"/>
  <c r="AA59" i="2" s="1"/>
  <c r="AA58" i="2" s="1"/>
  <c r="AA210" i="2"/>
  <c r="AA258" i="2"/>
  <c r="AA295" i="2"/>
  <c r="AA373" i="2"/>
  <c r="AA413" i="2"/>
  <c r="AA428" i="2"/>
  <c r="Y455" i="2"/>
  <c r="Y454" i="2" s="1"/>
  <c r="AA462" i="2"/>
  <c r="AA484" i="2"/>
  <c r="AA490" i="2"/>
  <c r="AA493" i="2"/>
  <c r="AA562" i="2"/>
  <c r="N58" i="2"/>
  <c r="AA220" i="2"/>
  <c r="AA279" i="2"/>
  <c r="Y14" i="2"/>
  <c r="Y13" i="2" s="1"/>
  <c r="Y12" i="2" s="1"/>
  <c r="Y11" i="2" s="1"/>
  <c r="Y10" i="2" s="1"/>
  <c r="AA64" i="2"/>
  <c r="Y261" i="2"/>
  <c r="Y268" i="2"/>
  <c r="AA125" i="2"/>
  <c r="AA368" i="2"/>
  <c r="AA469" i="2"/>
  <c r="AA434" i="2"/>
  <c r="AA433" i="2" s="1"/>
  <c r="M260" i="2"/>
  <c r="AA459" i="2"/>
  <c r="AA455" i="2" s="1"/>
  <c r="O496" i="2"/>
  <c r="AA262" i="2"/>
  <c r="AA261" i="2" s="1"/>
  <c r="O260" i="2"/>
  <c r="Y255" i="2"/>
  <c r="N260" i="2"/>
  <c r="Y496" i="2"/>
  <c r="U255" i="2"/>
  <c r="U58" i="2" s="1"/>
  <c r="AA15" i="2"/>
  <c r="AA14" i="2" s="1"/>
  <c r="AA13" i="2" s="1"/>
  <c r="AA12" i="2" s="1"/>
  <c r="AA11" i="2" s="1"/>
  <c r="AA10" i="2" s="1"/>
  <c r="U496" i="2"/>
  <c r="U14" i="2"/>
  <c r="U13" i="2" s="1"/>
  <c r="U12" i="2" s="1"/>
  <c r="U11" i="2" s="1"/>
  <c r="U10" i="2" s="1"/>
  <c r="AA256" i="2"/>
  <c r="AA255" i="2" s="1"/>
  <c r="U261" i="2"/>
  <c r="V565" i="1"/>
  <c r="S565" i="1"/>
  <c r="Y565" i="1" s="1"/>
  <c r="M565" i="1"/>
  <c r="Z564" i="1"/>
  <c r="Y564" i="1"/>
  <c r="AA564" i="1" s="1"/>
  <c r="W564" i="1"/>
  <c r="V564" i="1"/>
  <c r="U564" i="1"/>
  <c r="R564" i="1"/>
  <c r="X564" i="1" s="1"/>
  <c r="O564" i="1"/>
  <c r="L564" i="1"/>
  <c r="V563" i="1"/>
  <c r="S563" i="1"/>
  <c r="Y563" i="1" s="1"/>
  <c r="M563" i="1"/>
  <c r="AA562" i="1"/>
  <c r="Z562" i="1"/>
  <c r="Y562" i="1"/>
  <c r="W562" i="1"/>
  <c r="V562" i="1"/>
  <c r="U562" i="1"/>
  <c r="R562" i="1"/>
  <c r="X562" i="1" s="1"/>
  <c r="O562" i="1"/>
  <c r="L562" i="1"/>
  <c r="V561" i="1"/>
  <c r="S561" i="1"/>
  <c r="Y561" i="1" s="1"/>
  <c r="M561" i="1"/>
  <c r="Z560" i="1"/>
  <c r="AA560" i="1" s="1"/>
  <c r="Y560" i="1"/>
  <c r="W560" i="1"/>
  <c r="V560" i="1"/>
  <c r="U560" i="1"/>
  <c r="R560" i="1"/>
  <c r="X560" i="1" s="1"/>
  <c r="O560" i="1"/>
  <c r="L560" i="1"/>
  <c r="Y559" i="1"/>
  <c r="V559" i="1"/>
  <c r="S559" i="1"/>
  <c r="M559" i="1"/>
  <c r="Z558" i="1"/>
  <c r="Y558" i="1"/>
  <c r="AA558" i="1" s="1"/>
  <c r="X558" i="1"/>
  <c r="W558" i="1"/>
  <c r="V558" i="1"/>
  <c r="U558" i="1"/>
  <c r="R558" i="1"/>
  <c r="O558" i="1"/>
  <c r="L558" i="1"/>
  <c r="Y557" i="1"/>
  <c r="V557" i="1"/>
  <c r="S557" i="1"/>
  <c r="M557" i="1"/>
  <c r="Z556" i="1"/>
  <c r="Y556" i="1"/>
  <c r="AA556" i="1" s="1"/>
  <c r="X556" i="1"/>
  <c r="W556" i="1"/>
  <c r="V556" i="1"/>
  <c r="U556" i="1"/>
  <c r="R556" i="1"/>
  <c r="O556" i="1"/>
  <c r="L556" i="1"/>
  <c r="V555" i="1"/>
  <c r="S555" i="1"/>
  <c r="Y555" i="1" s="1"/>
  <c r="M555" i="1"/>
  <c r="AA554" i="1"/>
  <c r="Z554" i="1"/>
  <c r="Y554" i="1"/>
  <c r="W554" i="1"/>
  <c r="V554" i="1"/>
  <c r="U554" i="1"/>
  <c r="R554" i="1"/>
  <c r="X554" i="1" s="1"/>
  <c r="O554" i="1"/>
  <c r="L554" i="1"/>
  <c r="V553" i="1"/>
  <c r="S553" i="1"/>
  <c r="Y553" i="1" s="1"/>
  <c r="M553" i="1"/>
  <c r="Z552" i="1"/>
  <c r="AA552" i="1" s="1"/>
  <c r="Y552" i="1"/>
  <c r="W552" i="1"/>
  <c r="V552" i="1"/>
  <c r="U552" i="1"/>
  <c r="R552" i="1"/>
  <c r="X552" i="1" s="1"/>
  <c r="O552" i="1"/>
  <c r="L552" i="1"/>
  <c r="Y551" i="1"/>
  <c r="V551" i="1"/>
  <c r="S551" i="1"/>
  <c r="M551" i="1"/>
  <c r="Z550" i="1"/>
  <c r="Y550" i="1"/>
  <c r="AA550" i="1" s="1"/>
  <c r="X550" i="1"/>
  <c r="W550" i="1"/>
  <c r="V550" i="1"/>
  <c r="U550" i="1"/>
  <c r="R550" i="1"/>
  <c r="O550" i="1"/>
  <c r="L550" i="1"/>
  <c r="V549" i="1"/>
  <c r="S549" i="1"/>
  <c r="Y549" i="1" s="1"/>
  <c r="M549" i="1"/>
  <c r="V548" i="1"/>
  <c r="S548" i="1"/>
  <c r="Y548" i="1" s="1"/>
  <c r="M548" i="1"/>
  <c r="V547" i="1"/>
  <c r="S547" i="1"/>
  <c r="Y547" i="1" s="1"/>
  <c r="M547" i="1"/>
  <c r="V546" i="1"/>
  <c r="S546" i="1"/>
  <c r="Y546" i="1" s="1"/>
  <c r="M546" i="1"/>
  <c r="V545" i="1"/>
  <c r="S545" i="1"/>
  <c r="Y545" i="1" s="1"/>
  <c r="M545" i="1"/>
  <c r="V544" i="1"/>
  <c r="S544" i="1"/>
  <c r="Y544" i="1" s="1"/>
  <c r="M544" i="1"/>
  <c r="V543" i="1"/>
  <c r="S543" i="1"/>
  <c r="Y543" i="1" s="1"/>
  <c r="M543" i="1"/>
  <c r="V542" i="1"/>
  <c r="S542" i="1"/>
  <c r="Y542" i="1" s="1"/>
  <c r="M542" i="1"/>
  <c r="V541" i="1"/>
  <c r="S541" i="1"/>
  <c r="Y541" i="1" s="1"/>
  <c r="M541" i="1"/>
  <c r="V540" i="1"/>
  <c r="S540" i="1"/>
  <c r="Y540" i="1" s="1"/>
  <c r="M540" i="1"/>
  <c r="V539" i="1"/>
  <c r="S539" i="1"/>
  <c r="Y539" i="1" s="1"/>
  <c r="M539" i="1"/>
  <c r="V538" i="1"/>
  <c r="S538" i="1"/>
  <c r="Y538" i="1" s="1"/>
  <c r="M538" i="1"/>
  <c r="V537" i="1"/>
  <c r="S537" i="1"/>
  <c r="Y537" i="1" s="1"/>
  <c r="M537" i="1"/>
  <c r="Z536" i="1"/>
  <c r="Y536" i="1"/>
  <c r="AA536" i="1" s="1"/>
  <c r="W536" i="1"/>
  <c r="V536" i="1"/>
  <c r="U536" i="1"/>
  <c r="R536" i="1"/>
  <c r="X536" i="1" s="1"/>
  <c r="O536" i="1"/>
  <c r="L536" i="1"/>
  <c r="V535" i="1"/>
  <c r="S535" i="1"/>
  <c r="Y535" i="1" s="1"/>
  <c r="M535" i="1"/>
  <c r="Y534" i="1"/>
  <c r="V534" i="1"/>
  <c r="S534" i="1"/>
  <c r="M534" i="1"/>
  <c r="V533" i="1"/>
  <c r="S533" i="1"/>
  <c r="Y533" i="1" s="1"/>
  <c r="M533" i="1"/>
  <c r="Y532" i="1"/>
  <c r="V532" i="1"/>
  <c r="S532" i="1"/>
  <c r="M532" i="1"/>
  <c r="V531" i="1"/>
  <c r="S531" i="1"/>
  <c r="Y531" i="1" s="1"/>
  <c r="M531" i="1"/>
  <c r="Y530" i="1"/>
  <c r="V530" i="1"/>
  <c r="S530" i="1"/>
  <c r="M530" i="1"/>
  <c r="V529" i="1"/>
  <c r="S529" i="1"/>
  <c r="Y529" i="1" s="1"/>
  <c r="M529" i="1"/>
  <c r="Y528" i="1"/>
  <c r="V528" i="1"/>
  <c r="S528" i="1"/>
  <c r="M528" i="1"/>
  <c r="V527" i="1"/>
  <c r="S527" i="1"/>
  <c r="Y527" i="1" s="1"/>
  <c r="M527" i="1"/>
  <c r="Y526" i="1"/>
  <c r="V526" i="1"/>
  <c r="S526" i="1"/>
  <c r="M526" i="1"/>
  <c r="V525" i="1"/>
  <c r="S525" i="1"/>
  <c r="Y525" i="1" s="1"/>
  <c r="M525" i="1"/>
  <c r="Y524" i="1"/>
  <c r="V524" i="1"/>
  <c r="S524" i="1"/>
  <c r="M524" i="1"/>
  <c r="V523" i="1"/>
  <c r="S523" i="1"/>
  <c r="Y523" i="1" s="1"/>
  <c r="M523" i="1"/>
  <c r="Z522" i="1"/>
  <c r="AA522" i="1" s="1"/>
  <c r="Y522" i="1"/>
  <c r="W522" i="1"/>
  <c r="V522" i="1"/>
  <c r="U522" i="1"/>
  <c r="R522" i="1"/>
  <c r="X522" i="1" s="1"/>
  <c r="O522" i="1"/>
  <c r="L522" i="1"/>
  <c r="V521" i="1"/>
  <c r="S521" i="1"/>
  <c r="Y521" i="1" s="1"/>
  <c r="M521" i="1"/>
  <c r="AA520" i="1"/>
  <c r="Z520" i="1"/>
  <c r="Y520" i="1"/>
  <c r="X520" i="1"/>
  <c r="W520" i="1"/>
  <c r="V520" i="1"/>
  <c r="U520" i="1"/>
  <c r="R520" i="1"/>
  <c r="O520" i="1"/>
  <c r="L520" i="1"/>
  <c r="Y519" i="1"/>
  <c r="V519" i="1"/>
  <c r="S519" i="1"/>
  <c r="M519" i="1"/>
  <c r="Z518" i="1"/>
  <c r="Y518" i="1"/>
  <c r="X518" i="1"/>
  <c r="W518" i="1"/>
  <c r="V518" i="1"/>
  <c r="U518" i="1"/>
  <c r="R518" i="1"/>
  <c r="O518" i="1"/>
  <c r="L518" i="1"/>
  <c r="Z517" i="1"/>
  <c r="AA517" i="1" s="1"/>
  <c r="X517" i="1"/>
  <c r="W517" i="1"/>
  <c r="U517" i="1"/>
  <c r="R517" i="1"/>
  <c r="O517" i="1"/>
  <c r="L517" i="1"/>
  <c r="Z516" i="1"/>
  <c r="AA516" i="1" s="1"/>
  <c r="X516" i="1"/>
  <c r="W516" i="1"/>
  <c r="U516" i="1"/>
  <c r="R516" i="1"/>
  <c r="O516" i="1"/>
  <c r="L516" i="1"/>
  <c r="Y515" i="1"/>
  <c r="V515" i="1"/>
  <c r="S515" i="1"/>
  <c r="M515" i="1"/>
  <c r="Z514" i="1"/>
  <c r="Y514" i="1"/>
  <c r="AA514" i="1" s="1"/>
  <c r="W514" i="1"/>
  <c r="V514" i="1"/>
  <c r="U514" i="1"/>
  <c r="R514" i="1"/>
  <c r="X514" i="1" s="1"/>
  <c r="O514" i="1"/>
  <c r="L514" i="1"/>
  <c r="V513" i="1"/>
  <c r="S513" i="1"/>
  <c r="Y513" i="1" s="1"/>
  <c r="M513" i="1"/>
  <c r="Z512" i="1"/>
  <c r="AA512" i="1" s="1"/>
  <c r="Y512" i="1"/>
  <c r="W512" i="1"/>
  <c r="V512" i="1"/>
  <c r="U512" i="1"/>
  <c r="R512" i="1"/>
  <c r="X512" i="1" s="1"/>
  <c r="O512" i="1"/>
  <c r="L512" i="1"/>
  <c r="V511" i="1"/>
  <c r="S511" i="1"/>
  <c r="Y511" i="1" s="1"/>
  <c r="M511" i="1"/>
  <c r="AA510" i="1"/>
  <c r="Z510" i="1"/>
  <c r="Y510" i="1"/>
  <c r="X510" i="1"/>
  <c r="W510" i="1"/>
  <c r="V510" i="1"/>
  <c r="U510" i="1"/>
  <c r="R510" i="1"/>
  <c r="O510" i="1"/>
  <c r="O496" i="1" s="1"/>
  <c r="L510" i="1"/>
  <c r="Y509" i="1"/>
  <c r="V509" i="1"/>
  <c r="S509" i="1"/>
  <c r="M509" i="1"/>
  <c r="Z508" i="1"/>
  <c r="Y508" i="1"/>
  <c r="X508" i="1"/>
  <c r="W508" i="1"/>
  <c r="V508" i="1"/>
  <c r="U508" i="1"/>
  <c r="R508" i="1"/>
  <c r="O508" i="1"/>
  <c r="L508" i="1"/>
  <c r="Y507" i="1"/>
  <c r="V507" i="1"/>
  <c r="S507" i="1"/>
  <c r="M507" i="1"/>
  <c r="Z506" i="1"/>
  <c r="Y506" i="1"/>
  <c r="AA506" i="1" s="1"/>
  <c r="X506" i="1"/>
  <c r="W506" i="1"/>
  <c r="V506" i="1"/>
  <c r="U506" i="1"/>
  <c r="R506" i="1"/>
  <c r="O506" i="1"/>
  <c r="L506" i="1"/>
  <c r="V505" i="1"/>
  <c r="S505" i="1"/>
  <c r="Y505" i="1" s="1"/>
  <c r="M505" i="1"/>
  <c r="Z504" i="1"/>
  <c r="AA504" i="1" s="1"/>
  <c r="Y504" i="1"/>
  <c r="W504" i="1"/>
  <c r="V504" i="1"/>
  <c r="U504" i="1"/>
  <c r="R504" i="1"/>
  <c r="X504" i="1" s="1"/>
  <c r="O504" i="1"/>
  <c r="L504" i="1"/>
  <c r="V503" i="1"/>
  <c r="S503" i="1"/>
  <c r="Y503" i="1" s="1"/>
  <c r="M503" i="1"/>
  <c r="Y502" i="1"/>
  <c r="V502" i="1"/>
  <c r="S502" i="1"/>
  <c r="M502" i="1"/>
  <c r="Z501" i="1"/>
  <c r="Y501" i="1"/>
  <c r="AA501" i="1" s="1"/>
  <c r="W501" i="1"/>
  <c r="V501" i="1"/>
  <c r="U501" i="1"/>
  <c r="R501" i="1"/>
  <c r="X501" i="1" s="1"/>
  <c r="O501" i="1"/>
  <c r="L501" i="1"/>
  <c r="V500" i="1"/>
  <c r="S500" i="1"/>
  <c r="Y500" i="1" s="1"/>
  <c r="M500" i="1"/>
  <c r="Y499" i="1"/>
  <c r="V499" i="1"/>
  <c r="S499" i="1"/>
  <c r="M499" i="1"/>
  <c r="V498" i="1"/>
  <c r="S498" i="1"/>
  <c r="Y498" i="1" s="1"/>
  <c r="M498" i="1"/>
  <c r="Z497" i="1"/>
  <c r="Z496" i="1" s="1"/>
  <c r="Y497" i="1"/>
  <c r="W497" i="1"/>
  <c r="V497" i="1"/>
  <c r="U497" i="1"/>
  <c r="R497" i="1"/>
  <c r="X497" i="1" s="1"/>
  <c r="O497" i="1"/>
  <c r="L497" i="1"/>
  <c r="U496" i="1"/>
  <c r="T496" i="1"/>
  <c r="S496" i="1"/>
  <c r="N496" i="1"/>
  <c r="M496" i="1"/>
  <c r="V495" i="1"/>
  <c r="S495" i="1"/>
  <c r="Y495" i="1" s="1"/>
  <c r="M495" i="1"/>
  <c r="Y494" i="1"/>
  <c r="V494" i="1"/>
  <c r="S494" i="1"/>
  <c r="M494" i="1"/>
  <c r="Z493" i="1"/>
  <c r="Y493" i="1"/>
  <c r="AA493" i="1" s="1"/>
  <c r="X493" i="1"/>
  <c r="W493" i="1"/>
  <c r="V493" i="1"/>
  <c r="U493" i="1"/>
  <c r="R493" i="1"/>
  <c r="O493" i="1"/>
  <c r="L493" i="1"/>
  <c r="V492" i="1"/>
  <c r="S492" i="1"/>
  <c r="Y492" i="1" s="1"/>
  <c r="M492" i="1"/>
  <c r="Y491" i="1"/>
  <c r="V491" i="1"/>
  <c r="S491" i="1"/>
  <c r="M491" i="1"/>
  <c r="Z490" i="1"/>
  <c r="Y490" i="1"/>
  <c r="AA490" i="1" s="1"/>
  <c r="X490" i="1"/>
  <c r="W490" i="1"/>
  <c r="V490" i="1"/>
  <c r="U490" i="1"/>
  <c r="R490" i="1"/>
  <c r="O490" i="1"/>
  <c r="L490" i="1"/>
  <c r="Y489" i="1"/>
  <c r="V489" i="1"/>
  <c r="S489" i="1"/>
  <c r="M489" i="1"/>
  <c r="V488" i="1"/>
  <c r="S488" i="1"/>
  <c r="Y488" i="1" s="1"/>
  <c r="M488" i="1"/>
  <c r="Z487" i="1"/>
  <c r="AA487" i="1" s="1"/>
  <c r="Y487" i="1"/>
  <c r="W487" i="1"/>
  <c r="V487" i="1"/>
  <c r="U487" i="1"/>
  <c r="R487" i="1"/>
  <c r="X487" i="1" s="1"/>
  <c r="O487" i="1"/>
  <c r="L487" i="1"/>
  <c r="Y486" i="1"/>
  <c r="V486" i="1"/>
  <c r="S486" i="1"/>
  <c r="M486" i="1"/>
  <c r="V485" i="1"/>
  <c r="S485" i="1"/>
  <c r="Y485" i="1" s="1"/>
  <c r="M485" i="1"/>
  <c r="AA484" i="1"/>
  <c r="Z484" i="1"/>
  <c r="Y484" i="1"/>
  <c r="W484" i="1"/>
  <c r="V484" i="1"/>
  <c r="U484" i="1"/>
  <c r="R484" i="1"/>
  <c r="X484" i="1" s="1"/>
  <c r="O484" i="1"/>
  <c r="L484" i="1"/>
  <c r="V483" i="1"/>
  <c r="S483" i="1"/>
  <c r="Y483" i="1" s="1"/>
  <c r="M483" i="1"/>
  <c r="V482" i="1"/>
  <c r="S482" i="1"/>
  <c r="Y482" i="1" s="1"/>
  <c r="M482" i="1"/>
  <c r="Z481" i="1"/>
  <c r="Y481" i="1"/>
  <c r="AA481" i="1" s="1"/>
  <c r="X481" i="1"/>
  <c r="W481" i="1"/>
  <c r="V481" i="1"/>
  <c r="U481" i="1"/>
  <c r="R481" i="1"/>
  <c r="O481" i="1"/>
  <c r="L481" i="1"/>
  <c r="Y480" i="1"/>
  <c r="V480" i="1"/>
  <c r="S480" i="1"/>
  <c r="M480" i="1"/>
  <c r="Y479" i="1"/>
  <c r="V479" i="1"/>
  <c r="S479" i="1"/>
  <c r="M479" i="1"/>
  <c r="Z478" i="1"/>
  <c r="Z468" i="1" s="1"/>
  <c r="Y478" i="1"/>
  <c r="X478" i="1"/>
  <c r="W478" i="1"/>
  <c r="V478" i="1"/>
  <c r="U478" i="1"/>
  <c r="R478" i="1"/>
  <c r="O478" i="1"/>
  <c r="L478" i="1"/>
  <c r="V477" i="1"/>
  <c r="S477" i="1"/>
  <c r="Y477" i="1" s="1"/>
  <c r="M477" i="1"/>
  <c r="V476" i="1"/>
  <c r="S476" i="1"/>
  <c r="Y476" i="1" s="1"/>
  <c r="M476" i="1"/>
  <c r="AA475" i="1"/>
  <c r="Z475" i="1"/>
  <c r="Y475" i="1"/>
  <c r="W475" i="1"/>
  <c r="V475" i="1"/>
  <c r="U475" i="1"/>
  <c r="R475" i="1"/>
  <c r="X475" i="1" s="1"/>
  <c r="O475" i="1"/>
  <c r="L475" i="1"/>
  <c r="Y474" i="1"/>
  <c r="V474" i="1"/>
  <c r="S474" i="1"/>
  <c r="M474" i="1"/>
  <c r="Y473" i="1"/>
  <c r="V473" i="1"/>
  <c r="S473" i="1"/>
  <c r="M473" i="1"/>
  <c r="AA472" i="1"/>
  <c r="Z472" i="1"/>
  <c r="Y472" i="1"/>
  <c r="W472" i="1"/>
  <c r="V472" i="1"/>
  <c r="U472" i="1"/>
  <c r="R472" i="1"/>
  <c r="X472" i="1" s="1"/>
  <c r="O472" i="1"/>
  <c r="O468" i="1" s="1"/>
  <c r="O454" i="1" s="1"/>
  <c r="L472" i="1"/>
  <c r="V471" i="1"/>
  <c r="S471" i="1"/>
  <c r="Y471" i="1" s="1"/>
  <c r="M471" i="1"/>
  <c r="Y470" i="1"/>
  <c r="V470" i="1"/>
  <c r="S470" i="1"/>
  <c r="M470" i="1"/>
  <c r="Z469" i="1"/>
  <c r="Y469" i="1"/>
  <c r="AA469" i="1" s="1"/>
  <c r="X469" i="1"/>
  <c r="W469" i="1"/>
  <c r="V469" i="1"/>
  <c r="U469" i="1"/>
  <c r="U468" i="1" s="1"/>
  <c r="R469" i="1"/>
  <c r="O469" i="1"/>
  <c r="L469" i="1"/>
  <c r="T468" i="1"/>
  <c r="S468" i="1"/>
  <c r="N468" i="1"/>
  <c r="M468" i="1"/>
  <c r="Y467" i="1"/>
  <c r="V467" i="1"/>
  <c r="S467" i="1"/>
  <c r="M467" i="1"/>
  <c r="V466" i="1"/>
  <c r="S466" i="1"/>
  <c r="Y466" i="1" s="1"/>
  <c r="M466" i="1"/>
  <c r="Z465" i="1"/>
  <c r="Y465" i="1"/>
  <c r="AA465" i="1" s="1"/>
  <c r="W465" i="1"/>
  <c r="V465" i="1"/>
  <c r="U465" i="1"/>
  <c r="R465" i="1"/>
  <c r="X465" i="1" s="1"/>
  <c r="O465" i="1"/>
  <c r="L465" i="1"/>
  <c r="Y464" i="1"/>
  <c r="V464" i="1"/>
  <c r="S464" i="1"/>
  <c r="M464" i="1"/>
  <c r="V463" i="1"/>
  <c r="S463" i="1"/>
  <c r="Y463" i="1" s="1"/>
  <c r="M463" i="1"/>
  <c r="Z462" i="1"/>
  <c r="AA462" i="1" s="1"/>
  <c r="Y462" i="1"/>
  <c r="W462" i="1"/>
  <c r="V462" i="1"/>
  <c r="U462" i="1"/>
  <c r="R462" i="1"/>
  <c r="X462" i="1" s="1"/>
  <c r="O462" i="1"/>
  <c r="O455" i="1" s="1"/>
  <c r="L462" i="1"/>
  <c r="V461" i="1"/>
  <c r="S461" i="1"/>
  <c r="Y461" i="1" s="1"/>
  <c r="M461" i="1"/>
  <c r="Y460" i="1"/>
  <c r="V460" i="1"/>
  <c r="S460" i="1"/>
  <c r="M460" i="1"/>
  <c r="Z459" i="1"/>
  <c r="Y459" i="1"/>
  <c r="AA459" i="1" s="1"/>
  <c r="W459" i="1"/>
  <c r="V459" i="1"/>
  <c r="U459" i="1"/>
  <c r="R459" i="1"/>
  <c r="X459" i="1" s="1"/>
  <c r="O459" i="1"/>
  <c r="L459" i="1"/>
  <c r="V458" i="1"/>
  <c r="S458" i="1"/>
  <c r="Y458" i="1" s="1"/>
  <c r="M458" i="1"/>
  <c r="Y457" i="1"/>
  <c r="V457" i="1"/>
  <c r="S457" i="1"/>
  <c r="M457" i="1"/>
  <c r="Z456" i="1"/>
  <c r="Z455" i="1" s="1"/>
  <c r="Y456" i="1"/>
  <c r="AA456" i="1" s="1"/>
  <c r="X456" i="1"/>
  <c r="W456" i="1"/>
  <c r="V456" i="1"/>
  <c r="U456" i="1"/>
  <c r="R456" i="1"/>
  <c r="O456" i="1"/>
  <c r="L456" i="1"/>
  <c r="U455" i="1"/>
  <c r="T455" i="1"/>
  <c r="S455" i="1"/>
  <c r="N455" i="1"/>
  <c r="M455" i="1"/>
  <c r="M454" i="1" s="1"/>
  <c r="S454" i="1"/>
  <c r="N454" i="1"/>
  <c r="Y453" i="1"/>
  <c r="V453" i="1"/>
  <c r="S453" i="1"/>
  <c r="M453" i="1"/>
  <c r="V452" i="1"/>
  <c r="S452" i="1"/>
  <c r="Y452" i="1" s="1"/>
  <c r="M452" i="1"/>
  <c r="Y451" i="1"/>
  <c r="V451" i="1"/>
  <c r="S451" i="1"/>
  <c r="M451" i="1"/>
  <c r="V450" i="1"/>
  <c r="S450" i="1"/>
  <c r="Y450" i="1" s="1"/>
  <c r="M450" i="1"/>
  <c r="AA449" i="1"/>
  <c r="Z449" i="1"/>
  <c r="Y449" i="1"/>
  <c r="W449" i="1"/>
  <c r="V449" i="1"/>
  <c r="U449" i="1"/>
  <c r="R449" i="1"/>
  <c r="X449" i="1" s="1"/>
  <c r="O449" i="1"/>
  <c r="L449" i="1"/>
  <c r="V448" i="1"/>
  <c r="S448" i="1"/>
  <c r="Y448" i="1" s="1"/>
  <c r="M448" i="1"/>
  <c r="V447" i="1"/>
  <c r="S447" i="1"/>
  <c r="Y447" i="1" s="1"/>
  <c r="M447" i="1"/>
  <c r="V446" i="1"/>
  <c r="S446" i="1"/>
  <c r="Y446" i="1" s="1"/>
  <c r="M446" i="1"/>
  <c r="Y445" i="1"/>
  <c r="V445" i="1"/>
  <c r="S445" i="1"/>
  <c r="M445" i="1"/>
  <c r="Z444" i="1"/>
  <c r="Y444" i="1"/>
  <c r="AA444" i="1" s="1"/>
  <c r="W444" i="1"/>
  <c r="V444" i="1"/>
  <c r="U444" i="1"/>
  <c r="R444" i="1"/>
  <c r="X444" i="1" s="1"/>
  <c r="O444" i="1"/>
  <c r="L444" i="1"/>
  <c r="V443" i="1"/>
  <c r="S443" i="1"/>
  <c r="Y443" i="1" s="1"/>
  <c r="M443" i="1"/>
  <c r="Y442" i="1"/>
  <c r="V442" i="1"/>
  <c r="S442" i="1"/>
  <c r="M442" i="1"/>
  <c r="V441" i="1"/>
  <c r="S441" i="1"/>
  <c r="Y441" i="1" s="1"/>
  <c r="M441" i="1"/>
  <c r="Y440" i="1"/>
  <c r="V440" i="1"/>
  <c r="S440" i="1"/>
  <c r="M440" i="1"/>
  <c r="Z439" i="1"/>
  <c r="Y439" i="1"/>
  <c r="X439" i="1"/>
  <c r="W439" i="1"/>
  <c r="V439" i="1"/>
  <c r="U439" i="1"/>
  <c r="R439" i="1"/>
  <c r="O439" i="1"/>
  <c r="L439" i="1"/>
  <c r="Y438" i="1"/>
  <c r="V438" i="1"/>
  <c r="S438" i="1"/>
  <c r="M438" i="1"/>
  <c r="V437" i="1"/>
  <c r="S437" i="1"/>
  <c r="Y437" i="1" s="1"/>
  <c r="M437" i="1"/>
  <c r="Y436" i="1"/>
  <c r="V436" i="1"/>
  <c r="S436" i="1"/>
  <c r="M436" i="1"/>
  <c r="V435" i="1"/>
  <c r="S435" i="1"/>
  <c r="Y435" i="1" s="1"/>
  <c r="M435" i="1"/>
  <c r="Z434" i="1"/>
  <c r="Z433" i="1" s="1"/>
  <c r="Y434" i="1"/>
  <c r="Y433" i="1" s="1"/>
  <c r="X434" i="1"/>
  <c r="W434" i="1"/>
  <c r="V434" i="1"/>
  <c r="U434" i="1"/>
  <c r="U433" i="1" s="1"/>
  <c r="R434" i="1"/>
  <c r="O434" i="1"/>
  <c r="L434" i="1"/>
  <c r="T433" i="1"/>
  <c r="S433" i="1"/>
  <c r="O433" i="1"/>
  <c r="N433" i="1"/>
  <c r="M433" i="1"/>
  <c r="Y432" i="1"/>
  <c r="V432" i="1"/>
  <c r="S432" i="1"/>
  <c r="M432" i="1"/>
  <c r="Y431" i="1"/>
  <c r="V431" i="1"/>
  <c r="S431" i="1"/>
  <c r="M431" i="1"/>
  <c r="Y430" i="1"/>
  <c r="V430" i="1"/>
  <c r="S430" i="1"/>
  <c r="M430" i="1"/>
  <c r="Y429" i="1"/>
  <c r="V429" i="1"/>
  <c r="S429" i="1"/>
  <c r="M429" i="1"/>
  <c r="AA428" i="1"/>
  <c r="Z428" i="1"/>
  <c r="Y428" i="1"/>
  <c r="W428" i="1"/>
  <c r="V428" i="1"/>
  <c r="U428" i="1"/>
  <c r="R428" i="1"/>
  <c r="X428" i="1" s="1"/>
  <c r="O428" i="1"/>
  <c r="L428" i="1"/>
  <c r="V427" i="1"/>
  <c r="S427" i="1"/>
  <c r="Y427" i="1" s="1"/>
  <c r="M427" i="1"/>
  <c r="V426" i="1"/>
  <c r="S426" i="1"/>
  <c r="Y426" i="1" s="1"/>
  <c r="M426" i="1"/>
  <c r="V425" i="1"/>
  <c r="S425" i="1"/>
  <c r="Y425" i="1" s="1"/>
  <c r="M425" i="1"/>
  <c r="V424" i="1"/>
  <c r="S424" i="1"/>
  <c r="Y424" i="1" s="1"/>
  <c r="M424" i="1"/>
  <c r="Z423" i="1"/>
  <c r="Y423" i="1"/>
  <c r="AA423" i="1" s="1"/>
  <c r="X423" i="1"/>
  <c r="W423" i="1"/>
  <c r="V423" i="1"/>
  <c r="U423" i="1"/>
  <c r="R423" i="1"/>
  <c r="O423" i="1"/>
  <c r="L423" i="1"/>
  <c r="Y422" i="1"/>
  <c r="V422" i="1"/>
  <c r="S422" i="1"/>
  <c r="M422" i="1"/>
  <c r="Y421" i="1"/>
  <c r="V421" i="1"/>
  <c r="S421" i="1"/>
  <c r="M421" i="1"/>
  <c r="Y420" i="1"/>
  <c r="V420" i="1"/>
  <c r="S420" i="1"/>
  <c r="M420" i="1"/>
  <c r="Y419" i="1"/>
  <c r="V419" i="1"/>
  <c r="S419" i="1"/>
  <c r="M419" i="1"/>
  <c r="AA418" i="1"/>
  <c r="Z418" i="1"/>
  <c r="Y418" i="1"/>
  <c r="X418" i="1"/>
  <c r="W418" i="1"/>
  <c r="V418" i="1"/>
  <c r="U418" i="1"/>
  <c r="R418" i="1"/>
  <c r="O418" i="1"/>
  <c r="L418" i="1"/>
  <c r="Y417" i="1"/>
  <c r="V417" i="1"/>
  <c r="S417" i="1"/>
  <c r="M417" i="1"/>
  <c r="V416" i="1"/>
  <c r="S416" i="1"/>
  <c r="Y416" i="1" s="1"/>
  <c r="M416" i="1"/>
  <c r="Y415" i="1"/>
  <c r="V415" i="1"/>
  <c r="S415" i="1"/>
  <c r="M415" i="1"/>
  <c r="V414" i="1"/>
  <c r="S414" i="1"/>
  <c r="Y414" i="1" s="1"/>
  <c r="M414" i="1"/>
  <c r="AA413" i="1"/>
  <c r="Z413" i="1"/>
  <c r="Y413" i="1"/>
  <c r="W413" i="1"/>
  <c r="V413" i="1"/>
  <c r="U413" i="1"/>
  <c r="R413" i="1"/>
  <c r="X413" i="1" s="1"/>
  <c r="O413" i="1"/>
  <c r="L413" i="1"/>
  <c r="Y412" i="1"/>
  <c r="V412" i="1"/>
  <c r="S412" i="1"/>
  <c r="M412" i="1"/>
  <c r="Y411" i="1"/>
  <c r="V411" i="1"/>
  <c r="S411" i="1"/>
  <c r="M411" i="1"/>
  <c r="Y410" i="1"/>
  <c r="V410" i="1"/>
  <c r="S410" i="1"/>
  <c r="M410" i="1"/>
  <c r="Y409" i="1"/>
  <c r="V409" i="1"/>
  <c r="S409" i="1"/>
  <c r="M409" i="1"/>
  <c r="AA408" i="1"/>
  <c r="Z408" i="1"/>
  <c r="Y408" i="1"/>
  <c r="W408" i="1"/>
  <c r="V408" i="1"/>
  <c r="U408" i="1"/>
  <c r="R408" i="1"/>
  <c r="X408" i="1" s="1"/>
  <c r="O408" i="1"/>
  <c r="L408" i="1"/>
  <c r="V407" i="1"/>
  <c r="S407" i="1"/>
  <c r="Y407" i="1" s="1"/>
  <c r="M407" i="1"/>
  <c r="Y406" i="1"/>
  <c r="V406" i="1"/>
  <c r="S406" i="1"/>
  <c r="M406" i="1"/>
  <c r="V405" i="1"/>
  <c r="S405" i="1"/>
  <c r="Y405" i="1" s="1"/>
  <c r="M405" i="1"/>
  <c r="V404" i="1"/>
  <c r="S404" i="1"/>
  <c r="Y404" i="1" s="1"/>
  <c r="M404" i="1"/>
  <c r="Z403" i="1"/>
  <c r="Y403" i="1"/>
  <c r="AA403" i="1" s="1"/>
  <c r="X403" i="1"/>
  <c r="W403" i="1"/>
  <c r="V403" i="1"/>
  <c r="U403" i="1"/>
  <c r="R403" i="1"/>
  <c r="O403" i="1"/>
  <c r="L403" i="1"/>
  <c r="Y402" i="1"/>
  <c r="V402" i="1"/>
  <c r="S402" i="1"/>
  <c r="M402" i="1"/>
  <c r="Y401" i="1"/>
  <c r="V401" i="1"/>
  <c r="S401" i="1"/>
  <c r="M401" i="1"/>
  <c r="Y400" i="1"/>
  <c r="V400" i="1"/>
  <c r="S400" i="1"/>
  <c r="M400" i="1"/>
  <c r="Y399" i="1"/>
  <c r="V399" i="1"/>
  <c r="S399" i="1"/>
  <c r="M399" i="1"/>
  <c r="Z398" i="1"/>
  <c r="AA398" i="1" s="1"/>
  <c r="Y398" i="1"/>
  <c r="X398" i="1"/>
  <c r="W398" i="1"/>
  <c r="V398" i="1"/>
  <c r="U398" i="1"/>
  <c r="R398" i="1"/>
  <c r="O398" i="1"/>
  <c r="L398" i="1"/>
  <c r="V397" i="1"/>
  <c r="S397" i="1"/>
  <c r="Y397" i="1" s="1"/>
  <c r="M397" i="1"/>
  <c r="V396" i="1"/>
  <c r="S396" i="1"/>
  <c r="Y396" i="1" s="1"/>
  <c r="M396" i="1"/>
  <c r="Y395" i="1"/>
  <c r="V395" i="1"/>
  <c r="S395" i="1"/>
  <c r="M395" i="1"/>
  <c r="V394" i="1"/>
  <c r="S394" i="1"/>
  <c r="Y394" i="1" s="1"/>
  <c r="M394" i="1"/>
  <c r="Z393" i="1"/>
  <c r="AA393" i="1" s="1"/>
  <c r="Y393" i="1"/>
  <c r="W393" i="1"/>
  <c r="V393" i="1"/>
  <c r="U393" i="1"/>
  <c r="R393" i="1"/>
  <c r="X393" i="1" s="1"/>
  <c r="O393" i="1"/>
  <c r="L393" i="1"/>
  <c r="Y392" i="1"/>
  <c r="V392" i="1"/>
  <c r="S392" i="1"/>
  <c r="M392" i="1"/>
  <c r="V391" i="1"/>
  <c r="S391" i="1"/>
  <c r="Y391" i="1" s="1"/>
  <c r="M391" i="1"/>
  <c r="Y390" i="1"/>
  <c r="V390" i="1"/>
  <c r="S390" i="1"/>
  <c r="M390" i="1"/>
  <c r="V389" i="1"/>
  <c r="S389" i="1"/>
  <c r="Y389" i="1" s="1"/>
  <c r="M389" i="1"/>
  <c r="AA388" i="1"/>
  <c r="Z388" i="1"/>
  <c r="Y388" i="1"/>
  <c r="W388" i="1"/>
  <c r="V388" i="1"/>
  <c r="U388" i="1"/>
  <c r="R388" i="1"/>
  <c r="X388" i="1" s="1"/>
  <c r="O388" i="1"/>
  <c r="L388" i="1"/>
  <c r="V387" i="1"/>
  <c r="S387" i="1"/>
  <c r="Y387" i="1" s="1"/>
  <c r="M387" i="1"/>
  <c r="V386" i="1"/>
  <c r="S386" i="1"/>
  <c r="Y386" i="1" s="1"/>
  <c r="M386" i="1"/>
  <c r="V385" i="1"/>
  <c r="S385" i="1"/>
  <c r="Y385" i="1" s="1"/>
  <c r="M385" i="1"/>
  <c r="Y384" i="1"/>
  <c r="V384" i="1"/>
  <c r="S384" i="1"/>
  <c r="M384" i="1"/>
  <c r="Z383" i="1"/>
  <c r="Y383" i="1"/>
  <c r="AA383" i="1" s="1"/>
  <c r="X383" i="1"/>
  <c r="W383" i="1"/>
  <c r="V383" i="1"/>
  <c r="U383" i="1"/>
  <c r="R383" i="1"/>
  <c r="O383" i="1"/>
  <c r="L383" i="1"/>
  <c r="Y382" i="1"/>
  <c r="V382" i="1"/>
  <c r="S382" i="1"/>
  <c r="M382" i="1"/>
  <c r="Y381" i="1"/>
  <c r="V381" i="1"/>
  <c r="S381" i="1"/>
  <c r="M381" i="1"/>
  <c r="Y380" i="1"/>
  <c r="V380" i="1"/>
  <c r="S380" i="1"/>
  <c r="M380" i="1"/>
  <c r="Y379" i="1"/>
  <c r="V379" i="1"/>
  <c r="S379" i="1"/>
  <c r="M379" i="1"/>
  <c r="AA378" i="1"/>
  <c r="Z378" i="1"/>
  <c r="Y378" i="1"/>
  <c r="X378" i="1"/>
  <c r="W378" i="1"/>
  <c r="V378" i="1"/>
  <c r="U378" i="1"/>
  <c r="R378" i="1"/>
  <c r="O378" i="1"/>
  <c r="L378" i="1"/>
  <c r="Y377" i="1"/>
  <c r="V377" i="1"/>
  <c r="S377" i="1"/>
  <c r="M377" i="1"/>
  <c r="V376" i="1"/>
  <c r="S376" i="1"/>
  <c r="Y376" i="1" s="1"/>
  <c r="M376" i="1"/>
  <c r="V375" i="1"/>
  <c r="S375" i="1"/>
  <c r="Y375" i="1" s="1"/>
  <c r="M375" i="1"/>
  <c r="V374" i="1"/>
  <c r="S374" i="1"/>
  <c r="Y374" i="1" s="1"/>
  <c r="M374" i="1"/>
  <c r="AA373" i="1"/>
  <c r="Z373" i="1"/>
  <c r="Y373" i="1"/>
  <c r="W373" i="1"/>
  <c r="V373" i="1"/>
  <c r="U373" i="1"/>
  <c r="R373" i="1"/>
  <c r="X373" i="1" s="1"/>
  <c r="O373" i="1"/>
  <c r="L373" i="1"/>
  <c r="Y372" i="1"/>
  <c r="V372" i="1"/>
  <c r="S372" i="1"/>
  <c r="M372" i="1"/>
  <c r="Y371" i="1"/>
  <c r="V371" i="1"/>
  <c r="S371" i="1"/>
  <c r="M371" i="1"/>
  <c r="Y370" i="1"/>
  <c r="V370" i="1"/>
  <c r="S370" i="1"/>
  <c r="M370" i="1"/>
  <c r="Y369" i="1"/>
  <c r="V369" i="1"/>
  <c r="S369" i="1"/>
  <c r="M369" i="1"/>
  <c r="AA368" i="1"/>
  <c r="Z368" i="1"/>
  <c r="Y368" i="1"/>
  <c r="W368" i="1"/>
  <c r="V368" i="1"/>
  <c r="U368" i="1"/>
  <c r="R368" i="1"/>
  <c r="X368" i="1" s="1"/>
  <c r="O368" i="1"/>
  <c r="L368" i="1"/>
  <c r="V367" i="1"/>
  <c r="S367" i="1"/>
  <c r="Y367" i="1" s="1"/>
  <c r="M367" i="1"/>
  <c r="Y366" i="1"/>
  <c r="V366" i="1"/>
  <c r="S366" i="1"/>
  <c r="M366" i="1"/>
  <c r="V365" i="1"/>
  <c r="S365" i="1"/>
  <c r="Y365" i="1" s="1"/>
  <c r="M365" i="1"/>
  <c r="V364" i="1"/>
  <c r="S364" i="1"/>
  <c r="Y364" i="1" s="1"/>
  <c r="M364" i="1"/>
  <c r="Z363" i="1"/>
  <c r="Y363" i="1"/>
  <c r="AA363" i="1" s="1"/>
  <c r="X363" i="1"/>
  <c r="W363" i="1"/>
  <c r="V363" i="1"/>
  <c r="U363" i="1"/>
  <c r="R363" i="1"/>
  <c r="O363" i="1"/>
  <c r="L363" i="1"/>
  <c r="V362" i="1"/>
  <c r="S362" i="1"/>
  <c r="Y362" i="1" s="1"/>
  <c r="M362" i="1"/>
  <c r="Y361" i="1"/>
  <c r="V361" i="1"/>
  <c r="S361" i="1"/>
  <c r="M361" i="1"/>
  <c r="Z360" i="1"/>
  <c r="Y360" i="1"/>
  <c r="AA360" i="1" s="1"/>
  <c r="X360" i="1"/>
  <c r="W360" i="1"/>
  <c r="V360" i="1"/>
  <c r="U360" i="1"/>
  <c r="R360" i="1"/>
  <c r="O360" i="1"/>
  <c r="L360" i="1"/>
  <c r="Y359" i="1"/>
  <c r="V359" i="1"/>
  <c r="S359" i="1"/>
  <c r="M359" i="1"/>
  <c r="V358" i="1"/>
  <c r="S358" i="1"/>
  <c r="Y358" i="1" s="1"/>
  <c r="M358" i="1"/>
  <c r="Z357" i="1"/>
  <c r="AA357" i="1" s="1"/>
  <c r="Y357" i="1"/>
  <c r="W357" i="1"/>
  <c r="V357" i="1"/>
  <c r="U357" i="1"/>
  <c r="R357" i="1"/>
  <c r="X357" i="1" s="1"/>
  <c r="O357" i="1"/>
  <c r="L357" i="1"/>
  <c r="Y356" i="1"/>
  <c r="V356" i="1"/>
  <c r="S356" i="1"/>
  <c r="M356" i="1"/>
  <c r="Y355" i="1"/>
  <c r="V355" i="1"/>
  <c r="S355" i="1"/>
  <c r="M355" i="1"/>
  <c r="AA354" i="1"/>
  <c r="Z354" i="1"/>
  <c r="Y354" i="1"/>
  <c r="W354" i="1"/>
  <c r="V354" i="1"/>
  <c r="U354" i="1"/>
  <c r="R354" i="1"/>
  <c r="X354" i="1" s="1"/>
  <c r="O354" i="1"/>
  <c r="L354" i="1"/>
  <c r="V353" i="1"/>
  <c r="S353" i="1"/>
  <c r="Y353" i="1" s="1"/>
  <c r="M353" i="1"/>
  <c r="Y352" i="1"/>
  <c r="V352" i="1"/>
  <c r="S352" i="1"/>
  <c r="M352" i="1"/>
  <c r="Z351" i="1"/>
  <c r="Y351" i="1"/>
  <c r="AA351" i="1" s="1"/>
  <c r="X351" i="1"/>
  <c r="W351" i="1"/>
  <c r="V351" i="1"/>
  <c r="U351" i="1"/>
  <c r="R351" i="1"/>
  <c r="O351" i="1"/>
  <c r="L351" i="1"/>
  <c r="V350" i="1"/>
  <c r="S350" i="1"/>
  <c r="Y350" i="1" s="1"/>
  <c r="M350" i="1"/>
  <c r="Y349" i="1"/>
  <c r="V349" i="1"/>
  <c r="S349" i="1"/>
  <c r="M349" i="1"/>
  <c r="Z348" i="1"/>
  <c r="Y348" i="1"/>
  <c r="AA348" i="1" s="1"/>
  <c r="X348" i="1"/>
  <c r="W348" i="1"/>
  <c r="V348" i="1"/>
  <c r="U348" i="1"/>
  <c r="R348" i="1"/>
  <c r="O348" i="1"/>
  <c r="L348" i="1"/>
  <c r="Y347" i="1"/>
  <c r="V347" i="1"/>
  <c r="S347" i="1"/>
  <c r="M347" i="1"/>
  <c r="V346" i="1"/>
  <c r="S346" i="1"/>
  <c r="Y346" i="1" s="1"/>
  <c r="M346" i="1"/>
  <c r="Z345" i="1"/>
  <c r="AA345" i="1" s="1"/>
  <c r="Y345" i="1"/>
  <c r="W345" i="1"/>
  <c r="V345" i="1"/>
  <c r="U345" i="1"/>
  <c r="R345" i="1"/>
  <c r="X345" i="1" s="1"/>
  <c r="O345" i="1"/>
  <c r="L345" i="1"/>
  <c r="Y344" i="1"/>
  <c r="V344" i="1"/>
  <c r="S344" i="1"/>
  <c r="M344" i="1"/>
  <c r="Y343" i="1"/>
  <c r="V343" i="1"/>
  <c r="S343" i="1"/>
  <c r="M343" i="1"/>
  <c r="AA342" i="1"/>
  <c r="Z342" i="1"/>
  <c r="Y342" i="1"/>
  <c r="W342" i="1"/>
  <c r="V342" i="1"/>
  <c r="U342" i="1"/>
  <c r="R342" i="1"/>
  <c r="X342" i="1" s="1"/>
  <c r="O342" i="1"/>
  <c r="L342" i="1"/>
  <c r="V341" i="1"/>
  <c r="S341" i="1"/>
  <c r="Y341" i="1" s="1"/>
  <c r="M341" i="1"/>
  <c r="Y340" i="1"/>
  <c r="V340" i="1"/>
  <c r="S340" i="1"/>
  <c r="M340" i="1"/>
  <c r="Z339" i="1"/>
  <c r="Y339" i="1"/>
  <c r="AA339" i="1" s="1"/>
  <c r="X339" i="1"/>
  <c r="W339" i="1"/>
  <c r="V339" i="1"/>
  <c r="U339" i="1"/>
  <c r="R339" i="1"/>
  <c r="O339" i="1"/>
  <c r="L339" i="1"/>
  <c r="Y338" i="1"/>
  <c r="V338" i="1"/>
  <c r="S338" i="1"/>
  <c r="M338" i="1"/>
  <c r="Y337" i="1"/>
  <c r="V337" i="1"/>
  <c r="S337" i="1"/>
  <c r="M337" i="1"/>
  <c r="Z336" i="1"/>
  <c r="AA336" i="1" s="1"/>
  <c r="Y336" i="1"/>
  <c r="X336" i="1"/>
  <c r="W336" i="1"/>
  <c r="V336" i="1"/>
  <c r="U336" i="1"/>
  <c r="R336" i="1"/>
  <c r="O336" i="1"/>
  <c r="L336" i="1"/>
  <c r="V335" i="1"/>
  <c r="S335" i="1"/>
  <c r="Y335" i="1" s="1"/>
  <c r="M335" i="1"/>
  <c r="V334" i="1"/>
  <c r="S334" i="1"/>
  <c r="Y334" i="1" s="1"/>
  <c r="M334" i="1"/>
  <c r="AA333" i="1"/>
  <c r="Z333" i="1"/>
  <c r="Y333" i="1"/>
  <c r="W333" i="1"/>
  <c r="V333" i="1"/>
  <c r="U333" i="1"/>
  <c r="R333" i="1"/>
  <c r="X333" i="1" s="1"/>
  <c r="O333" i="1"/>
  <c r="L333" i="1"/>
  <c r="Y332" i="1"/>
  <c r="V332" i="1"/>
  <c r="S332" i="1"/>
  <c r="M332" i="1"/>
  <c r="Y331" i="1"/>
  <c r="V331" i="1"/>
  <c r="S331" i="1"/>
  <c r="M331" i="1"/>
  <c r="AA330" i="1"/>
  <c r="Z330" i="1"/>
  <c r="Y330" i="1"/>
  <c r="W330" i="1"/>
  <c r="V330" i="1"/>
  <c r="U330" i="1"/>
  <c r="R330" i="1"/>
  <c r="X330" i="1" s="1"/>
  <c r="O330" i="1"/>
  <c r="L330" i="1"/>
  <c r="V329" i="1"/>
  <c r="S329" i="1"/>
  <c r="Y329" i="1" s="1"/>
  <c r="M329" i="1"/>
  <c r="Y328" i="1"/>
  <c r="V328" i="1"/>
  <c r="S328" i="1"/>
  <c r="M328" i="1"/>
  <c r="Z327" i="1"/>
  <c r="Y327" i="1"/>
  <c r="AA327" i="1" s="1"/>
  <c r="X327" i="1"/>
  <c r="W327" i="1"/>
  <c r="V327" i="1"/>
  <c r="U327" i="1"/>
  <c r="R327" i="1"/>
  <c r="O327" i="1"/>
  <c r="L327" i="1"/>
  <c r="Y326" i="1"/>
  <c r="V326" i="1"/>
  <c r="S326" i="1"/>
  <c r="M326" i="1"/>
  <c r="Y325" i="1"/>
  <c r="V325" i="1"/>
  <c r="S325" i="1"/>
  <c r="M325" i="1"/>
  <c r="Z324" i="1"/>
  <c r="AA324" i="1" s="1"/>
  <c r="Y324" i="1"/>
  <c r="X324" i="1"/>
  <c r="W324" i="1"/>
  <c r="V324" i="1"/>
  <c r="U324" i="1"/>
  <c r="R324" i="1"/>
  <c r="O324" i="1"/>
  <c r="L324" i="1"/>
  <c r="V323" i="1"/>
  <c r="S323" i="1"/>
  <c r="Y323" i="1" s="1"/>
  <c r="M323" i="1"/>
  <c r="V322" i="1"/>
  <c r="S322" i="1"/>
  <c r="Y322" i="1" s="1"/>
  <c r="M322" i="1"/>
  <c r="AA321" i="1"/>
  <c r="Z321" i="1"/>
  <c r="Y321" i="1"/>
  <c r="W321" i="1"/>
  <c r="V321" i="1"/>
  <c r="U321" i="1"/>
  <c r="R321" i="1"/>
  <c r="X321" i="1" s="1"/>
  <c r="O321" i="1"/>
  <c r="L321" i="1"/>
  <c r="Y320" i="1"/>
  <c r="V320" i="1"/>
  <c r="S320" i="1"/>
  <c r="M320" i="1"/>
  <c r="Y319" i="1"/>
  <c r="V319" i="1"/>
  <c r="S319" i="1"/>
  <c r="M319" i="1"/>
  <c r="AA318" i="1"/>
  <c r="Z318" i="1"/>
  <c r="Y318" i="1"/>
  <c r="W318" i="1"/>
  <c r="V318" i="1"/>
  <c r="U318" i="1"/>
  <c r="R318" i="1"/>
  <c r="X318" i="1" s="1"/>
  <c r="O318" i="1"/>
  <c r="L318" i="1"/>
  <c r="V317" i="1"/>
  <c r="S317" i="1"/>
  <c r="Y317" i="1" s="1"/>
  <c r="M317" i="1"/>
  <c r="Y316" i="1"/>
  <c r="V316" i="1"/>
  <c r="S316" i="1"/>
  <c r="M316" i="1"/>
  <c r="Z315" i="1"/>
  <c r="Y315" i="1"/>
  <c r="AA315" i="1" s="1"/>
  <c r="X315" i="1"/>
  <c r="W315" i="1"/>
  <c r="V315" i="1"/>
  <c r="U315" i="1"/>
  <c r="R315" i="1"/>
  <c r="O315" i="1"/>
  <c r="L315" i="1"/>
  <c r="Y314" i="1"/>
  <c r="V314" i="1"/>
  <c r="S314" i="1"/>
  <c r="M314" i="1"/>
  <c r="Y313" i="1"/>
  <c r="V313" i="1"/>
  <c r="S313" i="1"/>
  <c r="M313" i="1"/>
  <c r="Z312" i="1"/>
  <c r="AA312" i="1" s="1"/>
  <c r="Y312" i="1"/>
  <c r="X312" i="1"/>
  <c r="W312" i="1"/>
  <c r="V312" i="1"/>
  <c r="U312" i="1"/>
  <c r="R312" i="1"/>
  <c r="O312" i="1"/>
  <c r="L312" i="1"/>
  <c r="Y311" i="1"/>
  <c r="V311" i="1"/>
  <c r="S311" i="1"/>
  <c r="M311" i="1"/>
  <c r="V310" i="1"/>
  <c r="S310" i="1"/>
  <c r="Y310" i="1" s="1"/>
  <c r="M310" i="1"/>
  <c r="AA309" i="1"/>
  <c r="Z309" i="1"/>
  <c r="Y309" i="1"/>
  <c r="W309" i="1"/>
  <c r="V309" i="1"/>
  <c r="U309" i="1"/>
  <c r="R309" i="1"/>
  <c r="X309" i="1" s="1"/>
  <c r="O309" i="1"/>
  <c r="L309" i="1"/>
  <c r="Y308" i="1"/>
  <c r="V308" i="1"/>
  <c r="S308" i="1"/>
  <c r="M308" i="1"/>
  <c r="AA307" i="1"/>
  <c r="Z307" i="1"/>
  <c r="Y307" i="1"/>
  <c r="X307" i="1"/>
  <c r="W307" i="1"/>
  <c r="V307" i="1"/>
  <c r="U307" i="1"/>
  <c r="R307" i="1"/>
  <c r="O307" i="1"/>
  <c r="L307" i="1"/>
  <c r="Y306" i="1"/>
  <c r="V306" i="1"/>
  <c r="S306" i="1"/>
  <c r="M306" i="1"/>
  <c r="Z305" i="1"/>
  <c r="Y305" i="1"/>
  <c r="AA305" i="1" s="1"/>
  <c r="X305" i="1"/>
  <c r="W305" i="1"/>
  <c r="V305" i="1"/>
  <c r="U305" i="1"/>
  <c r="R305" i="1"/>
  <c r="O305" i="1"/>
  <c r="L305" i="1"/>
  <c r="Y304" i="1"/>
  <c r="V304" i="1"/>
  <c r="S304" i="1"/>
  <c r="M304" i="1"/>
  <c r="AA303" i="1"/>
  <c r="Z303" i="1"/>
  <c r="Y303" i="1"/>
  <c r="W303" i="1"/>
  <c r="V303" i="1"/>
  <c r="U303" i="1"/>
  <c r="R303" i="1"/>
  <c r="X303" i="1" s="1"/>
  <c r="O303" i="1"/>
  <c r="L303" i="1"/>
  <c r="V302" i="1"/>
  <c r="S302" i="1"/>
  <c r="Y302" i="1" s="1"/>
  <c r="M302" i="1"/>
  <c r="Z301" i="1"/>
  <c r="AA301" i="1" s="1"/>
  <c r="Y301" i="1"/>
  <c r="W301" i="1"/>
  <c r="V301" i="1"/>
  <c r="U301" i="1"/>
  <c r="R301" i="1"/>
  <c r="X301" i="1" s="1"/>
  <c r="O301" i="1"/>
  <c r="L301" i="1"/>
  <c r="Y300" i="1"/>
  <c r="V300" i="1"/>
  <c r="S300" i="1"/>
  <c r="M300" i="1"/>
  <c r="Z299" i="1"/>
  <c r="AA299" i="1" s="1"/>
  <c r="Y299" i="1"/>
  <c r="X299" i="1"/>
  <c r="W299" i="1"/>
  <c r="V299" i="1"/>
  <c r="U299" i="1"/>
  <c r="R299" i="1"/>
  <c r="O299" i="1"/>
  <c r="L299" i="1"/>
  <c r="V298" i="1"/>
  <c r="S298" i="1"/>
  <c r="Y298" i="1" s="1"/>
  <c r="M298" i="1"/>
  <c r="Z297" i="1"/>
  <c r="Y297" i="1"/>
  <c r="AA297" i="1" s="1"/>
  <c r="X297" i="1"/>
  <c r="W297" i="1"/>
  <c r="V297" i="1"/>
  <c r="U297" i="1"/>
  <c r="R297" i="1"/>
  <c r="O297" i="1"/>
  <c r="L297" i="1"/>
  <c r="Y296" i="1"/>
  <c r="V296" i="1"/>
  <c r="S296" i="1"/>
  <c r="M296" i="1"/>
  <c r="AA295" i="1"/>
  <c r="Z295" i="1"/>
  <c r="Y295" i="1"/>
  <c r="W295" i="1"/>
  <c r="V295" i="1"/>
  <c r="U295" i="1"/>
  <c r="R295" i="1"/>
  <c r="X295" i="1" s="1"/>
  <c r="O295" i="1"/>
  <c r="L295" i="1"/>
  <c r="V294" i="1"/>
  <c r="S294" i="1"/>
  <c r="Y294" i="1" s="1"/>
  <c r="M294" i="1"/>
  <c r="AA293" i="1"/>
  <c r="Z293" i="1"/>
  <c r="Y293" i="1"/>
  <c r="W293" i="1"/>
  <c r="V293" i="1"/>
  <c r="U293" i="1"/>
  <c r="R293" i="1"/>
  <c r="X293" i="1" s="1"/>
  <c r="O293" i="1"/>
  <c r="L293" i="1"/>
  <c r="Y292" i="1"/>
  <c r="V292" i="1"/>
  <c r="S292" i="1"/>
  <c r="M292" i="1"/>
  <c r="AA291" i="1"/>
  <c r="Z291" i="1"/>
  <c r="Y291" i="1"/>
  <c r="X291" i="1"/>
  <c r="W291" i="1"/>
  <c r="V291" i="1"/>
  <c r="U291" i="1"/>
  <c r="R291" i="1"/>
  <c r="O291" i="1"/>
  <c r="L291" i="1"/>
  <c r="Y290" i="1"/>
  <c r="V290" i="1"/>
  <c r="S290" i="1"/>
  <c r="M290" i="1"/>
  <c r="Z289" i="1"/>
  <c r="Y289" i="1"/>
  <c r="AA289" i="1" s="1"/>
  <c r="X289" i="1"/>
  <c r="W289" i="1"/>
  <c r="V289" i="1"/>
  <c r="U289" i="1"/>
  <c r="R289" i="1"/>
  <c r="O289" i="1"/>
  <c r="L289" i="1"/>
  <c r="Y288" i="1"/>
  <c r="V288" i="1"/>
  <c r="S288" i="1"/>
  <c r="M288" i="1"/>
  <c r="AA287" i="1"/>
  <c r="Z287" i="1"/>
  <c r="Y287" i="1"/>
  <c r="W287" i="1"/>
  <c r="V287" i="1"/>
  <c r="U287" i="1"/>
  <c r="R287" i="1"/>
  <c r="X287" i="1" s="1"/>
  <c r="O287" i="1"/>
  <c r="L287" i="1"/>
  <c r="V286" i="1"/>
  <c r="S286" i="1"/>
  <c r="Y286" i="1" s="1"/>
  <c r="M286" i="1"/>
  <c r="Z285" i="1"/>
  <c r="Y285" i="1"/>
  <c r="AA285" i="1" s="1"/>
  <c r="W285" i="1"/>
  <c r="V285" i="1"/>
  <c r="U285" i="1"/>
  <c r="R285" i="1"/>
  <c r="X285" i="1" s="1"/>
  <c r="O285" i="1"/>
  <c r="L285" i="1"/>
  <c r="Y284" i="1"/>
  <c r="V284" i="1"/>
  <c r="S284" i="1"/>
  <c r="M284" i="1"/>
  <c r="Z283" i="1"/>
  <c r="AA283" i="1" s="1"/>
  <c r="Y283" i="1"/>
  <c r="X283" i="1"/>
  <c r="W283" i="1"/>
  <c r="V283" i="1"/>
  <c r="U283" i="1"/>
  <c r="R283" i="1"/>
  <c r="O283" i="1"/>
  <c r="L283" i="1"/>
  <c r="V282" i="1"/>
  <c r="S282" i="1"/>
  <c r="Y282" i="1" s="1"/>
  <c r="M282" i="1"/>
  <c r="Z281" i="1"/>
  <c r="Y281" i="1"/>
  <c r="AA281" i="1" s="1"/>
  <c r="X281" i="1"/>
  <c r="W281" i="1"/>
  <c r="V281" i="1"/>
  <c r="U281" i="1"/>
  <c r="R281" i="1"/>
  <c r="O281" i="1"/>
  <c r="L281" i="1"/>
  <c r="Y280" i="1"/>
  <c r="V280" i="1"/>
  <c r="S280" i="1"/>
  <c r="M280" i="1"/>
  <c r="AA279" i="1"/>
  <c r="Z279" i="1"/>
  <c r="Y279" i="1"/>
  <c r="W279" i="1"/>
  <c r="V279" i="1"/>
  <c r="U279" i="1"/>
  <c r="R279" i="1"/>
  <c r="X279" i="1" s="1"/>
  <c r="O279" i="1"/>
  <c r="L279" i="1"/>
  <c r="V278" i="1"/>
  <c r="S278" i="1"/>
  <c r="Y278" i="1" s="1"/>
  <c r="M278" i="1"/>
  <c r="AA277" i="1"/>
  <c r="Z277" i="1"/>
  <c r="Y277" i="1"/>
  <c r="W277" i="1"/>
  <c r="V277" i="1"/>
  <c r="U277" i="1"/>
  <c r="R277" i="1"/>
  <c r="X277" i="1" s="1"/>
  <c r="O277" i="1"/>
  <c r="L277" i="1"/>
  <c r="Y276" i="1"/>
  <c r="V276" i="1"/>
  <c r="S276" i="1"/>
  <c r="M276" i="1"/>
  <c r="AA275" i="1"/>
  <c r="Z275" i="1"/>
  <c r="Y275" i="1"/>
  <c r="X275" i="1"/>
  <c r="W275" i="1"/>
  <c r="V275" i="1"/>
  <c r="U275" i="1"/>
  <c r="R275" i="1"/>
  <c r="O275" i="1"/>
  <c r="L275" i="1"/>
  <c r="Y274" i="1"/>
  <c r="V274" i="1"/>
  <c r="S274" i="1"/>
  <c r="M274" i="1"/>
  <c r="Z273" i="1"/>
  <c r="Y273" i="1"/>
  <c r="AA273" i="1" s="1"/>
  <c r="X273" i="1"/>
  <c r="W273" i="1"/>
  <c r="V273" i="1"/>
  <c r="U273" i="1"/>
  <c r="U268" i="1" s="1"/>
  <c r="R273" i="1"/>
  <c r="O273" i="1"/>
  <c r="L273" i="1"/>
  <c r="V272" i="1"/>
  <c r="S272" i="1"/>
  <c r="Y272" i="1" s="1"/>
  <c r="M272" i="1"/>
  <c r="AA271" i="1"/>
  <c r="Z271" i="1"/>
  <c r="Y271" i="1"/>
  <c r="W271" i="1"/>
  <c r="V271" i="1"/>
  <c r="U271" i="1"/>
  <c r="R271" i="1"/>
  <c r="X271" i="1" s="1"/>
  <c r="O271" i="1"/>
  <c r="L271" i="1"/>
  <c r="V270" i="1"/>
  <c r="S270" i="1"/>
  <c r="Y270" i="1" s="1"/>
  <c r="M270" i="1"/>
  <c r="AA269" i="1"/>
  <c r="Z269" i="1"/>
  <c r="Y269" i="1"/>
  <c r="X269" i="1"/>
  <c r="W269" i="1"/>
  <c r="V269" i="1"/>
  <c r="U269" i="1"/>
  <c r="R269" i="1"/>
  <c r="O269" i="1"/>
  <c r="O268" i="1" s="1"/>
  <c r="L269" i="1"/>
  <c r="Z268" i="1"/>
  <c r="T268" i="1"/>
  <c r="S268" i="1"/>
  <c r="N268" i="1"/>
  <c r="M268" i="1"/>
  <c r="Y267" i="1"/>
  <c r="V267" i="1"/>
  <c r="S267" i="1"/>
  <c r="M267" i="1"/>
  <c r="V266" i="1"/>
  <c r="S266" i="1"/>
  <c r="Y266" i="1" s="1"/>
  <c r="M266" i="1"/>
  <c r="AA265" i="1"/>
  <c r="Z265" i="1"/>
  <c r="Y265" i="1"/>
  <c r="X265" i="1"/>
  <c r="W265" i="1"/>
  <c r="V265" i="1"/>
  <c r="U265" i="1"/>
  <c r="R265" i="1"/>
  <c r="O265" i="1"/>
  <c r="O261" i="1" s="1"/>
  <c r="O260" i="1" s="1"/>
  <c r="L265" i="1"/>
  <c r="Y264" i="1"/>
  <c r="V264" i="1"/>
  <c r="S264" i="1"/>
  <c r="M264" i="1"/>
  <c r="Y263" i="1"/>
  <c r="V263" i="1"/>
  <c r="S263" i="1"/>
  <c r="M263" i="1"/>
  <c r="Z262" i="1"/>
  <c r="Z261" i="1" s="1"/>
  <c r="Z260" i="1" s="1"/>
  <c r="Y262" i="1"/>
  <c r="X262" i="1"/>
  <c r="W262" i="1"/>
  <c r="V262" i="1"/>
  <c r="U262" i="1"/>
  <c r="U261" i="1" s="1"/>
  <c r="R262" i="1"/>
  <c r="O262" i="1"/>
  <c r="L262" i="1"/>
  <c r="Y261" i="1"/>
  <c r="T261" i="1"/>
  <c r="S261" i="1"/>
  <c r="N261" i="1"/>
  <c r="M261" i="1"/>
  <c r="S260" i="1"/>
  <c r="N260" i="1"/>
  <c r="M260" i="1"/>
  <c r="V259" i="1"/>
  <c r="S259" i="1"/>
  <c r="Y259" i="1" s="1"/>
  <c r="M259" i="1"/>
  <c r="AA258" i="1"/>
  <c r="Z258" i="1"/>
  <c r="Y258" i="1"/>
  <c r="X258" i="1"/>
  <c r="W258" i="1"/>
  <c r="V258" i="1"/>
  <c r="U258" i="1"/>
  <c r="R258" i="1"/>
  <c r="O258" i="1"/>
  <c r="O255" i="1" s="1"/>
  <c r="L258" i="1"/>
  <c r="Y257" i="1"/>
  <c r="V257" i="1"/>
  <c r="S257" i="1"/>
  <c r="M257" i="1"/>
  <c r="Z256" i="1"/>
  <c r="Y256" i="1"/>
  <c r="Y255" i="1" s="1"/>
  <c r="W256" i="1"/>
  <c r="V256" i="1"/>
  <c r="U256" i="1"/>
  <c r="U255" i="1" s="1"/>
  <c r="R256" i="1"/>
  <c r="X256" i="1" s="1"/>
  <c r="O256" i="1"/>
  <c r="L256" i="1"/>
  <c r="Z255" i="1"/>
  <c r="T255" i="1"/>
  <c r="S255" i="1"/>
  <c r="N255" i="1"/>
  <c r="M255" i="1"/>
  <c r="V254" i="1"/>
  <c r="S254" i="1"/>
  <c r="Y254" i="1" s="1"/>
  <c r="M254" i="1"/>
  <c r="Y253" i="1"/>
  <c r="V253" i="1"/>
  <c r="S253" i="1"/>
  <c r="M253" i="1"/>
  <c r="V252" i="1"/>
  <c r="S252" i="1"/>
  <c r="Y252" i="1" s="1"/>
  <c r="M252" i="1"/>
  <c r="Y251" i="1"/>
  <c r="V251" i="1"/>
  <c r="S251" i="1"/>
  <c r="M251" i="1"/>
  <c r="Z250" i="1"/>
  <c r="Y250" i="1"/>
  <c r="AA250" i="1" s="1"/>
  <c r="W250" i="1"/>
  <c r="V250" i="1"/>
  <c r="U250" i="1"/>
  <c r="R250" i="1"/>
  <c r="X250" i="1" s="1"/>
  <c r="O250" i="1"/>
  <c r="L250" i="1"/>
  <c r="V249" i="1"/>
  <c r="S249" i="1"/>
  <c r="Y249" i="1" s="1"/>
  <c r="M249" i="1"/>
  <c r="V248" i="1"/>
  <c r="S248" i="1"/>
  <c r="Y248" i="1" s="1"/>
  <c r="M248" i="1"/>
  <c r="Y247" i="1"/>
  <c r="V247" i="1"/>
  <c r="S247" i="1"/>
  <c r="M247" i="1"/>
  <c r="V246" i="1"/>
  <c r="S246" i="1"/>
  <c r="Y246" i="1" s="1"/>
  <c r="M246" i="1"/>
  <c r="Z245" i="1"/>
  <c r="Y245" i="1"/>
  <c r="AA245" i="1" s="1"/>
  <c r="W245" i="1"/>
  <c r="V245" i="1"/>
  <c r="U245" i="1"/>
  <c r="R245" i="1"/>
  <c r="X245" i="1" s="1"/>
  <c r="O245" i="1"/>
  <c r="L245" i="1"/>
  <c r="Y244" i="1"/>
  <c r="V244" i="1"/>
  <c r="S244" i="1"/>
  <c r="M244" i="1"/>
  <c r="Y243" i="1"/>
  <c r="V243" i="1"/>
  <c r="S243" i="1"/>
  <c r="M243" i="1"/>
  <c r="Y242" i="1"/>
  <c r="V242" i="1"/>
  <c r="S242" i="1"/>
  <c r="M242" i="1"/>
  <c r="Y241" i="1"/>
  <c r="V241" i="1"/>
  <c r="S241" i="1"/>
  <c r="M241" i="1"/>
  <c r="Z240" i="1"/>
  <c r="AA240" i="1" s="1"/>
  <c r="Y240" i="1"/>
  <c r="W240" i="1"/>
  <c r="V240" i="1"/>
  <c r="U240" i="1"/>
  <c r="R240" i="1"/>
  <c r="X240" i="1" s="1"/>
  <c r="O240" i="1"/>
  <c r="L240" i="1"/>
  <c r="V239" i="1"/>
  <c r="S239" i="1"/>
  <c r="Y239" i="1" s="1"/>
  <c r="M239" i="1"/>
  <c r="Y238" i="1"/>
  <c r="V238" i="1"/>
  <c r="S238" i="1"/>
  <c r="M238" i="1"/>
  <c r="V237" i="1"/>
  <c r="S237" i="1"/>
  <c r="Y237" i="1" s="1"/>
  <c r="M237" i="1"/>
  <c r="Y236" i="1"/>
  <c r="V236" i="1"/>
  <c r="S236" i="1"/>
  <c r="M236" i="1"/>
  <c r="Z235" i="1"/>
  <c r="Y235" i="1"/>
  <c r="AA235" i="1" s="1"/>
  <c r="X235" i="1"/>
  <c r="W235" i="1"/>
  <c r="V235" i="1"/>
  <c r="U235" i="1"/>
  <c r="R235" i="1"/>
  <c r="O235" i="1"/>
  <c r="L235" i="1"/>
  <c r="V234" i="1"/>
  <c r="S234" i="1"/>
  <c r="Y234" i="1" s="1"/>
  <c r="M234" i="1"/>
  <c r="Y233" i="1"/>
  <c r="V233" i="1"/>
  <c r="S233" i="1"/>
  <c r="M233" i="1"/>
  <c r="V232" i="1"/>
  <c r="S232" i="1"/>
  <c r="Y232" i="1" s="1"/>
  <c r="M232" i="1"/>
  <c r="Y231" i="1"/>
  <c r="V231" i="1"/>
  <c r="S231" i="1"/>
  <c r="M231" i="1"/>
  <c r="Z230" i="1"/>
  <c r="Y230" i="1"/>
  <c r="AA230" i="1" s="1"/>
  <c r="X230" i="1"/>
  <c r="W230" i="1"/>
  <c r="V230" i="1"/>
  <c r="U230" i="1"/>
  <c r="R230" i="1"/>
  <c r="O230" i="1"/>
  <c r="L230" i="1"/>
  <c r="V229" i="1"/>
  <c r="S229" i="1"/>
  <c r="Y229" i="1" s="1"/>
  <c r="M229" i="1"/>
  <c r="V228" i="1"/>
  <c r="S228" i="1"/>
  <c r="Y228" i="1" s="1"/>
  <c r="M228" i="1"/>
  <c r="Y227" i="1"/>
  <c r="V227" i="1"/>
  <c r="S227" i="1"/>
  <c r="M227" i="1"/>
  <c r="V226" i="1"/>
  <c r="S226" i="1"/>
  <c r="Y226" i="1" s="1"/>
  <c r="M226" i="1"/>
  <c r="Z225" i="1"/>
  <c r="Y225" i="1"/>
  <c r="AA225" i="1" s="1"/>
  <c r="X225" i="1"/>
  <c r="W225" i="1"/>
  <c r="V225" i="1"/>
  <c r="U225" i="1"/>
  <c r="R225" i="1"/>
  <c r="O225" i="1"/>
  <c r="L225" i="1"/>
  <c r="Y224" i="1"/>
  <c r="V224" i="1"/>
  <c r="S224" i="1"/>
  <c r="M224" i="1"/>
  <c r="Y223" i="1"/>
  <c r="V223" i="1"/>
  <c r="S223" i="1"/>
  <c r="M223" i="1"/>
  <c r="Y222" i="1"/>
  <c r="V222" i="1"/>
  <c r="S222" i="1"/>
  <c r="M222" i="1"/>
  <c r="Y221" i="1"/>
  <c r="V221" i="1"/>
  <c r="S221" i="1"/>
  <c r="M221" i="1"/>
  <c r="Z220" i="1"/>
  <c r="AA220" i="1" s="1"/>
  <c r="Y220" i="1"/>
  <c r="W220" i="1"/>
  <c r="V220" i="1"/>
  <c r="U220" i="1"/>
  <c r="R220" i="1"/>
  <c r="X220" i="1" s="1"/>
  <c r="O220" i="1"/>
  <c r="L220" i="1"/>
  <c r="V219" i="1"/>
  <c r="S219" i="1"/>
  <c r="Y219" i="1" s="1"/>
  <c r="M219" i="1"/>
  <c r="V218" i="1"/>
  <c r="S218" i="1"/>
  <c r="Y218" i="1" s="1"/>
  <c r="M218" i="1"/>
  <c r="V217" i="1"/>
  <c r="S217" i="1"/>
  <c r="Y217" i="1" s="1"/>
  <c r="M217" i="1"/>
  <c r="Y216" i="1"/>
  <c r="V216" i="1"/>
  <c r="S216" i="1"/>
  <c r="M216" i="1"/>
  <c r="Z215" i="1"/>
  <c r="Y215" i="1"/>
  <c r="AA215" i="1" s="1"/>
  <c r="X215" i="1"/>
  <c r="W215" i="1"/>
  <c r="V215" i="1"/>
  <c r="U215" i="1"/>
  <c r="R215" i="1"/>
  <c r="O215" i="1"/>
  <c r="L215" i="1"/>
  <c r="Y214" i="1"/>
  <c r="V214" i="1"/>
  <c r="S214" i="1"/>
  <c r="M214" i="1"/>
  <c r="Y213" i="1"/>
  <c r="V213" i="1"/>
  <c r="S213" i="1"/>
  <c r="M213" i="1"/>
  <c r="Y212" i="1"/>
  <c r="V212" i="1"/>
  <c r="S212" i="1"/>
  <c r="M212" i="1"/>
  <c r="Y211" i="1"/>
  <c r="V211" i="1"/>
  <c r="S211" i="1"/>
  <c r="M211" i="1"/>
  <c r="Z210" i="1"/>
  <c r="AA210" i="1" s="1"/>
  <c r="Y210" i="1"/>
  <c r="X210" i="1"/>
  <c r="W210" i="1"/>
  <c r="V210" i="1"/>
  <c r="U210" i="1"/>
  <c r="R210" i="1"/>
  <c r="O210" i="1"/>
  <c r="L210" i="1"/>
  <c r="V209" i="1"/>
  <c r="S209" i="1"/>
  <c r="Y209" i="1" s="1"/>
  <c r="M209" i="1"/>
  <c r="V208" i="1"/>
  <c r="S208" i="1"/>
  <c r="Y208" i="1" s="1"/>
  <c r="M208" i="1"/>
  <c r="Y207" i="1"/>
  <c r="V207" i="1"/>
  <c r="S207" i="1"/>
  <c r="M207" i="1"/>
  <c r="V206" i="1"/>
  <c r="S206" i="1"/>
  <c r="Y206" i="1" s="1"/>
  <c r="M206" i="1"/>
  <c r="Z205" i="1"/>
  <c r="AA205" i="1" s="1"/>
  <c r="Y205" i="1"/>
  <c r="X205" i="1"/>
  <c r="W205" i="1"/>
  <c r="V205" i="1"/>
  <c r="U205" i="1"/>
  <c r="R205" i="1"/>
  <c r="O205" i="1"/>
  <c r="L205" i="1"/>
  <c r="Y204" i="1"/>
  <c r="V204" i="1"/>
  <c r="S204" i="1"/>
  <c r="M204" i="1"/>
  <c r="Y203" i="1"/>
  <c r="V203" i="1"/>
  <c r="S203" i="1"/>
  <c r="M203" i="1"/>
  <c r="Y202" i="1"/>
  <c r="V202" i="1"/>
  <c r="S202" i="1"/>
  <c r="M202" i="1"/>
  <c r="Y201" i="1"/>
  <c r="V201" i="1"/>
  <c r="S201" i="1"/>
  <c r="M201" i="1"/>
  <c r="Z200" i="1"/>
  <c r="AA200" i="1" s="1"/>
  <c r="Y200" i="1"/>
  <c r="W200" i="1"/>
  <c r="V200" i="1"/>
  <c r="U200" i="1"/>
  <c r="R200" i="1"/>
  <c r="X200" i="1" s="1"/>
  <c r="O200" i="1"/>
  <c r="L200" i="1"/>
  <c r="V199" i="1"/>
  <c r="S199" i="1"/>
  <c r="Y199" i="1" s="1"/>
  <c r="M199" i="1"/>
  <c r="V198" i="1"/>
  <c r="S198" i="1"/>
  <c r="Y198" i="1" s="1"/>
  <c r="M198" i="1"/>
  <c r="V197" i="1"/>
  <c r="S197" i="1"/>
  <c r="Y197" i="1" s="1"/>
  <c r="M197" i="1"/>
  <c r="Y196" i="1"/>
  <c r="V196" i="1"/>
  <c r="S196" i="1"/>
  <c r="M196" i="1"/>
  <c r="Z195" i="1"/>
  <c r="Y195" i="1"/>
  <c r="AA195" i="1" s="1"/>
  <c r="W195" i="1"/>
  <c r="V195" i="1"/>
  <c r="U195" i="1"/>
  <c r="R195" i="1"/>
  <c r="X195" i="1" s="1"/>
  <c r="O195" i="1"/>
  <c r="L195" i="1"/>
  <c r="Y194" i="1"/>
  <c r="V194" i="1"/>
  <c r="S194" i="1"/>
  <c r="M194" i="1"/>
  <c r="Y193" i="1"/>
  <c r="V193" i="1"/>
  <c r="S193" i="1"/>
  <c r="M193" i="1"/>
  <c r="Y192" i="1"/>
  <c r="V192" i="1"/>
  <c r="S192" i="1"/>
  <c r="M192" i="1"/>
  <c r="Y191" i="1"/>
  <c r="V191" i="1"/>
  <c r="S191" i="1"/>
  <c r="M191" i="1"/>
  <c r="AA190" i="1"/>
  <c r="Z190" i="1"/>
  <c r="Y190" i="1"/>
  <c r="X190" i="1"/>
  <c r="W190" i="1"/>
  <c r="V190" i="1"/>
  <c r="U190" i="1"/>
  <c r="R190" i="1"/>
  <c r="O190" i="1"/>
  <c r="L190" i="1"/>
  <c r="V189" i="1"/>
  <c r="S189" i="1"/>
  <c r="Y189" i="1" s="1"/>
  <c r="M189" i="1"/>
  <c r="V188" i="1"/>
  <c r="S188" i="1"/>
  <c r="Y188" i="1" s="1"/>
  <c r="M188" i="1"/>
  <c r="V187" i="1"/>
  <c r="S187" i="1"/>
  <c r="Y187" i="1" s="1"/>
  <c r="M187" i="1"/>
  <c r="V186" i="1"/>
  <c r="S186" i="1"/>
  <c r="Y186" i="1" s="1"/>
  <c r="M186" i="1"/>
  <c r="AA185" i="1"/>
  <c r="Z185" i="1"/>
  <c r="Y185" i="1"/>
  <c r="X185" i="1"/>
  <c r="W185" i="1"/>
  <c r="V185" i="1"/>
  <c r="U185" i="1"/>
  <c r="R185" i="1"/>
  <c r="O185" i="1"/>
  <c r="L185" i="1"/>
  <c r="Y184" i="1"/>
  <c r="V184" i="1"/>
  <c r="S184" i="1"/>
  <c r="M184" i="1"/>
  <c r="Y183" i="1"/>
  <c r="V183" i="1"/>
  <c r="S183" i="1"/>
  <c r="M183" i="1"/>
  <c r="Y182" i="1"/>
  <c r="V182" i="1"/>
  <c r="S182" i="1"/>
  <c r="M182" i="1"/>
  <c r="Y181" i="1"/>
  <c r="V181" i="1"/>
  <c r="S181" i="1"/>
  <c r="M181" i="1"/>
  <c r="Z180" i="1"/>
  <c r="AA180" i="1" s="1"/>
  <c r="Y180" i="1"/>
  <c r="X180" i="1"/>
  <c r="W180" i="1"/>
  <c r="V180" i="1"/>
  <c r="U180" i="1"/>
  <c r="R180" i="1"/>
  <c r="O180" i="1"/>
  <c r="L180" i="1"/>
  <c r="V179" i="1"/>
  <c r="S179" i="1"/>
  <c r="Y179" i="1" s="1"/>
  <c r="M179" i="1"/>
  <c r="V178" i="1"/>
  <c r="S178" i="1"/>
  <c r="Y178" i="1" s="1"/>
  <c r="M178" i="1"/>
  <c r="V177" i="1"/>
  <c r="S177" i="1"/>
  <c r="Y177" i="1" s="1"/>
  <c r="M177" i="1"/>
  <c r="Y176" i="1"/>
  <c r="V176" i="1"/>
  <c r="S176" i="1"/>
  <c r="M176" i="1"/>
  <c r="Z175" i="1"/>
  <c r="Y175" i="1"/>
  <c r="AA175" i="1" s="1"/>
  <c r="W175" i="1"/>
  <c r="V175" i="1"/>
  <c r="U175" i="1"/>
  <c r="R175" i="1"/>
  <c r="X175" i="1" s="1"/>
  <c r="O175" i="1"/>
  <c r="L175" i="1"/>
  <c r="Y174" i="1"/>
  <c r="V174" i="1"/>
  <c r="S174" i="1"/>
  <c r="M174" i="1"/>
  <c r="Y173" i="1"/>
  <c r="V173" i="1"/>
  <c r="S173" i="1"/>
  <c r="M173" i="1"/>
  <c r="Y172" i="1"/>
  <c r="V172" i="1"/>
  <c r="S172" i="1"/>
  <c r="M172" i="1"/>
  <c r="Z171" i="1"/>
  <c r="AA171" i="1" s="1"/>
  <c r="Y171" i="1"/>
  <c r="W171" i="1"/>
  <c r="V171" i="1"/>
  <c r="U171" i="1"/>
  <c r="R171" i="1"/>
  <c r="X171" i="1" s="1"/>
  <c r="O171" i="1"/>
  <c r="L171" i="1"/>
  <c r="V170" i="1"/>
  <c r="S170" i="1"/>
  <c r="Y170" i="1" s="1"/>
  <c r="M170" i="1"/>
  <c r="V169" i="1"/>
  <c r="S169" i="1"/>
  <c r="Y169" i="1" s="1"/>
  <c r="M169" i="1"/>
  <c r="Y168" i="1"/>
  <c r="V168" i="1"/>
  <c r="S168" i="1"/>
  <c r="M168" i="1"/>
  <c r="Z167" i="1"/>
  <c r="Y167" i="1"/>
  <c r="AA167" i="1" s="1"/>
  <c r="W167" i="1"/>
  <c r="V167" i="1"/>
  <c r="U167" i="1"/>
  <c r="R167" i="1"/>
  <c r="X167" i="1" s="1"/>
  <c r="O167" i="1"/>
  <c r="L167" i="1"/>
  <c r="Y166" i="1"/>
  <c r="V166" i="1"/>
  <c r="S166" i="1"/>
  <c r="M166" i="1"/>
  <c r="Y165" i="1"/>
  <c r="V165" i="1"/>
  <c r="S165" i="1"/>
  <c r="M165" i="1"/>
  <c r="Y164" i="1"/>
  <c r="V164" i="1"/>
  <c r="S164" i="1"/>
  <c r="M164" i="1"/>
  <c r="Y163" i="1"/>
  <c r="V163" i="1"/>
  <c r="S163" i="1"/>
  <c r="M163" i="1"/>
  <c r="AA162" i="1"/>
  <c r="Z162" i="1"/>
  <c r="Y162" i="1"/>
  <c r="W162" i="1"/>
  <c r="V162" i="1"/>
  <c r="U162" i="1"/>
  <c r="R162" i="1"/>
  <c r="X162" i="1" s="1"/>
  <c r="O162" i="1"/>
  <c r="L162" i="1"/>
  <c r="Y161" i="1"/>
  <c r="V161" i="1"/>
  <c r="S161" i="1"/>
  <c r="M161" i="1"/>
  <c r="V160" i="1"/>
  <c r="S160" i="1"/>
  <c r="Y160" i="1" s="1"/>
  <c r="M160" i="1"/>
  <c r="Y159" i="1"/>
  <c r="V159" i="1"/>
  <c r="S159" i="1"/>
  <c r="M159" i="1"/>
  <c r="V158" i="1"/>
  <c r="S158" i="1"/>
  <c r="Y158" i="1" s="1"/>
  <c r="M158" i="1"/>
  <c r="AA157" i="1"/>
  <c r="Z157" i="1"/>
  <c r="Y157" i="1"/>
  <c r="X157" i="1"/>
  <c r="W157" i="1"/>
  <c r="V157" i="1"/>
  <c r="U157" i="1"/>
  <c r="R157" i="1"/>
  <c r="O157" i="1"/>
  <c r="L157" i="1"/>
  <c r="Y156" i="1"/>
  <c r="V156" i="1"/>
  <c r="S156" i="1"/>
  <c r="M156" i="1"/>
  <c r="Y155" i="1"/>
  <c r="V155" i="1"/>
  <c r="S155" i="1"/>
  <c r="M155" i="1"/>
  <c r="Y154" i="1"/>
  <c r="V154" i="1"/>
  <c r="S154" i="1"/>
  <c r="M154" i="1"/>
  <c r="Y153" i="1"/>
  <c r="V153" i="1"/>
  <c r="S153" i="1"/>
  <c r="M153" i="1"/>
  <c r="Z152" i="1"/>
  <c r="AA152" i="1" s="1"/>
  <c r="Y152" i="1"/>
  <c r="X152" i="1"/>
  <c r="W152" i="1"/>
  <c r="V152" i="1"/>
  <c r="U152" i="1"/>
  <c r="R152" i="1"/>
  <c r="O152" i="1"/>
  <c r="L152" i="1"/>
  <c r="V151" i="1"/>
  <c r="S151" i="1"/>
  <c r="Y151" i="1" s="1"/>
  <c r="M151" i="1"/>
  <c r="Y150" i="1"/>
  <c r="V150" i="1"/>
  <c r="S150" i="1"/>
  <c r="M150" i="1"/>
  <c r="V149" i="1"/>
  <c r="S149" i="1"/>
  <c r="Y149" i="1" s="1"/>
  <c r="M149" i="1"/>
  <c r="Y148" i="1"/>
  <c r="V148" i="1"/>
  <c r="S148" i="1"/>
  <c r="M148" i="1"/>
  <c r="Z147" i="1"/>
  <c r="Y147" i="1"/>
  <c r="AA147" i="1" s="1"/>
  <c r="W147" i="1"/>
  <c r="V147" i="1"/>
  <c r="U147" i="1"/>
  <c r="R147" i="1"/>
  <c r="X147" i="1" s="1"/>
  <c r="O147" i="1"/>
  <c r="L147" i="1"/>
  <c r="Y146" i="1"/>
  <c r="V146" i="1"/>
  <c r="S146" i="1"/>
  <c r="M146" i="1"/>
  <c r="Y145" i="1"/>
  <c r="V145" i="1"/>
  <c r="S145" i="1"/>
  <c r="M145" i="1"/>
  <c r="Y144" i="1"/>
  <c r="V144" i="1"/>
  <c r="S144" i="1"/>
  <c r="M144" i="1"/>
  <c r="Y143" i="1"/>
  <c r="V143" i="1"/>
  <c r="S143" i="1"/>
  <c r="M143" i="1"/>
  <c r="AA142" i="1"/>
  <c r="Z142" i="1"/>
  <c r="Y142" i="1"/>
  <c r="W142" i="1"/>
  <c r="V142" i="1"/>
  <c r="U142" i="1"/>
  <c r="R142" i="1"/>
  <c r="X142" i="1" s="1"/>
  <c r="O142" i="1"/>
  <c r="L142" i="1"/>
  <c r="Y141" i="1"/>
  <c r="V141" i="1"/>
  <c r="S141" i="1"/>
  <c r="M141" i="1"/>
  <c r="V140" i="1"/>
  <c r="S140" i="1"/>
  <c r="Y140" i="1" s="1"/>
  <c r="M140" i="1"/>
  <c r="Y139" i="1"/>
  <c r="V139" i="1"/>
  <c r="S139" i="1"/>
  <c r="M139" i="1"/>
  <c r="V138" i="1"/>
  <c r="S138" i="1"/>
  <c r="Y138" i="1" s="1"/>
  <c r="M138" i="1"/>
  <c r="AA137" i="1"/>
  <c r="Z137" i="1"/>
  <c r="Y137" i="1"/>
  <c r="X137" i="1"/>
  <c r="W137" i="1"/>
  <c r="V137" i="1"/>
  <c r="U137" i="1"/>
  <c r="R137" i="1"/>
  <c r="O137" i="1"/>
  <c r="L137" i="1"/>
  <c r="Y136" i="1"/>
  <c r="V136" i="1"/>
  <c r="S136" i="1"/>
  <c r="M136" i="1"/>
  <c r="Y135" i="1"/>
  <c r="V135" i="1"/>
  <c r="S135" i="1"/>
  <c r="M135" i="1"/>
  <c r="Y134" i="1"/>
  <c r="V134" i="1"/>
  <c r="S134" i="1"/>
  <c r="M134" i="1"/>
  <c r="Y133" i="1"/>
  <c r="V133" i="1"/>
  <c r="S133" i="1"/>
  <c r="M133" i="1"/>
  <c r="Z132" i="1"/>
  <c r="AA132" i="1" s="1"/>
  <c r="Y132" i="1"/>
  <c r="X132" i="1"/>
  <c r="W132" i="1"/>
  <c r="V132" i="1"/>
  <c r="U132" i="1"/>
  <c r="R132" i="1"/>
  <c r="O132" i="1"/>
  <c r="L132" i="1"/>
  <c r="V131" i="1"/>
  <c r="S131" i="1"/>
  <c r="Y131" i="1" s="1"/>
  <c r="M131" i="1"/>
  <c r="Y130" i="1"/>
  <c r="V130" i="1"/>
  <c r="S130" i="1"/>
  <c r="M130" i="1"/>
  <c r="V129" i="1"/>
  <c r="S129" i="1"/>
  <c r="Y129" i="1" s="1"/>
  <c r="M129" i="1"/>
  <c r="Y128" i="1"/>
  <c r="V128" i="1"/>
  <c r="S128" i="1"/>
  <c r="M128" i="1"/>
  <c r="Z127" i="1"/>
  <c r="Y127" i="1"/>
  <c r="AA127" i="1" s="1"/>
  <c r="W127" i="1"/>
  <c r="V127" i="1"/>
  <c r="U127" i="1"/>
  <c r="R127" i="1"/>
  <c r="X127" i="1" s="1"/>
  <c r="O127" i="1"/>
  <c r="L127" i="1"/>
  <c r="Y126" i="1"/>
  <c r="V126" i="1"/>
  <c r="S126" i="1"/>
  <c r="M126" i="1"/>
  <c r="Z125" i="1"/>
  <c r="AA125" i="1" s="1"/>
  <c r="Y125" i="1"/>
  <c r="X125" i="1"/>
  <c r="W125" i="1"/>
  <c r="V125" i="1"/>
  <c r="U125" i="1"/>
  <c r="R125" i="1"/>
  <c r="O125" i="1"/>
  <c r="L125" i="1"/>
  <c r="V124" i="1"/>
  <c r="S124" i="1"/>
  <c r="Y124" i="1" s="1"/>
  <c r="M124" i="1"/>
  <c r="AA123" i="1"/>
  <c r="Z123" i="1"/>
  <c r="Y123" i="1"/>
  <c r="X123" i="1"/>
  <c r="W123" i="1"/>
  <c r="V123" i="1"/>
  <c r="U123" i="1"/>
  <c r="R123" i="1"/>
  <c r="O123" i="1"/>
  <c r="L123" i="1"/>
  <c r="Y122" i="1"/>
  <c r="V122" i="1"/>
  <c r="S122" i="1"/>
  <c r="M122" i="1"/>
  <c r="AA121" i="1"/>
  <c r="Z121" i="1"/>
  <c r="Y121" i="1"/>
  <c r="W121" i="1"/>
  <c r="V121" i="1"/>
  <c r="U121" i="1"/>
  <c r="R121" i="1"/>
  <c r="X121" i="1" s="1"/>
  <c r="O121" i="1"/>
  <c r="L121" i="1"/>
  <c r="Y120" i="1"/>
  <c r="V120" i="1"/>
  <c r="S120" i="1"/>
  <c r="M120" i="1"/>
  <c r="Z119" i="1"/>
  <c r="Y119" i="1"/>
  <c r="AA119" i="1" s="1"/>
  <c r="W119" i="1"/>
  <c r="V119" i="1"/>
  <c r="U119" i="1"/>
  <c r="R119" i="1"/>
  <c r="X119" i="1" s="1"/>
  <c r="O119" i="1"/>
  <c r="L119" i="1"/>
  <c r="Y118" i="1"/>
  <c r="V118" i="1"/>
  <c r="S118" i="1"/>
  <c r="M118" i="1"/>
  <c r="Y117" i="1"/>
  <c r="V117" i="1"/>
  <c r="S117" i="1"/>
  <c r="M117" i="1"/>
  <c r="AA116" i="1"/>
  <c r="Z116" i="1"/>
  <c r="Y116" i="1"/>
  <c r="W116" i="1"/>
  <c r="V116" i="1"/>
  <c r="U116" i="1"/>
  <c r="R116" i="1"/>
  <c r="X116" i="1" s="1"/>
  <c r="O116" i="1"/>
  <c r="L116" i="1"/>
  <c r="Y115" i="1"/>
  <c r="V115" i="1"/>
  <c r="S115" i="1"/>
  <c r="M115" i="1"/>
  <c r="V114" i="1"/>
  <c r="S114" i="1"/>
  <c r="Y114" i="1" s="1"/>
  <c r="M114" i="1"/>
  <c r="AA113" i="1"/>
  <c r="Z113" i="1"/>
  <c r="Y113" i="1"/>
  <c r="X113" i="1"/>
  <c r="W113" i="1"/>
  <c r="V113" i="1"/>
  <c r="U113" i="1"/>
  <c r="R113" i="1"/>
  <c r="O113" i="1"/>
  <c r="L113" i="1"/>
  <c r="Y112" i="1"/>
  <c r="V112" i="1"/>
  <c r="S112" i="1"/>
  <c r="M112" i="1"/>
  <c r="Y111" i="1"/>
  <c r="V111" i="1"/>
  <c r="S111" i="1"/>
  <c r="M111" i="1"/>
  <c r="Z110" i="1"/>
  <c r="AA110" i="1" s="1"/>
  <c r="Y110" i="1"/>
  <c r="X110" i="1"/>
  <c r="W110" i="1"/>
  <c r="V110" i="1"/>
  <c r="U110" i="1"/>
  <c r="R110" i="1"/>
  <c r="O110" i="1"/>
  <c r="L110" i="1"/>
  <c r="V109" i="1"/>
  <c r="S109" i="1"/>
  <c r="Y109" i="1" s="1"/>
  <c r="M109" i="1"/>
  <c r="Y108" i="1"/>
  <c r="V108" i="1"/>
  <c r="S108" i="1"/>
  <c r="M108" i="1"/>
  <c r="Z107" i="1"/>
  <c r="Y107" i="1"/>
  <c r="AA107" i="1" s="1"/>
  <c r="W107" i="1"/>
  <c r="V107" i="1"/>
  <c r="U107" i="1"/>
  <c r="R107" i="1"/>
  <c r="X107" i="1" s="1"/>
  <c r="O107" i="1"/>
  <c r="L107" i="1"/>
  <c r="Y106" i="1"/>
  <c r="V106" i="1"/>
  <c r="S106" i="1"/>
  <c r="M106" i="1"/>
  <c r="Y105" i="1"/>
  <c r="V105" i="1"/>
  <c r="S105" i="1"/>
  <c r="M105" i="1"/>
  <c r="AA104" i="1"/>
  <c r="Z104" i="1"/>
  <c r="Y104" i="1"/>
  <c r="W104" i="1"/>
  <c r="V104" i="1"/>
  <c r="U104" i="1"/>
  <c r="R104" i="1"/>
  <c r="X104" i="1" s="1"/>
  <c r="O104" i="1"/>
  <c r="L104" i="1"/>
  <c r="Y103" i="1"/>
  <c r="V103" i="1"/>
  <c r="S103" i="1"/>
  <c r="M103" i="1"/>
  <c r="V102" i="1"/>
  <c r="S102" i="1"/>
  <c r="Y102" i="1" s="1"/>
  <c r="M102" i="1"/>
  <c r="AA101" i="1"/>
  <c r="Z101" i="1"/>
  <c r="Y101" i="1"/>
  <c r="X101" i="1"/>
  <c r="W101" i="1"/>
  <c r="V101" i="1"/>
  <c r="U101" i="1"/>
  <c r="R101" i="1"/>
  <c r="O101" i="1"/>
  <c r="L101" i="1"/>
  <c r="Y100" i="1"/>
  <c r="V100" i="1"/>
  <c r="S100" i="1"/>
  <c r="M100" i="1"/>
  <c r="Y99" i="1"/>
  <c r="V99" i="1"/>
  <c r="S99" i="1"/>
  <c r="M99" i="1"/>
  <c r="Z98" i="1"/>
  <c r="AA98" i="1" s="1"/>
  <c r="Y98" i="1"/>
  <c r="X98" i="1"/>
  <c r="W98" i="1"/>
  <c r="V98" i="1"/>
  <c r="U98" i="1"/>
  <c r="R98" i="1"/>
  <c r="O98" i="1"/>
  <c r="L98" i="1"/>
  <c r="V97" i="1"/>
  <c r="S97" i="1"/>
  <c r="Y97" i="1" s="1"/>
  <c r="M97" i="1"/>
  <c r="Y96" i="1"/>
  <c r="V96" i="1"/>
  <c r="S96" i="1"/>
  <c r="M96" i="1"/>
  <c r="Z95" i="1"/>
  <c r="Y95" i="1"/>
  <c r="AA95" i="1" s="1"/>
  <c r="W95" i="1"/>
  <c r="V95" i="1"/>
  <c r="U95" i="1"/>
  <c r="R95" i="1"/>
  <c r="X95" i="1" s="1"/>
  <c r="O95" i="1"/>
  <c r="L95" i="1"/>
  <c r="Y94" i="1"/>
  <c r="V94" i="1"/>
  <c r="S94" i="1"/>
  <c r="M94" i="1"/>
  <c r="Y93" i="1"/>
  <c r="V93" i="1"/>
  <c r="S93" i="1"/>
  <c r="M93" i="1"/>
  <c r="AA92" i="1"/>
  <c r="Z92" i="1"/>
  <c r="Y92" i="1"/>
  <c r="W92" i="1"/>
  <c r="V92" i="1"/>
  <c r="U92" i="1"/>
  <c r="R92" i="1"/>
  <c r="X92" i="1" s="1"/>
  <c r="O92" i="1"/>
  <c r="L92" i="1"/>
  <c r="Y91" i="1"/>
  <c r="V91" i="1"/>
  <c r="S91" i="1"/>
  <c r="M91" i="1"/>
  <c r="V90" i="1"/>
  <c r="S90" i="1"/>
  <c r="Y90" i="1" s="1"/>
  <c r="M90" i="1"/>
  <c r="AA89" i="1"/>
  <c r="Z89" i="1"/>
  <c r="Y89" i="1"/>
  <c r="X89" i="1"/>
  <c r="W89" i="1"/>
  <c r="V89" i="1"/>
  <c r="U89" i="1"/>
  <c r="R89" i="1"/>
  <c r="O89" i="1"/>
  <c r="L89" i="1"/>
  <c r="Y88" i="1"/>
  <c r="V88" i="1"/>
  <c r="S88" i="1"/>
  <c r="M88" i="1"/>
  <c r="Y87" i="1"/>
  <c r="V87" i="1"/>
  <c r="S87" i="1"/>
  <c r="M87" i="1"/>
  <c r="Z86" i="1"/>
  <c r="AA86" i="1" s="1"/>
  <c r="Y86" i="1"/>
  <c r="X86" i="1"/>
  <c r="W86" i="1"/>
  <c r="V86" i="1"/>
  <c r="U86" i="1"/>
  <c r="R86" i="1"/>
  <c r="O86" i="1"/>
  <c r="L86" i="1"/>
  <c r="V85" i="1"/>
  <c r="S85" i="1"/>
  <c r="Y85" i="1" s="1"/>
  <c r="M85" i="1"/>
  <c r="Y84" i="1"/>
  <c r="V84" i="1"/>
  <c r="S84" i="1"/>
  <c r="M84" i="1"/>
  <c r="Z83" i="1"/>
  <c r="Y83" i="1"/>
  <c r="AA83" i="1" s="1"/>
  <c r="W83" i="1"/>
  <c r="V83" i="1"/>
  <c r="U83" i="1"/>
  <c r="R83" i="1"/>
  <c r="X83" i="1" s="1"/>
  <c r="O83" i="1"/>
  <c r="L83" i="1"/>
  <c r="Y82" i="1"/>
  <c r="V82" i="1"/>
  <c r="S82" i="1"/>
  <c r="M82" i="1"/>
  <c r="Y81" i="1"/>
  <c r="V81" i="1"/>
  <c r="S81" i="1"/>
  <c r="M81" i="1"/>
  <c r="AA80" i="1"/>
  <c r="Z80" i="1"/>
  <c r="Y80" i="1"/>
  <c r="W80" i="1"/>
  <c r="V80" i="1"/>
  <c r="U80" i="1"/>
  <c r="R80" i="1"/>
  <c r="X80" i="1" s="1"/>
  <c r="O80" i="1"/>
  <c r="L80" i="1"/>
  <c r="Y79" i="1"/>
  <c r="V79" i="1"/>
  <c r="S79" i="1"/>
  <c r="M79" i="1"/>
  <c r="V78" i="1"/>
  <c r="S78" i="1"/>
  <c r="Y78" i="1" s="1"/>
  <c r="M78" i="1"/>
  <c r="Y77" i="1"/>
  <c r="V77" i="1"/>
  <c r="S77" i="1"/>
  <c r="M77" i="1"/>
  <c r="Z76" i="1"/>
  <c r="Y76" i="1"/>
  <c r="AA76" i="1" s="1"/>
  <c r="W76" i="1"/>
  <c r="V76" i="1"/>
  <c r="U76" i="1"/>
  <c r="R76" i="1"/>
  <c r="X76" i="1" s="1"/>
  <c r="O76" i="1"/>
  <c r="L76" i="1"/>
  <c r="Y75" i="1"/>
  <c r="V75" i="1"/>
  <c r="S75" i="1"/>
  <c r="M75" i="1"/>
  <c r="Y74" i="1"/>
  <c r="V74" i="1"/>
  <c r="S74" i="1"/>
  <c r="M74" i="1"/>
  <c r="Y73" i="1"/>
  <c r="V73" i="1"/>
  <c r="S73" i="1"/>
  <c r="M73" i="1"/>
  <c r="Z72" i="1"/>
  <c r="AA72" i="1" s="1"/>
  <c r="Y72" i="1"/>
  <c r="X72" i="1"/>
  <c r="W72" i="1"/>
  <c r="V72" i="1"/>
  <c r="U72" i="1"/>
  <c r="R72" i="1"/>
  <c r="O72" i="1"/>
  <c r="L72" i="1"/>
  <c r="V71" i="1"/>
  <c r="S71" i="1"/>
  <c r="Y71" i="1" s="1"/>
  <c r="M71" i="1"/>
  <c r="Y70" i="1"/>
  <c r="V70" i="1"/>
  <c r="S70" i="1"/>
  <c r="M70" i="1"/>
  <c r="V69" i="1"/>
  <c r="S69" i="1"/>
  <c r="Y69" i="1" s="1"/>
  <c r="M69" i="1"/>
  <c r="AA68" i="1"/>
  <c r="Z68" i="1"/>
  <c r="Y68" i="1"/>
  <c r="X68" i="1"/>
  <c r="W68" i="1"/>
  <c r="V68" i="1"/>
  <c r="U68" i="1"/>
  <c r="U59" i="1" s="1"/>
  <c r="U58" i="1" s="1"/>
  <c r="R68" i="1"/>
  <c r="O68" i="1"/>
  <c r="L68" i="1"/>
  <c r="Y67" i="1"/>
  <c r="V67" i="1"/>
  <c r="S67" i="1"/>
  <c r="M67" i="1"/>
  <c r="Y66" i="1"/>
  <c r="V66" i="1"/>
  <c r="S66" i="1"/>
  <c r="M66" i="1"/>
  <c r="Y65" i="1"/>
  <c r="V65" i="1"/>
  <c r="S65" i="1"/>
  <c r="M65" i="1"/>
  <c r="AA64" i="1"/>
  <c r="Z64" i="1"/>
  <c r="Y64" i="1"/>
  <c r="W64" i="1"/>
  <c r="V64" i="1"/>
  <c r="U64" i="1"/>
  <c r="R64" i="1"/>
  <c r="X64" i="1" s="1"/>
  <c r="O64" i="1"/>
  <c r="O59" i="1" s="1"/>
  <c r="O58" i="1" s="1"/>
  <c r="L64" i="1"/>
  <c r="Y63" i="1"/>
  <c r="V63" i="1"/>
  <c r="S63" i="1"/>
  <c r="M63" i="1"/>
  <c r="V62" i="1"/>
  <c r="S62" i="1"/>
  <c r="Y62" i="1" s="1"/>
  <c r="M62" i="1"/>
  <c r="Y61" i="1"/>
  <c r="V61" i="1"/>
  <c r="S61" i="1"/>
  <c r="M61" i="1"/>
  <c r="Z60" i="1"/>
  <c r="Z59" i="1" s="1"/>
  <c r="Z58" i="1" s="1"/>
  <c r="Y60" i="1"/>
  <c r="Y59" i="1" s="1"/>
  <c r="Y58" i="1" s="1"/>
  <c r="W60" i="1"/>
  <c r="V60" i="1"/>
  <c r="U60" i="1"/>
  <c r="R60" i="1"/>
  <c r="X60" i="1" s="1"/>
  <c r="O60" i="1"/>
  <c r="L60" i="1"/>
  <c r="T59" i="1"/>
  <c r="S59" i="1"/>
  <c r="S58" i="1" s="1"/>
  <c r="S57" i="1" s="1"/>
  <c r="S56" i="1" s="1"/>
  <c r="S55" i="1" s="1"/>
  <c r="N59" i="1"/>
  <c r="M59" i="1"/>
  <c r="M58" i="1" s="1"/>
  <c r="M57" i="1" s="1"/>
  <c r="M56" i="1" s="1"/>
  <c r="M55" i="1" s="1"/>
  <c r="T58" i="1"/>
  <c r="N58" i="1"/>
  <c r="N57" i="1" s="1"/>
  <c r="N56" i="1" s="1"/>
  <c r="N55" i="1" s="1"/>
  <c r="Y54" i="1"/>
  <c r="V54" i="1"/>
  <c r="S54" i="1"/>
  <c r="M54" i="1"/>
  <c r="V53" i="1"/>
  <c r="S53" i="1"/>
  <c r="Y53" i="1" s="1"/>
  <c r="M53" i="1"/>
  <c r="Y52" i="1"/>
  <c r="V52" i="1"/>
  <c r="S52" i="1"/>
  <c r="M52" i="1"/>
  <c r="V51" i="1"/>
  <c r="S51" i="1"/>
  <c r="Y51" i="1" s="1"/>
  <c r="M51" i="1"/>
  <c r="AA50" i="1"/>
  <c r="Z50" i="1"/>
  <c r="Y50" i="1"/>
  <c r="X50" i="1"/>
  <c r="W50" i="1"/>
  <c r="V50" i="1"/>
  <c r="U50" i="1"/>
  <c r="R50" i="1"/>
  <c r="O50" i="1"/>
  <c r="L50" i="1"/>
  <c r="Y49" i="1"/>
  <c r="V49" i="1"/>
  <c r="S49" i="1"/>
  <c r="M49" i="1"/>
  <c r="V48" i="1"/>
  <c r="S48" i="1"/>
  <c r="Y48" i="1" s="1"/>
  <c r="M48" i="1"/>
  <c r="Y47" i="1"/>
  <c r="V47" i="1"/>
  <c r="S47" i="1"/>
  <c r="M47" i="1"/>
  <c r="V46" i="1"/>
  <c r="S46" i="1"/>
  <c r="Y46" i="1" s="1"/>
  <c r="M46" i="1"/>
  <c r="Z45" i="1"/>
  <c r="AA45" i="1" s="1"/>
  <c r="Y45" i="1"/>
  <c r="X45" i="1"/>
  <c r="W45" i="1"/>
  <c r="V45" i="1"/>
  <c r="U45" i="1"/>
  <c r="R45" i="1"/>
  <c r="O45" i="1"/>
  <c r="L45" i="1"/>
  <c r="V44" i="1"/>
  <c r="S44" i="1"/>
  <c r="Y44" i="1" s="1"/>
  <c r="M44" i="1"/>
  <c r="V43" i="1"/>
  <c r="S43" i="1"/>
  <c r="Y43" i="1" s="1"/>
  <c r="M43" i="1"/>
  <c r="V42" i="1"/>
  <c r="S42" i="1"/>
  <c r="Y42" i="1" s="1"/>
  <c r="M42" i="1"/>
  <c r="Y41" i="1"/>
  <c r="V41" i="1"/>
  <c r="S41" i="1"/>
  <c r="M41" i="1"/>
  <c r="Z40" i="1"/>
  <c r="Y40" i="1"/>
  <c r="AA40" i="1" s="1"/>
  <c r="W40" i="1"/>
  <c r="V40" i="1"/>
  <c r="U40" i="1"/>
  <c r="R40" i="1"/>
  <c r="X40" i="1" s="1"/>
  <c r="O40" i="1"/>
  <c r="L40" i="1"/>
  <c r="V39" i="1"/>
  <c r="S39" i="1"/>
  <c r="Y39" i="1" s="1"/>
  <c r="M39" i="1"/>
  <c r="Y38" i="1"/>
  <c r="V38" i="1"/>
  <c r="S38" i="1"/>
  <c r="M38" i="1"/>
  <c r="V37" i="1"/>
  <c r="S37" i="1"/>
  <c r="Y37" i="1" s="1"/>
  <c r="M37" i="1"/>
  <c r="Y36" i="1"/>
  <c r="V36" i="1"/>
  <c r="S36" i="1"/>
  <c r="M36" i="1"/>
  <c r="Z35" i="1"/>
  <c r="Y35" i="1"/>
  <c r="AA35" i="1" s="1"/>
  <c r="W35" i="1"/>
  <c r="V35" i="1"/>
  <c r="U35" i="1"/>
  <c r="R35" i="1"/>
  <c r="X35" i="1" s="1"/>
  <c r="O35" i="1"/>
  <c r="L35" i="1"/>
  <c r="V34" i="1"/>
  <c r="S34" i="1"/>
  <c r="Y34" i="1" s="1"/>
  <c r="M34" i="1"/>
  <c r="V33" i="1"/>
  <c r="S33" i="1"/>
  <c r="Y33" i="1" s="1"/>
  <c r="M33" i="1"/>
  <c r="V32" i="1"/>
  <c r="S32" i="1"/>
  <c r="Y32" i="1" s="1"/>
  <c r="M32" i="1"/>
  <c r="V31" i="1"/>
  <c r="S31" i="1"/>
  <c r="Y31" i="1" s="1"/>
  <c r="M31" i="1"/>
  <c r="Z30" i="1"/>
  <c r="Y30" i="1"/>
  <c r="AA30" i="1" s="1"/>
  <c r="X30" i="1"/>
  <c r="W30" i="1"/>
  <c r="V30" i="1"/>
  <c r="U30" i="1"/>
  <c r="R30" i="1"/>
  <c r="O30" i="1"/>
  <c r="L30" i="1"/>
  <c r="Y29" i="1"/>
  <c r="V29" i="1"/>
  <c r="S29" i="1"/>
  <c r="M29" i="1"/>
  <c r="V28" i="1"/>
  <c r="S28" i="1"/>
  <c r="Y28" i="1" s="1"/>
  <c r="M28" i="1"/>
  <c r="Y27" i="1"/>
  <c r="V27" i="1"/>
  <c r="S27" i="1"/>
  <c r="M27" i="1"/>
  <c r="V26" i="1"/>
  <c r="S26" i="1"/>
  <c r="Y26" i="1" s="1"/>
  <c r="M26" i="1"/>
  <c r="Z25" i="1"/>
  <c r="AA25" i="1" s="1"/>
  <c r="Y25" i="1"/>
  <c r="X25" i="1"/>
  <c r="W25" i="1"/>
  <c r="V25" i="1"/>
  <c r="U25" i="1"/>
  <c r="R25" i="1"/>
  <c r="O25" i="1"/>
  <c r="O14" i="1" s="1"/>
  <c r="O13" i="1" s="1"/>
  <c r="O12" i="1" s="1"/>
  <c r="O11" i="1" s="1"/>
  <c r="O10" i="1" s="1"/>
  <c r="L25" i="1"/>
  <c r="V24" i="1"/>
  <c r="S24" i="1"/>
  <c r="Y24" i="1" s="1"/>
  <c r="M24" i="1"/>
  <c r="V23" i="1"/>
  <c r="S23" i="1"/>
  <c r="Y23" i="1" s="1"/>
  <c r="M23" i="1"/>
  <c r="V22" i="1"/>
  <c r="S22" i="1"/>
  <c r="Y22" i="1" s="1"/>
  <c r="M22" i="1"/>
  <c r="V21" i="1"/>
  <c r="S21" i="1"/>
  <c r="Y21" i="1" s="1"/>
  <c r="M21" i="1"/>
  <c r="Z20" i="1"/>
  <c r="Y20" i="1"/>
  <c r="AA20" i="1" s="1"/>
  <c r="W20" i="1"/>
  <c r="V20" i="1"/>
  <c r="U20" i="1"/>
  <c r="R20" i="1"/>
  <c r="X20" i="1" s="1"/>
  <c r="O20" i="1"/>
  <c r="L20" i="1"/>
  <c r="V19" i="1"/>
  <c r="S19" i="1"/>
  <c r="Y19" i="1" s="1"/>
  <c r="M19" i="1"/>
  <c r="Y18" i="1"/>
  <c r="V18" i="1"/>
  <c r="S18" i="1"/>
  <c r="M18" i="1"/>
  <c r="V17" i="1"/>
  <c r="S17" i="1"/>
  <c r="Y17" i="1" s="1"/>
  <c r="M17" i="1"/>
  <c r="Y16" i="1"/>
  <c r="V16" i="1"/>
  <c r="S16" i="1"/>
  <c r="M16" i="1"/>
  <c r="Z15" i="1"/>
  <c r="Z14" i="1" s="1"/>
  <c r="Z13" i="1" s="1"/>
  <c r="Z12" i="1" s="1"/>
  <c r="Z11" i="1" s="1"/>
  <c r="Z10" i="1" s="1"/>
  <c r="Y15" i="1"/>
  <c r="AA15" i="1" s="1"/>
  <c r="W15" i="1"/>
  <c r="V15" i="1"/>
  <c r="U15" i="1"/>
  <c r="R15" i="1"/>
  <c r="X15" i="1" s="1"/>
  <c r="O15" i="1"/>
  <c r="L15" i="1"/>
  <c r="Y14" i="1"/>
  <c r="U14" i="1"/>
  <c r="U13" i="1" s="1"/>
  <c r="U12" i="1" s="1"/>
  <c r="U11" i="1" s="1"/>
  <c r="U10" i="1" s="1"/>
  <c r="T14" i="1"/>
  <c r="S14" i="1"/>
  <c r="S13" i="1" s="1"/>
  <c r="S12" i="1" s="1"/>
  <c r="S11" i="1" s="1"/>
  <c r="S10" i="1" s="1"/>
  <c r="S9" i="1" s="1"/>
  <c r="S8" i="1" s="1"/>
  <c r="S566" i="1" s="1"/>
  <c r="N14" i="1"/>
  <c r="M14" i="1"/>
  <c r="M13" i="1" s="1"/>
  <c r="M12" i="1" s="1"/>
  <c r="M11" i="1" s="1"/>
  <c r="M10" i="1" s="1"/>
  <c r="M9" i="1" s="1"/>
  <c r="M8" i="1" s="1"/>
  <c r="M566" i="1" s="1"/>
  <c r="O566" i="1" s="1"/>
  <c r="Y13" i="1"/>
  <c r="Y12" i="1" s="1"/>
  <c r="Y11" i="1" s="1"/>
  <c r="Y10" i="1" s="1"/>
  <c r="T13" i="1"/>
  <c r="T12" i="1" s="1"/>
  <c r="T11" i="1" s="1"/>
  <c r="T10" i="1" s="1"/>
  <c r="N13" i="1"/>
  <c r="N12" i="1" s="1"/>
  <c r="N11" i="1" s="1"/>
  <c r="N10" i="1" s="1"/>
  <c r="N9" i="1" s="1"/>
  <c r="N8" i="1" s="1"/>
  <c r="N566" i="1" s="1"/>
  <c r="Y260" i="2" l="1"/>
  <c r="AA268" i="2"/>
  <c r="O57" i="2"/>
  <c r="O56" i="2" s="1"/>
  <c r="O55" i="2" s="1"/>
  <c r="O9" i="2" s="1"/>
  <c r="O8" i="2" s="1"/>
  <c r="N57" i="2"/>
  <c r="N56" i="2" s="1"/>
  <c r="N55" i="2" s="1"/>
  <c r="N9" i="2" s="1"/>
  <c r="N8" i="2" s="1"/>
  <c r="N566" i="2" s="1"/>
  <c r="Z454" i="2"/>
  <c r="Z57" i="2" s="1"/>
  <c r="Z56" i="2" s="1"/>
  <c r="Z55" i="2" s="1"/>
  <c r="Z9" i="2" s="1"/>
  <c r="Z8" i="2" s="1"/>
  <c r="Z566" i="2" s="1"/>
  <c r="M57" i="2"/>
  <c r="M56" i="2" s="1"/>
  <c r="M55" i="2" s="1"/>
  <c r="M9" i="2" s="1"/>
  <c r="M8" i="2" s="1"/>
  <c r="M566" i="2" s="1"/>
  <c r="AA468" i="2"/>
  <c r="AA454" i="2" s="1"/>
  <c r="U260" i="2"/>
  <c r="U57" i="2" s="1"/>
  <c r="U56" i="2" s="1"/>
  <c r="U55" i="2" s="1"/>
  <c r="U9" i="2" s="1"/>
  <c r="U8" i="2" s="1"/>
  <c r="O566" i="2"/>
  <c r="AA260" i="2"/>
  <c r="Y57" i="2"/>
  <c r="Y56" i="2" s="1"/>
  <c r="Y55" i="2" s="1"/>
  <c r="Y9" i="2" s="1"/>
  <c r="Y8" i="2" s="1"/>
  <c r="Y566" i="2" s="1"/>
  <c r="O57" i="1"/>
  <c r="O56" i="1" s="1"/>
  <c r="O55" i="1" s="1"/>
  <c r="U260" i="1"/>
  <c r="U57" i="1" s="1"/>
  <c r="U56" i="1" s="1"/>
  <c r="U55" i="1" s="1"/>
  <c r="U9" i="1" s="1"/>
  <c r="U8" i="1" s="1"/>
  <c r="O9" i="1"/>
  <c r="O8" i="1" s="1"/>
  <c r="AA455" i="1"/>
  <c r="Z454" i="1"/>
  <c r="Z57" i="1" s="1"/>
  <c r="Z56" i="1" s="1"/>
  <c r="Z55" i="1" s="1"/>
  <c r="Z9" i="1" s="1"/>
  <c r="Z8" i="1" s="1"/>
  <c r="Z566" i="1" s="1"/>
  <c r="AA14" i="1"/>
  <c r="AA13" i="1" s="1"/>
  <c r="AA12" i="1" s="1"/>
  <c r="AA11" i="1" s="1"/>
  <c r="AA10" i="1" s="1"/>
  <c r="AA268" i="1"/>
  <c r="AA262" i="1"/>
  <c r="AA261" i="1" s="1"/>
  <c r="AA439" i="1"/>
  <c r="T454" i="1"/>
  <c r="AA478" i="1"/>
  <c r="AA468" i="1" s="1"/>
  <c r="AA518" i="1"/>
  <c r="T260" i="1"/>
  <c r="T57" i="1" s="1"/>
  <c r="T56" i="1" s="1"/>
  <c r="T55" i="1" s="1"/>
  <c r="T9" i="1" s="1"/>
  <c r="T8" i="1" s="1"/>
  <c r="T566" i="1" s="1"/>
  <c r="U566" i="1" s="1"/>
  <c r="Y268" i="1"/>
  <c r="Y260" i="1" s="1"/>
  <c r="AA434" i="1"/>
  <c r="Y455" i="1"/>
  <c r="AA497" i="1"/>
  <c r="AA60" i="1"/>
  <c r="AA59" i="1" s="1"/>
  <c r="AA58" i="1" s="1"/>
  <c r="AA256" i="1"/>
  <c r="AA255" i="1" s="1"/>
  <c r="Y468" i="1"/>
  <c r="U454" i="1"/>
  <c r="AA508" i="1"/>
  <c r="Y496" i="1"/>
  <c r="AA566" i="2" l="1"/>
  <c r="AA57" i="2"/>
  <c r="AA56" i="2" s="1"/>
  <c r="AA55" i="2" s="1"/>
  <c r="AA9" i="2" s="1"/>
  <c r="AA8" i="2" s="1"/>
  <c r="Y57" i="1"/>
  <c r="Y56" i="1" s="1"/>
  <c r="Y55" i="1" s="1"/>
  <c r="Y9" i="1" s="1"/>
  <c r="Y8" i="1" s="1"/>
  <c r="Y566" i="1" s="1"/>
  <c r="AA566" i="1" s="1"/>
  <c r="AA454" i="1"/>
  <c r="AA496" i="1"/>
  <c r="Y454" i="1"/>
  <c r="AA433" i="1"/>
  <c r="AA260" i="1" s="1"/>
  <c r="AA57" i="1" s="1"/>
  <c r="AA56" i="1" s="1"/>
  <c r="AA55" i="1" s="1"/>
  <c r="AA9" i="1" s="1"/>
  <c r="AA8" i="1" s="1"/>
</calcChain>
</file>

<file path=xl/sharedStrings.xml><?xml version="1.0" encoding="utf-8"?>
<sst xmlns="http://schemas.openxmlformats.org/spreadsheetml/2006/main" count="7300" uniqueCount="1824">
  <si>
    <t>Указать название организации (на бланке организации)</t>
  </si>
  <si>
    <t>{"estimateId":5179921,"estimateVersionId":7113067}</t>
  </si>
  <si>
    <t>6</t>
  </si>
  <si>
    <t>C10HeXIFpW6qedgUCUb/d0cA04gx/SfBGWmjyizGtkH95FuVKpaeBJ2JtvrXulUYbzbEOdWCfNwFNtzaOO34dBWYgl+BCdCFs7xvdceBuGBt/TlpGNs5JEafrswDgFY8C/gPeXkpnm0hf0s5CJvKXrn2A/z0Ri4MwMGc+NScc4E=</t>
  </si>
  <si>
    <t>ТЕХНИКО-КОММЕРЧЕСКОЕ ПРЕДЛОЖЕНИЕ (ТКП)</t>
  </si>
  <si>
    <t>г. Москва, Кронштадтский б-р, вл. 14, БНК на 300 мест, ДОО на 150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</si>
  <si>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</si>
  <si>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</si>
  <si>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</si>
  <si>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</si>
  <si>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eF7s/WuTJMdxJoz+lTKarRmonqq38hJZmTA7HwaDxmyD012Nzqpd0woyWc9Mz7swkaBekNyL1tYMBMSLlhRJkdRKL3iBQGkvx+yc1waXIQa3wV+o/gvnl5yIrEsPssMjH/dKjypSpISZnu6enudxz3R/PNwj4r986Zv/+S8uvvTsl752/hdfuvGl/3D+1W9dzJrPvPqtr371xpcu/tO9i68uP/Glb6y/wX78X17+0r2vf+1rX3/15S89+yf2D+6n2A+vPnvj5asf9vLqp7189eOa7/3G1bc1f1780+LjxcPFh4uHl29c/nCw+Kz5w3v2188WjxePBosnl68v3l/90X3Xd+3vjwfPuG8cLN5dfNJ86WPyO7/c/Hv3vv711+6/8ur5N5f/6M2k+ezFN775ytfs586+/h+P7j8F+NVvvvLN/3z7W6+sP/dfb3yR7asPXvk/ZWz/y8svX/2z9t+0f3rWJJOqSpMbT3/p31y89o1Xvv7q6jsmSZKNi8l/9VF5fhsq9gGQ8fAheWEbJN945f8UPkA+KIfbQNnqaf7N4u8W/2Pxq8U/LN5a/Hrofln80v7f3y3+cfG/7K/vNJ/5u8HibfuJv1v8fPEL+8f/bj9yf+Pv7FP9G/sNb/uf2fTZeborWu+PBpbFk8tv2zfNvps3Bou37Mv2ZPHZ5fcv37Cv3Af25XVfe7z4yL6Uw8vX7Xe8t/hkNEhy+9HfWnpvNa/2IBuPB4tPF48uv335hv3Kzy39Xy+/kpirr3j5Z8/Os13xf8eyfGLZfeps4ALVjcHlm+vAZeFbApc/tpQHi8+tXR4tPrBx6cnit/YjF4weN9b4ePHJ5Y8uv2e//9HlG+57rcUeLd5t/p770Jnhkf1b715+x/76gfvXLn/gPr2Mja83v/5gaSz7N36w+Nx+2yfNX1qFyvUnntgw+GRg/8EnFvDn9lOPFh/bf+HhwP0QGzOfOG8NrFN+vnhnkKb/ymvu/Nl5vitzv70y4iNrsh+ujOvs/kUfLI39pIn27zmTNd/y3hd42lfqbfvW2dfN+1K9aJ6dml2x/OXin4cW229sKPj14v8euFdh8WsfylPz7NmuUFaTcZImaVlMfMhq8+x8V8js8/ukCRiv2wfB5sn/w/7qe5DNszcnu4L4lnssXaj40AmVgQ3y7yz+0YfyOfPscztD+Sv7trj36lETO57SXk9FHh/oW+bZWzsD/Vbj/Qa0S0EWZZN8PneRjzTz8+bZ5/cQsQ1dr1/+2P76Pfspm1V80A/Ns4c7g/53iw+sAnCB9tORD9wL5tkXdgbO2vXyby7/atQ8qN9eZU+vDW+bZ2/vEubik6HLVE4ReQP9vzbP/uud4fu1VR5/bR/OR0vlsITqQ3lknj3aGcr/2UQpq0DtG/Pm4t1Rp5B5sXj2K8Wu0P7ShU6Xouy789CKmR+4PPXyy686mefqVUvhg6dDrpfAzmz9jsX/jzdcsfIrfzj9ys6gsR+DO8Wzd3aG1lc+gLiPi2dPfqcf3+PdWb3r8T3ZGbRlrPWXNTesgdGnY1o8O90ZCfY7eFo8+9Lv9LN8ujNbdz7LL+0MGvsxOCuePdsZ2i1CcV08O/udfnzr3Vm96/Gd7QxaX6F4Xjw734bEN7/+zfOvXuPw8pdePf/axfLHynk8tSCGP+7Pm2Kbp53i8xff+IvXZu5rx/ZHvvbK+VcP/69vvfIXX7M/zcPyQYvl/6ueHz9zXHrX8o6V8dZfe+301ddQkCd+kCfKIE9fe+We73G5htFZ62CDpi0rdFB+cyu3136L1opYeS6f+QHOFAHC7nZWOpgR7p7rIPz3r9y/f/Hqdu/6H/tt+sfqiHmu/3d+mP9OHSb8ADiLHfw74gG4eXM7oFsl4Lca0fLJ4vHlXy1XP5vG/ZOrrtrj5YJUs2i6+Nj+uv68/dRfNV3/T5d/6fLHXnKmmDxrH/FtkvNWBH/iQ/WcKcpdAfrVyt7fW67yP1yqxstv20+9fqUh/da8tUPcHyweDp75V18eNM2ez1wb1Yfw+d0h9MH51xaOe/x2hWnxt8TjV+0K0M+cDm2es8++2Mp93PzhzcXn9qPmkx8/JVxXDW7XTHuvaQ67Zsony+b35Y+IR3VnHN2j2vmY7god8ZhW7jHdFabFT/2P6WS8K0DkY9o8fE2R5SLn6lF9dzWH9qQZ5vj48s3LHw3cNFrzALvUZR/SwTPLx3w55baOwI+fjsAPvTri1g7NYJ/kZ9bsukPvznD6n+nJ2D7TO8O0+BnxTO9sPO2dJsF/PHCh9ovzQ05QrR9uN1TxhhujeaP52gfNspO3oXprh1yaWbER8RjuChXxGCbuMdwVpsXPicdwZ+OEP3s6Li4+sr//YPGRW7daPp1m4BI7NXOyO9hIUt8ZOuLJS92TtytMh8SDl+0Iz+IfrpeMAzeP8Xkz2/qomX/4bJmT3SDmf2smJ10otCnQPqM2Za/9P1h/4svNcOeT5SyifYR/sJKpLpR+aMXqJ5c/bKZ9nFr49Nq/RBVZuzMRxdP1GtxYTdfzvyvgxPOfued/V5gW/514AfJdAfqpfbg/sM/o0w2BZkR4WfK71sCj9dzxx54xYyti7TP+pv2rT42tNfH70+aluby2BcN+g/0S8ZTvzA7vOTs8ZYVhI8k9Q5DEU74r4MRTnrunfFeYFn9PPOVmV4D8pVszF/h5I31Xm43cIsL7zfc9cVPE7w1WAtgtMy73GS3+3v3B/vdhaDbz1g65IjF5V+CIp9UNje8M0+IfiKd1ZwvgreXYd9x+AOIp2xnGZum1ifxugvkhsBCwK6jEM1e4Z25XmBZvEc/cznoSv7Z69QeXbzy9I8iKgm8PbOh8y41p/IP9jVitalYF3ALXX9tPfWe9CWcplG0oHT61M6qJsv9qGVWbH9GxL/PWDi3ylN53z/bgmkRwn/1XPknklfDP744K8Qa4JtjOMC1+QbwBO2uLPPUGXHs412LBzVZZbeue8uZpcM/305vL3N9Yl3SfNMphuXEmHWaDRlgsw+YX34dVVdU8Qm7a3gw2WwMfuafL/WtPF5/u33SQmpftw5YcsV+k3qSdWbb1JrUxN59rjEO8N7sCTrw3rnu3M0yLXxLvzc76NP+rEdDLxtuVun6qT/fQPsqr1NDsa202ozYh1fn/+t/1FaDLBv8H9rX4sTfiCteqd2a0pzbUuKc/vL/m+d0BJV4B1xncGabFr/yvQLmzts7Pl8t5y9Tx/qpt/fpV8lhvvF4uIRBrH7uD/4GNvO4ptEp+FYvf9z+GO4PofwxL18zbGSZ/TWYfw521dX69nPwOKpGQDnny1N9/plEeNvraGG21/ZdXG2k/aJ7hZnnPLQS/efmdZnnvk+UoenPkwxO3h9XVD99rIvEqrLvXwEFKx0nuHjL7u1n9XqwgEbpld/ZsUA2vitwrodL1SWvb5VC1teijxYerwWovwed3R9D5YPjyy686H6x+nwyJV801LHcGdPE28artqo+1eMc+9B+51wwL7bvCaZ/IbzfdGmKd8vndQSOeM9ee3Bkm6iiGMtsVoJ81IraRsMujT5rGuA3Djxut0ZSDl68Pnh0s/nm0+IfR4tejp059Wcrpyx/dWIrhT0Y3BhfDr52/8lXiKd0VS+JRcJ26nWFavEM8CvmuALnjAp4eeX7iVg3cKtx3F0/68f+uqBH+dz2snWFa/Ibwv9kVIHcGUtOPbI6MWh3I8vFgeULYqv69KnqXjwrh6F1xIBzt2j9cTH/a/KT7F6fn3/z39nMWYXH3Xnr37vl4eJE/MMO8HD8YluXkwfA8z8bnmcmT+/fPl9/52tf/4/KDavnbhtvFVy82e1GeJgdvukvs6/fTVfX3ZL2q4fz02PP54VMzzq1vd8fCece0b5bPHuFLT6hR/qv9i0kGG6OHHXuVf8eeErWcT4233efEz+dEiY/h84H3BTk6Uz+dqRId/DXccsOgn1atQysd82jxnriZn8tMiUvC48J62uZ+KnMFKo5L8fIXk0Cb2jcu7n3zFU+Gs0ngW1+7e+Hz0PU0kPgY3fSvmGaJKcuqrMZtWsvka60PI3QZ8c/+okmJnSC9G/+eE0Jsv8IBI2KZ1M3ZtA+53GTKx0s9a7Xt8oBH76r5rerZIyGba7mQptNDLkzGN46N8SdEKYF2xgMI8OLPiUV9QqA+kaI2fNSsSDO1oKcE6KkUNP7ob5m9LPiaAF8LwV/LUR3gec/IzCKeEYhnUsR4uBZkIgt4TgCeSwA/Fb2V8w2RcRJ/d2SNOiHNDINkpZxR6kP5nBQl/uqhWac5l6ZZ1bWJ5vPLN5tTkteL+K6Z3ZxB7A629hG5lYyfPZKSiZx0En/CEaOPkHH8kE/EkA0fMiucTAnEUzFi/IHfNtf4kddS5NqJxg93JoaLB2lJlvGjnYvQxkwxVJLx9wXXuFPSyjBMZpKh0owQJ/7WMdOMm6P9YPFhM+D0WdM4d2u763b5F5PQM94s5H2QbiWJTUNCspHTUEqkISn6CGnID/lEDNnwIbPizZRAPBUjxl+IbdOQH3ktRa6dhvxwZ2K4eCCXpCE/2rkIrYO7evcipCEqEfkHB9bIM9LOMFB2IhrlPqTPSZHibx6ain66+MxmmDeacYLPVm3FJgO5FuIPBsvZ90erycZmOsxmH7L+SW3iEVKLnHgyIvFI0UdIPH7IJ2LIhg+ZFWGmBOKpGDH++G+bePzIayly7cTjhzsTw8VDtyTx+NHORWjj1j906vEPKq2x56SlYaiC1EPVQUKs+NuHJp9/2rR0Plq3cnzp5sniYx+RW0lm042QTOR0kxPpRoo+QrrxQz4RQzZ8yKy4MiUQT8WI8Qd+23TjR15LkWunGz/cmRguHrAl6caPdi5CG7vOoRNOHkRvSFvDYEUJh6p3hGjxN7D/lDNY7Vm5/L4titx1nQ/X4/6fXr7ZVErrs4k/arbJ+7c030pym6SE9CMnKXPjOB3b/+zvmf09s7/n9vfc/m7GRAKTMouQwMyNE0vnxNI5sXROLJ0TS+fE0jkh6JyI6Rg+HVYUm1o2U8tmatlMLZupZTO1bKaWzZRgMxWzwV+7bROfuVFbVrVlVVtWtWVVW1a1ZVUTrGopK+2kaG7MLJWZpTKzVGaWysxSmVkqM4LKTEwFTzmShGluzC2TuWUyt0zmlsncMplbJnOCyVzEpHnWlkxcoPuTUFL9j19/7c899GQZlcqpJkhiQroDwypMqBZu5oP7nBRuO6lQplXIqM1d1ast+otPVofIPFrtG/100GTU15tfv7053/vbyxn5pkv2aPCVV8+/9WB5fMDinWGSmFGy+tNP0mFS+Ax1S2qodo4i/fo1F/T+7JVvIA+iD+HzUoSGhVCI7lCKrsDQfe3i/Bvfeg161j71rmi8IAU4wQBe/Ke/uHj1Gz6Ar7YAJqPxeOyDeFsKscQg/oevf/Vb0OvqA/evpeDaOoEA1+QgwHpeyx1JwSXtfE+gc4KsSZCIjLkGeeT394ti1GDi26AmZUobappWGYH2K2K0YOrboPXgvCZCrO0Ozqbzk+efsbhuDPxtyjtiyGD6YxVU6GNxLEYN5qLuYgmFeiKGaphQ4QfDWu9gDetarSNFCyapv5BGiHIyGRVeC5+KMYN56y/6ig8viZGC6esv0EfgdBMbXqJjw5kYLiehSR4G6mWrpYivFbUhxPCjQMGciWGCWY1ZrdqHYeaPB3MRUgf1vEgvkjyZDKu8mAzz/H42LJPzdFgl5xfnSWaK+9UqZJC16tdWT4aHoLRepSrWgscSpeeragOsOJWtj8dzmjza+T7kHbDkfbs5JWl1Pu+n7Zt4NwfVUcvKboyzWTAePLM8/M6VwzcGl993B8nYj93nmgXnG4PF+81JQp+tjq/+ePl9l282n/3cfv2Dyx81k6GfuBOcHjfnAIy+vKqIP2guIvhoNVv6dHG9/IZ00JwO9aS59MD+lNVpEs2/Qwz4KPrJ4H7atp5VZNGWEwEWjLp3fczQJ8tDX3ysXtBk1RYcAVaMYtlH47YmjbYaCdDYsqBWJNHWKAESWxbeiiSuFecBFlsV6Mk4HWXe9dMXVfkxsg6r0rwmgpZqePmrpeQ08R8dLX/3sT5WZc2IfuKCivboqSo37nuHcAt687Tbm7Ua40YLlxcP8uKiOB8+uJ8/GOblvXx4fi8phllZ3b8/TlP7o+69HF8LexeBbyb+s8wDpsDoRdfCijwYUQnVwr9YtmfcIZ6Prfr8ttO4Tmg2inV5VuhHf7YSpD9bvLN4e7j4ibtR4BeLf1q8tfx8kt4wg+b4WY89bmnaw+D22FZzKrJgRF2G5qR6LYpEVGQmMQZ7W5NIPKGpSIKb8ABfEEJTkUREoZmPzMTH70VVfoyQ3qfQnKykyYQWmpqsGSFvC6FJefRUlRv3vUO4dQjNTm/WaoyXi67n9x/cdd97fjephnmS3h2e53eLYZGbu8XdB1WVuNvsogtNb5VxM/GfTBbS3BC96EJTkQcjKqFCc7no+ldWZX5y+cM/c8KxGQt60pyI2shM9zkz/iP7/+Mbxdj9KaM0pSJ1g1PfVlMqsmAEWIamdGcTvz8a+L3ygiYfJWk59uaH25pM4mlLRRLcHAc4g9CWiiSiacvCCpHCR+9FVXqMIN6ntCxXYqSkpaUma0bkE0tL0qGnqtS4bx1CrUNZdjqzVmPcKMsH9+4VDyZ37w3Lyb17w7y6lwzv5uf3hg+K8zQ9v3u3LCergBpVWeY+U9x0DuKZAqMXXVkq8mAEJbmybI5m+ry5duM918tfXmG3UZg5oDAVTWBwE2yrMBVZMOJsfwpTkY+KwrSRgli9VGQST2EqkuDmOsAZhMJUJBFNYZpkVHhXO15UpccI5n0qzGolSipaYWqyZkQ+scIkHXqqSo371iHUOhRmpzNrNcZOYoaUY7+bFv1t7zR8amjZJrfjTYtSuO1I8Xu/aVFqqBwzVA+bFqUIDQuhEN2hFF07OKttWpQCBDd/cDQmtWlRCrEtIFU2LUrBcfZ4ANbzi0IpuN1uWhSjBhNfv5sWxWjB1MfbtJiO15sW0zG5aVEMGUx/LJGMPhbHYtRgLupx06IYqmFChR8Ma72DNawW2qkYLZikxNVDVmRWcXpBn4pBg4mrv12LYqRg/sJ3LW6Cw0t0cDgTw+VkNMnTQO5alCKOvGtRDBNMa8xdi/ZhmPkDwlyE1EHFWiKODFmsBkp1acFK7FpMwyeMX2OJ0ovd5tDkwVgZQ2vePgdoNKkbnPq2NaIiC8YiH6OWDLc3NPmotDfIARpNJtHaG5okuAutgDOISlaRRLT2Bj1Ao0qPEcRZlVu4vZEmyxXx5e8+1seqrBmRT1yg0AM0qtS4bx1CLdze6HZmrcZ4fwdoiCu+bqYp1xQYvejKUpEHIyjJleX2AzSaJjC4CbZVmIosGHG2P4WpyEdFYZIDNJpM4ilMRRLcXAc4g1CYiiSiKUx6gEaVHiOY96kw05UoSWmFqcmaEfnECpMeoFGlxn3rEGodCrPTmbUa40ZhXjw4v59m5w+GD+7evT/MszQdnid3J8Pxvawq76X5RZatHB5VYXqdfzPNuKbA6EVXmIo8GEEJVZg/2xwu8d7lD1ZXFDYzOo+bIRsrO5sVzGb8xg3ovHH5g/WhE1Z/WhXqZnqWq50fudPNFh9dHT3xR0k6Hv9Ravzdg1ualjK4pbYVooosGOGYIUSpsRlFIioKlOiC3NYkEk+AKpLgpkLAF4QAVSQRTYAmmRkZQoFq8mME+z4VaLYSLRmtQDVZM0KeWIEmJh1TJ52pkuO+eAi5Dg3a6c5ajfH+nvpL3KZ2M825psDoRdegijwYYQnVoP9iT/3V9JPB/bStAlZkwUgHDAWMnPqryUpFDhNiWJFGPDGsSIKbkwFPEGJYkUQ8MUyf+qvKj5F1+hTD+Uo95bQY1mTNiH5yMUyf+qvKjfveIdw6tHCnN2s1xnE3NHrdeTM1QXJVm9yuNzQK4bZDxe//hkahoXLMUH1saBQiNCyEADo363NjkA0u/6Zx0W8Xj0eDxW/cEvizg3/7fDly5ye3PdvcT/2zr9jywv4d+53WMUmSbry3rFQerzzXFBafNCMZyzJhYtz5y/YH/3zxnq0zmgKhqSEersqEp2/BbkqZtxa/Wvxk8U+Lfx42D9Bybf29p854TtJR80Ptvz5oEC7/peV3NqA/c1VT8zC6Lz9u/rXXm2/7lPN8NnA+f2oE5cfOPr8amPHld/JmxsT+8Z3mj2a8NMDI5/9Dqf/b+U9vy6gQILjzhiHi6S2jQojglpstBboQHGeDDWC9wp9KjqTwomwabe6x8z6WL4pxg/Ki522jUrSgwGBuG93cdZnSd12KIYMig1WLXBuUMGk1GnvL+mMxcDDp83eOJnmem1FF7B6VwjVMuPDzYS14sIbVQjsVowXzlbhWC1x5KcYMpjDe5tEsz6qRITaPSpGCmYyxeXRz5SUdIs7EcDm5TfIw2PBQjsrSB7qWgtbZP5omRWGhel+2mRgqmOO4e0jNwcwfFuYipHvbA8uoPaQFjyVKL3oPTJEHYzUSXWb4l9sDU/STwf2EryH4WBxqsmCsAjMqYagHpsgqZg9MkUa8HpgiCe5aPOAJshRXpBG3C5b7+L2oyo+Rd1iVZ7BvYimt+ib03ZeqrBnxT1xZhbpgmty4bx7CLejN025v1mqM9/fuy4za9xq+ncljCoxedDWsyIMRlVA1rH73paY9DG6PbVWnIgtG1GWoTqr/okhERWhSd19qEoknNRVJcBMe4Iu0GOWFj8iRJpGIYpO8/1KVHyOs9yk2VzcmpvT9l6qsGWFvC7FJ3n+pyo377iHcOsRmpzdrNcb7e3xfRg1olVxTYPSii01FHoyohIrNXo/vU6RucOrb6kpFFowAy9CVHYerKPJRkpfU8X2KTOLpS0US3BwHOCM1oyL3riwfaTKJJjADZ/hp0mNE8j715erexJS+BFOVNSP8ifVl4Aw/TWrcVw+h1iEvO51ZqzHe3zP8Mmp3a8U1BUYvurxU5MEISnJ52cMZfoomMLgJtpWZiiwYcbY/manIR0Vm0mf4KTKJJzMVSXBzHeCMclRRy5iKRKKpTHfsmzcvvahKjxHQ+1SZq7sTU/oiTFXWjOgnVpmBc/w0qXHfPIRah8rsdGatxjjuvlG/bsxCd6dU43Gb3I73jUrhtiPF7/2+UamhcsxQPewblSI0LIQAuvC+0WRMbhx9aovm1d7Pyx9Ynz1u7f5cfiq4A3T7HZ3vJEkyeOaLJcng6U2czWbVG5vDHt0/+BSaf7b/yEcNz3cblh+s+Llp4ceX3/nCFtTrW2E3ExmjLw8Wv2w+/agpgj5pBoTdmHKz2j64fLN5rtcYmknkG5ufN7JYm5/y8suv+p6aQ+lT006aartNpQDBrToc/U/tNpVCbIt7ld2mUnCcHTmA9VLjT5hHUnxRtptO0mw09uJ+UYwbVCX9bjcVowV1CW+7aba5pTSjbykVQwa1CauCuRYMyqwwo9Qbso7FyEGxwN9vaso0t2LQv99UDNcw4cIPiLXgwRpWC+1UjBbMWOISL3RbqRg0mMX623AqRgomM3zD6SZIvEQHiTMxXE56kzwNVWrD8ajy5o5ailpnx2k5sY/uyP+6zcRQwTTH3HFqH4qZH+lchNRBxXpYjgy5shBYV5GuLhA7TrPQNVselii92H0pTR6MZUx0gaLPsSdN6ganjhf0PhaHmiwYK7KMAjPcj9Lko9KPIseeNJlE60dpkuCuigPOSMY2g05KH5UjTSrROlL03JMqPUYoZ9Vz4Y5UtrruMqPvLlVlzYh/4nKFnntSpcZ99xBq4Y5UtzNrNcb7O/dE7Mm6maVcU2D0outLRR6MoCTXl9vPPWmawOAm2FZnKrJgxNn+dKYiHxWdSc49aTKJpzMVSXBzHeCMrBiNC0JmKjKJJjPpwSdVeoyI3qfMXN15mdEXmKqyZoQ/scykB59UqXFfPYRah8zsdGatxnh/LzDNid2bWcY1BUYvusxU5MEISqjM3OEFppqWMrilcDW6eBsb6/GxPdRkywjbDNVKjd8oElGRq9RFp5pE4qlVRRLclAn4wmTEyW9HmkSiidXAZaeq/BiJoU+1urodM6MvO1VlzQh7YrUauuxUlRz35UPIdejVTnfWaoz396DnnBrrz7mmwOhF16uKPBhhCdWr/2IPetb0k8H9hKtlH4tDTRaMdMBQwchBz5qsVCQxIYgVacQTxIokuDkZ8AQ9Ba/II54epk96VuXHSDx96uHVDZkZfd+pKmtGAJTrYfqkZ1Vu3FcP4dYhhzu9Wasxtv/706eEoHuc/yQke/vdx2p8ZG9mJkg2bZONtI81pfaxCuG2Q8eW+1h/3RJ3DwerbaefARtRi9Ss11oHyWC9A3K9M3WY2ELN/pZ6DXBLaoAcMwBvf+rip5c/WAnq31qp/ujyDUv6xytB/reLXy+N0Wzp/G9LoeW2dA6eOzoeWrX+P30En5cSNCyCADkfukMpunYQ19tGKQQIbkBhiFF6G6UQIrjzZEuhKQTH2WcCWM9ruSMpuCh7KMfEnsQXxajBfMjfQZmMi5zcQSlFC2ZE5g7KzYWdGX1hpxgymBVZYhp9LI7FqMFUxt89SUE9EUM1TKjwg2Gtd7CG1UI7FaMFk5S4ysgyNzzvw3wqxgzmLd7GyUB8eEmMFExfjI2Tm5s66dhwJobLSWiSh4F62WopYp1NkxTMmRgmmNW4GybNwcwfD+YipA7q3SQvsiLLh2V635a11f1ieNdkxdD+6d7d87JKz7NV0iNL2EBBLy1jqQ2TBY8lSs9X7AZYcQpeH4/nNHkwFtDQShjs3FzrhjxVMOu3b1azTU8V26t/b1lzf94++edXzWC+OwFoErguSdNTBvfUthWtIgvG0iWj8oV6N4qsYvZuFGnE690okuAuIAOeIEpvRRLRGjd5NpoQNbomPUbaYZWaHX2b1Z2OGX1DpyprRvATV1SkQ09VqXHfOoRaR9um05m1GuPlFFOSVtV9c294XpyXw9xMymGZJBfD6vxecfciT6s0PX85vhb2LgLfzELXR3lNgdGLroUVeTCCEqqFBRd0/ipl3dCpaRCDG2RbyanIghF1GZKTarYoEtFRmcQNnZpE4ulMRRLcjAf4gtCZiiSi6czA7Zyq/BgxvU+hubrPMaNv51RlzQh5YqEZuJ1TlRv3vUO4dSjNTm/Waoz395g6Q+3vLNmmgOhFV5qKPBhRCVWavR5Tp0jd4NS31ZSKLBgBlqEpO44PUeSjIi3J/ZiKROJJS0US3BQH+IKQlookoknLwPl0mvQYMbxPZbm6yjGj7+VUZc0IfGJlGTifTpMa961DqHUIy05n1mqMG2F5L32Q3E/ujYfJvXvpML97Px+WF2MzvHiQXBRVXmRlevfl+MIy95niZlZxTYHRiy4sFXkwgpJcWHacT9cIzDwsMBVNYHATbCswFVkw4mx/AlORj4rAHI9KH5HbmkTiCUxFEtxUh/jCR+JIk0Q0gZmZ0YQQmJr0GLG8T4G5usUxo6/kVGXNCHxigUk69FSVGvetQ6h1CMxOZ9ZqjONeyel15808fDFI1ia3462MUrjtSPE7u5VRaoAcM8DutzJKCRoWQYBcx02dycA+Ba3rOBcPfWO7D1cG8Q84PFzdxvnUKXpPjdYuHtmH4Ym7z7K5i/ORm4hYNPdxPnEzE+9aYB82/4x7gtbPoBshfmdgHzP5/ZzLSd+n7hxd//jVnZz2n6Bv5fSG0UOpY9vpTm0XqBQguJsGF+30LlApRHAbzXZyXAqOs2kGsF5OHSMixRdlI2he5qPKP2Yqxg3qiX63gorRgoqCtxU031ymmdOXaYohg6qCVXtcaxGl4yQf5V71dixGDsoB/nbQvMzGZlT4t4SK4RomXPgBsRY8WMNqoZ2K0YIZS1ycuVhRVj7Mp2LMYBJjbgk1VUFtCRUjBXMZviV0EyNeomPEmRguJ7tJHoZlfBh7+8i1FLXOttBJmpty5H/bZmKoYJZjbg21D8XMj3QuQrq3vaSC2BqaJzyWKL3YvSRNHoz1R3RlQaOXpGkCg5sAL719LA41WTCWVBl1ZriXpMknai9Jk0i0XpImCe6qNuCLrBhl3lWMI00ie9BPUqXHiOesmi7cT8pXdzDm9IWaqqwZwU9cstD9JFVq3DcPoRbuJ3U7s1ZjvL8XahbEnsvV5XkMU2D0ootMRR6MoKQmMoELNTVNYHATbCsyFVkw4mx/IlORT1yRqUgknshUJMFNdYAvAiJTkUg0kUlfp6lKjxHP+xSZqxsYc/o6TVXWjOAnFpn0dZqq1LhvHkKtQ2R2OrNWY9yIzDS9ay4e5PeG46IwwyS5KIfl+H41HI/N2BRlmVRmJb+iikyv82/mGdcUGL3oIlORByMooSLTc7CHG1P5pJl/+Wz5Rbfp0h3r8VP73T9tBkjc/Ij9jHdN+pamBQxugW01piILRphlaExqYEaRiIq4pE7y0CQST1wqkuCmOMAXJh/lXql/pEkkmrjMxhXR6XxRlR8jkPepLlf3Jeb09ZeqrBlhT6wuaY+eqnLjvnsItw552enNWo3x/p6hXBCbLvOcawqMXnR5qciDEZVQefkv+AxlTU8Z3FPbymBFFox8wJDByBnKmqx0NLGPxm1NGvEUsSIJblYGPEEPrivyiCaI6WOUVekxMk+fenh1YWJOX3+pypoR/8R6mD5GWZUa98VDqHXI4U5n1mqM3e2XN5a79yLeeuk9s/BmboIk8zbJaFtFvVHzOSncdsTY7VbRYrNV9Kl70jdbRcfLraJef92SGiDHDLAHW0WFBA2LIEDOh+5Qig7cPcLQrdTyrRAguFWEIUHp/Y5CiOAekS3lpRAcZ0cIYD2v5Y6k4KJsdiRvvRSjBvOhYKtjmhpyq6MULZgRmVsdN7de5vStl2LIYFZkaWj0sTgWowZTGX+bI3nrpRiqYUKFHwxrvYM1rBbaqRgtmKTExYVJytGY2OIoxQzmLeYWRzo+vCRGCqYvxhbHza2XdGw4E8PlJDTJw0DeeilFrLO9kbz1UgwTzGrcrY3mYOaPB3MRUgd1nKV5cXEvcfVrOszTKhnezYrx8DwrClOMTZXdXT0lZAkbKOSlZSy1tbHgsUTp+YrdACtOwevj8ZwmD8a6GVoJ/y51bJ4qtnvp2Ch6yuCe2raiVWTBWLFkVL5Qx0aRVcyOjSKNeB0bRRLchWPAE0TprUgiWrsmSWwGNT5+L6ryY+QdVq3Z0a9Z3ZSY09deqrJmRD9xSUV79FSVG/e9Q7h1NGw6vVmrMd7f24gm1B7M8MVMHlNg9KKrYUUejKjEU8P93EakSd3g1LeVl4osGAGWIS879l4q8lERltRtRJpE4klLRRLcFAf4gpCWiiSiSUv6NiJVeowY3qeyXN2MmNP3XKqyZgQ+sbKkbyNSpcZ96xBqHcKy05m1GuP9PdxjQu27LLmmwOhFF5aKPBhBSS4sezjcQ9EEBjfBtgJTkQUjzvYnMBX5qAhM8nAPRSLxBKYiCW6qQ3zhI3GkSSKawCTPgXhRlR4jlvcpMFc3JOb0dZeqrBmBTywwAwd7aFLjvnUItQ6B2enMWo1xIzBL86CosswMJ3fLZJjfy+4P745NNXxwd1xcXJSp/b9VZogqMHOfKW7mFdcUGL3oAlORByMooQLTc7DH0xfaNGuXqzb64meLdxZvDxc/ca3yXyz+afHWakPk+qoYnz1uadrD4PbYVm0qsmAEXYbapObEFYmoyMyUOuZDkUg8malIgpvwAF8QMlORRDSZmYzzkfFuvXlRlR8jpPepM1cXJeb0rZeqrBkhT6wzaY+eqnLjvncItw6h2enNWo1x3GsvvSsON034Dg/TJrfjvYxSuO1Q8Tu7l1FqgBwzwO73MkoJGhZBgFz42st0sPh7q/W/b/+8utry82aE993VxZDvLW+rfLKauXTH/P14c8Cf/UE/X7x3+abnwsynf2Jjxqfuovxk9VC5n56ko+URgcGrKZc3arovP27+jdfXl2Z+6pzl5o2bH/q95k7Nj5dfakqY5tdvLx6NfD46lPqonbrUdnRKAbZVuOKOTinEtr5W2dEpBdfO31vu6CROmjqSwouyp9Pt2Er8uzrFuEFl0O+uTjFaUBvwdnWazQWWhr7AUgwZ1AesMqJt68zCGJXeJ/pYDBzM6/yNnZMyJ/d2itEaJlr48bAGPFjDaqGditGC6UpcZQX2dooxgxmMubezzCYjv3VfEiMFExm+t3MTIV6iI8SZGC4ntUkehiY6TLxFWi0FrbO9M0kmBbnFUwwVTHHMLZ72mZj5H9y5COnetoZKYounCd+xdI0lSi92a0iTB2MdEV0gUG8NadrD4PbAy2kfi0NNFox10h4KTkUiUVtDmkSitYY0SXCXqAFfuGurvYn/SJPIPrSHVPkxwjqrrgu3h8zq3kNDX2KpypoR9sSFS6A9pMqN++4h3MLtoW5v1mqM93cHZUnsoDQp1xQYvehiU5EHIyqhYrPPHZSa1A1OfVtdqciCEWAZujI84K7JR0le+ndQahKJJy8VSXBTHOCLJButjmW+Ji8ViUSTl/QuSlV6jDjep7pcXXho6NsrVVkzgp9YXdK7KFWpcd88hFqHuOx0Zq3GeH93UZbELkqTcU2B0YsuLhV5MIKSXFxuv4tS0wQGN8G2IlORBSPO9icyFfmoiExqF6UmkXgiU5EEN9UBvjCjxLsmcKTJI5rGpG9IV6XHCOd9aszVrYeGvsNSlTUj9ok1Jr2RUpUa98VDqHVozE5n1mqM9/dA5JLYSGlyrikwetE1piIPRlDiacx/kQcia3rK4J7aVgorsmCkA4YURg5E1mSlIoiJNVdFGvHksCIJblYGPEFOrivSiKaGmwN0iSVXTX6MzNOnHF7demjoKyxVWTPin1gOB45EVuXGffMQbh16uNObtRpjd4flf23+d2Mjo0jR+42Le9985euveizB0rxEo94EKRZtitSuTxokR8IW/hXf56Qo209VwJSgQP21lYofOEG4EovL9rpb+3y9abA/GjTLoW7z3xuXP7jR7K/7goJ8stwYaPXlB43mfOh2BC4e+WjfMubZIyn1azGS5r5diKznx88cm4KIh1L0OR89ObbuhXxCQD4RQzZ8yPj4ukU8JRBPxYjx10Mecx3ymkBeS5Ff287QgZz3aMwIuDMxXDykM3c1WLRzAu1chLZ5Ll6Ok5CojQpFEPeEtDIMk5mS/Difk+LE3zpRUnJbvR+5TepuxeTyO83O+2aX918vd58vPvKxuWUKm2uEjCLnmgmRa6ToI+QaP+QTMWTDh8wKKlMC8VSMGH/qt801fuS1FLl2rvHDnYnh4tFakmv8aOcitE+tTEbINVS2mQSRl6SdYaDsbDMyPqTPSZHib54w37yzeGvxtz7It8zEJhUh7MhJpbxxnBbjG8e5ye0vFVXPSMlEyDHljRPH4MQxOKEYnIgZGD4DVmyZWgJTR2DqCEwpAlMxAfw92DYDlTdqR6R2RGqKSC0lop2Qyhszh37m0M8o9DMxejzCS/JTeWPuwM8d+DkFfi4CH7c0ohNWGcRekYaHoQoSFlUiCbHiryqast5uVul+4EN5y5Q2SwmRRs5Slc1SxhC5SUohQm6qbG4icJ+IcRs+blY0mVrYUwr2VAwbf7i3zUOVzUME/FoKXzv7VDb7EJhnYsx4mJbknMrmHALyXATZYY7VFVpPQvnQ3zRVCH0yJg0OgxXlGqpLJESLv5Botvkn1xdqzl78qOkQvecOv3TrcB9fvn75A/uJ5gxI9wl36uN7Pja3TGWzkpBR3KzkyqbCVk2FraEmqf2vuHFc2s+Vmf3PfWyzVmU/Xxn7n/2eZJy4X3L3y8T+YnnYXzL3S+F+sd+epO5bUve51Lhf3PdlqfvFfZS7j3L3kXEfGfdR4T4q3EcT93cn7q85FEnpPqrcRw5AOh67X9xH7t9NE/dR6j5y/1CauY8y91HuPsrdR2ZMJFypd/QTrqsDrUtOrEtOrEtOrEtOrDFOrEtOSvexTcjWJSfWIifWJSfOJSfOJSfOJSfOJSfOJSfOJSfOJSfOJSfOJSfOJSfOJSfOJSfOJSfOJSfOJSfOJSfOJSfOJSfOJSfOJSfOJSfOJSfOJSfOJSfOJSfOJSfOJSfOJSfOJSfOJSfOJSfOJSfOJSfOJSfOJSeUS07ELjF8l7CyxNQVttYjU+uRqfXI1Hpkam0xtR6Zlu5jqzWsR6bWIFPrkanzyNR5ZOo8MnUemTqPTJ1Hps4jU+eRqfPI1Hlk6jwydR6ZOo9MnUemziNT55Gp88jUeWTqPDJ1Hpk6j0ydR6bOI1PnkanzyNR5ZOo8MnUemTqPTJ1Hps4jU+eRqfPI1Hlk6jwypTwyFXsEj8pbyiRXqVvP1NYztfVMbT1TW5vU1jN16T62Msp6praGqa1naueZ2nmmdp6pnWdq55naeaZ2nqmdZ2rnmdp5pnaeqZ1naueZ2nmmdp6pnWdq55naeaZ2nqmdZ2rnmdp5pnaeqZ1naueZ2nmmdp6pnWdq55naeaZ2nqmdZ2rnmdp5pnaeqSnP1FLPKCtAt/Rg3TGz7phZd8ysO2bWEDPrjlnpPrYK0bpjZq0xs+6YOXfMnDtmzh0z546Zc8fMuWPm3DFz7pg5d8ycO2bOHTPnjplzx8y5Y+bcMXPumDl3zJw7Zs4dM+eOmXPHzLlj5twxc+6YOXfMnDtmzh0z546Zc8fMuWPm3DFz7pg5d8ycO2bOHTPKHTOxO3BlKBC3bi3FemNuvTG33phbb8ytHebWG/PSfWzFr/XG3Bpjbr0xd96YO2/MnTfmzhtz542588bceWPuvDF33pg7b8ydN+bOG3Pnjbnzxtx5Y+68MXfemDtvzJ035s4bc+eNufPG3Hlj7rwxd96YO2/MnTfmzhtz542588bceWPuvDF33pg7b8ydN+aUN+YibzwlfZ1T/iSk3/s40n8j3gn5XgQPNkxS8pHCsAq1O9X4f04Kty12tzzSnyPe12ezf9Icq+4+8+jyTbdxwUfwlpRgWy/2dGT/4uPFJ5c/uvze8sj5D+1vf225vXH5pjuU/qeLt30cnpdyMCwOAH4fukMpugJDx9hWQBwPKAXY3iWgeB69FGJ7B4DKefRScG01ueV59F7LHUnBRTmNnjqo90UxajCl8c+iN6agjqIXgwVzGu8o+mJzFH1BH0UvhgzmNdYKDvpUHItRg8mqe2UDhXoihmqYUOEHw1rvYA2rXRCL0YI5Sr71w5TjkR/0qRg0mLd4p9DT8eElMVAwe+GH0G9iw0t0bDgTw+XkM8nDQL1stRSxzgn05OnzYphgUmOW0vZhmPlfrbkIafMMnGcXWWrM0Nw9L4Z5dTEZ3r17rxymk+oiuZukZXW+sjlZhH7tvJ/99E8VolQpmvBYovR85WqAFadk9fF4TpNHO9+HvAPWsm8125o/2mycB+tURZIGJ7ltLajIop2LAywYNePHi/d9TF7QZKKy/Xzs79De1iQSbQO6Jol2Wg+Q2LJUVSQRbft5mtJFrSY/RqBmFWfXdMMXtp8XqxPIC/o8eVXWjJgnrkFoj56qcuO+dwi3oDdPu71ZqzFeXl50nplinJfDu+WDcphPLi6G5f00H96bFOdjkyTjfHz35fjy0btserNIuabA6EWXj4o8GFEJlY/vuA3qqyOZmuPj3SlKn7nzkWhFOXjmqVOaNrf9NvfgNhtF1scnzc5f+/OLb35zfRly5790+W3Xc2kuTnL34rp/833XmbkOwP7EL11+136Pu9m2uQ3XfWbzc77fHPnjjpNq/ukqL03m2jj2BzV/yH2eu6XpOYN7bltNrMiCkR8Ymjh8UqkmHxVl7K2Ob2vSiKeLFUlw8zPgCUIXK5KIpotNQspiTXqMBNSnLF6dnV7QB+GrsmaEPbEsJh16qkqN+9Yh1DpUcaczazXGjSq+n59PzqvJxTBJimSYF+n94Xl6fm+YXTwoz8vzi/Lexb2X46ti73LKzdXBtQxTYPSiq2JFHoyghKriX3xRcaKCN2/O/hysBO9/b86EeqORus1npl979ZVv/MXXX/vmNwY3b82OpieDs3w8+OPDO3em/9ajmIcb4fwFVdz8vLYm3oj1D5wktkL645V4th8+tJ8kVoEVvWJwr2yreBVZMEI/Q/FSk0OKRHSkLnHzkyaReGJXkQQ37QK+IMSuIoloYjfJsoqUu5oEGZmlT7m7Osa9oM/kV2XNiHliuRtw6akqOe6bh5DrELyd7qzVGDvFGxKy/Y6oe7PazdVlGhS5rE1u1yPqQrjtWLG/I+pCgjlGMM6IupCDYXEA8PvQHUrRgeN/PQhNIUBw1I8jIMkRdSFEcMhvS2koBMcZ6QOsR0g+Ibgdj6hLUYMprd8RdSlYMKcxR9TzzYg6edD5HTFkMK+x9C/6VByLUedM1PBTQY+oS6EaJlT4wbDWO1jDaqGditGCOUpeGJgiHY2ND/SpGDSYt/obUZcCBbMXY0Q934yok7HhTAyXk88kDwM9oi5EHHtEXQoTTGrcEfX8YOaPB3MR0kZvuf7KpDTDzJiJLUSNGVbul3v3snsmzcf3ivPVU0IWoYESXFqIUiPqhscSpRe9m6LIg7HmhdayfXRTLr/tronr6qXcPjv84546KVdDRD4X3NJ0gcFdsG2lqsiCsYzYQ0WrSCRu60SRSLzWiSIJ7gIu4AuijlYksR+tE02CjDTCKh07WidmtdZu6NaJJmtGzJNXSKHWiSY57puHkOtonXS6s1Zj3Kjbu3fHqbmfTIZZflENc3OeD8t7hf0L4yqdpMl5kSUPXo6vbolGS8E1BUYvurpV5MEIS6i67Z5r336CHh6h9/xTi7cXP138Dyegl+PynyyeWEG81NPrCfuO4aHVGH1SJl7RckvTYwb32LZiWJEFIzEwxHDH5LwiHx1N7KNxW5NGPEWsSIKblwFPEIpYkUQ0RRyYnNekx0g8ferhYiWgCloPa7JmhD2xHg5MzmtS4751CLUONdzpzFqN8f4eR5JSk/PBC2B8psDoRVfDijwYQQlVw8LjSBRJGpzktgJSkQUjkjIEJHkciSITFelIHkeiSCSeeFQkwU1jiC98JI40SUQTj6HjSDT5MQJ1n+pxshIcE1o9arJmxDyxegwdR6LJjfveIdw65GOnN2s1xnHn0AlBGLynKcnb5HY9hy6EC87roXpOcQ5dSDDHCMaZQxdyMCwOAH53xNCNQTa4/BvrkofubvjRYPEb64fPnx0sfjGc+NAfStG347LenLoQIDjvh8vLwJy6ECI46belcBSC48z1AdYjBKEQ3I7n1KWowZTX75y6FCyY85hz6uVmTr2k59SlkMG8x5LH6FNxLEYNJrM+59SlUA0TKvxgWOsdrGG10E7FaMEcJa4bgnPqUtBg3upvTl0KFMxejDn1cjOnTsaGMzFcTj6TPAz0nLoQcew5dSlMMKlx59TLg5k/HsxFSPe2d5FRc+oVjyVKL3rvQpEHY0kMrXWFvQtFkgYnideKPhaHmiwY63iMmpHsXSgyidu7UCQSr3ehSIK7hor4wkfiSJPEXvQuNPkxAjWrOOvoXVSr1e6K7l1osmbEPHENEupdaHLjvncIt47eRac3azXG+zsInhGD4JMx1xQYvdjyUZMHIyqh8lE0nf37NQiu6TGDe2xLLazJgpEXGFo4PAiuyUdFEfsHwTVpRNPDmiS4eRnwhF8Pa5KIpofpQXBVeozE06McnoyXAmpCXlR5rMqaEfbEcpgeBFelxn3rEGphNdztzFqN8f4e+pERcz+T8B1LHlNg9KKrYUUejKCEquHfx0M/NF1gcBdsK28VWTDiPEPeEuNBmkR0dC1x6IcmkXjKVpEEN8cCviCUrSKJaMo2dOiHKkFGGulT267uWZzQt2aqsmbEPLG2DR36oUqO++Yh5DrUbac7azXGcefUcx+5m5M0SM60ye14Tl0KF5zXQ+Wm3py6lGCOEYwypy7lYFgcAPwdc+reN+JQih6cAexBiAoBgvN+HIFJzalLIYKTfltKRyG4dnLack49z4w/Jh9JAUaZVbcgxqOCkHtS4GDm63VcXQwWTH28cfVJuh5Xn5BXFd4RQwbTH0smt01dlGVS2cztfaaPxdDBxMafWU/zdFymo9z7dJyI8RomXvgRsSY8WMNqoZ2K0YJJS15J0NHiVAwaTGS8wfUyy6nBdTFQMJ3hg+ubKPESHSXOxHA5CU7yMAQjRC2FrTO9nhVZkmbEozsTYwUTHXOE3T4WM39kmIuQOqjYnV+ODFm/Bqp3aQ1LjLBPMh5LlF70rosiD8ZyGVoG99F1+R24uFbTKwb3Cl73XnOMLXrdANfHDes3BtPjk6P6dHo2qwf1V/548Nyd+eEgH98YNN76xJX49m8/HOQ3xs5RPpscatqEscTZQzWtSCRuW0eRSLy2jiIJ7uIy4It8Uo4qr5w50mSyH70dTYKMZMUqWjt6O6vLUyf0XbiqrBmBT16RhXo7muS4rx9CrqO30+nOWo3xanIpM8U4L4d3ywflMJ9cXAzL+2k+vDcpXIcoGefjuy/H19DeRHhzknNNgdGLrqEVeTDCEqqhRcP1oND+gk4G/iWrgr+goddz+tcB2J/4pcvvrkb73Zc+cp+5Pti0GuHPS5O5Npj9Qc0fvCnzlqbnDO45XGf7WBxqsmAkCIYy7pjnV+SjI5B9NG5r0ognjxVJcPMz4An7T/toHGnSiKaNAxP9mvQYKahPZZyvpBR5r+exKmtG4BMr48BEvyY17nuHUOvQxZ3OrNUY7+/xKDk10W+4psDoRdfFijwYQQnVxbLjUTRJGpzkthJSkQUjkjIkJHU8iiYTFfFIHY+iSSSefFQkwU1jgC+SbDwqvIsVR5pMoinIwBkpqvwY0bpPCbm6XnFC35apypoR+MQSMnBGiio37suHcOvQkJ3erNUYx52bNz5yNydFkFzRJrfruXkh3Hao2N+5eSHBHCMYZ25eyMGwOAD4O+bmvY/YoRQ9OILIEKNUp18IEBw3xDVmYG5eCBEcNNxSPQrBccYKEeulGbGqKMQXaWyePMH5RTFwMPH1OzYvBQtmPubYfLEZmyfvKbwjhgxmP5ZIvvZgVNm4qLJR6TX3sRg7mNj4c/NFOUkT6vE4EeM1TLzwM2JNeLCG1UI7FaMFk5a4kAgd+C4GDSay/ubmpUDBdMaYmy82c/NkmDgTw+UkONHDEAwRtRS3zuB8Ms7GZUo9EzMxWDDXcSfni4OZPzbMRUj3trthqMn58CVs11ii9KJ3NxR5MNbL0EJY2N1QJGlwkngh6WNxqMmCscjHKCjJ7oYik7jdDUUi8bobiiS4C6yAL7LJeOS9duRIk8heNDc0+TGCNatuCy6HW0qr5XD68lpV1oy4J65JQs0NTW7cdw/hFvTmabc3azXG+3sAvKEGx8O3JHlMgdGLLiEVeTCiEiohu8e5tx8chyfHd3QAvKLHDO6xbfWwIgtGXmDo4Y6BcUU+KqqYGBhXpBFPEyuS4OZlwBOm8PriSJNGNEUcGBjXpMdIPX0K4nIlocgLNo9VWTMCn1gQBwbGNalx3zuEWoce7nRmrcZ4f4+AN9TAeMU1BUYvuh5W5MEISqge7uMwkr07Al7RBQZ3wbYCV5EFI84zBC41QaRIREfZUmeFKBKJp20VSXBzLOKLzFQjb6vxSJNJNHkbPCtEkyAjl/QpcFeXRE7oKz9VWTMCn1jgBs8K0STHff0Qch0St9OdtRrjuPPs3hB0czVbQpGbtMnteJ5dChec6EM1p948u5RgjhGMMs8u5WBYHAD8HfPsEx/6Qyn6dmBWm2eXAgTHADkqk5pnl0IEBwC3049ScO3ktOU8e5r6B9COpPiizLOX1ciN7F6H/aIYNpj2ep1mF4MF8x5vmr0cr6fZS/KyxTtiyGDuY2nkaw/zOK3GhjhU/VgMHcxq/GH2JC1MTj4eJ2LAhgkYfkasDQ/WsFpop2K0YMoS1xFksDgVQwaTWG+z7GKgYCrDZ9k3QeIlOkicieFykpvkUQgGiFoKW2mUvazKpCRH2cVgwUTHHGW3z8XMHxjmIqQOKtajcWTI4jVQuksLWGKUvQzf03aNJUovdt9FkwdjrQytgUXDQWBz5ndkDknTYwb3GF4Q+1gcarJgrFYyCuPwHJImH51ujY/GbU0a0Xo1miS4i8WIJ8aZt7d/pMkjWqeGHkRSpcfIPawaNNynKVcXvJb0fb2qrBmRT1xf0YNIqtS4Lx5CLdyl6XZmrcZ4f/d2FsRgfplyTYHRiy6IFXkwghIqiGV7OzVJGpzkthpSkQUjkjI0JLW3U5OJinqk9nZqEomnHxVJcNMY4IuiTIm9nZpEognIwN5OVX6MYN2ngkxXooO8cvNYlTUj7okVZGBvpyo37ruHcOuQkJ3erNUY2//96VNh0ynDPwlJxX4Hf7xjDjfLLEi2apONNPhTUoM/Qrhg8xPVeM3gz+Jho+vesxri4aCZBPpBs3T43nqB8vI7g8XnzXrlXzWX31hV6CN1S0oqx0jxhn18CJ+XIjQshEJ0h1J0YN+ToSY7ViSFOMFmJ64VAxM7Qohgm3NLFSgEx2lqAtbzWu5ICi7KuA6t16SowVzFn9ZJxxTYr4jBgsmKOa2TbaZ1yAsG74ghgwmLpXPRp+JYjBrMSPxBHQrqiRiqYUKFHwxrvYM1rBbaqRgtmKrEBYCZTEa5t2Q9FWMG0xZvRocODy+JgYLJizGjk21mdMjQcCaGy0lnkmeBMnAtRawznkPBnIlhgjmNO5iTHcz84WAuQuqgjk3xoMwepMO7aT4eJsnFA/vR3WpY3q/O83vZRZGl95ZkyOIyUGpLC0xqMCfnsUTp+crQACtOKerj8Zwmj3a6D3kHrFHfvqo8L3/4hRmXv3L7k10n4vK79qtPbBW7LFYvv+9q18V7q3Gbn9kvftAMybiq9jO33cNN2ry9eGfxq2Hif/luaRrJ4EbatqJUZMFYz+uv8lTko9LNoHYuaxKJ181QJMFdUQV8QdS7iiSidTLouliTHSPYs+q7jj7G6trPkr7DVZU1I+7Jy5ikII5JP1Xlxn3rEG4dfYxOb9ZqjBsJmmWT8t4kMcPk7r1kmI8fGPtt42qYmPMqSS/G+b3q/svxJWjqM8XN0nBNgdGLLkEVeTCiEipB/7tTkFY9Pl48Gizeb8Tlh/YTjweXb1rR+biZyH69mbK2ErUZ6X70Z057+rjf0uRucO7bKktFFowIiyvLy+9fvuFj8oImExVNaZN95WNyW5NJPFGpSIKb3hBn+EgcaZKIJioTconyRVV+jADep6xc3QRa0ve6qrJmBD2xrKQ9eqrKjfveIdw6ZGWnN2s1xnHPwfE2O26WRYhcOm6T2/U4jBBuO1Ts1ziMkFSOkepjHEaI0LAQCtEdStGBPUZcOnYtSgpxgn1FXBgGxmGEEMGO4paKTwiO0z8ErEcoOSG4HY/DSFGDuarfcRgpWDBZMcdhNlexlvRVrGLIYMJi6Vr0qTgWowYzUp/jMFKohgkVfjCs9Q7WsFpop2K0YKoSC/7QOIwUM5i2+huHkQIFkxdjHGZz/SodGs7EcDnpTPIs0OMwQsSxx2GkMMGcxh2HKQ5m/nAwFyHd214EUbPdLINXh11nidKL3otQ5MFYykJr1H57EYrcDc5920JRkQVjWQ4vKOlehCKTyL0IRSbxehGKJLhroogzfCSONEnsRS9Ckx8jgLNqtuDqtaW0Wr2mr2FVZc0IeuLSJNSL0OTGfe8QbkFvnnZ7s1ZjvL9T1iU14hK8gctnCoxedFmpyIMRlVBZuaMpa0UjGdxI2+pPRRaMUIzrz66GhiIfFRVKTlkrEoknQhVJcJMh4AtChCqSiCZCaQmqyY4R7PuUoKu7Mkv64lNV1oy4J5agoSlrTW7ctw7h1iFBO71ZqzGOOw7jXY24WVZBckmb3K7HYYRwwe4iqgl7HocRksoxUn2MwwgRGhZCIbpDKTqwx9ifehTiBPuKHFVIjsMIIYIdxS31nhAcp38IWI/QcUJwOx6HkaIGc1W/4zBSsGCyYo7DVJtxGPJKyTtiyGDCYula9Kk4FqMGM1Kf4zBSqIYJFX4wrPUO1rBaaKditGCqkgv+wDiMFDOYtvobh5ECBZMXYxym2ozDkKHhTAyXk84kzwI9DiNEHHscRgoTzGnccZjqYOYPB3MR0r3tW1TEOEw15rFE6cXuW2jyYCxloTXqbvoWmkYyuJG2rCg1WTDW73qrPDX5RO1baBKJ1rfQJMFdQQV84a93NUnsvm+hyo4R7Fn1XbhvUY2XK90VeanosSprRtyTlzF030KVG/etQ7iF+xbd3qzVGO/vRHZFjM5UwTujfKbA6EWXoIo8GFEJlaC9TmRrcjc4922VpSILRoTFlSU5ka3JREVTkhPZmkziiUpFEtz0hjjDR+JIk0Q0URmYyFblxwjgfcrK1Y2NFX39piprRtATy8rARLYqN+57h3DrkJWd3qzVGMcdh0m8/rxZpUF2aZvdjudhpHDB9iIq9Pqdh5GSyjFSPczDSBEaFkIhukMpOrDJiGvHrlVJIU6wsYgrQ3oeRgoRbCluKfmE4DgNRMB6hJQTgtvtPIwYNZisep2HEYMFkxVvHqZK1/MwFXnz4h0xZDBhsYQt+lQci1GDGanHeRgxVMOECj8Y1noHa1gttFMxWjBViRV/VY38R1iciiGDWau3cRgxUDB34eMwm8jwEh0ZzsRwOdlM8iiQ4zBSxJHHYcQwwZTGHIexD8PMHw3mIqQO6j2TnWfleTIs72YXw7x4UA3Py+T+sLr3YHyRXST3707uLsmQxWWgtBYXmNQ8TMajifKL3oxQ5MFYy0Jr1C/Mw9xwcyy/XPw/w7FZTrukk/F48am/ULmlydTgTLctCxVZMFbh+isfFfmoNCBsmWl8TG5rMonXgFAkwV0IBZxBVK2KJOI1IPLxyOQ+fi+q8mMEbVad1tGAyFZL1uRFnMeqrBmhT1yO0B49VeXGfe8Qbh0NiE5v1mqM93euxWpJr2S+WeVcW2D8omtJRR6MsIRqyX4HWxS5G5z7tupSkQUjxOLqkh5sUWSioivpwRZFJvF0pSIJbn5DnOEjcaRJIp6uDAy2aPJjBPA+deXq/sWKvk1TlTUj6Ml1ZWCwRZMb971DuHXoyk5v1mqMIw+2EKuOJsgua7Pb9WCLEC7YJ0SFXs+DLUJSOUaqj8EWIULDQgigc/NnNwbZ4PJvGvv/dvF4NFj8xlr382cH9XPj1P6ptcGR2K7I2fdoP/OwWXRcq3avGw+lRgKblriE7VogFeIEO5W4QA3M1wghgj3KLZWnEBynIwlYLzU+dEdSdFEGbCpSKEpRg0mz3wEbKVgwaTIHbMxmwIa8u/GOGDKYOFkC+5qpU0OO2Ehxg7mRP2JjxuSDcSJGa5ho4afDGvBgDauFdipGCyYscflBRYlTMWIwdfGGbLLAkI0UKJjAGEM2ZjNkQ0aHMzFcTkqTPAl0ZKilmHXGbCaGfBhmYqRgbuNO2piDmT8izEVIHVRsh7AjQ1a7gVpfXPFSkzYFjybKL3p3RJEHY3ENLZp3dPKMopEMbiS8xPWxONRkwVhR7K8GVeSj0kwhT55RJBKvl6JIgrumC/ginYyMj8eRJo9o7RS6maLJjhHvWbVeRzOlWC2/k9eDHquyZoQ+cTVDt1I0mXFfO4RZRyul05e1GuM9HtFJqBGd8A1WHltg/KKLUEUejKCEitB+R3QUuRuc+7baUpEFI8Di2pIe0VFkoqIq6REdRSbxZKUiCW5+A5yRjqiWiiKPaLIyNKWjyY8Rw/sUlqsrJCv6QlBV1oy4JxaWoSkdTW7cVw/h1iEtO71ZqzGOPKVDiMXwXVN5m92up3SEcMFmI6r1ep7SEZLKMVJ9TOkIERoWQgBdx5ROpjal0zj80fJr1JSO0Ehg0xNXsV0rpEKcYKsT16iBKR0hRLDJuaX4FILjtDQB6xEh8kgKb8djOlLUYNbsd0xHChbMmswxnXIzpkPeKXlHDBnMnCyFfa3HnY4qYkpHChvMjfwpnaRI6SkdKVrDRAs/HNaAB2tYLbRTMVowYYnLD3pKR4oYTF39TelIgYIJjDGlU26mdMjgcCaGy0lpkieBDAy1FLLOkE6aZ/SQjhQpmNm4QzrlwcwfEOYipPvbH0mpIZ2KRxPlF70/osiDsbaG1sz99kcUuRucO164+lgcarJgrBPilSXdH1FkErk/osgkXn9EkQR3kRZyxiT1euNIk8heNEg0+TGCOKt862iQVKsldfIm0mNV1ozAJ65QQg0STW7cdw/h1tEg6fRmrcZ4jwfAU2L2Zj0rzDAGRjC2uFQlwghMqLrczQi4qpUMbqUtdagqDUY8xoVoR4tDlZCKHqWmwFWZRNOjqiy4SRHwRjmq/M0VVSLRBCkpR3XpMcJ+j3rUclpKmNUHPuLHusQZIVAsSUlBqkuN+/Ih1MKKFPFnrUc68tRO5qNnZWb4TizTprfjsR0x3nbI2Ku5HTGrHGPVw+COGKJhQQTghSZ3Fv/43DjXGd2xOtH+e0+sF1fOJYZ3xIYCm6E9SlshULAHypGs1PiOGCPY/txWjArRcbqdiP0oiSmEt9sBHjlsMIP2OsEjRwtmUN4Ij4WznuGxH5JDPHLUYB5lye5rjwb1bBzLcYOZkj/Gk9IPx4kcrmHChZ8QZ8KDDbAW4KkcMJi9xFUJOcojhwzmsd5meeRIwWyGD/NchYmXAmHiTI6Yk+FEjwP1PNRizDoDPRn9QMzkUMFMx5zocU/FBlQL7FwGdn8bLxkx1JOMUx5PlGD8xosiEcYKHFpS76rxomglg1sJr399NA5VaTBWHXusThUJRW68KDKJ2HhRZMFd+0W8QQxtHqkS2YfGiyY9RthnVYBdjZd0vVBP3sJ6rEucEQLFJU6g8aJJjfvyIdS6Gi/d/qz1SO/xpHlGTgNlXGNgBOOLUkUijOiEitJeZ81VyRuc/NZaU5EGI9DiWpOcNleloqIyyXFzVSoRZaYiC26mg9xR+efNVYlEk5mBgXNdgoxQ3qvQzNbChL6SVZc4I/6JhWZg6FyXHPcFRMh1Sc1uj9Z6pCPP+OQ+elY85kF6RZvezmd8hHjbQWPPZnyErHKMVS8zPkKIhgURgNdxOo/3uTkUwwd7l7je7FzbFAIFO5a4mgxN3ggxgr3KbWWiEB2nL4nYb1yMJj6ER2KEcYZvqlFZ+HC/KMcN5raep2+kaMHcxp2+ya+mb8jrOu/IUYMZjiWJPc+0MaOx9/E4lkPPmdDxxyPJ8sAEjhSvYeKFnxJnw4MNsBbgqRwwmMXEVQMZM07lmMGE1uMIjhQpmNY4Izj51QgOGSvO5Ig5qU7yPITiRC2GrTSFk46TwBiOFCuY8thjOPnBBlQL7FwG1qG9Z7LzrDxPhuXd7GKYFw+q4XmZ3B9W9x6ML7KL5P7dyd0lH7JcDdTr4pKVHMMxPJ4owfgdD0UijGUytOr9whjODTc+88vF/zMcm+WQTToZjxef+uuaW6pUDU4VrzN9NA5VaTDW93qsNxUJqXQ5bF1qfFRuq1KJ2OVQZMFdZAXcUZSjqvQ65EiVSrw+h60gjDfhvqhLkBHAWUVdV5/DrFfFyRtXj3WJM+KguGKhvXqqS477CiLkuvoc3R6t9Ujv8UhNTo7UFFxjYATjC0xFIoz4hArMnkdqFMkbnPzWklORBiPU4pIzMFKjSEVFbAZGahSpRBSbiiy4mQ5wRzUqVv3461pTkUk8rRmaqdEkyIjlvWrNYq1M6BtUdYkzAqBca4ZmajTJcd9AhFyX1uz2aK1H2v7vT5/uKDkN+SchUdnzkI3x8bVyMny7V9nmG2nIhlpgfU4MGOxBonKwmbJpdu191MzbWD3YHLay+NiqwB/YTzx22wA/b05eeTiw+vDDgRWP7y0e2i9/1/7+uBGN7mvLXYCfue/62A3iXP7IR/yWmHiOEe9lEEcI0bAgCuEdiuGBLUpchS4+9RZ3L4gRgg1JXFyGJmyEGMFW5LaqUYiO03YE7Oe13ZEYXZTpmoC+k8IGcxp/uKYoEnq4RooWzGnc4ZrJ1XANecvmHTlqMLGxtDH6aBzLYYNpiT9YExiqkWI1TKzw0+Hsd7AB1gI8lQMGM5a4bEhNMh4l3uWHUzlqMIvxxmroSPGSHCmYyzhjNZOrsRoySpzJEXPym+SJoN66WgxZZ6QmME4jxQkmOfY4zeRgA6oFdi4D69A+yC/uVkVxPrxrf3ebje8Oy/GDu8Px2IxNUZZJZVZpkCxMA6W6uDglx2nCV3Jd44kS9JWwAV6cMtZH5DlVIowVMrS8fWu5JWRdwT52Z9LY0nSzr8SdI+pOuXnPfuE7zc6ST5tv/czdEWy/7bPlN/x8eRqOLW6XP2jZGXF7Tz61f/zg8s2nP/X24qeL/zH8YhG9+OiZO/9mduOqdB5e1c5fvjFwWywWH7p/9fLbzVGn37Z/+V0HsSnPfzhIhskNc/k9+53vNB2aN9xBqEP7LY/sX3205HFjkN/IEvtPvO9z3S1V1xncdVtXv4o0GEuVeJUc6NUoUlHp1VBH7CjyiNioUWTBXSYGfEGV5oosojVpAiW8Jj1GAmKVoV0tmnK9oE9e7XqsS5wR98S1VlaWgR6NJjvuy4ew6+rRdLu01iPdKGRzUU0u8tIM7108SIb53bvFsDrPL4ZmfHHfpGnx4O79ldvjKmTvkrFVyBXXGBjB+ApZkQgjQOEK+boibTZYP1w2fpxofqPZft00eOrTW4N/c/Rvbg5q+w9ffGNw+e2BFa4PL/+6+TYnlz+1n2t+xCP74fhGFphXV7SUwS21tSBVpMEIzLggpds2ikx09OjIP6tyW5VKREmqyIKbFQF3UJJUkcU+SFJNeoyI36skrdb6hb79VZc4I/KJJWk6Do0NabLjvnwIuy5J2u3SWo905KN4Ch+9m0kyDtKr2vR2PiUkBQw2U1GRGH9KSEo8x4j3MSUkhWhYEIXwDsXwwJ5rD3JTihDsr7JkJDUlJMUIdla31IdSdJwuKmA/QvdJ0e14SkgMG8xp/U4JidGCOY05JZSMN1NCCXmt5x05ajCxsbQw+mgcy2GDaanPKSExVsPECj8dzn4HG2AtwFM5YDBjycsEM65GVelDfSpHDWax/qaExEjBXMaYEtpEiZcCUeJMjpiT3yRPBD0lJIUce0pIjBNMctwpIftEbEC1wM5lYPe3B1JQU0JJ+I6vazxRgtF7IJpEGCtiaHm7wx6IpqUMbqmti01FGoyVwD6KUkUmkXsgmlTi9UA0WXCXYQF3ULWwIos96IGo0mNEfFbd19EDSZLVgnlCXtF6rEucEfnkxU2oB6LKjvvyIew6eiCAS2s90ns8uF5QYzlJyjUGRjC+JFUkwghQuCT9w+D60hS3VF1ncNdtrZEVaTAyBa6R6cF1TSo6ItnH47Yqj4gKWZEFN0kDvqAUsiKLfVDImvQYCahXhby+SDQJXAyrSpwR98QKOTi4rsqO+/Ih7LoUcrdLaz3SkaeEvJtSrebNQvSycZve7qeEhIDBZiqqWXcwJSQknmPEe5kSEkI0LIgAvKvrvEZW6tt30P321NK2Z+n78MGDiz//5vng9LWvP7j4xjde+fqr518djJNkcOocVDYfDU7Ov/mt1+znT1959WJweja9MUjG4/HgPw1S+6stK9KRMW79u3OZfFQOqHXyQ7EZwd4wLorphWMhQrAPzNC6gWkmIUawA7ytjhWi43R7AfulObFJ6UiMcNcTTVLYYP7teaJJihbMv9yJpuxqoom8xPSOHDWYhFm6HX00juWwwRTKn2hKinQ8mYxSaqxJCtgwAcOPiDPiwQZYC/BUDhhMXeK6Jk/ygrhA6lSOGkxnvLGmqrIimBprkiIFkxpnrCm7GmsiQ8WZHDEn0UmeiGSc2MCcjSpvnVGLgesMN6V5liRmVFITTlKwYNJjTzhlBxtQLbBzGdj9bSdNyAmnnMcTJRi/naRIpK0IQg4CS/M/tJPWrrul6jqDuw6v3C+/67xgS3S3EjmwVntz8a4rwF1/ZuTjeKjKkbHmipfVgV6TIpWovSZFHhF7TYosuMvdgC/ScpQbH5MjVSb70G/SpMfIUKy6tavflK+bE+SNvce6xBmxT1yXhSeyNNlxX0CEXVe/qdultR7pPd4kMCEnsgzXGBjB+BJakQgjQOESenebBBQtZXBL4Yp18T9XitXFsqcUK9E8OVRlyIjZuF6l20CKTHTkKr1/QJFKRMWqyIKbMAF3pMY1TL2rskeqXPZBs2rSY6SEXjXr+mbYJHDXrypxRvwTa9asDGlWTXbcVxBh16VZu11a65GOPCPl3fZuVWgRpJe06e1+RkoIGGzPoipyBzNSQuI5RryXGSkhRMOCCMCzIv8fh+VosPi19cQHVsN+shyNcuZ13rK2v/zu5Q8Gi4eLTy//qlHyj6xrnEMfPjtY/NK65mPn3GbF9tPl2vnlG4PFTxbvLH6z+MfFTwaLXyx+vfjnxW9uDBp3PnJf/bmTx/ZHfmQ/+Vf294/tX3Lr85+50uKGt3Jorarbf8x+3xvNkvxfN8/Iw0E+LALjVEKLgz3pPnS0ECHYf2bpY3KcSogR7DxvK3yF6DhdZsB+uRl552yPxAB3PU0lhQ1m6p6nqaRowUzNnaYqrqapyOtr78hRg+mapfDRR+NYDhtMtvxpqmycjiejCTVMJcVrmHjhJ8TZ8GADrAV4KgcMJi5xARQ+I0qKGkxmPQ5TSZGCKY0zTFVcDVORkeJMjpiT5iRPRJLkk3ExWp2oe70+FOLWmaXKTZbYp8L4sM7kWMGMxx6lKg42oFpg5zKw+9sHKslRquDVedd5ogTj94EUiTAW/dAKfpd9IEVLGdxSeD3to3GoSqOd5wM0+ihSFZnEbvYoUonY7FFkwV1pBtyRT0bjiTe+H6lS2YdejyY9RthnVYLXtEir1zNZNwbIq4+PdYkzwp+81AnOJ2my476BCLugS08Rl9Z6pPd4xL8k55OCt9r5jIERjK9LFYkwAhSuS/8w4r80xS1V1xncdVsLZUUajEyBC+XAFL8iFR2l7ONxW5VHRJmsyIKbpAFfmJG3aDlS5bEPGlmTHiMF9aqR1zfjJoHLjlWJMyKfWCOHz4zSZMd9/RB2XRq526W1Hmn7vz992q+5/e1PQmK45wEp7/q+lcFVkG/W5htrQKoY5T7Az4kBgx1XVMY2A1JrzbqcvvmCFrW/v7+cmfrEqcpmVObbm3GolfZ1szfNAM3qm4EpKSH7HGPfy5SUEKJhQRTCOxTDAzuzuAhtHoL3RwP/KvoLYqBgM5YhMQOTRUKMYBt2W/koRMdpuQL289ruSIxu12NFUthgfuOPFaUJhfYrcrRgfuOOFVVXY0Xk9bZ35KjBJMcSyuijcSyHDWYn/lhR4No5KVbDxAo/Hc5+BxtgLcBTOWAwcYlriHxcjYrcB/pUDhpMYryJIjpQvCRHCqYyzkRRdTVRRAaJMzliTnqTPBCBW+eEkHWGiQK3zklxgjmOPUhUHWxAtcDOZWAd2vHde/cn4+Te8Py+mQzz7DwfVoW5GJYX+YPkXmbsX7675EPWqIGqXVynUoNEq5P2YJ4oQV81G+DFqWh9RJ5TJcJYLUMr3befrmBdZ6ZpvDSfa6rYR5dv2jr24eCZ9ZeeLN69/G+LR25/iCuOXYPkrcXffvnPlrWvGTen7DYfD57/+p07Xzk8Gfzbw6O6dgfyDpIkmyy/+PzXv/rVP794dVUxoyjWX/nAtWRsxf3xqrZ2xbf9pNurNLj8fvPpT3zuuaXqHoO7Z9s6V5MGY2myv3pYk5BOa8YfyW6rMonXnNFkwV0dBrxBVOGaLPagNaNKj5FsWBVnR2smHa/W8VPyTuZjXeKM+Ccuq7JJOsqJzowqOe67h5Dr6MwAHq31SMfdqe4/MNrK2+B1flneprfzRowUMLhGhcrTHTVipOxzjH0fjRgpRMOCKIR3KIYHrmf1KDyFQME1LI6gJBsxUozg6tW2UlGIjrNSBdiPkoBCdDtuxIhhg/mt30aMGC2Y35iNmDTZNGJS8o7dO3LUYJJjyWL00TiWwwazU5+NGDFWw8QK</t>
  </si>
  <si>
    <t>Px3OfgcbYC3AUzlgMHGJK4ZQI0YMGkxi/TVixEjBVMZoxGyCxEuBIHEmR8xJb5IHgm7ESCHHbsSIcYI5jtuIsU/EBlQL7FwGdm8bMemYbMSkPJ4owfiNGEUijLUxtNJFWyC/N40YRfcY3D1b17mKNBgLkT3Ww4qEIjdiFJlEbMQosuAuBgPeoKpwRRb70IjRpMdINqyKs6sRs76EOw3cq65KnBH/xGVVsBGjSY777iHkuhox3R6t9UhHbsRQ8jYL0jNtertvxAgBg2tUqDzdVSNGyD7H2PfSiBFCNCyIADy3iHFjcHXD+uKxVXm/sVb//Fkn7H8xzHwEDsUEwBWvHqWpECi4ysWRnHSrRogRXN/aVkwK0XHWshD7jZN0VHonXo/EGHfdsJHCBvNgzw0bKVowD3IbNlfXm6eB683FqMFkyJLP6KNxLIcNZjF+wyZNUncsaEV1baSADRMw/Ig4Ix5sgLUAT+WAwRwmLi+CXRspaDCf8bo29p+luzZSpGBW43Rtrm43pyPFmRwxJ9OJHogkr9LxKC18uGsxbp3WTZZU42I8yowP7EwOFkx57P6Nu9zcHyLmMrD7278hVj1tgZvzeKIE4/dvFIm09UDIQWCBjHZOfm/6N4ruMbh78PK4ZZu13f7tHWvrQXOHzqfOSIOhM8Ijd5Dc4qNBknsD9aEqfca6Z4/FtSKhyH0fRSYR+z6KLLhrz4g3Enfr2YSq6RXJ7EP7R5MeI1ex6teu9s/6Tuw0cM25KnFGGBTXZ8H2jyY57iuIkOtq/3R7tNYjHbn9k/roWXVsgvSKNr3dt3+EgMEVL1Td7qr9I2SfY+x7af8IIRoWRABeZ/vH+4QdigmAS2c9KlQhUHC5jKM86faPECO4ULatphSi4yyKAfZzi6KZV7wfiSHuuvsjhQ2mwZ67P1K0YBrkdn/MVfeHvMz6jhw1mAtZ6hl9NI7lsMEkxu/+lKYyVndQzR8pXsPECz8hzoYHG2AtwFM5YDCDiYuLYPNHChrMZj02f6RIwZzGaf6Yq+YPGSjO5Ig5eU7yQCTFpCiq0cT7INdi3DrNnyQtqywdFV6wMzlYMOOxmz/mYAOqBXYuA7u/zZ+UbP4UPJ4owfjNH0UijAU1tDxG2y6/N80fRfcY3D14cRxu/nz76o6fVvsnK30GOFQ1AGPds8fiWpFQ5PaPIpOI7R9FFty1Z8AbuRmP0pyq6RW57EP3R5MeI1mx6teu7k+x7hWQt54f6xJnREFxgRbs/miS476BCLmu7k+3R2s90pv7cVYR1InkiPfj+IfCrF4O35lZtvnGagcR960/JwYMLoGhevfXi3ednrr87qYd1Nyb+KZVGY/crYruDsdG0br+juv5PGwubny/+eiz5aXj9s8fPX1Vufvj+l7yN+znXl9/7vv2n7D/jM8gt8QGyTGD9NIhEkI0LIhCeIdieODqGUOiUhecSxGCS2UczUk3foQYwUWybdWkEB1nQQywH7U5XIhu1z0fKWww1wl6Plmo6SOFCyY7btNnctX0IW+1viNHDWY8lmhGn41jOWwwL/GbPoEz2qRYDRMr/HQ4+x1sgLUAT+WAwZQlrieSIq1Gxqs1T+WowTTG6/gEQsVLcqhgNuO0fCZXLR8yTJzJEXMynOSRCJzSJoSs0+0JnNImxQmmOXajZ3KwAdUCO5eBdWjPq+zBeT45H5aTMh3miamG54WtaCeT8zyvzu+a+5MVH7JkDRTx4rKVbPSEL7K9xhMl6CtuA7w4Ba6PyHOqRBhrZ2jh+85TVe7jplz9zJarrmHwPVcG2yr38WDxePHh03XvY/u1R0+1Wb5QBj8cLN62f7Sffce1guwP/2ywbOdk4/Hldwr3S5IMrvpBzz9vP2e/duaz5y1VexrcnlsXpYo0GCuLePF6+f3LN3xUXlClotJZyX08bqvyiNhXUWTBXdUFfEFVzIosonVUsqqga2tNgoy8wCoPu3oq6xvqU/KG+mNd4ozIJ66BaK+e6pLjvn0Iua6eSrdHaz3SjW69W93PLpJ7ybAY58kwz8uLof2Z1bC6Z7LJxcTkd/PV+xxXt3qXcq1urbjGwAjG162KRBjxCdWtb7nxn6f7LU+sKP3Mzbg4Ubn4p0aN/lXT0XGdF9fVcQq1+Y5m/46bLvqHxVvDxTuL3yx+svjV4uf2139c/MZnnVuq1jG4dbZWoYo0GLEYV6G2xnjfR+UFVSoqKjTxh5Dbqkwi6lBFFtxMCHiD0qGKLKLp0KQYVYWP34u6/BhhvlcZWq1FC3n9+LEucUboE8tQ0qmnuty47x7CrUuFdju01iPdqNDUmIv07oWxX7xrv/euSYdlft9q1yrLrQBO7pXVKrTGVaHE2E825hoDIxhdhWoSYYQnVIX+/VOjPQ8Hi/9pJemHzTKpVaSDxTuHWfZnTo4m2cB9o1slbfSod2Htlip5g5PfVmRq0mBE2j5EpiYVFZE5Hvl3DN1WpRJPZWqy4GY6xB0+FkeqLKKpzHwyynMfvxd1+THCeJ8qM1tf+pwFrvFWJc6IfWKVSTr1VJcb991DuHWoTMChtR7p5Vrn3XsX5w+yamjy/N4wn5QPhufF2Azz5G55P7l7fj8zO1nr9D4BVmUmXGNgBOOrTEUijPCEqsyfXb7u2ujLnZXL4fQ33fpms8nv9WaTY3Nm0XJt8xeLnzRrmv+w+KX971erHZiLf1r8avHW4tf219+47/l/7B/eGdw5Nclg8ROflW6pWsngVtpajirSYITkXuSoIhUlOepmKq9Tua1KJaIcVWTBTYmIO3wsjlRZRJOjZTkqvfxe1OXHiPe9ytFkrV7Iq36PdYkzYp9YjpJOPdXlxn33EG5dcrTbobUe6ciHWVICMw3Sq9r0dr57UQq4HTR+b3YvSg2SYwbpY/eiFKJhQRTCOxTDA7eCMGQotXtRihDc9oGry8DuRSnGtnTU2b0oRcfZ2wHYj5KDQnQ73r0ohg3mup53L4rhgsmOuXsxSze7FzPyMtU7ctRgxmNJZPTZOJbDBvNSn7sXxVgNEyv8dDj7HWyAtQBP5YDBlCWuHpK8qEaVd2PVqRw1mMZ63L0ohgpmM8buxU2YeCkQJs7kiDkZTvJI0LsXpZBj714U4wTTHHf3on0iNqBaYOcysPvbGcmp3YtZxuOJEozfGVEkwlgpQwvfXXVGFK1kcCttXWoq0mCsDjJKUrozokgldmdEkUrEzogiC+7qLOIOH4sjVRZ70RnR5MeI96yyr6szkq0X0snrdI91iTNin7i2CXVGNLlx3z2EW1dnpNuhtR7pPR4Hz6lNiVnONQZGML4cVSTCCE+oHO15HFyRvMHJb60yFWkwIm0vKlORipLKJMfBFalEVJmKLLiZDnGHj8WRKotoKjM0Dq7JjxHGe1WZ67tHs8BtsqrEGbFPrDJD4+Ca3LjvHsKtS2V2O7TWI73HR1/k5KZDwzUGRjC+ylQkwghPqMqMfPSFpnUMbp2tZagiDUYo7kWGKlJRkaHk0ReaTCKqUEUW3EwIeINSoYosoqnQwNEXqvwYYb5XFWrWooW8PfJYlzgj9IlVaODoC1Vu3HcP4dalQrsdWuuRXq513r2fZYX9trv3Hphhfp6fD8/P0/Hw3rhIH0yycnxx7/zlHajQ3GcMq0ILrjEwgvFVqCIRRnhCVejbVlh+8IUx84/5RwVbwfqlxU/tX/q4udPxfffnZol0UN8uxqZwpwLbP11dYNgsn5qrc4TdMcI+c95SNafBzbm1bFWkwYjduGylzw3WpKIiW70R57Yqj4iiVZEFN3ECvqBEqyKLaKI1M8Uo8U6WvahLkJEWelWt65v7ssBdjKrEGZFPrFppr57qkuO+fQi5Ltna7dFaj3TkzYvGR88K0eBNHfm4TW/3mxeFgNtR4/dn86LQIDlmkF42LwohGhZEIbxDMbx2PFbcvChECO76wMVlaPOiECO43WNb4ShEx9naAdiPEoRCdLvevCiFDea6vjcvSuGCyY67efHq6sUscPWiGDWY8VgaGX02juWwwbzU6+ZFKVbDxAo/Hc5+BxtgLcBTOWAwZYnLhzzPJ6PE23o/laMG01ifmxelUMFsxtm8eHX1Ih0mzuSIORlO8kgENi8KIUffvCjFCaY59uZFd/WiPzTMZWAbHTY2ZXL3fDw8f5C5627y8bAaV+Xwwfl9U95LKnN3vIMOiiE3L5Y8nijB+B0URSKMpTK08FW4epHsp3yhnTL4Yj/l6XsZA/0UReMa3LhbV6iKNBiringlG+inKFKJ2k9R5BGxn6LIgruiC/iCKp8VWUTrpyTJeDzKqUpbkyEjS7CKxa6GyvravixwEaMqcUboE1dEAbee6rLjvn8Iu66OSrdLaz3SezyObshNjxXXGBjB+DJWkQgjQKEyNvY4uqJ1DG6drXWoIg1GMMZ1aGAcXZGKig6lx9EVmURUooosuJkQ8AalRBVZxFOigXF0TX6MMN+rDl1f3JcFbmJUJc4IfXIdGhhH1+TGffcQbl0qtNuhtR7pPT56w1CbIlf1CcMYGMHoKlSTCCM8oSq036M3NMkbnPy2IlOTBiPS9iEyNamoiEz66A1NKvFUpiYLbqZD3OFjcaTKIprKDBy9ocqPEcb7VJn5+uK+PHAToypxRuwTq8zA0Ruq3LjvHsKtQ2UCDq31SO/xecOG2vSYJ1xjYATjq0xFIozwhKrMHZ03rGklg1tpazmqSIMRknuRo4pUlOQodd6wJpWIclSRBTclIu7wsThSZRFNjgbOG1blx4j3vcrR9cV9eeAmRlXijNgnlqOB84ZVuXHfPYRblxztdmitRzryZkbvQrYVmGmQXtKmt/PNjFLA7aDxe7OZUWqQHDNIH5sZpRANCyIAz73nNwbZ4PJv3BTt4reLx6OB1e2PF58/O7DO+sehfVFuDBZvu/GFtT8vfzjysToUswI3lDDUK7UHUooQ3DyCi9LAHkgpxrbi1NkDKUXH2SEC2C/LSn8f6kiMMMo+yKRIy5HxPp0vypGDmbLnrZBiuGCqZG6FzK/uccwD9ziKUYP5kiWw2/Y2ZlzZB8R/qdixHDuY2vj7ISdlkk8yclOkGLBhAoafE2fEgw2wFuCpHDCYw8RVyDJweCXgqRw1mNd4myKzvDDkpkgxVDC9MTZF5lc3OtIB40yOmJPyJI9EEyzyUeXNg7UYt87OyCSZpOm4GhnvczGTowVzH3d/ZO4ud/RHibkM7P42Wwpqf2Se8XiiBOM3WxSJMBbf0Fp6V80WRSsZ3Ep49eqjcahKg7HgyChX6WaLIpXYzRZFKhGbLYosuAu+gDvMeDTJvQ45UqWyFx0XTX6MoM8qCLs6LusLAfPADY+qxBkBUFzrhDoumty4LyDCravj0u3QWo/0Ho+ZF9Rmx9VoGMMYGMH4mlSRCCM8oZq05zFzRfIGJ7+11FSkwYi0vUhNRSpKUpMcM1ekElFqKrLgZjrAHWU+MhOvQ45UqUSTmqFZc01+jFjeq9Rc3wqYB655VCXOCIBiqRmaNdfkxn0BEW5dUrPbobUe6T0+V6MgdzQarjEwgvGlpiIRRnhCpWbkczU0rWNw62ytRRVpMEJxL1pUkYqKFiXP1dBkElGKKrLgZkLAG/nYEOcUHKlSiSZFk2KUeB+4F3X5MWJ9r1J0fTVgHrjrUZU4I/6JpWhCX5qjyo37AiLcuqRot0NrPdKNFD2vsgfn+eR8WE5KdxycqYbnhZkMJ5PzPK/O75r7k5X0jCtFc58xrBQtuMbACMaXoopEGOEJlaIKJxUvh6kH7kdbYfvm4rPBsmH/9GHEA3ca8fLTzz9vP5e584s99rylak+D2xMXr+1Z8mbO3LsfYPCVi9fOv3Y+OD5/7fwv//KVweKXjdx/uHh38eSGW2V+/fKNkbVParJ8eb7zy7fPbgxsVeDGJN546qxn92HzucUn7o/2e9yP+dD+g/YbnOH/yNq4sbn9khu6+OTyr5tjpB8OKvdZat5d0faMjIMrbvpEZU0qKorbGydvq/KIqLcVWXDTPeCLJDOZvwA6UqUSTW9nVUHeX6RKkJHRehXc60sN88A1larEGeFPLLhpr57qkuO+ggi5LsXd7dFaj3TknZ3eW02shg7fapK26e1+Z6cQcDtq/P7s7BQaJMcM0svOTiFEw4IIwAN2dmZuZ+e1y+yfLD6m9K6QG7g3Btex9P5OIUJwHwwuT0P7O4UYwQ0w20pPITrOZhfEftV4RK3gChFG2d+Z53lgbVaKHMyXfe/vlMIFEyZ3f+fVVZd54KpLMWowa7J09vUhmUmejUe5V6Ecy7GDCY6/vzPPx2lJyeQTOWDDBAw/J86IBxtgLcBTOWAwh4mLkWXgoNb/pajBvNbn/k4pVDC9cfZ3Xl16SQeMMzliTsqTPBIuWLhNv95HuRbj1tnfWRTjPK3I6y/FYMHUx97e6a6/9AeJuQxsI9GgO4YcH7IUDqwFiMthcntnyeOJEozfVFIkwliCQwtqhaaS4vWXmsY1uHHxytdf09J9Jms+dqfp/0gFjSZr6j9KciNoNCm6gLHSihfogUaTIpWojSZFHhEbTYosuKvcgC8mReofkDhSZRKtzxS8vlOVISPLsQrgrkbT+q7HPHB9pypxRvgT13bB6ztV2XHfQYRdV6ep26W1Huk93mYwIXe0VlxjYATjy3BFIowAhcrw2NsMFK1jcOvgOtpH41CVBiMY41o0sM1AkYqKFqW3GSgyiahGFVlwMyHgjTQtRxNq7EmRSjw5GmhlafJjxPpexej6ysc8cIenKnFG/JOL0UCbQZMb9wVEuHVJ0W6H1nqk9/hwlQm143V1OiPDGBjB6FJUkwgjPKFStN/DVTTJG5z8tkpTkwYj0vahNDWpqChN+nAVTSrxpKYmC26mA9yRT0aF1x9HqkyiKc3A2Sqq/BihvE+ladbXPprAPZ6qxBnxT6w0A2erqHLjvn8Itw6lCTi01iO9x0dLT6gNrauj7BnGwAjGV5qKRBjhCVWaOzpaWtNKBrfS1pJUkQYjJPciSRWpKElS6mhpTSoRJakiC25KBNzhJhMrH5MjVSbRJGngZGlVfoyY36skXV/9aAJ3eaoSZ8Q/sSQNnCytyo37/iHcuiRpt0NrPdKRd3yWPnpWZKZBelmb3s53fEoBt4PG782OT6lBcswgfez4lEI0LIgAvM4dn9UNq88XnzYzDW9YLzZLyV90rf0rPpaHYpbgvhmGoqX2fkoRgntkcKEa2PspxdhWoTp7P6XoOBthEPulFTXlKUW4+72fYuRg5ux576cYLpg6mXs/zdXdniZwt6cYNZg/WYK7bW8zMVk6Ia7rO5ZjB1Mdf+9nWpVVkpN7P8WADRMw/Jw4Ix5sgLUAT+WAwRwmrkqCez/FqMG81uPeTzFUML0x9n6aq7s96YBxJkfMSXmSR6IJFsWo8AaLWoxbZ+9nnpfZJCH3forBgqmPu/fTuKs9/UFiLgO7v/0XotK0pXHG44kSjN9/USTCWItDS+td9V8UrWRwK+HFrI/GoSoNxvojo1ql+y+KVGL3XxSpROy/KLLgrv8C7khskeyN7UeqTPai/6LJjxHzWeVgV/9lfRGkCdzsqUqcEf/ElU6o/6LJjfv+Idy6+i/dDq31SO/x8HlJ7YM0OdcYGMH4klSRCCM8oZK05+FzRfIGJ7+10lSkwYi0vShNRSpKSpMcPlekElFpKrLgZjrAHVk6yrz+OFJlEk1phobPNfkxQnmvSnN9D6QJXOypSpwR/8RKMzR8rsmN+/4h3LqUZrdDaz3Se3ziRkluczRcY2AE4ytNRSKM8IQqzcgnbmhax+DW2VqKKtJghOJepKgiFRUpSp64ockkohJVZMHNhIg3jCFmPY9UqUSTooETN1T5MWJ9r1J0fQ+kCVzsqUqcEf/EUjRw4oYqN+4LiHDrkqLdDq31SO/xGcwluQ+y4BoDIxhfiioSYYQnVIr+bp3BrGlcgxsXV7JWlv9y8c9Wq/9m8Xf2498s/nHQaPZ/sgL+76xu/4ehNcPjxQfO/pc/vPwx6xbQJ838xGP3u/VSfdskiUnHZzbiNGasbpjB4l37k39r/3vPcyzzyGfkQ1UjM/IMrrPpU5Y1qajobG90vK3KI6LKVmTBTfKAL0wyoe5e0mQST2SHTllWZcjIY73K7PXljyZwnacqcUb4k8vs0CnLquy47yDCrktod7u01iNt//enTzN3AvpPQoq65+2e3n3nVkuH720xbb6xtntW5HZPIeB2HNlyu+c/NVsA3XrrR+4jtx9ztUTrhNblm24q9ZoY7tju+Xi1Q9RH/JaYeI4R72VbpxCiYUEUwjsUwwP3suAi1C3LL94fDfylywtioOD2FVxihrZlCjGC+1a2lY9CdJw9KoD9vLY7EqOLsiWT2uD4ohw2mNr4+zHzSUZvx5SiBVMbdzvm1VWcJnAVpxg1mN9YGhl9NI7lsMHsxN+JSWE9kWM1TKzw0+Hsd7AB1gI8lQMGE5e4fCjzfFQaH+hTOWgwifH2YNKB4iU5UjCVcbZgXl2/SQeJMzliTnqTPBDUS1eLIevsvqRwzuQ4wRzH3njpLt30B4a5DKxDe/diUtydPBgP75dpMszTJBuej++a4f38fnV3XJZJ+WDFhyxPAwW7uEQlN16WPJ4oQV8hG+DFKWZ9RJ5TJcJYKEOL3LfbI0eumG3Gka52VfY8fqRoIIMbaOtKU5EGY12QUZHS40eKVFTaIuORN1reVmUSsTGiyIK7KIt4w8fiSJVFvKZIMaq8TZ8XdfkxIj2r3OtqiaxvKTSBiydViTNCn7imIZ16qsuN++4h3LoaIt0OrfVIN0I0H6f3zx/cvRgmhUmHuRnfH969yO8Pi6Qc5xcPsvtZtRMh6h0otEK04hoDIxhfiCoSYYQnlhBdN1a4M0ZWcT50XRo3N7PSrVezLYsnw6euIm++WN8uknE2Hp8t/5hg00aKBjW4QbcWroo0GNEbF66BeR5FKirCNRmVuY/KbVUqEZWrIgtu9gTcQSlXRRbRlKsFMaqMj+CLugQZuaFX6bq+1dAErqlUJc4IfmLpSnv1VJcc9+1DyHVp126P1nqk9/iokIrawFmMucbACEbXrppEGPEJ1a79HhWiSd7g5LfVmZo0GKEW15n0AqkmFRWdOR6NCZ2pSSWeztRkwc10iDt8LI5UWcTTmfQxIar8GGG8T5lZrK80LAJ3VKoSZ8Q+ucykjwlR5cZ99xBuHSoTcGitR7pRmcWDclw8uD8ePkjHD4b5vaIalveranjv4iIfF9mD83G+yhJxVab3CbAqM+EaAyMYX2UqEmGEJ1Rl9nFG8p3TYeA4ZE2DGNwgWytPRRqM6NuL8lSkoqU8qfOQNblElJ6KLLjpD/GHj8WRKoto0jNwFrIqP0Zs71V6rq8uLAJ3UaoSZwQ/sfQMnIWsyo377iHcuqRnt0NrPdJx76LMvD61YjIN0iva9Ha+OVEKuB00fuc2J0qJ5xjxPjYnSiEaFkQhvEMxPHCPB0NvdmxOlAIF93XgajKwOVGKsa0UdTYnStFxdm8A9qPUnxDdjjcnimGDqa3fzYlitGBqY25OLK7uiiwCd0WKUYP5jSWI0UfjWA4bzE59bk4UYzVMrPDT4ex3sAHWAjyVAwYTl7xWCGxOFIMGk1h/mxPFSMFUxticWFzdD0kHiTM5Yk56kzwQ9OZEKeTYmxPFOMEcx92cWLhbIf2BYS4Du7cdj2xMbU5c3TcK80QJxu94KBJhrIqhRW6EjoeiQQxukK0rS0UajEU/RgVKdzwUqUTveChyidjxUGTBXXVF/OFjcaTKYi86Hpr8GLGdVeB1dTzWlwUWgdsfVYkzgp+8igl0PDS5cd89hFtXx6PbobUe6f0d6bbS0yuxrfTMucbACMaXnopEGOEJlZ49j3Qrkjc4+a1lpiINRqTtRWYqUtGSmbmPym1VKhFVpiILbqZD3OFjcaTKIprKDI10a/JjhPFeVeb6osAicPOjKnFG7BOrzNBItyY37ruHcOtSmd0OrfVI7++hF1ZlZj5jWJVpuMbACMZXmYpEGOEJVZn7f+iFpkENbtCtlasiDUb0xpUrfeiFJhUV5UofeqFJJaJyVWTBzZ6AOyjlqsginnINHHqhSpCRG3qVruuLBYvATZGqxBnBTy5dA4deqJLjvn0IuS7t2u3RWo/0/p4cbLWrN4lY7VpwjYERjK9dFYkw4hNLu0Y9OVjTQAY30NZaVJEGIxzjWjSwiqpIRUWLkicHazKJKEUVWXCTIeINH4sjVRbRpGjg5GBVfoxI36sSXd+8VwQuU1Qlzgh9YiUaODlYlRv33UO4dQnRbofWeqQjb06k5j4nQXqTNr3db04UAm4Hjd+9zYlC4jlGvJfNiUKIhgURgOc2G98YZIPLv3HLyIvfLh6PBlZ+P158/qzV48ngGXcLfHMD+Q8Gw8Hib63Cf33xweWPLl937nq4ctIH9qPve8PCoZhqO4Trb3QUAgX3iOC6NLTRUYgR3B2yreIUouPsBAHsRylJIbpdb3SUwgbTZM8bHaVowTTJ3eh4dQtjEbiFUYwazJUscY0+Gsdy2GCm63WjoxSrYWKFnw5nv4MNsBbgqRwwmLjEdUeZp/QKuBQ0mMR63OgoRQqmMs5Gx6tbGOkgcSZHzElvkgcisNFRCDn6RkcpTjDHsTc6ulsY/YFhLgO7v72UhNzoWPJ4ogTj91IUiTBW2NCCeQe9FEUDGdxAeNXqo3GoSoOxoMioSOleiiKVyL0URSYReymKLLjruYg3fCyOVFnsRS9Fkx8j0rPKva5eyvrSviJwC6MqcUboE9c0oV6KJjfuu4dw6+qldDu01iO9xwPpCbntseIaAyMYX4gqEmGEJ5YQ3e+BdEWDGtygWwtXRRqM6I0L18BAuiIVFeEaGEhXpBJRuSqy4GZPwB2UclVkEU25BgfSNQkyckOv0nV9Z18RuIVRlTgj+Imla3AgXZMc9+1DyHVp126P1nqk9/i0uITaTDkZc42BEYyuXTWJMOITql31T4vTNIjBDbKt9tSkwQi/uPakF001qahoz8BpcZpc4olPTRbc9If4w8fiSJVFNPEZOC1OlR8jtvepPSfrm/wmgasZVYkzgp9YewZOi1Plxn33EG4d0hNwaK1HOvIIOrEQOkmC9Mo2vZ2PoEsBg2N1qBiMP4IuJZ5jxPsYQZdCNCyIALzwCPriraH34ToUEwDn8xiKtGOwXAoUnMnD9WZgsFyKEZzG21ZHCtFxJu8Q+42zkcl9EI/EEKNMl5dZOqpKH/AX5cDBHNjvfLkYLZgDmfPlk2QzXz4h7+27I0cNJkKWcr72cBRpXowmxgf9WA4dTGX8GfO8rCb5KPdqpBM5XsPECz8lzoYHG2AtwFM5YDCPyYsLMmicykGDOY03Zz4ZVyNDzJmLkYKZjTFnvgkWLwWCxZkcMSfbiR6IQKCoxbB1Zs0nWV4ko8K7Kj+TYwVzHnfe3D4ZG1AtsHMZ2P1tlaTUvPkk5fFECcZvlSgSYSynodVxhFaJokEMbhC8JPXROFSlwVgtZBSmdKtEkUr0Vokil4itEkUW3OVawB/JyBhvcj1SZbIX7RJNfoz4zir6utol6Xp1nbzp8ViXOCMAyiuaQLtEkxv3/UO4dbVLuh1a65He48t1UmrKfJJxjYERjC8/FYkwwhMqP/u9XEeTvMHJby01FWkwIm0vUlORipbUzH1UbqtSiag0FVlwMx3gjnyU+Nd6j1SZRFOagQt2VPkxQnmvSnN9698kcI2jKnFG/BMrzcAFO6rcuO8fwq1LaXY7tNYjvcf7GVNyJjznGgMjGF9pKhJhhCdUae7/fkZNgxrcoLh67bDpk7YRf7b+o5vweWjt7P7w8PLHg8Xbbj7LnWlyw+n81y/fGA1uz8bjavHLGwMr+BtDUxa33+F+7If2X7SfGVgz/5G19zP//ssDZ2r7Vbe0/cnlXzukFkUyXn7a/vpwuertfsjI55JDVZcwMhGuxOm9mZpUVJQ4vTdTk0pEJa7IgqsEEHdU45FJvB45UuUST4sHdmiqEmRku17F+PpyxEngtktV4owQKBfjgR2aquS47yBCrkuNd3u01iMdeUye0tcmSK9q09v9mLwQcDtq/O6NyQuJ5xjxXsbkhRANCyIAr3NM3puYD8UEwPFCXJh2jskLgYIjhRzZSY/JCzGCw4Tb6kkhOs7gIGC/bFKNSm9sPhJDjDMmn+ejlDhbTgwczIE9j8lL0YI5kDsmb67G5MmrDO/IUYOJkCWdrz3V6biYmFHqnYg+lmMHcxl/Tj6ZVIWpRqbyAT6RAzZMwPBz4ox4sAHWAjyVAwYzmbi+aMKGF/SpHDSY1XoclJciBXMbZ1DeXA3Kk+HiTI6Yk+8kD0QTKpJR7g0VtRi3zqR8WtiKrxpl3jAxk4MF8x57VN4cbEC1wM5lYB1a7PRMx4esbQPFvbi+JUflCx5PlGD8DpIiEcaaGlohxz+aXdNABjcQXqb6aByq0mAsITKKVXqeSZGKSheFPJpdk0nEJooiC+4CLuCNtDAj+0/4uBypconWREmKUeId2HpRlx8j3rMKwa4eyvpu1EngsltV4owAKK5xnFO9D+2pLjfuG4hw62qhdDu01iO9xwNNGTk6P+EaAyMYX44qEmGEJ5Yc3e+BJkWDGtyguHxlDjR95eK186+dD47PXzv/y798ZbD4ZSP6Hy7eXTy5mmN6/vkiK7N0fOYMVzw3++JA09rIV8YnRpoq04wzUXNKipZmJBhcYQfmlBSpqCjswJySIpWIEluRBTfBA+4oqtJKbG/Rc6TKJZrEDs4paRJkJLFeNfZkLcnI+zmPdYkzQqBYYwfnlDTJcd9BhFyXyO72aK1Heo/3p2bkroGSawyMYHyRrUiEEZ9Qkd3z/lRF8gYnjwtiH41DVRqMUIurzcB6riIVFbUZ2J+qSCWi2lRkwc10gDsSM0oqatpJkUo8sRnYoKrJjxHLe9Wa6/sZJ4ELN1WJMwKgXGsGNqhqcuO+gAi3LqnZ7dBaj/Qen8SXjbxPgJWaFdcYGMH4UlORCCM8oVIzwkl8igYxuEG2lp+KNBjRtxf5qUhFS36SJ/EpcomoPxVZcNMf4A8zKipqrVORSTT5GTqJT5MfI773Kj/XVyxOApdmqhJnBECx/AydxKfJjfv+Idy65Ge3Q2s90pF3ZBKCsgzey2TGbXo735EpBdwOGr9zOzKlxHOMeB87MqUQDQsiAC+8IzMZPLN4x37hkdPrg+Fg8beLJ9YvH1z+6PJ1566HKyd9YD/6vjcsHIqpgjteGPq1Y++mFGhboWru3ZRibCtPnb2bUnScvSyA/VbrINekpBTezvdtioGDmbLffZtitGCmZO7bLMebfZslee3iHTlqMF2y9PW1aRBTmpTctimGDiY8/rbNrCirnHhATuR4DRMv/JQ4Gx5sgLUAT+WAwRwmL0ECuzbFoMF81t+uTTFSMKsxdm1ugsVLgWBxJkfMyXSSB8IFioQwdC2GrbNp05gsT4ggMZNjBXMed8+mfTI2oFpg5zKw+9tUyak9m6s9PzBPlGD0poomEcaiG1pD6zdVNA1icIPghauPxqEqDcaaIqMoJZsqmlRiN1U0ucRrqmiy4C7qAv6woZzoqWgS2Yeeiio/Rnhn1XwdPZUyWS3Bl+S1m8e6xBnxT17Q0D0VVW7c1w/h1tFTARxa65He4+nxnNqiWaZcY2AE46tPRSKM8ISqz36nxzXJG5z81kpTkQYj0vaiNBWpaCnN3EfltiqViEJTkQU30wHuyIizMo5UiUQTmoHZcVV+jEjeq9Bc37pYBq7RVCXOCH9ioRmYHVflxn39EG5dQrPbobUe6T0+CySntimuDv5lGAMjGF9oKhJhhCdUaO7/WSCaBjW4QXHx+sXDPZ46tWPxrjXUb+1/7y2P6vjiRUKtoztSa5b06jCQ0xcOx/61pUNVCzESA66L6TM8NKmo6GL6DA9NKhF1sSILbmJG3JFnI0MpY0Uq8ZRx4AgPVYKM3NOrNF5fE1kG7v1UJc6IgHJpHDjCQ5Uc9xVEyHVp426P1nqk9/jY5pzaV7nKMAxjYATja2NFIoz4xNLGUY9t1jSQwQ2Ea10fjUNVGoxwjAvSwEKtIhUVQUoe26zJJKIeVWTBTYaAN0w+8g6YH6kSiaZGA2c2q/JjBPtexej6lsQycO+lKnFG9BOL0cCZzarcuK8fwq1Li3Y7tNYjbf/3p40GW72uTmP+SUh09rzr0vj4WrlpgnzTNt9Iuy7TMbnrUgi4HUV0dl0+WXzs1kCbdv6Pl5/4xK2dNrspB27R9cOnmv3NrsvHbtZ087es4PzULbX+dPH2Snayd25+YKGMb6SLT1P3A6jlt1tiS+aYJXvZximEaFgQhfAOxfDAbSsMSfupNzG/IEYI7lHBlWpoz6UQI7g7ZVsNKkTH2YkC2M9ruyMxuihbLsfE5pMX5bDBJMnfcJkUxtA7LqVwwSzJ3XF5dVNmGbgpU4waTJUssY0+G8dy2GBe4u+2pLCeyLEaJlb46XD2O9gAawGeygGDKUteh4zzYmQyH+pTOWowjfG2WgZCxUtyqGA24+y1vLohkw4TZ3LEnAwneSSo164WQ9bZZ0nhnMlxgmmOvcfS3YvpDw1zGdgGbXV+txqPs6G5m2fDvDqfDMu7525aqSjScmzy+5OLJR+y1g1U/+J6l9xjWfB4ogR9VXGAF6cy9hF5TpUIY80NrZjfWnZTrorVTadFqb2iaB6Dm2frGlORBmOBkVGL0u0VRSoq7RWquaLII2JzRZEFd3UX8AVVACuyiNlZqbydoxd1+TGiPKvY6+qsrC9PLAO3YaoSZwQ+eUVDOfVUlxv33UO4dXVWuh1a65H+r8v66d7k/H75YJjcPS/s91bVsMwKM7yfpsnE/qDk/MHqaY8rQr3rslaETrjGwAjGF6GKRBjhCReh16fdHy47NesOysOB/S7XtnGz8k6APvFMuw+Gg+vz7lWS2sf1ZPnHbDz+I/dfGRh2V7SdwW23tUJVpMEI1AyFSnZLFJmoCNRkNKY0qiKViBpVkQU3TwLuoDSqIotoGrXMDXEU3ou6BBlZoFeRur58sAxcJ6lKnBH7xCKV9uqpLjnu24eQ61Kp3R6t9Ug3KvVeWmX203eH96vs3jDP03xYpuPx8CK5W1V3J0kxudiJSs18xrAqteQaAyMYX6UqEmHEJ1SlggeCjPOVCLVff7f5qptEenonps8at1StYXBrbK07FWkwYi9Dd9Iro4pUVITnmMgat1WpRBSeiiy4qQ9xh4/FkSqLaMIzt8+at8h5UZcfI673qjvXNxGWgaslVYkzYp9Yd5JOPdXlxn33EG5dsrPbobUe6T0+BdmQWyArrjEwgvFlpyIRRnhCZWeEU5AVDWJwg2ytPBVpMKJvL8pTkYqS8iQPQVakElF5KrLgZj/EHT4WR6osoinP0AnImvwYob1X5bm+hLAM3CqpSpwR+8TKM3QCsiY37ruHcOtSnt0OrfVIR75V0jtqcTOpwjeHZG16O9/fKAXcDhp/2N8otWSOWbKP/Y1SiIYFEYAXvKbyrcU/Dr2v16GYQDvS6+2AlCJsi1fNHZBSjOCekS0VqRQdZ38IYL9sMh5VPoRHYoRRdkEm43w8KojxTjFyMJv2vBFSDBdMp8yNkNXV1ZNV4OpJMWowp7JE+LXHujRVOR5NvI/2sRw7mMX4uyGLJCsz6rLBEzlgwwQMPyfOiAcbYC3AUzlgMIeJK5UmcJjSh/pUjhrMa7wtkWlepuT1k2KoYHpjbImsrq6fpAPGmRwxJ+VJHgkXLExCHMNUi3Hr7Ius0vHEVESjeCYHC6Y+7ubIyl1A6Q8ScxnY/W29FNTmyCrh8UQJRm+9aBJhrM+h5bZ+60XTIAY3CF6S+mgcqtJgLD8yClOy9aJJJXLrRZNKvNaLJgvu8i/gDlunFf5j3Y5UqexD/0WVHyO+s0q/jv5Ltb6wsArcQKlKnBEAxVVNoP+iyo37AiLcOvovgENrPdJ7PHBeUNsiq5RrDIxgfPmpSIQRnlD5qTxwrmkNg1tja+2pSIMRenvRnopUlLQnNXCuSSWi9lRkwU19gDuqdDTxO+RIlUo07RmYOlflxwjuvWrP9R2GVeBSSlXijAAo1p6BqXNVbtwXEOHWpT27HVrrkd7jIzkKarNjlXGNgRGMrz0ViTDCE6o99+pIDk3bGdx2uFJ9ynxfmJwafPFiyrUBV+a7umpyY6Knrq58yoxXBvbcWrmyp7va8lP7Jbd2/cnlX7sbRq3HyuVnv3jt5chn9UNVqzPyCkNYk9NGikxUdDV9gogmlYi6WpEFN60D7siqYlQW3gx1pMolmrBuTpygpqE0CTJSV6/Ken0DYhW401KVOCMCipV16BwRVXLcdxAh1yWtuz1a65He4yOXC2pDZ5VzjYERjC+tFYkw4hMureMeuaxpHoObB1fPPhqHqjQYwZghR+l1XkUqKnqUEqOKPCKKUUUW3EQI+CI1FbFacqRKJZoWDdxoqcqPEep7laLrCxCrwI2WqsQZ0U8sRQM3Wqpy476ACLcuJdrt0FqPtLvR8sZSgMW8yNKbIazGNEGaeZtmvI2e3gjznBhwO3j8/m70fHL5BrbRU2jJHLNkLxs9hRANC6IQ3qEYHrgFhqFkyYVVIUJwuwsuUEPbOIUYwX0u24pPITrOnhbAfl7bHYnRRdnCSV9kKYYNJkn+/s10Ugb2b0rhglmSu3/z6iLLKnCRpRg1mCpZGht9No7lsMG8xN+6SV9kKcZqmFjhp8PZ72ADrAV4KgcMpixx+ZGOi3zk30Z2KkcNpjHmrk06VLwkhwpmM86uzauLLOkwcSZHzMlwkkeCvshSCllnwyZ9kaUYJ5jm2Hs13UWW/tAwl4F1aO9W9815npXD9DyphnlRPhjeNa7uLfLy/v3k/v3UrB5ustYNFP3iepfcq1nweKIEfVVxgBenMvYReU6VCGOpDa2Y3243U1xV2zRaVlNJCo0VRQsZ3EJbl5mKNBhLi4xylG6sKFJRaawk/nWo26pMIrZWFFlwV3YBb1BVsCKLmF0V6jZLVX6MUM+q+Lq6KuvLD6vAbZaqxBmhT1zWBG6zVOXGffcQbl1dlW6H1nqkGyWapemD+2WeD4tiYob5xFTD8/uTZGjG9nvPHxTjSZa/vAMl6k0hVolOuMbACMZXoopEGOEJVaK+0fnHTmA+PQh+2JAZ/PF0fja4Nb0zPVup1D++Naiy5YfFePxH7r9kHJiMVzSNwU2ztQRVpMGIwwwJSnZEFJlEVqCKTCIqUEUW3CwIeINSoIosoinQdJwm5GWVqgwZQb5XDbq+2rAKXFapSpwR+7bQoGU+yqildU123PcPYdelQrtdWuuR3uPDQybkBs6SawyMYHwVqkiEEaBQFap9eIiiNQxuja2FpyINRvBlCE967VORioryDBweokglovRUZMFNfYg7fCyOVFlEk56hc0M0+THieq/Cc325YRW4rVKVOCP2iYVn6NwQTW7cdw/h1iU7ux1a65He4yOTJ+TmxoprDIxgfNmpSIQRnlDZGeHIZEWDGNwgWytPRRqM6NuL8lSkoqQ8ySOTFalEVJ6KLLjZD3GHj8WRKotoyjN0WrImP0Zo71V5ri83rAK3VaoSZ8Q+sfIMnZasyY377iHcupRnt0NrPdKRb6ssffRupuPwNSOmTW/XmxjFgNtB41/8JkaxJXPMkj1sYhRDNCyIQniHYnjtOK62iVGMsC1NFTcxijG2NafKJkYxOs4WD8B+fh0pRrfbTYxy2GCS7HcToxwumCV5mxgtnPUmRvshuYlRjhpMlSxtjT4bx3LYYF7qcROjHKthYoWfDme/gw2wFuCpHDCYssRlRzo2+WjiLzzkqME01t8mRjlUMJvhmxivwsRLgTBxJkfMyXCSR4LcxCiGHHkToxwnmOaYmxjdE7EB1QI7l4Hd3+5JSWxiTMfh64+u8UQJxu6eqBJhLLGhFbN690TVIAY3yNZVpSINxgoio/qkuieqVOJ2T1SpROueqLLgruAi7vCxOFJlsQfdE11+jNDOqvDC3RPLabnYvvrAR/xYlzgj9onLGLp7osuN++4h3MLdE8ShtR7pPR4XL4lNi+k45RoDIxhfeSoSYYQnVHnqjourWsPg1thadirSYITeXmSnIhUl2UmMi6tSiSg7FVlwUx/iDh+LI1UW0WQnPS6uy48R13uVnelapdDXTOoSZ8Q+seykx8V1uXHfPYRbl+zsdmitR3qPz8ooiV2K6TjjGgMjGF92KhJhhCdUdkY8K0PVNAY3zdYaVJEGIw4zNCg5eKPIREWCUmdlqDKJqEAVWXCzIOANSoEqsoimQENnZegyZAT5XjVotpYs9IWMusQZsU+sQa1EMvTipyY77vuHsOtSod0urfVI7/HZwSWxaTEd51xjYATjq1BFIowAharQ+GcHq1rI4BbaWowq0mAEZIYYpRdEFalEVqOKTCKqUUUW3GwIeINSo4osoqlR+uxgXX6MUN+rFs3XwoW+kVGXOCP0baFFqbODdblx3z2EW5cS7XZorUc68ibGykfPaksTpFe06e1+E6MQcDto/GETo9SSOWbJXjYxCiEaFkQhvEMxPHBHCEO+kmupQoTg7g+OKqU3MQoxgts+ttWbQnScLR6A/SgdKUS3602MUthgkux7E6MULpgluZsYzdUmRvomRjlqMFWytDX6bBzLYYN5qddNjFKshokVfjqc/Q42wFqAp3LAYMqSlx1VNR5Nch/qUzlqMI31uYlRChXMZpxNjOZqEyN9E6McMSfDSR6JwCZGIeTomxilOME0x97EaA42oFpg5zKw+9tNqchNjAWPJ0owfjdFkQhjiQ2tmHfRTVG0kMEttHWZqUiDsaTIKEfpbooilcjdFEUmEbspiiy4K7qAN6gqWJHFXnRTNPkxQj2r4uvqphTrxXf6JkZd4ozQJy9rAt0UTW7cdw/h1tVN6XZorUd6j6fLK3JT44RrDIxgfCWqSIQRnlAlGnW6XNE0BjfN1hJUkQYjDjMkKNkRUWQSWYEqMomoQBVZcLMg4A1KgSqyiKZAw9PlmgwZQb5XDTpZSxb6JkZd4ozYt4UGTdORoabLNdlx3z+EXZcK7XZprUd6j4/WqMg9jiXXGBjB+CpUkQgjQKEqVPtoDUVrGNwaWwtPRRqM4MsQnvTapyIVFeUZOFpDkUpE6anIgpv6EHf4WBypsogmPUNHa2jyY8T1XoVnuVYp9E2MusQZsU8sPENHa2hy4757CLcu2dnt0FqP9B6fJVyRmxorrjEwgvFlpyIRRnhCZWeEs4QVDWJwg2ytPBVpMKJvL8pTkYqS8iTPElakElF5KrLgZj/EHT4WR6osoinP0FnCmvwYob1X5VmthQp9E6MucUbsEyvP0FnCmty47x7CrUt5dju01iMddxNj7vXpzTQZB+lN2vR2volRCrgdNP6wiVFqyRyzZB+bGKUQDQuiEN6hGF47juttYpQibEtTzU2MUoxtzamziVGKjrPFA7AfoSOl6Ha8iVEMG0ySPW9iFMMFsyRzE2NydRNjEriJUYwaTJUsbY0+G8dy2GBe6nMToxirYWKFnw5nv4MNsBbgqRwwmLLEZUc6nphRTsz7ilGDaazHTYxiqGA2Y2xiTK5uYqTDxJkcMSfDSR4JehOjFHLsTYxinGCa425iTNxNjP7QMJeB3dvuST6mNjEm4cuBrvFECUbvnmgSYSyxoRWzfvdE0yAGN8jWVaUiDcYKIqP6JLsnmlQid080qcTrnmiy4K7gIu7wsThSZbEP3RNVfozQzqrwOronyfriviRwE6MqcUbsE5cxge6JKjfuu4dw6+ieAA6t9Ujv77h4TrQurPJMucbACMZXnopEGOEJVZ7K4+Ka1jC4NbaWnYo0GKG3F9mpSEVJdlLj4ppUIspORRbc1Ie4w8fiSJVFNNkZGBdX5ceI673KzvXFfUngJkZV4ozYJ5adgXFxVW7cdw/h1iU7ux1a65He37My7COQ+YxhZWfGNQZGML7sVCTCCE+o7Ix5VoamaQxumq01qCINRhxmaFBy8EaRiYoEJc/K0GQSUYEqsuBmQcAblAJVZBFNgQbPylBlyAjyvWrQ9bV9SeAmRlXijNgn1qBJUWUjf3P5VJcd9/1D2HWp0G6X1nqk9/fsYKtCc58xrArNucbACMZXoYpEGAEKVaE7ODtY00IGt9DWYlSRBiMgM8QovSCqSCWyGlVkElGNKrLgZkPAG5QaVWQRTY0Gzg5W5ccI9b1q0fXFfUngJkZV4ozQt4UWJc8OVuXGffcQbl1KtNuhtR7pyJsYqZFOE6RXtuntfhOjEHA7aPxhE6PUkjlmyV42MQohGhZEIbxDMTxwRwhDvpJrqUKE4O4PjiqlNzEKMYLbPrbVm0J0nC0egP0oHSlEt+tNjFLYYJLsexOjFC6YJbmbGK9uYkwCNzGKUYOpkqWt0WfjWA4bzEu9bmKUYjVMrPDT4ex3sAHWAjyVAwZTlrjsSG16GJXeLHYqRw2msT43MUqhgtmMs4nx6iZGOkycyRFzMpzkkQhsYhRCjr6JUYoTTHPsTYzuJkZ/aJjLwO5vNyUhNzEWPJ4owfjdFEUijCU2tGLeRTdF0UIGt9DWZaYiDcaSIqMcpbspilQid1MUmUTspiiy4K7oAt6gqmBFFnvRTdHkxwj1rIqvq5uyvrgvCdzEqEqcEfrEZU2om6LJjfvuIdy6uindDq31SO/xdDmRQqwSnXCNgRGMr0QViTDCE6pEo06XK5rG4KbZWoIq0mDEYYYEJTsiikwiK1BFJhEVqCILbhYEvEEpUEUW0RRoeLpckyEjyPeqQdfX9iWBmxhViTNi3xYaNBuPKmq6XJMd9/1D2HWp0G6X1nqk9/hojYTc41hyjYERjK9CFYkwAhSqQrWP1lC0hsGtsbXwVKTBCL4M4UmvfSpSUVGegaM1FKlElJ6KLLipD3GHj8WRKoto0jN0tIYmP0Zc71V4ri/uSwI3MaoSZ8Q+sfAMHa2hyY377iHcumRnt0NrPdJ7fJZwQm5qrLjGwAjGl52KRBjhCZWdEc4SVjSIwQ2ytfJUpMGIvr0oT0UqSsqTPEtYkUpE5anIgpv9EHf4WBypsoimPENnCWvyY4T2XpXn+uK+JHAToypxRuwTK8/QWcKa3LjvHsKtS3l2O7TWIx15EyPRSE/HQXpVm97ONzFKAbeDxh82MUotmWOW7GMToxSiYUEUwjsUw2vHcb1NjFKEbWmquYlRirGtOXU2MUrRcbZ4APYjdKQU3Y43MYphg0my502MYrhglmRuYkyvbmJMAzcxilGDqZKlrdFn41gOG8xLfW5iFGM1TKzw0+Hsd7AB1gI8lQMGU5a47AhuYhSjBtNYj5sYxVDBbMbYxJhe3cRIh4kzOWJOhpM8EvQmRink2JsYxTjBNMfdxJi6mxj9oWEuA7u/3ZOU2sSYhi8HusYTJRi9e6JJhLHEhlbM+t0TTYMY3CBbV5WKNBgriIzqk+yeaFKJ3D3RpBKve6LJgruCi7jDx+JIlcU+dE9U+TFCO6vC6+iepOuL+9LATYyqxBmxT1zGBLonqty47x7CraN7Aji01iO9x+PiKbVpMU25xsAIxleeikQY4QlVnsrj4prWMLg1tpadijQYobcX2alIRUl2UuPimlQiyk5FFtzUh7jDx+JIlUU02RkYF1flx4jrvcrO9cV9aeAmRlXijNgnlp2BcXFVbtx3D+HWJTu7HVrrkd7jszJSapdimnGNgRGMLzsViTDCEyo7Y56VoWkag5tmaw2qSIMRhxkalBy8UWSiIkHJszI0mURUoIosuFkQ8AalQBVZRFOgwbMyVBkygnyvGnR9bV8auIlRlTgj9ok1aPCsDFV23PcPYdelQrtdWuuR3uOzg1Nq02Kac42BEYyvQhWJMAIUqkJ3cHawpoUMbqGtxagiDUZAZohRekFUkUpkNarIJKIaVWTBzYaANyg1qsgimhoNnB2syo8R6nvVouuL+9LATYyqxBmhbwstSp4drMqN++4h3LqUaLdDaz3SkTcxUiucJkSvGLfp7X4ToxBwO2j8YROj1JI5ZsleNjEKIRoWRACem9O5McgGl39jrfxw8dvF49HA6vnHi8+fHVjX/uPQOzF9KCYA7hlhCFxytVWIENwfwtGt9DZHIUZwY8i2ilSIjrMJBLFfkqUj44N4JIYYZa9jalPkaJVmrwtJKXIwnfa93VEKF8yn3O2OV3c2poE7G8WowaTKUuHX7V2ZtEyI4dBjOXgwj/E3Pdp/Oh8n9mWktj5KERsmYvhJcVY82ABrAZ7KAYNpTFyspOMiG5WVD/WpHDWY2nhbH/NkMiGeiJfkUMEMx9n6eHV/Ix0yzuSIOVlP9Ehk2SQzhih4ajFwnQ2Q+SRLxkk5mnjfvJkcLZj+2Nsg3V2O/jAxl4Hd335MRm6DLHg8UYLx+zGKRBiLdGjNvYt+jKKFDG4hvFD10ThUpcFYlGSUq3Q/RpFK5H6MIpOI/RhFFtw1YcQbmfHKxSNVIjFbMon3cXtRlx8j2rOKwa6WzPr2vzRwnaMqcUb0E1c5pFNPdblxXz+EW1dLptuhtR7pPR5Rz8idkROuMTCC8cWoIhFGeELFaNQRdUXTGNw0uAp9yjpf6FcN3FEmyz+49snDxfvNHx66Xpn7VtfO+rjpmT25fP3GwH7h9cs3RoPbs2Q8vjGwmt4deGJ/yrtW9P/W/veek/X2C+5nfmh/gv1H1wZ1P/DTwY3mzJRPLv/a+sb+O4OllW+4Lz5cHqfifsLIZ/ZDVbMz8gZDNZNNHkUmkUWzIpOIolmRBTdrI96gRbMikWiieTlVT00yaTJk5KVeZfP6usI0cAOlKnFG+NtCNpf5KKOm6jXZcV9BhF2XcO52aa1Heo+PFMnIvZ0l1xgYwfjCWZEII0Chwln7SBFFaxjcGrhW9tE4VKXBCL4M7Umv2CpSURGfgSNFFKlEVJ+KLLipD3BHWmajxO+RI1Uu0QRo6GARTX6M6N6r/FxfW5gG7qFUJc6IgGL5GTpYRJMb9w1EuHWJz26H1nqk9/gk5Yzc0llxjYERjC8+FYkwwhMqPiOcpKxoEIMbZGv9qUiDEX170Z+KVJT0J3mSsiKViPpTkQU3+wHuSIpqVPoH9I5UuUTTn6HzlDX5MQJ8r/pzfXlhGriNUpU4IwKK9WfoPGVNbtw3EOHWpT+7HVrrkY68kZNQlFnwDpIiadPb+UZOKeB20PjDRk6pJXPMkn1s5JRCNCyIALzOjZzep/VQTADcAcPQuVSPX4qwLWE1N3JKMba1qc5GTik6zpYWwH4ZMfxwJAa4+22cYuRgMu15G6cYLphNmds4s6tbK7PArZVi1GBKZWnwtr0nk/G4Go29cyTHcuhgDuNv4iyLskrJ2yvFeA0TL/yUOBsebIC1AE/lgMEEJi5T0rHJRkXpQ30qRw0mtR63cIqhgrmNsYUzu7q9kg4XZ3LEnHwneSSKfDzJiRtNazFsnQ2cSTbOspK8xlIMFsx73P2bmbvG0h8j5jKw+9t8yan9m1nwZqXrPFGC0ZsvmkQYa3Noqa3ffNE0iMENgpejPhqHqjQYS4+MopRsvmhSidx80aQSr/miyYK79Au4Iye04ZEqkX3ovKjyY0R3VtXX0XnJ1hcfZoGbLFWJM8KfuKQJdF5UuXFfP4RbR+cFcGitR3qPx85zar9mlnKNgRGMLz4ViTDCEyo+lcfONa1hcGtsrTwVaTBCby/KU5GKkvKkxs41qURUnoosuKkPcMdkRAlPRR7RhGdg5FyVHyOy9yo811cfZoG7LFWJM6KfWHgGRs5VuXHfPoRbl/DsdmitR3qPDwrJqf2OWcY1BkYwvvBUJMIIT6jwjHlQiKZpDG4aXIUKDgp54cL9s08fDvJCXkyePh3EnQzyyeUbHWeD2C9tcTaIpqUZqYIhlMm5IUUmKjqZPBtEk0lEmazIgpuoAW9kE2Ik9UiVSTShHDwcRJUhIxf1KpXX9zNmgSs3VYkz4p9YKlslZ+hVWk123HcQYdcllrtdWuuR3uMjnnNqf2aWc42BEYwvlhWJMAIUKpZ3cMSzpoUMbiFcM/toHKrSYARkhiClV24VqURWpIpMIipSRRbcbAh4I6RIFZlEU6SBM55V+THCfa96dH1LYxa4dlOVOCP8baFHR4l3XPFUlxv3/UO4danRbofWeqQj79Y0PnpWX5ogvbRNb/e7NYWA20HjD7s1pZbMMUv2sltTCNGwIALwOndrZj4Ch2IC4GYXhsglV12FCMGNLRztSu/WFGIEd7Rsq0qF6Di7VwD7mWLsX0Q4EiPcg+2aUuRgNu17u6YULphOuds1r27dzAK3bopRgzmVJcKv72sqs3ScjCZekx/LwYNpjL9hM7Fv4iTJ6S2bUsSGiRh+UpwVDzbAWoCncsBgFpPXKlVZjSbexHYqRw1mtj63bEqhggmOs2Xz6tZNOmScyRFzkp7okUgSM86o/d21GLjOpk1bXSY2VtC7NqVowfTH3rXpbt30h4m5DOz+tmQMuWuz4PFECcZvySgSYazRoSX3LloyihYyuIXwOtVH41CVBmNNklGt0i0ZRSqRWzKKTCK2ZBRZcJeEAW8Uk3SUU+P0ilT2oiejyY8R71nlYFdPZn1NYxa4d1OVOCP+yeucQE9Gkxv3BUS4dfVkuh1a65He43F6Q+7jnHCNgRGML0cViTDCEypHo47TK5rG4KbBdahgnH7xthPsTrw/PVI/HleLXz41U2/N3HzgbuZ8ai+sf7zeGXTr+XpF0zNyB0M7k50eRSaRpbMik4jSWZEFN3MD3ghKZ0Uq0aRzeMBekyEjO/UqntdXNWaB2zdViTMC4BbiOU2JlfdTXXbclxBh1yWfu11a65He42NQDLkbteQaAyMYXz4rEmEEKFQ+ax+DomgNg1sDV8w+GoeqNBjBl6E+6ZVbRSoq8jNwDIoilYj6U5EFN/UB7kjysb8jd6TKJJr8DB2EosmPEdt7FZ/rqxqzwN2bqsQZ8U8sPkMHoWhy475/CLcu6dnt0FqP9B4f/2zIvZ0V1xgYwfjSU5EIIzyh0jPC8c+KBjG4QbZWn4o0GNG3F/WpSEVJfZLHPytSiag+FVlwsx/gjjIfjb1Lg0eqTKKpz9D5z5r8GOG9V/W5vqgxC9y8qUqcEf/E6jN0/rMmN+77h3DrUp/dDq31SEfey+kNRDfTPHxtStamt/O9nFLA7aDxh72cUkvmmCX72MsphWhYEAF4nXs5cx+BQzGBdqTX28spRdgWsJp7OaUY28pUZy+nFB1nWwtgv5Tos0vh7X4jpxg5mEp73sgphgvmUuZGzvzq3s08cO+mGDWYUFkK/Nr8SJUkY2K33rEcOpjB+Ns4J5OqHJObOMV4DRMv/JQ4Gx5sgLUAT+WAwfQlLlJSd8ei/5ykUzlqMKX1uIlTDBXMbIxNnPnVvZt0uDiTI+ZkO8kjYcpxmY8yb6ioxbB1tnAmSVFNqDgxk4MF8x53B2fu7t30x4i5DOz+Nl4KagdnHr4H6hpPlGD0xosmEcbKHFpo6zdeNA1icIPgxaiPxqEqDcbCI6MkJRsvmlQiN140qcRrvGiy4C78Au4g7q87UuWxD20XVX6M4M4q+jraLvn6lsY8cO2mKnFG9BNXNIG2iyo37tuHcOtouwAOrfVI7/G8eUFt18xTrjEwgvG1pyIRRnhCtafyvLmmNQxuja2FpyINRujtRXgqUlESntS8uSaViMJTkQU39QHumPhYHKmyiCY7A7PmqvwYcb1X2bm+ozEPXLqpSpwR+8SyMzBrrsqN++4h3LpkZ7dDaz3Se3xKSEFtc8wzrjEwgvFlpyIRRnhCZWfMU0I0TWNw0+AatL9TQkrzhVNC7F9wB368uXjXzVSp3b2paXBGxmCoZXJySJGJilgmzwbRZBJRKyuy4OZrwBtZNiKG4zWJRJPLwZNBVBkyMlKvgnl9T2MeuHpTlTgj/IkFc1JU2SihVmo12XFfQYRdl2TudmmtR3qPz3kuqO2Zq5kkhjEwgvElsyIRRoBCJfMOznnWtJDBLYQrZx+NQ1UajIDM0KP06q0ilciCVJFJREGqyIKbDQFvBASpIpFogjRwyrMqP0a071WOri9qzAM3b6oSZ0S/LeQoecqzKjfu64dw6xKj3Q6t9UhH3q3pXZO38tIE6eVtervfrSkE3A4af9itKbVkjlmyl92aQoiGBRGA17lb01/AH4oZgPtdGCKXXHQVIgT3tnC0K71dU4gR3NSyrSoVouNsYAHsl44n1NF0UoR7sGNTihxMp33v2JTCBfMpd8fm1dWbeeDqTTFqMKmyVPi1bVhJkkyos5OP5djBNMbfsmkmxWSSEYBP5IANEzD8nDgjHmyAtQBP5YDBHCYvVaqqomecpajBvNbnnk0pVDC9cfZsXl28SQeMMzliTsqTPBJ5klsMI+M9uaAW49bZtFkWJimoecuZHCyY+tibNt21m/4gMZeB3d92DKGkbL1c8HiiBOO3YxSJMBbo0Hp7F+0YRQsZ3EJ4keqjcahKg7EgyahU6XaMIpXI7RhFJhHbMYosuOvBgDfS3CoDr0OOVKnsRUNGkx8j3rNKwa6GzPqWxjxw7aYqcUb8k1c5gYaMJjfuC4hw62rIdDu01iO9xwP1E3If54RrDIxgfDmqSIQRnlA5GnWgXtE0BjcNrkOpgfrFw8FXLl47tyY5Pn/t/C//8pXB4peNUn/oJuSvJumff77Iyiwdn33xxs3VztenLt+k79z0j9VX7rPUFL2ilRlpgiGTyYaOIpPIKlmRSUSVrMiCm6QBbwRVsiKVaCo5PEevyZCRiHrVyevrGPPADZuqxBkBcAudnI1HFdUN0GTHfQkRdl1KudultR7pPT7xZEJuPS25xsAIxlfKikQYAQpVytonnihaw+DWwMWxj8ahKg1G8GWoT3qRVpGKivwMnHiiSCWi/lRkwU19gDtMMppMvA45UqUSTX+Gjj3R5McI7r2qz/WNjHngik1V4owAKFafoWNPNLlxX0CEW5f27HZorUd6j096npB7OCuuMTCC8bWnIhFGeEK1Z4STnhUNYnCDbC0/FWkwom8v8lORipL8JE96VqQSUX4qsuBmP8AdWTIaF16HHKlSiSY/Q4c9a/JjxPde5ef6SsY8cMemKnFGABTLz9Bhz5rcuC8gwq1LfnY7tNYjHXnXZumjdzM14StSTJvezndtSgG3g8Yfdm1KLZljluxj16YUomFBBOB179oc2W9pZoufXP61/Y4Plr74xE10NH56fPldH8dDMcd2MtDb1ylF2Ba5mvs6pRjb6lVnX6cUHWeTC2A/t6/T+BAeiRHufl+nGDmYcHve1ymGC2Zc5r5Oc3UTpwncxClGDaZdlk6/vs6fJobav3csxw4mOsm+zklZUrv4TuSADRMw/Jw4Ix5sgLUAT+WAwRwmLmaC+zrFqMG81uO+TjFUML0x9nWaq7s46YBxJkfMSXmSRyJP8srt6/Rauhbj1trXWZRZQu7rFIMFUx93X6dxl3H6LTuXgd3fFk1J7es04duhrvFECUZv0WgSYSzhoRW5fotG0yAGNwhetfpoHKrSYKxQMgpTskWjSSVyi0aTSrwWjSYL7gox4A6bWxN/cj1SpbIPLRpVfoz4zir9Olo0Zn19owncx6lKnBEAxVVNoEWjyo37AiLcOlo0gENrPdJ7PJ1eUvs4VxtuGMbACMaXn4pEGOEJlZ/K0+ma1jC4NbbWnoo0GKG3F+2pSEVJe1LT6ZpUImpPRRbc1Ae4wySjkppO16QSTXsGptNV+TGCe6/ac32HowlcyqlKnBEAxdozMJ2uyo37AiLcurRnt0NrPdJ7fIZISe2MNBnXGBjB+NpTkQgjPKHaM+YZIpqmMbhpcCHaGsp52Azs/O6dKqJpd0biYChncpxIkYmKcCZPFdFkElE3K7Lgpm3AG+uJ3OuiWZFHNNEcPFJElSEjL/Uqm9f3OJrA1ZyqxBnRTyybg0eKqLLjvoEIuy7h3O3SWo/0Hp8FXVLbOk3ONQZGML5wViTCCFCocN7BWdCaFjK4hXD97KNxqEqDEZAZcpReyFWkElmPKjKJqEcVWXCzIeANWo8q8oimRwMHQavyYwT7XtXo+iJHE7iZU5U4I/htoUbJg6BVuXHfPoRblxbtdmitR9r+708bPZq/HBab37i4981Xvv6qxxAirUnNBpggz6LNk9rsSaPlKMir/Z65D+5zYrjtxyxgXFQnNp36Hy8+dQurN9wK37Jv/2jx6eUPmmVW+8UPm5b/Q7ead/nG5Q98nKz8M88eiYldi4o0s+2CYj0/fsbGueKG/aWkoqCURM4nQQ7Me5GfOOQnFPITOXLDR45Pz1vgUwd8SgGfyoHjb4Q87joCtSNQUwRqMYFruys6CPCel5lDPaNQz+So8SjP3GlhQc8d6DkFei4D3TwsL28y1J+EUlaf5xOk5GaKIsiiJE2PgRWmK4fZh/c5Md52YN/2dIJmGWPV8PpCuiKS1aDpPy3PK/AxuyVm1o72mqcFCCEaFkQhvEMxPHCTJGMphOzMCRGCGyI5Kxz0Rn8hRnAn5LZrF0J0nF2PgP28tjsSo4uyyX9MbJl/UQ4bTFn8Hf5lVtAb/KVowZzF3eBfXG3wJ+9CuiNHDWYuVj2CPhrHcthgWuquQFCsJ3KshokVfjqc/Q42wK6XG1LAYMYSr19VZkyZ+VSOGsxivG39dKR4SY4UzGWcXf3F1a5+MkqcyRFz8pvkiaAeh1oMWWdDP4VzJscJJjlmhemeiA2o68WlBGwjtSf372UmmwyLdGyG+T2TDsvkPBkWRXmRV3fPi/v3V48KWXd+7Zxu+wprT7L6nPBoovx8FWqAFqdK9RF5TpUIo1ODlq8/u16iNifdPWodsbd4tGrTL/52NWT52B2x90s3qNkcmfeGzxy3VM1hcHNsXVAq0min8ACNPgpPRSY6LXgfj9uqPCI24BVZcFuAgC+oYleRRbT2e0DpvqjLkBHWWbXdNanRasCvryMzgRvmVIkzIp9SAaPJjvv+IeyCLj1FXFrrkY55zHJKNt7LILuqzW7nbQwhXnAxCNWBGm0MIbMcY9ZLG0MI0bAgAvCSzXHHTx12/DN32LEP+KEYOLhc1IfOFCIEl4YY+jHQ4BBiBBeFttWGQnScBSDAflk+8u5CPhIDjNLjCMs5KXIwpfXc5pCiBXMat81RXrU5yMvE7shRg5mNJYWvPdRpVZhAr0OKHcxd/F5HWo3H1Sil+h1SvIaJF35MnA0PNsBagKdywGACUyoXpKjBpMbrdySpyemGhxQqmNs4DY/yquFBxoszOWJOvpM8EsFYUYtx63Q98swkGXFm3UyOFcx77M5HebAB1QI7l4Hd284HPXdX8Wii/OJ3PhSJMJbI0IpXvfOhaA6DmwOvQRc/vfyOJf6BK+wvf+zO0nh0+f3mdI3mmL2/Xfzj4ieLv1/8w+KdQbM24LZmfrA8qOPGYPH/XvydLVzfWvxkaH/7O/vB8sjnXyz+P+7AvY+Xp/A5uw7+eJDYqrE5keOR/cK3GyN/cvlDtyH0STP9/z37kx8t3mu2fQ4H7gP7I540p4Z8AdXjQbo53uOL/8blm9ZPy5NZ0sHiQ/vHdy+/u3jo89ShqqcYS5x9FN2KTKI2dxR5RGzuKLLgLi4DvggU+opE9qS/o8mQkbxYRW1Xf2d956IJXKKpSpwR/JQKNk123FcQYdfV3+l2aa1HernF8ildScrnXvdYEo2eYhyiORm3aVKNnn53WHrBPicG237Gtt9f+U4juz6jNk0W42ePxGgjb5oskhv2l/LGcZ5lRHgTM8n5THg74U4c/BMH/4SCfyKHb/jw8bK92T5p0U8d+imFfipHjz/18sC63ENpWdSORU2xqMUstDdSWugzB31GQZ/JoePxnLni0+ymtMjnDvmcQj6XIW+enZdjZiZqTacIXpMwSUjDw2hFuYmaQZDCxd9TNDv9r+a4ULcM46r/R4P1iaDLiYPP1zc/L++Z+o77xuX6wWA1rfCZj6DNaonLakKWsbNa6rKaoRKalESMhJa6hOZHfiJHbvjIWQFp6oBPKeBTOXD89dg6jaUujfkJ1GIC6hksdRnMj3omR42HfFHySl3y8oOey0A/tU7osEc6CiCwGaNIgywy0vQYWGHuGhVk/hLiBScN0OT198383KPFJ8sFc7dgvboQsVni/miweG+TpxYPL7/j/tycVd2sprs/f+5OPVytwj9s1sPd6vbqckX7Q93BiPbnLNsRH9hsmJixW/r2rwffEhumnSwUR/CkEA0LohDeoRgeOKeAr/lfft/faHpBDBEcSmAs5tOTdlKM4DTClgv1UnTtBL/lpB2xu0KKLsqYHb2kLoYNpjz+jF2a0jN2YrRgzmPO2BXpZsauIK9EuSNHDWY+Vj2DPhrHcthgXuquYFCsJ3KshokVfjqc/Q42wK6XK1LAYMoSd2rMKMt8kE/lkMEUxpuro8PES3KkYCJjjNVtQsRLgRBxJkfMSW6Sx4GeqJNC1pmoo88REOMEMxyzPHVPxAbU9cpUAraRYFX+wKQmG969f/98mCeFGVb382J478GDycWDSZrdz1fZhCxav3be5zTdaqbOR9OWrhmPJsrPV94GaHFKXB+R51SJMAYS0Np3fbz/Q1fRuiuWltc+fbI8xL8ZrXt4+eP1JN0/uaLYfe/bw8z7ct1S5W9w/lvXj4o0GOMVeJ25+NSbpF9QZaIyW+YCNzFfpskl3nyZJgvucAviDx+LI1UW0YbL0jIwXKbKkBHLWdVcx3BZsb54qAjcJaVKnBH9xCVLwK2nuuy47x/CrmO4DHBprUe60ZrnSZIXJq+GRXLPDPO8nAzvmnuT4YO7k/vj+0lpimJlmKha0yuprdbMubbA+MXXmopEGPEJ1ZrvrJomP3R3gj5yf1h8tty8MVx83nzle83mhGYXw7cv37z8TqM9nfRc/DIxlOBUNILBjbC14FSkwQi5DMFJ3halSUVJceaU4FSkElFwKrLgJjzEHT4WR6osognOYpR4N2u8qEuPEc17VZvrq4WKwF1RqsQZoU+sNimfnupS4755CLUuqdntz1qPdLxzqtKAeDRBdnmb3c5nbIR42xHj92/GRmiYHDNMLzM2QoiGBRGAt3i7Mbu71vWTG4PEvvs3Btnm6KvF45EP/6EYP9jRxLVqYAhHCBHsYOIaNDSEI8QI9i63FZdCdJw+JWC/zBCbYKX4oozhUL31F+WwwazY8xiOFC2YFrljOOZqDMcExnCkqMHkyJLS1wJCNU5HpTerH8uRg9mLP4lTjosypadxpHgNEy/8kDgbHmyAtQBP5YDB3CUuNgLTOFLIYC7jTeNkWUVP40iRghmNM41jrqZxyEhxJkfMyXKSxyEQJWoxap2BnCRNxmlGT+VIwYIJjz2VYw42oFpg5zKwe9spofdDFjyaKL/4nRJFIoy1NbRaVuqUKBrB4EbAy04fjUNVGozlQrz6DHRKFKnE7pQoUonYKVFkwV2vBdxh/+lRRtW9ilT2oV2iSY8R0lk1Xle7pFgvr5MXzB3rEmfEP3EFE2iXaFLjvn4Ita52Sbc/az3S+zsFTl4CUgSvOPHZAuMXX28qEmEEJ1Rv9j8Frsjf4Py3lpqKNBihliE1ySlwRSZKSpOeAlfkElFqKrLg5jrIH3SHRZFJNKUZngTXZMiI572KzfWdY0XgGjlV4owIKBab4UlwTXbcdxBh16U3u11a65FeHjN6I/Ypo6SWDF5DMDFtntSgTt9nuXnhPieG237M+jjLbXmHXN9nuZXuLDchy9hnuVU3jtOJO6Z0krlfjPtl4n5xXyjdF0r3hdJ9oXRfKN0XKveFyn2hcl+o3Bcq+4VsnLhfMveLcb9M3C/uC0nqfnGfS0r7S+q+L83dL+5bsrH7xf21rHC/uL+Ru7+Ru7+Ru79h3N8w7m8Y9zcK9zcK9zfc+aqZQ59N3EcObla6jxy+rHKnrzpA+dh9lLiPHII8dR+lJZUOpO7L+e7jnUp24nx24nx24nx24nx24nx24nx24nx24nx24nx24nx24nx24nx24nx24nx24nx24nx24nx2</t>
  </si>
  <si>
    <t>4nx24nx24nx24nx24nx24nx24nx24nx24nx24nx24nx24nx24nx24nx24nx24nx24nx24nx24nx24nx24nx24nx24nx24nx24nx24nx24nx24nx24nx24nx24nx24nx24nx24nx2QvnsRO4zw/cZ3l5bnt9X3Zg6l02dy6bOZVPnsqlz2dS5bOpcNnUumzqXTZ3Lps5lU+eyqXPZ1Lls6lw2dS6bOpdNncumzmVT57Kpc9nUuWzqXDZ1Lps6l02dy6bOZVPnsqlz2dS5bOpcNnUumzqXTZ3Lps5lU+eyqXPZ1Lls6lw2dS6bOpdNncumzmVT57Kpc9nUuWzqXDZ1Lps6l02dy6aUy6Zyl+HJQC45VicXVjdq57raua52rqud62rnutq5rnauq53raue62rmudq6rnetq57raua52rqud62rnutq5rnauq53raue62rmudq6rnetq57raua52rqud62rnutq5rnauq53raue62rmudq6rnetq57raua52rqud62rnutq5rnauq53raue62rmudq6rnetq57raua6mXFeLXad+ZmN1Y+b8NXP+mjl/zZy/Zs5fM+evmfPXzPlr5vw1c/6aOX/NnL9mzl8z56+Z89fM+Wvm/DVz/po5f82cv2bOXzPnr5nz18z5a+b8NXP+mjl/zZy/Zs5fM+evmfPXzPlr5vw1c/6aOX/NnL9mzl8z56+Z89fM+Wvm/DVz/po5f82cv2bOXzPnr5nz18z5a+b8NXP+mlH+msn9hYta5uDB8rTK6sbcuWvu3DV37po7d82du+bOXXPnrrlz19y5a+7cNXfumjt3zZ275s5dc+euuXPX3Llr7tw1d+6aO3fNnbvmzl1z5665c9fcuWvu3DV37po7d82du+bOXXPnrrlz19y5a+7cNXfumjt3zZ275s5dc+euuXPX3Llr7tw1d+6aO3fNnbvmzl1z5665c9fcuWvu3DWn3DWXueupRcOo53TSYxVVkMWEfOgwsMK6xN147cP7nBhvW7RvuYfgl7bq+Gw5cn61V6CpUpr9Ac1EhNth8GizDeCXi58v/tnH6ZaYU1vJao7/CyEaFkQhvEMxPHBCkrPo7a2pXxAjBAci8cXs0HC/ECM4CrntIrUQXVuIbjncT+0IFaKLMtofWE2WwgaTFX+0PxknFNyvyOGC6Yo7219dzfaTtyndkaMGkxZrmQl9No7lsMG81L28gmI9kWM1TKzw0+Hsd7ABdr2ulgIGU5a4S5FVgSaFFDSYxXhj/YFI8ZIcKpjMOHP91dVcPxklzuSIOQlO8kQETtkUQtYZ6g+csinFCWY5ZlntnogNqOt1pQRsIxXvJWVhxtmwrPLxML+XpsMqv2+Gk4v75xP7heqiWCUUsuT82nm/81WBCyImYx5NlJ+vOA3Q4hSoPiLPqRJh9OPRyvXtdW3qbktuitLBskL9ymtff/Xr3/jm+WuDxQfusuNBM2n1xuWby/mryx+6G//W5Wxqxn+UFuPxH03cznefYW6pGsbghtm2ttSkwRg7wGtQeoe5JhWVyatkZHxMbqsyiTd3pcmirQoCLLYsfTVZxJu5KugiWZUgI8Sz6ryOkavJeDWfs/zAR/xYlzgj9omLGdqrp7rkuG8fQq5j4grwaK1HOuaBSOSc1SQJsivb7HbdzJDiBdeFUEnYazNDyinHOPXRzJBCNCyIQniHYnjgyhAuJMlmhhQhuAzE0YdkM0OKEVz/2Vb5CdFx1noA+1GKTohux80MMWwwWfXczBDDBdMVs5kxSTbNjElCNzPEqMGkxRK56LNxLIcN5qU+mxlirIaJFX46nP0ONsBagKdywGDKEuv/UDNDDBrMYj02M8RQwWTGaGZsosRLgShxJkfMSXCSJ4JuZkghx25miHGCWY7bzLBPxAZUC+xcBnZvmxnkFN0k5dFE+cVvZigSYax0oZVrxGaGomEMbpita0tFGowFPbwGDTQzFKlEbmYoMonYzFBkwV1OBbxBlb6KLPajmaFJkBHiWXVeVzMjXS99k7fYHusSZ8Q+cTETbGZokuO+fQi5rmZGt0drPdJxmxmZj53VlFmQXdVmt/NmhhAvuC6ESsJ+mxlCTjnGqZdmhhCiYUEUwjsUwwNXhnAhSTczhAjBZSCOPqSbGUKM4PrPtspPiI6z1gPYj1J0QnS7bmZIYYPJqu9mhhQumK64zYzsqplBXkV6R44aTFoskYs+G8dy2GBe6rWZIcVqmFjhp8PZ72ADrAV4KgcMpiyx/g82M6SgwSzWZzNDChVMZpxmRnbVzCCjxJkcMSfBSZ6IQDNDCDl6M0OKE8xy7GZGdrAB1QI7l4Hd22ZGRjYzch5NlF/8ZoYikbYACPkHrFwjNjMUDWNww2xdWyrSYCzo4TVooJmhSCVyM0ORScRmhiIL7nIq4A2q9FVksR/NDE2CjBDPqvO6mhnri40ngYuqVYkzYp+4mAk2MzTJcd8+hFxXM6Pbo7Ue6bjNjNzHzmpKE2JXjtvsdt7MEOJtx4y9amYIOeUYp16aGUKIhgVRCO9QDA9cGcKFJN3MECIEl4E4+pBuZggxgus/2yo/ITrOWg9gP0rRCdHtupkhhQ0mq76bGVK4YLriNjOurpCeBK6QFqMGkxZL5KLPxrEcNpiXem1mSLEaJlb46XD2O9gAawGeygGDKUus/4PNDCloMIv12cyQQgWTGaeZcXV9NB0lzuSIOQlO8kQEmhlCyNGbGVKcYJZjNzPctdH+yDCXgd3bZkZONjMKHk2UX/xmhiIRxkoXWrlGbGYoGsbghtm6tlSkwVjQw2vQQDNDkUrkZoYik4jNDEUW3OVUwBtU6avIYj+aGZoEGSGeVed1NTPW1w5PAtdIqxJnxD5xMRNsZmiS4759CLmuZka3R2s90nGbGcbHzmrK4LWFZdJmt/NmhhAvuC6ESsJ+mxlCTjnGqZdmhhCiYUEUwjsUwwNXhnAhSTczhAjBZSCOPqSbGUKM4PrPtspPiI6z1gPYj1J0QnS7bmZIYYPJqu9mhhQumK64zYzJVTODvBr4jhw1mLRYIhd9No7lsMG81GszQ4rVMLHCT4ez38EGWAvwVA4YTFli/R9sZkhBg1msz2aGFCqYzDjNjMlVM4OMEmdyxJwEJ3kiAs0MIeTozQwpTjDLsZsZk4MNqBbYuQzs3jYziELOFp7BKyev00T5xW9mKBJhrHShlWvEZoaiYQxumK1rS0UajAU9vAYNNDMUqURuZigyidjMUGTBXU4FvEGVvoos9qOZoUmQEeJZdV5XM6NcL32XgWaGJnFG7BMXM8FmhiY57tuHkOtqZnR7tNYjHbeZUfjYWU1ZBdmlbXY7b2YI8YLrQqgk7LeZIeSUY5x6aWYIIRoWRCG8QzE8cGUIF5J0M0OIEFwG4uhDupkhxAiu/2yr/IToOGs9gP0oRSdEt+tmhhQ2mKz6bmZI4YLpitvMuLoAfBK4AFyMGkxaLJGLPhvHcthgXuq1mSHFaphY4afD2e9gA6wFeCoHDKYssf4PNjOkoMEs1mczQwoVTGacZsbVBeB0lDiTI+YkOMkTEWhmCCFHb2ZIcYJZjt3McBeA+yPDXAZ2b5sZBdXMKMc8mii/6M0MTSKMlS60co3XzNA0jMENs21tqUmDsaCH16B0M0OTStxmhiaTeM0MTRbc5VTAG0Tpq8liL5oZqgQZIZ5V53U0M8r1ddFl4AJwVeKM2CcuZkLNDFVy3LcPIdfRzAA8WuuRjtvM8M4BWU0ZvG6uzNrsdt3MkOIF14VQSdhrM0PKKcc49dHMkEI0LIhCeIdieODKEC4kyWaGFCG4DMTRh2QzQ4oRXP/ZVvkJ0XHWegD7UYpOiG7HzQwxbDBZ9dzMEMMF0xWzmVFeXQBeBi4AF6MGkxZL5KLPxrEcNpiX+mxmiLEaJlb46XD2O9gAawGeygGDKUus/0PNDDFoMIv12MwQQwWTGaOZUV5dAE5HiTM5Yk6CkzwRdDNDCjl2M0OME8xy3GZG6S4A90eGuQzs3jYzJmQzI+XRRPnFb2YoEmGsdKGVa8RmhqJhDG6YrWtLRRqMBT28Bg00MxSpRG5mKDKJ2MxQZMFdTgW8QZW+iiz2o5mhSZAR4ll1XlczY31ddBm4AFyVOCP2iYuZYDNDkxz37UPIdTUzuj1a65GO28wofeyspsyC7PI2u503M4R4wXUhVBL228wQcsoxTr00M4QQDQuiEN6hGB64MoQLSbqZIUQILgNx9CHdzBBiBNd/tlV+QnSctR7AfpSiE6LbdTNDChtMVn03M6RwwXTFbWZcXQBeBi4AF6MGkxZL5KLPxrEcNpiXem1mSLEaJlb46XD2O9gAawGeygGDKUus/wPqXwoZzGHMVoZJDN3KkEIFUxmnlXF1/TcdI87kiDnprc/noRZDjt7KkOIEcxy7leGu//bHhbkM7N62MkqylZHzaKL84rcyFIm003/IP2DdGrGVoWgYgxtm68pSkQZjOQ+vQAOtDEUqkVsZikwitjIUWXAXUwFvUIWvIov9aGVoEmSEeFaV19XKWF8WXQau/1Ylzoh94lIm2MrQJMd9+xByXa2Mbo/WeqTjtjK8W5qtpjRBdqbNbuetDCHedszYq1aGkFOOceqllSGEaFgQhfAOxfDAdSFcSNKtDCFCcBmIow/pVoYQI7j+s63yE6LjrPUA9qMUnRDdrlsZUthgsuq7lSGFC6Yrbivj6vrvMnD9txg1mLRYIhd9No7lsMG81GsrQ4rVMLHCT4ez38EGWAvwVA4YTFli/R9Q/1LIYA7rs5UhhQqmMk4r4+rybzpGnMkRc9Jbn89DLYYcvZUhxQnmOHYrw13+7Y8LcxnYvW1lVGQro+DRRPnFb2UoEmGsc6F1a8RWhqJhDG6YrStLRRqM5Ty8Ag20MhSpRG5lKDKJ2MpQZMFdTAW8QRW+iiz2o5WhSZAR4llVXlcrY31VdBm4/FuVOCP2iUuZYCtDkxz37UPIdbUyuj1a65GO28pIvD61ojJ811zRprfzXoYQL7gshGrCfnsZQk45xqmXXoYQomFBFMI7FMMDF4ZwJUn3MoQIwXUgjkCkexlCjOAC0LbST4iOs9gD2I+SdEJ0u+5lSGGD2arvXoYULpiuuL2Mq9u/y8Dt32LUYNJiqVz02TiWwwbzUq+9DClWw8QKPx3OfgcbYC3AUzlgMGWJC4CA/JdCBnNYn70MKVQwlXF6GVd3f9Mx4kyOmJPe+nweajHk6L0MKU4wx7F7Ge7ub39cmMvA7m0vw6ZyqpkRvobyGk+UYPxmhiIRxkoXWrhGbGYoGsbghtm6tFSkwVjQw0vQQDNDkUrkZoYik4jNDEUW3OVUwBtU5avIYj+aGZoEGSGeVeZ1NTPWV0WXgcu/VYkzYp+4lgk2MzTJcd8+hFxXM6Pbo7Ue6cjNDEpUVkF6kza9nTczhHjBdSFUE/bbzBByyjFOvTQzhBANCyIAz504fWOQDS7/Zmn9xePRYPGbxePF588OXvjKxD5APgKHYgLg2hGuNel2hxAhuFTEkZB0u0OIEVwj2lYcCtFx1oMQ+1VE9DoSI4zS8qCPyn9RDhzMan03PaRwwbTGbXpc3RJeBm4JF6MGkxtLDbftPSnGZUU3PqTQwRzGb3wk1WRsErr7IQVsmIDhx8QZ8WADrAV4KgcMZjBxxRC8YUMKGkxqffY/pFDB3Mbpf1xdF06HizM5Yk6+kzwRoVBRi2Hr9EDSyphJMTJUI0QKFsx77EaIuzfcHyLmMrD72whJqEZINebxRAlGb4RoEmGskqFFb7xGiKZhDG4YvCz10ThUpcFYDMSLU7oRokklbiNEk0m8RogmC+5SLOCNtEpHhdchR6pU9qIbokqQEedZ9V9HN6Ra3zVdBW4PVyXOCIDi2ibUDVElx30FEXId3RDAo7Ue6cjdEO8arFWW4cvqyja9XXdDpHjBBSNUGPbaDZFyyjFOfXRDpBANCyIAb9kN8fdCiPLpUIweXEjC1SbZCpEiBFeNOCKSbIVIMYLLRdvKQyE6ztIQYL80ozohUoA774SIgYMZredOiBgumNKYnZDq6orxKnDFuBg1mNhYSrht72o8phshYuRg+uI3QtIsy+g+iBivYeKFHxJnw4MNsBbgqRwwmL7EtUKoDyIGDWa0HvsgYqhgYmP0Qaqrm8bpYHEmR8xJdpInIhAoajFqnTZIllcV3QURYwVzHrcLUrkLx/0BYi4Du79dkJTsgqQ8nijB+F0QRSKM1TG02I3YBVE0jMENg5ejPhqHqjQYi4B4XRrogihSidwFUWQSsQuiyIK7BAt4I8vpJogik/1ogmgSZIR5VunX1QRZ31FdBW4dVyXOiH/iwibYBNEkx30DEXJdTZBuj9Z6pCM3QTIfPSsssyC9qk1v500QIV5wrQjVhf02QYSccoxTL00QIUTDggjA69oSkhJbQqQEwIUkXG/SfRAhQnDViCMj6T6IECO4XLStQBSi4ywNAfabGB+8IzG83XdBpMDBlNZ3F0QKF8xp3C7I1d3kVeBucjFqMLOxpLBnosvQB2GJoYMJjN8GmZgJifdEjtcw8cJPibPhwQZYC/BUDhjMXuJqIdgGkYIGE1qfbRApVDCvcdogV7eU09HiTI6Yk+skT0QoUtRi2Dp9kCTJipR6KmZysGDaYzdC3HXl/hAxl4Hd30YIMUpi69WcxxMlGL8RokikLQlCDgIL3oiNEEXDGNwweEnqo3GoSoOxEIgXpoFGiCKVyI0QRSYRGyGKLLjLsIg3ktTvjyNVJvvRCNEkyAjzrOqvqxGyvuG6CtxZrkqcEf/EpU2wEaJJjvsGIuS6GiHdHq31SEduhOQ+elZYmhC9atymt/NGiBBvO2jsVSNEyCnHOPXSCBFCNCyIALxAFyQtfdgPxdjBVSRcatI9ECFCcMmIoyDpHogQI7hWtK02FKLjrAsB9suTkfchPBID3H0XRAoczGd9d0GkcMGExu2CXF1rXgWuNRejBtMaSwdfs3eRjVO6CyKFDmYvfhckT9OkpLsgUryGiRd+SpwNDzbAWoCncsBg/hKXCsEuiBQ0mNL67IJIoYKZjdMFubrgnI4WZ3LEnGwneSJCkaIWw9bpghRZlk7oJogUK5j12E0Qd9G5P0LMZWD3twmSk02QgscTJRi/CaJIhLE6hha7EZsgioYxuGHwctRH41CVBmMREK9MA00QRSqRmyCKTCI2QRRZcJdgAW8U6ch7o9WRKpH96IFoEmREeVbt19UDWV+NXQUuO1clzgh/4sIm2APRJMd9ARFyXT2Qbo/WeqQj90CMj57VlcHL9aqkTW/nPRAhXnCxCJWF/fZAhJxyjFMvPRAhRMOCCMBLNg2QL7Q/vE/3oRg2uHyEi0y6/SFECK4VcbQj3f4QYgQXibZVhUJ0nAUhwH6pDVw+gEdigLtvf0iBg6ms7/aHFC6Yy7jtj6ub0KvATehi1GBGY0ngtr2rMqW6Ccdy5GDe4nc/UpMbag32RI7XMPHCD4mz4cEGWAvwVA4YTF/iIiHY/ZCCBjNan90PKVQwsXG6H1dXotPB4kyOmJPsJE9EIFDUYtQ6zY+sTCYU1pkcK5jz2M0PdzO6P0DMZWD3t/lBFH22SA3e0XmdJ0owfvNDkQhjWQytciM2PxQNY3DD4HWoj8ahKg3G6h9elwaaH4pUIjc/FJlEbH4osuCuvQLeyCbkNKAikf1ofmgSZER5VuXX1fxYX6VdBS5HVyXOCH/iuibY/NAkx30BEXJdzY9uj9Z6pCM3PwofPasrqyC9tE1v580PIV5wqQiVhf02P4SccoxTL80PIUTDggjAC5+E5Z73gdXsTxYfOxl++e3Fx4uHg9vf+uZ/uHhtcPra17928c2LP//G4OzmnUExTqrBM4t3Gzc9GS4+XPmrUe1fHgydx6yed061v/948IWfuPjAKvwfbzw/sP/+J4vHg8btD93PW7xvcbxlP7J/4/Lb7ol4YrE+tD/CPSYfDewvnzc/zf6x+SmPn3Xf/0tv5D0Umx9cBcPFMt3EESIEl7w4Gphu4ggxgmtd26pbITrOuhZgv2qU+fAdifHtvocjBQ5m5L57OFK4YErm9nCuLnavAhe7i1GDiZml5K89HQU5630sRw6mX34Pp8qqjG7hSOEaJlz4GXEmPNgAawGeygGDyUtc6gRbOFLQYD7rs4UjhQqmNU4L5+pWdzpWnMkRc1Kd6Img40QtRq3TwklydwE9eZuJFCuY8tgtHHenuz9AzGVg97eFUxAtnGz1YME8UYKxWziqRBiLe2itHq2Fo2oYgxsGr6Z9NA5VaTDWMPGqlGzhqFKJ2sJRZRKthaPKgruCjHgjG/l3XR6pMtmHHo4uQUaYZ1V+4R6O5bRc8V994CN+rEucEf/EhU2gh6NLjvsGIuTCPRzEo7Ue6cg9HO8MlBWWwesAq6xNb8c9HDFecKkI1YV99nDEnHKMUw89HDFEw4IIwAv3cApPB2fxvv3D48u/Wqr4Rqa3OjL1K3ddKBk8c/m9xSPXZtnDNo7YA+BKGC6YqTaOGCG47MXRwVQbR4wRXO/aVuEK0XHWtgD7VaPch+9IjG/XbRw5cDAp99vGkcMFszKvjWPhrNs49kOyjSNHDeZmlpi/vjxbFFQbR44czMCCNk5e5VQbRw7XMOHCz4gz4cEGWAvwVA4YTF7iaifQxpGDBvNZf20cOVQwreFtnKtY8VIgVpzJEXNSneiJoONELUat1cZJ84TaiSPHCqY8ZhvHPRgbUC2wcxnY/W3jTMg2TsrjiRKM38ZRJMJY30PL9YhtHEXDGNwweEHto3GoSoOxjIlXpYE2jiKVyG0cRSYR2ziKLLiLyIg3iDMlj1SJ7EcXR5MgI8qzCr+uLk66XvOn76TXJc4If+K6JtjF0STHfQERcl1dnG6P1nqkI3dxvJsCra7MgvTyNr2dd3GEeMGVIlQW9tvFEXLKMU69dHGEEA0LohDeoRgeuEqEi0m6xSFECC4JcTQi3eIQYgTXgrZVf0J0nHUfwH5e2x2J0UVpcASEmhQ2mK36bm9I4YLpitveyK7aG/R183LUYNJiqVz02TiWwwbzEr+3QV4zL8dqmFjhp8PZ72ADrAV4KgcMpixxARCQ/1LIYA7rs60hhQqmMk5bI7tqa9CXzMsRc9Jbn89DLYas09OgcM7kOMEcx+5nZAcbUC2wcxnY/e1nlGQ/I+fxRAnG72coEmnn/5CDwMI1Yj9D0TAGN8zWpaUiDcaCHl6CBvoZilQi9zMUmUTsZyiy4C6nAt6gKl9FFvvRzNAkyAjxrDKvq5mRr5e+6XvldYkzYp+4lgk2MzTJcd8+hFxXM6Pbo7Ueafu/P72xVF5/EpKYPTc1vHu7rbg0QZqmTTNaU8O7OPycGG87eERvary9+Onif/g43RJzyjFOvTQ1hBANC6IQ3qEYHrhChCtKuqkhRAguCHGEIt3UEGIEV4K2lYBCdJxVH8B+lLQTott1U0MKG8xWfTc1pHDBdMVtapirpgZ9e7wcNZi0WGoXfTaO5bDBvNRrU0OK1TCxwk+Hs9/BBlgL8FQOGExZ4kIgT6iLJ07loMEsxmxr0JHiJTlUMJlx2hrmqq1B3xovR8xJcJInItDWEEKO3taQ4gSzHLutYQ42oFpg5zKwDu15kt/Lzb1smJ3fM8O8SsbDsrhfDrPifn4/eXC3vJs9WPIha85A8S2uO8m2RsHjiRL0VacBXpwK1UfkOVUijDUvtHT9QlujqUpXjYrJePyfson5T2bg43lLlafBeW5dKyrSYKzU4TVloEuhSEWnS+HjcVuVR8QehSIL7iop4AuqkFVkEa1HQYvYF3UJMuI1q2rr6lEU6xVt+t53XeKMyKdTmmiS4759CLmgR08Rj9Z6pONuuEi9PrUKMXx1YNGmt/PehBAvuMyDCrx+exNCTjnGqZfehBCiYUEE4IWOzfq3z7uLT/7WHZu19MXi0cY5lz9w80W/XLz97GDx68W7l68vHl1+3/73xvIMrMeLDweL992Pufx28/cfXr7eHJj1WePX9xdPrFftX3py+VfufKzLH98YLN4bXP7YHbS1+Mh+/+PW1weXb9rPfmIhfmBxuGO3fnT5hgXzY/d0fLJ4bP/wg4E7K8s9LIPF/7bf/unyqbl8Y7D4/zoGg2c8R3F9edDA+uTyr+0Xl+dvJeOxG3uy1D8Ocfj08s0vYvzR8hywR/aTP15jc8i+3WBbmsQ9xZa8/UE/slQfu4fbfepzd7yY/TFPmhPJXl8eLOb+neXz/9D+4DeXR4E1J5G5g8aav7v68e77m4GutXs+bsg5A7zf/PwPnYGcXd5Z/GTxT4tfLX6++IX96P9e/Gpof3vLfuod6/R/sB/9ZGC/+rPNoWVf+Ad+Zr/+i8HNP//W8M4rr164q2+sSX/isA3tj3to/faZfS8d/OYvLt51Hzxt65HvZTgUvwzgsiJetdCdMCFCcA2RUYwEOmFCjODi4baFhhAdZ6EQsF+aToiraMQIo3TDgsWBFDiokPruh0nhghKJ2w+bXPXDyBvC78hRg0KJVVm17V2ZcZKMcqonJoUO6iF+TyxNKzMhb6ORAzZMwPBj4ox4sAHWAjyVAwYzmE71KQUNJjVmYyy430cKFcxtnMbY5KoxRoaLMzliTr6TPBGhUFGLYes0x7I8zwx5H40cLJj32B2yycEGVAvsXAZ2bztk6ZjskIVvtr3GEyUYv0OmSISx4oouoMg7ZIo8Dc4TX7GwtL60rDrbFfHi0RcKbm+tu/lry3UKV+sm6Xh8+Z00t9nn5VebU8I/sOX3o+ZobluV/9jW0U8WHzVfe6ra/+GgqbBdOf9waD98t9lI9eFqG1U2WHx67W+4+2BdRf6JxfD95t9ff9uv7T/pTvt+c1X7O0++1/ygZunhkf2yW5143BT39iddB3Pn//f6zzAUgxeobx08YwF8b7mW0ixAPFovY9ji/+Nmhc6Z9nW3FHP5Xft9P24W59yaxaAx0moFz/nhi0t2zpbLZQDnLuso+4/Zn/J+sy7w3pevY7z9n//ita/fsz5sfuJnln+z+OIe7bcXvxqkpXXYhPfXBsV4/Zd+Yr/0sVtyGTYrJda0g+LyO3nj/3fsX/y0WYh55BZs3l7878WvB/mN1P5d477+v52TLPbPB3dOBtnIXH7H1lH28z+//NHy3l/3ZKyOgH+jWdpxHB9bQ7tVph87uy0eL0G4Z/GvnNkGX331G6/cv3Cf/dvGJ82OvKcOmF8uq1n7/tD3Eh+qvsSMLgm+0hLoDytSidofVuQRsT+syILboQJ8EVreUWSyHz1iTYIMxcJayejqEZfrjmIZ6BFrEmdEP50qXZMc9w1EyHX1iLs9WuuRdvvYngqgrlCKuJ8tpWqmKki3bNON1DMmDnd4TowXXApFSx7XcnKqdH35zhMrLT9bNimdsn3XfmJVB7y1+NtV1/iLNwBt7uhZfvG9Qer0ttVrlz/2Mb8lZp5jzHvpLAshGhZEIbxDMTxwpRRXoHSvT4gQXBZlCMtAr0+IEVwP3VY0CtFx1j4B+1HDgkJ0Ufp8gV1vUthgTuN3+fKUki1fkaMFcxq3yVddNfnIO+TvyFGDmY0ljdFH41gOG0xL/AZfYNObFKthYoWfDme/gw2wFuCpHDCYscRVQ1KkIz/oUzloMInxent0oHhJjhRMZZzWXnXV2iODxJkcMSe9SR6IwJ43IWSdtl5gz5sUJ5jj2B296mADqgV2LgPbSNkH5bh4cH88fJCOHwzze0U1LO9X1fDexUU+LrIH5+N89RqSdWmgUBfXplRHLxnzeKIEfRVsgBenivUReU6VCGN9DC1vf9a0GT5bdQGacvVN1wNqelOv2zr16WP7mhbXcobzl/a/X/3ZsqS9czo0yWDxE59BbqkaxOAG2bak1KTBWP5jlJ4fL973UXlBlYpK82M8csLsOpXbqlTi9T80WXBXXxF3+FgcqbKI1vsoy1FJ1Maq/BihnVXfdbQ+kvFqoXz5gY/4sS5xRuwTFzGkU091uXHfPYRbR+cDcGitR7pRnqY0Jhs/uD8c378wwzyt0uHde5PxsHxQXty9X5QX987NyztQnt6VWKs8w5d/eoyBEYyvPBWJMMITqjzfeqpFYtXmk+Vw0tANIdnPfr6Sn49XO6HcfMrslT//82+99spXz1e68+zmnUE1HmfLP52eTV8YHM7PpgP/rslbqgYyuIG2VqKKNBjRuBclqkhFSYl6Bz9uqzKJKEQVWXCTIeINH4sjVRbRhGiSJsXIFD6GL+oyZMT6XqVoslYu5MXtx7rEGcFPLEXzyowqSotqkuO+fgi5Li3a7dFaj3TkkxoodZkG6VVterueupHiBXuTqDjcwdSNlHmOMe9j6kYK0bAgCuEdiuGBPUyG4KSmbqQIwYYlriMDUzdSjGCrcluFKETHaUsC9qOUnxDdjqduxLDBnNbv1I0YLZjTmFM3SbqZuknIK7jvyFGDmY0lhdFH41gOG0xLfU7diLEaJlb46XD2O9gAawGeygGDGUtcJYSmbsSgwSTW39SNGCmYyhhTN5sg8VIgSJzJEXPSm+SBoKdupJBjT92IcYI5jjt1Y5+IDagW2LkM7P72PlJy6ibj8UQJxu99KBJhrIeh5e0Oeh+KBjK4gbYuMRVpMJb/GKUo3ftQpBK596HIJGLvQ5EFd/EV8YaPxZEqiz3pfWgyZMR6VsHX1fvI1ivl5O3ux7rEGcFPXNUEex+a5LivH0Kuq/fR7dFaj/QeT4Cn5BxOzjUGRjC+FlUkwohPqBaNMAGuaBCDG2Rr7alIgxF+e9GeilSUtCc5Aa5IJaL4VGTBzX6IO3wsjlRZRBOfoQlwTX6M0N6r9Fxf+Z0ELnFXJc6IfWLpGZoA1+TGffcQbl3Ks9uhtR7pyFM33hUJqyUNSa8a2/+16e186kaItx0zfgenboTMc4x5L1M3QoiGBVEI71AMD+xhMuQmOXUjRAg2LHEVGZq6EWIEW5XbykMhOk5bErAfJfuE6HY9dSOFDea0nqdupGjBnMadurm64D0JXPAuRg1mNpYSRh+NYzlsMC31OnUjxWqYWOGnw9nvYAOsBXgqBwxmLHGREJy6kYIGk1iPUzdSpGAq40zdXN3vTgeJMzliTnqTPBCBqRsh5OhTN1KcYI5jT924+939gWEuA7u/nY6MnLopeDxRgvE7HYpEGMthaHkbodOhaBCDG2TrklKRBmO1j1F60p0ORSqxOx2KVCJ2OhRZcFdbEXf4WBypstiLTocmP0ZoZ9V3XZ2O9cXhSeAqeFXijNgnLmJCnQ5Nbtx3D+HW1enodmitR3qP570zcsZmwjUGRjC+8lQkwghPqPLcwby3ooEMbqCtlagiDUY07kWJKlJRUqLe7uptVSYRhagiC24yRLzhY3GkyiKaEA3Pe2syZMT6XqXoZK1cyNt9j3WJM4KfWIoG5701yXFfP4Rclxbt9mitRzry1E3uo2fVJX2hlqOXtOntfOpGiBfsTaLicBdTN0LmOca8l6kbIUTDgiiEdyiGB/YwGYKTnLoRIgQblriODE3dCDGCrcptFaIQHactCdiPUn5CdLueupHCBnNaz1M3UrRgTuNO3ZRXUzfkzZZ35KjBzMaSwuijcSyHDaalXqdupFgNEyv8dDj7HWyAtQBP5YDBjCWuEoJTN1LQYBLrcepGihRMZZypm/Jq6oYMEmdyxJz0JnkgAlM3QsjRp26kOMEcx566KQ82oFpg5zKw+9v7yMmpm4rHEyUYv/ehSISxHoaWtzvofSgayOAG2rrEVKTBWP5jlKJ070ORSuTehyKTiL0PRRbcxVfEGz4WR6os9qT3ocmQEetZBV9X76Nar5ST158e6xJnBD9xVRPsfWiS475+CLmu3ke3R2s90ns8AZ5Tczgr5cIwBkYwuhbVJMKIT6gW1Z8A1zSIwQ2yrfbUpMEIv31oT00qStqTmgDXpBJPfGqy4GY/xB0+FkeqLKKJz8AEuCo/RmjvU3qm68sx08Btp6rEGbFPLD0DE+Cq3LjvHsKtQ3kCDq31SEeeujE+elZL0hdoOXppm96up26keMHeJCoFdzB1I2WeY8z7mLqRQjQsiEJ4h2J4YA+TITepqRspQrBhiavIwNSNFCPYqtxWHgrRcdqSgP0o2SdEt+OpGzFsMKf1O3UjRgvmNObUTZpspm5S8ibLO3LUYGZjKWH00TiWwwbTUp9TN2KshokVfjqc/Q42wFqAp3LAYMYSFwmhqRsxaDCJ9Td1I0YKpjLG1M0mSLwUCBJncsSc9CZ5IOipGynk2FM3YpxgjuNO3dgnYgOqBXYuA7u/nQ5DTd2s7kWGeaIE43c6FIkwlsPQ8jZCp0PRIAY3yNYlpSINxmofo/SkOx2KVGJ3OhSpROx0KLLgrrYi7vCxOFJlsRedDk1+jNDOqu+6Oh3pemGcvO30WJc4I/aJi5hQp0OTG/fdQ7h1dTq6HVrrkd7jeW9DzthkXGNgBOMrT0UijPCEKs/4896aBjK4gbZWooo0GNG4FyWqSEVJiWY+JrdVmUQUooosuMkQ8YaPxZEqi2hCNDjvrcqQEet7laLrmzDTwN2mqsQZwU8sRUPz3qrkuK8fQq5Li3Z7tNYjHXnqxvumWnWZB+llbXo7n7oR4m0Hjd/BqRsh8xxj3svUjRCiYUEUwjsUwwN7mAzBSU7dCBGCDUtcR4amboQYwVbltgpRiI7TlgTsRyk/IbpdT91IYYM5reepGylaMKdxp27yq6kb8ibLO3LUYGZjSWH00TiWw86ZsOFHIzB1I8VqmFjhp8PZ72ADrAV4KgcMZixxlRCcupGCBpNYj1M3UqRgKuNM3eRXUzdkkDiTI+akN8kDEZi6EUKOPnUjxQnmOPbUTX6wAdUCO5eB3d/eR0FO3RgeT5Rg/N6HIhHGehha3u6g96FoIIMbaOsSU5EGY/mPUYrSvQ9FKpF7H4pMIvY+FFlwF18Rb/hYHKmy2JPehyZDRqxnFXxdvQ+zXiknrz891iXOCH7iqibY+9Akx339EHJdvY9uj9Z6pPd4Arwg53AKrjEwgvG1qCIRRnxCtWiECXBFgxjcIFtrT0UajPDbi/ZUpKKkPckJcEUqEcWnIgtu9kPc4WNxpMoimvgMTYBr8mOE9l6l5/pyzDRw26kqcUbsE0vP0AS4Jjfuu4dw61Ke3Q6t9UhHnrqZ+OhZLTkJ0svb9HY+dSPEC/YmUSm4i6kbIfMcY97L1I0QomFBFMI7FMMDe5gMuUlO3QgRgg1LXEWGpm6EGMFW5bbyUIiO05YE7EfJPiG6XU/dSGGDOa3nqRspWjCncaduJldTN+RNlnfkqMHMxlLC6KNxLIcNpqVep26kWA0TK/x0OPsdbIC1AE/lgMGMJS4SglM3UtBgEutx6kaKFExlnKmbydXUDRkkzuSIOelN8kAEpm6EkKNP3UhxgjmOPXUzOdiAaoGdy8Dub6djQk7dhG/SusYTJRi/06FIhLEchpa3ETodigYxuEG2LikVaTBW+xilJ93pUKTSTu0BKniNGuh0KFKJ2OlQZMFdbUXc4WNxpMpiLzodmvwYoZ1V33V1Osr1wjh52+mxLnFG7BMXMaFOhyY37ruHcOvqdHQ7tNYjvcfz3hNyxqbiGgMjGF95KhJhhCdUee5g3lvRQAY30NZKVJEGIxr3okQVqSgp0czH5LYqk4hCVJEFNxki3vCxOFJlEU2Ihue9NRkyYn2vUnR9E2YauNtUlTgj+ImlaHDeW5Mc9/VDyHVp0W6P1nqkI0/dlD56N7NsHKRn2vR2PXUjxQv2JlFxuIOpGynzHGPex9SNFKJhQRTCOxTDA3uYDMFJTd1IEYINS1xHBqZupBjBVuWWClGKjtOWBOxHKD8puh1P3Yhhgzmt36kbMVowpzGnbrLxZuomI2+yvCNHDWY2lhRGH41jOWwwLfU5dSPGaphY4afD2e9gA6wFeCoHDGYscZUQmroRgwaTWH9TN2KkYCpjTN1sgsRLgSBxJkfMSW+SB4KeupFCjj11I8YJ5jju1I19IjagWmDnMrD72/sgqj1bnYZv0rrGEyUYvfehSYSxHoaWt/F7H5oGMriBti4xFWkwlv8YpSjZ+9CkErf3ockkXu9DkwV38RXxho/FkSqL/eh9qDJkxHpWwdfR+8iS1Up5Rl5/eqxLnBH8xFVNqPehSo77+iHkOnofgEdrPdJ7PAFeUnM4Wco1BkYwvhZVJMKIT6gW1Z8A1zSIwQ2ytfZUpMEIv71oT0UqStqTmgDXpBJRfCqy4GY/xB0+FkeqLKKJz8AEuCo/RmjvVXquL8fMAredqhJnxD6x9AxMgKty4757CLcu5dnt0FqPdOSpG2+PxGrJLEivaNPb+dSNEC/Ym0Sl4C6mboTMc4x5L1M3QoiGBRGA5yrJG4NscPk31sgPF79dPB4NrBR/vPj82cELX0ntH95uueP2t775Hy5eG5y+9vWvXXzz4s+/0SwbF+M0GTxjvfmJ9dRq4flD+6H7Y6PyvzwYDqy8f7gqCdzy8xd+qv1Ln9jPbXxtEXyyeDywkD5zxYL9S+9bLG/Zj+zfuPz2YPG5/dRv7R9ed/+YqyKe2E+5n2b/2PyUx8+67/+lN0Ifih0AdmkZgpqcKxIiBFuyuE4OzRUJMYLN2G0FsBAdp/EK2C+deFcdj8T4okwWZZOSSIUvyoGDmbvn2SIpWjBzc2eLsqvZIvK+zjty1GD+Zun9ayFhnOdja/Hch/1Yjh3MwPwBoyQpE/IROZEDNkzA8HPijHiwAdYCPJUDBvOXuCgKThlJQYMpjTdlVOQpPWUkRQomNs6UUXY1ZUSGizM5Yk6ykzwQeT7JilHpjRS1GLbOpFEymSQV9VTM5GDBtMceN8oONqBaYOcysPvb4qnIcaOcxxMlGL/Fo0ikrQlCDgLr+ggtHkWDGNwgeC3to3GoSoOxzMmoSOkWjyKV2C0eRSoRWzyKLLjLzIA78mTk1QFHqkT2osujyY8R3VlVX1eXJ183BcibXo91iTPCn7igCXV5NLlxXz+EW1eXp9uhtR7pPZ51r8j5IsM1BkYwvvhUJMIIT6j43MGsu6KBDG6grcWoIg1GNO5FjCpSURKj3lL9tiqTiFpUkQU3GQLeKNOR93iNI1Ui0bRoeNxdkyEj3PeqRtcXgWaBq11ViTPin1iNBsfdNclx30CEXJcc7fZorUc67tCRf9OoFZhFkN6kTW/nQ0dCvO2g8Ts4dCRknmPMexk6EkI0LIgAvPDQUYYOHSXjxAyesd/hlpzfaEaDfrzyUjMUtB4zWg4EXf6wlxmkXoeQhA4Bm7gMlU0OIQkRgh1bXDyHhpCEGMFe7bayWIiO05cF7Jem+cj4EB6JEe5+DEkKHMzlPY8hSdGCuZw7hlRcjSGRF5jekaMGMzqrBLhWw+VVWowSrxY5lkMHUzJ/CqkqxmVBDyFJ8RomXvgpcTY82ABrAZ7KAYP5S1wlBYeQpKDBlNbjEJIUKZjYOENIxdUQEhkszuSIOclO8kBkRVZWo9QbKGoxbKUhpDxP0ooeQpKCBZMeewipONiAaoGdy8DubR8oG5NDSBMeT5Rg/D6QIhHGwiBa5++gD6RoIIMbCK+1fTQOVWkw1kEZFSrdB1KkErkPpMgkYh9IkQV3FRrwRjEZrdaQrxfGikz2pBGkyZAR71lVYLBt4Dit2wbkVbjHusQZAVBc4gQbQZrkuK8gQi7o0VPEo7Ue6f0dird6lJpLCl/G5jEGRjC+HlUkwohPqB6NMBSvaBCDG2Rr/alIgxF+e9GfilSU9Cc5FK9IJaIAVWTBzX6AO7JsVEy8DjlSpRJNgYbG4jX5MeJ7r/pzfVtqFrj+VpU4IwCK9WdoLF6TG/cFRLh1yc9uh9Z6pCPPIVELnFWQXtmmt/M5JCFesGuJ6sFdzCEJmecY817mkIQQDQsiAC88h1Sic0jFeGye+eJxR4PFp9ZF3+ll4qjPgSOh5cGGLUNOkwNHQoRgdxZXyaGBIyFGsC+7rfwVouP0YBH7+eXBkRjf7seNpMDBlN3zuJEULZiyueNG1dW4EXlz6x05ajBxs4T+tVZBOa6s6vAa/FgOHcy8/HGjyWScB25Wk+I1TLzwU+JseLAB1gI8lQMGs5e4FgqOG0lBgwmtx3EjKVIwrXHGjaqrcSMyWJzJEXNSneSBSKtkUhCBohbDVho3SowpAlesScGCSY89blQdbEC1wM5lYPe3vZNQ40b5mMcTJRi9vaNJhLH8h5bz+u0dTYMY3CB4Ce2jcahKg7G6yahHyfaOJpXI7R1NKvHaO5osuKvLgDvSiY/GkSqNfWjtqPJjxHZWxdfR2snHq05ATt73e6xLnBH8xOVMoLWjyo378iHcOlo7gENrPdJ7POmeUJNFefh6OY8xMILxpaciEUZ4QqVn/El3TQMZ3EBbS1FFGoxo3IsUVaSiJEUzH5PbqkwiKlFFFtxkCHjD5D4aR6o0oinR4Ji7KkNGsO9Vi64vg80D1/uqEmdEP7EWDY25q5Ljvn8IuS4x2u3RWo905DkjSl6mQXpVm96u54ykeMF2JaoOdzBnJGWeY8z7mDOSQjQsiAC88JxRgh54ZMZpPnhm8b791k8u33Re3b971aQ2B3u0DBlNTRhJEYINWVwdByaMpBjBVuy2uleIjtN2ReyXlsZfYByJIe58yEgMHMzX/Q4ZidGC+Zo5ZJSnmyGjnLyo9o4cNZi1WTL/mrnLwpUybiroOvZjOXYw7/KnjIwZJ+NylBNjRmLAhgkYfk6cEQ82wFqAp3LAYAoT10KhMSMxaDCr9TdmJEYK5jbGmNEmXLwUCBdncsScfCd5INJxmWX5KPWeY12LcevMGZWpcQ9wQcwZicGCeY87Z2SfjQ2oFti5DOz+NntScs4o4/FECcZv9igSYaz/oeX8Dpo9igYyuIHwktpH41CVBmO5k1Gl0s0eRSqRmz2KTCI2exRZcBebAW9ktjY2XrF4pEplTxo+mgwZAZ9VCXY1fLJ1e4C8BvhYlzgjAoqLnGDDR5Mc9x1EyHU1fLo9WuuR3uPB95ScPsq5xsAIxhekikQY8QkVpBEG3xUNYnCDbC1AFWkwwm8vAlSRipIAJQffFalEVKCKLLjZD3BHUqWjSeX1yJEql2gSNDT9rsmPEeB7FaDr62HzwH2/qsQZEVAsQEPT75rcuG8gwq1Lf3Y7tNYjHXngyLs4YRWlCdFLxm16Ox84EuJtx4zfwYEjIfMcY97LwJEQomFBBOB1DBwZcOAoGSfp4Bk3MOSOM2oWm58M7U97ZNX+G07r7930kdABYOuWIavJ6SMhQrBPi6vl0PSRECPYod1WBgvRcbqxiP3GySj3ITwSI9z98JEUOJi7ex4+kqIFczd3+MhcDR+RF9bekaMGMzhL8V/vGmSmHBVe7XEshw6mYP7sUZ5lVUUctHIix2uYeOGnxNnwYAOsBXgqBwzmL3FRFBw9koIGU1qPo0dSpGBi44wemavRIzJYnMkRc5Kd7IHIMzOqvEVVLYatM3lUmHFFFfUzOVYw57EHj8zBBlQL7FwGdn/7PBk5eFTweKIE4/d5FIkwlgHRsj5Cn0fRIAY3CF5K+2gcqtJgrHIyClK6z6NIJXafR5FKxD6PIgvuKjPgjsQQF6seqTLZiy6PJj9GeGfVfF1dnmLdFCAv+j3WJc6If+KCJtTl0eTGff8Qbl1dnm6H1nqk93jsPSOnjCZcY2AE46tPRSKM8ISqzx2MvSsayOAG2lqNKtJgRONe1KgiFSU16l0Eua3KJKIYVWTBTYaAN7LxyL9p60iVSTQxGp5612TIiPe9ytH13a954DZfVeKMACiWo8Gpd01y3FcQIdelR7s9WuuRjjx1lPvoWYUZvC0uSdr0dj51JMQL9ixRgbiLqSMh8xxj3svUkRCiYUEE4HVMHdnHDBs7chI+HTxjv8MqflcAvNtMHO3jvJHQ9GC/liGoyXkjIUKwOYvr5NC8kRAj2JbdVgEL0XFasID9UqJZdiQGuPtxIylwMGn3PG4kRQsmbe64UXk1bkTeS3tHjhpM3Sytf20VdpKVI+O197EcOZh6+dNGVVkWxLLxiRyuYcKFnxFnwoMNsBbgqRwwmLzExVBw2EgKGsxnPQ4bSZGCWY0zbFReDRuRoeJMjpiT6SQPRDbJA6ccCVHrzBoleZmNiYHEmRwrmPDYs0blwQZUC+xcBnZ/uz05OWtU8XiiBON3exSJMFb/0GJ+B90eRQMZ3EB4Qe2jcahKg7HYyShO6W6PIpXI3R5FJhG7PYosuEvNgDcKYgL5SJXInjR7NBkywj2rAOxq9lTr1gB56++xLnFG/BPXN8FmjyY57huIkOtq9nR7tNYjvcej7zk1fLRaDmEYAyMYXY5qEmHEJ1SO6o++axrE4AbZVn5q0mCE3z7kpyYVJflJjb5rUomnPzVZcLMf4I5slBdefxypMokmQAOj76r8GOG9T/lp1rfBmsD1vqrEGfFPLD8Do++q3LjvH8KtQ30CDq31SEceNfIGIqsngxfGJWmb3q5HjaR4wX4lKgd3MGokZZ5jzPsYNZJCNCyIALyOUSN00igZZ+5GtWbkp/FWI/E1DjmSTR2NfG44FLsB7NwypDU1diRFCLZpccUcGDuSYgQbtNtKYSE6TjMWsV85Mj6AR2KAOx87EgMHE3i/Y0ditGACZ44dmWQzdmTIa2rvyFGDaZwl+6+1DaqqHGUTH/JjOXIwDfPHjiZVQj0eJ3K4hgkXfkacCQ82wFqAp3LAYPIS10WhsSMxaDCf9Td2JEYKZjXG2NEmVLwUCBVncsScTCd5IFIXJgpvmKjFqJXGjpJyMiGeiZkcK5jwuGNH9sHYgGqBncvA7m+fx1BjRybl8UQJxu/zKBJhLASihX2EPo+iQQxuELyY9tE4VKXBWOdkFKN0n0eRSuw+jyKViH0eRRbcdWbAHeloMvH640iVyV70eTT5McI7q+Dr6vOk67YAeevvsS5xRvwT1zOhPo8mN+77h3Dr6vN0O7TWI73HQ++GnDLKuMbACMZXn4pEGOEJVZ/xh941DWRwA22tRhVpMKJxL2pUkYqSGs18TG6rMokoRhVZcJMh4A0zMsZH5EiVSDQtGhx6V2XICPe9qtH1LbAmcK+vKnFG/BOr0dDQuyo57huIkOuSo90e/f+z969Nkh3XmSb6V/KjWlmRti/u+8Jj/QFAF+skiLogoxKZEYJMFtdpmiSyjaRmjo2ZzERSlNQmdVNqdZ8jIyWhSbXN9Idj54AXiCABAn8h8h+N+87MSHCnX961IpbvCBuyW4mqysiq91nu29frvty3j+WgE287cj6pxmCqIF7Zxxt82xFTb3/QOMJtR0xyhZHvZdsRU6ImSQTkffkr+ix/cpKPSrvx6MnJ5h9MZD+5+c826F0b/IXx8XYr0Mnmc/P7j4yv/2m3z+fjL+4uut3x89Bo9g9u/rzz/B+6AvCUHQCwZkpwtd4NP0yFYIEUN6uhDT9MjWBpdFcbylRHKYMC8St06d3xw1Q4/I4frnAwd+55xw9XLZg7qTt+1MOOH+89se/wVYMZlGS5++FujQgzq3COXc/50hVROtw98qxRbWDTD1ewJgqGu4kN4ulWWE/wS75gMIGxpyXBTT9c0WBO2+OmH65SMLNRNv2oh00/3tHigq+Yku04HUKZR689a5wjxZgtW2jXT1XUKrDthysWzHrkbT/qdCuqJ/aSJ/ZwCy+Vd9uPpnGigOkLL4IghJU4dGI9QOFFMEAaDxA+uXVhPBXFICw8Eqao/sKLIEriwosgScLCiyAFddkXaI26Osu0i+RclORAKi+ShITxnjQNjFVe9P06vfcK3uey4IQBkD3FCVZeJOGojyACF6u8xFt0LAd9wNvQK+9GoIoaDAwwvR8VBCGMT6gfTbANXTAgGg/Izv5TEIMw/O7FfwqiCPlP7zZ0QZSEBlSQgpr9gOYom7OscDbIuShKMgca2ocuyUcY3/fqP+9vZtWBq3ZFwQkDINt/hvahS7JRH0CELWY/4w06loM2//v9J7dm5fdC9nLPG4BqF6YxlnUQU/Uxk20Aci6pvMnWC5YvUV+4+wYg+wn7V9gf3vwU3wbE5FcY/162ATElapJEprynbHlgjZPgQL2bdJgKwYImbixDm3SYGsFS5q6OkamOUrYE4ueM3TlbXZINOpmnUPk2XzaY2Rjbc2pfsf0rfLVgZqNuz6kftud4L1R9h68azG8kX4x2jed82WBaom/N8Wl9wdeqiVrh3mHjd7oV1hP8ki8YzFjsKUOu6zP3i3Vf8UWDSYy2K8c/ULzLVwqmMsqunPphV453kLjgK6akN06H8D10Y7ZkmR05Pp2v+TrBHEfejFOfbkX1xF7yxFq1izorV9nSTE11Mx+parkYzVbtatSq2Vyt1nqdL+54vLPTwDSdPUP1bsYJX3H2iBMFdM1jA1yUuawL5E1REMLiGDrJ/eJmnO02m5PNB/a255s/P9n8t81P7S9P6t/ceeNif0uUXePsO88eBTEIy3yEWaa/ziGI0s/iARR8OurfZyNIkrDMIUhBXWVFWsNFcS5KkazC0ZbNWd24AN+WBSSM4qSpXKzE0dyviHsvnn0uC04Y+9jzleAWG0k46tOHwMVqHPEWHctBH/AWm9q7xaalBgMDTO8yBUEI4xPqMhNssREMiMYDsrP1FMQgDL97sZ6CKELW0zk3fSZKktB6ClJQkx/SGi6Kc1GKZNYztLlGko8wsu/Ved7fPKoDd8mKghOGPrbzDG2ukWSjPnsIW8x4xht0LAed+K06ziniG2WVBfF0H2/oTTVcvWDREXWCg22q4fIrjH8fm2q4EjVJIiAvcqWXMr/7Z/Odn9v36LjaZOS84eukzfLqbPf7u1jXd7ki/pQdcbDqSrDRvn1CXIVgiRV3x4F9QlyNYHF1R9/LVUcppCLxq7MzZyo5ZytMsleoaLMz9wUhb/OFgyl7v7uF2GrBlE3cLVRl291ClfdO1Hf4qsHETTL6j1dbq7w9y53d4zlfOphz6TuGjL/M67PKs2uIrVcT9cK9xMbwdCusJ/glXzCYv9hzodCuIbZoMKXRdg3Vme/dTu/ylYKJjbBraDtYvBsYLC74iinJjtMhiqotqrPKaXLGbNkyO4fyIrNilbNXvOaLBZMedfuQ6RpbUT2xlzyxh1vY8bwz1szGcxonCpi8sCMJQlj+Q6fz8oUdyYBoPCD45NmF8VQUg7C6SZiRegs7kihpCzuSJOkKO5IU1MVloDWMAc98E2FBkkMo7ojyEUZ30pwvUtyp8rtaQOW9WPa5LDhh+GNPaALFHVE26vOHsEWKO0CDjuWgD3jveuPbVXQ3rSEEAwNMbz4FQQjDE2o+97p3XZJd4+w7+0xBDMJAuxefKYgi5DOdfeuZKElCnylIQc1zQGtoM2wrF8m5KEkynxnavy4KSBjJ92o0728WrQJXxYqCE8Y/ttEM7V8XhaM+gQhczGnGW3QsB23f0fOFoccayJTv6mlduMZLlkHcuo+baFtR67usi6sXrE6iVvCfNz+xO0Vu/mK7DtltDbldhfzew26QL2wtud1hZDeR/KLbkPKx8Yp3F0D9Vfda8vu9Rb+yf8nmw82n5iN/aX59d0/Uky9+57PNz7pf/bq7XupuL8rnnaTv3P2tm58bK5o9KexWD/P33vzVzXdcIX2LHVKFhXQvO5WYEjVJIlPeU7Y8sCxKMLfebT1MhWANFPesoW09TI1g9XNXN8pUR6l0AvFzxu6crS7Jlh7/63/YssFkSd/QU5SV8u/o4coFsyV1R0/5sKPHe93oO3zVYM4kmW60bzznywbzEn03j//9P2ytmqgV7h02fqdbYT3BL/mCwZTFno9UhfK8efgVXzSYxWg7eQIjxbt8qWAyo2zlKR+28nhHiQu+YkqC4/QI/wuAuJJltvH4XwDE1glmOfIOnvJ0K6on9pIn1qpdFG1ZFPl8tGzLxUipQo2aIstGq3zetvM6r+rVXULxTnkDawDsaa93B4+icaKArslxgIsyQXaBvCkK0ncAoQYCZ87/ny9Mfs2s+f8wk+NfdNNaM3M1k+SnZfkHdrqaKXu+5qPuJuWfdN+1E+nPRrd/aLf3uKLxlmg0NB6NnWeUghiEZUXCzNNfVhFEESqruN+0/0wUJWFdRZCCuqqLNIeL4lyUIllNRZm+Vrv43pblI4zrpNldrKSi7hfgvffDPpcFJ4x97CmMt1FfybJRnz2ELVZRiTfoWA76duO4Wtb1YlWO5nnTjFSli9GsXM1Hqp0t83k1WzZ68f4AttO5EGtsp6YGAwNMbzsFQQjDE2o7H28cv9sN7t4/fntUGLks1hWdt0Sjo/Ho7GxDBTEIQ/FebKggipAN9d3AJYmS0IYKUlBTIdIcLopzUYpkNrRqPKfP3pblI4zze7Wh91eFVoHLX0XBCWMf24Z6G/WVLBv12UPYYjY03qBjOejOhs7bpZ6pshkVs7w1n23Wo7meFaOmUs1ymS+Xhb4bWtPa0NIVDGNDK2owMMD0NlQQhDA8oTb0g7stOvevIfql3dTzyeajzS/v7OjJ5l+6TT1/3m0ussuk3YtrrNu8/fjnm89OzF/zD5sfjLqzjX+7+afNfzVf//vmx64IvSUaIY1HaGcrKohBGI73YkUFUUSsaO6ezT4TJUnoRAUpqNkQaA2fExWkSOZE8+qsrVx8b8vyEYb6vTrR+1tDq8A1sKLghKGP7US9jfpKlo367CFsMScab9CxHHTnRGdVkc2ycj2q1zN78DHPR7P1ejVSelmsZ6tsodfz9wdwosoVDONEa2owMMD0TlQQhDA8oU70B45d5h9bg/mFjeUnX1l9Y/bHs5M/nn1j9r//71+9s6jGdn7crZn+8s6yjp/lWtUv7n5XZNnN98yXE/NXf+oK1VuiodJ4qHa2pIIYhHGZYEm928MFSYQcaeYssT0TRUloSQUpqGkRaA6fJRWkSGdJy0adtdpF+LYsIWHU36spre89jPe+yOey4ITBj21KtdJnpW99VBKO+vghcDFXGm/RsRx02venu9e8jc9sgnhNH2/wg45Mvf1B47cHHR9sJzOkCgvpXg46MiVqkkSmvKdsef0BXfCgI1MheESE5FC9Bx2ZGsGzIbtaT6Y6yjkQIH4+S8lUN/RBR65sMFnu+6AjVy6YLakHHZuHg47eqwff4asGcybJZKN94zlfNpiX9nrQkatVE7XCvcPG73QrrCf4JV8wmLLY84880/lZ4yzPv+KrBtPYPk86cqWC2Yxy0rF5OOnoHSYu+IopGY7TJQInHZmSk5905OoE0xz5pGNzuhXVE3vJE9t5xWxdLLWaj2ZzrUeqnKvRPC+z0Uyvm3WjV3XW3nVu75w3MOlnz3u9Jx1bGicKmL7CIghCWGtDp847VFj+zt501e336X6vs6y9/cYPumupPtr80k567ybMn99+6L7u4ordW6Kx03jsdp6ACmIQVh33MVEVJEldchFE6buEAMqu815BCuqaL9AcvvmxIEWykkurtH8mLQlIyAKkyWCs4nJ/v2kVuLBWFJww9rFnPP5WfSULR336ELhYxSXeomM56MPdkW7PxrqC8UZZZ9RgYIDJXaokCGF8Ql3qADvSJSOk8Qjt6kUlMQjjMcGLenekS6IImVHnMPJMlCSdF5WkoGZDoDU8XlSSIpkXDexIF+UjDPX7tKJ1dmdcau+1j89lwQlDH9uKBnaki7JRnz2ELeJEgQYdy0Ef7is6lOf2DONEc2owMMD0TlQQhDA8oU408Ss6JKOj8ejs7EIFMQhD8V5cqCCKiAv1v6JDEiWhDRWkoKZCpDlcFOeiFMlsaOAVHaJ8hHF+rzb0/lLAOnDLoyg4Yexj29DAKzpE2ajPHsIWs6HxBh3LQR/uC4qNDVWuYBgbWlCDgQGmt6GCIIThCbWhwi8oloyGxqOxs+0UxCAMvXuxnYIoQrbT94JiSZSEtlOQgpr6kOZwUZyLUiSznYEXFIvyEcb1vdrO+xsC68Cdj6LghLGPbTsDLygWZaM+ewhbzHbGG3QsB5345KNn/2ddBvHaPt7QJx+5evtjxm9PPj6YTmZIFRbSfZx85ErUJIlMeU/Z8sBjJAQf69tQylUIHhnB7Wng5CNXY997ypx85KqjnAsB4ufzk0x1A598ZMsGk+WeTz6y5YLZknjysX644rEOXPHIVg3mTJLHRvvGc75sMC/t8+QjW6smaoV7h43f6VZYT/BLvmAwZbGnH7kuijO7O+Cx6ld81WAa2+PJR7ZUMJsRTj7WD3c8+oeJC75iSobjdAn/yUeu5NQnH9k6wTRHPflY2zse3UPDJU/s4ZZQct/Jx1rROFHA9CUUQZC+BQg1EDh1li6hCEZD49HYeUopiEFYRiRMPf0lFEGU1CUUQZSEJRRBCuoyLtIcLopzUYqDKKFI8hHGddL0LlZCub8SsA7c8SgKThj72HOYUAlFko367CFssRJKvEHHctAHvIHccwbJ2E5NDQYGmN52CoIQhifUdqbeQC4YHY1HZ2cbKohBGIr3YkMFUYRsqHcDuSBKQhsqSEFNhUhzuCjORSmS2dDQBnJJPsI4v1cben8lYB2441EUnDD2sW1oaAO5JBv12UPYYjY03qBjOegDfqNG7j3HWFGDgQGmt6GCIIThCbWhQ7xRQzBCGo/QzlZUEIMwHO/FigqiiFhR/xs1BEkSOlFBCmo2BFrD50QFKZI50dAbNST5CEP9Xp3o/ZWAdeCOR1FwwtDHdqKhN2pIslGfPYQt5kTjDTqWgz7cOx6NE1WuYBgnGr5ayBEMDDC9ExUEIQxPqBPd4Q3EO9/xKBkqjYdqZ0sqiEEYlwmW1Ls/XJBEyJH6XjgsiZLQkgpSUNMi0Bw+SypIkc6Shu54FCUkjPp7NaX3NwLWgTseRcEJgx/flPqb9ZUsHfX5Q+hitjTepGM56MRHHX2V9yaEV2R9vMGPOjL19keN3x51fPCdzJAqLKR7OerIlKhJEgF59lU8T07Kk5v/ZOL84eZfNx+fnWx+bFz/5186+fJXWpf6p2z1/QFf8CQkUyF4hITkYL0nIZkawbMju1pTpjrKOREkfnnlrG2dswUmOQyZ6yL3HHB6m68czKj7Pg/JlQumVOp5yIebIOvATZBs1WBiJVnxR92jrlrd1mdaucQ/54sHUxj9VGRRq7YsC//ZSK5iTVQM9xQbxdOtsJ7gl3zBYBJjz1iqwrhG55j3ii8azGu0o5GlVpX/aCRXKpjeKEcjHy6F9I8YF3zFlJTH6RF1oeosO8udbmzM1i1zPlLlRdm2jf+UJFctmPzIpyTt/ZDuQeKSJ/ZwqzOF95RkS+NEAdNXZwRBCOt06Kx70OqMYKg0Hip8qvqFaH3mCtDz2wDZGzI/swsH3fc/e3Ky+fDmz26+c2Yi1OaFQXvx5OTmL7qVje+cPJwztb/s/uz21k3zGfsP/ML8Y+YDJ2WW/W55F07zLXu84JOb/9g1wYcnze2fmq8f3h48sH/BmSvqT0WjTlhP3ccUW5AkdTFJECVhMUmQgrqYjTRHoZTnhXXnoiyJS0q+fU6ShIRURZrHxkpK91ce1oFLLEXBCUMge4KmlT4rfVvuJeGoDyECF6soxVt0LAd9wFvuC9/JzyajBgMDTG6lJUEI4xNqpQfYci8ZIY1HCHfQLoynohiE8ZhgSb1b7iVRhDypcxh5JkqSzpJKUlCzIdIaZavPnH7tXBQlnSOtznJnh3tblo8w3u/Tjzb3Fx82gZssRcEJ4x/bj9pGdU6jXsmyUR9AhC1iR4EGHctBH/CLSArfCdAmeJ+SKxgYYHo7KghCGJ5QO5r4RSSS0dF4dHa2ooIYhKF4L1ZUEEXEivpfRCKJktCLClJQUyHQHHmtzpSzQc5FUZJ50cDbSET5CIP9Xr3o/e2HTeA6S1FwwgDI9qKBt5GIslEfQIQt5kXjDTqWgz7gdzEXvjOgTUENBgaY3osKghCGJ9SLCr+LWTIaGo/Gzt5TEIMw9O7FewqiCHlP37uYJVESek9BCmrqA5qjaLOz2tkg56Ioybxn4IXMonyEwX2v3vP+CsQmcKelKDhhAGR7z8ALmUXZqA8gwhbznvEGHctBJz7oWbrwjJssg3h5H2/og55cvf0x47cHPR+cJzOkCgvpPg56ciVqkkRAXvigZ+6sej5lywcPyRDMrm8bKlcheCIG97CBk55cjeBRmF3NKVMd5dgLED/dlmfapfCcrTDNUc9MZ2eNr6rOVQ7m1D0f9WTLBZMq8ahn83D1ZRO4+pKtGkytJCvuOM5XVflZ5XSmz/nawRxGP+mZq6zMSl8fecFXrImK4Y5io3i6FdYT/JIvGExi7AnL7cjh27rBVQ0mtj0e9WRLBfMb4ahn83ALpn/EuOArpuQ8Tpewo4XWZ3d36Tye0jF1yxz1LPJMaZ17j3qy1YLJj3rUs7EXYrpHiUue2MMtwpS+o56NonGigOmLMIIgfWMQaiBw3i1dhBGMhsajgc9HXRhPRTEIa5CEeam/CCOIkroII4iSsAgjSEFdAwaaI1fNWemtwgiyHEQVRpKPMLqTpn6xKsz9LYpN4FpMUXDCCMie1ISqMJJs1CcQYYtVYeINOpaDPuDd6KX3cKSmBgMDTG8+BUEIwxNqPlPvRheMjsajs7MZFcQgDMV7MaOCKEJm1LsbXRAloRkVpKCmQqA5mvYsc88OzkVRknnR0G50ST7CYL9XL3p/lWITuBtTFJwwALK9aGg3uiQb9QFE2GJeNN6gYznoA35RR+k9GVlRg4EBpveigiCE4Qn1okO8qEMwQhqP0M5+VBCDMBzvxY8Kooj4Uf+LOgRJEtpRQQpqNgRao8497186FyVJ5kZD7+mQ5CMM93t1o/fXKTaB+zFFwQnDH9uNht7TIclGff4QtpgbjTfoWA66c6N1ti6WWs1Hs7nWI1XOlfGwZTaa6XWzbvSqztpB3KhyBcO40eCtTK5gYIDp3aggCGF4Qt3oDm9g/jvjWbt3Bd/+XmdZe/uNH9h1VGto7Ub2u03wn99+6P69zK7YvSUaO43HbmefKohBGKgJPtW7uVyQRMim+t5xLImS0KcKUlDzJNAcVanPMu9bPARZkjnVVmnP/r+3ZQEJuWCvVvX+isUmcGumKDhhBGRbVX+rvpKFoz6DCFzMq8ZbdCwHnfgspc99NkG8oo83+FlKpt7+oPHbs5QP3pMZUoWFdC9nKZkSNUkiIC/fnqL84hnK0tlZn7Jlg8dP9mFzmQrBoyYk++o9Q8nU2PemQmcomeoo50mA+KnKJe+cLS/NAcrQXZls5WAi3fcBSq5cMJNSD1A+3JXZBO7KZKsG8ynJgD+aQ7VtW5xVzv7xnC8dzFuM85NZU6vA8UmuYE0UDHcTG8TTrbCe4Jd8wWD+Yk9SbscN54j3iq8azGn7PD7JlQqmNsrxyYebMv3jxQVfMSXdcbqEHSvys9rZJ8Zs2TKnJ/OqzHNfr3jNFwsmPvLhSXtPpnuMuOSJtWqxi4Asj3eGHFgiYM+SvYcnWxonCpi+SiMIQliZQyfaO1Rpdr4nUzJUGg8VPjt1YTwVxSAsSe5jtipIkrooI4jSdwcBlF0nv4IU1AVhoDlUe1Y4u9a5KEmykkzw2klRQsLIT5oSxmoy95cUNoFrJ0XBCQMgf7rTNat20b2SpaM+gwhdrCgTb9KxHPQBb2dXvqOVbfjWI0cwMMDk1lQShDBAodZ0gO3skhHSeIR2daSSGIQBmeBIvdvZJVGELKlzGHkmSpLOkUpSULMh0Bpa+3azS4KkM6T+3eyifITRfp92tL2/pLAN3DopCk4Y/fh21L+bXZSN+vghbBEzCjToWA76gN/zoXxnK9vwtUeOYGCA6c2oIAhheELNaOL3fEhGR+PR2dmICmIQhuK9GFFBFBEj6n/PhyRKQicqSEFNhUBzVGeti+NclCOZEQ285EOUjzDS79WI3t9Q2AaunBQFJ4x+bCMaeMmHKBv16UPYYkY03qBjOegDftux8h2rbAtqMDDA9EZUEIQwPKFGVPhtx5LR0Hg0djaeghiEoXcvxlMQRch4+t52LImS0HgKUlBTH9Acee67/EcSJJnzDLzqWJSPMLTv1Xne30/YBi6cFAUnDH9s5xl41bEoG/XxQ9hizjPeoGM5aPO/339ya7h+L+Qs93xY0jkgGU9ZBjHLPmayw5LOGsubbL39seP/BoclPzPuFDksyQ2pwkK6j8OSXImaJJEp7ylbHniohGBpfdtMuQrBAyS4Uw0ciuRqBE+O7GpBmeoop0SA+Dljd85Wl+RMZOZ9qQZbNpgsGQci26b0HohkywWzJfFAZPtwo2QbuFGSrRrMmSSvjfaN53zZYF6iH4b0aX3B16qJWuHeYeN3uhXWE/ySLxhMWexpSF7o0nNL+iu+ajCN0c5BBoaKd/lSwWxGOAfZPlwj6R8mLviKKRmO0yV8j92YLVnmDKRP52u+TjDNUY8/tvbuSPfQcMkTa9VmmW5VppYjvVyvRnm+Wo/aTBWjZtnO1KJcVWWxuOXxznkDk3/2vNd3/LFVNE4U0DU7DnBRZsgukDdFQfoWINRA4NT5g+0s9cPQjPbDm+/fbfd541lR3v7qaYd4++vKHnbsvuShA4+SwdF4cHaeYQpiEFYX9zETFSQRqa3k7gHkmShJwtKKIAV1bRdoDd/8V5AiWV2lyMrmLNMuwrdlCQnDPGm2F6us3N852AYukRQFJ4x9/ClNnhVn2rerR5KO+vwhdLHaSrxJx3LQB3zW0XMqxvhQTQ0GBpjehwqCEAYoqg9NedZRMEIaj9DOZlQQgzAgE8yof6ePIIqQG3UOI89ESRK6UUEKajYEWsPnRgUpkrnRvPK+d0OUjzDU79WL3t852AYukRQFJwx9fC/qa9RXsmzUZw9hiznReIOO5aAPeH+59h50rKjBwADTO1FBEMLwhDpR6f3lgtHQeDR2dp2CGIShdy+uUxBFxHUG9pcLoiS0nYIU1NSHNIeL4lyUIpntDG0ul+QjjOt7tZ33lwu2gdsiRcEJYx/bdoY2l0uyUZ89hC1mO+MNOpaDPuD3a2jvscbwdUSOYGCA6W2nIAhheEJtZ+r3awhGR+PR2dmGCmIQhuK92FBBFCEb6n2/hiBKQhsqSEFNhUhzuCjORSmS2dDQ2zUk+Qjj/F5t6P29gW3gJkhRcMLYx7ahobdrSLJRnz2ELWZD4w06loNOfBGkc0XbGMsmiKf6eIOfbWTq7Y8Zvz3b+GA6mSFVWEj3craRKVGTJDLlPWXL64/ngmcbmQrBQyG4PQ2dbWRqBE+D7Oo7meooJz+A+Pn8JFPd0GcbubLBZLnvs41cuWC2pJ5tfLjssQ1c9shWDeZMksdG+8ZzvmwwL+31bCNXqyZqhXuHjd/pVlhP8Eu+YDBlsacf4bONXNVgGtvn2UauVDCbUc42Ptzx6B8mLviKKRmO0yUCZxuZkpOfbeTqBNMc+WyjvdrRPTRc8sQebkml8p5tbGmcKGD6koogCGGpDZ06py6pCEZH49HZeYopiEFYViRMRf0lFUGU1CUVQZSEJRVBCuqyLtIcLopzUYqDKKlI8hHGedJ0L1ZSub/1rw1c5CgKThj72HOaUElFko367CFssZJKvEHHctAHvKG88hxtVHdzBkIwMMDUNlQUhDA8oTZUdkO5aDQ0Ho0dbacoBmHo3YPtFEURsp2eDeWiKMlspygFNfUhzeGiOBelSGY7/RvKZfkI4/oebadhunUpd79wgT+XBSeMfWzb6d9QLstGffYQtrDtRBp0LAd9wG/UqDznGFUWvjTIEQwMML3tFAQhDE+o7Uz/Rg3RCGk8QjtbUUEMwnC8FysqiCJiRX1v1BAlSehEBSmo2RBoDZ8TFaRI5kT9b9SQ5SMM9Xt1ovm9cfHf2CgLThj62E7U/0YNWTbqs4ewxZxovEHHctAH/I7hynO0UWUFNRgYYHonKghCGJ6oTjTJO4ZFg6Px4OxsQgUxCCMxwYR6doSLkgh5UPc7hkVJEnpQQQpqHgRaw+dBBSmSedDQO4ZlCQnD/F5daHFvWvy3N8qCE8Y+vgsNvGNYlo76/CF0MR8ab9KxHHTis43OVW7jLMsgnu7jDXy2ka23P2r8</t>
  </si>
  <si>
    <t>9mzjg+1khlRhId3D2Ua2RE2SyJT3lC0PPCiyDyfLVAgeCqE4VN/ZRrZG8DTIrt6TqY5y8gOIn89TMtUNe7aRLxtMlvs928iXC2ZL2tlGI+f+bKP5pfdsI181mDNJLhvtG8/5ssG8tMezjXytmqgV7h02fqdbYT3BL/mCwZTFn4AEzjbyVYNpbH9nG/lSwWyGn218GCbeDQwTF3zFlAzH6RLes41syYnPNvJ1gmmOeLbR9oitqJ7YS57Yw62p1J6zjUYpjRMFTF9TEQTpW4BQA4FT58Q1FcHgaDw4O88wBTEI64r7mIkKkiSuqQiSJKypCFJQ13SB1vDNfwUpDqSmIklIGOZJs71YTUXdL8D7722UBSeMffwpTbCmIklHff4QulhNJd6kYznoA95lXnsPN2pqMDDA9D5UEIQwQFF9aMpd5oIR0niEdjajghiEAZlgRv27zAVRhNyocxh5JkqS0I0KUlCzIdAaPjcqSJHMjYZ2mUvyEYb6vXpRfW9c/Pc2yoIThj6+Fw3sMpdkoz57CFvMicYbdCwHfcCv2ai95x0rajAwwPROVBCEMDyhTlT6NRuC0dB4NHZ2nYIYhKF3L65TEEXEdQZesyGIktB2ClJQUx/SHC6Kc1GKZLYz9JoNST7CuL5X21nduxT/vY2y4ISxj207Q6/ZkGSjPnsIW8x2xht0LAd9wC8Zrr2HG8O3BzmCgQGmt52CIIThCbWdaV8yLBodjUdnZxsqiEEYivdiQwVRhGyo5yXDoigJbaggBTUVIs3hojgXpUhmQ/0vGZblI4zze7Wh9b1r8d/bKAtOGPvYNtT/kmFZNuqzh7DFbGi8Qcdy0InPNjYuPGMsmyBe1ccb/GwjU29/zPjt2cYH08kMqcJCupezjUyJmiSRKe8pW15/PBc828hUCB4Kwe1p6GwjUyN4GmRX38lURzn5AcTP5yeZ6oY+28iVDSbLfZ9t5MoFsyX1bGPzcLbRf28jXzWYM0keG+0bz/mywby017ONXK2aqBXuHTZ+p1thPcEv+YLBlMWefoTPNnJVg2lsn2cbuVLBbEY529g8nG3039vIV0zJcJwuETjbyJSc/GwjVyeY5shnG5vTraie2Eue2MMtqTTes40tjRMFTF9SEQQhLLWhU+fUJRXB6Gg8OjtPMQUxCMuKhKmov6QiiJK6pCKIkrCkIkhBXdZFmsNFcS5KcRAlFUk+wjhPmu7FSirt/Qq8/95GWXDC2Mee04RKKpJs1GcPYYuVVOINOpaDPuAN5Y3vaGOeUYOBASa3oZIghOEJtaHCG8olo6HxaOxqOyUxCEPvPmynJIqQ7fRtKJdESWc7JSmoqQ9pDhfFuShFMtsZ2FAuykcY1/dpO/P7a/7ywL2NouCEsY9tOwMbykXZqM8ewhaxnUCDjuWgD/iNGo3vHGMevjrIEQwMML3tFAQhDE+o7RzgjRqSEdJ4hHa2ooIYhOF4L1ZUEEXEinrfqCFJktCJClJQsyHQGj4nKkiRzIkG3qghykcY6vfqRO+v+csD9zaKghOGPrYTDbxRQ5SN+uwhbDEnGm/QsRz0Ab9juPEdbcwLajAwwPROVBCEMDxRnWiadwxLBkfjwdnZhApiEEZiggn17QiXJBHyoJ53DEuSJPSgghTUPAi0hs+DClIk86DBdwyLEhKG+b260PtL/vLAvY2i4ISxj+9CQ+8YFqWjPn8IXcyHxpt0LAed+Gxj68IzzrIM4tV9vKHPNnL19keN355tfLCdzJAqLKT7ONvIlahJEgF5dsL65KQ8uflPJs4fbv518/HZyebHm483n3/p5MtfUS71T9nqwXMk+zC6TIXgmRGKgfUefeRqBA+L7GpNmeooB0OA+JVF5l5DOGcrTHL8sSgaM/Q7lb/NVw6m1D2fgGTLBXMq8QRk/nC7Yx643ZGtGsysJC/ej3dd5sZVnSnn8PWcrx1MYfRjkK3WtS7PCs9ZSLZgTRQM9xMbxNOtsJ7gl3zBYA7jT1gKbcytc9XjFV81mNdoZyGVqpVnbvUuXyqY3ghnIfOHex79A8YFXzEl5XG6hMryojYzH2c1ZczWLXMgMldlWRXtWeM5FslWC+Y+6rHI3F756B4lLnliD7cc0/qOReaKxokCpi/HCIL0fUGogcBZd+JyjGBwNB4cfHK6+YE7JCf2POntb+xk9cPNz7rfdIdGP7Cbp+xGqicn5g/+7OY7ZyfPXmd1+/zJyc1fdOsZ37ELFh91+69ud1fd/KX58V+a79u/8xfmHzP/qI3p75r/68JpvmUPrn5y8x/NxNj8Oyd5dvvH5uuHt2da7V905gr7U9GwE5ZQ9zGrFiRJXD4SJElYPhKkoC5fA61RWmerXCjnoiiJa0i+nUyShITcRJq3xmpI95ca5oF7KkXBCQMgf0oWrCFJ0lEfQoQuVkOKN+lYDvqAd9V7KjjGPGtqMDDA9OZZEIQwQFHNc8pd9YIR0niEcAftwngqikEYkAmO1L+rXhBFyJI6h5FnoiQJLakgBTUbAq1RNsrzluRzUZRkljSvznJnh3tblo8w3u/VkN7fbZgHLqsUBSeMf3xDahrVVyGQZKM+gAhbzI7GG3QsB33A7xZpvYc8K2owMMD0dlQQhDA8oXZU+t0igtHQeDR2tp6CGIShdy/WUxBFxHoG3i0iiJLQewpSUFMf0BxN5l6dPhcFSeY8Q68XkeQjDO17dZ731xvmgfsqRcEJwx/beYZeLyLJRn38ELaY84w36FgO+oBfrtx6D3WGb01yBAMDTO88BUEIwxPqPBO/XFkyOhqPzs5OVBCDMBTvxYkKogg5Ud/LlSVREjpRQQpqKgSaQ/mq1ueiJMmsaOAFy6J8hLF+r1b0/orDPHBnpSg4YfxjW9HAC5ZF2ajPH8IWs6LxBh3LQac91+neZ2HMZRPEa/p4g5/rZOrtjxm/Pdf5YDyZIVVYSPdyrpMpUZMkAvLC5zpz50P2lC2/P94LHuxkKgQPwOAWNnSwk6kRPPmyqzdlqqOccgHiV/hOI5yzFR7AwU6ucjCn7vtgJ1cumFSpBzsfrrbMA1dbslWDqZVkxfvx1lVTlvlZ5ezaz/nawRxGP9hZqzKr9FnpO9jJFayJguF+YoN4uhXWE/ySLxjMYez5SvhgJ1c1mNf2ebCTKxVMb5SDnQ+XXPoHjAu+YkrK43SJMs/b2jx7pUv3mK1b6GBnnivd1metdql9zVcL5j7ywU5736V7lLjkiT3Ykoz2VJLNrLmlcaKA6UsygiCEZTp02p26JCMYHY1HB5+eujCeimIQliQJ01R/SUYQJXVJRhAlYUlGkIK6JAw0R1mflZWzQc5FUQ6iJiPJRxjsSRPBWE3m/o7EPHDppSg4YQBkz3FCNRlJNuoDiLDFajLxBh3LQR/uxnTjRZ1Lt2+oInwVkyMYGGByLyoJQhieUC8qvDFdMhoaj8au3lMSgzD07sN7SqIIeU/fxnRJlHTeU5KCmvqA5qjMOF47G+RcFCWZ9wxsTRflIwzu+/Sexf1FiUXg5ktRcMIAyPaega3pomzUBxBhi3hPoEHHctCH+44O4z1LVzCM9wxfvuQIBgaY3nsKghCGJ9R7DvCODskIaTxCO/tRQQzCcLwXPyqIIuJHve/okCRJaEcFKajZEGiNom3OWmeDnIuiJLOjgXd0iPIRxvu92tH72xKLwPWXouCE8Y9tRwPv6BBloz6ACFvMjsYbdCwHfbjvW9aeqyuMHS2owcAA09tRQRDC8ES1o2netywZHI0HB3ei9Pctf/Ely0VW/MZLln+1XUS+3+Xw2Un3N3/yMB0Qe+myZOwJ6YNgn3073iVJhNyz56XLkiQJ3bMgBTV5A61R1Oos82y0l0RJ5p6DL10WJSQkqL365/tbHovAxZ2i4IQBkO+fQy9dFqWjPoQIXcxBx5t0LAed+ICnZ6tqUQbx2j7e0Ac8uXr7o8ZvD3g+GGZmSBUW0n0c8ORK1CSJgLzIAU9np33Klg8ejtmH3WUqBA/CUGys94AnVyN4AmZXg8pURzntAsSvMLZMuRSesxUOf8CTrRzMqXs+4MmWCyZV4gHP4uHmziJwcydbNZhaSWb80QFPVbZ5e5Y7O8hzvnYwhzEOeNqDW7X35k62YE0UDPcTG8TTrbCe4Jd8wWAO489YQgc82arBvLbHA55sqWB6IxzwLB5u7vQPGBd8xZSUx+kSZnDWNtLOwWLM1i10wDOrqrrIvDd3stWCuY96wLOwN3e6R4lLntjDrSR51lTNrFnROFHA9JUkQZC+Lwg1EDjtTlxJEgyOxoODz07plSTfzZ2N3vzjF6tKP+tqQt/d/OR2JUKqfCQYcMLq6T7m04IkictHgiQJy0eCFNSVa6A1CnsYwGlfzkVRDqR8JElIyEqkGWusfHR/wWMRuLNTFJwwAPInY8HykSQd9SFE6GLlo3iTjuWgD/g8gGcjr7HNmhoMDDC9bRYEIQxQVNuc8jyAYIQ0HiHcO7swnopiEAZkgiP1nwcQRBGypM5h5JkoSUJLKkhBzYZAaxRNdZY1LpRzUZRkljR0HkCSjzDe79WQ3l/xWATu7BQFJ4x/fEMaOA8gyUZ9ABG2mB2NN+hYDvqAX42Se4+nVtRgYIDp7aggCGF4Qu2o9KtRBKOh8WjsbD0FMQhD716spyCKiPUMvBpFECWh9xSkoKY+oDl0e+ZcKjwXBUnmPEMvRpHkIwzte3We91c8FoE7O0XBCcMf23mGXowiyUZ9/BC2mPOMN+hYDvqAXxCde0+ihm+NcgQDA0zvPAVBCMMT6jwTvyBaMjoaj87OTlQQgzAU78WJCqIIOVHfC6IlURI6UUEKaioEmqPUZ7XPigqSJLOigfdDi/IRxvq9WtH7Kx6LwJ2douCE8Y9tRQPvhxZloz5/CFvMisYbdCwHnfhIp6/K3oTwyqyPN/iRTqbe/pjx2yOdD8aTGVKFhXQvRzqZEjVJIiAvfKTTPYd/ypbfH+8Fj3QyFYJHX3ALGzrSydQInnnZ1Zsy1VHOtwDxq3w3dnL1HcCBTq5yMKPu+0AnVy6YUqkHOh9u7CwCN3ayVYOJlWTEHw0KZZvXZ2Xrkv6cLx1MYPTznHmTt5X3vk62Xk3UC/cSG8PTrbCe4Jd8wWD+Ys9Vwsc5uarBnLbP45xcqWBqoxznfLiv0z9cXPAVU9Idp0vUVdme1c44j9mqZQ5zFnXRqjOlXVpf87WCWY98lNPe1ekeIS55Yg+3FFN4j3K2NE4UMH0pRhCEsDyHTrdTl2IEo6Px6ODTUhfGU1EMwlIkYXrqL8UIoqQuxQiiJCzFCFJQl4Kh5mjd7XEuSnIQpRhJPsJYT5oBxkox9zc7FoGrOkXBCeMfe3oTKsVIslGfP4QtVoqJN+hYDvqA96MXvuORZfDuKFcwMMDkVlQShDA8oVZUeD+6ZDQ0Ho1drackBmHo3Yf1lEQRsp6+/eiSKOmspyQFNfUBzZGbQdzZHueiJMmsZ2BDuigfYWzfp/Us7y92LAM3dYqCE8Y/tvUMbEgXZaM+fwhbxHoCDTqWgz7gN3MUvqOQZfCeKFcwMMD01lMQhDA8odZzgDdzSEZI4xHa2Y4KYhCG473YUUEUETvqfTOHJElCNypIQc2GQGvUZ6WzOc5FQZKZ0cB7OUT5CKP9Xs3o/bWOZeCeTlFwwujHNqOB93KIslEfP4QtZkbjDTqWgz7gtysXvtORd8MZIRgYYHozKghCGJ6oZjTN25Ulg6Px4OzsQwUxCCMxwYf6NoxLkgjZUM87iyVJEtpQQQpqHgRaozqrPfvUJUGS2dDgG4tFCQkj/V6N6P3tiGXgwktRcMLwxzeioTcWi9JRH0GELmZF4006loM2//v9P/2CdfF6zW+uFt/66te/5ggEy2r6ljzLIGfe5/Qdk/SrpRjIh5OSTrlvsuX2u1kguKBN/Bdb9+4WIn/ZVcB/alcgP+92Zn7WHVT8dbeB0/7qp09OHv7s5q9vvtcdYbR/cPNt+20XqnGG5ZfO2byPhks/8G6j5fjy+e+YAVA9MV9a80XZX6nWN1BycRQdx7td3cnwwjK8sAwvLMMLH8MLPoOmM+Db2A3CS4vw0iK8tAgvfQgv+Qj4Y8QfrC3K2KKMLcrYoox9KGM2yqOTDxEUWm96bfW/tvpfW/2vffpf8/Xj6YJ4IMLIv7TyL638Syv/0if/kif/CwOyTSO/F8qC+3xZQOk7/VCqIEXpbQRMLDMD+t8VwNXbTwo7vivA7hj7q+6Qwu17AuxuMHs30m157jbJfdYd3v+oWzb5/t17AP5+8182P9z8l7vf/fSksDvKPjEf//5Jd1uS/etut6HZTWWuELzFDkE/kQie7edK1CSJTHlP2fLAs4/7WIphKgTPOVKWWLxn97kawQOOuy6eMNX18/yOZ/edsTtnq0tycj/znIN/my8bzG30Y/u5qmvvsX22XDC7EY/tl2p7bL/03hj0Dl81mONIsx60bzzny1ZE2XDf8Gl9wdeqiVrh3mHjd7oV9njawhUMpiz28lmRlcVZ7TxC/IqvGkxjtOP6gaHiXb5UMJsRjutvh4l3A8PEBV8xJcNxuoTvsRuzJcuc1ffpfM3XCaY54rTU9oitqMfzUI7YzmzrfDHXajmaqfV6pFZqMZo3i2akV6t2NZsVTXPP452i/vFsv5sC7ATQN1HVNEyUzzWZDWBRJrQukDdFQQiVInSm+y+3V//evonuw9s34N0u7drtp925qDz73Vz/bvFEeyv9gsgaR9552iiIQSh14dNL3/sBvyyKIlPqd3E8E+VIWOgXpKBWGYG28M1pBSmSVfmbwORXko8wcpPmb7Ea//2dYWXgEjhRcMLAx56keBv1lSwb9dlD2GIV/niDjuWgO1+pVllVzzM9mi2z5UjpRo/a+Wo+mi/X87ZqsjJb3BmupL7SudJqfGVFjQXGl95XCoIQRifUV35gSyX2VJN9vVNnI29P028+uj8JZf9MZ79r/n/2RGX2d6XXYAqya5x9Z4MpiEEYZ3GD2e36+NnZibtdviwKlNRmCnIktJmCFNRUB7SFz2YKUiSzmUp5Nsu+LctHGMj3ajPvLwgrAze+iYIThj+2zfQ26itZNuqzh7DFbGa8Qcdy0Hfvdlrny3yRjfLFohip+VKNmpX50dU6X1WtqsqmmL+f3maWrlgYmxm8csQVC4wvvc0UBCGMTnybaffZdBt2Ptz81Pzh92/+881/NN8m2U3BGGg8BjvbTUEMwni7R7spCJTUbgpyJLSbghTUlAe0hc9uClIks5veW+veluUjDOh7tZv3l4CVgVvdRMEJwx/bbnob9ZUsG/XZQ9hidjPeoGM56M5u5rN2WSyqfNQU5XqkilKP5nnbjFZtneXL+bLWavV+erupXLEwdrOhxgLjS283BUEIoxNsN+9O0H94svlBd1L+uzd/frL5H8Zr/rI7Tn+7Rfznd8fnC90dki9uv55pj7F5SzQKGo/CzoZTEIMw4hIMp3d/tiCJjNP0HpUXJEnoNQUpqPkOaA2f1xSkSOY1AwV0STzCYL5Xq9ncOxPvzUrPZcEJAx/baua6yM5K59LWK1k66sOH0MXMZrxJx3LQKa8QLr1F8TZIp/p0g58KZOrtDxrHfCqQGQKFhWAvpwKZEjVJIlPeU7a8/gAseCqQqRA8TkFxk/5TgUyN4DmKXX0iUx3lzAQQP5//Y6ob+lQgVzaY2/Z9KpArF8xu1FOB7cOpQO9FOe/wVYM5jmSK0b7xnC8bzEt7PRXI1aqJWuHeYeN3uhXWE/ySLxhMWez5gqr1We0U/YovGsxi+zwUyJUKJjPKocD24VCgd5S44CumJDhOjwgcCmRKTn4okKsTzHLkQ4Ht6VZUT+wlT2yntpjr1VotRllVafsqt2bUZMt2lGU601XT5K2+S4PeGWpgis6dpfoOBd5dpQdjonzJyxySIISVMXSi+8Pbu89ONj8zE9zPb1/lZk8Jdu96+/XtN29vp7if2ubd8cDNp+ZPnG35lmgINB6CXWeRkhiEpb49zDYlSdLWOCRJ0tU4JCmoy6xAa3jmuJIUyWocZdZ67+YVBSSM5aQJXaTKoe7v01KBC9JEwQlDH3vWkmfqTNcuuFeycNSnD4GLFDmAFh3LQR/uOUHv3bwqp8YC40tvNQVBCMMTajX3ek5Qkl3j7Dt7TEEMwkBL8JiRjduSQDJW08XxTJQjodEUpKCmOqAtfEZTkCKZ0QycExTlIwzke/WZ91dlqcDdZ6LghOGP7TMD5wRF2ajPHsIWs5nxBh3LQR/uOUHvpRSqoMYC40tvMwVBCKMT32bu4ZygZAw0HoOd7aYgBmG83aPdFARKajcFORLaTUEKasoD2sJnNwUpktnNwDlBUT7CgL5Xu3l/HZYK3HAmCk4Y/th2M3BOUJSN+uwhbDG7GW/QsRz04b5V13vTriqpscD40ttNQRDC6ITazX28VVcSWePIO7tLQQzC8Iq7S/9bdSVRkvpKQY6EvlKQgprbgLbw+UpBimS+MvBWXVE+wsi9V19Z3tuQMuArJcEJAx/bVwbeqivKRn32ELaYr4w36FgOOu2RQN/CpArS6T7d0EcCuXr7Q8YRHwnkhkBhIdjHkUCuRE2SCMiz5YknJ+XJzX+yb+/Y/Ovm47OTzY/t7tYvXf276sw2yA82P/yNZvjB5p82f2uc/P8YPX7Bx8nvdO36SbdkbNvL7n89sRtg/81d+31qPm7/pU+6N4b8pfndt7sJwKe9pjX/4In53UemF310e3Oy3Vb7c7sifdJtuv3F5uc33735nvnVZ+Zf/7TrRx+eucL9lB1u8LwI7qH9m06ZCsHDIQRr7D/iyNUIngrZ1fYy1VFOgCDxyxv3osM5W2GSY45llZ0pZ+d8my8czNh7PujIlgvmbOJBR/Vw/aEKXH/IVg1mbpLRf1S6L6q6PKudHuk5X7oiSsf7R62aujprPCce2YI1UTDcTWwQT7fCeoJf8gWDGYw9GQreg8hWDWY12pHHosj1mfYceWRLBZMb4cijergH0T9eXPAVUxIeq0uorGrMrEq7dI/ZumXOPRZVYf7ls8Jz+JEtFsx81MOPyt6I6B4kLnliD7Z2U3oPP2oaJsqXvnYjCEJYAUSn9Hup3QgiaxwZnx+7MJ6KYhCWMPF5Z6B2I4iStHYjyJGwdiNIQV0/RtqicM4IzkU5DqJ6I8lHGLtJk7pY9eb+Cj0VuBNRFJww9LEnLKHqjSQb9elD2GLVm3iDjuWgD/eso/f1j6qixgLjS+8sBUEIoxPqLPd71lGQXePsO1tMQQzCOItbzOjmc0GgpEZTkCOh0RSkoKY6oC106xyyz0U5khnN0GlHST7CUL5Xo3l/iZ4K3IooCk4YANlGM3TaUZKN+vQhbDGjGW/QsRz04Z529G8qCl/Z44gFxpfeaAqCEEYnvtHcx2lHwRhoPAY7G05BDMJ4u0fDKQiU1HAKciQ0nIIU1JSHtIW7pn0uypHMcIbOO0ryEYb0vRrO+2v0VOBeRFFwwgDINpyh846SbNSnD2GLGc54g47loA/3XsTSe94xfG2PIxYYX3rDKQhCGJ1gwylzL6JkFDQehZ0tpyAGYcQlWE7v9m1BEhmv6X1nsCBJQrcpSEHNd0hrlNlZ4Ry6z0VRkhnOQCVdEo8wou/Vb97fpKcClyOKghNGP7bfDF6OKEpHfQIRupjjjDfpWA467UlIn4dsg3RVn27wk5BMvf1B45hPQjJDoLAQ7OUkJFOiJkkE5AVPQmrz615D/tQa+Ls9sB/a9WS7U+Hmeyc33zF//N3NT1wtu/n7r2x+eNL90Ocnmx/leWF3035mW/ajrl98fPKVr83+ZH3yG6co7clHXdhDlEbFf9381Ewiup5g5hB2SmH+2s82P/mitI83v/iNY5qf3N5Mctvf/n7zo80Ho83fntgZRnc1yc237d/w87t/6faTXe80QHd9zX67O9Bp/vzXt6c14YOct3I+/8LSu1H8weaDkyr7fxX1LbDv3Cazc/TTn+C5TaZC8IQLxdD7z20yNYJHW3a16kx1lGMsQPxK3Zw570A4ZytMcm7T+ISz3OetucJBf7Hvc5tcuaDDoJ7bfLigUgUuqGSrBn0GaWLy6HiTzlXju93jOV87aBDoBzd10dZte9b6Dm5yBWuiYLif2CCeboX1BL/kCwZTGHv2Frqqki0azGr7PLfJlQomN8q5zYerKv3jxQVfMSXhcXpEXtvLa84a51gxZuuWObdZt6oy40SjXWJf88WCmY98btNeWukeIy55Yju10K1Dlse7chBYOuGuHvjOberwrUqPMFG+5DUoSRDCiiW6ACFxaaVkCDQeAnx278J4KopBWILdwzxUkiRtAUqSJF0BSpKCuvwNtEbZ+iYJ56IoyQpQoZsrRQEJAzppphcpQen7ew514OZKUXDC+MeexIRurhSFoz6CCFykAgW06FgO+nBPcyrfaU6dU2OB8aX3m4IghOEJ9Zt7Pc0pya5x9p2NpiAGYaAlGM3I5npJIBm/6eJ4JsqR0G0KUlBTHdIWdatcIOeiIMm8ZuA4pygfYSzfq9W8v+tQBy6vFAUnjIBsqxk4zinKRn38ELaY04w36FgO+nCPcyrfcU5dUGOB8aV3moIghNGJ7zT3cJxTMgYaj8HOjlMQgzDe7tFxCgIldZyCHAkdpyAFNeUBbaFLZ+3tXJQjmeEMHOcU5SMM6Xs1nPe3HerA9ZWi4IQBkG04A8c5RdmoTx/CFjOc8QYdy0Ef7iuQlW8rvi6pscD40htOQRDC6IQazn28AlkSWePIO/tLQQzC8Ir7S/8rkCVRkjpLQY6EzlKQgprbgLYoa+cYfS7KkcxZBl6BLMpHGLv36izv7zvUgQssRcEJQx/bWQZegSzKRn36ELaYs4w36FgO2vzv92/t5V1/9nrHb64W3/rq17/miATDOvpWKVUQs+5j+s5v+rVS/OD9EU6n2DfZYvt9LBBY0PN9cHeO7xNj9D52iTWWTn3pnK340Vjnl7zbUDe+fP47ZvTST56rqvGNbVwIRYfw7vV2Kn9hlb/wKX/BV67pyvGN30b4Syv8pU/4S75wvKvzR1MLMLYAYx/AmA3w6GBABIDWX15b1a99ql/zVeNDN/GQgBF9aUVf+kRf8kR3neX9lPnHewJAB+U33pjDalkZyC33TbZc/MFEc9D/2R0P//XdQsNHJ12By75D4Dv2hLY9Qd5VT26PpH/PfvB2baL74232Mh9wgZr8pW3+YtKmzl+VyV+6tUmssF+0L5NxcVJksspkMsPwwjK88DG84DNoOgNpnHppEV5ahJcW4aUP4SUfAX+Ids5ulcluBmVsUcY+lDEbRTzPVSbPGf2vrf7XPv2v+frxZMHKeJXJeEb+pZV/6ZN/yZP/hdVES/F7oRy4v5fo2LziS4FViEJl3kbAxDLz31nlzYFMvf2ksONLdD7o3kDys7tkdv8qHXfK+9HmB5u/u3ttzhfT34d3f/b/vv/u7cX0Lu632Nz97CH45hyuRE2SyJT3lC2vvwIm9+4WrkLwlDthPd//7hauRvB4+65r9Ux1/eS+47tbnLE7Z6tL8t6WwMI6VzaY0Ohvbalbn9qv8NWCGY340hZdbV/aor2XkbzDVw3mNdJMB+0az/mywbQUn9GgWl/wtWqiVrh32PidboU9nqpwBYMZi12vqbMz5TvkyNUM5jDam1r848S7fKVgJiO8qGU7RrwbGCMu+Iop2Y3TH3xBHrMly7yjxafzNV8nmOKI81DbI7aiHk88OWKt2oVeLdusaUfzldYjNbdHa5fzcpSti6aaFcv5fKZvebxz0j+e7XNPWTcv9c5Mg9clPMZE+Vyz1wAWZQbrAnlTFISwLwGd2v5PM0n90ExS7VtC7ya2X3xRy4c337+7HWDzE/OJT7oXft7+/l+6t7f8ufm/vzD/92e3Hzd/dvdS0G5Z+IPNP2x+MDJz4h9v/nbzT5v/ar7+982Pn5yUmfmnfuYK4FuiAdR4AHeegApi9FN+AIMwUfW0yJdFUUR2qKkz7SJ5JkqScI+aIAV1lwzQGr75sSBFsh1qeXFW+ybSknyETECaDD5yJ70davc3H+nAVVai4IShjz3j8TbqK1k26rOHsAUb9BXSoGM56NsCybrJqvUyG62LbD1Si6o1n23b0WK1UllVrmeZuksSSX2qc9XW+NTgJQuuWGB86X2qIAhhdEJ96t93r7X/9RcKMPa33UvnbQnm2w8vwbevEvyhMZrWdP7D5h/N//3TnYV959VI5yebv3UF5C3RgGg8IDv7TkEMwuC7F98piCLiO7Mzu3z4GOWZKEpC4ylIQU1+SHO4KM5FKZIZz6Y5a3zGU5KPMLTv1XjeX4CkA3daiYITxj628fQ26itZNuqzh7DFjGe8Qcdy0OlutCoDVrIN0uV9usE34zD1gkVL1Amm34zD5FYY91424zAlapJEQJ7zGqtujdlE/QtrzD8xf/CL+xXmE9Oen901wfbWq5O3vpz/WzNbzJ8Yy/5p8f+wvy//bWEe+ubEs6fmKTsOYA2VYGq9u36YCsGKKe5VQ7t+mBrBWumuJpSpjlIXBeJXNm3jfkHCOVtikq0/VX12p++xc+TqBvPnnvf+cNWCCZS69+fhwiYduLCJrRpMoyTX3Q93UZWqLc4aZy36OV87mArpG4DKrG7rsvJvA+Iq1kTFcEexUTzdCusJfskXDKYw9tzEDBuVc7h7xdcMJjXaNqA8b7R/HxBXKpjbKPuAHi5s8o8XF3zFlHzH6RBmrKia+qxuXLrHbN0ym4FUlbdVpvxbgrhqwcxH3hJkb2xyjxGXPLEHW2opfFuCqoyGifIlL7VIghDW49AJtnypRTIgGg8IPq11YTwVxSAsNxJmpd5SiyRK4lKLJEq6UoskBXW5F2gO3SjP+yLPRVEOod4iykcY30kzv0i9pbq/7qcKXOAkCk4YANlzmkC9RZSN+gAibJF6C9CgYznow92QXviqM1VOjQXGl959CoIQRifUfR7ehnTJAGo8gDu7VUEMwmC9F7cqiCLiVr0b0iVJEppVQQpqrgRaI6+1Ks6c61bnoizJ3GpenGVON/62LB8hH+zVrd5fGVQF7oASBScMgGy3ahu1drG9kmWjPoEIW8ytxht0LAdtX5z65Hb/RsJX9pQuSuNDiyBl0adMtktIufS+ydYLljdRG8ncJdT90UebX99Zyr833/nhE2sb/37zwe2fFf6NQlx0haHvY6MQV6ImSWTKe8qWBxY/Cd7Tt3+HqxAsdeKWMrB/h6sRrHHuahaZ6ij1TCB+ns3hXHVJtu7439rDlg3mNPrOnapsvTt32GrBpEbcuVMV2507lfcKoHf4qsHURnLEaNd4zpcNpiX6ph3/W3vYWjVRK9w7bPxOt8J6gl/yBYMZiz1ZKIuz0jdZ4GoGcxhtu45/nHiXrxTMZITdOtsx4t3AGHHBV0zJbpz+4H9rD1eyzEYd/1t72DrBFEfdomN6xFZUT+wlT6xVi01RLY93WhqYn3Onpt4tOiUNE+VzTWADWJRJrAvkTVEQwqIYOrs9wCKJYAA1HsCdJ6CCGIQ1QsJE1V8kEUQRKZLk3iKJIEnCIokgBXWJFmgN3/xYkCJlecT31h5RPkImIE0GY+WR+2vIqsC9cqLghKGPPeMJvLVHlI367CFssfJIvEHHctCHu5W89G7mUdRYYHzpfaogCGF0Qn1qgq3kggHReEB29p2CGITBdy++UxBFxHcGtpILoiQ0noIU1OSHNIeL4lyUIpnxDO0il+QjDO17NZ7q3qeogPGUBCeMfWzjGdpFLslGffYQtpjxjDfoWA467Vt7lIvOWEkdpCv7dIPvx2Hq7Q8Zx7gfh4muMPS97MdhStQkiYC8vb64xzkLe8qGBWulBPPq3d3DVAhWRnFPGtrdw9QI1kR3NZtMdZT6JxC/tvBsqDxnK0yyw6c0ecdZa3ubrxtMk3ve4sNVC+ZJ6hYf/bDFRwe2+HBVg9mSZK4fvXCjacvmLHN26+d86WC2o2/z0U1T55lnUfYFX7AmCoa7iQ3i6VZYT/BLvmAwf7EnIHbQcPaKV3zNYEaj7fVpdXOmfXt9uErBvEbZ66Mf9vp4B4sLvmJKruP0BzNQaDMfcB4AGrNly+z3aZoyq6qzzPnMveaLBZMeedOPPt2K6om95Ik92GKK8m76qWiYKF/6YoogCGHFDZ1CJyimCAZE4wHBZ60ujKeiGIQFRcJ81F9MEURJXUwRRElYTBGkoC7oAs2RmxlD3jpb5FyU5SBKKpJ8hAGeNOuLlVSq+xV4792xz2XBCSMge0YTKqlIslGfQIQtVlKJN+hYDvpw95wr716emhoLjC+9/RQEIYxOqP08wD3nggHUeAB3tquCGITBei92VRBFxK7695wLkiR0q4IU1FyJtEbZ5GdetyrIksythl7MI8lHyAd7dav314tWgftiRcEJAyDbrYZezCPJRn0CEbaYW4036FgO2r6Y50+/4NO8dvSbq8W3vvr1rzkCwXKjPicavp5M9Tl9W4H8aikm82E3kFPum2y5/W4WCC5oJf9PYwO/fbuOefPXm49OjCf80LjGz26+c/PXd37QszXoi5d4mQ+4QI0vbL50zqZ9NFT6cXcbKceXz3/HDH7tk+eqLuwXbb805kuT2y/KfqnNlzazX0rf6MnlVHROb1XHCffCwr2wcC8s3AsL98LCvbBwLyzcCwv3wgf3gg+n6XB4FciwvbRsLy3bS8v20rK9tGwvLdtLy/bSsr30sb3ks+HPI3/Ut4xjyzi2jGPLOLaMY8s4toxjyzi2jGMf45jN+KjWGGGkdczXFuy1BXttwV5bsNcW7LUFe23BXluw1z6w13wwPFMRS5OG69JyXVquS8t1abkuLdel5bq0XJeW69LHdcnj+sKCg01tyd6Z5785pA1SVN7WwcQys3IgMzP1gruO0LT8w26z52ebX9l8bJd1bv6yqyb2E/QXb9V8+PT9jt4v5ue7D/30pDgxn/jEfPP7rgi8xY5AP4lJbtVlStQkiUx5T9nywM1JhNUh7+ZapsL+wo/o5lqmRnAT0q7LOUx1lA1HQPx8J7SY6pJsrA28Oo8rG0xt9H21qvJdVPYVvlowt1H31T5celkFLr1kqwYzHGkmhnaN53zZYFqKT6xQrS/4WjVRK9w7bPxOt8Iez3+4gsGMxV/Oq4qzzCn6FV80mMRo+2n9A8W7fKVgKqPsp3246dI/SFzwFVPSG6dDBN6dx5Qss5c28O48rk4wxxHnqrZHbEU9noNyxHZOu9G6zNbLUbZc6ZEq2mI0X9TZqFk3q/myalaL5PsYuv+6MN9Qd+ciYEyUzzWRDWBRJrMukDdFQQh1K3SW+4Mvzld/2h1L/fXms5H5z8fmTz+/20v7sfnG/Q6F11/9wz/8k2989Y9mdxscLt5458SQlbe/e3Xx8ssnTy8vXp4UzqfvLdEAaTxA+Azz2Z98639dfePk1Te+/serb63+8Jt3xHl1MjrZ/GO3C2R7AvQ3pv8/33xi/mx7aNdE8RO7am83e3xop/+bn52dnGx+0O0O+fbNt2+X+f/V/ObPbBvYbcufdbtMvv2w5v8l+/l/dEb2qWhkCZVDwuTYu3VCEkVk60TmPmD5TJQk3dYJSYq+YQlQ7Dgnl6RIuGkir860Z9uEKCEh/ZCmoJFtE/X9ZY114PZNUXDC4MeeZ6lWn7WeXb6icNTHD4GL7JsAWnQsB32oh8zsfz17K+rw5U6OWGB86d2xIAhheELdsfwhM8mAaDwguBt2YTwVxSCMvnuxnoIoQtbTd8hMEiWh9xSkoCY/pDlcFOeiFMm8Z+B4mSgfYWjfq/O8v3ixDtykKQpOGPvYzjNwvEyUjfrsIWwx4xlv0LEcdMo39nlvcq+LIF3dpxt6NxBXL1grRZ3ggLuBuBFQWAT2sRuIK1GTJDLlPWXLA2urBNfp2w3EVQgWUnEzGdgNxNUIllB3dYlMdZRyKRA/n/tjqht4NxBbNpja9rsbiK0WzG3E3UD1w0WadeAiTbZqMMORDDHaNZ7zZYNpaZ+7gdhaNVEr3Dts/E63wnqCX/IFgxmLPVcI7QZiiwaT2P52A7GVgqmMsBuofrhJ0z9IXPAVU9Ibp0P4dwNxJafeDcTWCeY46m6g2t6k6R4YLnliD7be4T2yUpc0TJQvfb1DEISwKIbOchPUOwQDovGA7DyjFMQgrPkRZp7+eocgSup6hyBKwnqHIAV1zRVpDhfFuSjFQdQ7JPkIQztpeherd9zfpFgHrsYUBSeMfew5TKjeIclGffYQtli9I96gYznow92G7q+OKGosML70xlMQhDA6ocZzgG3oggHSeIB2NqKCGITBeC9GVBBFyIiWLpJnoiQJfaggBTUXIq3hojgXpUjmQ8N7viUJCWP9Xp3o/dWKdeCuTFFwwuDHdqLBPd+ScNTHD4GLWdF4i47loNNuvXGmBWMudZCu6dMNvvWGqbc/Zhzx1htmBBQWgb1svWFK1CSJTHlP2fLAQibBd3q33jAVglVL3E6Gtt4wNYL1yl2NIlMdpTYJxM9nAJnqht56w5UNprY9b73hqgVzG3XrzcMFl3Xggku2ajDDkRwx2jWe82WDaWmvW2+4WjVRK9w7bPxOt8J6gl/yBYMZiz1ZCG694YoGk9get95wlYKpjLL15uFiS/8gccFXTElvnA4R2HrDlJx86w1XJ5jjyFtv7H2W7oHhkif2YCsgpXfrTUXDRPnSV0AEQQirYugsd4AKiGCANB6gnWeYghiERUDCTNRfARFESVwBESRJWAERpKAuwSKt4aI4F6U4kAqIJCFhrCfN92IVkPubEOvA1Zai4ITBjz2pCVZAJOGojx8CF6uAxFt0LAd9uLvAvTcK1TU1FhhfeisqCEIYnlArmmAXuGBANB6Qna2nIAZh9N2L9RREEbKe3l3ggigJvacgBTX5Ic3hojgXpUjmPUO7wCX5CEP7Xp3n/a2GdeCaSlFwwtjHdp6hXeCSbNRnD2GLGc94g47loNNuvVEuOmMlwzd5tX26wbfeMPWChUnUCQ659YYZAYVFYC9bb5gSNUkiU95TtjywkElwnd6tN0yFYNUSN5OhrTdMjWC9cleXyFRHqU0C8fO5P6a6obfecGWDqW3PW2+4asHcRt160zxsvWkCW2+4qsEMRzLEaNd4zpcNpqW9br3hatVErXDvsPE73QrrCX7JFwxmLPZcIbj1hisaTGJ73HrDVQqmMsrWm+Zh6413kLjgK6akN06HCGy9YUpOvvWGqxPMceStN83pVlRP7CVP7MHWO5R3601Lw0T50tc7BEEIi2LoLDdBvUMwIBoPyM4zSkEMwpofYebpr3cIoqSudwiiJKx3CFJQ11yR5nBRnItSHES9Q5KPMLSTpnexekd7vzzuvY71uSw4Yexjz2FC9Q5JNuqzh7DF6h3xBh3LQR/unm/l22hz1zEIscD4khtPSRDC6IQaz/R7viUDpPEA7WpEJTEIg/E+jKgkipARLV0kz0RJ0vlQSQpqLkRaw0VxLkqRzIcG93yLEhLG+n060eb+XswmcNOpKDhh8GM70dCeb1E46uOHwEWsKNCiYznotFtvtIvOmMvgdVo669MNvfWGqxcsTKLecMCtN9wIKCwC+9h6w5WoSRIBefYeuScn5cnNfzKh/nDzr5uPz042Pzae/fMvnbz15dz85oN+s/zr5ie2bT4xJr9rwc7nbz6yH7r5a/O3fHzz/Scn3UL0Jzf/2bS69f3mL/y1+cGPzFf7YTNLMB3BfLHdwC5e/7xbuv6wW7X+6MnJ3T/3edf4n9394N0P/fRk84tuRmH/AvPP3f+zn21+tvnsNzvNh1/qfm/+9p/d/ent8rj5Zz/qfnv7l3Y/95n59379oMIy3PyVAfyu/Qn7X6PJ/Mr+qfk7bd/+xKi6/ft+Z/O5+e7HJ1aUhbr5XvePfrz51P61NiT/5szVD56y+wFYMSYYfN8eJ65CsDyM+/bAHieuRrAwvKsjZ6qjFIGB+JVN27i3l56zJSbZ6FTWzVnh3L3wNl84aCX2u9WJrRb0EsStTk2+3erUeO8TfYevGnQUpBnIo1FB1aou9Fnt7NnP+eJBM0Df8JQ3WdPo+qzybHtiK9ZExXBPsVE83QrrCX7JFwwmMfZELbTtiS0azGu0bU9VW3m3PbGVgtmNsO1pO2C8GxgwLviKKRmP0yGqMm/a/KxyLsmM2bpl9j4VdV4WTXWmPDug2GrB1EfdAWU6x1ZUT+wlT+zBFqK0bwdUU9AwUb70hShBEMLiJLrYMEAhSjBAGg8QPtF3YTwVxSCsxRLmqf5ClCBK4kKUIEnCQpQgBXUlHGiNPK/aM+1cBDkXZTmQcpQkIWHEJ00GY+Wo4r544b2Z9rksOGEIZM9yguUoSTjqQ4jAxcpR8RYdy0Ef7pZ87d0ZVVJjgfGlN6SCIIThCTWk8lvyJQOi8YDsbEAFMQij714MqCCKkAH1bcmXREnoQAUpqMkPaA7dqLPaac/ORVGSGdDAvnxRPsL4vlf7eX95aRO4jVYUnDAAsu1nYF++KBv1AUTYYu4z3qBjOei0m6Gc45DxkypIl/fpBt8MxdTbHzKOeDMUMwIKi8BeNkMxJWqSREBeeDNU8Xgv1LM/+db/uvrGyatvfP2PV99a/eE375aR8+rENOQ/OofFp2xcsFxKsLLePT9MhWBtFHeooT0/TI1gVXRX68lUR6mAAvFri9y9yHzOVjj8lh+ucDBh7nnLD1ctmDGpW37Uw5Yf7z2m7/BVg3mTZLMfdQ7V6Lw5086XbTzna1dE7Xj/KGpjC8/cpcQXfMGaKBjuJzaIp1thPcEv+YLBDMaeiwQ3/HBFg0ltjxt+uErB1EbZ8KMeNvx4h4sLvmJKumN1CNWWZekp643ZumU2/FQqLwrlmU2/5osF8x55v4863Yrqib3kiT3Y8krl3e+jaZgoX/ryiiAIYfkNnU8nKK8IBkTjAcHnri6Mp6IYhNVFwpzUX14RREldXhFESVheEaSgru4CzZGXzVneOlvkXJTlIOorknyEAZ408YvVV/T9crz39tvnsuCEEZA9pwnVVyTZqE8gwharr8QbdCwHfbjbzSvv7p6KGguML739FAQhjE6o/Rxgu7lggDQeoJ3tqCAGYTDeix0VRBGyo85KwDNRkoRuVJCCmguB1ijq6qx0LlWei6IkM6Ph3eaShIQBf6929P561CZw4a0oOGEEZNvR4G5zSTjqM4jAxfxovEXHctBp9/vULjrjMOsgXdGnG3y/D1MvWLdEDeKQ+32YEVBYBPay34cpUZMkMuU9ZcsDq5sE8+ndn8NUCJYycU8Z2p/D1AgWMXd1i0x1lIIlED9n7M7Z6pLszfHfO8aWDaa2Pe/M4aoFcxt1Z079sDPHe83pO3zVYIYjOWK0azznywbTEn1Tjv/eMbZWTdQK9w4bv9OtsJ7gl3zBYMZiTxZ8MX7FlwymsD3uxuEqBRMZZTdO/bAbxztEXPAVU5LbPrvDmC1ZZiOO/9Yxtk4ww5H34NSnW1E9sZc8sQdbBKm9e3CCl6s9xkT50hdBBEEIa2LoHHeAIohggDQeoJ3nl4IYhCVAwjzUXwQRRElcBBEkSVgEEaSgLsAireGiOBelOJD6hyQhYawnzfZi9Y/mfrXceyPuc1lwwuDHntIE6x+ScNTHD4GL1T/iLTqWgz7c7eC1dz9OS40FxpfeigqCEIYn1Iom2A4uGBCNB2Rn6ymIQRh992I9BVGErKd3O7ggSkLvKUhBTX5Ic7gozkUpknnP0EZwST7C0L5X53l/X2oTuABXFJww9rGdZ2gjuCQb9dlD2GLGM96gYznotBtvnKfY31B3cwwfXdmnG3rjDVcvWJZEneCAG2+4EVBYBPax8YYrUZMkAvIit46Vv712TPbaMW5HAAvGBH/v2+LEVQjWh3HbHtjixNUIVoZ39ONcdZQqMBC/oi7cOeOcrTDJNqfQK4jYwkErsd+NTmy1oJcgbnRqs+1Gp9Z7qew7fNWgoyBNQB4NClnR1tmZVi7tz/naQS9A3+2UF1WZZZ4JxAu+YE0UDPcTG8TTrbCe4Jd8wWAGY8/SQq8gYosGk9r+Nj2xlYKpjbDpaTtcvBsYLi74iinpjtMhlMqLzFMyGrNly2x8yptW6dzzorLXfLFg2qPufjJdYyuqJ/aSJ/ZgS06Nb/dTG75Y7REmype85CQJQliXRBca5EtOkgHReEDwSb0L46koBmHZlTAl9ZacJFESl5wkUdKVnCQpqMveQHMoY8Cd28/ORUkOoewkykcY3kmzvkjZqc3vqhSt9y7c57LghPGPPaEJlJ1E2ajPH8IWKTsBDTqWgz7crfeNb79TW1BjgfGlN5+CIITRCTWf6bfeSwZI4wHCzaj7aoZ/t/rmV/+Xr53kTXaispNcn4xOjCP/8M7FdxWj36g5/dyY+O+fdLWUjza/tuWkT2y9xZZqPuxKRD/zFVgE40UY9ffiegVRhFyv02Q9EyVJaHoFKahJF2iNJj+rnLvgz0VJkpne4D5/UUJCYtmr7b2/g7UN3KorCk4YANm2N7TPXxSO+ggicDHfG2/RsRx02u1WztKMcbJlkE716QbfbsXUCxZHUSM65HYrZgQUFoG9bLdiStQkiYC8yHYrbXrabzdcyW64YnYFsFxN8PneDVdMhWBtGrfvoQ1XTI1gVXpXY85UR6lAA/ErqtL9Nr9ztsLhN1xxhYNmYs8brrhqQTdB3XBVPmy48l5c+w5fNegpSHOQfrjbttb6LHP26+d86aAZ4Oy3Kkpd+fdbcQVromC4m9ggnm6F9QS/5AsGExh7nhbcb8UVDea0Pe634ioFMxtlv1X5sN/KO1pc8BVTsh2nQ9jLFs0EytmPx2zZUvutSl1q/34rrlgw65H3W5WnW1E9sZc8sQdb8mq9+60UDRPlS1/yEgTpO4JQ+4ArDQOUvAQDpPEA4bN8Z8VLZ4XaQ5XrxF5o/on9kZtv3861/9X85naC/0s7wf+8++t+fT8P/lLoAnTJyBLWhgmTZn9xTBAlcXFMkCRhcUyQgroyD7RGbfKMM9Gci5IcSHFMkpCQgkgT01hxTN2XUrzXJT+XBScMgOxJV7A4JglHfQQRuFhxLN6iYznowz2R0Ho3hWlqLDC+9A5ZEIQwPKEOOcGJBMGAaDwguCN2YTwVxSCMvnuxn4IoQvbTeyJBECWh/xSkoCY/oDnK9kxrZ4Oci6IkM6ChIwmSfITxfa/28/4G3TZwJbIoOGEAZNvP0JEESTbqA4iwxdxnvEHHctDmf79/a0HV+2F/+c3V4ltf/frXHJFg2EvlwjTGsgpi6j6mb4+WXyvFM95v03KKfZMttt/HAoEFfeE/2jXR230/X9w1c7dV6+Z7J93Gq1/bdbvOQf7q5i+MafylC8tYwOpL52y2R6OiH263QXF8+fx3zDhXP3mus9x+UfZLZb805kue2S+F/WK/kdtv5PbDuf1uYb9b2O+W9hva/lbb32r7Yd39mf1cZb9R2W9UyjfScgOl6IHyFp2c0Xlho/PCRueFjc4LG50XNjovbHRe2Oi8sNF5YaPzwkbnhY3OCxudFzY6L2x0XtjovLDReWGj88JG54WNzgsbnRc2Oi980XnBj46mRwevcpngvLTBeWmD89IG56UNzksbnJc2OC9tcF7a4Ly0wXlpg/PSBuelDc5LG5yXNjgvbXBe2uC8tMF5aYPz0gbnpQ3OSxucl77gvOQHBx9A+DnKBmlsgzS2QRrbII1tkMY2SGMbpLEN0tgGaWyDNLZBGtsgjW2QxjZIYxuksQ3S2AZpbIM0tkEa2yCNbZDGNkhjX5DG7CA9quZGgkR7tl7byLy2kXltI/PaRua1jcxrG5nXNjKvbWRe28i8tpF5bSPz2kbmtY3MaxuZ1zYyr21kXtvIvLaReW0j89pG5rWNzGtfZF7zI4MndmL12ATm0gbm0gbm0gbm0gbm0gbm0gbm0gbm0gbm0gbm0gbm0gbm0gbm0gbm0gbm0gbm0gbm0gbm0gbm0gbm0gbm0gbm0heYS15gugfr/a3x+b2QE9rfdnXlrUHXQYba27iYVJYLsopdat9kq+2bhR23qvdt0Obn3cLYtx92Bv/GjuK7fegfb35xsvlb8wd2u/DnXUn0o25DsM8fMWH7CV9yVzpToiZJZMp7ypYHbjQjrLp5d0ozFYK7yvDFtNBOaaZGcD/ZrqtkTHWUvWNA/JyxO2erS7JL2n/7Lls2mMHoe6TzUrf+TdJcuWAWo26Sfrh+tw1cv8tWDWYz0rwX7RvP+bLBvBSfhaJaX/C1aqJWuHfY+J1uhT2eqnEFgymLvU6aF2V+1vo2R3NVg2mMtjk6MFS8y5cKZjPK7uiHK3j9w8QFXzElw3G6hP8KXq5kmZ3R/it42TrBNEec1toesRX1eLbJEWvVrpfrZpHNmlGh62KksqoZtbNZO1rVbbNetutmvl7f8ngnon882+eWD+8Ez0xHwzfAPYJE6VxT1gAUZdrqAnlTFIRQEERntB/c/Fm3iv+xPSH7abe/1565/bjb6PHXf+BifEuUUeOMO88SBTEIJUzCbNIWWT7tjlPbE9TfcWF9WRSrn7cDWIQpqIvjmShHws0cghTUWjLQFr7prCBFsn0ceeazh2/LAhLGbdLc7ZGT6G3kuL96tQ1cpisKThgF+RMUb6u+koWjPn0IXLBFXyEtOpaD7kxlsVC1XpT1aKbXlfnsejlqmnkzqsqFMp9c1I2+e54TmkrfLuKWGgmMLr2pFAQhDE6wqbx934s9Fvao7HHzNz5TKcioccadTaUgBmE4JZhKb4lCkETGR55l2oXyTBQloZUUpKAmM6A5fFZSkCKZlWzKxvPGiLdlAQmj9V6t5P1lqm3gdlxRcMLYx7aS/lZ9JQtHffoQuJiVjLfoWA66s5LLqp41atGMlmVhPpvn5agp9Gy0rvV6Pcvnq3x+lycSWsnSFYk39N0MgxAJjC61lRQFIQxOqJX8QfeGAPtWvW+7faMokMaBdvSNohiEsZPgG5HFSFEsGRPp4ngmypHMQYpSUHMY0BZuBylKkcxBevfgyOIRhug9+kfDdOs27n7hAn8uC04YA9n+sVClbylSFo767CFwYf+ItOhYDjrd+76VZ3FRZ+E7fJo+26AbqNlqwS1nqJ1LsoGaDasw2D1soGZL1CSJgLzwa73bk81/sa/s6t6J/e2uYX5p2qHbLfDQEB+fXHx98Yfrr3/tyYm16zffOTt556t/9NXZk9t3hFmb2L0j7G9zffeO8Idm/7B7a5h9AVv35rBPzefe+vdfXcz+l6+fPF+ZoeqPvrowenJ98pb51R+eFLW9wPcLL+C+e3nY590+hj+3rx27+Zsv/sA7/7asssz8vZ8+ue1xd28gv3vJfPhHtz95810bgc0nt5++F/vr7bvqf3mStzffK5T95zJ9/0P29fW/ML82/+AXX4Ju/tab7z381X/RxeI73YvG7aaLzS9t3B5elPbB5u+6F6E5n+yn7J4EbhwkTAg8C8lsheAmQYK39+51Z2sEdwfu6tuZ6ig7AYH4lZ5keM4WmGS7e1O3nh2sb/OFg45jvxve+XJB10Hb8G7k3G94twfyfBve+apB90GaqTzq1FnWas/1Us/50kEvQd/0ripV176XgvP1aqJeuJfYGJ5uhfUEv+QLBvMXezKX50Xh2/jOVw3mNNrG9yIrmzPt7BHv8qWCqQ3f+P4wXLwbGC4u+Iop6Y7TJcpGZdVZ4RwqxmzZMpvfq7bOq7Pa2Sle87WCaY+4Ad72jK2onthLntgDLTAVng3wOitokChd+gKTIAhh9RJdkQAKTIJAGgfCp/QujKeiGITFVcJ8EiswCWIlLTAJciQsMAlSUBe5gbYITGgFQQ6hxiSJRxilSTO3WI2puK9I+O+UlQUnDIPsaUmwxiQJR338ELhYjSneomM56EPd7l54K1IlNRIYXXoLKQhCGJxQC8nZ7i7KqHHGnV2lIAZhOCW4Sm+VQpBExkj6truLoiT0koIU1GQGNEepz1qntz8XJUlmJgNb3mUBCSP2Xu1keW8+vDcYPpcFJ4x/bDsZ2PIuC0d9AhG4mJ2Mt+hYDtq+B/vJrZFK9u7H0sVojKIKMrZ9xkRbl5yJ+U22WrB4iLo81tYle42dNYPGGd782ebT2/djd/cL/uzJib1t5XbXyc337Q+68N9i4ysMfy+bmZgSNUkiU95TtjywwrgP78lUCFYTSZ7Su0OGqREsI+5qFpnqKCVDIH7O2J2z1SXZHhNYJeTKBnMafXNMU9b+vTFctWBao+6NUQ97Y7y3vr3DVw2mN5IlRrvGc75sRZQNdw3vyyD5WjVRK9w7bPxOt8J6gl/yBYMZiz1byIsmO1O+1WeuajCL0fbE+EeKd/lKwVxG2RKjHrbEeEeJC75iSn7j9AjvuyDZkmW2w3jfBcnXCSY58lYYdboV1RN7yRN76yTmatHMi9FKqcVILety1MyK9Wix1NU6W1SLdZl6K0zp3QqjaZAonWsKG4CiTGNdIG+KghBWxdAZ7n/ffPQb5yIernna/Orubk8zC/6omwN/0tU8/rKbAP/Ke9WTaAQ0HoGdZ5CCGIRVvn3MNAVJhKocvg0zgiQJixyCFNQlVqA1fPNbQYpkBY48r5R/KixJSBjLSdO5WIVD36+H+y/6lAUnjH38OYu/WV/J0lGfP4QuVuKIN+lYDjrlqWzlYjPesQqxVVmfbeDSBlMtuPaDGr/BShtMfIXh76W0wZSoSRKZ8p6y5YELRfswnEyF4KIQxUj6SxtMjeBy0K4WkamOsvQDxM9n/Zjqhi5tcGWDOW3PpQ2uWjCtUUsb1UNpowqUNriqwfRG8sJo13jOlw2mpb2WNrhaNVEr3Dts/E63wnqCX/IFgxmLP00Ilja4qsEstsfSBlcpmMsopY3qobThHSUu+Iop+Y3TIwKlDabk5KUNrk4wyZFLG9XpVlRP7CVP7IGWNny3LuuspkGidOlLG4IghOUwdIYrUdoQjIDGI7DzDFIQg7C8t4+ZpiBJ4tKGIEnC0oYgBXVpFWgN3/xWkOJAShuShISxnDSdC66DW6b7dXDvBavPZcEJYx9/zhIsbUjSUZ8/hC7YpK+QJh3LQacsbWgXm/GOwXu9qrzPNnBpg6kWXPtBjd9gpQ0mvsLw91LaYErUJIlMeU/Z8sCFon0YTqZCcFGIYiT9pQ2mRnA5aFeLyFRHWfoB4uezfkx1Q5c2uLLBnLbn0gZXLZjWqKWN5qG04b1j8x2+ajC9kbww2jWe82WDaWmvpQ2uVk3UCvcOG7/TrbCe4Jd8wWDG4k8TgqUNrmowi+2xtMFVCuYySmmjeShteEeJC75iSn7j9IhAaYMpOXlpg6sTTHLk0kZzuhXVE3vJE3ugpQ3tLW20NEiULn1pQxCEsByGznAlShuCEdB4BHaeQQpiEJb39jHTFCRJXNoQJElY2hCkoC6tAq3hm98KUhxIaUOSkDCWk6ZzsdJGe78O7r+KWRacMPbx5yzB0oYkHfX5Q+hipY14k47loFOWNpx7f97QeRZkK/psw5Y2uGrBtR/U+A1V2uDiKwx/H6UNrkRNkgjIC9+uZ2/D+8HNdzc/MQ3w2eYnd/fF3Rn5D77QeB/bN8v+cPN3m/+2+dFJmd18r9E33yuz7b12n5o5wL9ufn7zXXvn3EfdFX0fmj/8+KTO7F15f2H+wV93r9P/afde2vtb927nBDd/c5I9Ufrk4o13TvIsb+xf92H3T//UKnFF+Ck7wuBa1x48M1chuK5F8cLe6gxXI7iitaPL5aqjrF4B8XPmjHO2uiTVmcCS69t85WBm3m+Bhq0WTM7EAk2ebQs0uffm4Xf4qsEkTXL0/XDXVVN4esdzvnIwv9JrNDorCm+Zhi1XE+XCfcSG8HQrrCf4JV8wmLr4U55QmYatGkxntDJNXmjtvXCOLRXMaoQ6zXaweDcwWFzwFVMyHadLBAaKMVu1TKmm1qXvYpLXfKlgxqNWa0y/2Irqib3kiT3Qak3lq9bkwTv1HkOidMmrNZIghBU+dNIuUK2RjIDGI4BPil0YT0UxCCuW+5h5CpKkrdZIkqSr1khSUFeLgdao3Kuk56Ich1GvESUkjOak2V2kXpPnd4v7uffK4+ey4ITRjz95CdVrROmoTyBCF6nXAE06loNOWa+pXWzGPRZBtrLPNnC9hqkWXApCrd9g9RomvsLw91KvYUrUJImAvHC9pjq4ek2b5RVWr2FGGFz02odrZioEF7gobthfr2FqBFe2dvW5THWUVSwkflq17gnFOVviARRtuMrB9Lznog1XLZihqUWb4qFo473K9x2+ajBTk2z9o97RNqWq6rNKucQ/54sH8yy9bpMXbaXb6qz2lW64ijVRMdxTbBRPt8J6gl/yBYNZjD/7CZZuuKrBzLbP0g1XKpjgKKWb4qF04x0yLviKKUmP1SWCw8WYLVymepO3SjWt9two/JqvFsx+5AJOcboV1RN7yRN7oAWc2lvAKWmQKF36Ao4gCGHJD53FSxRwBCOg8Qjgs+TN/2GCYCalJ3ZKa6awdkpsyT1zu6eihITVzX3MUgVJEtd2BEkS1nYEKagry0hr1Jk6y3yTY0GWA6nvSBISBnvSRDBW37m/VTwP3BMvCk4YAfkznGB9R5KO+hQidLH6TrxJx3LQKes7zgPrxlyqIJvqsw1c32GqBVeNUGc4WH2Hia8w/L3Ud5gSNUkiIC9c38kPqsDzxHaOjza/6vrEd62WE9OlPur+QvNjJ1dFVo7y7G4ceuy5mTEH18r24aWZCsF1MYpH9ld8mBrBBbFd3S9THWXxC4hfoZwtfM7WdwDlHq5yMFvvudzDVQsmbGq5Rz2Ue7yXWr/DVw0mbpLL74e7zNpGV2eNM+LP+doVUTvcP4qs0Nrn0V/wBWuiYLif2CCeboX1BL/kCwYTGH8qFCz2cFWDSW2fxR6uVDC3UYo96qHY4x0wLviKKfmO0yWCg8WYrVum1lNmZVPm/rM6XLFg5iOXetTpVlRP7CVP7IGWehpvqUfTIFG69KUeQRDC6h86oZco9QhGQOMRwCfMLoynohiE1cx9zEEFSRLXcwRJEtZzBCmoK8lAaxRV5V6VPBclOZBqjiQhYTwnzfNi1Zz7C9Rz7wXqz2XBCeMffwoTrOZI0lGfQYQuVs2JN+lYDtr87/e/YLSsify9kKvcZ3WndbEaP1kFWas+a5LqTuHOa2+y1YKLRKgZ/Cdj8n6++Yn5+tOuerP5hf3yKbHms/ncVnRO7EkN8yH7nY9OumrDJ9ZrnpRPipOufmD/jU9u/rMxlLYwYJzlt7u//ZObvzH/7n3V4GP7w590/5z5oxP7995KMKq6WsJHXhvKjKnCYrqXkhFToiZJZMp7ypYHLk7tw9kyFYILURTH6q+uMDWCK1C7elGmOspqExA/Z+zO2eqS1Fb8t9OwZYOJkl5YyQvfYthX+GrBXEktrFQPhRXvldrv8FWDOZNkuNGu8ZwvG0xL9JqK/3YatlZN1Ar3Dhu/062wnuCXfMFgxmLPRXwxfsWXDKYwai3FN0y8y1cKJjJKKaV6KKV4h4gLvmJKcttndxizJctUUfxX07B1ghmOXECpTreiemIveWITblB0v6TNzGHroO7aG2RM677nsEy1YD7+v+cclhlT0CzsZQ7LlKhJEpnynrLlgY5gH3NYpkLQAOxnDsvUCKb+XeewTHWUNA/Er/CE75wtcOhpLFc2mCz3PI3lqgXTJXUaWz9MY72Xub/DVw2mTalpLFc2mJno09hC2efPP5flCtZEwXAXsUE83Qp7PJflCgYzl8RclisZTGXEuWyT+7cFcpWCCY0yl60f5rLeceKCr5iS5PbZHcZsyTJz2bIq/ePDa75YMNeRJ7T16VbU4wktR+xdjfZuAE5ao819m/7Cd8a23qBjWnkTXOWd4DLVgpkaneBSj+BtfrT5webv7rbyfbz5xYn5yV/dfLebeH5hN9/N9042P787d9X9bWbm+z37d9k9f99xReQtdkRAE7CX6SlToiZJZMp7ypYHJvl9TE+ZCsGcvp/pKVMjmM13nZ4y1VEyNxA/39yUqW7ouSlXNpjnGHPTuvDtN/sKXy6Y6qiT0+ZhctoEJqdc1WDKk5qccmWDeYk+OQ3MS7laNVEr3Dts/E63wh7PS7mCwZTFnpfmZR6YmnJVg2mMODX1DxXv8qWC2YwyN20e5qbeYeKCr5iS4ThdIjA3ZUqWmZsGpqVcnWCaI09Lm9OtqMfTUo5Yq3ZdtjPdFs2ozPP1KM9Xq1HbZmq0zKsqny2y+by9yyje6eofz/Z7UC33nEExk9aWRoniuSa2ASrK5NYF8qYoSN8AhJoHnPd+cDsT7d4Q8sV5aldmvTuxZoutt28YsdXY/7r5L5sPTr75bwtt31hyMv76n3xt+ebXZ99Ynoz/5D+svvHlr35t5YrMW6KR0Xhkdp5cCmL0s3kAYx+TUEGSfoYPkBAmqy6OZ6Ic/fQf4Nh1QitIQT07A7SFb+IrSJHs7FpggiyJRxjeSXO8R46jd3CtvT/l1AYOrkmCE4Y9oYmMJB314UPogk36CmnSsRx00l1+ztz2hi6yEFyd9eGGLYJw1YIrQqgZPKAiCDciCovIPoogXImaJBGQF3k1YXPWvYHwNxqz/1KKu+b7kekCPxx17WLa8GTzQ9Nm9oqoPzOfuPn2bZ/41c2fmfazL5803zv5f7565+TLF2ZWYN99eHL3AsoPT955fpJVuv7mv7evRdz8Y27+89+7NyJ+al9DePPX9q+ymzg/6rZ+/vKkzHR28728zLInVsondjen/f6Hnbyfnbla4Cm7BcBFsz1YbK5CcIGMYJ39dR6uRnBlbEdbzFVHWQVD4leeaZfAc7bAgUs9bNlgNt9zqYctF0zoxFJPkW1LPUXmL/WwVYOJnTQNQPvGc75sMPvSSz1FWdT+NxSy9WqiXriH2BieboX1BL/kCwYzl8wsia0azGa0ck+hm8pb7mFLBZMaodyzHSreDQwVF3zFlETH6hJ11WhvyYcrW6bkU6o297+fkK0VTHnUso/pGVtRPbGXPLGHWvbxHG8z0/ScRoniJS/7SIIQ1gXRmX7Cso9kZDQeGXw67cJ4KopBWP/cx5xUkCRl2UeSI13ZR5KCuvKMtIV/HiwIcgCVH1E8wghPmvJFKj9FflcmuP2FC/y5LDhh5BOa00jSUZ8/hC5S+QGadCwHbY/DPLl1XumOwZQuSGMtiyBk3odMVAFyJuU32WrBhSLUF+5eAfp78wc/PNn89CQ/MT/2SVdr6EoH3YVUn3bXf350+/oGYyO7P/7s5s+7u6q+b+sUH7ji8xY7PgqLz17qQUyJmiSRKe8pWx645LQPY8pUCC4vEQxnoFjC1AiuK+1qJpnqKGtIQPycsTtnqxu6UsKVDWY9RqWkrFt/pYQrF0x81EpJ8VApKQKVEq5qMAGSbDPaN57zZYN5iV4p8R+KYWvVRK1w77DxO90K6wl+yRcMpiz2jKLI6upMO33nK75qMI3RqiSBoeJdvlQwm1GqJMVDlcQ7TFzwFVMyHKdL+A/FcCXLVEj8h2LYOsE0R66OFKdbUT2xlzyx3XygbNZZOW9GWaH0SNWqGs3W5XzUqmWryrrK5uX8lsc7eQ3M4pkTWG91pKRRoniuaW6AijLVdYG8KQpCWDtDZ8H/016ae/Pdzed2CvuZ/fLT7vZcO5v99A/sZLd8on/X/f6Nt0RhNQ6783xREIOw7IfPK2/+yr2Z9MuiKDIVD+0CeSYKkrDkIUhBXXIFGsM3mxWkSFjvaJ1d7W1ZPMKYTZq4xeod5f3ieBmod0iCEwY+9uzE16avZNGoTx6CFit2xNtzLAfd+cl2tp7Vs+ViVFSZGqn5uhk1eVGOyqJVhaqUbuo7p5XSTzpds/GTihoKDC+9nxQEIYxNZD+59Y6F8wl9SxRM42A7e0dBDMIQuhfvKIgi4h1LX+VCECShdxSkoGYwoDF83lGQIqF3LJyvLHlbFo8wPu/VO6p7r+G9Zv65LDhh4NvBO7rb9JUsGvXJQ9Bi3jHenmM56M471vO20lm5Gummac1nm2Y0r9eV+W22mM1mVVXMVu8n947OsobxjpoaCgwvvXcUBCGMTbB37E7K/qo7J3t398rPrYu0N7Bsft4doP3V5uOTm7/qNm7/9MmJ+Yl/3vyXzY82/7D54eYHnePc/Lh0tupbosHQeDB29puCGIRhF/ebps1+5kL5siiKiN/MzkrtQnkmipLQcQpSUPMe0hwuinNRimSOU/vOob0ty0cY1vdqOe+vHy8CN8qLghPGPrbl9DbqK1k26rOHsMU8Z7xBx3LQt/XvarFQs3k70mVWjZSaZ6N5VixHdbmYFWq5ULqav5/ccypXKIznrKihwPDSe05BEMLghHrOfzHG8pPNx90BQHuP3ic3f/MbO7XtK1tujeUXXiJz85f2xT6bX9o/r7LfLZy3bLwlGgqNh2JnxymIQRh1cccZWOEURJFynC6SZ6IkCQ2nIAU16SGt4aI4F6VIZzjPKp/flMQjDOl79ZvVvT3xXv/8XBacMPLx/aanTV/JolGfPAQtZjfj7TmWg+7s5rJsq0WpypHKVouRKrPVaF7pfLRYN6tmlmfrolbvJ7eb2hUKYzeDF4C5QoHhpbebgiCEsQm1mz8yBvIjYznDhvOkO434a/NH3+1eM/jT7iDhT63lZHtRwThpPE47e1FBDMKIvBcvKogi4kXLs8pF8kyUJKEXFaSgZkSgNXxeVJAimRfN9VnrM6OSfIQBf69mtL43L977W5/LghOGPrYZ9TbqK1k26rOHsMXcaLxBx3LQnRst1VytlovVSGfWuVZ5NZqvivWoXaq6ttY1a2fvJ3ejzgRi3Gjw3h9XKDC89G5UEIQwOKFu9IMvvJHib26dpX0PtXWjHxrT+cnN92/+881/NN/u3GXRGHf5u9kTlXVbOzefumLwlmgMNB6DnZ2mIAZhuMWdZvcOk5+dnbjb5cuiQCJ+M3fv7X4mSpLQbwpSUHMe0Bo+vylIkcxvFsVZ4+xrb8vyEYb0vfrN5t6eeO9kfC4LThgA2X7T26ivZNmozx7CFvOb8QYdy0Hfrn6ulGryLBvNsnI9UsV6Ppq3WTlaz/Jl1ii9KtUAftO5GGb8ZksNBYaX3m8KghAGpx38ZmglE/Cagvwa59/ZawpiEIbaPXpNQSARr6ncQ8UzUZKEXlOQgprvgNbweU1BimRes6rOWt9ZIkk+wnC+V695fz1fEbhxURScMACyvaa3UV/JslGfPYQt5jXjDTqWg+68Zraa1/PFuhjNFnkzUvPlatSsympULhZztVjqpsnuentKr+ls/zf03RlVQigwvOReUxKEMDjBXvPhjb6PXr1rfnvz/c2n9oW9cRfqisZbotHQeDR2dZ6SGISBF3ee/nq6JIqQ5/Ssb0qSpPOckhTUvAe0hsdzSlIk85zqrPUsb4riEUb1fVrOMrtzKKX3DrLnsuCEkY9tOX1t+koWjfrkIWgRxwm051gOunOc+axdFosqHzVF505LPZrnbTNatXWWL+fLWqvV+8kdZ+sKhXGcOTUUGF56xykIQhibcMe5vWjsB7aOfvPdmz8/2fyPzYebX3av1PyJMZd/tvn5H9xeIVHozF4DXdx+PdOetbS3RKOg8Sjs7DQFMQjjLe40vXc3SJKIGM38LNMulGeiKAmdpiAFNd8BzeFzmoIUyZym/2oJUTzCaL5Xp3l/A1UZuFRMFJww8rGdZq6L7KwsXXSvZOmoDx9CFzOb8SYdy0HfltLndV21WTOa1avlSK3Wq9EsX2WjXC2yZTmfLdf5+v3kZjN3PtfGbRbUWGB86d2mIAhhfELd5g/t1WK3bvO/Gtv5vZvv3HzXuM6f3XzbGM0Pza9+3i1t6szeYesifkuUWOPEOztLQQzC+EpwlpHquSRQaoMpiJLQYApSUHMc0Bw+gylIkcxgKu8xdVE8wgC+V4NZ3LsR70VBz2XBCQMg22D62vSVLBr1yUPQYu4y3p5jOejOXa7WZVUtq/koz+2yZ14tRrPFQnfHiVbmz1ZNcdfZk7rL3BUL4y5LaiwwvvTuUhCEMDgx3OWHN39m</t>
  </si>
  <si>
    <t>LOTH9q3u3WmgD2++f/I79qIgu6b5+c33jdX81ebDfxN3m4IR0HgEdnabghiEwXaPblMQSMRtZmfuKwWeiaIkdJuCFNSchzSHi+JclCKZ2yzOGp/blMQjDOh7dZv3d8yUgTuDRMEJAyDbbfra9JUsGvXJQ9BibjPenmM56M5tzueL1WxdtiOt1GKk6mY9mlWZ+Ww+b5a5caalvnuWk7pNZ2XPuE1FjQXGl95tCoIQBifUbf59d2XQr7stmLcvfu/WMj++vYvSWM0P7YGh232ZJ8ab/u3mR5sfb/5h84/m//7prp6++ZfNP21+sPln8/XH9jP/P/ObH52880rnJ5u/dUXpLdEoaTxKOztSQQzCgExwpN43wkuiCHlR58T1mShJQisqSEFNiEhruCjORSmSWdGm8XtRST7CcL9XL3p/Z00ZuINIFJww9LG9qLdRX8myUZ89hC1mRuMNOpaDvi2s58s8X+p2NNdr+/L4RTZqWrUeqUWWV1lWzNfqLkkkNaOlKxbGjGpqLDC+9GZUEIQwOqFm9G+7BU3jO0fdVUQfb37dLW1Wv6ucT+pbonwa59vZRgpiEMZS3EYGjgIJogjZyFq7UJ6JoiT0kYIU1FyGNIeL4lyUIpmPDCxpSuIRBuq92sj7a2jKwL1CouCEoY9tIwNLmpJo1CcPQYu5yHh7juWgrY0MucP/7evf+EMHPM8ZKhecsYVVEK7ow33tT/7oj1yWz6OVYveqM+Nez7QR6znK+iZbbX+48EUW9HT/uPnstpy9+deTrh56dzLcvmN987PNZydfOAHe3Tv5o80PNn93t7D48eYXJ5u/N3/ww5PNT09yW/r+xB4dP7k/Wf7x5lNbLu/+72Pz9dNHB84/2Hzgis9b7PgoLD53nvAPvvpNpPu5JP47tkRNkgjIsxuyn5yUJzf/6bYlNx+fnWx+bEL8+ZdO3vpycXbyxTP/Xcv+8ovt+tnmV3dt+YPNPxmX/y+b/zHqTmx9+3bd+cT8x/xd5m/J8+LkK1+b/cl6bf7Of757E/9do3cHu75vX9D/k5u/6laou/5y10d+tPlg9O++fNK9x//jE9P+vbNf5qN58UTbTRJPTuxfdWL13nz35nu/+aZ/8yvTiUyv6kg/6WT+ZYf1q9tv/arblmG/fnvzUde/Tqrs5ntFfSf8yYn5C799d5/Ar7tgfGr7q9H8oe3wvT56e+nAr+1f9ZMuWB+ZXyp7NM18ObmTawJpY3XzXRsk85uTLnLmr++ibL98dP8wmE/92c13H/2N+fYv60n5lfnBj8xf8MndM/TL+7cybJvTNlD/r6usQPPlzNVxn7I7bj9jezouPlHxnyRjKuzPQTwK8flHfpa5z+08Y2vsTy48GnedWDDV9a2LRx06YWiL3H1R1zlb4aMJgUfiTpMB1WRnuedtVGzhoCvaCh//8Tdefc2Vnx710rJuPefLvsKXCxqjrVyH0Eem1Ubv9NazWmU+q/oOXzVokEhzqUe9QxVl0541zp79nK8dNC9b7XgHKepM1cVZ7ewjL/iKNVEx3FFsFE+3wnqCX/IFgzmMP+PM6upMOzvGK75qMK/9B9KoUWRVc6adPeJdvlQwvf0HtCO8ehgx3g2MGBd8xZSUx+kSeZuXeVafZc7XUozZwgswEX6LNlS0ma6z1nNw6TVfLZj9vkUaJmz0TreiemIveWIPtSKm3Fsq3tBlTaNE8dIXxARBCOus6OIJvSAmyKdxPnxlwYXxVBSDsCqMzzMDBTFBlNQFMUGUhAUxQQrqsjzQHFWbnbXuFjkXZTmEspgkHmG4Jk3lgmUUy3RfRgncOCcKThgA+ZMUf1lMEo36/CFowfZ8hbTnWA76YHf6e8pSxkqG70JxhALDS28lBUEIYxNqJYfa6C8YJY1HaWdDKohBGI9xQxrY6C+IImRIfRv9BUkS+lFBCmo+BFqjLTzbZs9FSZK50dBmf0k+wpC/Vzt6f39ZGbiQThScMPyx7Whos78kG/X5Q9hifjTeoGM56IN9z4lyF4mNH22pocDw0vtRQRDC4IT6UYnXnAhGQOMR2NlrCmIQBluC14y95kQQSMhxel9zIoiS0HIKUlBTHtAcRZmdle4WORdlSWY6A0ugkniEYX2vnvP+HrMycDGdKDhhGGR7zsASqCQa9flD0GKWM96eYznog31xszpTrlC8oe+Kt4RQYHjJLackCGFsYlhO7nubJYk1TryrxZTEIIyt+7OYkkAiFtP/3mZJlHQWU5KCmuKA5mir+qysnC1yLsqSzGL6394sikcYxvdpMdX9xWUqcBGdKDhhGGRbTP/bm0XRqM8fghaxmEB7juWgD/YiOnXmHLKMxQxfk+IIBYaX3mIKghDGJtRiCl1EJxkFjUdhZ9spiEEYbwm203d8UJIktd8UREnoNwUpqPkOaI6w3xRkSeY3/dfRieIRxvS9+s37u8tU4Do6UXDC+Mf2m8Hr6ETpqI8gQheznPEmHctBd5YTuyc5teWsXKEwlrOghgLDS285BUEIwxNuObevanj08hPz25vvbz61b8/4g/v3Oty/k+PmL283e3YHirLfLWpXNN4SjYbGo7Gz9RTEIAy9uPX0nyiSRBHxnp694M9ESRJaT0EKat4DWqNsqvZMOQfxc1GWZNZTnbXODve2LB5hbN+r9by/2EwFLqoTBSeMf2zr6WvTV7Jo1OcPQYv5znh7juWgO99ZqrlaLRerkc6yaqSqvBrNV8V61C5VXRdqucja2fvJfafToBjfWVJDgeGl952CIISxCfadX7Caf3PrLn+9+bBzoB8aO2r8Z7eZ8+6NYkVjHObvZk9UZn9Xehc6BWOg8Rjs7DYFMQijLe42o/V1QSARz5l7PacgSULPKUhBzXlIa+SZPtM+zynIksxzFsVZ4zOdknyEgX2vpvP+fjMVuK9OFJwwDLJNp7dRX8myUZ9AhC3mOuMNOpaDvt3DuVKqybNsNMu6ldH1fDRvs3K0nuXLrFF6VaoBXKfzFY3GdSpqKDC89K5TEIQwOO3gOkNrmoDjFOTXOP/OjlMQgzDU7tFxCgKJOE7PBPWZKElCxylIQc13SGuUZea52v5clCWZ46yqs9bz/mBRPsKgvlfHeX+JmQrcSicKThgG2Y7T26ivZNmoTyDCFnOc8QYdy0HfOs6yrRalKkcqWy26c0WjeaXz0WLdrJpZnq2LWr2f3HG2rlAYx6nJoYDw0jtOQRDC4IQ6zh8Zn/LR5uf25Zvd1s6PrPN0XOHw2d1tFb9xm4Q1o3GX6orTW6Jx0nicdnamghiEIRl3poHKuyCKiCct3Zt1nomSJPSkghTUjIi0RplXZ5UzvZ+LsiTzpLk+a327PiX5CMP+Xj3p/ZVoKnDFnSg4YQBke1Jvo76SZaM+gQhbzJPGG3QsB915UlUtFmo2b0e6tCumap6N5lmxHNXlYmYXTJWu5u8n96S5swMYU1pRY4HxpTelgiCE0Qk1pf9izOYnEUvK9p2CodB4KHb2nYIYhGF3L75TEEXEd2but609EyVJ6DsFKahZD2iNoq7OSueqwrkoSjLbqf1n2yXxCOP6Xl1ndW9SvHcVPZcFJwx/bNfpa9NXsmjUxw9Bi5nOeHuO5aA701nP20pn5Wqkm8a+bb5pRvN6XZnfZovZbFZVxWz1fnrT6SzfGNNJfps+xpfedAqCEAYn1HT+T2MmP+wuIvro/vLdn3ce8xfmj39uXaj5w4/t7bL2Ft2fPjkxP/HPm/+y+dHmHzY/3Pzg1o/+uHRag7dEg6HxYOxsOwUxCOMubjv9b4qXRJGyndqF8kwUJaHvFKSgJj6gOcqiOFPa2SLnoizpjKf2n3KX5CMM7nt1nvd33ajA3UWi4IQRkO88fY36SpaN+gQibDHrGW/QsRx0Zz3b2XpWz5aLUVFlynx23YyavChHZdGqQlVKN/WdJ0tqPQtXLIz1JL84H+NLbz0FQQijE2w9bVn95rubzzsTWT7Rv+t+H/RbomAaB9vZRgpiEAZR3EYGVi8FUURsZOkc/Z+JgiQ0kYIU1BQGNEZRV961S0GSZBYyOyt8uzgl8Qhj9F4d5P3tNCpw3ZAoOGHwYztIX5u+kkWjPn0IWsxAxttzLAd9WzAvm3VWzptRVig9UrWqRrN1OR+1atmqsq6yeTl/P72BdK5yGQPZUmOB8aU3kIIghMGJbCDtvUKf2S/dvZe2LL75dGsq3SvOb4nCahx2Z1MpiEEYV/diKgVRRExlrl0gz0RBEppKQQpqWkMao2zy1v3u5HNRloS2snXivS2LRxi592or72+gUYEbhUTBCcPfDrbS3aavZNGozx+CFrOV8fYcy0Gb//2++WFlfub3Qrbxf/v6N/7QEQSeZXS27Btah99pX/Yhv/Ynf/RHLi/o0UrxgdVZaaRqI9Zzs9GbbLX9YcMXWdDs/aMxdd1FP5t/PenOGd+9H9Oez9n8zNi/L+yK7MrYP9r8YPN3t+9kN3/8sa1zn2z+1l5LefPtm+90B3p+vfnZkxN7i/rt0fOb79ufd0XhLXYUFBaFOxf4B1/9JtLJXBL/HVuiJklkynvKltcfhT3ycAPqfQE8V2HfW3oUEnzlWeauVj1ja+zbRo/GHS0jV10/HXnUoVbQGbtztrpHBs8jb0dz56s6s2WDuW0re/zH33j1Ndf409faVqVH7Vf4asHstlXr0PnIgdjgnd4aEKvM5zve4asGsxzJGKNd4zlfNpiWtrLhruHT+oKvVRO1wr3Dxu90K6wn+CVfMJix2HOGNiu8bxRgiwaT2H/Y00DxLl8pmMr+A9oNXj0MEu8GBokLvmJKeuN0CN9DN2ZLLsCU9629DA6v+TrBHPct0sBg43a6FdUTe8kT2xnFhcrLPMvNXLWdjZRu1Gi2WNWjqp0ts3y9nM9md4+hd34amKgz56hnnh3ZOqdRoniumWyAijKbdYG8KQpCWBtDJ7of9Oa2v/zizPazza/MhHXz37vd1//fzf9/8+PNP99dPLb5SXdm8K/ND3S/z7sbyOwXFbj8VjI4Gg/OzpNLQQzCMuA+JqGCJDJFEPcA8kyUJF0VRJKCugoLtIZv6itIkaz+0RTZWePcN/S2LCBhlCdN9CIVEH1/W5UOXEAmCk4Y+tizGX+rvpKFoz59CFykBgK06FgO2u6tCXnLvdY+KheccZVFEE714QaufTDVgqtCqCUcuvbBjILCorCX2gdToiZJZMp7ypYHriTtw3YyFYLLRhQ76a99MDWCC0a7GkWmOsriEBA/nwFkqhu69sGVDea2Pdc+uGrB7EatfRQPtQ/vvVPv8FWDWY5kidGu8ZwvG0xLe619cLVqola4d9j4nW6F9QS/5AsGMxZ/tqC1f7bAFQ0msT3WPrhKwVRGqX0UD7UP7yBxwVdMSW+cDhGofTAlJ699cHWCOY5c+yhOt6J6Yi95Ym+zRT3Lm3ZhZqbLbKTm9m3euflt22RFUzV1OW/vBmbv/DQwQWfOUb21j5JGieKlr30IghBWxdCJbrz28WgSe1f8+Lv74ocrDm+JxkHjcdh5HimIQVjr28d8U5AkcZlDkCRhmUOQgrrQCrSGb5YrSJGszFHXzVnmOT8sCkgY0ElzuliZ4/6aOh24d1AUnDD0sScu/lZ9JQtHffoQuFiZI96iYznopGWO2gVnDKQKwuk+3MBlDqZacAEIdX9DlzmYUVBYFPZS5mBK1CSJTHlP2fLARaN92E6mQnCFiGIn/WUOpkZwbWhXo8hUR1kHAuLnM4BMdUOXObiywdy25zIHVy2Y3ahlDvVQ5vBeO/cOXzWY5UiWGO0az/myFVE23DUCZQ6uVk3UCvcOG7/TrbCe4Jd8wWDGYs8WgmUOrmgwie2xzMFVCqYySplDPZQ5vIPEBV8xJb1xOkSgzMGUnLzMwdUJ5jhymUOdbkX1xF7yxB5qmaP2ljk0jRLFS1/mEAQhrIqhE125ModgHDQeh53nkYIYhLW+fcw3BUkSlzkESRKWOQQpqAutQGv4ZrmCFIdR5pAEJAzopDldrMxxfw+lDlwsKgpOGPrYE5dgmUMSjvr0IXCxMke8Rcdy0EnLHM4WNQayCsJVfbiByxxMteACEOr+hi5zMKOgsCjspczBlKhJEpnynrLlgYtG+7CdTIXgChHFTvrLHEyN4NrQrkaRqY6yDgTEz2cAmeqGLnNwZYO5bc9lDq5aMLtRyxzVQ5nDe6nkO3zVYJYjWWK0azznywbT0l7LHFytmqgV7h02fqdbYT3BL/mCwYzFni00gXu52KLBJLbHMgdXKZjKKGWO6qHM4R0kLviKKemN0yECZQ6m5ORlDq5OMMeRyxzV6VZUT+wlT2zntJtVvWiq9UjV9dx8mbdmeqrXo2ymi2ZeFuu6WdzyeOengQk6c47qLXPUNEoUL32ZQxCEsCqGTnR/sPnQTFC/bea23zETXvtiqs2n3W8+NDPbj2/+spv0/srMWB/VP05c/G+J8mucf+f5oyAGYY1vH/NMQRKZ8oaL45koR8LihiAFdXkVaAvf3FaQIllxIzAHlsQjDOKkeVxwIdwy3S+EB+4QFgUnDHsykxVJOOqzh8AFW/QV0qJjOeikpQ3nLjtjGsMX3NV9uIFLG0y14KIP6viGLm0wo6CwKOyltMGUqEkSAXn2BXRPTsqTm/90216bj89ONj+2TfClk7e+XJrffPCFpvr4UQucmP8YB7/5Zffd+5fNmsbb/HDzd5v/tvlRZLPSU3YowEWpfdhbpkJwBYpgWwNlFKZGcO1pV0vKVEdZZwLiV/te9XDOVpiklNK96d+ZoN7mCwez6Z6LKVy1YD6lFlOah2KK95bbd/iqwbxKMuH9cFeqqkpjYpyW4DlfO5gN6RWVqmmrTJ25r2J/wResiYLhfmKDeLoV1hP8ki8YzGDsmUrwghCuaDCp0coquVLqzH3Pwrt8qWBuo9RVmoe6ine8uOArpuQ7To+wY0VRejrFmK1bpriSZ6VSWXWmtEvta75aMPORSyzN6VZUT+wlT2xnIqGXOlse7zw5sFDAnCt7SywtjRLFS19iEQQhrM6hE+74SZK9XhYiGByNBwef5LownopiEBYi9zFBFSSRqb94j5cIkiSswAhSUFeBgdaom/qs9s2LBVGSlWHs3RKtrxAjCUgY6klzwFgh5v6ObR24M10UnDD+sac3wRtDJOGojyACFyvExFt0LAedshBTOJ/TN3SVBeGaPtywhRiuWnDBCPWFAxdiuFFQWBT2UYjhStQkiYC8cCFG/UYh5rObvzTN8OHN92372T1U37HN9N+t07/5c9tEJ5v/adrTfvTDkzdyfZIX1tNX9kuRPTm5+YuuG3zn5OKNd9rMfUfPU3ZowGWtPfherkJwDYviZ72FGa5GcPFqR6fKVUdZqELil9fOTnjOFpikLuN/Pc/bfOFgct1vXYatFkyvxLpM9XBdexW4rp2tGkyzJE/+ePkyq3RRnVVOi/CcLx7MjvTCTJ6XhWoa74EXtmJNVAz3FBvF062wnuCXfMFgCuNPXQLv9WKLBrPaHiszbKlgciNUZqqHu9v9I8YFXzEl4XF6RHi0GLOFC5Vmqrapy8J7+oWtFkx+1NJMZe9xd48Slzyxt2kEeUOD5fHOnANLB8zZs680U4WvE31EieIlL81IghDW69ApeLw0w3zJl2QcNB4HfIbrwngqikFYhdzHbFSQJG0VRpIkXRVGkoK6BIy0RtGWZ75ZsCBKsipM6E1fooCEUZ0044tUYar7W76rwL3touCE8Y89lQm96UsUjvoIInCRKgzQomM56KRVGJ+LLIJwbR9u4CoMUy24PIRawKGrMMwoKCwKe6nCMCVqkkRAXrgKk9cnLj//cJr90Xn2Xz0++953/+YXP7E/cmYrOB9uftH9dX9mP/eh+Qc+sn/nSeUu3zxs3zI//A/dJ7sf+rD7y3/mivVTdqzBNbF9GGmmQnABjGKQ/WUdpkZw5WtX68tUR1nlAuJXmPHZJfCcLXD4sg5XOJit91zW4aoF8zW1rPNwE30VuImerRrM2yST/2hMaFSW+4s6XOlgsqUXdYqsznwr+C/4ejVRL9xLbAxPt8J6gl/yBYPpiz0PCpZ0uKLBjLbPkg5XKpjYKCWdhyvp/aPFBV8xJdlxekRopBizZcsUdMo809VZrV1aX/O1gkmPXM6xV9O7R4hLnthDLed4lmjNRLykUaJ46cs5giCEhT90Li9XzhGMg8bjgE+VXRhPRTEIy5n7mIUKkiQu5wiSJCznCFJQ15KB1ijKs0q7SM5FSQ6jmiMJSBjUSRO9WDXn/jLzKnA9vSg4Yfhjz2KC1RxJOOoTiMDFqjnxFh3LQSet5jhTnDGRKgTXZH24gas5TLXgqhDqAIeu5jCjoLAo7KWaw5SoSRIBeZFqTmF+94871G5uvn2y+YX52c+7P7G1ml+bn/xo8+mJ+c8vvHWhm++d2Ia3VR4jyf6Y+Zt/etL1JNuHzI/bEs7n5tsfmq71yd3f+/ET82ObT89sicf0kc1Pbj/6sfnmz83Xn5r/+/nNd+++ue2LRoj9Rad6+3fdfN8eJ+p6nv3+T7t/2p4isjOUv+k6ovmbPr/tqfYc0ad31aguLn9revQHT+xf3S84PfnNqlUHcF/P2h5BenJSlfe/+uInbv765Oa7Vmd3uMmosUo+twz22/ZJ+a6ruz1ldzdwRXAfUwmmQnD5jzJF8Be0mBrBdb9dzT9THWWND4hf5d+hxRSYpKDlfw0xWzZoV/ZczuKqBQ0LtZylHspZ3svE3+GrBo0LaZaDdo3nfNmKKBvuGlVeqOqs8ZWyuHo1US/cQ2wMT7fCeoJf8gWDiYs9CQy94ZotGsxl+yxlcaWCKY1SylIPpSzvSHHBV0xJc5weoVVZ+84FjtmyZUpZbd7Umec1Eq/5WsGERy5lqdOtqJ7YS57YbiYFvWDd8njXHwILMMw1CG8pS9MoUbz0pSxBEMKqJ7qQsfd7eST5Nc6Prw+4MJ6KYhDWcPcx7xQkkSlhuTieiXIkLGAJUlCXz4G2CMx1BUGS1a8Cc2JJPMI4TprXxapX93fUV9476p/LghNGPpmJiyQc9fFD4GLVq3iLjuWgzf9+/0/v/mf+kn//1eVy9bW3jIN61RkoG4xqvijm81k2Wqm1HqkmW4+apl6PZqrMZqVW+XI5e/83PWihe3Fc/dFqG53fDOPtv8h/PMaXz39n0jrDNnG/qtma68fxwig7K9p/AiA477THSTR1E02FiPoeACLCJ0cG6I033ERvvCGA9AWD5u+S31wtvvXVr38tzMjvknn2ZKK1u1+23oe5ac3z3OfeTl37HQ9CIHY8o3vq0T3l6u53L0g3sXsZ3W+84RFuOh9D+RemncP1otzdg3L/q04sUD5sF3KLnrJFJ+k/btG2YzFUH0TfcZuJSe4/12yBimH7jlv0lC06Sd9xi7adiqHaylZD953S03f8e/ItUDls33GLnrJFJ+k7btG2UzFUH8S4ozx9x78DzwKpYfuOW/SULTpJ33GLtp2Kofogxh39ZFIY51yY/5bmv6X5rzL/Vea/OvP0KxWE1cP2K/1kaoCmBmhqgKYGaGqApgZo6gGasoGS9DltfHZhzXZhf1XaX5X2V8r+Stlfebhsf2WAdesyt2B2ze33fqN7gvtBbnHhJUbPis2rXN/drnPmPcb4nt2FEGD0X2YFbhL5AgreFe9q1oD+K7Z+RdaPK78AlF+zlWuKcv4Ad4syBlAmbJT+kBZHoXai14D+KVs/uLmEM3yZoJ7eC3s8MnEEW8WzqljlKq9HrarqkVLLctTks2LU5rPVLC91tWwfrUQRatn7Gbjuh6+qazDTeMEBrKKFAo2B81GLou/+uFXR7joRQ+66SLNaq2pVzUbrpVqPVLOwd7Pk1ahs2uUyKwrzV/X3cAzXRWqoi9TUeGExGKqL1EAXkUK+HUVmy/XcfnY2z9uRyov5aKbm1ahSel7N122b1+pgukgDdRH/NZm+RwqKwVBdpAG6iBRy10XWi0W1rueLUVMvFiPVLvLRXM0Wo3U1K4rZfN40dXMwXaSFukh4Ud4RLywGQ3WRFugiUsj9Q4iJJ0ZFFmV/rwivo/tfJZ9gYgTov2LrV2T9uPILQPk1W3n/IYq78R060RhAmbBREkyMAP1Ttn7JiVGRnU7d26ztSg9D8LFZmiJH8lURLuY43geMxWCgfFXk0e46EUM+OktTFFAXCddsHPHCYjBUFymALiKF3HWR1Xq2LMrZerSez5cjVRbFaJbP61G2KNtmUahVWR7M8kpRQl0kXJpxxAuLwVBdpAS6iBTy0a3AFQrqIooaLywGQ3URBXQRKeShJ0bxxfL3bJME2P0vZUwxMYrrv2LrV2T9uPILQPk1W3n/IYq78R060RhAmbBRUkyM4vqnbP2iEyN9ei/s8cSII/jo8hVUMbJ9iBIKNAZD5SugYiSGfHQVowKqGBXh8okjXlgMhuoiQMVIDPn4llegilERLp+4HikoBkN1EaBiJIZ8fMsrUMWoCJdPHPHCYjBUFwEqRmLIA0+Myvhi+XtlaO25zfznjRJMjAD9V2z9iqwfV34BKL9mK+8/RHE3vkMnGgMoEzZKgokRoH/K1i85MSqz03thjyZGLMHHZmlKqGJUhsonjlCgMRgoX5VAxUgM+egsTQlVjMpQ+cQZLywGQ3URoGIkhnx0FaMSqhiVofKJM15YDIbqIkDFSAz56FbgSqhiVCpqvLAYDNVFgIqRGHL3RhTLfYs99JmjMr54/l6pg7Eo+rFIOlGK679i61dk/bjyC0D5NVt5/6GKu/MdOtEYQJmwUVJMlOL6p2z9ohMlfXov7PFEiSPYKp7nqiqrUo2aYmkGsnZZjea6rEbmd4v5rGmLWXk3Rh1A/oIqSDY3U0KBxmCo/AVUkMSQby1OXrTtUi9Gs2rWjJSuG5Pr8tWonS2q+UoVrfHNB9NFoApSGSqnOOOFxWCoLgJUkMSQj2+5BaoglaFyijteUAyG6iJABUkMuesii2KdL/NFNsoXi2Kk5ksz9qwyPVqt81VlXHTZFPOD6SJQBakMlVOc8cJiMFQXASpIYsgDV5BUfPH8PRVei/a/+SfBxAjQf8XWr8j6ceUXgPJrtvL+QxR34zt0ojGAMmGjJJgYAfqnbP2SEyOVnd4LezQxYgk+tnyloAqSCpdTHoUCjcFA+UoBFSQx5KOrICmogqTC5RRHvLAYDNVFgAqSGPLt+/OKuV6t1WKUVZUememTmURly3aUZTrTVdPkrT6Y5RUFVZBUuJziiBcWg6G6CFBBEkM+uhU4BVWQlKLGC4vBUF0EqCCJIdsK0pPbdykOWTlS8UXz95QOxsD/essUE6S4/iu2fkXWjyu/AJRfs5X3H6a4K9+hE40BlAkbJcUEKa5/ytYvOkHSp/fCHk+QOIKt4qwsVLUy5seMWMYpF62xQWWVjWalyXlVptty3r5/KHkLqhypcBnlUSjQGAyVt4DKkRjy0ZUFFFQ5UuEyiiNeWAyG6iJA5UgM+fjm0FDlSIXLKI54YTEYqosAlSMx5NsTjHpdtWWpR/W8yUdqUS5HczPOjNbzrFqtmsL8v/pgughUOVLhMoojXlgMhuoiQOVIDHngypGOL5q/p8Nr0P53sCeYGAH6r9j6FVk/rvwCUH7NVt5/iOJufIdONAZQJmyUBBMjQP+UrV9yYqSz06n7pnh78wBD8LHlKw1VjnS4jPIoFGgMBspXGqgciSEf3cRIQ5UjHS6jOOKFxWCoLgJUjsSQj25ipKHKkQ6XURzxwmIwVBcBKkdiyEe3AqehypFW1HhhMRiqiwCVIzHkP93exvzk9uTRb/SDfjCg651Yseju4tKVh14H6as+vdfVQvpxY9vdt+URPWWL7ltZSDTsZm/v1PKItvfZMlRb2fnQfaf29J3w2jV+sRGkn9p33KKnbNFJ+o5btO1UDNVWth667zRPJkXVXfqnzJfWNwyF17jxV8FDONSu1DyZWoapZZj6GKZshiQ9q7GX/FW31/op+9WDYTshg+MgxqnW3jXpuaZdh5fI8XdqQhDUHtbaSyU9F7WzlSfpV213eaTvqnaW9kPwS3bIqsyIVZnxqy7M/1VPJo35s6Y0/2d/bfpaa/681eb/zGfyLLdflP1Smy95Zr+U9ktlv5iP54X9SGH/zN6Imhf2c2Vhv9hfKfsrZX+l7a+0/VVlf1XZX9X2Z2v7Y1ZF3thftfZXbXfJqr1lNbO/sv9u0V282t28av+hwt69WtjLVwt7+2phr18tfPev6mCZwPztQz4mdgw2jTI1jTI1jTI1jTI14ZiaRpk29tfmMTKNMjUxmZpGmdpGmdpGmdpGmdpGmdpGmdpGmdpGmdpGmdpGmdpGmdpGmdpGmdpGmdpGmdpGmdpGmdpGmdpGmdpGmdpGmdpGmdpGmdpGmdpGmdpGmdpGmdpGmdpGmRbd5bHd7bH2H7KNMrWNMrWNMrWNMvU1ypTdKClGgC6nVDalVDbHmHYxXyrzpbHfME1jvnS/tSNFa7/b2ntlW/th20D2q+q+1vZrnnVfy+5r1X21P2jbyX7t/ry7rNY2lb0cuei+dr9W3a9V92vd/Vp3v666X1fdr+vu76m7v6FTaJvNfG27X7e3F+J2N+Jm3a87PcXtRbm3N+V2/3rR3ZVbdJflFt1tuUV3Xa6vDe1IyWjErhVvG9Fm1yF3IFbxGsN7VXDJPi+8HTVBoQ3Qf8XWr8j6ceUXgPJrtnJNUc5PqncLMgDKhI3ST0FxFGoneg3on7L1Sxbaquz0XtijkYkluDP8s3JVGvM30vNZNVLtqh7N54tmVNTtKp/nRdPOsvd7Pm6o9c8KKrRVwarT41CgMRho/bMCCm1iyLe12Fmpq0w1o3mzbkaqXq1GzbJQo0VdzTJtsr3K5gfTRaBCWxWsOrnihcVgqC4CFNrEkLsuslSzetbWq5Hxe/lIVcVyNCtmi1G5WjezZrZqFofzgvwKKrRVwaqTK15YDIbqIkChTQx54O1lVbyC9F6lguyDvpgA0H/F1q/I+nHlF4Dya7by/kMUt1o7dKIxgDJho6RwvXH9U7Z+UderTu+FPXa9HMG3lsZksLrRo1Lr2gxcxgi19stiUS50obJFNWvfP5R8paF8pWmhQGMwVL6KHxObiCHfHimeZ4Ve5vWoVKt2pPRMjZpFZX4ga4u6yGdVma8PpotAR7OqihovLAZDdRHgaJYY8vHNnaGjWVWwbuiKFxaDoboIcDRLDHlo1xs/c/ReFSzt5YOeNgf0X7H1K7J+XPkFoPyarbz/EMWt1g6daAygTNgoKVxvXP+UrV/U9Tan98Ieu16O4KPLV9AhwCpckHOciMNiMFS+Ag4BiiEfneutM6SL1OHKiCNeWAwG6iJ1vHo1EUM+urlzDVWM6nD5xHWuForBUF0EqBiJIQ/seut4KeS9OlwKGfQoMaD/iq1fkfXjyi8A5dds5f2HKG61duhEYwBlwkZJ4HoB/VO2fknXWxen98IeuV6W4GOrTdZQbbIOF+ocx52wGAyVr4DapBjy0e1wqKFDgPYMLC1eWAyG6iLx6tVEDPno5s41VDGqNTVeWAyG6iJAxUgMeWjXGy+FvFdXQXb/gcsUrjeu/4qtX5H148ovAOXXbOX9hyhutXboRGMAZcJGSeF64/qnbP2irrc6vRf22PVyBB9dvoJqk3W4UPcoFGgMhspXQG1SDPn41nqh10bW4cqII15YDIbqIvHq1UQM+fjWeqGKUR0unzjihcVgqC4CVIzEkAd2vU28FPJeEy6F+F8VkcD1Avqv2PoVWT+u/AJQfs1W3n+I4lZrh040BlAmbJQErhfQP2Xrl3S9TXZ6L+yR62UJPjZL00C1ySZcqHsUCjQGA+WrBqhNiiEf3cSoKaAuEq6MOOKFxWCoLhKvXk3EkLsXvpmfvnst5NAH9pt4aeS9Jlwa8b9bJoXFieu/YuuXtThx5dds5f2HKp5Xd+hEYwBlwkZJYXHi+qds/aIWpzy9F/bY4nAEW8WZrtZNuS5GczMRs9firc2v5u2oWbYztShXVVkcTDm7gWqVjaKFAo3BUPkLqFWKId++eKusm0Wd61E+X+Qjla21+VjWjnI9a/NilalFuzyYLgLVKhtNjRcWg6G6CFCrFEMeetUmXqZ5r6lC7EXWZ09qaeL6r9j6ZS1NXPk1W3n/IYrn0R060RhAmbBRUliauP4pW7+opalO74U9tjQcwUeXr6BaZRMs3D0OBRqDofIVUKsUQz4+1wvVKptg4c4VLywGQ3URoFYphjy0pYkX4d5rgkW4Iu+zJ7U0cf1XbP2yliau/JqtvP8QxfPoDp1oDKBM2CgpLE1c/5StX9TStKf3wh5bGo7gY8tXLXSOsg3W5B6HAo3BQPmqjddNJ2LIR+d6W6hW2QYLd654YTEYqosAtUox5IEtTRsvwr3XBotwRdFnT2lpAP1XbP2ilgZQfs1W3n+I4nl0h040BlAmbJQElgbQP2Xrl7Q0bXF6L+yRpWEJtooXupyVzSwfNfNyNVLVuh3Nmnw5ahfrbFWu8uW8nr9/KPkKOkfZBmtwj0OBxmCofBWvk07EkI/P0kC1yVZR44XFYKguAtQmxZCHtjTxott7rQ6yD/oaYED/FVu/rKWJK79mK+8/RPE8ukMnGgMoEzZKCksT1z9l6xe1NPr0XthjS8MRfHSrNNA7XtuKFgo0BkPlq3iddCKGfHyWBqpNtuFCnSNeWAyG6iJAbVIMeWhLEy+6vdeGi26DvuMV0H/F1i9raeLKr9nK+w9RPI/u0InGAMqEjZLC0sT1T9n6RS1Nc3ov7LGl4Qg+unwFndhtwzU4x6sKsRgMla/iddKJGPLRud48g4qT5mPUiGFRGKiTGJ54L5GDHtjW5Fm88maaPFx6G/Q1ngjBFZ9A1Nog2q/52vsPUzyj7tCVxgjMhA+TwN4gBFM+gaTBMapOt9IeWRye5uNLYAWWwMJlOcer6bAoDJbA4rXTiRz00VnhPIMqluZj1IhhURismwA1SznowX1OvBxnmlwF6Qd9cSNCcMUnEPY5ce3XfO39hymeWHfoSmMEZsKHSeJz4gRTPoGsz1GnW2kOn8PRbEVjWy8OJYFBB3nNx2jBQKMwWAKLF1QnctBH6HOgMqb5GDViWBQG6yZAIVMO+v6tNvldQh36tTZ5Fi/amT4Qrto1/XCkNT5xgis+gSIT4NovEO3XfO39pyueaXfoSmMEZsKHSWJ84gRTPoGs8alPt9Icxoej2Ypeq9W8rarZaG7+a2f581GTreejLNOZrpomb/XdgHUIGQ067ms+RgsGGoXBMlq87DqRg+66iV619Uo1erRYrU32m8+rUTtTq5HOVktdFNV6vqwOp5tAxU7zMWrEsCgM1k2Acqcc9NALPHm8jPee+VCQftAX+CEEV3wCWZ8DaL/ma+8/TPHEukNXGiMwEz5MCp8DEEz5BKI+J89Ot9Ie+xyW5qNLYDl0Bth8jBYMNApDJbA8Xn6dyEEfnx3OsXpnHi79OSKGRWGwboLUO8WgB/c58TKeafJgGa/M+vRpfU6c4IpPIOxz4tqv+dr7D1M8se7QlcYIzIQPk8TnxAmmfAJZn1OebqU5fA5H8/ElMOhgcG7X0inBQKMwWAKLl18nctBHaIexemeuqRHDojBYN0HqnWLQg/uceBnPNHkVpB/0VX8IwRWfQNjnxLVf87X3H6Z4Yt2hK40RmAkfJonPiRNM+QSyPqc63Upz+ByO5uNLYNBpYfMxWjDQKAyWwOLV1okc9BHaYay8mQcrfa6IYVEYrJsg5U0x6O2GnbvhwubVQTfs5PEynukDwTJeOejbcxCCKz6BsPGJa7/ma+8/XfFMu0NXGiMwEz5MEuMTJ5jyCWSNT3u6leYwPhzNVnQ2XyzrLF+MZkt7YXA5U/bC4NWoWal1vii1+eH5+4eS0QrsSHERrOo9DgYahaEyWhEvv07koIeeuRfxMp5p8mAZrxz0XSkIwRWfQDaBAdqv+dr7D1N8xNyhK40RmAkfJkUCAwimfALRBFbYI8WF70gxS/PxJbACS2DBavPjYKBRGCyBISV2MejBE1i8qmiaPFyhG/adGADBFZ9AOIHFtV/ztfcfpviIuUNXGiMwEz5MkgQWJ5jyCWQTmC2xF74SO0vz8SUwrMRun2lKMNAoDJbAkBK7GPTgCSxeOTZNroP0w77sACC44hMIJ7C49mu+9v7DFB8xd+hKYwRmwodJksDiBFM+gWwC06dbaY4ExtF8fAkMO8VuuxIlGGgUBktg8Yr/RA56WxRrbskHP8VexEvJpg+ES8nDnmIHCK74BMIZLa79mq+9/3TFh9AdutIYgZnwYZJktDjBlE8gm9HsKfY7aY6MxtFsRc/acj1T9WzU1E0xUrluR7PKDHB1PVOqnc31ss7fP5iMhm3zKMI7HhwndbEoDJbRkG0eYtBdN5m3y3KVL/JRlal8pFSzGpm/sx21C13Wq1qrucoOp5tgp9iLcCHZETEsCoN1k3jFfyIH/ae32HpVzFfafHNuN5jpYtSopelcbalMD80XTdscTDcpsRJ7Ga42OyKGRWGoblIiJXYx6NvRZL5YzdZlO9JKLUaqbtZm5Mm0GYPmzTKfz5alPpzRpMSOFJfhqp7rwYKiMFg3iZdfJ3LQQ68DlvEynmnycBlv2HdiAARXfAJFJsC1XyDar/na+w9T3Kbv0JXGCMyED5Ni1gQQTPkEorOmsjjdSns8a2JpPr4Ehr21uwxX9Rzn/rEoDJbA4uXXiRz0EdphrN5ZKmrEsCgM1k2QeqcY9PFNrkvsSHGpqRHDojBYN4nXwiZy0LejyXxZlpX52HyxNuPNTM1Gs1mRjRZZVazrsslWi9nhdBOs+FSG6zCuBwuKwmDdBCk+iUEPPmuKL6+bJg8uVatH5+7TzpriBFd8AkUmwLVfINqv+dr7D1Pcpu/QlcYIzIQPk2TWFCeY8glkZ0221lT6ak0szVZ0k+nGOORsZPyzLTiobNRmbTNaz5a6WeStnmcHlMCwWlMZLLs8DgYahcESGFJrEoM+QjuM1ZrKYNnFFTEsCoN1E6TWJAZ9fJNrhdWaVLDs4ooYFoWhuolCak1i0Me3VKewWpMKll2cDxYUhcG6CVJrEoMeetak4svrpsmDS9Vq2Pd1AQRXfAJFJsC1XyDar/na+w9T3Kbv0JXGCMyED5Ni1gQQTPkEorMmZWtNyldrYmk+vgSG1ZpUsOzyOBhoFAZLYEitSQz6CO0wVmtSihoxLAqDdROk1iQGfXyTa4XVmpSmRgyLwmDdBKk1iUEf37ZwhdWaVLDs4ooYFoXBuglSaxKDHnzWFF9eN00eXqou+vRpZ01xgis+gSIT4NovEO3XfO39hylu03foSmMEZsKHSTJrihNM+QSysyZba1K+WhNL89HVmhRWa1LhssujYKBRGCyBIbUmMegjtMNYrUmFyy6OiGFRGKybILUmMejjm1xrrNakw2UXR8SwKAzVTTRSaxKDPr6lOo3VmnS47OJ6sKAoDNZNkFqTGPTQsyYdX143TR5eqh72FekAwRWfQJEJcO0XiPZrvvb+wxS36Tt0pTECM+HDpJg1AQRTPoHorEnbWpP21ZpYmo8vgWG1Jh0uuzjeFo5FYbAEhtSaxKCP0A5jtSatqBHDojBYN0FqTWLQxze51litSWtqxLAoDNZNkFqTGPTxLdVprNakw2UXR8SwKAzWTZBakxj09qV67S354C/V0/H1dtMHwmvXw77nHCC44hMoMgGu/QLRfs3X3n+64r59h640RmAmfJgk06g4wZRPIDuNssUn7Ss+sTR3xmdVV/N6nY2WTWGyX5GXo1k216OlWrbzrGnyZn04uyc0VnzS4TqM45XfWBQGy2hI8UkMuusmKiuWs/V8NcorY6OVzpaj+UotR1XeZGq1Lpdle0DdBCs+6XAdxhExLAqDdROk+CQGfXyz7QorPlXhOowjYlgUhuomFVJ8EoPuukm1brJqvcxG6yJbj9SiakfNsm1Hi9VKZVW5nmWqPpxughWfqnAdxhExLAqDdROk+CQGPXTxqYqvt5smD69dD3u5BkBwxSdQZAJc+wWi/Zqvvf8wxW36Dl1pjMBM+DApZk0AwZRPIDprqmzxqfIVn1iajy+BYcWnKlyHcdwzgUVhsASGFJ/EoI/QDmPFp0pRI4ZFYbBughSfxKCPb3JdYcWnSlMjhkVhsG6CFJ/EoI9vqa7Cik9VuA7jiBgWhcG6CVJ8EoMefNYUX143TR5eqq779GlnTXGCKz6BIhPg2i8Q7dd87f2HKW7Td+hKYwRmwodJMmuKE0z5BLKzJltrqny1Jpbm40tgWK2pCpddHgUDjcJgCQypNYlBH6EdxmpNVbjs4ogYFoXBuglSaxKDPr41mBqrNdXhsosjYlgUhuomNVJrEoMe2g7X8RKKafJwCWXY+0wBgis+gSIT4NovEO3XfO39hynuv3boSmMEZsKHSWGHAYIpn0DUDtf56VbaYzvM0nx8CazAEli4ouK4ZQ2LwmAJLF76mshBH18RocZqTXW47MK/s3GoboLUmsSgj2/WVGO1plpRI4ZFYbBugtSaxKAHt8PxEoppch2kH/aiSoDgik+gyAS49gtE+zVfe/9hivuvHbrSGIGZ8GGS2OE4wZRPIGuH9elWmsMOczQf3epwjZU364oWDDQKgyUwpLwpBn2EPqfGukm4ouKIGBaFwbpJvPQ1kYM+wlkTVmuqw2UX/tWeQ3UTpNYkBn2EazBYrakOl10cEcOiMFg3QWpNYtBDz5qaeAnlPfOhEL3O+vRJZ00AwRWfQJEJcO0XiPZrvvb+wxS36Tt0pTECM+HDpJg1AQRTPoHorKnJTrfSHs+aWJqPLoE12FG6JlhReRwMNApDJbAmXvqayEEfnx1usFpTEyy7uCKGRWGwboLUmsSgj29y3WC1piZYdnFFDIvCYN0EqTWJQR/fUl2D1ZoaRY0YFoXBuglSaxKDvn8NVnH31jzbHQZ9DVYTX283fUAHw1H0w5F2GhUnuOITKDIBrv0C0X7N195/uuK+fYeuNEZgJnyYJNOoOMGUTyA7jbLFpztpjmkUR3Mnup3N2ywrR3quSmONZvWomc+sU6qqosm0Wtar9w8mo2HFpyZYh3kcDDQKg2U0pPgkBt11k7xZ1LNlsx7l81llPmtmW01ZmexXFHlt/qJ8ti4Pp5tgxacmWIdxRQyLwmDdBCk+iUF33WRRtKX54/lo2ZaLkVKFGjVFlo1W+bxt53Ve1asD6iZY8akJ1mFcEcOiMFg3QYpPYtBHuHaHFZ+aYB3GFTEsCoN1E6T4JAY9dPGpja+3v2c+FKQf9g4WgOCKT6DIBLj2C0T7NV97/2GK2/QdutIYgZnwYVLMmgCCKZ9AdNbU2uJT6ys+sTQfXQJrseJTG67DON4Mj0VhqATWIsUnMejjs8MtVnxqw3UYR8SwKAzWTZDikxj08U2uW6z41IbrMI6IYVEYrJsgxScx6ONbqmux4lOrqBHDojBYN0GKT2LQtvhkwd8fuObUxpfZTdPrYBRUPwppZ09xgis+gSIT4NovEO3XfO39hypu13foSmMEZsKHSTJ7ihNM+QSysydbc7qT5pg9cTRb0fN2qWeqbEbFLG9HqjLpb67taFapZrnMl8tCH86erBarObXh8sujYKBRGCyRITUnMeiumxj/vF42So2qqtYjVet2NFvW+Uhn5rOzdZXVpTqcboLVnNpw+cURMSwKg3UTpOYkBn2Ek2ys5tSGyy+OiGFRGKybIDUnMegjXLLDak5tuPziiBgWhcG6CVJzEoMeuOZkOm6U/j3zoSD9oBdWIgRXfAJFJsC1XyDar/na+w9T3Kbv0JXGCMyED5Ng1oQQTPkEkrMmo+p0K+3RrImn+dgSWJFBNSfzMVow0CgMlMAMT7TXTuSgj84OFxlUczIfo0YMi8Jg3QSoOclBH93kusigmpP5GDViWBQG6yZAzUkO+uiW6ooMqjmZj1EjhkVhsG4C1JzkoAefNcWX102T6yD9oBdWIgRXfAJFJsC1XyDar/na+w9T3Kbv0JXGCMyED5Nk1hQnmPIJZGdN+nQrzTFr4mg+vgQG1ZrMx2jBQKMwWAIDak1y0Edoh6Fak/kYNWJYFAbrJkCtSQ76CCfXUK3JfIwaMSwKg3UToNYkB32ES3VQrcl8jBoxLAqDdROg1iQHPfSsKY8vr79nPhSkH/TCSoTgik+gyAS49gtE+zVfe/9hitv0HbrSGIGZ8GFSzJoAgimfQHTWlNtaU+6rNbE0H10Cy7FaUx4uu/BvW3M9c1H4PTx3SK1JDPr47HCO1ZrycNnFETEsCoN1E6TWJAZ9fJPrHKs15eGyiyNiWBQG6yZIrUkM+viW6nKs1pQrasSwKAzWTZBakxj04LOm+PK6aXIdpB/0XlOE4IpPoMgEuPYLRPs1X3v/YYrb9B260hiBmfBhksya4gRTPoHsrMnWmu6kOWZNHM3Hl8CwWlMeLrs4LuXDojBYAkNqTWLQR2iHsVpTHi67OCKGRWGwboLUmsSgj3ByjdWa8nDZxRExLAqDdROk1iQGfYRLdVitKQ+XXfj3Sg/VTZBakxj00LOmIr68/l5RhJeqB73+FiG44hMoMgGu/QLRfs3X3n+Y4jZ9h640RmAmfJgUsyaAYMonEJ01FbbWVPhqTSzNR5fACqzWVITLLvxL+VzPXBR+D88dUmsSgz4+O1xgtaYiXHZxRAyLwmDdBKk1iUEf3+S6wGpNRbjs4ogYFoXBuglSaxKDPr6lugKrNVkjSYsYFoXBuglSaxKDHnzWFF9eN02uQ/RV1qdPO2uKE1zxCRSZANd+gWi/5mvvP0xxm75DVxojMBM+TJJZU5xgyieQnTXZWtOdNMesiaP5+BIYVmsqgmWXx8FAozBYAkNqTWLQR2iHsVpTESy7uCKGRWGwboLUmsSgj3ByjdWaimDZxRUxLAqDdROk1iQGfYRLdVitqQiWXVwRw6IwWDdBak1i0EPPmsr48vp75kNB+rxPn3TWBBBc8QkUmQDXfoFov+Zr7z9McZu+Q1caIzATPkyKWRNAMOUTiM6aSltrKn21Jpbmo0tgJVZrKoNll8fBQKMwVAIrkVqTGPTx2eESqzWVwbKLK2JYFAbrJkitSQz6+CbXJVZrKoNlF1fEsCgM1k2QWpMY9PEt1ZVYrcnS0SKGRWGwboLUmsSgB581xZfXTZPrIH3Rp087a4oTXPEJFJkA136BaL/ma+8/THGbvkNXGiMwEz5MkllTnGDKJ5CdNdla0500x6yJo/n4EhhWayrDZZdHwUCjMFgCQ2pNYtBHaIexWlMZLrs4IoZFYbBugtSaxKCPcHKN1ZrKcNnFETEsCoN1E6TWJAZ9hEt1WK2pDJddHBHDojBYN0FqTWLQQ8+aVHx5/T3zoSD9o7t+k86aAIIrPoEiE+DaLxDt13zt/YcpbtN36EpjBGbCh0kxawIIpnwC0VmTsrUm5as1sTQfXQJTWK1JhcsujpvLsSgMlcAUUmsSgz4+O6ywWpMKl10cEcOiMFg3QWpNYtDHN7lWWK1JhcsujohhURismyC1JjHo41uqU1itSSlqxLAoDNZNkFqTGPTgs6b48rppch2kf3THb9pZU5zgik+gyAS49gtE+zVfe/9hitv0HbrSGIGZ8GGSzJriBFM+geysydaa7qQ5Zk0czceXwLBakwqXXRw3lmNRGCyBIbUmMegjtMNYrUmFyy6OiGFRGKybILUmMegjnFxjtSYVLrs4IoZFYbBugtSaxKCPcKkOqzWpcNnFETEsCoN1E6TWJAY99KxJx5fX3zMfCtI/uuM36awJILjiEygyAa79AtF+zdfef5jiNn2HrjRGYCZ8mBSzJoBgyicQnTVpW2vSvloTS/PRJTCN1Zp0uOziuLEci8JQCUwjtSYx6OOzwxqrNelw2cURMSwKg3UTpNYkBn18k2uN1Zp0uOziiBgWhcG6CVJrEoM+vqU6jdWatKJGDIvCYN0EqTWJQZv//X7XVR4NF/1QfHO1+NZXv/41gUiML5//jkGsnpgvjS8AOhiAR9f8et0uhIEbXqt9arVPfdqnfO19nwtph62ulW4dbfXEfnWLt9/hqLfy81v19j+/Fxxh4jNBVrfajivxtXAzqoTXwoe9EgwguOITKDIBrv0C0X7N164p2vkj1HasjsNM+DBJJuZxgimfQHZiXp1upTmGKY5mK1rXy0Wpy3pUFZnxUwttcmQ+y429alaqnc+q5bJ9/2A8Elan0uGSjeOiEiwKg3kkpE4lBj34ynK8/PJe5+YC9MPezgIQXPEJhBNYXPs1X3v/YYqPmDt0pTECM+HDJElgcYIpn0A2gTWnW2mOBMbRfHwJDCuN6pYWDDQKgyUwpDQqBn07ye/Y+x2hHwtoiskKxe0sv8rNLN/k4okqS08YqmCJpc68D2+Sqb4BmFqAqQ9gygdIMt83APZrY776EOz3OQxfmPUP2MMK28O0r3MFqzc1/jZICIPcuQrbudzap3ztafpV0fUrt/iu3zHUd5XTW/WDryNV8bLPe+ZDQcphDxMDBFd8AkUmwLVfINqv+do1RTt/hLq3AwDMhA+TwoYDBFM+gagNr4rTrTTHMMXRbEU3rVrrQpej+XI5G6m80qN2qarRYr2uV+u6KJfqcCr3FVaSrYLVycfBQKMwlA2vkJKsGHTXTWZ5riqt2lGVL4xlV009mutFPVrP62W2zBtdVYczW6uwkmylqBHDojBYN0FKsmLQQy83VvETT6bJdZB+2ON/AMEVn0DY58S1X/O19x+meGLdoSuNEZgJHyaJz4kTTPkEsj7HHv+7k+bwORzNx5fAsON/VUULBhqFwRJYvMo7kYM+QjuMlVWrYIXRFTEsCoN1E6SsKga93Xo2/KJ0+2RS1HZl2tg280XbL7X9Yr/R2G809huN/UZjv9HYb7T2G639Rmu/0dpvtOYbZZbbL6X9ou2X2n6x38gL+8X+Wd6YL4X9XKHsF/uRMrNf7I+Vlf1if0LZn1D2J5T9CW1/Qtuf0PYnKvsTlf0Ju6ReWvVlbX9l5ZaN/ZXVV7Z2wd0KUpn9VW5/ZRWowv6q8G26q4IlqRo/YgI1IJ6c7xZL2ydT22pT22pT22pT22pT22pT22pT22pT22pT22pT22pT22pT22pT22pT22pT22pT22pT22pT22pT22pT22pT22pT22pT22pT22pT22pT22pT22pT22pT22pT22pT22pT22pT22pT22pT22pT22pT22pT22pT22pT22pT22pT22pT22pT22pT22pT22pT22pT22pT22pT22pTX6tN+a2WZpm4tcvEdVeEMOT2q+6+1t3X7rtN992m+27Tfbfpvtt0322777bdd9vuu2333dZ+17ai/Vp2X3X3te6+dt/Ni+5r9+e5LYHY1rRfVfe1+6RpUPu1+xvKqvva/azqflZ1P6u6n9Xdz+ruZ3X3s1X3s1X3s12JpewYbfOarx2RbWDztdNvm/iNN1Sn1jay+Zp3v+602Xa2X71bM1kt3ZWMb1t6+CX1eFnUZN02SFl7+3OSqWac4IpPoMgEuPYLRPs1X7umaOdn8K2XicNM+DBJpppxgimfQHaq2Z5upTmGKY5mK7pe5E2ls3JkHGU2UouiGLVqqUf1ajmrzTfaVXU4c4g6g+YQdbiw/igYaBSGmkPU8ZO+EznooddK6/iJUdPk4cr3sGcLAIIrPoFsAgO0X/O19x+m+Ii5Q1caIzATPkyKBAYQTPkEogmszk+30h4nMJbm40tgBZbAwgVyxzZ7LAqDJbD4ToaJHPTgCSxeETdNHq6ID3u2ACC44hMIJ7C49mu+9v7DFB8xd+hKYwRmwodJksDiBFM+gWwCK0+30hwJjKP5+BIYtlulVrRgoFEYLIEhu1XEoAdPYPECvWlyHaJv/DvykySwOMEVn0A4gcW1X/O19x+m+Ii5Q1caIzATPkySBBYnmPIJZBOY3a1yJ82RwDiajy+BYbtV6ooWDDQKgyUwZLeKGPTgCSy+CcM0eXATRuM/+pMkgcUJrvgEwgksrv2ar73/MMVHzB260hiBmfBhkiSwOMGUTyCbwOrTrTRHAuNoPr4Ehr0fvQ7uW3gcDDQKgyWw+DsJJnLQgyeweN3aNHmwBtwU3mc2SQKLE1zxCYQTWFz7NV97/2GKj5g7dKUxAjPhwyRJYHGCKZ9ANoHZTRx30hwJjKP56BJYg23iaIL7GR4HA43CUAmsQTZxiEEPncCaeN3aNHmwBtwMe7AfILjiE8gmMED7NV97/2GKj5g7dKUxAjPhw6RIYADBlE8gmsAau4mj8W3iYGk+vgRWYAksuJ/hcTDQKAyWwJBNHGLQgyeweN3aNHmwBtwMe2IbILjiEwgnsLj2a772/sMUHzF36EpjBGbCh0mSwOIEUz6BbAKzmzga3yYOlubjS2DYJo5G0YKBRmGwBIZs4hCDHjyBxevWpsl1kH7Yu/MAgis+gXACi2u/5mvvP0zxEXOHrjRGYCZ8mCQJLE4w5RPIJjC7ieNOmiOBcTQfXwLDNnE0FS0YaBQGS2DIJg4x6METWLxubZo8XAP23wOUJIHFCa74BMIJLK79mq+9/zDFR8wdutIYgZnwYZIksDjBlE8gm8DsJo7Gt4mDpfn4Ehi2iaMJ72d4FAw0CoMlMGQThxj04AksXrc2TR6uAQ/7Jg6A4IpPIJzA4tqv+dr7D1N8xNyhK40RmAkfJkkCixNM+QSyCcxu4riT5khgHM1Hl8BabBNHG97PwH8pheuZi8Lv/ty1yCYOMeihE1gbr1ubJg/XgId9EwdAcMUnkE1ggPZrvvb+wxQfMXfoSmMEZsKHSZHAAIIpn0A0gbV2E0fr28TB0nx8CazAElh4PwP/pRSuZy4Kv4fnDtnEIQY9eAKL161Nk4drwMO+iQMguOITCCewuPZrvvb+wxQfMXfoSmMEZsKHSZLA4gRTPoFsArObOFrfJg6W5uNLYNgmjlbRgoFGYbAEhmziEIMePIHF69amyXWIvh32TRwAwRWfQDiBxbVf87X3H6b4iLlDVxojMBM+TJIEFieY8glkE5jdxHEnzZHAOJqPL4FhmzjaihYMNAqDJTBkE4cY9OAJLF63Nk0erAG3w76JAyC44hMIJ7C49mu+9v7DFB8xd+hKYwRmwodJksDiBFM+gWwCs5s4Wt8mDpbm40tg2CaONrif4XEw0CgMlsCQTRxi0IMnsHjd2jR5sAbcFt5nNkkCixNc8QmEE1hc+zVfe/9hio+YO3SlMQIz4cMkSWBxgimfQDaB2U0cd9IcCYyj+dgSWJlBmzjMx2jBQKMwUAIzPNFeO5GDHjiBlVm8bm2aPFgDbgd9EwdCcMUnEE1giPZrvvb+wxQfMXfoSmMEZsKHSZDAEIIpn0AygRlVp1tpjxIYT/PxJbACS2DB/QyPg4FGYbAEBmzikIMePIHF69amyYM14HbQN3EgBFd8AuEEFtd+zdfef5jiI+YOXWmMwEz4MEkSWJxgyieQTWDl6VaaI4FxNB9fAoM2cZiP0YKBRmGwBAZs4pCDNv/7fQv+/rA3M5dZvH5tml4HozDoGzkQgis+gXAii2u/5mvvP1TxkXOHrjRGYCZ8mCSJLE4w5RPIJjJ9upXmSGQczVb0LFcLpRflqJwt9Ei1eTZqqmUzKqulWubreTMv1+8fTCKDNnOYj9GCgUZhsEQGbOaQgx58JhavX5smD9eCB30jB0JwxScQTmBx7dd87f2HKT5i7tCVxgjMhA+TJIHFCaZ8AtkEVp9upTkSGEfz8SUwaDOH+RgtGGgUBktgwGYOOWg7E7PkzS14/v7QM7J4Pdt0gXBteNADzgjBFZ9AOKHFtV/ztfcfrvgIukNXGiMwEz5MkoQWJ5jyCWQTWnu6leZIaBzNVnS1brJqvcxG6yJbj9SiakfNsm1Hi9VKZVW5nmXqDusAElqObe7Iw/scHGd9sSgMldByZHOHGHTXTXSjdZmtl6NsuTLJr2iL0XxRmwy4blbzZdWsFjN9ON0kx7pJuJ7siBgWhcG6SbzwP5GDHnrinscLyKbJwwXkQc/BIwRXfAJZnwNov+Zr7z9M8cS6Q1caIzATPkwKnwMQTPkEoj4nL0630h77HJbm40tgJZbAwvVkx5FwLAqDJbB44X8iB32EdhirtOeKGjEsCoN1E6TSLgY9uM+JFxVNk2svfZuZ//Xp0/qcOMEVn0DY58S1X/O19x+meGLdoSuNEZgJHyaJz4kTTPkEsj7HVtjvpDl8Dkfz8SUwrMKeV7RgoFEYLIEhFXYx6CO0wzXWTfxFPU/EsCgM1k3i1deJHPTgPidexTNN7q/iWfpB36qBEFzxCYR9Tlz7NV97/2GKJ9YdutIYgZnwYZL4nDjBlE8g63Oa0600h8/haD6+BNZiCcxfxHMGA43CYAksXm2dyEEfnx0usPJm4a/0eSKGRWGoblIg5U0x6KF9ThGv2pkm91ftLH3Rp0/qcwCCKz6BrM8BtF/ztfcfpnhi3aErjRGYCR8mhc8BCKZ8AlGfU9iz64Xv7DpL8/ElsAJLYP4injMYaBQGS2DxautEDvr47HCBlTcLf6XPEzEsCoN1E6S8KQY9uM+JV+1Mk6sg/bDv6AEIrvgEwj4nrv2ar73/MMUT6w5daYzATPgwSXxOnGDKJ5D1Oep0K83hcziajy+BaSyBaVow0CgMlsDi1daJHPQR2mGsvGlHHFrEsCgM1k2Q8qYY9OA+J161M00ertoN+yongOCKTyDsc+Lar/na+w9TPLHu0JXGCMyED5PE58QJpnwCWZ9jDxDfSXP4HI7m40tg2AHiIlzEc7zVCIvCYAksXm2dyEEfoR3GyptFuNLniBgWhcG6CVLeFIMe2ueU8arde+ZDQfph3/QFEFzxCWR9DqD9mq+9/zDFE+sOXWmMwEz4MCl8DkAw5ROI+pwyO91Ke+xzWJqPLoGV2IHhMlzEc7z0CovCUAmsjFdbJ3LQx2eHS6y8WYYrfY6IYVEYrJsg5U0x6MF9TrxqZ5o8XLUb9oVwAMEVn0DY58S1X/O19x+meGLdoSuNEZgJHyaJz4kTTPkEsj7Hvpq79L2am6X5+BIYdmC4VLRgoFEYLIHFq60TOegjtMNYebPU1IhhURismyDlTTHowX1OvGpnmrwK0td9+rQ+J05wxScQ9jlx7dd87f2HKZ5Yd+hKYwRmwodJ4nPiBFM+gazPqU630hw+h6P5+BIYdmC4DBfxHgUDjcJgCSxebZ3IQR+hHcbKm2W40ueIGBaFwboJUt4Ugx7c58SrdqbJw1W7Yd+HDBBc8QmEfU5c+zVfe/9hiifWHbrSGIGZ8GGS+Jw4wZRPIOtz7PuQ76Q5fA5H89ElMIUdGFbhIh7/1cCuZy4Kv/tzp+LV1okc9PHZYYWVN1W40sd/NfBQ3QQpb4pBD+1zVLxqZ5o8XLUb9n3IAMEVn0DW5wDar/na+w9TPLHu0JXGCMyED5PC5wAEUz6BqM9R9n3Id9Ie+xyW5uNLYNiBYRUu4vFfDex65qLwe3ju4tXWiRz0EdphrLypFDViWBQG6yZIeVMMenCfE6/amSbXIfo869On9Tlxgis+gbDPiWu/5mvvP0zxxLpDVxojMBM+TBKfEyeY8glkfY59H/KdNIfP4Wg+vgSGHRhWFS0YaBQGS2DxautEDvoI7TBW3lTBSp8rYlgUBusmSHlTDHpwnxOv2pkmD1bt8mHfhwwQXPEJhH1OXPs1X3v/YYon1h260hiBmfBhkvicOMGUTyDrc+z7kJXvfcgszceXwLADwypYxHscDDQKgyWweLV1Igd9fHZYY+VNHaz0uSKGRWGobqKR8qYY9NA+R8erdqbJg1W7vOjTJ/U5AMEVn0DW5wDar/na+w9TPLHu0JXGCMyED5PC5wAEUz6BqM/R9n3I2vc+ZJbm40tgBZbAgkW8x8FAozBYAotXWydy0MdnhzVW3tTBSp8rYlgUBusmSHlTDHpwnxOv2pkmV0H6Yd+HDBBc8QmEfU5c+zVfe/9hiifWHbrSGIGZ8GGS+Jw4wZRPIOtz7PuQ76Q5fA5H8/ElMOzAsNa0YKBRGCyBxautEznoI7TDWHlTV9SIYVEYrJsg5U0xaPO/3zc/bA3B7w3qd+LVO9P04erdsO9FBgiu+ATCfieu/Zqvvf9QxRPsDl1pjMBM+DBJ/E6cYMonkPU79r3Id9Icfoej2Yo2Ca5cZUszfOlmPlLVcjGardrVqFWzuVqt9Tpf5O8fTCLDDg7rcDHP8e5XLAqDJbJ41XUiB32Efgcrc+pwxY//JumhuglS5hSDHnpdp4pX794zHwrSD/teZIDgik8g63MA7dd87f2HKZ5Yd+hKYwRmwodJ4XMAgimfQNTnVPa9yJXvvcgszUeXwCrs4HAVLubx3/3qeuai8Ht47uJV14kc9PHZ4Qorc1bhip8jYlgUBusmSJlTDNqu61jy9hbc9oZB13eqeDXPdIFwNW/Y9wcCBFd8AmHfE9d+zdfef7jiiXaHrjRGYCZ8mCS+J04w5RPI+h77nuTK955kluYuoRVtWRT5fLRsy8VIqUKNmiLLRqt83rbzOq/q1d0zfggJDTtIXClaMNAoDJbQ4lXYiRz0rT1Wy7perMrRPG8ak/x0MZqVK5MG29kyn1ezZaMXh9NNsLJnpakRw6IwWDdByp5i0F03mbdLPVNlMypmeWs+26xHcz0rRk2lmuUyXy4Luwx5KN0EK3tWFTViWBQG6yZI2VMMuusms6rIZlm5HtXrmZ1x5flotl6vRkovi/VslS30en443QQ71VmFKyyOiGFRGKybxEthEznowVeL4yUV0+ThksqwbyMFCK74BIpMgGu/QLRf87X3H6a4Td+hK40RmAkfJsmsKU4w5RPIzprsqc7Kd6qTpdmKrrN1sdRqPprNtR6pcq6MOyqz0Uyvm3WjV3XWHpDPwcqdVbjy53jjIhaFwRIYUu4Ugz4+O1xjpzrrcIXFETEsCkN1kzpeCpvIQR/f5LrGak91uAzjes0vFIXBuglSexKDPr6luhqrPdXhMowjYlgUBusmSO1JDHroWVMdX143TR5eqh723cYAwRWfQJEJcO0XiPZrvvb+wxS36Tt0pTECM+HDpJg1AQRTPoHorKm2tabaV2tiaT6+BIbVmmpFCwYahcESGFJrEoM+QjuM1ZpqTY0YFoXBuglSaxKDPsLJNVZrqsNlF0fEsCgM1k2QWpMY9PHVmmqs1lSHyy6OiGFRGKybILUmMejBZ03x5XXT5MGl6iLr06edNcUJrvgEikyAa79AtF/ztfcfprhN36ErjRGYCR8myawpTjDlE8jOmmytqfbVmliajy+BYbWmOlh2eRwMNAqDJTCk1iQGfXx2uMFqTU2w7OKKGBaFobpJg9SaxKCPb3LdYLWmJlh2cUUMi8Jg3QSpNYlBH99SXYPVmppg2cUVMSwKg3UTpNYkBj30rKmJL6+bJg8uVRfD3rsAEFzxCRSZANd+gWi/5mvvP0xxm75DVxojMBM+TIpZE0Aw5ROIzpoaW2tqfLUmlubjS2BYralRtGCgURgsgSG1JjHoI7TDWK2p0dSIYVEYrJsgtSYx6COcXGO1piZYdnFFDIvCYN0EqTWJQR/ftvAGqzU1wbKLK2JYFAbrJkitSQx68FlTfHndNHl4qbro06edNcUJrvgEikyAa79AtF/ztfcfprhN36ErjRGYCR8myawpTjDlE8jOmmytqfHVmliaj67W1GC1piZcdnkUDDQKgyUwpNYkBn18drjFak1tuOziiBgWhaG6SYvUmsSgj29y3WK1pjZcdnFEDIvCYN0EqTWJQR/fUl2L1ZracNnFETEsCoN1E6TWJAb9p7d3JdhGH/Rdem18md00fXjJeti7oQCCKz6BIhPg2i8Q7dd87f2HKm7Xd+hKYwRmwodJMXsCCKZ8AtHZU2trTq2v5sTSbEVnmW5VppYjvTTGOc9X61GbqcK+TXamFuWqKosD8jtYzalVtGCgURgskSE1JzHoI5w9YTWnVlMjhkVhsG6C1JzEoI/QFmM1pzZcfnFEDIvCYN0EqTmJQR/hJBurObXh8ovr0jUoCoN1E6TmJAY9dM2pjS+zmyYPL1kPe8McQHDFJ1BkAlz7BaL9mq+9/zDFbfoOXWmMwEz4MElmTXGCKZ9AdtZka06tr+bE0nx8CQyrObXh8ovrFi0oCoMlMKTmJAZ9dHZYZVDNyXyMGjEsCgN1E8MT7yZy0Ec3uVYZVHMyH6NGDIvCYN0EqDnJQR/dUp3KoJqT+Rg1YlgUBusmQM1JDnrgWZPK4svrpsnDS9WD3leJEFzxCRSZANd+gWi/5mvvP0xxm75DVxojMBM+TIJZE0Iw5RNIzpqMqtOttEezJp7m40tgUK3JfIwWDDQKgyUwoNYkB32EdhiqNZmPUSOGRWGwbgLUmuSgj3ByDdWazMeoEcOiMFg3AWpNctBHt1SnMqjWZD5GjRgWhcG6CVBrkoMefNYUX143TR5eqq769GlnTXGCKz6BIhPg2i8Q7dd87f2HKW7Td+hKYwRmwodJMmuKE0z5BLKzpuZ0K80xa+JoPr4EBtWazMdowUCjMFgCA2pNctDHZ4dzrNaUh8sujohhURiqm+RIrUkM+vgm1zlWa8rDZRdHxLAoDNZNkFqTGPTxLdXlWK0pD5ddHBHDojBYN0FqTWLQQ8+a8vjyumny8FL1o7t+k86aAIIrPoEiE+DaLxDt13zt/YcpbtN36EpjBGbCh0kxawIIpnwC0VlTbmtNua/WxNJ8fAkMqzXlihYMNAqDJTCk1iQGfYR2GKs15ZoaMSwKg3UTpNYkBn2Ek2us1pSHyy6OiGFRGKybILUmMejjW6rLsVpTHi67OCKGRWGwboLUmsSgB581xZfXTZOHl6of3fWbdtYUJ7jiEygyAa79AtF+zdfef5jiNn2HrjRGYCZ8mCSzpjjBlE8gO2uytabcV2tiaT6+BIbVmvJw2YV/wb3rmYvC7+G5Q2pNYtDHZ4cLrNZUhMsu/AvuB+omBVJrEoM+vsl1gdWainDZxRExLAqDdROk1iQGfXxLdQVWayrCZRdHxLAoDNZNkFqTGPTQs6Yivrxumjy8VP3ort+ksyaA4IpPoMgEuPYLRPs1X3v/YYrb9B260hiBmfBhUsyaAIIpn0B01lTYWlPhqzWxNB9fAsNqTfaZpgQDjcJgCQypNYlBH6EdxmpNtilpEcOiMFg3QWpNYtBHOLnGak1FuOziiBgWhcG6CVJrEoM+vqW6Aqs1FeGyiyNiWBQG6yZIrUkMevBZU3x53TR5cKm6zPr0aWdNcYIrPoEiE+DaLxDt13zt/YcpbtN36EpjBGbCh0kya4oTTPkEsrMmW2sqfLUmlubjS2BYrakIll0eBwONwmAJDKk1iUEfnx0usVpTGSy7uCKGRWGoblIitSYx6OObXJdYrakMll1cEcOiMFg3QWpNYtDHt1RXYrWmMlh2cUUMi8Jg3QSpNYlBm//9ftdVHmWVfii+uVp866tf/5pAJMaXz3/HIKon5ktrvij7K9X6QhFcty4fXfzr9b0QEG59LcXUUkwtxdRSTH0UUz5F3/tCFLD9tRDG5RoK+7W1X1X3aw+I/RSHxKK0dx3t/WGvDDOw0QfQjDoqSDnolWEIwRWfQJEJcO0XiPZrvnZN0c4fwbZjeRxmwodJMXEHCKZ8AtGJe6lOt9IcwxRHsxWtdb6Ya5NIZ2q9HqmVWozmzaIZ6dWqXc1mRdPY/UKH4qGwOlapacFAozCYh0LqWGLQXTdRq6yq55kezZbZcqR0o0ft3Ezy58v1vK0a49EWxeF0E6yOVQZLOq6IYVEYrJsgdSwx6Lv1nXW+zBfZKF8sipGaL80kf2V+dLXOV1WrqrIp5ofTTbA6Vhks6bgihkVhsG6C1LHEoLtuks/aZbGo8lFTlGbkKUo9mudtM1q1dZYv58taq9XhdJMG6ybhpXNHxLAoDNZN4jWOiRz00OXOMr5Wbpo8vFY+6JVhCMEVn0CRCXDtF4j2a772/sMUt+k7dKUxAjPhwySZNcUJpnwC2VlTe7qV5pg1cTR3oou5Xq2N</t>
  </si>
  <si>
    <t>Yc6qStvlx2bUZMt2lGU601XT5K0+HDussDqWCpd0HBeZYFEYKoEppI4lBn18syaF1bFUuKTjiBgWhcG6CVLHEoM+vlmTwupYKlzScV6yhkRhsG6C1LHEoI9vqU6VWDcJl1ccEcOiMFg3iZ+nmchBDz1rUvHlddPkKkg/7JVhAMEVn0CRCXDtF4j2a772/sMUt+k7dKUxAjPhw6SYNQEEUz6B6KxJ2VrTnbTHsyaW5uNLYFitSWlaMNAoDJbAkFqTGPQRzpqwWpMKl10cEcOiMFg3QWpNYtBHOGvCak0qXHZx3p6FRGGwboLUmsSgj6/WpLBakwqXXRwRw6IwWDdBak1i0IPPmuLL66bJw0vVw14ZBhBc8QkUmQDXfoFov+Zr7z9McZu+Q1caIzATPkySWVOcYMonkJ012VrTnTTHrImj+ehqTRqrNelw2cVxkQkWhaESmEZqTWLQxzdr0litSYfLLo6IYVEYrJsgtSYx6OObNWms1qTDZRfnJWtIFAbrJkitSQz6+JbqNFZr0uGyiyNiWBQG6yZIrUkM+vZonWUf/Gyd1k8mqmp8EVDBCOB3PUEYuOO9PVFntE992qd87UnO0Rnt5qtHvP0+R323ZjN4j6pMj9L2tGZV2C/a17d0kBB/Iz4ERO5blelb2p7WNBRTH8WUT5Gml1W2l+nutKbhsF/dIF2PZJBYlLv2sB1v0NOaOr6ubhJZcF1dZd72SrEWBBBc8QkUmQDXfoFov+Zr1xTt/BFsaw/iMBM+TIq1IIBgyicQXQvS1elWmmOY4mjuZm96tWyzph3NV1obC28XBJbzcpSti6aaFcv5fHbXyw7BlmM1Lx0s/zwOBhqFwWw5UvMSg77NZusmq9bLbLQuMmPhF1VrX4zRjharlcqqcj3LVH043QSreelg+ccVMSwKg3UTpOYlBj10zUvHl/lNkweXzJX/LSJJfE6c4IpPIOxz4tqv+dr7D1M8se7QlcYIzIQPk8TnxAmmfAJZn2NrXnfSHD6Ho/noEliF1byqYPnncTDQKAyVwCqk5iUGfXx2uMJqXlWw/OOKGBaFwboJUvMSg7ar1OaHbToddF2nipd0TNMHSzqq6Echqd8BCK74BLJ+B9B+zdfef6jiCXaHrjRGYCZ8mBR+ByCY8glE/U5VnG6lPfY7LM3Hl8iwcmsVrDw+DgYahcESGVJuFYM+QluM3U1VKWrEsCgM1k3ix74mctBDr+tU8eNDpsl1kH7Yt40CBFd8AmGfE9d+zdfef5jiiXWHrjRGYCZ8mCQ+J04w5RPI+hx9upXm8DkczceXwLCjfVVFCwYahcESWLzqOpGDPkI7jJU5q3DFz/VGRSgKg3UTpMwpBv2n9y/2L/r9oB8KaE8SKxK3W8Uqu0ustrvEarsNsW7Mlya3X+x7/pvafGkz+6X0xShc48Nf/QaR4lnsdg9ZZbeP1Xb7WG13Khq8qcWbWrypxZtavKkPb8rH6+c3CA9OcXeby6puW1ndbSuru+2MhtB8NYj2a3c5gIE0Xw2l/erG7LZBMjgt6J2ptR152CXKeBXKjGLhis6wxxABgis+gSIT4NovEO3XfO2aop0/Im5zQxxmwodJYt3jBFM+gax1tyXZO2mOYYqj2YrWjdZltl6OsuXKJOaiLUbzRZ2NmnWzmi+rZrU4IE9WYyXZOlyddB2OgKIwlCerkZKsGPTxzfBqrCRbh6uTjohhURismyAlWTHooZco63j1yTR5uJLjP3iTwucABFd8AlmfA2i/5mvvP0zxxLpDVxojMBM+TAqfAxBM+QSiPqe2pdjaV4plaT6+BIaVYutwVfJRMNAoDJbAkFKsGPQR2mGsFFsrasSwKAzWTZBSrBj04D4nXn0yTa6D9P6jn0l8Tpzgik8g7HPi2q/52vsPUzyx7tCVxgjMhA+TxOfECaZ8AlmfY0uxd9IcPoej+fgSGFaKrStaMNAoDJbAkFKsGPQR2mGsFFuHq5KOiGFRGKybIKVYMejBfU78IKVp8nB1ru3Tp/U5cYIrPoGwz4lrv+Zr7z9M8cS6Q1caIzATPkwSnxMnmPIJZH1Oc7qV5vA5HM3Hl8BaLIGFi3iPgoFGYbAEFq+2TuSgj88ON1h5swlX+hwRw6IwVDdpkPKmGPTQPqeJV+1MkwerdvrRCyOS+hyA4IpPIOtzAO3XfO39hymeWHfoSmMEZsKHSeFzAIIpn0DU5zT56VbaY5/D0nx8CazAEliwiPc4GGgUBktg8WrrRA76+Oxwg5U3m2ClzxUxLAqDdROkvCkGPbjPiVftTJOrIP2wr4YCCK74BMI+J679mq+9/zDFE+sOXWmMwEz4MEl8TpxgyieQ9Tn2Esk7aQ6fw9F8fAkMu0Sy0bRgoFEYLIHFq60TOegjtMNYebOpqBHDojBYN0HKm2LQg/uceNXONHmwaqeLPn1anxMnuOITCPucuPZrvvb+wxRPrDt0pTECM+HDJPE5cYIpn0DW59SnW2kOn8PRfHwJDHuHcxMs4j0OBhqFwRJYvNo6kYM+QjuMlTebYKXPFTEsCoN1E6S8KQY9tM9p41W798yHgvTDvhIKILjiE8j6HED7NV97/2GKJ9YdutIYgZnwYVL4HIBgyicQ9TltdrqV9tjnsDQfXQJrsQPDbbiIx387kuuZi8Lv4bmLV1snctDHZ4dbrLzZhit9johhURismyDlTTHowX1OvGpnmjxctfO/DSmJz4kTXPEJhH1OXPs1X3v/YYon1h260hiBmfBhkvicOMGUTyDrc8rTrTSHz+FoPr4Ehh0YbhUtGGgUBktg8WrrRA76CO0wVt5sNTViWBQG6yZIeVMM+k+3F2+rfkfoxwJ6ZSIrFLfvvmzrJxOd5faLsl8q+6UxX/LMfinsF/uN3H4jtx/O7XcL+93Cfre039D2t9r+VtsP6+7P7Ocq+w17AbOulC/KVTDKuh9lbxKEQoXnwduXZ5r4TG18pjY+UxufqY3P1MZnauMztfGZ2vhMbXymNj5TG5+pjc/Uxmdq4zO18Zna+ExtfKY2PlMbn6mNz9QXnyk/Pv0UC8UHzrJ3b99s7Zs1bYDsV9V9rbqv9h2cNkj2a9F97b6bd9/Nu5/Ku88U3WeK7jNl913d/Ynu/kR3P6Vv/7z7fNV9t7tG2hc0q4sTNRu2u4vLB79Guo2X08ywHC5NDfuOK4Dgik+gyAS49gtE+zVfu6Zo54/w22QXh5nwYZLMReIEUz6B7FzE1pZbX22ZpdmKXi/XzSKbNaNC18XImItm1M5m7WhVt8162a6b+Xr9/sGYTKy23IbLrI73+GBRGMxkIrVlMejbd6svVK0XZT2a6XVlPmtmME0zb0ZVuVDmk4u60dnhdBOsttyGy6yOiGFRGKybILVlMeiumyyretaoRTNaloX5bJ6Xo6bQs9G61uv1LJ+v8vnBTFl1Bh2dNR+jRgyLwkDdxPDEu4kc9MBL82aGEaU3TR6uXw36KjSE4IpPoMgEuPYLRPs1X3v/YYr7rx260hiBmfBhEthhhGDKJ5C0w0bV6VbaIzvM03x8CQyqLZuP0YKBRmGwBAbUluWgj84O6ww6Oms+Ro0YFoXBukm87jiRg/7T29vGbaMPufyns3gdyzS9CkZh0FeiIQRXfAJhvxPXfs3X3n+o4gl2h640RmAmfJgkfidOMOUTyPoddbqV5vA7HM1dlSKbm5Q3L0YrpRYjtaxN0psV69Fiqat1tqgW6/KA/A5UYzYfowUDjcJgiQyoMctBDz5hj58MNU1eheirR2/ASJvA4gRXfALhBBbXfs3X3n+Y4iPmDl1pjMBM+DBJElicYMonkE1g1elWmiOBcTQfXwKDXkptPkYLBhqFwRJYvOo6kYMePIHFq3emyYPVu2rQlxghBFd8AuEEFtd+zdfef5jiI+YOXWmMwEz4MEkSWJxgyieQTWDN6VaaI4FxNB9fAoMq6+ZjtGCgURgsgQGVdTnooRNYHi8Yv2c+FKQvvM9sigQGEFzxCWQTGKD9mq+9/zDFR8wdutIYgZnwYVIkMIBgyicQTWB5drqV9jiBsTQfXQLLoVPb5mO0YKBRGCqB5fFC/0QOevAEFi8YmyYPFoyrQV87ghBc8QmEE1hc+zVfe/9hio+YO3SlMQIz4cMkSWBxgimfQDaBFadbaY4ExtF8fAkM28yRB/c1PA4GGoXBEhiymUMMevAEFq9bmyZXQfpB3yeBEFzxCYQTWFz7NV97/2GKj5g7dKUxAjPhwyRJYHGCKZ9ANoHZTRx30hwJjKP5+BIYtokj17RgoFEYLIEhmzjEoLsXBVjyW/ChDiV7mroKUlfeZzVJ4opX3K/4BMKJK679mq+9/xDFR8p9dZkJX3SSBBUP+5RPIJug7CaNO2mOBMXRPIx19ow04T0Gg77mwIiLdpsrPoHwSBPXfs3Xrina9z3ScEUnGWniYZ/yCWRHmvp0K80x0nA033mcu54+lMd5mLTHtzqYESm8bWDYkxcAwRWfQHhEimu/5mvXFO3sEelh8hCHmfBhkoxUcYIpn0B2pLL7fnLfvh+WZit6XbYz3RbNqMzz9SjPV6tR22ZqtMyrKp8tsvm8vXvGD2HSju37yVtaMNAoDDZpR/b9iEEPZJ23CayIb3V4z3woRF8Pe/ICILjiE8gmMED7NV97/2GKj5g7dKUxAjPhw6RIYADBlE8gmsAKu++n8O37YWk+ugRWYPt+iuAWmMfBQKMwVAIrkH0/YtCHcga+iG95ME0f3D5QD3sCAyC44hMIJ7K49mu+9v5DFR85d+hKYwRmwodJksjiBFM+gWwis/t/7qQ5EhlHc7dgVDbrrJw3o6xQeqRqVY1m63I+atWyVWVdZfNy/v7BJDJs/08R3ArzOBhoFAZLZMj+HzHorpu0s/Wsni0Xo6IyqU7N182oyYtyVBatKlSldFMXh9NNoFsbtB36aRHDojBYN4nvDZnIQXfdpJ63lc7K1Ug3TWs+2zSjeb2uzG+zxWw2q6pitjqcboJtxrBNSYsYFoXBugmyGUMM+jbpVIuFms3bkS6zaqTUPBvNs2I5qsvFrFDLhdLVASUd6FJ6bf0LLWJYFAbrJvFC/kQO+vZ9hGVbLUpVjlS2WoxUma1G80rno8W6WTWzPFsXtTqcboK93qAIFvdcEcOiMFg3iVdhJ3LQXTcp1Vytlgsz8mS2S1V5NZqvivWoXaq6tn0qa2eH002gt7ibj1EjhkVhsG4SL4FN5KBvR5OVUk2eZaNZVq5HqljPR/M2K0frWb7MGqVXpTqgboLVnIpg+cX5YEFRGKybIDUnMeium2SreT1frIvRbJE3xscsV6NmVVajcrGYq8XSuJvscFZ2S+wt7mV4mdsRMSwKQ3WTMl6PmMhB3247n7XLYlHlo6boulSpR/O8bUarts7y5XxZa7U6nG6CFQDK8Fq46yUOUBQG6yZIAUAM+jbpzOu6arNmNKtXy5FarVejWb7KRrlaZMtyPluu8/XhdJMC6ybEtUY0CoN1k/ii8EQOuusmq3VZVctqPspzO/Lk1cKMQQvdGd+V+bNVUxxQ0sFWYUvygiQWhcG6CbIKKwbddZP5fLGarUszee4OvNTNejSrMvPZfN4sc9OlygN683qJrcKWihoxLAqDdRNkFVYM+jbp5Ms8X+p2NNdruxS3yEZNq+xVqlleZVkxXx/O3bm6xFZhS02NGBaFwboJsgorBj307royvrhomjy8uFj06ZNuSgAIrvgEikyAa79AtF/ztfcfpngVfIeuNEZgJnyYigxD7UqvEYIpn0B0U0Jpj8zdSXu8KYGl+fgSGLbwX4bXwB8FA43CYAkMWfgXgz5CO4wt/JfhNXBHxLAoDNZNkIV/MegjnFxjC/9leA3cETEsCoN1E2ThXwz6+JbqFLbwr8Jr4K7xF4rCUN1EIQv/YtDHt/CvsIV/FV4Dd0QMi8Jg3QRZ+BeDPr4yosIW/lV4DdwRMSwKg3UTZOFfDPr49q4obOFfhdfAHRHDojBYN0EW/sWgj2/visIW/pWiRgyLwmDdBFn4F4M+vg2TClv4V5ocMSgKg3UTZOFfDPr4tl8rbPu1Iq41olEYrJvEF4UnctDHd5hDYauwirwgiUVhsG6CrMKKQR/f0TCFrcIq8oIkFoXBugmyCisGfXwHTRW2CqvIC5JYFAbrJsgqrBj03RsTjE0Z9o0JOr7I+J7W4UXGYW9MAQiu+ASKTIBrv0C0X/O19x+qeDV8h640RmAmfJiKDEPtSq8RgimfQHRzgrav/tG+V/+wNHe2eKHyMs9yM5q1s5HJcWo0W6zqUdXOllm+Xs5ns8PZnKCxAoAOr4U7Lg/BojBUItNIAUAMeujddTq+rm2aPLyuPeyNKQDBFZ9AOIHFtV/ztfcfpviIuUNXGiMwEz5MkgQWJ5jyCWQTmH3lz500RwLjaO4q2GU9y5vWboVYZmbWZteWc/PbtsmKpmrqct7ePSGHkMCwmpMOl19cl4dAURgsgSE1JzHowRNYvJRimlwF6bX3mU2SwOIEV3wC4QQW137N195/mOIj5g5daYzATPgwSRJYnGDKJ5BNYPbKrztpjgTG0Xx8CQwrc2pNCwYahcESGFLmFIMePIHFq3emyasg/bBXfwEEV3wC4QQW137N195/mOIj5g5daYzATPgwSRJYnGDKJ5BNYPZ80500RwLjaLaidbOqF031f1V3NT1qw0D0r6xyZiWWksD2uhK99dCsyod6SYIDVhMbGdNtV+p/7wwUaQsknh3kuHAgkfFk3puM/aSdWbm8H45GOXzlj7CBxeV9P4sH4/zDoByNi2//jYDRKutxe5H5LBjUKAQTMEpl3Rvp4ALmLhjDK28vGIc9UY7AYMpn4FnA3NhnfOyni8m9Y16RSimFzJxPphMBczNY8Bn4FTA8vyluOr+Jhfn2amC0Zo748X3BoEYhmIBRmjm8kQ4tYIm7bv0VJrWyHzeu2S4EjMBgymfgV8AI2Gd87KeLyb1jXpFKKYXMnE+mCwEjMFjwGXgVsASbOJKmJg4W5pv7E2JCa+JI2vsZzoJBjUIoAUsoTRzeSAcXMHfdGl55ew047Am6BAZTPgPPAubGPuNjP11M7h3zilRKKWTmfDKdCJibwYLPwK+AYRNH0tTEwcJ8ewJGa+JI2vsZLhwmS4tCMAGjNHF4Ix1cwNx1a3jlwzb2437jmu1EwNwMpnwGngXMjX3Gx366mNw75hWplFLIzPlkOhEwN4MFn4FfAcMmjr/QLggYB/PN1cASWhNHEr8vGNQoBBMwShOHN9L4/2C/j5+o98Zz9DGaPMDIPz4PudV74+w4srW/KrGF6EWlVhavha60wZvMrHJ82mQwiYfjEUQ6UlmNDp5lLbZ3n8XL3RddZwq8beUr/PAw6EU7tRSmkgrnKQ0XMMsquVIYYHzsWhv5Cr6yCmZUorRg/kMYK4v9SAHThIGxF5NtnsVPsLFmJ+ApOVAUZo8119bq+nCHgymyODrsXaDQ338gbr1oKbOVVuiLY70HzLI0crVmmlq94RiCZSmrPVG8Yk7DhK2u4PVjLiyfGm0xMTJjzycccwGTYVfnwky0gTQ7JBDePeklevkklDAQZJi3MdqKwkqtcFali+8C0u84LBDLYVHCoFRrWJIWwf8BGd3uPA==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</si>
  <si>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</si>
  <si>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</si>
  <si>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</si>
  <si>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</si>
  <si>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</si>
  <si>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</si>
  <si>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</si>
  <si>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</si>
  <si>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</si>
  <si>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</si>
  <si>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</si>
  <si>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</si>
  <si>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</si>
  <si>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</si>
  <si>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</si>
  <si>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</si>
  <si>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</si>
  <si>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Материалы/
оборудование</t>
  </si>
  <si>
    <t>СМР, ПНР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</si>
  <si>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</si>
  <si>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</si>
  <si>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</si>
  <si>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</si>
  <si>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</si>
  <si>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</si>
  <si>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</si>
  <si>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</si>
  <si>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</si>
  <si>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</si>
  <si>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</si>
  <si>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</si>
  <si>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</si>
  <si>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</si>
  <si>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</si>
  <si>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</si>
  <si>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6.2.2.4.2</t>
  </si>
  <si>
    <t>Устройство перегородок</t>
  </si>
  <si>
    <t>1.1.1.1.1.1.1</t>
  </si>
  <si>
    <t>6.2.2.4.2.4</t>
  </si>
  <si>
    <t>Устройство перегородок и зашивка коммуникаций ГКЛ</t>
  </si>
  <si>
    <t>1.1.1.1.1.1.1.1</t>
  </si>
  <si>
    <t>6.2.2.4.2.4.1.3</t>
  </si>
  <si>
    <t>Устройство перегородок на металлическом каркасе по системе Knauf / С-115.1 / А2-16</t>
  </si>
  <si>
    <t>м2</t>
  </si>
  <si>
    <t>09081587-04d0-4a7e-b27a-26e6c1596cec</t>
  </si>
  <si>
    <t>5f0da678-df96-489e-bd05-e5f79b4d6b88</t>
  </si>
  <si>
    <t>0ed13e26-7903-4b3b-80e2-92ed86dbdc43</t>
  </si>
  <si>
    <t>1.1.1.1.1.1.1.1.1</t>
  </si>
  <si>
    <t>Прочие материалы для перегородок из ГКЛ (лента, шпатлевка, грунтовка, шуруп, дюбель и пр.) / двойной каркас / 2 слоя облицовки</t>
  </si>
  <si>
    <t>комплект</t>
  </si>
  <si>
    <t>315889897.1521788</t>
  </si>
  <si>
    <t>27245632.1521788</t>
  </si>
  <si>
    <t>a62e1417-9467-44d3-81a2-91aea1356d96</t>
  </si>
  <si>
    <t>1.1.1.1.1.1.1.1.2</t>
  </si>
  <si>
    <t>Лист гипсокартонный_ / ГСП-А ПЛУК / 12,5 мм</t>
  </si>
  <si>
    <t>315889897.1521728</t>
  </si>
  <si>
    <t>27245632.1521728</t>
  </si>
  <si>
    <t>8ef46e6a-fd4f-48c4-ac16-389dd02262ec</t>
  </si>
  <si>
    <t>1.1.1.1.1.1.1.1.3</t>
  </si>
  <si>
    <t>Профиль_/стоечный/50*50*0,60/3м</t>
  </si>
  <si>
    <t>пог. м</t>
  </si>
  <si>
    <t>315889897.54565</t>
  </si>
  <si>
    <t>27245632.54565</t>
  </si>
  <si>
    <t>aadfbe6a-ab19-412b-a4b6-645b6bf99174</t>
  </si>
  <si>
    <t>1.1.1.1.1.1.1.1.4</t>
  </si>
  <si>
    <t>Профиль_/направляющий/50*40*0,60/3м</t>
  </si>
  <si>
    <t>315889897.54570</t>
  </si>
  <si>
    <t>27245632.54570</t>
  </si>
  <si>
    <t>fcc6f7bc-87cc-49c1-b4ac-f6a22abb8878</t>
  </si>
  <si>
    <t>1.1.1.1.1.1.1.2</t>
  </si>
  <si>
    <t>1.1.1.1.1.1.1.2.1</t>
  </si>
  <si>
    <t>315889898.54565</t>
  </si>
  <si>
    <t>27245633.54565</t>
  </si>
  <si>
    <t>1.1.1.1.1.1.1.2.2</t>
  </si>
  <si>
    <t>315889898.54570</t>
  </si>
  <si>
    <t>27245633.54570</t>
  </si>
  <si>
    <t>1.1.1.1.1.1.1.2.3</t>
  </si>
  <si>
    <t>Гипсовые строительные плиты_ / влагостойкий / 12,5*1200*2500</t>
  </si>
  <si>
    <t>315889898.54553</t>
  </si>
  <si>
    <t>27245633.54553</t>
  </si>
  <si>
    <t>efad23af-fbbd-4322-a1b7-0c398c24e336</t>
  </si>
  <si>
    <t>1.1.1.1.1.1.1.2.4</t>
  </si>
  <si>
    <t>315889898.1521788</t>
  </si>
  <si>
    <t>27245633.1521788</t>
  </si>
  <si>
    <t>1.1.1.1.1.1.1.3</t>
  </si>
  <si>
    <t>1, 2, 3 этажи. Тип: WD8. Перегородка ГKЛ тип С112 по серии Knauf толщиной 75мм. Двуслойная обшивка из КНАУФ-листов ГСП-А 12.5мм с одной стороны на одинарном металлическом каркасе из профиля ПН 50х40/ПС 50х50 Knauf.</t>
  </si>
  <si>
    <t>1.1.1.1.1.1.1.3.1</t>
  </si>
  <si>
    <t>315889899.1521788</t>
  </si>
  <si>
    <t>27245768.1521788</t>
  </si>
  <si>
    <t>1.1.1.1.1.1.1.3.2</t>
  </si>
  <si>
    <t>315889899.1521728</t>
  </si>
  <si>
    <t>27245768.1521728</t>
  </si>
  <si>
    <t>1.1.1.1.1.1.1.3.3</t>
  </si>
  <si>
    <t>315889899.54565</t>
  </si>
  <si>
    <t>27245768.54565</t>
  </si>
  <si>
    <t>1.1.1.1.1.1.1.3.4</t>
  </si>
  <si>
    <t>315889899.54570</t>
  </si>
  <si>
    <t>27245768.54570</t>
  </si>
  <si>
    <t>1.1.1.1.1.1.1.4</t>
  </si>
  <si>
    <t xml:space="preserve">1, 2, 3 этажи. Тип: WD10. Перегородка с однослойными обшивками из КНАУФ-листов на одинарном металлическом каркасе С111 (Профиль ПС 50х50 мм., плита КНАУФ-Файерборд с обеих сторон толщиной 12,5 мм.) Минераловатный утеплитель, толщ. 50мм.
</t>
  </si>
  <si>
    <t>1.1.1.1.1.1.1.4.1</t>
  </si>
  <si>
    <t>315889900.54565</t>
  </si>
  <si>
    <t>27245765.54565</t>
  </si>
  <si>
    <t>1.1.1.1.1.1.1.4.2</t>
  </si>
  <si>
    <t>315889900.54570</t>
  </si>
  <si>
    <t>27245765.54570</t>
  </si>
  <si>
    <t>1.1.1.1.1.1.1.4.3</t>
  </si>
  <si>
    <t>Плита КНАУФ-Файерборд</t>
  </si>
  <si>
    <t>315889900.54553</t>
  </si>
  <si>
    <t>27245765.54553</t>
  </si>
  <si>
    <t>1.1.1.1.1.1.1.4.4</t>
  </si>
  <si>
    <t>315889900.1521788</t>
  </si>
  <si>
    <t>27245765.1521788</t>
  </si>
  <si>
    <t>1.1.1.1.1.1.1.5</t>
  </si>
  <si>
    <t>6.2.2.4.2.4.2.3</t>
  </si>
  <si>
    <t>Облицовка стен по системе Knauf / С-625 / в 1 слой / А-13, А-23</t>
  </si>
  <si>
    <t>Выгружается из БО по объектам BIM-КЦ</t>
  </si>
  <si>
    <t>834d4ba1-3405-4dac-a941-111c00f37ea2</t>
  </si>
  <si>
    <t>c67aa5d8-bca5-4d0b-9a75-8aee0e2c4115</t>
  </si>
  <si>
    <t>1.1.1.1.1.1.1.5.1</t>
  </si>
  <si>
    <t>Прочие материалы для облицовки стен из ГКЛ (лента, шпатлевка, грунтовка, шуруп, дюбель и пр.)_ / 1 слой ГКЛ / профиль ПН/ПС 75 мм</t>
  </si>
  <si>
    <t>315889902.1277440</t>
  </si>
  <si>
    <t>27245691.1277440</t>
  </si>
  <si>
    <t>b1463634-82d7-49d6-b536-2d7cba892a32</t>
  </si>
  <si>
    <t>1.1.1.1.1.1.1.5.2</t>
  </si>
  <si>
    <t>Лист гипсокартонный_ / ГСП-Н2 ПЛУК / 12,5 мм</t>
  </si>
  <si>
    <t>315889902.1521731</t>
  </si>
  <si>
    <t>27245691.1521731</t>
  </si>
  <si>
    <t>a1299d5c-a6a8-4578-811e-9ac6be42922a</t>
  </si>
  <si>
    <t>1.1.1.1.1.1.1.5.3</t>
  </si>
  <si>
    <t>315889902.54565</t>
  </si>
  <si>
    <t>27245691.54565</t>
  </si>
  <si>
    <t>1.1.1.1.1.1.1.5.4</t>
  </si>
  <si>
    <t>Профиль_/направляющий/50*50*0,40/3м</t>
  </si>
  <si>
    <t>315889902.54566</t>
  </si>
  <si>
    <t>27245691.54566</t>
  </si>
  <si>
    <t>c2f1d1c0-1cc2-4bd4-8e05-ef1e6946382b</t>
  </si>
  <si>
    <t>1.1.1.1.1.1.1.6</t>
  </si>
  <si>
    <t>1, 2, 3 этажи. Тип: WD11 Однослойная облицовка из гипсокартона на КНАУФ-профиле, отнесенном от базовой стены С 625(Профиль ПС 50х50 мм., плита КНАУФ-ГКЛ с одной стороны толщиной 12,5 мм)</t>
  </si>
  <si>
    <t>1.1.1.1.1.1.1.6.1</t>
  </si>
  <si>
    <t>315889903.54566</t>
  </si>
  <si>
    <t>27245766.54566</t>
  </si>
  <si>
    <t>1.1.1.1.1.1.1.6.2</t>
  </si>
  <si>
    <t>315889903.54570</t>
  </si>
  <si>
    <t>27245766.54570</t>
  </si>
  <si>
    <t>1.1.1.1.1.1.1.6.3</t>
  </si>
  <si>
    <t>Лист гипсоволокнистый ГВЛВ 12,5мм Г1</t>
  </si>
  <si>
    <t>315889903.7352</t>
  </si>
  <si>
    <t>27245766.7352</t>
  </si>
  <si>
    <t>22b5ef4c-0665-11e8-80d9-005056881952</t>
  </si>
  <si>
    <t>1.1.1.1.1.1.1.6.4</t>
  </si>
  <si>
    <t>315889903.1277440</t>
  </si>
  <si>
    <t>27245766.1277440</t>
  </si>
  <si>
    <t>1.1.1.1.1.1.1.7</t>
  </si>
  <si>
    <t>6.2.2.4.2.4.2.4</t>
  </si>
  <si>
    <t>Облицовка стен по системе Knauf / С-626 / в 2 слоя / А-10, А-27</t>
  </si>
  <si>
    <t>b14f4e38-3585-4dc2-957c-30490faf4592</t>
  </si>
  <si>
    <t>efdd910f-d4d5-47d8-bf4c-279f25591fc4</t>
  </si>
  <si>
    <t>1.1.1.1.1.1.1.7.1</t>
  </si>
  <si>
    <t>Прочие материалы для облицовки стен из ГКЛ (лента, шпатлевка, грунтовка, шуруп, дюбель и пр.)_ / 2 слоя ГКЛ / профиль ПН/ПС 75 мм</t>
  </si>
  <si>
    <t>315889904.1571304</t>
  </si>
  <si>
    <t>27245718.1571304</t>
  </si>
  <si>
    <t>03246ec1-2d72-4291-b360-a366560593b9</t>
  </si>
  <si>
    <t>1.1.1.1.1.1.1.7.2</t>
  </si>
  <si>
    <t>315889904.54565</t>
  </si>
  <si>
    <t>27245718.54565</t>
  </si>
  <si>
    <t>1.1.1.1.1.1.1.7.3</t>
  </si>
  <si>
    <t>315889904.54570</t>
  </si>
  <si>
    <t>27245718.54570</t>
  </si>
  <si>
    <t>1.1.1.1.1.1.1.7.4</t>
  </si>
  <si>
    <t>315889904.1521716</t>
  </si>
  <si>
    <t>27245718.1521716</t>
  </si>
  <si>
    <t>85f69335-7b81-4c3d-b059-fb06ee828287</t>
  </si>
  <si>
    <t>1.1.1.1.1.1.1.8</t>
  </si>
  <si>
    <t>1, 2, 3 этажи. Тип: WD2 Зашивка приборов отопления ГВЛВ. Двуслойная обшивка из КНАУФ-листов 12.5мм с одной стороны на одинарном металлическом каркасе.</t>
  </si>
  <si>
    <t>1.1.1.1.1.1.1.8.1</t>
  </si>
  <si>
    <t>315889905.1521716</t>
  </si>
  <si>
    <t>27245767.1521716</t>
  </si>
  <si>
    <t>1.1.1.1.1.1.1.8.2</t>
  </si>
  <si>
    <t>315889905.54565</t>
  </si>
  <si>
    <t>27245767.54565</t>
  </si>
  <si>
    <t>1.1.1.1.1.1.1.8.3</t>
  </si>
  <si>
    <t>315889905.54570</t>
  </si>
  <si>
    <t>27245767.54570</t>
  </si>
  <si>
    <t>1.1.1.1.1.1.1.8.4</t>
  </si>
  <si>
    <t>315889905.1571304</t>
  </si>
  <si>
    <t>27245767.1571304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</si>
  <si>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</si>
  <si>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</si>
  <si>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</si>
  <si>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</si>
  <si>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</si>
  <si>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</si>
  <si>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</si>
  <si>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</si>
  <si>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</si>
  <si>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</si>
  <si>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6.3.1.5.1</t>
  </si>
  <si>
    <t>Полы</t>
  </si>
  <si>
    <t>1.1.2.1.1.1.1</t>
  </si>
  <si>
    <t>6.3.1.5.1.3</t>
  </si>
  <si>
    <t>Устройство покрытия полов</t>
  </si>
  <si>
    <t>1.1.2.1.1.1.1.1</t>
  </si>
  <si>
    <t>6.3.1.5.1.3.2.1</t>
  </si>
  <si>
    <t>Устройство покрытия пола из линолеума</t>
  </si>
  <si>
    <t>Включая защиту ДВП</t>
  </si>
  <si>
    <t>51b31787-2db2-4031-aade-329f900ef9b7</t>
  </si>
  <si>
    <t>b58ad002-5dea-4a06-b953-f640911ed5b2</t>
  </si>
  <si>
    <t>8a7cac49-151b-40fd-a08b-5e72f8ff4034</t>
  </si>
  <si>
    <t>1.1.2.1.1.1.1.1.1</t>
  </si>
  <si>
    <t>Клей для линолеума</t>
  </si>
  <si>
    <t>кг</t>
  </si>
  <si>
    <t>315889912.702694</t>
  </si>
  <si>
    <t>27245671.702694</t>
  </si>
  <si>
    <t>1a3e3255-5ba6-49e7-bbc8-279e1b1289a0</t>
  </si>
  <si>
    <t>1.1.2.1.1.1.1.1.2</t>
  </si>
  <si>
    <t>Сварочный шнур для линолеума (для объектов СКБ)_ / Tarkett / Сварочный шнур для спортивного линолеума "цветной" для школы / 94853 или 94854</t>
  </si>
  <si>
    <t>315889912.765921</t>
  </si>
  <si>
    <t>27245671.765921</t>
  </si>
  <si>
    <t>8a356048-b8f8-47ee-8d24-c76a0511040b</t>
  </si>
  <si>
    <t>1.1.2.1.1.1.1.1.3</t>
  </si>
  <si>
    <t>Линолеум (для объектов СКБ)_ / 4 мм  / Желтый / Omnisports ACTION R40 YELLOW / Tarkett / - / Спортивный линолеум для детского сада</t>
  </si>
  <si>
    <t>315889912.1757615</t>
  </si>
  <si>
    <t>27245671.1757615</t>
  </si>
  <si>
    <t>d4a7a97e-1161-462d-a2ac-3ef8a8ae8cec</t>
  </si>
  <si>
    <t>1.1.2.1.1.1.1.2</t>
  </si>
  <si>
    <t>1.1.2.1.1.1.1.2.1</t>
  </si>
  <si>
    <t>Линолеум (для объектов СКБ)_ / 4 мм  / серый / Omnisports ACTION R40 GREY / Tarkett / - / Спортивный линолеум для школы</t>
  </si>
  <si>
    <t>315889913.1757616</t>
  </si>
  <si>
    <t>27245672.1757616</t>
  </si>
  <si>
    <t>8a051785-3557-4655-9655-cc3c5240c6a9</t>
  </si>
  <si>
    <t>1.1.2.1.1.1.1.2.2</t>
  </si>
  <si>
    <t>Сварочный шнур для линолеума (для объектов СКБ)_ / Tarkett  / Сварочный шнур для линолеума ПВХ светло - серого для детского сада / 91811</t>
  </si>
  <si>
    <t>315889913.1757617</t>
  </si>
  <si>
    <t>27245672.1757617</t>
  </si>
  <si>
    <t>bb025d17-34e9-45a4-8c65-9092721a631f</t>
  </si>
  <si>
    <t>1.1.2.1.1.1.1.2.3</t>
  </si>
  <si>
    <t>315889913.702694</t>
  </si>
  <si>
    <t>27245672.702694</t>
  </si>
  <si>
    <t>1.1.2.1.1.1.1.3</t>
  </si>
  <si>
    <t>1, 2, 3 этажи. Тип: Л-7</t>
  </si>
  <si>
    <t>1.1.2.1.1.1.1.3.1</t>
  </si>
  <si>
    <t>315889914.702694</t>
  </si>
  <si>
    <t>27245781.702694</t>
  </si>
  <si>
    <t>1.1.2.1.1.1.1.3.2</t>
  </si>
  <si>
    <t>315889914.1757617</t>
  </si>
  <si>
    <t>27245781.1757617</t>
  </si>
  <si>
    <t>1.1.2.1.1.1.1.3.3</t>
  </si>
  <si>
    <t>315889914.1757616</t>
  </si>
  <si>
    <t>27245781.1757616</t>
  </si>
  <si>
    <t>1.1.2.1.1.1.1.4</t>
  </si>
  <si>
    <t>1, 2, 3 этажи. Тип: Л-4</t>
  </si>
  <si>
    <t>1.1.2.1.1.1.1.4.1</t>
  </si>
  <si>
    <t>Линолеум Таркетт OMNISPORTS SKY BLUE 40, толщина 4,0мм</t>
  </si>
  <si>
    <t>315889915.1757615</t>
  </si>
  <si>
    <t>27245780.1757615</t>
  </si>
  <si>
    <t>1.1.2.1.1.1.1.4.2</t>
  </si>
  <si>
    <t>315889915.765921</t>
  </si>
  <si>
    <t>27245780.765921</t>
  </si>
  <si>
    <t>1.1.2.1.1.1.1.4.3</t>
  </si>
  <si>
    <t>315889915.702694</t>
  </si>
  <si>
    <t>27245780.702694</t>
  </si>
  <si>
    <t>1.1.2.1.1.1.1.5</t>
  </si>
  <si>
    <t>1, 2, 3 этажи. Тип: Л-1</t>
  </si>
  <si>
    <t>1.1.2.1.1.1.1.5.1</t>
  </si>
  <si>
    <t>315889916.702694</t>
  </si>
  <si>
    <t>27245779.702694</t>
  </si>
  <si>
    <t>1.1.2.1.1.1.1.5.2</t>
  </si>
  <si>
    <t>315889916.1757617</t>
  </si>
  <si>
    <t>27245779.1757617</t>
  </si>
  <si>
    <t>1.1.2.1.1.1.1.5.3</t>
  </si>
  <si>
    <t>315889916.1757616</t>
  </si>
  <si>
    <t>27245779.1757616</t>
  </si>
  <si>
    <t>1.1.2.1.1.1.1.6</t>
  </si>
  <si>
    <t>1.1.2.1.1.1.1.6.1</t>
  </si>
  <si>
    <t>315889917.1757617</t>
  </si>
  <si>
    <t>27245782.1757617</t>
  </si>
  <si>
    <t>1.1.2.1.1.1.1.6.2</t>
  </si>
  <si>
    <t>315889917.702694</t>
  </si>
  <si>
    <t>27245782.702694</t>
  </si>
  <si>
    <t>1.1.2.1.1.1.1.7</t>
  </si>
  <si>
    <t>6.3.1.5.1.3.8.1</t>
  </si>
  <si>
    <t>Установка стыковочных профилей</t>
  </si>
  <si>
    <t>76703cd4-c8ff-4e22-abbd-2d5e394281cf</t>
  </si>
  <si>
    <t>d8cca10c-4815-473b-a7ff-575551ece3f3</t>
  </si>
  <si>
    <t>1.1.2.1.1.1.1.7.1</t>
  </si>
  <si>
    <t>Профиль для деформационных швов / Гидроконтур ПСН-100</t>
  </si>
  <si>
    <t>315889919.2809864</t>
  </si>
  <si>
    <t>27245706.2809864</t>
  </si>
  <si>
    <t>056f83f2-b240-11ef-b2b9-8d9a4c3e632c</t>
  </si>
  <si>
    <t>1.1.2.1.1.1.1.7.2</t>
  </si>
  <si>
    <t>Жидкие гвозди универсальные_/</t>
  </si>
  <si>
    <t>шт</t>
  </si>
  <si>
    <t>315889919.54854</t>
  </si>
  <si>
    <t>27245706.54854</t>
  </si>
  <si>
    <t>3378c715-1bc1-40f5-8d09-15a912e04c9d</t>
  </si>
  <si>
    <t>1.1.2.1.1.1.1.8</t>
  </si>
  <si>
    <t>1.1.2.1.1.1.1.8.1</t>
  </si>
  <si>
    <t>315889920.54854</t>
  </si>
  <si>
    <t>27245707.54854</t>
  </si>
  <si>
    <t>1.1.2.1.1.1.1.8.2</t>
  </si>
  <si>
    <t>315889920.2809864</t>
  </si>
  <si>
    <t>27245707.2809864</t>
  </si>
  <si>
    <t>1.1.2.1.1.1.1.9</t>
  </si>
  <si>
    <t>1.1.2.1.1.1.1.9.1</t>
  </si>
  <si>
    <t>315889921.2809864</t>
  </si>
  <si>
    <t>27245708.2809864</t>
  </si>
  <si>
    <t>1.1.2.1.1.1.1.9.2</t>
  </si>
  <si>
    <t>315889921.54854</t>
  </si>
  <si>
    <t>27245708.54854</t>
  </si>
  <si>
    <t>1.1.2.1.1.1.1.10</t>
  </si>
  <si>
    <t>1.1.2.1.1.1.1.10.1</t>
  </si>
  <si>
    <t>Профиль, ПМЮ-05 / 2700мм</t>
  </si>
  <si>
    <t>315889922.1276313</t>
  </si>
  <si>
    <t>27245709.1276313</t>
  </si>
  <si>
    <t>c53a38a1-8b3e-46f9-a81d-9cf0e3e1db7b</t>
  </si>
  <si>
    <t>1.1.2.1.1.1.1.10.2</t>
  </si>
  <si>
    <t>315889922.54854</t>
  </si>
  <si>
    <t>27245709.54854</t>
  </si>
  <si>
    <t>1.1.2.1.1.1.1.11</t>
  </si>
  <si>
    <t>1, 2, 3 этажи. Тип: SB02. Профиль Гидроконтур для деформационных швов напольный</t>
  </si>
  <si>
    <t>1.1.2.1.1.1.1.11.1</t>
  </si>
  <si>
    <t>315889923.2809864</t>
  </si>
  <si>
    <t>27245762.2809864</t>
  </si>
  <si>
    <t>1.1.2.1.1.1.1.11.2</t>
  </si>
  <si>
    <t>315889923.54854</t>
  </si>
  <si>
    <t>27245762.54854</t>
  </si>
  <si>
    <t>1.1.2.1.1.1.1.12</t>
  </si>
  <si>
    <t>1, 2, 3 этажи. Тип: SB03. Профиль Гидроконтур для деформационных швов настенный</t>
  </si>
  <si>
    <t>1.1.2.1.1.1.1.12.1</t>
  </si>
  <si>
    <t>315889924.54854</t>
  </si>
  <si>
    <t>27245763.54854</t>
  </si>
  <si>
    <t>1.1.2.1.1.1.1.12.2</t>
  </si>
  <si>
    <t>315889924.2809864</t>
  </si>
  <si>
    <t>27245763.2809864</t>
  </si>
  <si>
    <t>1.1.2.1.1.1.1.13</t>
  </si>
  <si>
    <t>1, 2, 3 этажи. Тип: РB04. Профиль Гидроконтур для деформационных швов потолочный</t>
  </si>
  <si>
    <t>1.1.2.1.1.1.1.13.1</t>
  </si>
  <si>
    <t>315889925.2809864</t>
  </si>
  <si>
    <t>27245789.2809864</t>
  </si>
  <si>
    <t>1.1.2.1.1.1.1.13.2</t>
  </si>
  <si>
    <t>315889925.54854</t>
  </si>
  <si>
    <t>27245789.54854</t>
  </si>
  <si>
    <t>1.1.2.1.1.1.1.14</t>
  </si>
  <si>
    <t>1, 2, 3 этажи. Тип: SB01</t>
  </si>
  <si>
    <t>1.1.2.1.1.1.1.14.1</t>
  </si>
  <si>
    <t>315889926.1276313</t>
  </si>
  <si>
    <t>27245761.1276313</t>
  </si>
  <si>
    <t>1.1.2.1.1.1.1.14.2</t>
  </si>
  <si>
    <t>315889926.54854</t>
  </si>
  <si>
    <t>27245761.54854</t>
  </si>
  <si>
    <t>1.1.2.1.1.1.1.15</t>
  </si>
  <si>
    <t>6.3.1.5.1.3.14.1</t>
  </si>
  <si>
    <t>Устройство покрытия пола из кварцвинила / на клею</t>
  </si>
  <si>
    <t>d2a8c4cc-9752-499d-bcd0-96d63d6d3e47</t>
  </si>
  <si>
    <t>0f62f3eb-5d66-4427-b2d6-a309be9c6e5c</t>
  </si>
  <si>
    <t>1.1.2.1.1.1.1.15.1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</si>
  <si>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</si>
  <si>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315889928.1579985</t>
  </si>
  <si>
    <t>27245602.1579985</t>
  </si>
  <si>
    <t>f4eb966a-beb9-11eb-80fb-005056881952</t>
  </si>
  <si>
    <t>1.1.2.1.1.1.1.15.2</t>
  </si>
  <si>
    <t>Кварц-виниловая плитка / SPC VIVA Series с защитным слоем 0,3мм</t>
  </si>
  <si>
    <t>315889928.1745760</t>
  </si>
  <si>
    <t>27245602.1745760</t>
  </si>
  <si>
    <t>5e97e485-cef1-4bb6-9a4e-50ed5226fbd6</t>
  </si>
  <si>
    <t>1.1.2.1.1.1.1.16</t>
  </si>
  <si>
    <t>1.1.2.1.1.1.1.16.1</t>
  </si>
  <si>
    <t>315889929.1745760</t>
  </si>
  <si>
    <t>27245603.1745760</t>
  </si>
  <si>
    <t>1.1.2.1.1.1.1.16.2</t>
  </si>
  <si>
    <t>315889929.1579985</t>
  </si>
  <si>
    <t>27245603.1579985</t>
  </si>
  <si>
    <t>1.1.2.1.1.1.1.17</t>
  </si>
  <si>
    <t>3 этаж. П-11. Плитка виниловая Effekta Professional 011 P/8011 P Natural Pine PRO, 1000 x 200 х 2.55мм с защитным слоем 0.8 мм</t>
  </si>
  <si>
    <t>1.1.2.1.1.1.1.17.1</t>
  </si>
  <si>
    <t>цена 3880 руб/шт.</t>
  </si>
  <si>
    <t>315889930.1579985</t>
  </si>
  <si>
    <t>27245796.1579985</t>
  </si>
  <si>
    <t>1.1.2.1.1.1.1.17.2</t>
  </si>
  <si>
    <t>Цена 2000 руб/м2</t>
  </si>
  <si>
    <t>315889930.1745760</t>
  </si>
  <si>
    <t>27245796.1745760</t>
  </si>
  <si>
    <t>1.1.2.1.1.1.1.18</t>
  </si>
  <si>
    <t>КР-8. Отделка лестницы амфитеатра: Микроцементт АСТРА ЛОФТ, цвет Дубай, фактурная, с защитным покрытием, толщина 4-6мм</t>
  </si>
  <si>
    <t>1.1.2.1.1.1.1.18.1</t>
  </si>
  <si>
    <t>315889931.1745760</t>
  </si>
  <si>
    <t>27245798.1745760</t>
  </si>
  <si>
    <t>1.1.2.1.1.1.1.18.2</t>
  </si>
  <si>
    <t>315889931.1579985</t>
  </si>
  <si>
    <t>27245798.1579985</t>
  </si>
  <si>
    <t>1.1.2.1.1.1.1.19</t>
  </si>
  <si>
    <t>6.3.1.5.1.3.16.4</t>
  </si>
  <si>
    <t>Установка напольного плинтуса / полимерного на клею</t>
  </si>
  <si>
    <t>c9eb628d-6a9a-4823-a035-3a8c813e3e45</t>
  </si>
  <si>
    <t>1e8e5096-f9d4-45e8-8fba-752768fac6e1</t>
  </si>
  <si>
    <t>1.1.2.1.1.1.1.19.1</t>
  </si>
  <si>
    <t>Плинтус для линолеума (для объектов СКБ)_ / 50мм /  DoLLKEN WEISS 100 1137 / Dollken / Плинтус для линолеума для детского сада и школ</t>
  </si>
  <si>
    <t>315889933.1277526</t>
  </si>
  <si>
    <t>27245607.1277526</t>
  </si>
  <si>
    <t>0bcd701c-ad57-43a4-965e-8e4f1c35993b</t>
  </si>
  <si>
    <t>1.1.2.1.1.1.1.20</t>
  </si>
  <si>
    <t>1.1.2.1.1.1.1.20.1</t>
  </si>
  <si>
    <t>315889934.1277526</t>
  </si>
  <si>
    <t>27245608.1277526</t>
  </si>
  <si>
    <t>1.1.2.1.1.1.1.21</t>
  </si>
  <si>
    <t>1, 2, 3 этажи. Тип: ПЛ-3</t>
  </si>
  <si>
    <t>1.1.2.1.1.1.1.21.1</t>
  </si>
  <si>
    <t>Плинтус Dollken WL 50 темно - серый 146</t>
  </si>
  <si>
    <t>315889935.1277526</t>
  </si>
  <si>
    <t>27245787.1277526</t>
  </si>
  <si>
    <t>1.1.2.1.1.1.1.22</t>
  </si>
  <si>
    <t>1, 2, 3 этажи. Тип: ПЛ-4</t>
  </si>
  <si>
    <t>1.1.2.1.1.1.1.22.1</t>
  </si>
  <si>
    <t>Плинтус Dollken WL 50 светло - серый 138</t>
  </si>
  <si>
    <t>315889936.1277526</t>
  </si>
  <si>
    <t>27245788.1277526</t>
  </si>
  <si>
    <t>1.1.2.1.1.1.1.23</t>
  </si>
  <si>
    <t>6.3.1.5.1.3.18.1</t>
  </si>
  <si>
    <t>Облицовка ступеней СКБ керамогранитной плиткой с затиркой швов</t>
  </si>
  <si>
    <t>ee9b7492-3859-48da-970d-b4cb943f92b7</t>
  </si>
  <si>
    <t>fb6337dc-060b-41bd-b9cb-28c1f9d164ee</t>
  </si>
  <si>
    <t>1.1.2.1.1.1.1.23.1</t>
  </si>
  <si>
    <t>Ступени с насечками из керамического гранита Про Стоун  / 300х600х11 мм / DD600300R</t>
  </si>
  <si>
    <t>315889938.1277545</t>
  </si>
  <si>
    <t>27245720.1277545</t>
  </si>
  <si>
    <t>a93fa47a-8782-4159-a657-77a449ab5d71</t>
  </si>
  <si>
    <t>1.1.2.1.1.1.1.23.2</t>
  </si>
  <si>
    <t>Клей плиточный/Унифицированный по ПИК-СТАНДАРТ</t>
  </si>
  <si>
    <t>315889938.54630</t>
  </si>
  <si>
    <t>27245720.54630</t>
  </si>
  <si>
    <t>b9d3e1c1-6041-448e-9389-9c537e754b40</t>
  </si>
  <si>
    <t>1.1.2.1.1.1.1.23.3</t>
  </si>
  <si>
    <t>Затирка Цезерит СE33_/13 атрацит</t>
  </si>
  <si>
    <t>315889938.54635</t>
  </si>
  <si>
    <t>27245720.54635</t>
  </si>
  <si>
    <t>255e2be5-9cb1-4b52-84d2-49341281c898</t>
  </si>
  <si>
    <t>1.1.2.1.1.1.1.23.4</t>
  </si>
  <si>
    <t>Грунтовка универсальный ЛАСТИМИН_ / УНКОНТ ЛЮКС LP51 А</t>
  </si>
  <si>
    <t>315889938.1139608</t>
  </si>
  <si>
    <t>27245720.1139608</t>
  </si>
  <si>
    <t>bbceaf39-544c-478f-a605-41b8d1bad350</t>
  </si>
  <si>
    <t>1.1.2.1.1.1.1.24</t>
  </si>
  <si>
    <t>1.1.2.1.1.1.1.24.1</t>
  </si>
  <si>
    <t>315889939.1139608</t>
  </si>
  <si>
    <t>27245721.1139608</t>
  </si>
  <si>
    <t>1.1.2.1.1.1.1.24.2</t>
  </si>
  <si>
    <t>315889939.54635</t>
  </si>
  <si>
    <t>27245721.54635</t>
  </si>
  <si>
    <t>1.1.2.1.1.1.1.24.3</t>
  </si>
  <si>
    <t>315889939.54630</t>
  </si>
  <si>
    <t>27245721.54630</t>
  </si>
  <si>
    <t>1.1.2.1.1.1.1.24.4</t>
  </si>
  <si>
    <t>Подступенки из керамического гранита "Викинг"_/ SG605600R/серый/150х600х11мм</t>
  </si>
  <si>
    <t>315889939.54660</t>
  </si>
  <si>
    <t>27245721.54660</t>
  </si>
  <si>
    <t>2bd33641-bcf5-4a4a-aa20-c062f7380eca</t>
  </si>
  <si>
    <t>1.1.2.1.1.1.1.25</t>
  </si>
  <si>
    <t>1.1.2.1.1.1.1.25.1</t>
  </si>
  <si>
    <t>Ступени с насечками из керамического гранита "Викинг"_/SG605600R/ серый/300х600х11мм</t>
  </si>
  <si>
    <t>315889940.54659</t>
  </si>
  <si>
    <t>27245722.54659</t>
  </si>
  <si>
    <t>80581ba0-af32-4140-9098-fad58c195b0a</t>
  </si>
  <si>
    <t>1.1.2.1.1.1.1.25.2</t>
  </si>
  <si>
    <t>315889940.54630</t>
  </si>
  <si>
    <t>27245722.54630</t>
  </si>
  <si>
    <t>1.1.2.1.1.1.1.25.3</t>
  </si>
  <si>
    <t>315889940.54635</t>
  </si>
  <si>
    <t>27245722.54635</t>
  </si>
  <si>
    <t>1.1.2.1.1.1.1.25.4</t>
  </si>
  <si>
    <t>315889940.1139608</t>
  </si>
  <si>
    <t>27245722.1139608</t>
  </si>
  <si>
    <t>1.1.2.1.1.1.1.26</t>
  </si>
  <si>
    <t>1, 2, 3 этажи. Тип: КР-1.2, Проступь.</t>
  </si>
  <si>
    <t>1.1.2.1.1.1.1.26.1</t>
  </si>
  <si>
    <t>315889941.1139608</t>
  </si>
  <si>
    <t>27245771.1139608</t>
  </si>
  <si>
    <t>1.1.2.1.1.1.1.26.2</t>
  </si>
  <si>
    <t>315889941.54635</t>
  </si>
  <si>
    <t>27245771.54635</t>
  </si>
  <si>
    <t>1.1.2.1.1.1.1.26.3</t>
  </si>
  <si>
    <t>315889941.54630</t>
  </si>
  <si>
    <t>27245771.54630</t>
  </si>
  <si>
    <t>1.1.2.1.1.1.1.26.4</t>
  </si>
  <si>
    <t>Проступь: Керамогранит Kerama Marazzi Мирабо, арт. DD253400R\GR, цвет серый светлый, размер 300*600 мм, толщина 9мм.</t>
  </si>
  <si>
    <t>315889941.1277545</t>
  </si>
  <si>
    <t>27245771.1277545</t>
  </si>
  <si>
    <t>1.1.2.1.1.1.1.27</t>
  </si>
  <si>
    <t>1, 2, 3 этажи. Тип: КР-1.3, Подступенок.</t>
  </si>
  <si>
    <t>1.1.2.1.1.1.1.27.1</t>
  </si>
  <si>
    <t>Подступенок: Керамогранита Kerama Marazzi Мирабо, арт. DD253400R/2, цвет серый светлый, размер 600*145 мм, толщина 9мм.</t>
  </si>
  <si>
    <t>315889942.54659</t>
  </si>
  <si>
    <t>27245772.54659</t>
  </si>
  <si>
    <t>1.1.2.1.1.1.1.27.2</t>
  </si>
  <si>
    <t>315889942.54630</t>
  </si>
  <si>
    <t>27245772.54630</t>
  </si>
  <si>
    <t>1.1.2.1.1.1.1.27.3</t>
  </si>
  <si>
    <t>315889942.54635</t>
  </si>
  <si>
    <t>27245772.54635</t>
  </si>
  <si>
    <t>1.1.2.1.1.1.1.27.4</t>
  </si>
  <si>
    <t>315889942.1139608</t>
  </si>
  <si>
    <t>27245772.1139608</t>
  </si>
  <si>
    <t>1.1.2.1.1.1.1.28</t>
  </si>
  <si>
    <t xml:space="preserve">1, 2, 3 этажи. Тип: КР-9, Амфитеатр ступени. </t>
  </si>
  <si>
    <t>1.1.2.1.1.1.1.28.1</t>
  </si>
  <si>
    <t>315889943.1139608</t>
  </si>
  <si>
    <t>27245778.1139608</t>
  </si>
  <si>
    <t>1.1.2.1.1.1.1.28.2</t>
  </si>
  <si>
    <t>315889943.54635</t>
  </si>
  <si>
    <t>27245778.54635</t>
  </si>
  <si>
    <t>1.1.2.1.1.1.1.28.3</t>
  </si>
  <si>
    <t>315889943.54630</t>
  </si>
  <si>
    <t>27245778.54630</t>
  </si>
  <si>
    <t>1.1.2.1.1.1.1.28.4</t>
  </si>
  <si>
    <t>АМФИТЕАТР СТУПЕНИ-сиденья: Керамогранит Kerama Marazzi Монтиони SG511520R, 20х119,5 бежевый светлый.</t>
  </si>
  <si>
    <t>315889943.54659</t>
  </si>
  <si>
    <t>27245778.54659</t>
  </si>
  <si>
    <t>1.1.2.1.1.1.1.29</t>
  </si>
  <si>
    <t>6.3.1.5.1.3.19.1</t>
  </si>
  <si>
    <t>Устройство плинтуса из керамогранитной плитки СКБ</t>
  </si>
  <si>
    <t>6c81bc23-a5ef-49af-8f1d-c7658256e887</t>
  </si>
  <si>
    <t>934f3c07-302a-412c-a8b5-2116f1199093</t>
  </si>
  <si>
    <t>1.1.2.1.1.1.1.29.1</t>
  </si>
  <si>
    <t>Плиточный клей_ / Унифицированный по ПИК-СТАНДАРТ</t>
  </si>
  <si>
    <t>315889945.1570753</t>
  </si>
  <si>
    <t>27245655.1570753</t>
  </si>
  <si>
    <t>be76b7f0-d821-4213-a0b5-d4d9b08818f1</t>
  </si>
  <si>
    <t>1.1.2.1.1.1.1.29.2</t>
  </si>
  <si>
    <t>Плинтус из керамического гранита Дайсен_ / светло-серый / SG610300R / 100х600х11мм</t>
  </si>
  <si>
    <t>315889945.54668</t>
  </si>
  <si>
    <t>27245655.54668</t>
  </si>
  <si>
    <t>402dafbe-1652-450d-be4d-61804ef3d391</t>
  </si>
  <si>
    <t>1.1.2.1.1.1.1.29.3</t>
  </si>
  <si>
    <t>315889945.54635</t>
  </si>
  <si>
    <t>27245655.54635</t>
  </si>
  <si>
    <t>1.1.2.1.1.1.1.29.4</t>
  </si>
  <si>
    <t>Грунтовка универсальный ЛАСТИМИН_ / LP-51 А</t>
  </si>
  <si>
    <t>315889945.54634</t>
  </si>
  <si>
    <t>27245655.54634</t>
  </si>
  <si>
    <t>6f806fd0-f20f-4c69-8d99-cee4063fa047</t>
  </si>
  <si>
    <t>1.1.2.1.1.1.1.30</t>
  </si>
  <si>
    <t>1.1.2.1.1.1.1.30.1</t>
  </si>
  <si>
    <t>315889946.54634</t>
  </si>
  <si>
    <t>27245656.54634</t>
  </si>
  <si>
    <t>1.1.2.1.1.1.1.30.2</t>
  </si>
  <si>
    <t>315889946.54635</t>
  </si>
  <si>
    <t>27245656.54635</t>
  </si>
  <si>
    <t>1.1.2.1.1.1.1.30.3</t>
  </si>
  <si>
    <t>315889946.54668</t>
  </si>
  <si>
    <t>27245656.54668</t>
  </si>
  <si>
    <t>1.1.2.1.1.1.1.30.4</t>
  </si>
  <si>
    <t>315889946.1570753</t>
  </si>
  <si>
    <t>27245656.1570753</t>
  </si>
  <si>
    <t>1.1.2.1.1.1.1.31</t>
  </si>
  <si>
    <t>1, 2, 3 этажи. Тип: П1 (Стены - Бордюр карандаш)</t>
  </si>
  <si>
    <t>1.1.2.1.1.1.1.31.1</t>
  </si>
  <si>
    <t>315889947.1570753</t>
  </si>
  <si>
    <t>27245783.1570753</t>
  </si>
  <si>
    <t>1.1.2.1.1.1.1.31.2</t>
  </si>
  <si>
    <t>315889947.54668</t>
  </si>
  <si>
    <t>27245783.54668</t>
  </si>
  <si>
    <t>1.1.2.1.1.1.1.31.3</t>
  </si>
  <si>
    <t>315889947.54634</t>
  </si>
  <si>
    <t>27245783.54634</t>
  </si>
  <si>
    <t>1.1.2.1.1.1.1.32</t>
  </si>
  <si>
    <t>1, 2, 3 этажи. Тип: ПК-1</t>
  </si>
  <si>
    <t>1.1.2.1.1.1.1.32.1</t>
  </si>
  <si>
    <t>315889948.54634</t>
  </si>
  <si>
    <t>27245785.54634</t>
  </si>
  <si>
    <t>1.1.2.1.1.1.1.32.2</t>
  </si>
  <si>
    <t>315889948.54635</t>
  </si>
  <si>
    <t>27245785.54635</t>
  </si>
  <si>
    <t>1.1.2.1.1.1.1.32.3</t>
  </si>
  <si>
    <t>Плинтус из керамогранита Грани Таганая Профи, арт. GT009М, цвет светло-серый, размер 600*100(h) мм, толщина 10мм, матовый.</t>
  </si>
  <si>
    <t>315889948.54668</t>
  </si>
  <si>
    <t>27245785.54668</t>
  </si>
  <si>
    <t>1.1.2.1.1.1.1.33</t>
  </si>
  <si>
    <t>1, 2, 3 этажи. Тип: ПК-4</t>
  </si>
  <si>
    <t>1.1.2.1.1.1.1.33.1</t>
  </si>
  <si>
    <t>315889949.1570753</t>
  </si>
  <si>
    <t>27245786.1570753</t>
  </si>
  <si>
    <t>1.1.2.1.1.1.1.33.2</t>
  </si>
  <si>
    <t>Плинтус из керамогранита Kerama Marazzi Мирабо, арт. DD638320R/6BT, цвет серый светлый, размер 600*95 мм.</t>
  </si>
  <si>
    <t>315889949.54668</t>
  </si>
  <si>
    <t>27245786.54668</t>
  </si>
  <si>
    <t>1.1.2.1.1.1.1.33.3</t>
  </si>
  <si>
    <t>315889949.54635</t>
  </si>
  <si>
    <t>27245786.54635</t>
  </si>
  <si>
    <t>1.1.2.1.1.1.1.33.4</t>
  </si>
  <si>
    <t>315889949.54634</t>
  </si>
  <si>
    <t>27245786.54634</t>
  </si>
  <si>
    <t>1.1.2.1.1.1.1.34</t>
  </si>
  <si>
    <t>1.1.2.1.1.1.1.34.1</t>
  </si>
  <si>
    <t>315889950.54634</t>
  </si>
  <si>
    <t>27245784.54634</t>
  </si>
  <si>
    <t>1.1.2.1.1.1.1.34.2</t>
  </si>
  <si>
    <t>315889950.54635</t>
  </si>
  <si>
    <t>27245784.54635</t>
  </si>
  <si>
    <t>1.1.2.1.1.1.1.34.3</t>
  </si>
  <si>
    <t>Kerama Marazzi, цвет бежевый, матовый, размер 20х2, арт. PFE017</t>
  </si>
  <si>
    <t>315889950.54668</t>
  </si>
  <si>
    <t>27245784.54668</t>
  </si>
  <si>
    <t>1.1.2.1.1.1.1.34.4</t>
  </si>
  <si>
    <t>315889950.1570753</t>
  </si>
  <si>
    <t>27245784.1570753</t>
  </si>
  <si>
    <t>1.1.2.1.1.1.1.35</t>
  </si>
  <si>
    <t>6.3.1.5.1.3.20.1</t>
  </si>
  <si>
    <t>Устройство покрытия пола СКБ с затиркой и укрытием ДВП / из керамогранитной плитки до 0,2м2/шт</t>
  </si>
  <si>
    <t>081b575c-aa66-4b70-9cd0-d5d89da79337</t>
  </si>
  <si>
    <t>65901f49-c07c-422e-a40b-cfafb585dc26</t>
  </si>
  <si>
    <t>1.1.2.1.1.1.1.35.1</t>
  </si>
  <si>
    <t>Клей плиточный/ Унифицированный по ПИК-СТАНДАРТ</t>
  </si>
  <si>
    <t>315889952.54632</t>
  </si>
  <si>
    <t>27245634.54632</t>
  </si>
  <si>
    <t>29ab9003-5b43-49a7-8ba2-846628054d7e</t>
  </si>
  <si>
    <t>1.1.2.1.1.1.1.35.2</t>
  </si>
  <si>
    <t>Керамическая плитка Коллиано_ / светло - серый / SG912900N / 300*300*8мм</t>
  </si>
  <si>
    <t>315889952.54680</t>
  </si>
  <si>
    <t>27245634.54680</t>
  </si>
  <si>
    <t>18c7ad8f-1ba6-4999-8365-d221729a1af3</t>
  </si>
  <si>
    <t>1.1.2.1.1.1.1.35.3</t>
  </si>
  <si>
    <t>Затирка Цезерит СE33_/04 серебристо-серый</t>
  </si>
  <si>
    <t>315889952.54637</t>
  </si>
  <si>
    <t>27245634.54637</t>
  </si>
  <si>
    <t>c293221b-d93c-4424-8200-e1b99b7167e3</t>
  </si>
  <si>
    <t>1.1.2.1.1.1.1.35.4</t>
  </si>
  <si>
    <t>315889952.54634</t>
  </si>
  <si>
    <t>27245634.54634</t>
  </si>
  <si>
    <t>1.1.2.1.1.1.1.36</t>
  </si>
  <si>
    <t>1, 2, 3 этажи. Тип: КР-6</t>
  </si>
  <si>
    <t>1.1.2.1.1.1.1.36.1</t>
  </si>
  <si>
    <t>315889953.54634</t>
  </si>
  <si>
    <t>27245777.54634</t>
  </si>
  <si>
    <t>1.1.2.1.1.1.1.36.2</t>
  </si>
  <si>
    <t>315889953.54637</t>
  </si>
  <si>
    <t>27245777.54637</t>
  </si>
  <si>
    <t>1.1.2.1.1.1.1.36.3</t>
  </si>
  <si>
    <t>Керамогранит Kerama Marazzi Колиано, арт. SG912900N, цвет серый светлый, размер 300*300 мм, толщина 8мм, матовый.</t>
  </si>
  <si>
    <t>315889953.54680</t>
  </si>
  <si>
    <t>27245777.54680</t>
  </si>
  <si>
    <t>1.1.2.1.1.1.1.36.4</t>
  </si>
  <si>
    <t>315889953.54632</t>
  </si>
  <si>
    <t>27245777.54632</t>
  </si>
  <si>
    <t>1.1.2.1.1.1.1.37</t>
  </si>
  <si>
    <t>6.3.1.5.1.3.20.2</t>
  </si>
  <si>
    <t>Устройство покрытия пола СКБ с затиркой и укрытием ДВП / из керамогранитной плитки от 0,2м2/шт</t>
  </si>
  <si>
    <t>69ce9bf3-5e4c-42a6-9cb7-1bf6547475ea</t>
  </si>
  <si>
    <t>abd27be4-9992-44fb-b098-3b2370fa29b6</t>
  </si>
  <si>
    <t>1.1.2.1.1.1.1.37.1</t>
  </si>
  <si>
    <t>Плиточный клей_ /  Унифицированный по ПИК-СТАНДАРТ</t>
  </si>
  <si>
    <t>315889954.739258</t>
  </si>
  <si>
    <t>27245665.739258</t>
  </si>
  <si>
    <t>b9d5a438-2a19-468f-b5a2-8648dd1dd258</t>
  </si>
  <si>
    <t>1.1.2.1.1.1.1.37.2</t>
  </si>
  <si>
    <t>Керамический гранит Estima YOUR COLOR_ / YC 93 / 600*600*10мм</t>
  </si>
  <si>
    <t>315889954.54693</t>
  </si>
  <si>
    <t>27245665.54693</t>
  </si>
  <si>
    <t>322fd844-6675-4759-ad71-5048daf60734</t>
  </si>
  <si>
    <t>1.1.2.1.1.1.1.37.3</t>
  </si>
  <si>
    <t>315889954.54637</t>
  </si>
  <si>
    <t>27245665.54637</t>
  </si>
  <si>
    <t>1.1.2.1.1.1.1.37.4</t>
  </si>
  <si>
    <t>315889954.54634</t>
  </si>
  <si>
    <t>27245665.54634</t>
  </si>
  <si>
    <t>1.1.2.1.1.1.1.38</t>
  </si>
  <si>
    <t>1.1.2.1.1.1.1.38.1</t>
  </si>
  <si>
    <t>315889955.54634</t>
  </si>
  <si>
    <t>27245666.54634</t>
  </si>
  <si>
    <t>1.1.2.1.1.1.1.38.2</t>
  </si>
  <si>
    <t>315889955.54637</t>
  </si>
  <si>
    <t>27245666.54637</t>
  </si>
  <si>
    <t>1.1.2.1.1.1.1.38.3</t>
  </si>
  <si>
    <t>315889955.54693</t>
  </si>
  <si>
    <t>27245666.54693</t>
  </si>
  <si>
    <t>1.1.2.1.1.1.1.38.4</t>
  </si>
  <si>
    <t>315889955.739258</t>
  </si>
  <si>
    <t>27245666.739258</t>
  </si>
  <si>
    <t>1.1.2.1.1.1.1.39</t>
  </si>
  <si>
    <t>1.1.2.1.1.1.1.39.1</t>
  </si>
  <si>
    <t>315889956.739258</t>
  </si>
  <si>
    <t>27245667.739258</t>
  </si>
  <si>
    <t>1.1.2.1.1.1.1.39.2</t>
  </si>
  <si>
    <t>315889956.54693</t>
  </si>
  <si>
    <t>27245667.54693</t>
  </si>
  <si>
    <t>1.1.2.1.1.1.1.39.3</t>
  </si>
  <si>
    <t>315889956.54637</t>
  </si>
  <si>
    <t>27245667.54637</t>
  </si>
  <si>
    <t>1.1.2.1.1.1.1.39.4</t>
  </si>
  <si>
    <t>315889956.54634</t>
  </si>
  <si>
    <t>27245667.54634</t>
  </si>
  <si>
    <t>1.1.2.1.1.1.1.40</t>
  </si>
  <si>
    <t>1.1.2.1.1.1.1.40.1</t>
  </si>
  <si>
    <t>315889957.54634</t>
  </si>
  <si>
    <t>27245668.54634</t>
  </si>
  <si>
    <t>1.1.2.1.1.1.1.40.2</t>
  </si>
  <si>
    <t>315889957.54637</t>
  </si>
  <si>
    <t>27245668.54637</t>
  </si>
  <si>
    <t>1.1.2.1.1.1.1.40.3</t>
  </si>
  <si>
    <t>315889957.54693</t>
  </si>
  <si>
    <t>27245668.54693</t>
  </si>
  <si>
    <t>1.1.2.1.1.1.1.40.4</t>
  </si>
  <si>
    <t>315889957.739258</t>
  </si>
  <si>
    <t>27245668.739258</t>
  </si>
  <si>
    <t>1.1.2.1.1.1.1.41</t>
  </si>
  <si>
    <t>1.1.2.1.1.1.1.41.1</t>
  </si>
  <si>
    <t>315889958.739258</t>
  </si>
  <si>
    <t>27245669.739258</t>
  </si>
  <si>
    <t>1.1.2.1.1.1.1.41.2</t>
  </si>
  <si>
    <t>315889958.54693</t>
  </si>
  <si>
    <t>27245669.54693</t>
  </si>
  <si>
    <t>1.1.2.1.1.1.1.41.3</t>
  </si>
  <si>
    <t>315889958.54637</t>
  </si>
  <si>
    <t>27245669.54637</t>
  </si>
  <si>
    <t>1.1.2.1.1.1.1.41.4</t>
  </si>
  <si>
    <t>315889958.54634</t>
  </si>
  <si>
    <t>27245669.54634</t>
  </si>
  <si>
    <t>1.1.2.1.1.1.1.42</t>
  </si>
  <si>
    <t>1.1.2.1.1.1.1.42.1</t>
  </si>
  <si>
    <t>315889959.54634</t>
  </si>
  <si>
    <t>27245670.54634</t>
  </si>
  <si>
    <t>1.1.2.1.1.1.1.42.2</t>
  </si>
  <si>
    <t>315889959.54637</t>
  </si>
  <si>
    <t>27245670.54637</t>
  </si>
  <si>
    <t>1.1.2.1.1.1.1.42.3</t>
  </si>
  <si>
    <t>315889959.54693</t>
  </si>
  <si>
    <t>27245670.54693</t>
  </si>
  <si>
    <t>1.1.2.1.1.1.1.42.4</t>
  </si>
  <si>
    <t>315889959.739258</t>
  </si>
  <si>
    <t>27245670.739258</t>
  </si>
  <si>
    <t>1.1.2.1.1.1.1.43</t>
  </si>
  <si>
    <t>1, 2, 3 этажи. Тип: КР-1</t>
  </si>
  <si>
    <t>1.1.2.1.1.1.1.43.1</t>
  </si>
  <si>
    <t>315889960.739258</t>
  </si>
  <si>
    <t>27245769.739258</t>
  </si>
  <si>
    <t>1.1.2.1.1.1.1.43.2</t>
  </si>
  <si>
    <t>Керамогранит Грани Таганая моноколор, арт. GT100, цвет бежевый, размер 600*600 мм ,толщина 10мм, матовый.</t>
  </si>
  <si>
    <t>315889960.54693</t>
  </si>
  <si>
    <t>27245769.54693</t>
  </si>
  <si>
    <t>1.1.2.1.1.1.1.43.3</t>
  </si>
  <si>
    <t>315889960.54637</t>
  </si>
  <si>
    <t>27245769.54637</t>
  </si>
  <si>
    <t>1.1.2.1.1.1.1.43.4</t>
  </si>
  <si>
    <t>315889960.54634</t>
  </si>
  <si>
    <t>27245769.54634</t>
  </si>
  <si>
    <t>1.1.2.1.1.1.1.44</t>
  </si>
  <si>
    <t>1, 2, 3 этажи. Тип: КР-2</t>
  </si>
  <si>
    <t>1.1.2.1.1.1.1.44.1</t>
  </si>
  <si>
    <t>315889961.54634</t>
  </si>
  <si>
    <t>27245774.54634</t>
  </si>
  <si>
    <t>1.1.2.1.1.1.1.44.2</t>
  </si>
  <si>
    <t>315889961.54637</t>
  </si>
  <si>
    <t>27245774.54637</t>
  </si>
  <si>
    <t>1.1.2.1.1.1.1.44.3</t>
  </si>
  <si>
    <t>Керамогранит Грани Таганая Feeria, арт. GTF467, цвет желтый, размер 600*600 мм, толщина 10мм, матовый.</t>
  </si>
  <si>
    <t>315889961.54693</t>
  </si>
  <si>
    <t>27245774.54693</t>
  </si>
  <si>
    <t>1.1.2.1.1.1.1.44.4</t>
  </si>
  <si>
    <t>315889961.739258</t>
  </si>
  <si>
    <t>27245774.739258</t>
  </si>
  <si>
    <t>1.1.2.1.1.1.1.45</t>
  </si>
  <si>
    <t>1, 2, 3 этажи. Тип: КР-3</t>
  </si>
  <si>
    <t>1.1.2.1.1.1.1.45.1</t>
  </si>
  <si>
    <t>315889962.739258</t>
  </si>
  <si>
    <t>27245775.739258</t>
  </si>
  <si>
    <t>1.1.2.1.1.1.1.45.2</t>
  </si>
  <si>
    <t>Керамогранит Грани Таганая Профи, арт. GT009М, цвет светло-серый, размер 600*600ммм, толщина 10мм, матовый.</t>
  </si>
  <si>
    <t>315889962.54693</t>
  </si>
  <si>
    <t>27245775.54693</t>
  </si>
  <si>
    <t>1.1.2.1.1.1.1.45.3</t>
  </si>
  <si>
    <t>315889962.54637</t>
  </si>
  <si>
    <t>27245775.54637</t>
  </si>
  <si>
    <t>1.1.2.1.1.1.1.45.4</t>
  </si>
  <si>
    <t>315889962.54634</t>
  </si>
  <si>
    <t>27245775.54634</t>
  </si>
  <si>
    <t>1.1.2.1.1.1.1.46</t>
  </si>
  <si>
    <t>1, 2, 3 этажи. Тип: КР-4</t>
  </si>
  <si>
    <t>1.1.2.1.1.1.1.46.1</t>
  </si>
  <si>
    <t>315889963.54634</t>
  </si>
  <si>
    <t>27245776.54634</t>
  </si>
  <si>
    <t>1.1.2.1.1.1.1.46.2</t>
  </si>
  <si>
    <t>315889963.54637</t>
  </si>
  <si>
    <t>27245776.54637</t>
  </si>
  <si>
    <t>1.1.2.1.1.1.1.46.3</t>
  </si>
  <si>
    <t>Керамогранит Грани Таганая Профи, арт. GT085М, цвет голубой, размер 600*600 мм, толщина 10мм, матовый.</t>
  </si>
  <si>
    <t>315889963.54693</t>
  </si>
  <si>
    <t>27245776.54693</t>
  </si>
  <si>
    <t>1.1.2.1.1.1.1.46.4</t>
  </si>
  <si>
    <t>315889963.739258</t>
  </si>
  <si>
    <t>27245776.739258</t>
  </si>
  <si>
    <t>1.1.2.1.1.1.1.47</t>
  </si>
  <si>
    <t>1, 2, 3 этажи. Тип: КР-10</t>
  </si>
  <si>
    <t>1.1.2.1.1.1.1.47.1</t>
  </si>
  <si>
    <t>315889964.739258</t>
  </si>
  <si>
    <t>27245773.739258</t>
  </si>
  <si>
    <t>1.1.2.1.1.1.1.47.2</t>
  </si>
  <si>
    <t>Керамогранита Kerama Marazzi Мирабо, арт. DD638320R, цвет серый светлый, размер 600*600 мм, толщина 9мм.</t>
  </si>
  <si>
    <t>315889964.54693</t>
  </si>
  <si>
    <t>27245773.54693</t>
  </si>
  <si>
    <t>1.1.2.1.1.1.1.47.3</t>
  </si>
  <si>
    <t>315889964.54637</t>
  </si>
  <si>
    <t>27245773.54637</t>
  </si>
  <si>
    <t>1.1.2.1.1.1.1.47.4</t>
  </si>
  <si>
    <t>315889964.54634</t>
  </si>
  <si>
    <t>27245773.54634</t>
  </si>
  <si>
    <t>1.1.2.1.1.1.1.48</t>
  </si>
  <si>
    <t>1, 2, 3 этажи. Тип: КР-1.1, Площадки лестниц</t>
  </si>
  <si>
    <t>1.1.2.1.1.1.1.48.1</t>
  </si>
  <si>
    <t>315889965.54634</t>
  </si>
  <si>
    <t>27245770.54634</t>
  </si>
  <si>
    <t>1.1.2.1.1.1.1.48.2</t>
  </si>
  <si>
    <t>315889965.54637</t>
  </si>
  <si>
    <t>27245770.54637</t>
  </si>
  <si>
    <t>1.1.2.1.1.1.1.48.3</t>
  </si>
  <si>
    <t>Площадка: Керамогранита Kerama Marazzi Мирабо, арт. DD638320R, цвет серый светлый, размер 600*600 мм, толщина 9мм.</t>
  </si>
  <si>
    <t>315889965.54693</t>
  </si>
  <si>
    <t>27245770.54693</t>
  </si>
  <si>
    <t>1.1.2.1.1.1.1.48.4</t>
  </si>
  <si>
    <t>315889965.739258</t>
  </si>
  <si>
    <t>27245770.739258</t>
  </si>
  <si>
    <t>1.1.2.1.1.1.2</t>
  </si>
  <si>
    <t>6.3.1.5.1.4</t>
  </si>
  <si>
    <t>Приямки, системы грязезащиты</t>
  </si>
  <si>
    <t>1.1.2.1.1.1.2.1</t>
  </si>
  <si>
    <t>6.3.1.5.1.4.1.1</t>
  </si>
  <si>
    <t>Укладка систем грязезащиты на пол</t>
  </si>
  <si>
    <t>24d94b44-d345-4644-8c8c-8701a2ebc89e</t>
  </si>
  <si>
    <t>010124f9-1c79-4884-b200-84a0e7f1c696</t>
  </si>
  <si>
    <t>1.1.2.1.1.1.2.1.1</t>
  </si>
  <si>
    <t>Грязезащитное покрытие_ / Бразис Маркет</t>
  </si>
  <si>
    <t>315889968.55025</t>
  </si>
  <si>
    <t>27245597.55025</t>
  </si>
  <si>
    <t>57dc3537-6205-4c52-81a1-668e49ba6dd9</t>
  </si>
  <si>
    <t>1.1.2.1.1.1.2.2</t>
  </si>
  <si>
    <t>1 этаж. Тип: ГР-1</t>
  </si>
  <si>
    <t>1.1.2.1.1.1.2.2.1</t>
  </si>
  <si>
    <t>Входная решетка БРАЗИС стандарт, ЩЕТКА-ТЕКСТИЛЬ-скребок Y 1м2, текстиль коричневый - высота решетки 20 мм, скребок узкий 2 зубца</t>
  </si>
  <si>
    <t>315889969.55025</t>
  </si>
  <si>
    <t>27245728.55025</t>
  </si>
  <si>
    <t>1.1.2.1.1.2</t>
  </si>
  <si>
    <t>6.3.1.5.2</t>
  </si>
  <si>
    <t>Стены</t>
  </si>
  <si>
    <t>1.1.2.1.1.2.1</t>
  </si>
  <si>
    <t>6.3.1.5.2.1</t>
  </si>
  <si>
    <t>Черновые работы по поверхности стен</t>
  </si>
  <si>
    <t>1.1.2.1.1.2.1.1</t>
  </si>
  <si>
    <t>6.3.1.5.2.1.6.1</t>
  </si>
  <si>
    <t>Заделка отверстий в стенах в местах прохода коммуникаций / до 150 см2</t>
  </si>
  <si>
    <t>6c686aa5-2fc0-465a-afa4-f4f578e5a06f</t>
  </si>
  <si>
    <t>02ad6415-f1a9-4a22-a93f-38e40f45143c</t>
  </si>
  <si>
    <t>1.1.2.1.1.2.1.1.1</t>
  </si>
  <si>
    <t>Плита минераловатная_ / Урса П-30</t>
  </si>
  <si>
    <t>м3</t>
  </si>
  <si>
    <t>315889973.55187</t>
  </si>
  <si>
    <t>27245599.55187</t>
  </si>
  <si>
    <t>894f5253-bdda-4165-9d46-cff7ef723d43</t>
  </si>
  <si>
    <t>1.1.2.1.1.2.1.1.2</t>
  </si>
  <si>
    <t>Смесь цементно-песчаная сухая_/М150</t>
  </si>
  <si>
    <t>315889973.54611</t>
  </si>
  <si>
    <t>27245599.54611</t>
  </si>
  <si>
    <t>a1146549-61c5-4487-b5c7-fb7d0d185669</t>
  </si>
  <si>
    <t>1.1.2.1.1.2.1.2</t>
  </si>
  <si>
    <t>Подвал, 1, 2, 3 этажи.</t>
  </si>
  <si>
    <t>1.1.2.1.1.2.1.2.1</t>
  </si>
  <si>
    <t>315889974.54611</t>
  </si>
  <si>
    <t>27245799.54611</t>
  </si>
  <si>
    <t>1.1.2.1.1.2.1.2.2</t>
  </si>
  <si>
    <t>315889974.55187</t>
  </si>
  <si>
    <t>27245799.55187</t>
  </si>
  <si>
    <t>1.1.2.1.1.2.2</t>
  </si>
  <si>
    <t>6.3.1.5.2.2</t>
  </si>
  <si>
    <t>Чистовые работы по поверхности стен</t>
  </si>
  <si>
    <t>1.1.2.1.1.2.2.1</t>
  </si>
  <si>
    <t>6.3.1.5.2.2.5.1</t>
  </si>
  <si>
    <t>Монтаж стеновых панелей / МДФ</t>
  </si>
  <si>
    <t>b2326418-0853-41eb-bc43-46c8d1898110</t>
  </si>
  <si>
    <t>b8870282-1815-44c5-86df-97868dc667da</t>
  </si>
  <si>
    <t>1.1.2.1.1.2.2.1.1</t>
  </si>
  <si>
    <t>Панель МДФ  / Kronostar дуб натуральный / 250*2600*7мм</t>
  </si>
  <si>
    <t>315889977.1180659</t>
  </si>
  <si>
    <t>27245674.1180659</t>
  </si>
  <si>
    <t>7c186503-8940-4c22-94d5-7eda76509e63</t>
  </si>
  <si>
    <t>1.1.2.1.1.2.2.2</t>
  </si>
  <si>
    <t>1.1.2.1.1.2.2.2.1</t>
  </si>
  <si>
    <t>315889978.1180659</t>
  </si>
  <si>
    <t>27245675.1180659</t>
  </si>
  <si>
    <t>1.1.2.1.1.2.2.3</t>
  </si>
  <si>
    <t>1.1.2.1.1.2.2.3.1</t>
  </si>
  <si>
    <t>315889979.1180659</t>
  </si>
  <si>
    <t>27245676.1180659</t>
  </si>
  <si>
    <t>1.1.2.1.1.2.2.4</t>
  </si>
  <si>
    <t>1.1.2.1.1.2.2.4.1</t>
  </si>
  <si>
    <t>315889980.1180659</t>
  </si>
  <si>
    <t>27245678.1180659</t>
  </si>
  <si>
    <t>1.1.2.1.1.2.2.5</t>
  </si>
  <si>
    <t>1.1.2.1.1.2.2.5.1</t>
  </si>
  <si>
    <t>315889981.1180659</t>
  </si>
  <si>
    <t>27245679.1180659</t>
  </si>
  <si>
    <t>1.1.2.1.1.2.2.6</t>
  </si>
  <si>
    <t>1.1.2.1.1.2.2.6.1</t>
  </si>
  <si>
    <t>315889982.1180659</t>
  </si>
  <si>
    <t>27245681.1180659</t>
  </si>
  <si>
    <t>1.1.2.1.1.2.2.7</t>
  </si>
  <si>
    <t>1.1.2.1.1.2.2.7.1</t>
  </si>
  <si>
    <t>315889983.1180659</t>
  </si>
  <si>
    <t>27245683.1180659</t>
  </si>
  <si>
    <t>1.1.2.1.1.2.2.8</t>
  </si>
  <si>
    <t>1.1.2.1.1.2.2.8.1</t>
  </si>
  <si>
    <t>315889984.1180659</t>
  </si>
  <si>
    <t>27245684.1180659</t>
  </si>
  <si>
    <t>1.1.2.1.1.2.2.9</t>
  </si>
  <si>
    <t>1.1.2.1.1.2.2.9.1</t>
  </si>
  <si>
    <t>315889985.1180659</t>
  </si>
  <si>
    <t>27245685.1180659</t>
  </si>
  <si>
    <t>1.1.2.1.1.2.2.10</t>
  </si>
  <si>
    <t>1.1.2.1.1.2.2.10.1</t>
  </si>
  <si>
    <t>315889986.1180659</t>
  </si>
  <si>
    <t>27245686.1180659</t>
  </si>
  <si>
    <t>1.1.2.1.1.2.2.11</t>
  </si>
  <si>
    <t>1, 2, 3 этажи. Тип: FK7.1.</t>
  </si>
  <si>
    <t>1.1.2.1.1.2.2.11.1</t>
  </si>
  <si>
    <t>315889987.1180659</t>
  </si>
  <si>
    <t>27245757.1180659</t>
  </si>
  <si>
    <t>1.1.2.1.1.2.2.12</t>
  </si>
  <si>
    <t>1, 2, этажи. Тип: FK1.1</t>
  </si>
  <si>
    <t>1.1.2.1.1.2.2.12.1</t>
  </si>
  <si>
    <t>315889988.1180659</t>
  </si>
  <si>
    <t>27245794.1180659</t>
  </si>
  <si>
    <t>1.1.2.1.1.2.2.13</t>
  </si>
  <si>
    <t>1, 2, 3 этажи. Тип: FK7.2.</t>
  </si>
  <si>
    <t>1.1.2.1.1.2.2.13.1</t>
  </si>
  <si>
    <t>315889989.1180659</t>
  </si>
  <si>
    <t>27245758.1180659</t>
  </si>
  <si>
    <t>1.1.2.1.1.2.2.14</t>
  </si>
  <si>
    <t>2, 3 этажи. Тип: FK28</t>
  </si>
  <si>
    <t>1.1.2.1.1.2.2.14.1</t>
  </si>
  <si>
    <t>315889990.1180659</t>
  </si>
  <si>
    <t>27245795.1180659</t>
  </si>
  <si>
    <t>1.1.2.1.1.2.2.15</t>
  </si>
  <si>
    <t>1 этаж. Тип: FK25</t>
  </si>
  <si>
    <t>1.1.2.1.1.2.2.15.1</t>
  </si>
  <si>
    <t>315889991.1180659</t>
  </si>
  <si>
    <t>27245726.1180659</t>
  </si>
  <si>
    <t>1.1.2.1.1.2.2.16</t>
  </si>
  <si>
    <t>1, 2, 3 этажи. Тип: FK2.1. Покраска Gutver Prometeks RAL 6019 (бело-зеленый) - Матовая краска для стен или аналог. Класс пожарной опасности: КМ0</t>
  </si>
  <si>
    <t>1.1.2.1.1.2.2.16.1</t>
  </si>
  <si>
    <t>315889992.1180659</t>
  </si>
  <si>
    <t>27245752.1180659</t>
  </si>
  <si>
    <t>1.1.2.1.1.2.2.17</t>
  </si>
  <si>
    <t>1, 2, 3 этажи. Тип: FK6. Покраска грифельная краска Siberia (черный) - Матовая краска для стен или аналог. Класс пожарной опасности: КМ0</t>
  </si>
  <si>
    <t>1.1.2.1.1.2.2.17.1</t>
  </si>
  <si>
    <t>315889993.1180659</t>
  </si>
  <si>
    <t>27245756.1180659</t>
  </si>
  <si>
    <t>1.1.2.1.1.2.2.18</t>
  </si>
  <si>
    <t>1.1.2.1.1.2.2.18.1</t>
  </si>
  <si>
    <t>315889994.1180659</t>
  </si>
  <si>
    <t>27245687.1180659</t>
  </si>
  <si>
    <t>1.1.2.1.1.2.2.19</t>
  </si>
  <si>
    <t>6.3.1.5.2.2.5.2</t>
  </si>
  <si>
    <t>Монтаж стеновых панелей / ПВХ</t>
  </si>
  <si>
    <t>ceaf9f3c-cc6f-438d-b04a-fee052df879a</t>
  </si>
  <si>
    <t>cc38b2b0-78ba-4425-95a0-d4c1d50bec1c</t>
  </si>
  <si>
    <t>1.1.2.1.1.2.2.19.1</t>
  </si>
  <si>
    <t xml:space="preserve">Панель ПВХ / 2700x375x5 </t>
  </si>
  <si>
    <t>315889995.1504881</t>
  </si>
  <si>
    <t>27245696.1504881</t>
  </si>
  <si>
    <t>a14c45c3-3ac5-4910-86d8-36d4d1fb8b3f</t>
  </si>
  <si>
    <t>1.1.2.1.1.2.2.20</t>
  </si>
  <si>
    <t>1, 2, 3 этажи. Тип: WD1. Боковые стены ММП: Обрешетка из гипсокартонного профиля, в ячейки профиля укладываются плиты типа Шуманет Эко (или аналог) толщиной 100мм. к гипсокартонному профилю крепятся листы из негорючих неперфорированных акустических листов на стекломагнезита САУНДЛАЙН-АКУСТИКА НГ или листов ГКЛ Aku-Line Pro (Аку-Лайн Про либо аналог).</t>
  </si>
  <si>
    <t>1.1.2.1.1.2.2.20.1</t>
  </si>
  <si>
    <t>"Акустические листы САУНДЛАЙН-Акустика НГ 1200х2400
Подвес прямой
Профиль омега-образный 3 м
Профиль-заглушка 3 м
Одноуровневый соединитель
Профиль L–образный 3 м
Профиль F–образный 3 м (учитывается в конструкциях при монтаже панелей с наличием углов)
Профиль Gyproc Стандарт ППН 28х27
Профиль Gyproc Стандарт ПП 60х27
Анкер-клин 6х40
Саморез ПШО 4,2х25
Шуруп LN 3.5х11
Дюбель для теплоизоляции
Акуфон lnside
Базальтовая ткань</t>
  </si>
  <si>
    <t>315889996.1504881</t>
  </si>
  <si>
    <t>27245764.1504881</t>
  </si>
  <si>
    <t>1.1.2.1.1.2.2.21</t>
  </si>
  <si>
    <t>6.3.1.5.2.2.8.1</t>
  </si>
  <si>
    <t>Лакокрасочные работы СКБ / окраска стен / в 2 слоя</t>
  </si>
  <si>
    <t>4c24ca93-b856-4913-a3fe-bc768660074c</t>
  </si>
  <si>
    <t>923030ab-0b8a-4717-9906-e76b6d6d03d6</t>
  </si>
  <si>
    <t>1.1.2.1.1.2.2.21.1</t>
  </si>
  <si>
    <t>315889998.54634</t>
  </si>
  <si>
    <t>27245646.54634</t>
  </si>
  <si>
    <t>1.1.2.1.1.2.2.21.2</t>
  </si>
  <si>
    <t>Краска водно-дисперсионная Tikkurila_ / RAL 9003 / PROF EURO 20</t>
  </si>
  <si>
    <t>315889998.758318</t>
  </si>
  <si>
    <t>27245646.758318</t>
  </si>
  <si>
    <t>585530fd-0de5-4292-bc70-8f8ebd68eca5</t>
  </si>
  <si>
    <t>1.1.2.1.1.2.2.22</t>
  </si>
  <si>
    <t>1.1.2.1.1.2.2.22.1</t>
  </si>
  <si>
    <t>315889999.758318</t>
  </si>
  <si>
    <t>27245647.758318</t>
  </si>
  <si>
    <t>1.1.2.1.1.2.2.22.2</t>
  </si>
  <si>
    <t>315889999.54634</t>
  </si>
  <si>
    <t>27245647.54634</t>
  </si>
  <si>
    <t>1.1.2.1.1.2.2.23</t>
  </si>
  <si>
    <t>1.1.2.1.1.2.2.23.1</t>
  </si>
  <si>
    <t>315890000.54634</t>
  </si>
  <si>
    <t>27245648.54634</t>
  </si>
  <si>
    <t>1.1.2.1.1.2.2.23.2</t>
  </si>
  <si>
    <t>315890000.758318</t>
  </si>
  <si>
    <t>27245648.758318</t>
  </si>
  <si>
    <t>1.1.2.1.1.2.2.24</t>
  </si>
  <si>
    <t>1.1.2.1.1.2.2.24.1</t>
  </si>
  <si>
    <t>315890001.758318</t>
  </si>
  <si>
    <t>27245649.758318</t>
  </si>
  <si>
    <t>1.1.2.1.1.2.2.24.2</t>
  </si>
  <si>
    <t>315890001.54634</t>
  </si>
  <si>
    <t>27245649.54634</t>
  </si>
  <si>
    <t>1.1.2.1.1.2.2.25</t>
  </si>
  <si>
    <t>1.1.2.1.1.2.2.25.1</t>
  </si>
  <si>
    <t>315890002.54634</t>
  </si>
  <si>
    <t>27245650.54634</t>
  </si>
  <si>
    <t>1.1.2.1.1.2.2.25.2</t>
  </si>
  <si>
    <t>315890002.758318</t>
  </si>
  <si>
    <t>27245650.758318</t>
  </si>
  <si>
    <t>1.1.2.1.1.2.2.26</t>
  </si>
  <si>
    <t>1.1.2.1.1.2.2.26.1</t>
  </si>
  <si>
    <t>315890003.758318</t>
  </si>
  <si>
    <t>27245651.758318</t>
  </si>
  <si>
    <t>1.1.2.1.1.2.2.26.2</t>
  </si>
  <si>
    <t>315890003.54634</t>
  </si>
  <si>
    <t>27245651.54634</t>
  </si>
  <si>
    <t>1.1.2.1.1.2.2.27</t>
  </si>
  <si>
    <t>1.1.2.1.1.2.2.27.1</t>
  </si>
  <si>
    <t>315890004.54634</t>
  </si>
  <si>
    <t>27245652.54634</t>
  </si>
  <si>
    <t>1.1.2.1.1.2.2.27.2</t>
  </si>
  <si>
    <t>315890004.758318</t>
  </si>
  <si>
    <t>27245652.758318</t>
  </si>
  <si>
    <t>1.1.2.1.1.2.2.28</t>
  </si>
  <si>
    <t>1.1.2.1.1.2.2.28.1</t>
  </si>
  <si>
    <t>315890005.758318</t>
  </si>
  <si>
    <t>27245653.758318</t>
  </si>
  <si>
    <t>1.1.2.1.1.2.2.28.2</t>
  </si>
  <si>
    <t>315890005.54634</t>
  </si>
  <si>
    <t>27245653.54634</t>
  </si>
  <si>
    <t>1.1.2.1.1.2.2.29</t>
  </si>
  <si>
    <t>1, 2, 3 этажи. Тип: FK2. Покраска Gutver Prometeks RAL 6021 (бледно-зеленый) - Матовая краска для стен или аналог. Класс пожарной опасности: КМ0</t>
  </si>
  <si>
    <t>1.1.2.1.1.2.2.29.1</t>
  </si>
  <si>
    <t>315890006.54634</t>
  </si>
  <si>
    <t>27245751.54634</t>
  </si>
  <si>
    <t>1.1.2.1.1.2.2.29.2</t>
  </si>
  <si>
    <t>315890006.758318</t>
  </si>
  <si>
    <t>27245751.758318</t>
  </si>
  <si>
    <t>1.1.2.1.1.2.2.30</t>
  </si>
  <si>
    <t>1, 2, 3 этажи. Тип: FK3. Покраска Gutver Prometeks RAL 1015 (светлая слоновая кость) - Матовая краска для стен или аналог.  Класс пожарной опасности: КМ0</t>
  </si>
  <si>
    <t>1.1.2.1.1.2.2.30.1</t>
  </si>
  <si>
    <t>315890007.758318</t>
  </si>
  <si>
    <t>27245754.758318</t>
  </si>
  <si>
    <t>1.1.2.1.1.2.2.30.2</t>
  </si>
  <si>
    <t>315890007.54634</t>
  </si>
  <si>
    <t>27245754.54634</t>
  </si>
  <si>
    <t>1.1.2.1.1.2.2.31</t>
  </si>
  <si>
    <t>1, 2, 3 этажи. Тип: FK8. Покраска Gutver Prometeks RAL 6005(зеленый мох) - Матовая краска для стен или аналог. Класс пожарной опасности: КМ0</t>
  </si>
  <si>
    <t>1.1.2.1.1.2.2.31.1</t>
  </si>
  <si>
    <t>315890008.54634</t>
  </si>
  <si>
    <t>27245759.54634</t>
  </si>
  <si>
    <t>1.1.2.1.1.2.2.31.2</t>
  </si>
  <si>
    <t>315890008.758318</t>
  </si>
  <si>
    <t>27245759.758318</t>
  </si>
  <si>
    <t>1.1.2.1.1.2.2.32</t>
  </si>
  <si>
    <t>1, 2, 3 этажи. Тип: FK13. Покраска Gutver Prometeks RAL5024 (голубой) - Матовая краска для стен или аналог. Класс пожарной опасности: КМ0</t>
  </si>
  <si>
    <t>1.1.2.1.1.2.2.32.1</t>
  </si>
  <si>
    <t>315890009.758318</t>
  </si>
  <si>
    <t>27245747.758318</t>
  </si>
  <si>
    <t>1.1.2.1.1.2.2.32.2</t>
  </si>
  <si>
    <t>315890009.54634</t>
  </si>
  <si>
    <t>27245747.54634</t>
  </si>
  <si>
    <t>1.1.2.1.1.2.2.33</t>
  </si>
  <si>
    <t>1, 2, 3 этажи. Тип: FK15. Покраска Gutver Prometeks RAL1012 (лимонно-желтый) - Матовая краска для стен или аналог. Класс пожарной опасности: КМ0</t>
  </si>
  <si>
    <t>1.1.2.1.1.2.2.33.1</t>
  </si>
  <si>
    <t>315890010.54634</t>
  </si>
  <si>
    <t>27245749.54634</t>
  </si>
  <si>
    <t>1.1.2.1.1.2.2.33.2</t>
  </si>
  <si>
    <t>315890010.758318</t>
  </si>
  <si>
    <t>27245749.758318</t>
  </si>
  <si>
    <t>1.1.2.1.1.2.2.34</t>
  </si>
  <si>
    <t>1, 2, 3 этажи. Тип: FK1.1. Покраска Gutver Prometeks RAL 9002 (серо-белый) - Матовая краска для стен или аналог. Класс пожарной опасности: КМ0</t>
  </si>
  <si>
    <t>1.1.2.1.1.2.2.34.1</t>
  </si>
  <si>
    <t>315890011.758318</t>
  </si>
  <si>
    <t>27245743.758318</t>
  </si>
  <si>
    <t>1.1.2.1.1.2.2.34.2</t>
  </si>
  <si>
    <t>315890011.54634</t>
  </si>
  <si>
    <t>27245743.54634</t>
  </si>
  <si>
    <t>1.1.2.1.1.2.2.35</t>
  </si>
  <si>
    <t>1, 2, 3 этажи. Тип: FK11. Покраска Gutver Prometeks RAL1034 (пастельно-желтый) - Матовая краска для стен или аналог.  Класс пожарной опасности: КМ0.</t>
  </si>
  <si>
    <t>1.1.2.1.1.2.2.35.1</t>
  </si>
  <si>
    <t>315890012.54634</t>
  </si>
  <si>
    <t>27245745.54634</t>
  </si>
  <si>
    <t>1.1.2.1.1.2.2.35.2</t>
  </si>
  <si>
    <t>315890012.758318</t>
  </si>
  <si>
    <t>27245745.758318</t>
  </si>
  <si>
    <t>1.1.2.1.1.2.2.36</t>
  </si>
  <si>
    <t>FK5.1, 1-3эт, Иллюстрация с предварительной окраской фона</t>
  </si>
  <si>
    <t>1.1.2.1.1.2.2.36.1</t>
  </si>
  <si>
    <t>315890013.758318</t>
  </si>
  <si>
    <t>27245797.758318</t>
  </si>
  <si>
    <t>1.1.2.1.1.2.2.36.2</t>
  </si>
  <si>
    <t>315890013.54634</t>
  </si>
  <si>
    <t>27245797.54634</t>
  </si>
  <si>
    <t>1.1.2.1.1.2.2.37</t>
  </si>
  <si>
    <t>6.3.1.5.2.2.8.3</t>
  </si>
  <si>
    <t>Лакокрасочные работы СКБ / окраска откосов / в 2 слоя</t>
  </si>
  <si>
    <t>8bf08378-dbd9-4e80-8ee7-0ff14f296665</t>
  </si>
  <si>
    <t>b733a2ef-d78f-437c-90c9-4eabfe04c553</t>
  </si>
  <si>
    <t>1.1.2.1.1.2.2.37.1</t>
  </si>
  <si>
    <t>Краска Tikkurila Проф Евро 7 / RAL 9003</t>
  </si>
  <si>
    <t>315890014.1527563</t>
  </si>
  <si>
    <t>27245673.1527563</t>
  </si>
  <si>
    <t>c703e0d9-c58b-46dc-ae9e-94ab4ef5f1c1</t>
  </si>
  <si>
    <t>1.1.2.1.1.2.2.37.2</t>
  </si>
  <si>
    <t>315890014.54634</t>
  </si>
  <si>
    <t>27245673.54634</t>
  </si>
  <si>
    <t>1.1.2.1.1.2.2.38</t>
  </si>
  <si>
    <t>1, 2, 3 этажи. Тип: FK14. Отделка откосов - Gutver Prometeks RAL 9016. Матовая краска для стен или аналог. Класс пожарной опасности: КМ0</t>
  </si>
  <si>
    <t>1.1.2.1.1.2.2.38.1</t>
  </si>
  <si>
    <t>315890015.54634</t>
  </si>
  <si>
    <t>27245748.54634</t>
  </si>
  <si>
    <t>1.1.2.1.1.2.2.38.2</t>
  </si>
  <si>
    <t>315890015.1527563</t>
  </si>
  <si>
    <t>27245748.1527563</t>
  </si>
  <si>
    <t>1.1.2.1.1.2.2.39</t>
  </si>
  <si>
    <t>6.3.1.5.2.2.9.1</t>
  </si>
  <si>
    <t>Облицовка поверхности стен СКБ с затиркой швов / керамической, керамогранитной плиткой до 0,2м2/шт</t>
  </si>
  <si>
    <t>8d513ad3-1fbc-4730-be59-389995ce51d8</t>
  </si>
  <si>
    <t>a0ecae9b-7c0c-412d-a794-953bf76fc42d</t>
  </si>
  <si>
    <t>1.1.2.1.1.2.2.39.1</t>
  </si>
  <si>
    <t>315890017.54637</t>
  </si>
  <si>
    <t>27245661.54637</t>
  </si>
  <si>
    <t>1.1.2.1.1.2.2.39.2</t>
  </si>
  <si>
    <t>Грунтовка _ / универсальная водно-дисперсионная</t>
  </si>
  <si>
    <t>315890017.737422</t>
  </si>
  <si>
    <t>27245661.737422</t>
  </si>
  <si>
    <t>64d77ce3-b188-4652-a3eb-49ad1b6ad85c</t>
  </si>
  <si>
    <t>1.1.2.1.1.2.2.39.3</t>
  </si>
  <si>
    <t>315890017.739258</t>
  </si>
  <si>
    <t>27245661.739258</t>
  </si>
  <si>
    <t>1.1.2.1.1.2.2.39.4</t>
  </si>
  <si>
    <t>Керамический гранит Kerama marazzi_ / Синий /  SG1547N /  200х200 мм</t>
  </si>
  <si>
    <t>315890017.1570533</t>
  </si>
  <si>
    <t>27245661.1570533</t>
  </si>
  <si>
    <t>a620a03f-7faf-4c11-affe-45d2fae0c5fb</t>
  </si>
  <si>
    <t>1.1.2.1.1.2.2.40</t>
  </si>
  <si>
    <t>1.1.2.1.1.2.2.40.1</t>
  </si>
  <si>
    <t>Керамический гранит Kerama marazzi_ / Белый / 5009/ Калейдоскоп / 200х200</t>
  </si>
  <si>
    <t>315890018.758609</t>
  </si>
  <si>
    <t>27245662.758609</t>
  </si>
  <si>
    <t>70f2d54b-ab55-43b4-b130-a5f8f85e7098</t>
  </si>
  <si>
    <t>1.1.2.1.1.2.2.40.2</t>
  </si>
  <si>
    <t>315890018.739258</t>
  </si>
  <si>
    <t>27245662.739258</t>
  </si>
  <si>
    <t>1.1.2.1.1.2.2.40.3</t>
  </si>
  <si>
    <t>315890018.737422</t>
  </si>
  <si>
    <t>27245662.737422</t>
  </si>
  <si>
    <t>1.1.2.1.1.2.2.40.4</t>
  </si>
  <si>
    <t>315890018.54637</t>
  </si>
  <si>
    <t>27245662.54637</t>
  </si>
  <si>
    <t>1.1.2.1.1.2.2.41</t>
  </si>
  <si>
    <t>1.1.2.1.1.2.2.41.1</t>
  </si>
  <si>
    <t>315890019.54637</t>
  </si>
  <si>
    <t>27245663.54637</t>
  </si>
  <si>
    <t>1.1.2.1.1.2.2.41.2</t>
  </si>
  <si>
    <t>315890019.737422</t>
  </si>
  <si>
    <t>27245663.737422</t>
  </si>
  <si>
    <t>1.1.2.1.1.2.2.41.3</t>
  </si>
  <si>
    <t>315890019.739258</t>
  </si>
  <si>
    <t>27245663.739258</t>
  </si>
  <si>
    <t>1.1.2.1.1.2.2.41.4</t>
  </si>
  <si>
    <t>315890019.1570533</t>
  </si>
  <si>
    <t>27245663.1570533</t>
  </si>
  <si>
    <t>1.1.2.1.1.2.2.42</t>
  </si>
  <si>
    <t>1, 2, 3 этажи. Тип: FK9</t>
  </si>
  <si>
    <t>1.1.2.1.1.2.2.42.1</t>
  </si>
  <si>
    <t>315890020.1570533</t>
  </si>
  <si>
    <t>27245760.1570533</t>
  </si>
  <si>
    <t>1.1.2.1.1.2.2.42.2</t>
  </si>
  <si>
    <t>315890020.739258</t>
  </si>
  <si>
    <t>27245760.739258</t>
  </si>
  <si>
    <t>1.1.2.1.1.2.2.42.3</t>
  </si>
  <si>
    <t>315890020.737422</t>
  </si>
  <si>
    <t>27245760.737422</t>
  </si>
  <si>
    <t>1.1.2.1.1.2.2.42.4</t>
  </si>
  <si>
    <t>315890020.54637</t>
  </si>
  <si>
    <t>27245760.54637</t>
  </si>
  <si>
    <t>1.1.2.1.1.2.2.43</t>
  </si>
  <si>
    <t>1, 2, 3 этажи. Тип: FK16</t>
  </si>
  <si>
    <t>1.1.2.1.1.2.2.43.1</t>
  </si>
  <si>
    <t>315890021.54637</t>
  </si>
  <si>
    <t>27245750.54637</t>
  </si>
  <si>
    <t>1.1.2.1.1.2.2.43.2</t>
  </si>
  <si>
    <t>315890021.737422</t>
  </si>
  <si>
    <t>27245750.737422</t>
  </si>
  <si>
    <t>1.1.2.1.1.2.2.43.3</t>
  </si>
  <si>
    <t>315890021.739258</t>
  </si>
  <si>
    <t>27245750.739258</t>
  </si>
  <si>
    <t>1.1.2.1.1.2.2.43.4</t>
  </si>
  <si>
    <t>315890021.758609</t>
  </si>
  <si>
    <t>27245750.758609</t>
  </si>
  <si>
    <t>1.1.2.1.1.2.2.44</t>
  </si>
  <si>
    <t>1 этаж. Тип: FK31</t>
  </si>
  <si>
    <t>1.1.2.1.1.2.2.44.1</t>
  </si>
  <si>
    <t>315890022.1570533</t>
  </si>
  <si>
    <t>27245727.1570533</t>
  </si>
  <si>
    <t>1.1.2.1.1.2.2.44.2</t>
  </si>
  <si>
    <t>315890022.739258</t>
  </si>
  <si>
    <t>27245727.739258</t>
  </si>
  <si>
    <t>1.1.2.1.1.2.2.44.3</t>
  </si>
  <si>
    <t>315890022.737422</t>
  </si>
  <si>
    <t>27245727.737422</t>
  </si>
  <si>
    <t>1.1.2.1.1.2.2.44.4</t>
  </si>
  <si>
    <t>315890022.54637</t>
  </si>
  <si>
    <t>27245727.54637</t>
  </si>
  <si>
    <t>1.1.2.1.1.2.2.45</t>
  </si>
  <si>
    <t>6.3.1.5.2.2.9.2</t>
  </si>
  <si>
    <t>Облицовка поверхности стен СКБ с затиркой швов / керамической, керамогранитной плиткой от 0,2м2/шт</t>
  </si>
  <si>
    <t>9000ff2e-4eba-41cc-a074-c46fe92c125a</t>
  </si>
  <si>
    <t>543139c7-05c6-47e9-8a5c-0d2e4272c803</t>
  </si>
  <si>
    <t>1.1.2.1.1.2.2.45.1</t>
  </si>
  <si>
    <t>Плитка керамогранитная_ / AG23 / Estima / 600х600х10 мм</t>
  </si>
  <si>
    <t>315890023.2498810</t>
  </si>
  <si>
    <t>27245627.2498810</t>
  </si>
  <si>
    <t>0059404d-5dfe-11ef-9042-8d9a4c3e632c</t>
  </si>
  <si>
    <t>1.1.2.1.1.2.2.45.2</t>
  </si>
  <si>
    <t>315890023.739258</t>
  </si>
  <si>
    <t>27245627.739258</t>
  </si>
  <si>
    <t>1.1.2.1.1.2.2.45.3</t>
  </si>
  <si>
    <t>315890023.54637</t>
  </si>
  <si>
    <t>27245627.54637</t>
  </si>
  <si>
    <t>1.1.2.1.1.2.2.45.4</t>
  </si>
  <si>
    <t>315890023.737422</t>
  </si>
  <si>
    <t>27245627.737422</t>
  </si>
  <si>
    <t>1.1.2.1.1.2.2.46</t>
  </si>
  <si>
    <t>1.1.2.1.1.2.2.46.1</t>
  </si>
  <si>
    <t>315890024.737422</t>
  </si>
  <si>
    <t>27245628.737422</t>
  </si>
  <si>
    <t>1.1.2.1.1.2.2.46.2</t>
  </si>
  <si>
    <t>315890024.54637</t>
  </si>
  <si>
    <t>27245628.54637</t>
  </si>
  <si>
    <t>1.1.2.1.1.2.2.46.3</t>
  </si>
  <si>
    <t>315890024.739258</t>
  </si>
  <si>
    <t>27245628.739258</t>
  </si>
  <si>
    <t>1.1.2.1.1.2.2.46.4</t>
  </si>
  <si>
    <t>315890024.2498810</t>
  </si>
  <si>
    <t>27245628.2498810</t>
  </si>
  <si>
    <t>1.1.2.1.1.2.2.47</t>
  </si>
  <si>
    <t>1.1.2.1.1.2.2.47.1</t>
  </si>
  <si>
    <t>315890025.2498810</t>
  </si>
  <si>
    <t>27245629.2498810</t>
  </si>
  <si>
    <t>1.1.2.1.1.2.2.47.2</t>
  </si>
  <si>
    <t>315890025.739258</t>
  </si>
  <si>
    <t>27245629.739258</t>
  </si>
  <si>
    <t>1.1.2.1.1.2.2.47.3</t>
  </si>
  <si>
    <t>315890025.54637</t>
  </si>
  <si>
    <t>27245629.54637</t>
  </si>
  <si>
    <t>1.1.2.1.1.2.2.47.4</t>
  </si>
  <si>
    <t>315890025.737422</t>
  </si>
  <si>
    <t>27245629.737422</t>
  </si>
  <si>
    <t>1.1.2.1.1.2.2.48</t>
  </si>
  <si>
    <t>1.1.2.1.1.2.2.48.1</t>
  </si>
  <si>
    <t>315890026.737422</t>
  </si>
  <si>
    <t>27245630.737422</t>
  </si>
  <si>
    <t>1.1.2.1.1.2.2.48.2</t>
  </si>
  <si>
    <t>315890026.54637</t>
  </si>
  <si>
    <t>27245630.54637</t>
  </si>
  <si>
    <t>1.1.2.1.1.2.2.48.3</t>
  </si>
  <si>
    <t>315890026.739258</t>
  </si>
  <si>
    <t>27245630.739258</t>
  </si>
  <si>
    <t>1.1.2.1.1.2.2.48.4</t>
  </si>
  <si>
    <t>315890026.2498810</t>
  </si>
  <si>
    <t>27245630.2498810</t>
  </si>
  <si>
    <t>1.1.2.1.1.2.2.49</t>
  </si>
  <si>
    <t>1, 2, 3 этажи. Тип: FK4</t>
  </si>
  <si>
    <t>1.1.2.1.1.2.2.49.1</t>
  </si>
  <si>
    <t>Керамогранит Грани Таганая Профи, арт. GT079M, цвет зеленый чай, размер 600*600 мм, толщина 10мм, матовый.</t>
  </si>
  <si>
    <t>315890027.2498810</t>
  </si>
  <si>
    <t>27245755.2498810</t>
  </si>
  <si>
    <t>1.1.2.1.1.2.2.49.2</t>
  </si>
  <si>
    <t>315890027.739258</t>
  </si>
  <si>
    <t>27245755.739258</t>
  </si>
  <si>
    <t>1.1.2.1.1.2.2.49.3</t>
  </si>
  <si>
    <t>315890027.54637</t>
  </si>
  <si>
    <t>27245755.54637</t>
  </si>
  <si>
    <t>1.1.2.1.1.2.2.49.4</t>
  </si>
  <si>
    <t>315890027.737422</t>
  </si>
  <si>
    <t>27245755.737422</t>
  </si>
  <si>
    <t>1.1.2.1.1.2.2.50</t>
  </si>
  <si>
    <t>1, 2, 3 этажи. Тип: FK10</t>
  </si>
  <si>
    <t>1.1.2.1.1.2.2.50.1</t>
  </si>
  <si>
    <t>315890028.737422</t>
  </si>
  <si>
    <t>27245744.737422</t>
  </si>
  <si>
    <t>1.1.2.1.1.2.2.50.2</t>
  </si>
  <si>
    <t>315890028.54637</t>
  </si>
  <si>
    <t>27245744.54637</t>
  </si>
  <si>
    <t>1.1.2.1.1.2.2.50.3</t>
  </si>
  <si>
    <t>315890028.739258</t>
  </si>
  <si>
    <t>27245744.739258</t>
  </si>
  <si>
    <t>1.1.2.1.1.2.2.50.4</t>
  </si>
  <si>
    <t>Керамогранит Грани Таганая, арт. GT202M, цвет кристально молочный, размер 600*600 мм, толщина 10мм, матовый.</t>
  </si>
  <si>
    <t>315890028.2498810</t>
  </si>
  <si>
    <t>27245744.2498810</t>
  </si>
  <si>
    <t>1.1.2.1.1.2.2.51</t>
  </si>
  <si>
    <t>1, 2, 3 этажи. Тип: FK12</t>
  </si>
  <si>
    <t>1.1.2.1.1.2.2.51.1</t>
  </si>
  <si>
    <t>315890029.2498810</t>
  </si>
  <si>
    <t>27245746.2498810</t>
  </si>
  <si>
    <t>1.1.2.1.1.2.2.51.2</t>
  </si>
  <si>
    <t>315890029.739258</t>
  </si>
  <si>
    <t>27245746.739258</t>
  </si>
  <si>
    <t>1.1.2.1.1.2.2.51.3</t>
  </si>
  <si>
    <t>315890029.54637</t>
  </si>
  <si>
    <t>27245746.54637</t>
  </si>
  <si>
    <t>1.1.2.1.1.2.2.51.4</t>
  </si>
  <si>
    <t>315890029.737422</t>
  </si>
  <si>
    <t>27245746.737422</t>
  </si>
  <si>
    <t>1.1.2.1.1.2.2.52</t>
  </si>
  <si>
    <t>1, 2, 3 этажи. Тип: FK27</t>
  </si>
  <si>
    <t>1.1.2.1.1.2.2.52.1</t>
  </si>
  <si>
    <t>315890030.737422</t>
  </si>
  <si>
    <t>27245753.737422</t>
  </si>
  <si>
    <t>1.1.2.1.1.2.2.52.2</t>
  </si>
  <si>
    <t>315890030.54637</t>
  </si>
  <si>
    <t>27245753.54637</t>
  </si>
  <si>
    <t>1.1.2.1.1.2.2.52.3</t>
  </si>
  <si>
    <t>315890030.739258</t>
  </si>
  <si>
    <t>27245753.739258</t>
  </si>
  <si>
    <t>1.1.2.1.1.2.2.52.4</t>
  </si>
  <si>
    <t>315890030.2498810</t>
  </si>
  <si>
    <t>27245753.2498810</t>
  </si>
  <si>
    <t>1.1.2.1.1.2.3</t>
  </si>
  <si>
    <t>6.3.1.5.2.3</t>
  </si>
  <si>
    <t>Устройство подоконников, оконных откосов</t>
  </si>
  <si>
    <t>1.1.2.1.1.2.3.1</t>
  </si>
  <si>
    <t>6.3.1.5.2.3.9.2</t>
  </si>
  <si>
    <t>Зашивка приборов отопления / ГВЛВ / в 2 слоя на каркасе</t>
  </si>
  <si>
    <t>663ba77e-b098-40f4-94fa-887123ae612f</t>
  </si>
  <si>
    <t>0382bb4a-a04e-4008-974d-d8ed2569c155</t>
  </si>
  <si>
    <t>1.1.2.1.1.2.3.1.1</t>
  </si>
  <si>
    <t>Угол пластиковый_/10*15*2,5м</t>
  </si>
  <si>
    <t>315890033.55028</t>
  </si>
  <si>
    <t>27245600.55028</t>
  </si>
  <si>
    <t>551cb54d-a4ff-4e4c-b8c8-5ee9eaa28821</t>
  </si>
  <si>
    <t>1.1.2.1.1.2.3.1.2</t>
  </si>
  <si>
    <t>Профиль_/стоечный/50*50*0,40/3м</t>
  </si>
  <si>
    <t>315890033.54564</t>
  </si>
  <si>
    <t>27245600.54564</t>
  </si>
  <si>
    <t>4e067b05-ad0d-4585-9beb-bdfb968030c2</t>
  </si>
  <si>
    <t>1.1.2.1.1.2.3.1.3</t>
  </si>
  <si>
    <t>315890033.54566</t>
  </si>
  <si>
    <t>27245600.54566</t>
  </si>
  <si>
    <t>1.1.2.1.1.2.3.1.4</t>
  </si>
  <si>
    <t>Плита Кнауф Файерборд_ / 2500х1200х12.5 м</t>
  </si>
  <si>
    <t>315890033.1523192</t>
  </si>
  <si>
    <t>27245600.1523192</t>
  </si>
  <si>
    <t>1a9d2c61-823f-4235-b198-e9701dbd754e</t>
  </si>
  <si>
    <t>1.1.2.1.1.2.3.2</t>
  </si>
  <si>
    <t>1.1.2.1.1.2.3.2.1</t>
  </si>
  <si>
    <t>315890034.7352</t>
  </si>
  <si>
    <t>27245601.7352</t>
  </si>
  <si>
    <t>1.1.2.1.1.2.3.2.2</t>
  </si>
  <si>
    <t>315890034.54564</t>
  </si>
  <si>
    <t>27245601.54564</t>
  </si>
  <si>
    <t>1.1.2.1.1.2.3.2.3</t>
  </si>
  <si>
    <t>315890034.54566</t>
  </si>
  <si>
    <t>27245601.54566</t>
  </si>
  <si>
    <t>1.1.2.1.1.2.3.2.4</t>
  </si>
  <si>
    <t>315890034.55028</t>
  </si>
  <si>
    <t>27245601.55028</t>
  </si>
  <si>
    <t>1.1.2.1.1.2.3.3</t>
  </si>
  <si>
    <t>1, 2, 3 этажи. Тип:WD6. ГКЛ 2 слоя КНАУФ-Файерборд (толщина 12,5 мм) на металлическом каркасе с решеткой для воздухообмена.</t>
  </si>
  <si>
    <t>1.1.2.1.1.2.3.3.1</t>
  </si>
  <si>
    <t>315890035.55028</t>
  </si>
  <si>
    <t>27245791.55028</t>
  </si>
  <si>
    <t>1.1.2.1.1.2.3.3.2</t>
  </si>
  <si>
    <t>315890035.54564</t>
  </si>
  <si>
    <t>27245791.54564</t>
  </si>
  <si>
    <t>1.1.2.1.1.2.3.3.3</t>
  </si>
  <si>
    <t>315890035.54566</t>
  </si>
  <si>
    <t>27245791.54566</t>
  </si>
  <si>
    <t>1.1.2.1.1.2.3.3.4</t>
  </si>
  <si>
    <t>315890035.1523192</t>
  </si>
  <si>
    <t>27245791.1523192</t>
  </si>
  <si>
    <t>1.1.2.1.1.2.3.4</t>
  </si>
  <si>
    <t>1, 2, 3 этажи. Тип:WD5. Зашивка вертикальных труб отопления ГKЛ тип С112 по серии Knauf толщиной 52мм. Двуслойная обшивка из КНАУФ-листов ГСП-А 12.5мм с одной стороны на одинарном металлическом каркасе из профиля ПП 60x27 Knauf.</t>
  </si>
  <si>
    <t>1.1.2.1.1.2.3.4.1</t>
  </si>
  <si>
    <t>315890036.7352</t>
  </si>
  <si>
    <t>27245790.7352</t>
  </si>
  <si>
    <t>1.1.2.1.1.2.3.4.2</t>
  </si>
  <si>
    <t>315890036.54564</t>
  </si>
  <si>
    <t>27245790.54564</t>
  </si>
  <si>
    <t>1.1.2.1.1.2.3.4.3</t>
  </si>
  <si>
    <t>315890036.54566</t>
  </si>
  <si>
    <t>27245790.54566</t>
  </si>
  <si>
    <t>1.1.2.1.1.2.3.4.4</t>
  </si>
  <si>
    <t>315890036.55028</t>
  </si>
  <si>
    <t>27245790.55028</t>
  </si>
  <si>
    <t>1.1.2.1.1.3</t>
  </si>
  <si>
    <t>6.3.1.5.3</t>
  </si>
  <si>
    <t>Потолки</t>
  </si>
  <si>
    <t>1.1.2.1.1.3.1</t>
  </si>
  <si>
    <t>6.3.1.5.3.1</t>
  </si>
  <si>
    <t>Черновые работы по поверхности потолков</t>
  </si>
  <si>
    <t>1.1.2.1.1.3.1.1</t>
  </si>
  <si>
    <t>6.3.1.5.3.1.6.1</t>
  </si>
  <si>
    <t>Подготовка поверхности СКБ / потолка / ЖБ / 5 мм</t>
  </si>
  <si>
    <t>d8ade7bb-05e7-4786-90a0-891f405ecdf1</t>
  </si>
  <si>
    <t>d89f0cdd-97a2-4d68-95d2-a137bc57c6ad</t>
  </si>
  <si>
    <t>1.1.2.1.1.3.1.1.1</t>
  </si>
  <si>
    <t>Шпатлевка гипсовая_ / белая / Унифицированная по ПИК-СТАНДАРТ, 30кг</t>
  </si>
  <si>
    <t>315890040.54622</t>
  </si>
  <si>
    <t>27245705.54622</t>
  </si>
  <si>
    <t>c5ed9089-be55-4be8-8db3-0f286a2dbba5</t>
  </si>
  <si>
    <t>1.1.2.1.1.3.1.1.2</t>
  </si>
  <si>
    <t>315890040.54634</t>
  </si>
  <si>
    <t>27245705.54634</t>
  </si>
  <si>
    <t>1.1.2.1.1.3.1.2</t>
  </si>
  <si>
    <t>1, 2, 3 этажи. Шпаклевка базовая до 5 мм. Тип: CF1=2861,1 м2; CF13=240,8 м2</t>
  </si>
  <si>
    <t>1.1.2.1.1.3.1.2.1</t>
  </si>
  <si>
    <t>315890041.54634</t>
  </si>
  <si>
    <t>27245792.54634</t>
  </si>
  <si>
    <t>1.1.2.1.1.3.1.2.2</t>
  </si>
  <si>
    <t>315890041.54622</t>
  </si>
  <si>
    <t>27245792.54622</t>
  </si>
  <si>
    <t>1.1.2.1.1.3.1.3</t>
  </si>
  <si>
    <t>6.3.1.5.3.1.6.4</t>
  </si>
  <si>
    <t>Подготовка поверхности СКБ / стен / ГКЛ, ПГП / 2мм</t>
  </si>
  <si>
    <t>fa1c67dc-3027-4791-83d8-da340ce63151</t>
  </si>
  <si>
    <t>9715c536-701e-4362-beb4-5db4688b691c</t>
  </si>
  <si>
    <t>1.1.2.1.1.3.1.3.1</t>
  </si>
  <si>
    <t>315890042.54622</t>
  </si>
  <si>
    <t>27245657.54622</t>
  </si>
  <si>
    <t>1.1.2.1.1.3.1.3.2</t>
  </si>
  <si>
    <t>315890042.54634</t>
  </si>
  <si>
    <t>27245657.54634</t>
  </si>
  <si>
    <t>1.1.2.1.1.3.1.4</t>
  </si>
  <si>
    <t>1, 2, 3 этажи. Шпаклевка базовая до 5 мм. Тип: CF2</t>
  </si>
  <si>
    <t>1.1.2.1.1.3.1.4.1</t>
  </si>
  <si>
    <t>315890043.54634</t>
  </si>
  <si>
    <t>27245793.54634</t>
  </si>
  <si>
    <t>1.1.2.1.1.3.1.4.2</t>
  </si>
  <si>
    <t>315890043.54622</t>
  </si>
  <si>
    <t>27245793.54622</t>
  </si>
  <si>
    <t>1.1.2.1.1.3.2</t>
  </si>
  <si>
    <t>6.3.1.5.3.2</t>
  </si>
  <si>
    <t>Чистовые работы по поверхности потолков</t>
  </si>
  <si>
    <t>1.1.2.1.1.3.2.1</t>
  </si>
  <si>
    <t>6.3.1.5.3.2.3.2</t>
  </si>
  <si>
    <t>Лакокрасочные работы СКБ / окраска потолков / в 2 слоя</t>
  </si>
  <si>
    <t>55dcd11a-c570-4894-be4e-3c3874402761</t>
  </si>
  <si>
    <t>3997b616-bcf5-4c13-ae76-75afa96c846f</t>
  </si>
  <si>
    <t>1.1.2.1.1.3.2.1.1</t>
  </si>
  <si>
    <t>Gutver Prometeks RAL 9016 - Матовая краска для стен или аналог.  Класс пожарной опасности: КМ0</t>
  </si>
  <si>
    <t>315890046.758318</t>
  </si>
  <si>
    <t>27245613.758318</t>
  </si>
  <si>
    <t>1.1.2.1.1.3.2.1.2</t>
  </si>
  <si>
    <t>315890046.54634</t>
  </si>
  <si>
    <t>27245613.54634</t>
  </si>
  <si>
    <t>1.1.2.1.1.3.2.2</t>
  </si>
  <si>
    <t>1.1.2.1.1.3.2.2.1</t>
  </si>
  <si>
    <t>315890047.54634</t>
  </si>
  <si>
    <t>27245614.54634</t>
  </si>
  <si>
    <t>1.1.2.1.1.3.2.2.2</t>
  </si>
  <si>
    <t>315890047.758318</t>
  </si>
  <si>
    <t>27245614.758318</t>
  </si>
  <si>
    <t>1.1.2.1.1.3.2.3</t>
  </si>
  <si>
    <t>1.1.2.1.1.3.2.3.1</t>
  </si>
  <si>
    <t>315890048.758318</t>
  </si>
  <si>
    <t>27245615.758318</t>
  </si>
  <si>
    <t>1.1.2.1.1.3.2.3.2</t>
  </si>
  <si>
    <t>315890048.54634</t>
  </si>
  <si>
    <t>27245615.54634</t>
  </si>
  <si>
    <t>1.1.2.1.1.3.2.4</t>
  </si>
  <si>
    <t>1.1.2.1.1.3.2.4.1</t>
  </si>
  <si>
    <t>315890049.54634</t>
  </si>
  <si>
    <t>27245616.54634</t>
  </si>
  <si>
    <t>1.1.2.1.1.3.2.4.2</t>
  </si>
  <si>
    <t>315890049.758318</t>
  </si>
  <si>
    <t>27245616.758318</t>
  </si>
  <si>
    <t>1.1.2.1.1.3.2.5</t>
  </si>
  <si>
    <t>1, 2, 3 этажи. Тип: CF1.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</si>
  <si>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1.1.2.1.1.3.2.5.1</t>
  </si>
  <si>
    <t>315890050.758318</t>
  </si>
  <si>
    <t>27245729.758318</t>
  </si>
  <si>
    <t>1.1.2.1.1.3.2.5.2</t>
  </si>
  <si>
    <t>315890050.54634</t>
  </si>
  <si>
    <t>27245729.54634</t>
  </si>
  <si>
    <t>1.1.2.1.1.3.2.6</t>
  </si>
  <si>
    <t>1, 2, 3 этажи. Тип: CF2 Покраска Gutver Prometeks RAL 9016 КМ0</t>
  </si>
  <si>
    <t>1.1.2.1.1.3.2.6.1</t>
  </si>
  <si>
    <t>315890051.54634</t>
  </si>
  <si>
    <t>27245736.54634</t>
  </si>
  <si>
    <t>1.1.2.1.1.3.2.6.2</t>
  </si>
  <si>
    <t>315890051.758318</t>
  </si>
  <si>
    <t>27245736.758318</t>
  </si>
  <si>
    <t>1.1.2.1.1.3.2.7</t>
  </si>
  <si>
    <t>1.1.2.1.1.3.2.7.1</t>
  </si>
  <si>
    <t>315890052.758318</t>
  </si>
  <si>
    <t>27245617.758318</t>
  </si>
  <si>
    <t>1.1.2.1.1.3.2.7.2</t>
  </si>
  <si>
    <t>315890052.54634</t>
  </si>
  <si>
    <t>27245617.54634</t>
  </si>
  <si>
    <t>1.1.2.1.1.3.2.8</t>
  </si>
  <si>
    <t>1, 2, 3 этажи. Тип: CF13.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</si>
  <si>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1.1.2.1.1.3.2.8.1</t>
  </si>
  <si>
    <t>315890053.54634</t>
  </si>
  <si>
    <t>27245731.54634</t>
  </si>
  <si>
    <t>1.1.2.1.1.3.2.8.2</t>
  </si>
  <si>
    <t xml:space="preserve"> Gutver Prometeks RAL Design 180 40 15 - Матовая краска для стен или аналог.</t>
  </si>
  <si>
    <t>315890053.758318</t>
  </si>
  <si>
    <t>27245731.758318</t>
  </si>
  <si>
    <t>1.1.2.1.1.3.2.9</t>
  </si>
  <si>
    <t>1, 2, 3 этажи. Тип: CF15.2. Покраска жб плиты перекрытия, включая инженерное оборудование, расположенное в зоне открытого потолка: подготовка бетонного основания, штукатурка, шпаклевка (при необходимости).</t>
  </si>
  <si>
    <t>1.1.2.1.1.3.2.9.1</t>
  </si>
  <si>
    <t>Gutver Prometeks RAL 5024 - Матовая краска для стен или аналог.  Класс пожарной опасности: КМ0</t>
  </si>
  <si>
    <t>315890054.758318</t>
  </si>
  <si>
    <t>27245732.758318</t>
  </si>
  <si>
    <t>1.1.2.1.1.3.2.9.2</t>
  </si>
  <si>
    <t>315890054.54634</t>
  </si>
  <si>
    <t>27245732.54634</t>
  </si>
  <si>
    <t>1.1.2.1.1.4</t>
  </si>
  <si>
    <t>6.3.1.5.4</t>
  </si>
  <si>
    <t>Монтаж потолочных конструкций</t>
  </si>
  <si>
    <t>1.1.2.1.1.4.1</t>
  </si>
  <si>
    <t>6.3.1.5.4.1.1</t>
  </si>
  <si>
    <t>Монтаж подвесного потолка / из Аквапанелей</t>
  </si>
  <si>
    <t>31f0cce8-2c10-4d50-97c2-6b4add5a1db9</t>
  </si>
  <si>
    <t>6f7b5bd4-421f-4077-8516-796d4fef9b1c</t>
  </si>
  <si>
    <t>1.1.2.1.1.4.1.1</t>
  </si>
  <si>
    <t>Прочие материалы_</t>
  </si>
  <si>
    <t>315890057.714896</t>
  </si>
  <si>
    <t>27245636.714896</t>
  </si>
  <si>
    <t>fdf8c0a8-2572-4068-9aa9-e798fd9f8bff</t>
  </si>
  <si>
    <t>1.1.2.1.1.4.1.2</t>
  </si>
  <si>
    <t>Плита Аквапанель_</t>
  </si>
  <si>
    <t>315890057.703444</t>
  </si>
  <si>
    <t>27245636.703444</t>
  </si>
  <si>
    <t>2c475c37-a5f6-40fd-88b8-63c49f8c7850</t>
  </si>
  <si>
    <t>1.1.2.1.1.4.1.3</t>
  </si>
  <si>
    <t>Каркас_</t>
  </si>
  <si>
    <t>315890057.714897</t>
  </si>
  <si>
    <t>27245636.714897</t>
  </si>
  <si>
    <t>d67a84c8-d326-4113-825a-f75ffa1be1b7</t>
  </si>
  <si>
    <t>1.1.2.1.1.4.2</t>
  </si>
  <si>
    <t>1, 2, 3 этажи. Тип: CF9 Влагостойкие панели Rockfon, арт. Lilia, кромка А15. Подвесная система Chicago Metallic Т15 Click 2790, основной профиль Т15 Click L=3600мм, поперечный профиль Т15 Click L=600мм, угол пристеночный 19х24 L=3050мм, размер плиты 600х600мм, цвет белый, класс ПБ КМ1</t>
  </si>
  <si>
    <t>1.1.2.1.1.4.2.1</t>
  </si>
  <si>
    <t>315890058.714897</t>
  </si>
  <si>
    <t>27245742.714897</t>
  </si>
  <si>
    <t>1.1.2.1.1.4.2.2</t>
  </si>
  <si>
    <t>315890058.703444</t>
  </si>
  <si>
    <t>27245742.703444</t>
  </si>
  <si>
    <t>1.1.2.1.1.4.3</t>
  </si>
  <si>
    <t>6.3.1.5.4.1.2</t>
  </si>
  <si>
    <t>Монтаж подвесного потолка / типа Армстронг, Грильято</t>
  </si>
  <si>
    <t>2666ca34-b663-41c7-b8b7-caa2f71855b8</t>
  </si>
  <si>
    <t>fd6369e7-760a-4bf3-8c56-a6af236cf5cf</t>
  </si>
  <si>
    <t>1.1.2.1.1.4.3.1</t>
  </si>
  <si>
    <t>Реечный потолок_ / Металлический</t>
  </si>
  <si>
    <t>315890059.715461</t>
  </si>
  <si>
    <t>27245723.715461</t>
  </si>
  <si>
    <t>10b4c8b2-e44c-4d73-8a2f-cd56f0c6cf37</t>
  </si>
  <si>
    <t>1.1.2.1.1.4.4</t>
  </si>
  <si>
    <t>1.1.2.1.1.4.4.1</t>
  </si>
  <si>
    <t>315890060.715461</t>
  </si>
  <si>
    <t>27245724.715461</t>
  </si>
  <si>
    <t>1.1.2.1.1.4.5</t>
  </si>
  <si>
    <t>1.1.2.1.1.4.5.1</t>
  </si>
  <si>
    <t>315890061.715461</t>
  </si>
  <si>
    <t>27245725.715461</t>
  </si>
  <si>
    <t>1.1.2.1.1.4.6</t>
  </si>
  <si>
    <t>1, 2, 3 этажи. Тип: CF5. Кубообразный Потолки АЛБЕС 30х85х3000мм, между рейками 70 оцинкованная сталь 0,45 RAL 1018 матовый</t>
  </si>
  <si>
    <t>1.1.2.1.1.4.6.1</t>
  </si>
  <si>
    <t>315890062.715461</t>
  </si>
  <si>
    <t>27245740.715461</t>
  </si>
  <si>
    <t>1.1.2.1.1.4.7</t>
  </si>
  <si>
    <t>1, 2, 3 этажи. Тип: CF6. Кубообразный Потолки АЛБЕС 30х85х3000мм, между рейками 70 оцинкованная сталь 0,45 RAL 9016 матовый</t>
  </si>
  <si>
    <t>1.1.2.1.1.4.7.1</t>
  </si>
  <si>
    <t>Цена 3000 руб/м2</t>
  </si>
  <si>
    <t>315890063.715461</t>
  </si>
  <si>
    <t>27245741.715461</t>
  </si>
  <si>
    <t>1.1.2.1.1.4.8</t>
  </si>
  <si>
    <t>1, 2, 3 этажи. Тип: CF16. Кубообразный Потолки АЛБЕС 30х85х3000мм, между рейками 70 оцинкованная сталь 0,45, текстура дерева W203-1013</t>
  </si>
  <si>
    <t>1.1.2.1.1.4.8.1</t>
  </si>
  <si>
    <t>315890064.715461</t>
  </si>
  <si>
    <t>27245733.715461</t>
  </si>
  <si>
    <t>1.1.2.1.1.4.9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</si>
  <si>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</si>
  <si>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</si>
  <si>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</si>
  <si>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</si>
  <si>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1.1.2.1.1.4.10</t>
  </si>
  <si>
    <t>1.1.2.1.1.4.11</t>
  </si>
  <si>
    <t>6.3.1.5.4.4.1</t>
  </si>
  <si>
    <t>Монтаж подвесного потолка СКБ / из акустических древесных плит</t>
  </si>
  <si>
    <t>c705c4a9-d32a-459e-a39e-ceba03e1c601</t>
  </si>
  <si>
    <t>4b59e369-024b-4661-bd71-e22473890c37</t>
  </si>
  <si>
    <t>1.1.2.1.1.4.11.1</t>
  </si>
  <si>
    <t>Плита древесноволокнистая ДВП s=25мм SoundBoard SuperFine</t>
  </si>
  <si>
    <t>315890069.1747145</t>
  </si>
  <si>
    <t>27245626.1747145</t>
  </si>
  <si>
    <t>f39a5928-311f-11ee-9904-d1661ac0bb93</t>
  </si>
  <si>
    <t>1.1.2.1.1.4.12</t>
  </si>
  <si>
    <t>1, 2, 3 этажи. Тип: CF18. Подвесной потолок из СМЛ-лист Лемарк с покрытием HPL FR Дуб рона LM 0657sh. КМ1. Размеры панелей 3050х1300, или аналог.</t>
  </si>
  <si>
    <t>1.1.2.1.1.4.12.1</t>
  </si>
  <si>
    <t>315890070.1747145</t>
  </si>
  <si>
    <t>27245735.1747145</t>
  </si>
  <si>
    <t>1.1.2.1.1.4.13</t>
  </si>
  <si>
    <t>6.3.1.5.4.4.2</t>
  </si>
  <si>
    <t>Монтаж подвесного потолка СКБ / из ГКЛ в 1 слой с применением профиля ПП</t>
  </si>
  <si>
    <t>2958f052-386d-4488-b826-0762b112545c</t>
  </si>
  <si>
    <t>3f978f2b-872c-42ab-be18-f6c72259b319</t>
  </si>
  <si>
    <t>1.1.2.1.1.4.13.1</t>
  </si>
  <si>
    <t>Шуруп со сверлом_/3,5*11</t>
  </si>
  <si>
    <t>315890071.54821</t>
  </si>
  <si>
    <t>27245620.54821</t>
  </si>
  <si>
    <t>438f03b8-0245-4746-af3b-94d943760b3b</t>
  </si>
  <si>
    <t>1.1.2.1.1.4.13.2</t>
  </si>
  <si>
    <t>Шуруп_/3,5*25</t>
  </si>
  <si>
    <t>315890071.54822</t>
  </si>
  <si>
    <t>27245620.54822</t>
  </si>
  <si>
    <t>9afa7adc-2604-4bf8-8123-329424645872</t>
  </si>
  <si>
    <t>1.1.2.1.1.4.13.3</t>
  </si>
  <si>
    <t>Шпаклевка д/заделки швов, ШОВСИЛК_/Т33</t>
  </si>
  <si>
    <t>315890071.54624</t>
  </si>
  <si>
    <t>27245620.54624</t>
  </si>
  <si>
    <t>7b96503e-5889-4b88-b7f6-580caaa662ae</t>
  </si>
  <si>
    <t>1.1.2.1.1.4.13.4</t>
  </si>
  <si>
    <t>Удлинитель профилей_/потолочный/60*27</t>
  </si>
  <si>
    <t>315890071.54575</t>
  </si>
  <si>
    <t>27245620.54575</t>
  </si>
  <si>
    <t>46cc4ab9-5306-44b0-b02d-73ca24dc456b</t>
  </si>
  <si>
    <t>1.1.2.1.1.4.13.5</t>
  </si>
  <si>
    <t>Соединитель профилей одноуровневый_/потолочный/60*27</t>
  </si>
  <si>
    <t>315890071.54576</t>
  </si>
  <si>
    <t>27245620.54576</t>
  </si>
  <si>
    <t>d396c343-40ec-430e-b651-cf8e8a10f274</t>
  </si>
  <si>
    <t>1.1.2.1.1.4.13.6</t>
  </si>
  <si>
    <t>Профиль_/направляющий/28*27*0,40/3м</t>
  </si>
  <si>
    <t>315890071.54569</t>
  </si>
  <si>
    <t>27245620.54569</t>
  </si>
  <si>
    <t>34b4edce-5006-4616-be2f-9d47724dc09a</t>
  </si>
  <si>
    <t>1.1.2.1.1.4.13.7</t>
  </si>
  <si>
    <t>Профиль_/потолочный/60*27*0,40/3м</t>
  </si>
  <si>
    <t>315890071.54568</t>
  </si>
  <si>
    <t>27245620.54568</t>
  </si>
  <si>
    <t>de448100-a03f-42fb-b903-fa1d0845e34a</t>
  </si>
  <si>
    <t>1.1.2.1.1.4.13.8</t>
  </si>
  <si>
    <t>Подвес профиля прямой_/потолочный/60*27</t>
  </si>
  <si>
    <t>315890071.54573</t>
  </si>
  <si>
    <t>27245620.54573</t>
  </si>
  <si>
    <t>0eb7bcf2-ac18-4bde-8e36-3ccb4cd58803</t>
  </si>
  <si>
    <t>1.1.2.1.1.4.13.9</t>
  </si>
  <si>
    <t>315890071.1523192</t>
  </si>
  <si>
    <t>27245620.1523192</t>
  </si>
  <si>
    <t>1.1.2.1.1.4.13.10</t>
  </si>
  <si>
    <t>Лента Дихтунгсбанд_/50мм</t>
  </si>
  <si>
    <t>315890071.55042</t>
  </si>
  <si>
    <t>27245620.55042</t>
  </si>
  <si>
    <t>db776908-a7ed-4efe-a1e0-14c0d3badf1f</t>
  </si>
  <si>
    <t>1.1.2.1.1.4.13.11</t>
  </si>
  <si>
    <t>Лента армирующая ( серпянка)_/50мм</t>
  </si>
  <si>
    <t>315890071.55038</t>
  </si>
  <si>
    <t>27245620.55038</t>
  </si>
  <si>
    <t>ef366d6b-1118-416c-acc5-430ee111e823</t>
  </si>
  <si>
    <t>1.1.2.1.1.4.13.12</t>
  </si>
  <si>
    <t>315890071.1139608</t>
  </si>
  <si>
    <t>27245620.1139608</t>
  </si>
  <si>
    <t>1.1.2.1.1.4.13.13</t>
  </si>
  <si>
    <t>Анкер-клин_/6*40</t>
  </si>
  <si>
    <t>315890071.54828</t>
  </si>
  <si>
    <t>27245620.54828</t>
  </si>
  <si>
    <t>d1d11d59-b5f9-4bc0-894f-4c016002bf47</t>
  </si>
  <si>
    <t>1.1.2.1.1.4.14</t>
  </si>
  <si>
    <t>1, 2, 3 этажи. Тип: CF2. Подвесной потолок из КНАУФ-листов тип П112 Knauff. Однослойная обшивка из ГСП-DF или файерборда 12,5мм, на двухуровневом металлическом каркасе ПП 60х27 Knauff, усиленном с шагом профилей не более 400х400 мм, отступ от стен по периметру не более 100 мм, с шагом креплений/подвесов не более 600х600.</t>
  </si>
  <si>
    <t>1.1.2.1.1.4.14.1</t>
  </si>
  <si>
    <t>315890072.54828</t>
  </si>
  <si>
    <t>27245737.54828</t>
  </si>
  <si>
    <t>1.1.2.1.1.4.14.2</t>
  </si>
  <si>
    <t>315890072.1139608</t>
  </si>
  <si>
    <t>27245737.1139608</t>
  </si>
  <si>
    <t>1.1.2.1.1.4.14.3</t>
  </si>
  <si>
    <t>315890072.55038</t>
  </si>
  <si>
    <t>27245737.55038</t>
  </si>
  <si>
    <t>1.1.2.1.1.4.14.4</t>
  </si>
  <si>
    <t>315890072.55042</t>
  </si>
  <si>
    <t>27245737.55042</t>
  </si>
  <si>
    <t>1.1.2.1.1.4.14.5</t>
  </si>
  <si>
    <t>315890072.1523192</t>
  </si>
  <si>
    <t>27245737.1523192</t>
  </si>
  <si>
    <t>1.1.2.1.1.4.14.6</t>
  </si>
  <si>
    <t>315890072.54573</t>
  </si>
  <si>
    <t>27245737.54573</t>
  </si>
  <si>
    <t>1.1.2.1.1.4.14.7</t>
  </si>
  <si>
    <t>315890072.54569</t>
  </si>
  <si>
    <t>27245737.54569</t>
  </si>
  <si>
    <t>1.1.2.1.1.4.14.8</t>
  </si>
  <si>
    <t>315890072.54568</t>
  </si>
  <si>
    <t>27245737.54568</t>
  </si>
  <si>
    <t>1.1.2.1.1.4.14.9</t>
  </si>
  <si>
    <t>315890072.54576</t>
  </si>
  <si>
    <t>27245737.54576</t>
  </si>
  <si>
    <t>1.1.2.1.1.4.14.10</t>
  </si>
  <si>
    <t>315890072.54575</t>
  </si>
  <si>
    <t>27245737.54575</t>
  </si>
  <si>
    <t>1.1.2.1.1.4.14.11</t>
  </si>
  <si>
    <t>315890072.54624</t>
  </si>
  <si>
    <t>27245737.54624</t>
  </si>
  <si>
    <t>1.1.2.1.1.4.14.12</t>
  </si>
  <si>
    <t>315890072.54822</t>
  </si>
  <si>
    <t>27245737.54822</t>
  </si>
  <si>
    <t>1.1.2.1.1.4.14.13</t>
  </si>
  <si>
    <t>315890072.54821</t>
  </si>
  <si>
    <t>27245737.54821</t>
  </si>
  <si>
    <t>1.1.2.1.1.4.15</t>
  </si>
  <si>
    <t>6.3.1.5.4.4.4</t>
  </si>
  <si>
    <t>Монтаж подвесного потолка СКБ / типа Армстронг, Грильято</t>
  </si>
  <si>
    <t>86b87f1a-32b5-4855-8388-b5bf81a42325</t>
  </si>
  <si>
    <t>42e8bac0-98f1-4b1f-8603-9612c710de3f</t>
  </si>
  <si>
    <t>1.1.2.1.1.4.15.1</t>
  </si>
  <si>
    <t>Подвесной потолок ГРИЛЬЯТО_ / белый / 100х100х40мм</t>
  </si>
  <si>
    <t>315890073.1196508</t>
  </si>
  <si>
    <t>27245621.1196508</t>
  </si>
  <si>
    <t>7c413101-029a-4584-ace7-69ad01fdbaa7</t>
  </si>
  <si>
    <t>1.1.2.1.1.4.16</t>
  </si>
  <si>
    <t>1.1.2.1.1.4.16.1</t>
  </si>
  <si>
    <t>Подвесной потолок Армстронг / Белый</t>
  </si>
  <si>
    <t>315890074.1353009</t>
  </si>
  <si>
    <t>27245622.1353009</t>
  </si>
  <si>
    <t>137a189c-acd0-4b00-a19c-980286873b94</t>
  </si>
  <si>
    <t>1.1.2.1.1.4.17</t>
  </si>
  <si>
    <t>1.1.2.1.1.4.17.1</t>
  </si>
  <si>
    <t>315890075.1353009</t>
  </si>
  <si>
    <t>27245623.1353009</t>
  </si>
  <si>
    <t>1.1.2.1.1.4.18</t>
  </si>
  <si>
    <t>1.1.2.1.1.4.18.1</t>
  </si>
  <si>
    <t xml:space="preserve">Кассетный металический потолок  </t>
  </si>
  <si>
    <t>315890076.847703</t>
  </si>
  <si>
    <t>27245624.847703</t>
  </si>
  <si>
    <t>58e7c86f-477b-47b9-985f-0a528b32f78c</t>
  </si>
  <si>
    <t>1.1.2.1.1.4.19</t>
  </si>
  <si>
    <t>1, 2, 3 этажи. Тип: CF3. Потолки Грильято ячейки 100х100 АЛБЕС Белый</t>
  </si>
  <si>
    <t>1.1.2.1.1.4.19.1</t>
  </si>
  <si>
    <t>315890077.1196508</t>
  </si>
  <si>
    <t>27245738.1196508</t>
  </si>
  <si>
    <t>1.1.2.1.1.4.20</t>
  </si>
  <si>
    <t>1, 2, 3 этажи. Тип: CF4. Потолочная плита Рокфон Школа A15 1200х600х20, цвет RAL9016</t>
  </si>
  <si>
    <t>1.1.2.1.1.4.20.1</t>
  </si>
  <si>
    <t>315890078.1353009</t>
  </si>
  <si>
    <t>27245739.1353009</t>
  </si>
  <si>
    <t>1.1.2.1.1.4.21</t>
  </si>
  <si>
    <t>1, 2, 3 этажи. Тип: CF17 Подвесной металлический кассетный потолок Албес. Размер панели 600х600х20, цвет белый. Или аналог</t>
  </si>
  <si>
    <t>1.1.2.1.1.4.21.1</t>
  </si>
  <si>
    <t>315890079.1353009</t>
  </si>
  <si>
    <t>27245734.1353009</t>
  </si>
  <si>
    <t>1.1.2.1.1.4.22</t>
  </si>
  <si>
    <t>1, 2, 3 этажи. Тип: CF12. Металлический кассетный потолок с заполнением из металлических стержней в одном направлении, см. альбом индивидуального изготовления. Производитель Группа компаний АСП, или аналог, панели размер 1200х600, 630х600, размеры уточнить по месту</t>
  </si>
  <si>
    <t>1.1.2.1.1.4.22.1</t>
  </si>
  <si>
    <t>315890080.847703</t>
  </si>
  <si>
    <t>27245730.847703</t>
  </si>
  <si>
    <t>Общая стоимость работ, руб.с НДС 22%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</si>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</sst>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4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4"/>
      <color rgb="FF000000"/>
      <name val="Times New Roman"/>
    </font>
    <font>
      <i/>
      <sz val="14"/>
      <color rgb="FF000000"/>
      <name val="Times New Roman"/>
    </font>
    <font>
      <sz val="14"/>
      <color rgb="FF800000"/>
      <name val="Times New Roman"/>
    </font>
    <font>
      <b/>
      <sz val="14"/>
      <color rgb="FFFF0000"/>
      <name val="Times New Roman"/>
    </font>
    <font>
      <b/>
      <sz val="14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D8E4BC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0" fontId="10" fillId="5" borderId="7" xfId="0" applyFont="1" applyFill="1" applyBorder="1" applyAlignment="1">
      <alignment horizontal="right" vertical="center" wrapText="1"/>
    </xf>
    <xf numFmtId="164" fontId="11" fillId="0" borderId="7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0" fillId="3" borderId="0" xfId="0" applyFill="1"/>
    <xf numFmtId="0" fontId="13" fillId="3" borderId="7" xfId="0" applyFont="1" applyFill="1" applyBorder="1" applyAlignment="1">
      <alignment horizontal="right" vertical="center"/>
    </xf>
    <xf numFmtId="4" fontId="13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85"/>
  <sheetViews>
    <sheetView zoomScale="55" zoomScaleNormal="55" workbookViewId="0">
      <pane xSplit="9" ySplit="7" topLeftCell="J399" activePane="bottomRight" state="frozen"/>
      <selection pane="topRight"/>
      <selection pane="bottomLeft"/>
      <selection pane="bottomRight" activeCell="H413" sqref="H413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4" width="7.109375" customWidth="1"/>
    <col min="5" max="5" width="35.109375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3"/>
      <c r="N1" s="3"/>
      <c r="O1" s="3"/>
      <c r="P1" s="3"/>
      <c r="Q1" s="3"/>
      <c r="R1" s="3"/>
      <c r="S1" s="3"/>
      <c r="T1" s="3"/>
      <c r="U1" s="3"/>
      <c r="AC1" s="4" t="s">
        <v>16</v>
      </c>
      <c r="AD1" s="4" t="s">
        <v>17</v>
      </c>
      <c r="AE1" s="4" t="s">
        <v>18</v>
      </c>
      <c r="AF1" s="4" t="s">
        <v>19</v>
      </c>
      <c r="AG1" s="4" t="s">
        <v>20</v>
      </c>
      <c r="AH1" s="4" t="s">
        <v>21</v>
      </c>
      <c r="AI1" s="4" t="s">
        <v>22</v>
      </c>
    </row>
    <row r="2" spans="1:35" ht="30.75" customHeight="1" x14ac:dyDescent="0.3">
      <c r="A2" s="30" t="s">
        <v>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</row>
    <row r="3" spans="1:35" ht="15" customHeight="1" x14ac:dyDescent="0.3">
      <c r="A3" s="31" t="s">
        <v>5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35" ht="15" customHeight="1" x14ac:dyDescent="0.3">
      <c r="A4" s="32" t="s">
        <v>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spans="1:35" ht="40.799999999999997" customHeight="1" x14ac:dyDescent="0.3">
      <c r="A5" s="39" t="s">
        <v>23</v>
      </c>
      <c r="B5" s="39" t="s">
        <v>24</v>
      </c>
      <c r="C5" s="39" t="s">
        <v>25</v>
      </c>
      <c r="D5" s="39" t="s">
        <v>26</v>
      </c>
      <c r="E5" s="39" t="s">
        <v>27</v>
      </c>
      <c r="F5" s="39" t="s">
        <v>28</v>
      </c>
      <c r="G5" s="39" t="s">
        <v>29</v>
      </c>
      <c r="H5" s="39" t="s">
        <v>30</v>
      </c>
      <c r="I5" s="39" t="s">
        <v>31</v>
      </c>
      <c r="J5" s="33" t="s">
        <v>7</v>
      </c>
      <c r="K5" s="34"/>
      <c r="L5" s="34"/>
      <c r="M5" s="34"/>
      <c r="N5" s="34"/>
      <c r="O5" s="35"/>
      <c r="P5" s="36" t="s">
        <v>8</v>
      </c>
      <c r="Q5" s="37"/>
      <c r="R5" s="38"/>
      <c r="S5" s="36" t="s">
        <v>9</v>
      </c>
      <c r="T5" s="37"/>
      <c r="U5" s="38"/>
    </row>
    <row r="6" spans="1:35" ht="15.75" customHeight="1" x14ac:dyDescent="0.3">
      <c r="A6" s="40"/>
      <c r="B6" s="40"/>
      <c r="C6" s="40"/>
      <c r="D6" s="40"/>
      <c r="E6" s="40"/>
      <c r="F6" s="40"/>
      <c r="G6" s="40"/>
      <c r="H6" s="40"/>
      <c r="I6" s="40"/>
      <c r="J6" s="42" t="s">
        <v>32</v>
      </c>
      <c r="K6" s="43"/>
      <c r="L6" s="39" t="s">
        <v>32</v>
      </c>
      <c r="M6" s="42" t="s">
        <v>35</v>
      </c>
      <c r="N6" s="43"/>
      <c r="O6" s="39" t="s">
        <v>36</v>
      </c>
      <c r="P6" s="42" t="s">
        <v>32</v>
      </c>
      <c r="Q6" s="43"/>
      <c r="R6" s="39" t="s">
        <v>32</v>
      </c>
      <c r="S6" s="42" t="s">
        <v>35</v>
      </c>
      <c r="T6" s="43"/>
      <c r="U6" s="39" t="s">
        <v>36</v>
      </c>
    </row>
    <row r="7" spans="1:35" ht="31.2" customHeight="1" x14ac:dyDescent="0.3">
      <c r="A7" s="41"/>
      <c r="B7" s="41"/>
      <c r="C7" s="41"/>
      <c r="D7" s="41"/>
      <c r="E7" s="41"/>
      <c r="F7" s="41"/>
      <c r="G7" s="41"/>
      <c r="H7" s="41"/>
      <c r="I7" s="41"/>
      <c r="J7" s="5" t="s">
        <v>33</v>
      </c>
      <c r="K7" s="5" t="s">
        <v>34</v>
      </c>
      <c r="L7" s="41"/>
      <c r="M7" s="5" t="s">
        <v>33</v>
      </c>
      <c r="N7" s="5" t="s">
        <v>34</v>
      </c>
      <c r="O7" s="41"/>
      <c r="P7" s="5" t="s">
        <v>33</v>
      </c>
      <c r="Q7" s="5" t="s">
        <v>34</v>
      </c>
      <c r="R7" s="41"/>
      <c r="S7" s="5" t="s">
        <v>33</v>
      </c>
      <c r="T7" s="5" t="s">
        <v>34</v>
      </c>
      <c r="U7" s="41"/>
    </row>
    <row r="8" spans="1:35" ht="30" customHeight="1" x14ac:dyDescent="0.3">
      <c r="A8" s="44" t="s">
        <v>37</v>
      </c>
      <c r="B8" s="45"/>
      <c r="C8" s="45"/>
      <c r="D8" s="45"/>
      <c r="E8" s="45"/>
      <c r="F8" s="45"/>
      <c r="G8" s="45"/>
      <c r="H8" s="45"/>
      <c r="I8" s="46"/>
      <c r="J8" s="7"/>
      <c r="K8" s="7"/>
      <c r="L8" s="7"/>
      <c r="M8" s="8">
        <f>SUM(M9)</f>
        <v>23958071.490000002</v>
      </c>
      <c r="N8" s="8">
        <f>SUM(N9)</f>
        <v>31630464.810000002</v>
      </c>
      <c r="O8" s="8">
        <f>SUM(O9)</f>
        <v>55588536.29999999</v>
      </c>
      <c r="P8" s="7"/>
      <c r="Q8" s="7"/>
      <c r="R8" s="7"/>
      <c r="S8" s="8">
        <f>SUM(S9)</f>
        <v>22896107.140000001</v>
      </c>
      <c r="T8" s="8">
        <f>SUM(T9)</f>
        <v>47445697.219999999</v>
      </c>
      <c r="U8" s="8">
        <f>SUM(U9)</f>
        <v>70341804.359999999</v>
      </c>
      <c r="Y8" s="9">
        <f>SUM(Y9)</f>
        <v>19080089.32</v>
      </c>
      <c r="Z8" s="9">
        <f>SUM(Z9)</f>
        <v>39538081.100000001</v>
      </c>
      <c r="AA8" s="9">
        <f>SUM(AA9)</f>
        <v>58618170.420000002</v>
      </c>
      <c r="AC8" s="4" t="s">
        <v>38</v>
      </c>
    </row>
    <row r="9" spans="1:35" ht="16.95" customHeight="1" x14ac:dyDescent="0.3">
      <c r="A9" s="10" t="s">
        <v>39</v>
      </c>
      <c r="B9" s="10" t="s">
        <v>2</v>
      </c>
      <c r="C9" s="47" t="s">
        <v>40</v>
      </c>
      <c r="D9" s="48"/>
      <c r="E9" s="48"/>
      <c r="F9" s="48"/>
      <c r="G9" s="48"/>
      <c r="H9" s="48"/>
      <c r="I9" s="49"/>
      <c r="M9" s="6">
        <f>SUM(M10,M55)</f>
        <v>23958071.490000002</v>
      </c>
      <c r="N9" s="6">
        <f>SUM(N10,N55)</f>
        <v>31630464.810000002</v>
      </c>
      <c r="O9" s="6">
        <f>SUM(O10,O55)</f>
        <v>55588536.29999999</v>
      </c>
      <c r="S9" s="6">
        <f>SUM(S10,S55)</f>
        <v>22896107.140000001</v>
      </c>
      <c r="T9" s="6">
        <f>SUM(T10,T55)</f>
        <v>47445697.219999999</v>
      </c>
      <c r="U9" s="6">
        <f>SUM(U10,U55)</f>
        <v>70341804.359999999</v>
      </c>
      <c r="Y9" s="9">
        <f>SUM(Y10,Y55)</f>
        <v>19080089.32</v>
      </c>
      <c r="Z9" s="9">
        <f>SUM(Z10,Z55)</f>
        <v>39538081.100000001</v>
      </c>
      <c r="AA9" s="9">
        <f>SUM(AA10,AA55)</f>
        <v>58618170.420000002</v>
      </c>
      <c r="AD9" s="4">
        <v>315889890</v>
      </c>
      <c r="AE9" s="4">
        <v>27245612</v>
      </c>
    </row>
    <row r="10" spans="1:35" ht="16.95" customHeight="1" x14ac:dyDescent="0.3">
      <c r="A10" s="10" t="s">
        <v>41</v>
      </c>
      <c r="B10" s="10" t="s">
        <v>42</v>
      </c>
      <c r="C10" s="47" t="s">
        <v>43</v>
      </c>
      <c r="D10" s="48"/>
      <c r="E10" s="48"/>
      <c r="F10" s="48"/>
      <c r="G10" s="48"/>
      <c r="H10" s="48"/>
      <c r="I10" s="49"/>
      <c r="M10" s="6">
        <f t="shared" ref="M10:O13" si="0">SUM(M11)</f>
        <v>49224.53</v>
      </c>
      <c r="N10" s="6">
        <f t="shared" si="0"/>
        <v>128833.69999999998</v>
      </c>
      <c r="O10" s="6">
        <f t="shared" si="0"/>
        <v>178058.23</v>
      </c>
      <c r="S10" s="6">
        <f t="shared" ref="S10:U13" si="1">SUM(S11)</f>
        <v>123088.61</v>
      </c>
      <c r="T10" s="6">
        <f t="shared" si="1"/>
        <v>193250.55</v>
      </c>
      <c r="U10" s="6">
        <f t="shared" si="1"/>
        <v>316339.16000000003</v>
      </c>
      <c r="Y10" s="9">
        <f t="shared" ref="Y10:AA13" si="2">SUM(Y11)</f>
        <v>102573.83999999998</v>
      </c>
      <c r="Z10" s="9">
        <f t="shared" si="2"/>
        <v>161042.13</v>
      </c>
      <c r="AA10" s="9">
        <f t="shared" si="2"/>
        <v>263615.97000000003</v>
      </c>
      <c r="AD10" s="4">
        <v>315889891</v>
      </c>
      <c r="AE10" s="4">
        <v>27245716</v>
      </c>
    </row>
    <row r="11" spans="1:35" ht="16.95" customHeight="1" x14ac:dyDescent="0.3">
      <c r="A11" s="10" t="s">
        <v>44</v>
      </c>
      <c r="B11" s="10" t="s">
        <v>45</v>
      </c>
      <c r="C11" s="47" t="s">
        <v>46</v>
      </c>
      <c r="D11" s="48"/>
      <c r="E11" s="48"/>
      <c r="F11" s="48"/>
      <c r="G11" s="48"/>
      <c r="H11" s="48"/>
      <c r="I11" s="49"/>
      <c r="M11" s="6">
        <f t="shared" si="0"/>
        <v>49224.53</v>
      </c>
      <c r="N11" s="6">
        <f t="shared" si="0"/>
        <v>128833.69999999998</v>
      </c>
      <c r="O11" s="6">
        <f t="shared" si="0"/>
        <v>178058.23</v>
      </c>
      <c r="S11" s="6">
        <f t="shared" si="1"/>
        <v>123088.61</v>
      </c>
      <c r="T11" s="6">
        <f t="shared" si="1"/>
        <v>193250.55</v>
      </c>
      <c r="U11" s="6">
        <f t="shared" si="1"/>
        <v>316339.16000000003</v>
      </c>
      <c r="Y11" s="9">
        <f t="shared" si="2"/>
        <v>102573.83999999998</v>
      </c>
      <c r="Z11" s="9">
        <f t="shared" si="2"/>
        <v>161042.13</v>
      </c>
      <c r="AA11" s="9">
        <f t="shared" si="2"/>
        <v>263615.97000000003</v>
      </c>
      <c r="AD11" s="4">
        <v>315889892</v>
      </c>
      <c r="AE11" s="4">
        <v>27245640</v>
      </c>
    </row>
    <row r="12" spans="1:35" ht="16.95" customHeight="1" x14ac:dyDescent="0.3">
      <c r="A12" s="10" t="s">
        <v>47</v>
      </c>
      <c r="B12" s="10" t="s">
        <v>48</v>
      </c>
      <c r="C12" s="47" t="s">
        <v>49</v>
      </c>
      <c r="D12" s="48"/>
      <c r="E12" s="48"/>
      <c r="F12" s="48"/>
      <c r="G12" s="48"/>
      <c r="H12" s="48"/>
      <c r="I12" s="49"/>
      <c r="M12" s="6">
        <f t="shared" si="0"/>
        <v>49224.53</v>
      </c>
      <c r="N12" s="6">
        <f t="shared" si="0"/>
        <v>128833.69999999998</v>
      </c>
      <c r="O12" s="6">
        <f t="shared" si="0"/>
        <v>178058.23</v>
      </c>
      <c r="S12" s="6">
        <f t="shared" si="1"/>
        <v>123088.61</v>
      </c>
      <c r="T12" s="6">
        <f t="shared" si="1"/>
        <v>193250.55</v>
      </c>
      <c r="U12" s="6">
        <f t="shared" si="1"/>
        <v>316339.16000000003</v>
      </c>
      <c r="Y12" s="9">
        <f t="shared" si="2"/>
        <v>102573.83999999998</v>
      </c>
      <c r="Z12" s="9">
        <f t="shared" si="2"/>
        <v>161042.13</v>
      </c>
      <c r="AA12" s="9">
        <f t="shared" si="2"/>
        <v>263615.97000000003</v>
      </c>
      <c r="AD12" s="4">
        <v>315889893</v>
      </c>
      <c r="AE12" s="4">
        <v>27245618</v>
      </c>
    </row>
    <row r="13" spans="1:35" ht="16.95" customHeight="1" x14ac:dyDescent="0.3">
      <c r="A13" s="10" t="s">
        <v>50</v>
      </c>
      <c r="B13" s="10" t="s">
        <v>51</v>
      </c>
      <c r="C13" s="47" t="s">
        <v>52</v>
      </c>
      <c r="D13" s="48"/>
      <c r="E13" s="48"/>
      <c r="F13" s="48"/>
      <c r="G13" s="48"/>
      <c r="H13" s="48"/>
      <c r="I13" s="49"/>
      <c r="M13" s="6">
        <f t="shared" si="0"/>
        <v>49224.53</v>
      </c>
      <c r="N13" s="6">
        <f t="shared" si="0"/>
        <v>128833.69999999998</v>
      </c>
      <c r="O13" s="6">
        <f t="shared" si="0"/>
        <v>178058.23</v>
      </c>
      <c r="S13" s="6">
        <f t="shared" si="1"/>
        <v>123088.61</v>
      </c>
      <c r="T13" s="6">
        <f t="shared" si="1"/>
        <v>193250.55</v>
      </c>
      <c r="U13" s="6">
        <f t="shared" si="1"/>
        <v>316339.16000000003</v>
      </c>
      <c r="Y13" s="9">
        <f t="shared" si="2"/>
        <v>102573.83999999998</v>
      </c>
      <c r="Z13" s="9">
        <f t="shared" si="2"/>
        <v>161042.13</v>
      </c>
      <c r="AA13" s="9">
        <f t="shared" si="2"/>
        <v>263615.97000000003</v>
      </c>
      <c r="AD13" s="4">
        <v>315889894</v>
      </c>
      <c r="AE13" s="4">
        <v>27245643</v>
      </c>
    </row>
    <row r="14" spans="1:35" ht="16.95" customHeight="1" x14ac:dyDescent="0.3">
      <c r="A14" s="10" t="s">
        <v>53</v>
      </c>
      <c r="B14" s="10" t="s">
        <v>54</v>
      </c>
      <c r="C14" s="47" t="s">
        <v>55</v>
      </c>
      <c r="D14" s="48"/>
      <c r="E14" s="48"/>
      <c r="F14" s="48"/>
      <c r="G14" s="48"/>
      <c r="H14" s="48"/>
      <c r="I14" s="49"/>
      <c r="M14" s="6">
        <f>SUM(M15,M20,M25,M30,M35,M40,M45,M50)</f>
        <v>49224.53</v>
      </c>
      <c r="N14" s="6">
        <f>SUM(N15,N20,N25,N30,N35,N40,N45,N50)</f>
        <v>128833.69999999998</v>
      </c>
      <c r="O14" s="6">
        <f>SUM(O15,O20,O25,O30,O35,O40,O45,O50)</f>
        <v>178058.23</v>
      </c>
      <c r="S14" s="6">
        <f>SUM(S15,S20,S25,S30,S35,S40,S45,S50)</f>
        <v>123088.61</v>
      </c>
      <c r="T14" s="6">
        <f>SUM(T15,T20,T25,T30,T35,T40,T45,T50)</f>
        <v>193250.55</v>
      </c>
      <c r="U14" s="6">
        <f>SUM(U15,U20,U25,U30,U35,U40,U45,U50)</f>
        <v>316339.16000000003</v>
      </c>
      <c r="Y14" s="9">
        <f>SUM(Y15,Y20,Y25,Y30,Y35,Y40,Y45,Y50)</f>
        <v>102573.83999999998</v>
      </c>
      <c r="Z14" s="9">
        <f>SUM(Z15,Z20,Z25,Z30,Z35,Z40,Z45,Z50)</f>
        <v>161042.13</v>
      </c>
      <c r="AA14" s="9">
        <f>SUM(AA15,AA20,AA25,AA30,AA35,AA40,AA45,AA50)</f>
        <v>263615.97000000003</v>
      </c>
      <c r="AD14" s="4">
        <v>315889895</v>
      </c>
      <c r="AE14" s="4">
        <v>27245619</v>
      </c>
    </row>
    <row r="15" spans="1:35" ht="36" x14ac:dyDescent="0.3">
      <c r="A15" s="10" t="s">
        <v>56</v>
      </c>
      <c r="B15" s="10" t="s">
        <v>57</v>
      </c>
      <c r="C15" s="11" t="s">
        <v>58</v>
      </c>
      <c r="D15" s="12"/>
      <c r="E15" s="12"/>
      <c r="F15" s="12" t="s">
        <v>59</v>
      </c>
      <c r="G15" s="13">
        <v>1</v>
      </c>
      <c r="H15" s="13"/>
      <c r="I15" s="13">
        <v>0</v>
      </c>
      <c r="J15" s="14">
        <v>0</v>
      </c>
      <c r="K15" s="15">
        <v>2293</v>
      </c>
      <c r="L15" s="14">
        <f>J15+ROUND(K15, 2)</f>
        <v>2293</v>
      </c>
      <c r="M15" s="14">
        <v>0</v>
      </c>
      <c r="N15" s="14">
        <v>0</v>
      </c>
      <c r="O15" s="14">
        <f>M15+N15</f>
        <v>0</v>
      </c>
      <c r="P15" s="14">
        <v>877.6</v>
      </c>
      <c r="Q15" s="15">
        <v>2293</v>
      </c>
      <c r="R15" s="14">
        <f>P15+ROUND(Q15, 2)</f>
        <v>3170.6</v>
      </c>
      <c r="S15" s="14">
        <v>0</v>
      </c>
      <c r="T15" s="14">
        <v>0</v>
      </c>
      <c r="U15" s="14">
        <f>S15+T15</f>
        <v>0</v>
      </c>
      <c r="V15" s="9">
        <f>ROUND(P15 / 1.2, 2)</f>
        <v>731.33</v>
      </c>
      <c r="W15" s="9">
        <f>ROUND(Q15 / 1.2, 2)</f>
        <v>1910.83</v>
      </c>
      <c r="X15" s="9">
        <f>ROUND(R15 / 1.2, 2)</f>
        <v>2642.17</v>
      </c>
      <c r="Y15" s="9">
        <f>ROUND(S15 / 1.2, 2)</f>
        <v>0</v>
      </c>
      <c r="Z15" s="9">
        <f>ROUND(T15 / 1.2, 2)</f>
        <v>0</v>
      </c>
      <c r="AA15" s="9">
        <f>Y15+Z15</f>
        <v>0</v>
      </c>
      <c r="AD15" s="4">
        <v>315889897</v>
      </c>
      <c r="AE15" s="4">
        <v>27245632</v>
      </c>
      <c r="AG15" s="4" t="s">
        <v>60</v>
      </c>
      <c r="AH15" s="4" t="s">
        <v>61</v>
      </c>
      <c r="AI15" s="4" t="s">
        <v>62</v>
      </c>
    </row>
    <row r="16" spans="1:35" ht="54" x14ac:dyDescent="0.3">
      <c r="A16" s="10" t="s">
        <v>63</v>
      </c>
      <c r="B16" s="10"/>
      <c r="C16" s="16" t="s">
        <v>64</v>
      </c>
      <c r="D16" s="12"/>
      <c r="E16" s="12"/>
      <c r="F16" s="17" t="s">
        <v>65</v>
      </c>
      <c r="G16" s="18">
        <v>1</v>
      </c>
      <c r="H16" s="18"/>
      <c r="I16" s="18">
        <v>0</v>
      </c>
      <c r="J16" s="19">
        <v>102.33</v>
      </c>
      <c r="M16" s="20">
        <f>ROUND(ROUND(J16, 2)*I16, 2)</f>
        <v>0</v>
      </c>
      <c r="P16" s="19">
        <v>102.33</v>
      </c>
      <c r="S16" s="20">
        <f>ROUND(ROUND(P16, 2)*I16, 2)</f>
        <v>0</v>
      </c>
      <c r="V16" s="9">
        <f>ROUND(ROUND(P16, 2)/1.2, 2)</f>
        <v>85.28</v>
      </c>
      <c r="Y16" s="9">
        <f t="shared" ref="Y16:Y54" si="3">ROUND(S16 / 1.2, 2)</f>
        <v>0</v>
      </c>
      <c r="AD16" s="4" t="s">
        <v>66</v>
      </c>
      <c r="AE16" s="4" t="s">
        <v>67</v>
      </c>
      <c r="AF16" s="4" t="s">
        <v>68</v>
      </c>
    </row>
    <row r="17" spans="1:35" ht="36" x14ac:dyDescent="0.3">
      <c r="A17" s="10" t="s">
        <v>69</v>
      </c>
      <c r="B17" s="10"/>
      <c r="C17" s="21" t="s">
        <v>70</v>
      </c>
      <c r="D17" s="12"/>
      <c r="E17" s="12"/>
      <c r="F17" s="17" t="s">
        <v>59</v>
      </c>
      <c r="G17" s="18">
        <v>4.2</v>
      </c>
      <c r="H17" s="18"/>
      <c r="I17" s="18">
        <v>0</v>
      </c>
      <c r="J17" s="19">
        <v>104.57</v>
      </c>
      <c r="M17" s="20">
        <f>ROUND(ROUND(J17, 2)*I17, 2)</f>
        <v>0</v>
      </c>
      <c r="P17" s="19">
        <v>104.57</v>
      </c>
      <c r="S17" s="20">
        <f>ROUND(ROUND(P17, 2)*I17, 2)</f>
        <v>0</v>
      </c>
      <c r="V17" s="9">
        <f>ROUND(ROUND(P17, 2)/1.2, 2)</f>
        <v>87.14</v>
      </c>
      <c r="Y17" s="9">
        <f t="shared" si="3"/>
        <v>0</v>
      </c>
      <c r="AD17" s="4" t="s">
        <v>71</v>
      </c>
      <c r="AE17" s="4" t="s">
        <v>72</v>
      </c>
      <c r="AF17" s="4" t="s">
        <v>73</v>
      </c>
    </row>
    <row r="18" spans="1:35" ht="18" x14ac:dyDescent="0.3">
      <c r="A18" s="10" t="s">
        <v>74</v>
      </c>
      <c r="B18" s="10"/>
      <c r="C18" s="21" t="s">
        <v>75</v>
      </c>
      <c r="D18" s="12"/>
      <c r="E18" s="12"/>
      <c r="F18" s="17" t="s">
        <v>76</v>
      </c>
      <c r="G18" s="18">
        <v>4.07</v>
      </c>
      <c r="H18" s="22"/>
      <c r="I18" s="22">
        <v>0</v>
      </c>
      <c r="J18" s="19">
        <v>64.56</v>
      </c>
      <c r="M18" s="20">
        <f>ROUND(ROUND(J18, 2)*I18, 2)</f>
        <v>0</v>
      </c>
      <c r="P18" s="19">
        <v>64.56</v>
      </c>
      <c r="S18" s="20">
        <f>ROUND(ROUND(P18, 2)*I18, 2)</f>
        <v>0</v>
      </c>
      <c r="V18" s="9">
        <f>ROUND(ROUND(P18, 2)/1.2, 2)</f>
        <v>53.8</v>
      </c>
      <c r="Y18" s="9">
        <f t="shared" si="3"/>
        <v>0</v>
      </c>
      <c r="AD18" s="4" t="s">
        <v>77</v>
      </c>
      <c r="AE18" s="4" t="s">
        <v>78</v>
      </c>
      <c r="AF18" s="4" t="s">
        <v>79</v>
      </c>
    </row>
    <row r="19" spans="1:35" ht="18" x14ac:dyDescent="0.3">
      <c r="A19" s="10" t="s">
        <v>80</v>
      </c>
      <c r="B19" s="10"/>
      <c r="C19" s="21" t="s">
        <v>81</v>
      </c>
      <c r="D19" s="12"/>
      <c r="E19" s="12"/>
      <c r="F19" s="17" t="s">
        <v>76</v>
      </c>
      <c r="G19" s="18">
        <v>1.42</v>
      </c>
      <c r="H19" s="22"/>
      <c r="I19" s="22">
        <v>0</v>
      </c>
      <c r="J19" s="19">
        <v>51.63</v>
      </c>
      <c r="M19" s="20">
        <f>ROUND(ROUND(J19, 2)*I19, 2)</f>
        <v>0</v>
      </c>
      <c r="P19" s="19">
        <v>51.63</v>
      </c>
      <c r="S19" s="20">
        <f>ROUND(ROUND(P19, 2)*I19, 2)</f>
        <v>0</v>
      </c>
      <c r="V19" s="9">
        <f>ROUND(ROUND(P19, 2)/1.2, 2)</f>
        <v>43.03</v>
      </c>
      <c r="Y19" s="9">
        <f t="shared" si="3"/>
        <v>0</v>
      </c>
      <c r="AD19" s="4" t="s">
        <v>82</v>
      </c>
      <c r="AE19" s="4" t="s">
        <v>83</v>
      </c>
      <c r="AF19" s="4" t="s">
        <v>84</v>
      </c>
    </row>
    <row r="20" spans="1:35" ht="36" x14ac:dyDescent="0.3">
      <c r="A20" s="10" t="s">
        <v>85</v>
      </c>
      <c r="B20" s="10" t="s">
        <v>57</v>
      </c>
      <c r="C20" s="11" t="s">
        <v>58</v>
      </c>
      <c r="D20" s="12"/>
      <c r="E20" s="12"/>
      <c r="F20" s="12" t="s">
        <v>59</v>
      </c>
      <c r="G20" s="13">
        <v>1</v>
      </c>
      <c r="H20" s="13"/>
      <c r="I20" s="13">
        <v>0</v>
      </c>
      <c r="J20" s="14">
        <v>0</v>
      </c>
      <c r="K20" s="15">
        <v>2293</v>
      </c>
      <c r="L20" s="14">
        <f>J20+ROUND(K20, 2)</f>
        <v>2293</v>
      </c>
      <c r="M20" s="14">
        <v>0</v>
      </c>
      <c r="N20" s="14">
        <v>0</v>
      </c>
      <c r="O20" s="14">
        <f>M20+N20</f>
        <v>0</v>
      </c>
      <c r="P20" s="14">
        <v>3631.1</v>
      </c>
      <c r="Q20" s="15">
        <v>2293</v>
      </c>
      <c r="R20" s="14">
        <f>P20+ROUND(Q20, 2)</f>
        <v>5924.1</v>
      </c>
      <c r="S20" s="14">
        <v>0</v>
      </c>
      <c r="T20" s="14">
        <v>0</v>
      </c>
      <c r="U20" s="14">
        <f>S20+T20</f>
        <v>0</v>
      </c>
      <c r="V20" s="9">
        <f>ROUND(P20 / 1.2, 2)</f>
        <v>3025.92</v>
      </c>
      <c r="W20" s="9">
        <f>ROUND(Q20 / 1.2, 2)</f>
        <v>1910.83</v>
      </c>
      <c r="X20" s="9">
        <f>ROUND(R20 / 1.2, 2)</f>
        <v>4936.75</v>
      </c>
      <c r="Y20" s="9">
        <f t="shared" si="3"/>
        <v>0</v>
      </c>
      <c r="Z20" s="9">
        <f>ROUND(T20 / 1.2, 2)</f>
        <v>0</v>
      </c>
      <c r="AA20" s="9">
        <f>Y20+Z20</f>
        <v>0</v>
      </c>
      <c r="AD20" s="4">
        <v>315889898</v>
      </c>
      <c r="AE20" s="4">
        <v>27245633</v>
      </c>
      <c r="AG20" s="4" t="s">
        <v>60</v>
      </c>
      <c r="AH20" s="4" t="s">
        <v>61</v>
      </c>
      <c r="AI20" s="4" t="s">
        <v>62</v>
      </c>
    </row>
    <row r="21" spans="1:35" ht="18" x14ac:dyDescent="0.3">
      <c r="A21" s="10" t="s">
        <v>86</v>
      </c>
      <c r="B21" s="10"/>
      <c r="C21" s="21" t="s">
        <v>75</v>
      </c>
      <c r="D21" s="12"/>
      <c r="E21" s="12"/>
      <c r="F21" s="17" t="s">
        <v>76</v>
      </c>
      <c r="G21" s="18">
        <v>4.07</v>
      </c>
      <c r="H21" s="22"/>
      <c r="I21" s="22">
        <v>0</v>
      </c>
      <c r="J21" s="19">
        <v>64.56</v>
      </c>
      <c r="M21" s="20">
        <f>ROUND(ROUND(J21, 2)*I21, 2)</f>
        <v>0</v>
      </c>
      <c r="P21" s="19">
        <v>64.56</v>
      </c>
      <c r="S21" s="20">
        <f>ROUND(ROUND(P21, 2)*I21, 2)</f>
        <v>0</v>
      </c>
      <c r="V21" s="9">
        <f>ROUND(ROUND(P21, 2)/1.2, 2)</f>
        <v>53.8</v>
      </c>
      <c r="Y21" s="9">
        <f t="shared" si="3"/>
        <v>0</v>
      </c>
      <c r="AD21" s="4" t="s">
        <v>87</v>
      </c>
      <c r="AE21" s="4" t="s">
        <v>88</v>
      </c>
      <c r="AF21" s="4" t="s">
        <v>79</v>
      </c>
    </row>
    <row r="22" spans="1:35" ht="18" x14ac:dyDescent="0.3">
      <c r="A22" s="10" t="s">
        <v>89</v>
      </c>
      <c r="B22" s="10"/>
      <c r="C22" s="21" t="s">
        <v>81</v>
      </c>
      <c r="D22" s="12"/>
      <c r="E22" s="12"/>
      <c r="F22" s="17" t="s">
        <v>76</v>
      </c>
      <c r="G22" s="18">
        <v>1.42</v>
      </c>
      <c r="H22" s="22"/>
      <c r="I22" s="22">
        <v>0</v>
      </c>
      <c r="J22" s="19">
        <v>51.63</v>
      </c>
      <c r="M22" s="20">
        <f>ROUND(ROUND(J22, 2)*I22, 2)</f>
        <v>0</v>
      </c>
      <c r="P22" s="19">
        <v>51.63</v>
      </c>
      <c r="S22" s="20">
        <f>ROUND(ROUND(P22, 2)*I22, 2)</f>
        <v>0</v>
      </c>
      <c r="V22" s="9">
        <f>ROUND(ROUND(P22, 2)/1.2, 2)</f>
        <v>43.03</v>
      </c>
      <c r="Y22" s="9">
        <f t="shared" si="3"/>
        <v>0</v>
      </c>
      <c r="AD22" s="4" t="s">
        <v>90</v>
      </c>
      <c r="AE22" s="4" t="s">
        <v>91</v>
      </c>
      <c r="AF22" s="4" t="s">
        <v>84</v>
      </c>
    </row>
    <row r="23" spans="1:35" ht="36" x14ac:dyDescent="0.3">
      <c r="A23" s="10" t="s">
        <v>92</v>
      </c>
      <c r="B23" s="10"/>
      <c r="C23" s="16" t="s">
        <v>93</v>
      </c>
      <c r="D23" s="12"/>
      <c r="E23" s="12"/>
      <c r="F23" s="17" t="s">
        <v>59</v>
      </c>
      <c r="G23" s="18">
        <v>2.1</v>
      </c>
      <c r="H23" s="18"/>
      <c r="I23" s="18">
        <v>0</v>
      </c>
      <c r="J23" s="19">
        <v>135.53</v>
      </c>
      <c r="M23" s="20">
        <f>ROUND(ROUND(J23, 2)*I23, 2)</f>
        <v>0</v>
      </c>
      <c r="P23" s="19">
        <v>1520.33</v>
      </c>
      <c r="S23" s="20">
        <f>ROUND(ROUND(P23, 2)*I23, 2)</f>
        <v>0</v>
      </c>
      <c r="V23" s="9">
        <f>ROUND(ROUND(P23, 2)/1.2, 2)</f>
        <v>1266.94</v>
      </c>
      <c r="Y23" s="9">
        <f t="shared" si="3"/>
        <v>0</v>
      </c>
      <c r="AD23" s="4" t="s">
        <v>94</v>
      </c>
      <c r="AE23" s="4" t="s">
        <v>95</v>
      </c>
      <c r="AF23" s="4" t="s">
        <v>96</v>
      </c>
    </row>
    <row r="24" spans="1:35" ht="54" x14ac:dyDescent="0.3">
      <c r="A24" s="10" t="s">
        <v>97</v>
      </c>
      <c r="B24" s="10"/>
      <c r="C24" s="16" t="s">
        <v>64</v>
      </c>
      <c r="D24" s="12"/>
      <c r="E24" s="12"/>
      <c r="F24" s="17" t="s">
        <v>65</v>
      </c>
      <c r="G24" s="18">
        <v>1</v>
      </c>
      <c r="H24" s="18"/>
      <c r="I24" s="18">
        <v>0</v>
      </c>
      <c r="J24" s="19">
        <v>102.33</v>
      </c>
      <c r="M24" s="20">
        <f>ROUND(ROUND(J24, 2)*I24, 2)</f>
        <v>0</v>
      </c>
      <c r="P24" s="19">
        <v>102.33</v>
      </c>
      <c r="S24" s="20">
        <f>ROUND(ROUND(P24, 2)*I24, 2)</f>
        <v>0</v>
      </c>
      <c r="V24" s="9">
        <f>ROUND(ROUND(P24, 2)/1.2, 2)</f>
        <v>85.28</v>
      </c>
      <c r="Y24" s="9">
        <f t="shared" si="3"/>
        <v>0</v>
      </c>
      <c r="AD24" s="4" t="s">
        <v>98</v>
      </c>
      <c r="AE24" s="4" t="s">
        <v>99</v>
      </c>
      <c r="AF24" s="4" t="s">
        <v>68</v>
      </c>
    </row>
    <row r="25" spans="1:35" ht="162" x14ac:dyDescent="0.3">
      <c r="A25" s="10" t="s">
        <v>100</v>
      </c>
      <c r="B25" s="10" t="s">
        <v>57</v>
      </c>
      <c r="C25" s="11" t="s">
        <v>58</v>
      </c>
      <c r="D25" s="12"/>
      <c r="E25" s="12" t="s">
        <v>101</v>
      </c>
      <c r="F25" s="12" t="s">
        <v>59</v>
      </c>
      <c r="G25" s="13">
        <v>1</v>
      </c>
      <c r="H25" s="13"/>
      <c r="I25" s="13">
        <v>6.3</v>
      </c>
      <c r="J25" s="14">
        <v>877.62</v>
      </c>
      <c r="K25" s="15">
        <v>2293</v>
      </c>
      <c r="L25" s="14">
        <f>J25+ROUND(K25, 2)</f>
        <v>3170.62</v>
      </c>
      <c r="M25" s="14">
        <v>5529.01</v>
      </c>
      <c r="N25" s="14">
        <v>14445.9</v>
      </c>
      <c r="O25" s="14">
        <f>M25+N25</f>
        <v>19974.91</v>
      </c>
      <c r="P25" s="14">
        <v>877.6</v>
      </c>
      <c r="Q25" s="15">
        <v>3439.5</v>
      </c>
      <c r="R25" s="14">
        <f>P25+ROUND(Q25, 2)</f>
        <v>4317.1000000000004</v>
      </c>
      <c r="S25" s="14">
        <v>5528.88</v>
      </c>
      <c r="T25" s="14">
        <v>21668.85</v>
      </c>
      <c r="U25" s="14">
        <f>S25+T25</f>
        <v>27197.73</v>
      </c>
      <c r="V25" s="9">
        <f>ROUND(P25 / 1.2, 2)</f>
        <v>731.33</v>
      </c>
      <c r="W25" s="9">
        <f>ROUND(Q25 / 1.2, 2)</f>
        <v>2866.25</v>
      </c>
      <c r="X25" s="9">
        <f>ROUND(R25 / 1.2, 2)</f>
        <v>3597.58</v>
      </c>
      <c r="Y25" s="9">
        <f t="shared" si="3"/>
        <v>4607.3999999999996</v>
      </c>
      <c r="Z25" s="9">
        <f>ROUND(T25 / 1.2, 2)</f>
        <v>18057.38</v>
      </c>
      <c r="AA25" s="9">
        <f>Y25+Z25</f>
        <v>22664.78</v>
      </c>
      <c r="AD25" s="4">
        <v>315889899</v>
      </c>
      <c r="AE25" s="4">
        <v>27245768</v>
      </c>
      <c r="AG25" s="4" t="s">
        <v>60</v>
      </c>
      <c r="AH25" s="4" t="s">
        <v>61</v>
      </c>
      <c r="AI25" s="4" t="s">
        <v>62</v>
      </c>
    </row>
    <row r="26" spans="1:35" ht="54" x14ac:dyDescent="0.3">
      <c r="A26" s="10" t="s">
        <v>102</v>
      </c>
      <c r="B26" s="10"/>
      <c r="C26" s="16" t="s">
        <v>64</v>
      </c>
      <c r="D26" s="12"/>
      <c r="E26" s="12"/>
      <c r="F26" s="17" t="s">
        <v>65</v>
      </c>
      <c r="G26" s="18">
        <v>1</v>
      </c>
      <c r="H26" s="18"/>
      <c r="I26" s="18">
        <v>6.3</v>
      </c>
      <c r="J26" s="19">
        <v>102.34</v>
      </c>
      <c r="M26" s="20">
        <f>ROUND(ROUND(J26, 2)*I26, 2)</f>
        <v>644.74</v>
      </c>
      <c r="P26" s="19">
        <v>102.33</v>
      </c>
      <c r="S26" s="20">
        <f>ROUND(ROUND(P26, 2)*I26, 2)</f>
        <v>644.67999999999995</v>
      </c>
      <c r="V26" s="9">
        <f>ROUND(ROUND(P26, 2)/1.2, 2)</f>
        <v>85.28</v>
      </c>
      <c r="Y26" s="9">
        <f t="shared" si="3"/>
        <v>537.23</v>
      </c>
      <c r="AD26" s="4" t="s">
        <v>103</v>
      </c>
      <c r="AE26" s="4" t="s">
        <v>104</v>
      </c>
      <c r="AF26" s="4" t="s">
        <v>68</v>
      </c>
    </row>
    <row r="27" spans="1:35" ht="36" x14ac:dyDescent="0.3">
      <c r="A27" s="10" t="s">
        <v>105</v>
      </c>
      <c r="B27" s="10"/>
      <c r="C27" s="21" t="s">
        <v>70</v>
      </c>
      <c r="D27" s="12"/>
      <c r="E27" s="12"/>
      <c r="F27" s="17" t="s">
        <v>59</v>
      </c>
      <c r="G27" s="18">
        <v>4.2</v>
      </c>
      <c r="H27" s="18"/>
      <c r="I27" s="18">
        <v>26.46</v>
      </c>
      <c r="J27" s="19">
        <v>104.57</v>
      </c>
      <c r="M27" s="20">
        <f>ROUND(ROUND(J27, 2)*I27, 2)</f>
        <v>2766.92</v>
      </c>
      <c r="P27" s="19">
        <v>104.57</v>
      </c>
      <c r="S27" s="20">
        <f>ROUND(ROUND(P27, 2)*I27, 2)</f>
        <v>2766.92</v>
      </c>
      <c r="V27" s="9">
        <f>ROUND(ROUND(P27, 2)/1.2, 2)</f>
        <v>87.14</v>
      </c>
      <c r="Y27" s="9">
        <f t="shared" si="3"/>
        <v>2305.77</v>
      </c>
      <c r="AD27" s="4" t="s">
        <v>106</v>
      </c>
      <c r="AE27" s="4" t="s">
        <v>107</v>
      </c>
      <c r="AF27" s="4" t="s">
        <v>73</v>
      </c>
    </row>
    <row r="28" spans="1:35" ht="18" x14ac:dyDescent="0.3">
      <c r="A28" s="10" t="s">
        <v>108</v>
      </c>
      <c r="B28" s="10"/>
      <c r="C28" s="21" t="s">
        <v>75</v>
      </c>
      <c r="D28" s="12"/>
      <c r="E28" s="12"/>
      <c r="F28" s="17" t="s">
        <v>76</v>
      </c>
      <c r="G28" s="18">
        <v>4.07</v>
      </c>
      <c r="H28" s="22"/>
      <c r="I28" s="22">
        <v>25.640999999999998</v>
      </c>
      <c r="J28" s="19">
        <v>64.56</v>
      </c>
      <c r="M28" s="20">
        <f>ROUND(ROUND(J28, 2)*I28, 2)</f>
        <v>1655.38</v>
      </c>
      <c r="P28" s="19">
        <v>64.56</v>
      </c>
      <c r="S28" s="20">
        <f>ROUND(ROUND(P28, 2)*I28, 2)</f>
        <v>1655.38</v>
      </c>
      <c r="V28" s="9">
        <f>ROUND(ROUND(P28, 2)/1.2, 2)</f>
        <v>53.8</v>
      </c>
      <c r="Y28" s="9">
        <f t="shared" si="3"/>
        <v>1379.48</v>
      </c>
      <c r="AD28" s="4" t="s">
        <v>109</v>
      </c>
      <c r="AE28" s="4" t="s">
        <v>110</v>
      </c>
      <c r="AF28" s="4" t="s">
        <v>79</v>
      </c>
    </row>
    <row r="29" spans="1:35" ht="18" x14ac:dyDescent="0.3">
      <c r="A29" s="10" t="s">
        <v>111</v>
      </c>
      <c r="B29" s="10"/>
      <c r="C29" s="21" t="s">
        <v>81</v>
      </c>
      <c r="D29" s="12"/>
      <c r="E29" s="12"/>
      <c r="F29" s="17" t="s">
        <v>76</v>
      </c>
      <c r="G29" s="18">
        <v>1.42</v>
      </c>
      <c r="H29" s="22"/>
      <c r="I29" s="22">
        <v>8.9459999999999997</v>
      </c>
      <c r="J29" s="19">
        <v>51.64</v>
      </c>
      <c r="M29" s="20">
        <f>ROUND(ROUND(J29, 2)*I29, 2)</f>
        <v>461.97</v>
      </c>
      <c r="P29" s="19">
        <v>51.63</v>
      </c>
      <c r="S29" s="20">
        <f>ROUND(ROUND(P29, 2)*I29, 2)</f>
        <v>461.88</v>
      </c>
      <c r="V29" s="9">
        <f>ROUND(ROUND(P29, 2)/1.2, 2)</f>
        <v>43.03</v>
      </c>
      <c r="Y29" s="9">
        <f t="shared" si="3"/>
        <v>384.9</v>
      </c>
      <c r="AD29" s="4" t="s">
        <v>112</v>
      </c>
      <c r="AE29" s="4" t="s">
        <v>113</v>
      </c>
      <c r="AF29" s="4" t="s">
        <v>84</v>
      </c>
    </row>
    <row r="30" spans="1:35" ht="198" x14ac:dyDescent="0.3">
      <c r="A30" s="10" t="s">
        <v>114</v>
      </c>
      <c r="B30" s="10" t="s">
        <v>57</v>
      </c>
      <c r="C30" s="11" t="s">
        <v>58</v>
      </c>
      <c r="D30" s="12"/>
      <c r="E30" s="12" t="s">
        <v>115</v>
      </c>
      <c r="F30" s="12" t="s">
        <v>59</v>
      </c>
      <c r="G30" s="13">
        <v>1</v>
      </c>
      <c r="H30" s="13"/>
      <c r="I30" s="13">
        <v>25.4</v>
      </c>
      <c r="J30" s="14">
        <v>723.04</v>
      </c>
      <c r="K30" s="15">
        <v>2293</v>
      </c>
      <c r="L30" s="14">
        <f>J30+ROUND(K30, 2)</f>
        <v>3016.04</v>
      </c>
      <c r="M30" s="14">
        <v>18365.22</v>
      </c>
      <c r="N30" s="14">
        <v>58242.2</v>
      </c>
      <c r="O30" s="14">
        <f>M30+N30</f>
        <v>76607.42</v>
      </c>
      <c r="P30" s="14">
        <v>3631.1</v>
      </c>
      <c r="Q30" s="15">
        <v>3439.5</v>
      </c>
      <c r="R30" s="14">
        <f>P30+ROUND(Q30, 2)</f>
        <v>7070.6</v>
      </c>
      <c r="S30" s="14">
        <v>92229.94</v>
      </c>
      <c r="T30" s="14">
        <v>87363.3</v>
      </c>
      <c r="U30" s="14">
        <f>S30+T30</f>
        <v>179593.24</v>
      </c>
      <c r="V30" s="9">
        <f>ROUND(P30 / 1.2, 2)</f>
        <v>3025.92</v>
      </c>
      <c r="W30" s="9">
        <f>ROUND(Q30 / 1.2, 2)</f>
        <v>2866.25</v>
      </c>
      <c r="X30" s="9">
        <f>ROUND(R30 / 1.2, 2)</f>
        <v>5892.17</v>
      </c>
      <c r="Y30" s="9">
        <f t="shared" si="3"/>
        <v>76858.28</v>
      </c>
      <c r="Z30" s="9">
        <f>ROUND(T30 / 1.2, 2)</f>
        <v>72802.75</v>
      </c>
      <c r="AA30" s="9">
        <f>Y30+Z30</f>
        <v>149661.03</v>
      </c>
      <c r="AD30" s="4">
        <v>315889900</v>
      </c>
      <c r="AE30" s="4">
        <v>27245765</v>
      </c>
      <c r="AG30" s="4" t="s">
        <v>60</v>
      </c>
      <c r="AH30" s="4" t="s">
        <v>61</v>
      </c>
      <c r="AI30" s="4" t="s">
        <v>62</v>
      </c>
    </row>
    <row r="31" spans="1:35" ht="18" x14ac:dyDescent="0.3">
      <c r="A31" s="10" t="s">
        <v>116</v>
      </c>
      <c r="B31" s="10"/>
      <c r="C31" s="21" t="s">
        <v>75</v>
      </c>
      <c r="D31" s="12"/>
      <c r="E31" s="12"/>
      <c r="F31" s="17" t="s">
        <v>76</v>
      </c>
      <c r="G31" s="18">
        <v>4.07</v>
      </c>
      <c r="H31" s="22"/>
      <c r="I31" s="22">
        <v>103.378</v>
      </c>
      <c r="J31" s="19">
        <v>64.56</v>
      </c>
      <c r="M31" s="20">
        <f>ROUND(ROUND(J31, 2)*I31, 2)</f>
        <v>6674.08</v>
      </c>
      <c r="P31" s="19">
        <v>64.56</v>
      </c>
      <c r="S31" s="20">
        <f>ROUND(ROUND(P31, 2)*I31, 2)</f>
        <v>6674.08</v>
      </c>
      <c r="V31" s="9">
        <f>ROUND(ROUND(P31, 2)/1.2, 2)</f>
        <v>53.8</v>
      </c>
      <c r="Y31" s="9">
        <f t="shared" si="3"/>
        <v>5561.73</v>
      </c>
      <c r="AD31" s="4" t="s">
        <v>117</v>
      </c>
      <c r="AE31" s="4" t="s">
        <v>118</v>
      </c>
      <c r="AF31" s="4" t="s">
        <v>79</v>
      </c>
    </row>
    <row r="32" spans="1:35" ht="18" x14ac:dyDescent="0.3">
      <c r="A32" s="10" t="s">
        <v>119</v>
      </c>
      <c r="B32" s="10"/>
      <c r="C32" s="21" t="s">
        <v>81</v>
      </c>
      <c r="D32" s="12"/>
      <c r="E32" s="12"/>
      <c r="F32" s="17" t="s">
        <v>76</v>
      </c>
      <c r="G32" s="18">
        <v>1.42</v>
      </c>
      <c r="H32" s="22"/>
      <c r="I32" s="22">
        <v>36.067999999999998</v>
      </c>
      <c r="J32" s="19">
        <v>51.64</v>
      </c>
      <c r="M32" s="20">
        <f>ROUND(ROUND(J32, 2)*I32, 2)</f>
        <v>1862.55</v>
      </c>
      <c r="P32" s="19">
        <v>51.63</v>
      </c>
      <c r="S32" s="20">
        <f>ROUND(ROUND(P32, 2)*I32, 2)</f>
        <v>1862.19</v>
      </c>
      <c r="V32" s="9">
        <f>ROUND(ROUND(P32, 2)/1.2, 2)</f>
        <v>43.03</v>
      </c>
      <c r="Y32" s="9">
        <f t="shared" si="3"/>
        <v>1551.83</v>
      </c>
      <c r="AD32" s="4" t="s">
        <v>120</v>
      </c>
      <c r="AE32" s="4" t="s">
        <v>121</v>
      </c>
      <c r="AF32" s="4" t="s">
        <v>84</v>
      </c>
    </row>
    <row r="33" spans="1:35" ht="36" x14ac:dyDescent="0.3">
      <c r="A33" s="10" t="s">
        <v>122</v>
      </c>
      <c r="B33" s="10"/>
      <c r="C33" s="16" t="s">
        <v>93</v>
      </c>
      <c r="D33" s="12"/>
      <c r="E33" s="12" t="s">
        <v>123</v>
      </c>
      <c r="F33" s="17" t="s">
        <v>59</v>
      </c>
      <c r="G33" s="18">
        <v>2.1</v>
      </c>
      <c r="H33" s="18"/>
      <c r="I33" s="18">
        <v>53.34</v>
      </c>
      <c r="J33" s="19">
        <v>135.53</v>
      </c>
      <c r="M33" s="20">
        <f>ROUND(ROUND(J33, 2)*I33, 2)</f>
        <v>7229.17</v>
      </c>
      <c r="P33" s="19">
        <v>1520.33</v>
      </c>
      <c r="S33" s="20">
        <f>ROUND(ROUND(P33, 2)*I33, 2)</f>
        <v>81094.399999999994</v>
      </c>
      <c r="V33" s="9">
        <f>ROUND(ROUND(P33, 2)/1.2, 2)</f>
        <v>1266.94</v>
      </c>
      <c r="Y33" s="9">
        <f t="shared" si="3"/>
        <v>67578.67</v>
      </c>
      <c r="AD33" s="4" t="s">
        <v>124</v>
      </c>
      <c r="AE33" s="4" t="s">
        <v>125</v>
      </c>
      <c r="AF33" s="4" t="s">
        <v>96</v>
      </c>
    </row>
    <row r="34" spans="1:35" ht="54" x14ac:dyDescent="0.3">
      <c r="A34" s="10" t="s">
        <v>126</v>
      </c>
      <c r="B34" s="10"/>
      <c r="C34" s="16" t="s">
        <v>64</v>
      </c>
      <c r="D34" s="12"/>
      <c r="E34" s="12"/>
      <c r="F34" s="17" t="s">
        <v>65</v>
      </c>
      <c r="G34" s="18">
        <v>1</v>
      </c>
      <c r="H34" s="18"/>
      <c r="I34" s="18">
        <v>25.4</v>
      </c>
      <c r="J34" s="19">
        <v>102.34</v>
      </c>
      <c r="M34" s="20">
        <f>ROUND(ROUND(J34, 2)*I34, 2)</f>
        <v>2599.44</v>
      </c>
      <c r="P34" s="19">
        <v>102.33</v>
      </c>
      <c r="S34" s="20">
        <f>ROUND(ROUND(P34, 2)*I34, 2)</f>
        <v>2599.1799999999998</v>
      </c>
      <c r="V34" s="9">
        <f>ROUND(ROUND(P34, 2)/1.2, 2)</f>
        <v>85.28</v>
      </c>
      <c r="Y34" s="9">
        <f t="shared" si="3"/>
        <v>2165.98</v>
      </c>
      <c r="AD34" s="4" t="s">
        <v>127</v>
      </c>
      <c r="AE34" s="4" t="s">
        <v>128</v>
      </c>
      <c r="AF34" s="4" t="s">
        <v>68</v>
      </c>
    </row>
    <row r="35" spans="1:35" ht="180" x14ac:dyDescent="0.3">
      <c r="A35" s="10" t="s">
        <v>129</v>
      </c>
      <c r="B35" s="10" t="s">
        <v>130</v>
      </c>
      <c r="C35" s="11" t="s">
        <v>131</v>
      </c>
      <c r="D35" s="12" t="s">
        <v>132</v>
      </c>
      <c r="E35" s="12"/>
      <c r="F35" s="12" t="s">
        <v>59</v>
      </c>
      <c r="G35" s="13">
        <v>1</v>
      </c>
      <c r="H35" s="13"/>
      <c r="I35" s="13">
        <v>0</v>
      </c>
      <c r="J35" s="14">
        <v>0</v>
      </c>
      <c r="K35" s="15">
        <v>1064</v>
      </c>
      <c r="L35" s="14">
        <f>J35+ROUND(K35, 2)</f>
        <v>1064</v>
      </c>
      <c r="M35" s="14">
        <v>0</v>
      </c>
      <c r="N35" s="14">
        <v>0</v>
      </c>
      <c r="O35" s="14">
        <f>M35+N35</f>
        <v>0</v>
      </c>
      <c r="P35" s="14">
        <v>333.37</v>
      </c>
      <c r="Q35" s="15">
        <v>1064</v>
      </c>
      <c r="R35" s="14">
        <f>P35+ROUND(Q35, 2)</f>
        <v>1397.37</v>
      </c>
      <c r="S35" s="14">
        <v>0</v>
      </c>
      <c r="T35" s="14">
        <v>0</v>
      </c>
      <c r="U35" s="14">
        <f>S35+T35</f>
        <v>0</v>
      </c>
      <c r="V35" s="9">
        <f>ROUND(P35 / 1.2, 2)</f>
        <v>277.81</v>
      </c>
      <c r="W35" s="9">
        <f>ROUND(Q35 / 1.2, 2)</f>
        <v>886.67</v>
      </c>
      <c r="X35" s="9">
        <f>ROUND(R35 / 1.2, 2)</f>
        <v>1164.48</v>
      </c>
      <c r="Y35" s="9">
        <f t="shared" si="3"/>
        <v>0</v>
      </c>
      <c r="Z35" s="9">
        <f>ROUND(T35 / 1.2, 2)</f>
        <v>0</v>
      </c>
      <c r="AA35" s="9">
        <f>Y35+Z35</f>
        <v>0</v>
      </c>
      <c r="AD35" s="4">
        <v>315889902</v>
      </c>
      <c r="AE35" s="4">
        <v>27245691</v>
      </c>
      <c r="AG35" s="4" t="s">
        <v>133</v>
      </c>
      <c r="AH35" s="4" t="s">
        <v>134</v>
      </c>
      <c r="AI35" s="4" t="s">
        <v>62</v>
      </c>
    </row>
    <row r="36" spans="1:35" ht="72" x14ac:dyDescent="0.3">
      <c r="A36" s="10" t="s">
        <v>135</v>
      </c>
      <c r="B36" s="10"/>
      <c r="C36" s="16" t="s">
        <v>136</v>
      </c>
      <c r="D36" s="12"/>
      <c r="E36" s="12"/>
      <c r="F36" s="17" t="s">
        <v>65</v>
      </c>
      <c r="G36" s="18">
        <v>1</v>
      </c>
      <c r="H36" s="18"/>
      <c r="I36" s="18">
        <v>0</v>
      </c>
      <c r="J36" s="19">
        <v>43.7</v>
      </c>
      <c r="M36" s="20">
        <f>ROUND(ROUND(J36, 2)*I36, 2)</f>
        <v>0</v>
      </c>
      <c r="P36" s="19">
        <v>43.7</v>
      </c>
      <c r="S36" s="20">
        <f>ROUND(ROUND(P36, 2)*I36, 2)</f>
        <v>0</v>
      </c>
      <c r="V36" s="9">
        <f>ROUND(ROUND(P36, 2)/1.2, 2)</f>
        <v>36.42</v>
      </c>
      <c r="Y36" s="9">
        <f t="shared" si="3"/>
        <v>0</v>
      </c>
      <c r="AD36" s="4" t="s">
        <v>137</v>
      </c>
      <c r="AE36" s="4" t="s">
        <v>138</v>
      </c>
      <c r="AF36" s="4" t="s">
        <v>139</v>
      </c>
    </row>
    <row r="37" spans="1:35" ht="36" x14ac:dyDescent="0.3">
      <c r="A37" s="10" t="s">
        <v>140</v>
      </c>
      <c r="B37" s="10"/>
      <c r="C37" s="21" t="s">
        <v>141</v>
      </c>
      <c r="D37" s="12"/>
      <c r="E37" s="12"/>
      <c r="F37" s="17" t="s">
        <v>59</v>
      </c>
      <c r="G37" s="18">
        <v>1.2</v>
      </c>
      <c r="H37" s="18"/>
      <c r="I37" s="18">
        <v>0</v>
      </c>
      <c r="J37" s="19">
        <v>104.57</v>
      </c>
      <c r="M37" s="20">
        <f>ROUND(ROUND(J37, 2)*I37, 2)</f>
        <v>0</v>
      </c>
      <c r="P37" s="19">
        <v>104.57</v>
      </c>
      <c r="S37" s="20">
        <f>ROUND(ROUND(P37, 2)*I37, 2)</f>
        <v>0</v>
      </c>
      <c r="V37" s="9">
        <f>ROUND(ROUND(P37, 2)/1.2, 2)</f>
        <v>87.14</v>
      </c>
      <c r="Y37" s="9">
        <f t="shared" si="3"/>
        <v>0</v>
      </c>
      <c r="AD37" s="4" t="s">
        <v>142</v>
      </c>
      <c r="AE37" s="4" t="s">
        <v>143</v>
      </c>
      <c r="AF37" s="4" t="s">
        <v>144</v>
      </c>
    </row>
    <row r="38" spans="1:35" ht="18" x14ac:dyDescent="0.3">
      <c r="A38" s="10" t="s">
        <v>145</v>
      </c>
      <c r="B38" s="10"/>
      <c r="C38" s="21" t="s">
        <v>75</v>
      </c>
      <c r="D38" s="12"/>
      <c r="E38" s="12"/>
      <c r="F38" s="17" t="s">
        <v>76</v>
      </c>
      <c r="G38" s="18">
        <v>2.1</v>
      </c>
      <c r="H38" s="18"/>
      <c r="I38" s="18">
        <v>0</v>
      </c>
      <c r="J38" s="19">
        <v>64.56</v>
      </c>
      <c r="M38" s="20">
        <f>ROUND(ROUND(J38, 2)*I38, 2)</f>
        <v>0</v>
      </c>
      <c r="P38" s="19">
        <v>64.56</v>
      </c>
      <c r="S38" s="20">
        <f>ROUND(ROUND(P38, 2)*I38, 2)</f>
        <v>0</v>
      </c>
      <c r="V38" s="9">
        <f>ROUND(ROUND(P38, 2)/1.2, 2)</f>
        <v>53.8</v>
      </c>
      <c r="Y38" s="9">
        <f t="shared" si="3"/>
        <v>0</v>
      </c>
      <c r="AD38" s="4" t="s">
        <v>146</v>
      </c>
      <c r="AE38" s="4" t="s">
        <v>147</v>
      </c>
      <c r="AF38" s="4" t="s">
        <v>79</v>
      </c>
    </row>
    <row r="39" spans="1:35" ht="18" x14ac:dyDescent="0.3">
      <c r="A39" s="10" t="s">
        <v>148</v>
      </c>
      <c r="B39" s="10"/>
      <c r="C39" s="16" t="s">
        <v>149</v>
      </c>
      <c r="D39" s="12"/>
      <c r="E39" s="12"/>
      <c r="F39" s="17" t="s">
        <v>76</v>
      </c>
      <c r="G39" s="18">
        <v>0.8</v>
      </c>
      <c r="H39" s="18"/>
      <c r="I39" s="18">
        <v>0</v>
      </c>
      <c r="J39" s="19">
        <v>35.76</v>
      </c>
      <c r="M39" s="20">
        <f>ROUND(ROUND(J39, 2)*I39, 2)</f>
        <v>0</v>
      </c>
      <c r="P39" s="19">
        <v>35.76</v>
      </c>
      <c r="S39" s="20">
        <f>ROUND(ROUND(P39, 2)*I39, 2)</f>
        <v>0</v>
      </c>
      <c r="V39" s="9">
        <f>ROUND(ROUND(P39, 2)/1.2, 2)</f>
        <v>29.8</v>
      </c>
      <c r="Y39" s="9">
        <f t="shared" si="3"/>
        <v>0</v>
      </c>
      <c r="AD39" s="4" t="s">
        <v>150</v>
      </c>
      <c r="AE39" s="4" t="s">
        <v>151</v>
      </c>
      <c r="AF39" s="4" t="s">
        <v>152</v>
      </c>
    </row>
    <row r="40" spans="1:35" ht="180" x14ac:dyDescent="0.3">
      <c r="A40" s="10" t="s">
        <v>153</v>
      </c>
      <c r="B40" s="10" t="s">
        <v>130</v>
      </c>
      <c r="C40" s="11" t="s">
        <v>131</v>
      </c>
      <c r="D40" s="12" t="s">
        <v>132</v>
      </c>
      <c r="E40" s="12" t="s">
        <v>154</v>
      </c>
      <c r="F40" s="12" t="s">
        <v>59</v>
      </c>
      <c r="G40" s="13">
        <v>1</v>
      </c>
      <c r="H40" s="13"/>
      <c r="I40" s="13">
        <v>45.4</v>
      </c>
      <c r="J40" s="14">
        <v>484.9</v>
      </c>
      <c r="K40" s="15">
        <v>1064</v>
      </c>
      <c r="L40" s="14">
        <f>J40+ROUND(K40, 2)</f>
        <v>1548.9</v>
      </c>
      <c r="M40" s="14">
        <v>22014.46</v>
      </c>
      <c r="N40" s="14">
        <v>48305.599999999999</v>
      </c>
      <c r="O40" s="14">
        <f>M40+N40</f>
        <v>70320.06</v>
      </c>
      <c r="P40" s="14">
        <v>484.89</v>
      </c>
      <c r="Q40" s="15">
        <v>1596</v>
      </c>
      <c r="R40" s="14">
        <f>P40+ROUND(Q40, 2)</f>
        <v>2080.89</v>
      </c>
      <c r="S40" s="14">
        <v>22014.01</v>
      </c>
      <c r="T40" s="14">
        <v>72458.399999999994</v>
      </c>
      <c r="U40" s="14">
        <f>S40+T40</f>
        <v>94472.409999999989</v>
      </c>
      <c r="V40" s="9">
        <f>ROUND(P40 / 1.2, 2)</f>
        <v>404.08</v>
      </c>
      <c r="W40" s="9">
        <f>ROUND(Q40 / 1.2, 2)</f>
        <v>1330</v>
      </c>
      <c r="X40" s="9">
        <f>ROUND(R40 / 1.2, 2)</f>
        <v>1734.08</v>
      </c>
      <c r="Y40" s="9">
        <f t="shared" si="3"/>
        <v>18345.009999999998</v>
      </c>
      <c r="Z40" s="9">
        <f>ROUND(T40 / 1.2, 2)</f>
        <v>60382</v>
      </c>
      <c r="AA40" s="9">
        <f>Y40+Z40</f>
        <v>78727.009999999995</v>
      </c>
      <c r="AD40" s="4">
        <v>315889903</v>
      </c>
      <c r="AE40" s="4">
        <v>27245766</v>
      </c>
      <c r="AG40" s="4" t="s">
        <v>133</v>
      </c>
      <c r="AH40" s="4" t="s">
        <v>134</v>
      </c>
      <c r="AI40" s="4" t="s">
        <v>62</v>
      </c>
    </row>
    <row r="41" spans="1:35" ht="18" x14ac:dyDescent="0.3">
      <c r="A41" s="10" t="s">
        <v>155</v>
      </c>
      <c r="B41" s="10"/>
      <c r="C41" s="16" t="s">
        <v>149</v>
      </c>
      <c r="D41" s="12"/>
      <c r="E41" s="12"/>
      <c r="F41" s="17" t="s">
        <v>76</v>
      </c>
      <c r="G41" s="18">
        <v>0.8</v>
      </c>
      <c r="H41" s="18"/>
      <c r="I41" s="18">
        <v>36.32</v>
      </c>
      <c r="J41" s="19">
        <v>35.76</v>
      </c>
      <c r="M41" s="20">
        <f>ROUND(ROUND(J41, 2)*I41, 2)</f>
        <v>1298.8</v>
      </c>
      <c r="P41" s="19">
        <v>35.76</v>
      </c>
      <c r="S41" s="20">
        <f>ROUND(ROUND(P41, 2)*I41, 2)</f>
        <v>1298.8</v>
      </c>
      <c r="V41" s="9">
        <f>ROUND(ROUND(P41, 2)/1.2, 2)</f>
        <v>29.8</v>
      </c>
      <c r="Y41" s="9">
        <f t="shared" si="3"/>
        <v>1082.33</v>
      </c>
      <c r="AD41" s="4" t="s">
        <v>156</v>
      </c>
      <c r="AE41" s="4" t="s">
        <v>157</v>
      </c>
      <c r="AF41" s="4" t="s">
        <v>152</v>
      </c>
    </row>
    <row r="42" spans="1:35" ht="18" x14ac:dyDescent="0.3">
      <c r="A42" s="10" t="s">
        <v>158</v>
      </c>
      <c r="B42" s="10"/>
      <c r="C42" s="21" t="s">
        <v>81</v>
      </c>
      <c r="D42" s="12"/>
      <c r="E42" s="12"/>
      <c r="F42" s="17" t="s">
        <v>76</v>
      </c>
      <c r="G42" s="18">
        <v>0.8</v>
      </c>
      <c r="H42" s="18"/>
      <c r="I42" s="18">
        <v>36.32</v>
      </c>
      <c r="J42" s="19">
        <v>51.64</v>
      </c>
      <c r="M42" s="20">
        <f>ROUND(ROUND(J42, 2)*I42, 2)</f>
        <v>1875.56</v>
      </c>
      <c r="P42" s="19">
        <v>51.63</v>
      </c>
      <c r="S42" s="20">
        <f>ROUND(ROUND(P42, 2)*I42, 2)</f>
        <v>1875.2</v>
      </c>
      <c r="V42" s="9">
        <f>ROUND(ROUND(P42, 2)/1.2, 2)</f>
        <v>43.03</v>
      </c>
      <c r="Y42" s="9">
        <f t="shared" si="3"/>
        <v>1562.67</v>
      </c>
      <c r="AD42" s="4" t="s">
        <v>159</v>
      </c>
      <c r="AE42" s="4" t="s">
        <v>160</v>
      </c>
      <c r="AF42" s="4" t="s">
        <v>84</v>
      </c>
    </row>
    <row r="43" spans="1:35" ht="18" x14ac:dyDescent="0.3">
      <c r="A43" s="10" t="s">
        <v>161</v>
      </c>
      <c r="B43" s="10"/>
      <c r="C43" s="21" t="s">
        <v>162</v>
      </c>
      <c r="D43" s="12"/>
      <c r="E43" s="12"/>
      <c r="F43" s="17" t="s">
        <v>59</v>
      </c>
      <c r="G43" s="18">
        <v>1.2</v>
      </c>
      <c r="H43" s="18"/>
      <c r="I43" s="18">
        <v>54.48</v>
      </c>
      <c r="J43" s="19">
        <v>309.39999999999998</v>
      </c>
      <c r="M43" s="20">
        <f>ROUND(ROUND(J43, 2)*I43, 2)</f>
        <v>16856.11</v>
      </c>
      <c r="P43" s="19">
        <v>309.39999999999998</v>
      </c>
      <c r="S43" s="20">
        <f>ROUND(ROUND(P43, 2)*I43, 2)</f>
        <v>16856.11</v>
      </c>
      <c r="V43" s="9">
        <f>ROUND(ROUND(P43, 2)/1.2, 2)</f>
        <v>257.83</v>
      </c>
      <c r="Y43" s="9">
        <f t="shared" si="3"/>
        <v>14046.76</v>
      </c>
      <c r="AD43" s="4" t="s">
        <v>163</v>
      </c>
      <c r="AE43" s="4" t="s">
        <v>164</v>
      </c>
      <c r="AF43" s="4" t="s">
        <v>165</v>
      </c>
    </row>
    <row r="44" spans="1:35" ht="72" x14ac:dyDescent="0.3">
      <c r="A44" s="10" t="s">
        <v>166</v>
      </c>
      <c r="B44" s="10"/>
      <c r="C44" s="16" t="s">
        <v>136</v>
      </c>
      <c r="D44" s="12"/>
      <c r="E44" s="12"/>
      <c r="F44" s="17" t="s">
        <v>65</v>
      </c>
      <c r="G44" s="18">
        <v>1</v>
      </c>
      <c r="H44" s="18"/>
      <c r="I44" s="18">
        <v>45.4</v>
      </c>
      <c r="J44" s="19">
        <v>43.7</v>
      </c>
      <c r="M44" s="20">
        <f>ROUND(ROUND(J44, 2)*I44, 2)</f>
        <v>1983.98</v>
      </c>
      <c r="P44" s="19">
        <v>43.7</v>
      </c>
      <c r="S44" s="20">
        <f>ROUND(ROUND(P44, 2)*I44, 2)</f>
        <v>1983.98</v>
      </c>
      <c r="V44" s="9">
        <f>ROUND(ROUND(P44, 2)/1.2, 2)</f>
        <v>36.42</v>
      </c>
      <c r="Y44" s="9">
        <f t="shared" si="3"/>
        <v>1653.32</v>
      </c>
      <c r="AD44" s="4" t="s">
        <v>167</v>
      </c>
      <c r="AE44" s="4" t="s">
        <v>168</v>
      </c>
      <c r="AF44" s="4" t="s">
        <v>139</v>
      </c>
    </row>
    <row r="45" spans="1:35" ht="180" x14ac:dyDescent="0.3">
      <c r="A45" s="10" t="s">
        <v>169</v>
      </c>
      <c r="B45" s="10" t="s">
        <v>170</v>
      </c>
      <c r="C45" s="11" t="s">
        <v>171</v>
      </c>
      <c r="D45" s="12" t="s">
        <v>132</v>
      </c>
      <c r="E45" s="12"/>
      <c r="F45" s="12" t="s">
        <v>59</v>
      </c>
      <c r="G45" s="13">
        <v>1</v>
      </c>
      <c r="H45" s="13"/>
      <c r="I45" s="13">
        <v>0</v>
      </c>
      <c r="J45" s="14">
        <v>0</v>
      </c>
      <c r="K45" s="15">
        <v>1225</v>
      </c>
      <c r="L45" s="14">
        <f>J45+ROUND(K45, 2)</f>
        <v>1225</v>
      </c>
      <c r="M45" s="14">
        <v>0</v>
      </c>
      <c r="N45" s="14">
        <v>0</v>
      </c>
      <c r="O45" s="14">
        <f>M45+N45</f>
        <v>0</v>
      </c>
      <c r="P45" s="14">
        <v>518.09</v>
      </c>
      <c r="Q45" s="15">
        <v>1225</v>
      </c>
      <c r="R45" s="14">
        <f>P45+ROUND(Q45, 2)</f>
        <v>1743.0900000000001</v>
      </c>
      <c r="S45" s="14">
        <v>0</v>
      </c>
      <c r="T45" s="14">
        <v>0</v>
      </c>
      <c r="U45" s="14">
        <f>S45+T45</f>
        <v>0</v>
      </c>
      <c r="V45" s="9">
        <f>ROUND(P45 / 1.2, 2)</f>
        <v>431.74</v>
      </c>
      <c r="W45" s="9">
        <f>ROUND(Q45 / 1.2, 2)</f>
        <v>1020.83</v>
      </c>
      <c r="X45" s="9">
        <f>ROUND(R45 / 1.2, 2)</f>
        <v>1452.58</v>
      </c>
      <c r="Y45" s="9">
        <f t="shared" si="3"/>
        <v>0</v>
      </c>
      <c r="Z45" s="9">
        <f>ROUND(T45 / 1.2, 2)</f>
        <v>0</v>
      </c>
      <c r="AA45" s="9">
        <f>Y45+Z45</f>
        <v>0</v>
      </c>
      <c r="AD45" s="4">
        <v>315889904</v>
      </c>
      <c r="AE45" s="4">
        <v>27245718</v>
      </c>
      <c r="AG45" s="4" t="s">
        <v>172</v>
      </c>
      <c r="AH45" s="4" t="s">
        <v>173</v>
      </c>
      <c r="AI45" s="4" t="s">
        <v>62</v>
      </c>
    </row>
    <row r="46" spans="1:35" ht="72" x14ac:dyDescent="0.3">
      <c r="A46" s="10" t="s">
        <v>174</v>
      </c>
      <c r="B46" s="10"/>
      <c r="C46" s="16" t="s">
        <v>175</v>
      </c>
      <c r="D46" s="12"/>
      <c r="E46" s="12"/>
      <c r="F46" s="17" t="s">
        <v>65</v>
      </c>
      <c r="G46" s="18">
        <v>1</v>
      </c>
      <c r="H46" s="18"/>
      <c r="I46" s="18">
        <v>0</v>
      </c>
      <c r="J46" s="19">
        <v>111.15</v>
      </c>
      <c r="M46" s="20">
        <f>ROUND(ROUND(J46, 2)*I46, 2)</f>
        <v>0</v>
      </c>
      <c r="P46" s="19">
        <v>111.15</v>
      </c>
      <c r="S46" s="20">
        <f>ROUND(ROUND(P46, 2)*I46, 2)</f>
        <v>0</v>
      </c>
      <c r="V46" s="9">
        <f>ROUND(ROUND(P46, 2)/1.2, 2)</f>
        <v>92.63</v>
      </c>
      <c r="Y46" s="9">
        <f t="shared" si="3"/>
        <v>0</v>
      </c>
      <c r="AD46" s="4" t="s">
        <v>176</v>
      </c>
      <c r="AE46" s="4" t="s">
        <v>177</v>
      </c>
      <c r="AF46" s="4" t="s">
        <v>178</v>
      </c>
    </row>
    <row r="47" spans="1:35" ht="18" x14ac:dyDescent="0.3">
      <c r="A47" s="10" t="s">
        <v>179</v>
      </c>
      <c r="B47" s="10"/>
      <c r="C47" s="21" t="s">
        <v>75</v>
      </c>
      <c r="D47" s="12"/>
      <c r="E47" s="12"/>
      <c r="F47" s="17" t="s">
        <v>76</v>
      </c>
      <c r="G47" s="18">
        <v>2.1</v>
      </c>
      <c r="H47" s="18"/>
      <c r="I47" s="18">
        <v>0</v>
      </c>
      <c r="J47" s="19">
        <v>64.56</v>
      </c>
      <c r="M47" s="20">
        <f>ROUND(ROUND(J47, 2)*I47, 2)</f>
        <v>0</v>
      </c>
      <c r="P47" s="19">
        <v>64.56</v>
      </c>
      <c r="S47" s="20">
        <f>ROUND(ROUND(P47, 2)*I47, 2)</f>
        <v>0</v>
      </c>
      <c r="V47" s="9">
        <f>ROUND(ROUND(P47, 2)/1.2, 2)</f>
        <v>53.8</v>
      </c>
      <c r="Y47" s="9">
        <f t="shared" si="3"/>
        <v>0</v>
      </c>
      <c r="AD47" s="4" t="s">
        <v>180</v>
      </c>
      <c r="AE47" s="4" t="s">
        <v>181</v>
      </c>
      <c r="AF47" s="4" t="s">
        <v>79</v>
      </c>
    </row>
    <row r="48" spans="1:35" ht="18" x14ac:dyDescent="0.3">
      <c r="A48" s="10" t="s">
        <v>182</v>
      </c>
      <c r="B48" s="10"/>
      <c r="C48" s="21" t="s">
        <v>81</v>
      </c>
      <c r="D48" s="12"/>
      <c r="E48" s="12"/>
      <c r="F48" s="17" t="s">
        <v>76</v>
      </c>
      <c r="G48" s="18">
        <v>0.8</v>
      </c>
      <c r="H48" s="18"/>
      <c r="I48" s="18">
        <v>0</v>
      </c>
      <c r="J48" s="19">
        <v>51.63</v>
      </c>
      <c r="M48" s="20">
        <f>ROUND(ROUND(J48, 2)*I48, 2)</f>
        <v>0</v>
      </c>
      <c r="P48" s="19">
        <v>51.63</v>
      </c>
      <c r="S48" s="20">
        <f>ROUND(ROUND(P48, 2)*I48, 2)</f>
        <v>0</v>
      </c>
      <c r="V48" s="9">
        <f>ROUND(ROUND(P48, 2)/1.2, 2)</f>
        <v>43.03</v>
      </c>
      <c r="Y48" s="9">
        <f t="shared" si="3"/>
        <v>0</v>
      </c>
      <c r="AD48" s="4" t="s">
        <v>183</v>
      </c>
      <c r="AE48" s="4" t="s">
        <v>184</v>
      </c>
      <c r="AF48" s="4" t="s">
        <v>84</v>
      </c>
    </row>
    <row r="49" spans="1:35" ht="36" x14ac:dyDescent="0.3">
      <c r="A49" s="10" t="s">
        <v>185</v>
      </c>
      <c r="B49" s="10"/>
      <c r="C49" s="21" t="s">
        <v>70</v>
      </c>
      <c r="D49" s="12"/>
      <c r="E49" s="12"/>
      <c r="F49" s="17" t="s">
        <v>59</v>
      </c>
      <c r="G49" s="18">
        <v>2.2000000000000002</v>
      </c>
      <c r="H49" s="18"/>
      <c r="I49" s="18">
        <v>0</v>
      </c>
      <c r="J49" s="19">
        <v>104.57</v>
      </c>
      <c r="M49" s="20">
        <f>ROUND(ROUND(J49, 2)*I49, 2)</f>
        <v>0</v>
      </c>
      <c r="P49" s="19">
        <v>104.57</v>
      </c>
      <c r="S49" s="20">
        <f>ROUND(ROUND(P49, 2)*I49, 2)</f>
        <v>0</v>
      </c>
      <c r="V49" s="9">
        <f>ROUND(ROUND(P49, 2)/1.2, 2)</f>
        <v>87.14</v>
      </c>
      <c r="Y49" s="9">
        <f t="shared" si="3"/>
        <v>0</v>
      </c>
      <c r="AD49" s="4" t="s">
        <v>186</v>
      </c>
      <c r="AE49" s="4" t="s">
        <v>187</v>
      </c>
      <c r="AF49" s="4" t="s">
        <v>188</v>
      </c>
    </row>
    <row r="50" spans="1:35" ht="180" x14ac:dyDescent="0.3">
      <c r="A50" s="10" t="s">
        <v>189</v>
      </c>
      <c r="B50" s="10" t="s">
        <v>170</v>
      </c>
      <c r="C50" s="11" t="s">
        <v>171</v>
      </c>
      <c r="D50" s="12" t="s">
        <v>132</v>
      </c>
      <c r="E50" s="12" t="s">
        <v>190</v>
      </c>
      <c r="F50" s="12" t="s">
        <v>59</v>
      </c>
      <c r="G50" s="13">
        <v>1</v>
      </c>
      <c r="H50" s="13"/>
      <c r="I50" s="13">
        <v>6.4</v>
      </c>
      <c r="J50" s="14">
        <v>518.1</v>
      </c>
      <c r="K50" s="15">
        <v>1225</v>
      </c>
      <c r="L50" s="14">
        <f>J50+ROUND(K50, 2)</f>
        <v>1743.1</v>
      </c>
      <c r="M50" s="14">
        <v>3315.84</v>
      </c>
      <c r="N50" s="14">
        <v>7840</v>
      </c>
      <c r="O50" s="14">
        <f>M50+N50</f>
        <v>11155.84</v>
      </c>
      <c r="P50" s="14">
        <v>518.09</v>
      </c>
      <c r="Q50" s="15">
        <v>1837.5</v>
      </c>
      <c r="R50" s="14">
        <f>P50+ROUND(Q50, 2)</f>
        <v>2355.59</v>
      </c>
      <c r="S50" s="14">
        <v>3315.78</v>
      </c>
      <c r="T50" s="14">
        <v>11760</v>
      </c>
      <c r="U50" s="14">
        <f>S50+T50</f>
        <v>15075.78</v>
      </c>
      <c r="V50" s="9">
        <f>ROUND(P50 / 1.2, 2)</f>
        <v>431.74</v>
      </c>
      <c r="W50" s="9">
        <f>ROUND(Q50 / 1.2, 2)</f>
        <v>1531.25</v>
      </c>
      <c r="X50" s="9">
        <f>ROUND(R50 / 1.2, 2)</f>
        <v>1962.99</v>
      </c>
      <c r="Y50" s="9">
        <f t="shared" si="3"/>
        <v>2763.15</v>
      </c>
      <c r="Z50" s="9">
        <f>ROUND(T50 / 1.2, 2)</f>
        <v>9800</v>
      </c>
      <c r="AA50" s="9">
        <f>Y50+Z50</f>
        <v>12563.15</v>
      </c>
      <c r="AD50" s="4">
        <v>315889905</v>
      </c>
      <c r="AE50" s="4">
        <v>27245767</v>
      </c>
      <c r="AG50" s="4" t="s">
        <v>172</v>
      </c>
      <c r="AH50" s="4" t="s">
        <v>173</v>
      </c>
      <c r="AI50" s="4" t="s">
        <v>62</v>
      </c>
    </row>
    <row r="51" spans="1:35" ht="36" x14ac:dyDescent="0.3">
      <c r="A51" s="10" t="s">
        <v>191</v>
      </c>
      <c r="B51" s="10"/>
      <c r="C51" s="21" t="s">
        <v>70</v>
      </c>
      <c r="D51" s="12"/>
      <c r="E51" s="12"/>
      <c r="F51" s="17" t="s">
        <v>59</v>
      </c>
      <c r="G51" s="18">
        <v>2.2000000000000002</v>
      </c>
      <c r="H51" s="18"/>
      <c r="I51" s="18">
        <v>14.08</v>
      </c>
      <c r="J51" s="19">
        <v>104.57</v>
      </c>
      <c r="M51" s="20">
        <f>ROUND(ROUND(J51, 2)*I51, 2)</f>
        <v>1472.35</v>
      </c>
      <c r="P51" s="19">
        <v>104.57</v>
      </c>
      <c r="S51" s="20">
        <f>ROUND(ROUND(P51, 2)*I51, 2)</f>
        <v>1472.35</v>
      </c>
      <c r="V51" s="9">
        <f>ROUND(ROUND(P51, 2)/1.2, 2)</f>
        <v>87.14</v>
      </c>
      <c r="Y51" s="9">
        <f t="shared" si="3"/>
        <v>1226.96</v>
      </c>
      <c r="AD51" s="4" t="s">
        <v>192</v>
      </c>
      <c r="AE51" s="4" t="s">
        <v>193</v>
      </c>
      <c r="AF51" s="4" t="s">
        <v>188</v>
      </c>
    </row>
    <row r="52" spans="1:35" ht="18" x14ac:dyDescent="0.3">
      <c r="A52" s="10" t="s">
        <v>194</v>
      </c>
      <c r="B52" s="10"/>
      <c r="C52" s="21" t="s">
        <v>75</v>
      </c>
      <c r="D52" s="12"/>
      <c r="E52" s="12"/>
      <c r="F52" s="17" t="s">
        <v>76</v>
      </c>
      <c r="G52" s="18">
        <v>2.1</v>
      </c>
      <c r="H52" s="18"/>
      <c r="I52" s="18">
        <v>13.44</v>
      </c>
      <c r="J52" s="19">
        <v>64.56</v>
      </c>
      <c r="M52" s="20">
        <f>ROUND(ROUND(J52, 2)*I52, 2)</f>
        <v>867.69</v>
      </c>
      <c r="P52" s="19">
        <v>64.56</v>
      </c>
      <c r="S52" s="20">
        <f>ROUND(ROUND(P52, 2)*I52, 2)</f>
        <v>867.69</v>
      </c>
      <c r="V52" s="9">
        <f>ROUND(ROUND(P52, 2)/1.2, 2)</f>
        <v>53.8</v>
      </c>
      <c r="Y52" s="9">
        <f t="shared" si="3"/>
        <v>723.08</v>
      </c>
      <c r="AD52" s="4" t="s">
        <v>195</v>
      </c>
      <c r="AE52" s="4" t="s">
        <v>196</v>
      </c>
      <c r="AF52" s="4" t="s">
        <v>79</v>
      </c>
    </row>
    <row r="53" spans="1:35" ht="18" x14ac:dyDescent="0.3">
      <c r="A53" s="10" t="s">
        <v>197</v>
      </c>
      <c r="B53" s="10"/>
      <c r="C53" s="21" t="s">
        <v>81</v>
      </c>
      <c r="D53" s="12"/>
      <c r="E53" s="12"/>
      <c r="F53" s="17" t="s">
        <v>76</v>
      </c>
      <c r="G53" s="18">
        <v>0.8</v>
      </c>
      <c r="H53" s="18"/>
      <c r="I53" s="18">
        <v>5.12</v>
      </c>
      <c r="J53" s="19">
        <v>51.64</v>
      </c>
      <c r="M53" s="20">
        <f>ROUND(ROUND(J53, 2)*I53, 2)</f>
        <v>264.39999999999998</v>
      </c>
      <c r="P53" s="19">
        <v>51.63</v>
      </c>
      <c r="S53" s="20">
        <f>ROUND(ROUND(P53, 2)*I53, 2)</f>
        <v>264.35000000000002</v>
      </c>
      <c r="V53" s="9">
        <f>ROUND(ROUND(P53, 2)/1.2, 2)</f>
        <v>43.03</v>
      </c>
      <c r="Y53" s="9">
        <f t="shared" si="3"/>
        <v>220.29</v>
      </c>
      <c r="AD53" s="4" t="s">
        <v>198</v>
      </c>
      <c r="AE53" s="4" t="s">
        <v>199</v>
      </c>
      <c r="AF53" s="4" t="s">
        <v>84</v>
      </c>
    </row>
    <row r="54" spans="1:35" ht="72" x14ac:dyDescent="0.3">
      <c r="A54" s="10" t="s">
        <v>200</v>
      </c>
      <c r="B54" s="10"/>
      <c r="C54" s="16" t="s">
        <v>175</v>
      </c>
      <c r="D54" s="12"/>
      <c r="E54" s="12"/>
      <c r="F54" s="17" t="s">
        <v>65</v>
      </c>
      <c r="G54" s="18">
        <v>1</v>
      </c>
      <c r="H54" s="18"/>
      <c r="I54" s="18">
        <v>6.4</v>
      </c>
      <c r="J54" s="19">
        <v>111.16</v>
      </c>
      <c r="M54" s="20">
        <f>ROUND(ROUND(J54, 2)*I54, 2)</f>
        <v>711.42</v>
      </c>
      <c r="P54" s="19">
        <v>111.15</v>
      </c>
      <c r="S54" s="20">
        <f>ROUND(ROUND(P54, 2)*I54, 2)</f>
        <v>711.36</v>
      </c>
      <c r="V54" s="9">
        <f>ROUND(ROUND(P54, 2)/1.2, 2)</f>
        <v>92.63</v>
      </c>
      <c r="Y54" s="9">
        <f t="shared" si="3"/>
        <v>592.79999999999995</v>
      </c>
      <c r="AD54" s="4" t="s">
        <v>201</v>
      </c>
      <c r="AE54" s="4" t="s">
        <v>202</v>
      </c>
      <c r="AF54" s="4" t="s">
        <v>178</v>
      </c>
    </row>
    <row r="55" spans="1:35" ht="16.95" customHeight="1" x14ac:dyDescent="0.3">
      <c r="A55" s="10" t="s">
        <v>203</v>
      </c>
      <c r="B55" s="10" t="s">
        <v>204</v>
      </c>
      <c r="C55" s="47" t="s">
        <v>205</v>
      </c>
      <c r="D55" s="48"/>
      <c r="E55" s="48"/>
      <c r="F55" s="48"/>
      <c r="G55" s="48"/>
      <c r="H55" s="48"/>
      <c r="I55" s="49"/>
      <c r="M55" s="6">
        <f t="shared" ref="M55:O56" si="4">SUM(M56)</f>
        <v>23908846.960000001</v>
      </c>
      <c r="N55" s="6">
        <f t="shared" si="4"/>
        <v>31501631.110000003</v>
      </c>
      <c r="O55" s="6">
        <f t="shared" si="4"/>
        <v>55410478.069999993</v>
      </c>
      <c r="S55" s="6">
        <f t="shared" ref="S55:U56" si="5">SUM(S56)</f>
        <v>22773018.530000001</v>
      </c>
      <c r="T55" s="6">
        <f t="shared" si="5"/>
        <v>47252446.670000002</v>
      </c>
      <c r="U55" s="6">
        <f t="shared" si="5"/>
        <v>70025465.200000003</v>
      </c>
      <c r="Y55" s="9">
        <f t="shared" ref="Y55:AA56" si="6">SUM(Y56)</f>
        <v>18977515.48</v>
      </c>
      <c r="Z55" s="9">
        <f t="shared" si="6"/>
        <v>39377038.969999999</v>
      </c>
      <c r="AA55" s="9">
        <f t="shared" si="6"/>
        <v>58354554.450000003</v>
      </c>
      <c r="AD55" s="4">
        <v>315889906</v>
      </c>
      <c r="AE55" s="4">
        <v>27245637</v>
      </c>
    </row>
    <row r="56" spans="1:35" ht="16.95" customHeight="1" x14ac:dyDescent="0.3">
      <c r="A56" s="10" t="s">
        <v>206</v>
      </c>
      <c r="B56" s="10" t="s">
        <v>207</v>
      </c>
      <c r="C56" s="47" t="s">
        <v>208</v>
      </c>
      <c r="D56" s="48"/>
      <c r="E56" s="48"/>
      <c r="F56" s="48"/>
      <c r="G56" s="48"/>
      <c r="H56" s="48"/>
      <c r="I56" s="49"/>
      <c r="M56" s="6">
        <f t="shared" si="4"/>
        <v>23908846.960000001</v>
      </c>
      <c r="N56" s="6">
        <f t="shared" si="4"/>
        <v>31501631.110000003</v>
      </c>
      <c r="O56" s="6">
        <f t="shared" si="4"/>
        <v>55410478.069999993</v>
      </c>
      <c r="S56" s="6">
        <f t="shared" si="5"/>
        <v>22773018.530000001</v>
      </c>
      <c r="T56" s="6">
        <f t="shared" si="5"/>
        <v>47252446.670000002</v>
      </c>
      <c r="U56" s="6">
        <f t="shared" si="5"/>
        <v>70025465.200000003</v>
      </c>
      <c r="Y56" s="9">
        <f t="shared" si="6"/>
        <v>18977515.48</v>
      </c>
      <c r="Z56" s="9">
        <f t="shared" si="6"/>
        <v>39377038.969999999</v>
      </c>
      <c r="AA56" s="9">
        <f t="shared" si="6"/>
        <v>58354554.450000003</v>
      </c>
      <c r="AD56" s="4">
        <v>315889907</v>
      </c>
      <c r="AE56" s="4">
        <v>27245644</v>
      </c>
    </row>
    <row r="57" spans="1:35" ht="16.95" customHeight="1" x14ac:dyDescent="0.3">
      <c r="A57" s="10" t="s">
        <v>209</v>
      </c>
      <c r="B57" s="10" t="s">
        <v>210</v>
      </c>
      <c r="C57" s="47" t="s">
        <v>211</v>
      </c>
      <c r="D57" s="48"/>
      <c r="E57" s="48"/>
      <c r="F57" s="48"/>
      <c r="G57" s="48"/>
      <c r="H57" s="48"/>
      <c r="I57" s="49"/>
      <c r="M57" s="6">
        <f>SUM(M58,M260,M454,M496)</f>
        <v>23908846.960000001</v>
      </c>
      <c r="N57" s="6">
        <f>SUM(N58,N260,N454,N496)</f>
        <v>31501631.110000003</v>
      </c>
      <c r="O57" s="6">
        <f>SUM(O58,O260,O454,O496)</f>
        <v>55410478.069999993</v>
      </c>
      <c r="S57" s="6">
        <f>SUM(S58,S260,S454,S496)</f>
        <v>22773018.530000001</v>
      </c>
      <c r="T57" s="6">
        <f>SUM(T58,T260,T454,T496)</f>
        <v>47252446.670000002</v>
      </c>
      <c r="U57" s="6">
        <f>SUM(U58,U260,U454,U496)</f>
        <v>70025465.200000003</v>
      </c>
      <c r="Y57" s="9">
        <f>SUM(Y58,Y260,Y454,Y496)</f>
        <v>18977515.48</v>
      </c>
      <c r="Z57" s="9">
        <f>SUM(Z58,Z260,Z454,Z496)</f>
        <v>39377038.969999999</v>
      </c>
      <c r="AA57" s="9">
        <f>SUM(AA58,AA260,AA454,AA496)</f>
        <v>58354554.450000003</v>
      </c>
      <c r="AD57" s="4">
        <v>315889908</v>
      </c>
      <c r="AE57" s="4">
        <v>27245702</v>
      </c>
    </row>
    <row r="58" spans="1:35" ht="16.95" customHeight="1" x14ac:dyDescent="0.3">
      <c r="A58" s="10" t="s">
        <v>212</v>
      </c>
      <c r="B58" s="10" t="s">
        <v>213</v>
      </c>
      <c r="C58" s="47" t="s">
        <v>214</v>
      </c>
      <c r="D58" s="48"/>
      <c r="E58" s="48"/>
      <c r="F58" s="48"/>
      <c r="G58" s="48"/>
      <c r="H58" s="48"/>
      <c r="I58" s="49"/>
      <c r="M58" s="6">
        <f>SUM(M59,M255)</f>
        <v>11342871.83</v>
      </c>
      <c r="N58" s="6">
        <f>SUM(N59,N255)</f>
        <v>11179170.51</v>
      </c>
      <c r="O58" s="6">
        <f>SUM(O59,O255)</f>
        <v>22522042.339999996</v>
      </c>
      <c r="S58" s="6">
        <f>SUM(S59,S255)</f>
        <v>12112476.130000001</v>
      </c>
      <c r="T58" s="6">
        <f>SUM(T59,T255)</f>
        <v>16768755.77</v>
      </c>
      <c r="U58" s="6">
        <f>SUM(U59,U255)</f>
        <v>28881231.900000002</v>
      </c>
      <c r="Y58" s="9">
        <f>SUM(Y59,Y255)</f>
        <v>10093730.100000001</v>
      </c>
      <c r="Z58" s="9">
        <f>SUM(Z59,Z255)</f>
        <v>13973963.180000002</v>
      </c>
      <c r="AA58" s="9">
        <f>SUM(AA59,AA255)</f>
        <v>24067693.280000005</v>
      </c>
      <c r="AD58" s="4">
        <v>315889909</v>
      </c>
      <c r="AE58" s="4">
        <v>27245715</v>
      </c>
    </row>
    <row r="59" spans="1:35" ht="16.95" customHeight="1" x14ac:dyDescent="0.3">
      <c r="A59" s="10" t="s">
        <v>215</v>
      </c>
      <c r="B59" s="10" t="s">
        <v>216</v>
      </c>
      <c r="C59" s="47" t="s">
        <v>217</v>
      </c>
      <c r="D59" s="48"/>
      <c r="E59" s="48"/>
      <c r="F59" s="48"/>
      <c r="G59" s="48"/>
      <c r="H59" s="48"/>
      <c r="I59" s="49"/>
      <c r="M59" s="6">
        <f>SUM(M60,M64,M68,M72,M76,M80,M83,M86,M89,M92,M95,M98,M101,M104,M107,M110,M113,M116,M119,M121,M123,M125,M127,M132,M137,M142,M147,M152,M157,M162,M167,M171,M175,M180,M185,M190,M195,M200,M205,M210,M215,M220,M225,M230,M235,M240,M245,M250)</f>
        <v>11013221.83</v>
      </c>
      <c r="N59" s="6">
        <f>SUM(N60,N64,N68,N72,N76,N80,N83,N86,N89,N92,N95,N98,N101,N104,N107,N110,N113,N116,N119,N121,N123,N125,N127,N132,N137,N142,N147,N152,N157,N162,N167,N171,N175,N180,N185,N190,N195,N200,N205,N210,N215,N220,N225,N230,N235,N240,N245,N250)</f>
        <v>11150161.310000001</v>
      </c>
      <c r="O59" s="6">
        <f>SUM(O60,O64,O68,O72,O76,O80,O83,O86,O89,O92,O95,O98,O101,O104,O107,O110,O113,O116,O119,O121,O123,O125,O127,O132,O137,O142,O147,O152,O157,O162,O167,O171,O175,O180,O185,O190,O195,O200,O205,O210,O215,O220,O225,O230,O235,O240,O245,O250)</f>
        <v>22163383.139999997</v>
      </c>
      <c r="S59" s="6">
        <f>SUM(S60,S64,S68,S72,S76,S80,S83,S86,S89,S92,S95,S98,S101,S104,S107,S110,S113,S116,S119,S121,S123,S125,S127,S132,S137,S142,S147,S152,S157,S162,S167,S171,S175,S180,S185,S190,S195,S200,S205,S210,S215,S220,S225,S230,S235,S240,S245,S250)</f>
        <v>11782826.130000001</v>
      </c>
      <c r="T59" s="6">
        <f>SUM(T60,T64,T68,T72,T76,T80,T83,T86,T89,T92,T95,T98,T101,T104,T107,T110,T113,T116,T119,T121,T123,T125,T127,T132,T137,T142,T147,T152,T157,T162,T167,T171,T175,T180,T185,T190,T195,T200,T205,T210,T215,T220,T225,T230,T235,T240,T245,T250)</f>
        <v>16725241.969999999</v>
      </c>
      <c r="U59" s="6">
        <f>SUM(U60,U64,U68,U72,U76,U80,U83,U86,U89,U92,U95,U98,U101,U104,U107,U110,U113,U116,U119,U121,U123,U125,U127,U132,U137,U142,U147,U152,U157,U162,U167,U171,U175,U180,U185,U190,U195,U200,U205,U210,U215,U220,U225,U230,U235,U240,U245,U250)</f>
        <v>28508068.100000001</v>
      </c>
      <c r="Y59" s="9">
        <f>SUM(Y60,Y64,Y68,Y72,Y76,Y80,Y83,Y86,Y89,Y92,Y95,Y98,Y101,Y104,Y107,Y110,Y113,Y116,Y119,Y121,Y123,Y125,Y127,Y132,Y137,Y142,Y147,Y152,Y157,Y162,Y167,Y171,Y175,Y180,Y185,Y190,Y195,Y200,Y205,Y210,Y215,Y220,Y225,Y230,Y235,Y240,Y245,Y250)</f>
        <v>9819021.7700000014</v>
      </c>
      <c r="Z59" s="9">
        <f>SUM(Z60,Z64,Z68,Z72,Z76,Z80,Z83,Z86,Z89,Z92,Z95,Z98,Z101,Z104,Z107,Z110,Z113,Z116,Z119,Z121,Z123,Z125,Z127,Z132,Z137,Z142,Z147,Z152,Z157,Z162,Z167,Z171,Z175,Z180,Z185,Z190,Z195,Z200,Z205,Z210,Z215,Z220,Z225,Z230,Z235,Z240,Z245,Z250)</f>
        <v>13937701.680000002</v>
      </c>
      <c r="AA59" s="9">
        <f>SUM(AA60,AA64,AA68,AA72,AA76,AA80,AA83,AA86,AA89,AA92,AA95,AA98,AA101,AA104,AA107,AA110,AA113,AA116,AA119,AA121,AA123,AA125,AA127,AA132,AA137,AA142,AA147,AA152,AA157,AA162,AA167,AA171,AA175,AA180,AA185,AA190,AA195,AA200,AA205,AA210,AA215,AA220,AA225,AA230,AA235,AA240,AA245,AA250)</f>
        <v>23756723.450000007</v>
      </c>
      <c r="AD59" s="4">
        <v>315889910</v>
      </c>
      <c r="AE59" s="4">
        <v>27245611</v>
      </c>
    </row>
    <row r="60" spans="1:35" ht="90" x14ac:dyDescent="0.3">
      <c r="A60" s="10" t="s">
        <v>218</v>
      </c>
      <c r="B60" s="10" t="s">
        <v>219</v>
      </c>
      <c r="C60" s="11" t="s">
        <v>220</v>
      </c>
      <c r="D60" s="12" t="s">
        <v>221</v>
      </c>
      <c r="E60" s="12"/>
      <c r="F60" s="12" t="s">
        <v>59</v>
      </c>
      <c r="G60" s="13">
        <v>1</v>
      </c>
      <c r="H60" s="13"/>
      <c r="I60" s="13">
        <v>0</v>
      </c>
      <c r="J60" s="14">
        <v>0</v>
      </c>
      <c r="K60" s="15">
        <v>556</v>
      </c>
      <c r="L60" s="14">
        <f>J60+ROUND(K60, 2)</f>
        <v>556</v>
      </c>
      <c r="M60" s="14">
        <v>0</v>
      </c>
      <c r="N60" s="14">
        <v>0</v>
      </c>
      <c r="O60" s="14">
        <f>M60+N60</f>
        <v>0</v>
      </c>
      <c r="P60" s="14">
        <v>1580.6</v>
      </c>
      <c r="Q60" s="15">
        <v>556</v>
      </c>
      <c r="R60" s="14">
        <f>P60+ROUND(Q60, 2)</f>
        <v>2136.6</v>
      </c>
      <c r="S60" s="14">
        <v>0</v>
      </c>
      <c r="T60" s="14">
        <v>0</v>
      </c>
      <c r="U60" s="14">
        <f>S60+T60</f>
        <v>0</v>
      </c>
      <c r="V60" s="9">
        <f>ROUND(P60 / 1.2, 2)</f>
        <v>1317.17</v>
      </c>
      <c r="W60" s="9">
        <f>ROUND(Q60 / 1.2, 2)</f>
        <v>463.33</v>
      </c>
      <c r="X60" s="9">
        <f>ROUND(R60 / 1.2, 2)</f>
        <v>1780.5</v>
      </c>
      <c r="Y60" s="9">
        <f>ROUND(S60 / 1.2, 2)</f>
        <v>0</v>
      </c>
      <c r="Z60" s="9">
        <f>ROUND(T60 / 1.2, 2)</f>
        <v>0</v>
      </c>
      <c r="AA60" s="9">
        <f>Y60+Z60</f>
        <v>0</v>
      </c>
      <c r="AD60" s="4">
        <v>315889912</v>
      </c>
      <c r="AE60" s="4">
        <v>27245671</v>
      </c>
      <c r="AG60" s="4" t="s">
        <v>222</v>
      </c>
      <c r="AH60" s="4" t="s">
        <v>223</v>
      </c>
      <c r="AI60" s="4" t="s">
        <v>224</v>
      </c>
    </row>
    <row r="61" spans="1:35" ht="18" x14ac:dyDescent="0.3">
      <c r="A61" s="10" t="s">
        <v>225</v>
      </c>
      <c r="B61" s="10"/>
      <c r="C61" s="16" t="s">
        <v>226</v>
      </c>
      <c r="D61" s="12"/>
      <c r="E61" s="12"/>
      <c r="F61" s="17" t="s">
        <v>227</v>
      </c>
      <c r="G61" s="18">
        <v>0.3</v>
      </c>
      <c r="H61" s="18"/>
      <c r="I61" s="18">
        <v>0</v>
      </c>
      <c r="J61" s="19">
        <v>220</v>
      </c>
      <c r="M61" s="20">
        <f>ROUND(ROUND(J61, 2)*I61, 2)</f>
        <v>0</v>
      </c>
      <c r="P61" s="19">
        <v>220</v>
      </c>
      <c r="S61" s="20">
        <f>ROUND(ROUND(P61, 2)*I61, 2)</f>
        <v>0</v>
      </c>
      <c r="V61" s="9">
        <f>ROUND(ROUND(P61, 2)/1.2, 2)</f>
        <v>183.33</v>
      </c>
      <c r="Y61" s="9">
        <f t="shared" ref="Y61:Y92" si="7">ROUND(S61 / 1.2, 2)</f>
        <v>0</v>
      </c>
      <c r="AD61" s="4" t="s">
        <v>228</v>
      </c>
      <c r="AE61" s="4" t="s">
        <v>229</v>
      </c>
      <c r="AF61" s="4" t="s">
        <v>230</v>
      </c>
    </row>
    <row r="62" spans="1:35" ht="72" x14ac:dyDescent="0.3">
      <c r="A62" s="10" t="s">
        <v>231</v>
      </c>
      <c r="B62" s="10"/>
      <c r="C62" s="21" t="s">
        <v>232</v>
      </c>
      <c r="D62" s="12"/>
      <c r="E62" s="12"/>
      <c r="F62" s="17" t="s">
        <v>76</v>
      </c>
      <c r="G62" s="18">
        <v>1</v>
      </c>
      <c r="H62" s="22"/>
      <c r="I62" s="22">
        <v>0</v>
      </c>
      <c r="J62" s="19">
        <v>51</v>
      </c>
      <c r="M62" s="20">
        <f>ROUND(ROUND(J62, 2)*I62, 2)</f>
        <v>0</v>
      </c>
      <c r="P62" s="19">
        <v>51</v>
      </c>
      <c r="S62" s="20">
        <f>ROUND(ROUND(P62, 2)*I62, 2)</f>
        <v>0</v>
      </c>
      <c r="V62" s="9">
        <f>ROUND(ROUND(P62, 2)/1.2, 2)</f>
        <v>42.5</v>
      </c>
      <c r="Y62" s="9">
        <f t="shared" si="7"/>
        <v>0</v>
      </c>
      <c r="AD62" s="4" t="s">
        <v>233</v>
      </c>
      <c r="AE62" s="4" t="s">
        <v>234</v>
      </c>
      <c r="AF62" s="4" t="s">
        <v>235</v>
      </c>
    </row>
    <row r="63" spans="1:35" ht="72" x14ac:dyDescent="0.3">
      <c r="A63" s="10" t="s">
        <v>236</v>
      </c>
      <c r="B63" s="10"/>
      <c r="C63" s="21" t="s">
        <v>237</v>
      </c>
      <c r="D63" s="12"/>
      <c r="E63" s="12"/>
      <c r="F63" s="17" t="s">
        <v>59</v>
      </c>
      <c r="G63" s="18">
        <v>1.1000000000000001</v>
      </c>
      <c r="H63" s="22"/>
      <c r="I63" s="22">
        <v>0</v>
      </c>
      <c r="J63" s="19">
        <v>1339</v>
      </c>
      <c r="M63" s="20">
        <f>ROUND(ROUND(J63, 2)*I63, 2)</f>
        <v>0</v>
      </c>
      <c r="P63" s="19">
        <v>1339</v>
      </c>
      <c r="S63" s="20">
        <f>ROUND(ROUND(P63, 2)*I63, 2)</f>
        <v>0</v>
      </c>
      <c r="V63" s="9">
        <f>ROUND(ROUND(P63, 2)/1.2, 2)</f>
        <v>1115.83</v>
      </c>
      <c r="Y63" s="9">
        <f t="shared" si="7"/>
        <v>0</v>
      </c>
      <c r="AD63" s="4" t="s">
        <v>238</v>
      </c>
      <c r="AE63" s="4" t="s">
        <v>239</v>
      </c>
      <c r="AF63" s="4" t="s">
        <v>240</v>
      </c>
    </row>
    <row r="64" spans="1:35" ht="90" x14ac:dyDescent="0.3">
      <c r="A64" s="10" t="s">
        <v>241</v>
      </c>
      <c r="B64" s="10" t="s">
        <v>219</v>
      </c>
      <c r="C64" s="11" t="s">
        <v>220</v>
      </c>
      <c r="D64" s="12" t="s">
        <v>221</v>
      </c>
      <c r="E64" s="12"/>
      <c r="F64" s="12" t="s">
        <v>59</v>
      </c>
      <c r="G64" s="13">
        <v>1</v>
      </c>
      <c r="H64" s="13"/>
      <c r="I64" s="13">
        <v>0</v>
      </c>
      <c r="J64" s="14">
        <v>0</v>
      </c>
      <c r="K64" s="15">
        <v>556</v>
      </c>
      <c r="L64" s="14">
        <f>J64+ROUND(K64, 2)</f>
        <v>556</v>
      </c>
      <c r="M64" s="14">
        <v>0</v>
      </c>
      <c r="N64" s="14">
        <v>0</v>
      </c>
      <c r="O64" s="14">
        <f>M64+N64</f>
        <v>0</v>
      </c>
      <c r="P64" s="14">
        <v>1562.05</v>
      </c>
      <c r="Q64" s="15">
        <v>556</v>
      </c>
      <c r="R64" s="14">
        <f>P64+ROUND(Q64, 2)</f>
        <v>2118.0500000000002</v>
      </c>
      <c r="S64" s="14">
        <v>0</v>
      </c>
      <c r="T64" s="14">
        <v>0</v>
      </c>
      <c r="U64" s="14">
        <f>S64+T64</f>
        <v>0</v>
      </c>
      <c r="V64" s="9">
        <f>ROUND(P64 / 1.2, 2)</f>
        <v>1301.71</v>
      </c>
      <c r="W64" s="9">
        <f>ROUND(Q64 / 1.2, 2)</f>
        <v>463.33</v>
      </c>
      <c r="X64" s="9">
        <f>ROUND(R64 / 1.2, 2)</f>
        <v>1765.04</v>
      </c>
      <c r="Y64" s="9">
        <f t="shared" si="7"/>
        <v>0</v>
      </c>
      <c r="Z64" s="9">
        <f>ROUND(T64 / 1.2, 2)</f>
        <v>0</v>
      </c>
      <c r="AA64" s="9">
        <f>Y64+Z64</f>
        <v>0</v>
      </c>
      <c r="AD64" s="4">
        <v>315889913</v>
      </c>
      <c r="AE64" s="4">
        <v>27245672</v>
      </c>
      <c r="AG64" s="4" t="s">
        <v>222</v>
      </c>
      <c r="AH64" s="4" t="s">
        <v>223</v>
      </c>
      <c r="AI64" s="4" t="s">
        <v>224</v>
      </c>
    </row>
    <row r="65" spans="1:35" ht="54" x14ac:dyDescent="0.3">
      <c r="A65" s="10" t="s">
        <v>242</v>
      </c>
      <c r="B65" s="10"/>
      <c r="C65" s="21" t="s">
        <v>243</v>
      </c>
      <c r="D65" s="12"/>
      <c r="E65" s="12"/>
      <c r="F65" s="17" t="s">
        <v>59</v>
      </c>
      <c r="G65" s="18">
        <v>1.1000000000000001</v>
      </c>
      <c r="H65" s="22"/>
      <c r="I65" s="22">
        <v>0</v>
      </c>
      <c r="J65" s="19">
        <v>1339</v>
      </c>
      <c r="M65" s="20">
        <f>ROUND(ROUND(J65, 2)*I65, 2)</f>
        <v>0</v>
      </c>
      <c r="P65" s="19">
        <v>1339</v>
      </c>
      <c r="S65" s="20">
        <f>ROUND(ROUND(P65, 2)*I65, 2)</f>
        <v>0</v>
      </c>
      <c r="V65" s="9">
        <f>ROUND(ROUND(P65, 2)/1.2, 2)</f>
        <v>1115.83</v>
      </c>
      <c r="Y65" s="9">
        <f t="shared" si="7"/>
        <v>0</v>
      </c>
      <c r="AD65" s="4" t="s">
        <v>244</v>
      </c>
      <c r="AE65" s="4" t="s">
        <v>245</v>
      </c>
      <c r="AF65" s="4" t="s">
        <v>246</v>
      </c>
    </row>
    <row r="66" spans="1:35" ht="72" x14ac:dyDescent="0.3">
      <c r="A66" s="10" t="s">
        <v>247</v>
      </c>
      <c r="B66" s="10"/>
      <c r="C66" s="21" t="s">
        <v>248</v>
      </c>
      <c r="D66" s="12"/>
      <c r="E66" s="12"/>
      <c r="F66" s="17" t="s">
        <v>76</v>
      </c>
      <c r="G66" s="18">
        <v>1</v>
      </c>
      <c r="H66" s="22"/>
      <c r="I66" s="22">
        <v>0</v>
      </c>
      <c r="J66" s="19">
        <v>51</v>
      </c>
      <c r="M66" s="20">
        <f>ROUND(ROUND(J66, 2)*I66, 2)</f>
        <v>0</v>
      </c>
      <c r="P66" s="19">
        <v>51</v>
      </c>
      <c r="S66" s="20">
        <f>ROUND(ROUND(P66, 2)*I66, 2)</f>
        <v>0</v>
      </c>
      <c r="V66" s="9">
        <f>ROUND(ROUND(P66, 2)/1.2, 2)</f>
        <v>42.5</v>
      </c>
      <c r="Y66" s="9">
        <f t="shared" si="7"/>
        <v>0</v>
      </c>
      <c r="AD66" s="4" t="s">
        <v>249</v>
      </c>
      <c r="AE66" s="4" t="s">
        <v>250</v>
      </c>
      <c r="AF66" s="4" t="s">
        <v>251</v>
      </c>
    </row>
    <row r="67" spans="1:35" ht="18" x14ac:dyDescent="0.3">
      <c r="A67" s="10" t="s">
        <v>252</v>
      </c>
      <c r="B67" s="10"/>
      <c r="C67" s="16" t="s">
        <v>226</v>
      </c>
      <c r="D67" s="12"/>
      <c r="E67" s="12"/>
      <c r="F67" s="17" t="s">
        <v>227</v>
      </c>
      <c r="G67" s="18">
        <v>0.3</v>
      </c>
      <c r="H67" s="18"/>
      <c r="I67" s="18">
        <v>0</v>
      </c>
      <c r="J67" s="19">
        <v>220</v>
      </c>
      <c r="M67" s="20">
        <f>ROUND(ROUND(J67, 2)*I67, 2)</f>
        <v>0</v>
      </c>
      <c r="P67" s="19">
        <v>220</v>
      </c>
      <c r="S67" s="20">
        <f>ROUND(ROUND(P67, 2)*I67, 2)</f>
        <v>0</v>
      </c>
      <c r="V67" s="9">
        <f>ROUND(ROUND(P67, 2)/1.2, 2)</f>
        <v>183.33</v>
      </c>
      <c r="Y67" s="9">
        <f t="shared" si="7"/>
        <v>0</v>
      </c>
      <c r="AD67" s="4" t="s">
        <v>253</v>
      </c>
      <c r="AE67" s="4" t="s">
        <v>254</v>
      </c>
      <c r="AF67" s="4" t="s">
        <v>230</v>
      </c>
    </row>
    <row r="68" spans="1:35" ht="90" x14ac:dyDescent="0.3">
      <c r="A68" s="10" t="s">
        <v>255</v>
      </c>
      <c r="B68" s="10" t="s">
        <v>219</v>
      </c>
      <c r="C68" s="11" t="s">
        <v>220</v>
      </c>
      <c r="D68" s="12" t="s">
        <v>221</v>
      </c>
      <c r="E68" s="12" t="s">
        <v>256</v>
      </c>
      <c r="F68" s="12" t="s">
        <v>59</v>
      </c>
      <c r="G68" s="13">
        <v>1</v>
      </c>
      <c r="H68" s="13"/>
      <c r="I68" s="13">
        <v>0</v>
      </c>
      <c r="J68" s="14">
        <v>0</v>
      </c>
      <c r="K68" s="15">
        <v>556</v>
      </c>
      <c r="L68" s="14">
        <f>J68+ROUND(K68, 2)</f>
        <v>556</v>
      </c>
      <c r="M68" s="14">
        <v>0</v>
      </c>
      <c r="N68" s="14">
        <v>0</v>
      </c>
      <c r="O68" s="14">
        <f>M68+N68</f>
        <v>0</v>
      </c>
      <c r="P68" s="14">
        <v>1562.05</v>
      </c>
      <c r="Q68" s="15">
        <v>556</v>
      </c>
      <c r="R68" s="14">
        <f>P68+ROUND(Q68, 2)</f>
        <v>2118.0500000000002</v>
      </c>
      <c r="S68" s="14">
        <v>0</v>
      </c>
      <c r="T68" s="14">
        <v>0</v>
      </c>
      <c r="U68" s="14">
        <f>S68+T68</f>
        <v>0</v>
      </c>
      <c r="V68" s="9">
        <f>ROUND(P68 / 1.2, 2)</f>
        <v>1301.71</v>
      </c>
      <c r="W68" s="9">
        <f>ROUND(Q68 / 1.2, 2)</f>
        <v>463.33</v>
      </c>
      <c r="X68" s="9">
        <f>ROUND(R68 / 1.2, 2)</f>
        <v>1765.04</v>
      </c>
      <c r="Y68" s="9">
        <f t="shared" si="7"/>
        <v>0</v>
      </c>
      <c r="Z68" s="9">
        <f>ROUND(T68 / 1.2, 2)</f>
        <v>0</v>
      </c>
      <c r="AA68" s="9">
        <f>Y68+Z68</f>
        <v>0</v>
      </c>
      <c r="AD68" s="4">
        <v>315889914</v>
      </c>
      <c r="AE68" s="4">
        <v>27245781</v>
      </c>
      <c r="AG68" s="4" t="s">
        <v>222</v>
      </c>
      <c r="AH68" s="4" t="s">
        <v>223</v>
      </c>
      <c r="AI68" s="4" t="s">
        <v>224</v>
      </c>
    </row>
    <row r="69" spans="1:35" ht="18" x14ac:dyDescent="0.3">
      <c r="A69" s="10" t="s">
        <v>257</v>
      </c>
      <c r="B69" s="10"/>
      <c r="C69" s="16" t="s">
        <v>226</v>
      </c>
      <c r="D69" s="12"/>
      <c r="E69" s="12"/>
      <c r="F69" s="17" t="s">
        <v>227</v>
      </c>
      <c r="G69" s="18">
        <v>0.3</v>
      </c>
      <c r="H69" s="18"/>
      <c r="I69" s="18">
        <v>0</v>
      </c>
      <c r="J69" s="19">
        <v>220</v>
      </c>
      <c r="M69" s="20">
        <f>ROUND(ROUND(J69, 2)*I69, 2)</f>
        <v>0</v>
      </c>
      <c r="P69" s="19">
        <v>220</v>
      </c>
      <c r="S69" s="20">
        <f>ROUND(ROUND(P69, 2)*I69, 2)</f>
        <v>0</v>
      </c>
      <c r="V69" s="9">
        <f>ROUND(ROUND(P69, 2)/1.2, 2)</f>
        <v>183.33</v>
      </c>
      <c r="Y69" s="9">
        <f t="shared" si="7"/>
        <v>0</v>
      </c>
      <c r="AD69" s="4" t="s">
        <v>258</v>
      </c>
      <c r="AE69" s="4" t="s">
        <v>259</v>
      </c>
      <c r="AF69" s="4" t="s">
        <v>230</v>
      </c>
    </row>
    <row r="70" spans="1:35" ht="72" x14ac:dyDescent="0.3">
      <c r="A70" s="10" t="s">
        <v>260</v>
      </c>
      <c r="B70" s="10"/>
      <c r="C70" s="21" t="s">
        <v>248</v>
      </c>
      <c r="D70" s="12"/>
      <c r="E70" s="12"/>
      <c r="F70" s="17" t="s">
        <v>76</v>
      </c>
      <c r="G70" s="18">
        <v>1</v>
      </c>
      <c r="H70" s="22"/>
      <c r="I70" s="22">
        <v>0</v>
      </c>
      <c r="J70" s="19">
        <v>51</v>
      </c>
      <c r="M70" s="20">
        <f>ROUND(ROUND(J70, 2)*I70, 2)</f>
        <v>0</v>
      </c>
      <c r="P70" s="19">
        <v>51</v>
      </c>
      <c r="S70" s="20">
        <f>ROUND(ROUND(P70, 2)*I70, 2)</f>
        <v>0</v>
      </c>
      <c r="V70" s="9">
        <f>ROUND(ROUND(P70, 2)/1.2, 2)</f>
        <v>42.5</v>
      </c>
      <c r="Y70" s="9">
        <f t="shared" si="7"/>
        <v>0</v>
      </c>
      <c r="AD70" s="4" t="s">
        <v>261</v>
      </c>
      <c r="AE70" s="4" t="s">
        <v>262</v>
      </c>
      <c r="AF70" s="4" t="s">
        <v>251</v>
      </c>
    </row>
    <row r="71" spans="1:35" ht="54" x14ac:dyDescent="0.3">
      <c r="A71" s="10" t="s">
        <v>263</v>
      </c>
      <c r="B71" s="10"/>
      <c r="C71" s="21" t="s">
        <v>243</v>
      </c>
      <c r="D71" s="12"/>
      <c r="E71" s="12"/>
      <c r="F71" s="17" t="s">
        <v>59</v>
      </c>
      <c r="G71" s="18">
        <v>1.1000000000000001</v>
      </c>
      <c r="H71" s="22"/>
      <c r="I71" s="22">
        <v>0</v>
      </c>
      <c r="J71" s="19">
        <v>1339</v>
      </c>
      <c r="M71" s="20">
        <f>ROUND(ROUND(J71, 2)*I71, 2)</f>
        <v>0</v>
      </c>
      <c r="P71" s="19">
        <v>1339</v>
      </c>
      <c r="S71" s="20">
        <f>ROUND(ROUND(P71, 2)*I71, 2)</f>
        <v>0</v>
      </c>
      <c r="V71" s="9">
        <f>ROUND(ROUND(P71, 2)/1.2, 2)</f>
        <v>1115.83</v>
      </c>
      <c r="Y71" s="9">
        <f t="shared" si="7"/>
        <v>0</v>
      </c>
      <c r="AD71" s="4" t="s">
        <v>264</v>
      </c>
      <c r="AE71" s="4" t="s">
        <v>265</v>
      </c>
      <c r="AF71" s="4" t="s">
        <v>246</v>
      </c>
    </row>
    <row r="72" spans="1:35" ht="90" x14ac:dyDescent="0.3">
      <c r="A72" s="10" t="s">
        <v>266</v>
      </c>
      <c r="B72" s="10" t="s">
        <v>219</v>
      </c>
      <c r="C72" s="11" t="s">
        <v>220</v>
      </c>
      <c r="D72" s="12" t="s">
        <v>221</v>
      </c>
      <c r="E72" s="12" t="s">
        <v>267</v>
      </c>
      <c r="F72" s="12" t="s">
        <v>59</v>
      </c>
      <c r="G72" s="13">
        <v>1</v>
      </c>
      <c r="H72" s="13"/>
      <c r="I72" s="13">
        <v>435.4</v>
      </c>
      <c r="J72" s="14">
        <v>1580.6</v>
      </c>
      <c r="K72" s="15">
        <v>556</v>
      </c>
      <c r="L72" s="14">
        <f>J72+ROUND(K72, 2)</f>
        <v>2136.6</v>
      </c>
      <c r="M72" s="14">
        <v>688193.24</v>
      </c>
      <c r="N72" s="14">
        <v>242082.4</v>
      </c>
      <c r="O72" s="14">
        <f>M72+N72</f>
        <v>930275.64</v>
      </c>
      <c r="P72" s="14">
        <v>1580.6</v>
      </c>
      <c r="Q72" s="15">
        <v>834</v>
      </c>
      <c r="R72" s="14">
        <f>P72+ROUND(Q72, 2)</f>
        <v>2414.6</v>
      </c>
      <c r="S72" s="14">
        <v>688193.24</v>
      </c>
      <c r="T72" s="14">
        <v>363123.6</v>
      </c>
      <c r="U72" s="14">
        <f>S72+T72</f>
        <v>1051316.8399999999</v>
      </c>
      <c r="V72" s="9">
        <f>ROUND(P72 / 1.2, 2)</f>
        <v>1317.17</v>
      </c>
      <c r="W72" s="9">
        <f>ROUND(Q72 / 1.2, 2)</f>
        <v>695</v>
      </c>
      <c r="X72" s="9">
        <f>ROUND(R72 / 1.2, 2)</f>
        <v>2012.17</v>
      </c>
      <c r="Y72" s="9">
        <f t="shared" si="7"/>
        <v>573494.37</v>
      </c>
      <c r="Z72" s="9">
        <f>ROUND(T72 / 1.2, 2)</f>
        <v>302603</v>
      </c>
      <c r="AA72" s="9">
        <f>Y72+Z72</f>
        <v>876097.37</v>
      </c>
      <c r="AD72" s="4">
        <v>315889915</v>
      </c>
      <c r="AE72" s="4">
        <v>27245780</v>
      </c>
      <c r="AG72" s="4" t="s">
        <v>222</v>
      </c>
      <c r="AH72" s="4" t="s">
        <v>223</v>
      </c>
      <c r="AI72" s="4" t="s">
        <v>224</v>
      </c>
    </row>
    <row r="73" spans="1:35" ht="72" x14ac:dyDescent="0.3">
      <c r="A73" s="10" t="s">
        <v>268</v>
      </c>
      <c r="B73" s="10"/>
      <c r="C73" s="21" t="s">
        <v>237</v>
      </c>
      <c r="D73" s="12"/>
      <c r="E73" s="12" t="s">
        <v>269</v>
      </c>
      <c r="F73" s="17" t="s">
        <v>59</v>
      </c>
      <c r="G73" s="18">
        <v>1.1000000000000001</v>
      </c>
      <c r="H73" s="22"/>
      <c r="I73" s="22">
        <v>478.94</v>
      </c>
      <c r="J73" s="19">
        <v>1339</v>
      </c>
      <c r="M73" s="20">
        <f>ROUND(ROUND(J73, 2)*I73, 2)</f>
        <v>641300.66</v>
      </c>
      <c r="P73" s="19">
        <v>1339</v>
      </c>
      <c r="S73" s="20">
        <f>ROUND(ROUND(P73, 2)*I73, 2)</f>
        <v>641300.66</v>
      </c>
      <c r="V73" s="9">
        <f>ROUND(ROUND(P73, 2)/1.2, 2)</f>
        <v>1115.83</v>
      </c>
      <c r="Y73" s="9">
        <f t="shared" si="7"/>
        <v>534417.22</v>
      </c>
      <c r="AD73" s="4" t="s">
        <v>270</v>
      </c>
      <c r="AE73" s="4" t="s">
        <v>271</v>
      </c>
      <c r="AF73" s="4" t="s">
        <v>240</v>
      </c>
    </row>
    <row r="74" spans="1:35" ht="72" x14ac:dyDescent="0.3">
      <c r="A74" s="10" t="s">
        <v>272</v>
      </c>
      <c r="B74" s="10"/>
      <c r="C74" s="21" t="s">
        <v>232</v>
      </c>
      <c r="D74" s="12"/>
      <c r="E74" s="12"/>
      <c r="F74" s="17" t="s">
        <v>76</v>
      </c>
      <c r="G74" s="18">
        <v>1</v>
      </c>
      <c r="H74" s="22"/>
      <c r="I74" s="22">
        <v>356</v>
      </c>
      <c r="J74" s="19">
        <v>51</v>
      </c>
      <c r="M74" s="20">
        <f>ROUND(ROUND(J74, 2)*I74, 2)</f>
        <v>18156</v>
      </c>
      <c r="P74" s="19">
        <v>51</v>
      </c>
      <c r="S74" s="20">
        <f>ROUND(ROUND(P74, 2)*I74, 2)</f>
        <v>18156</v>
      </c>
      <c r="V74" s="9">
        <f>ROUND(ROUND(P74, 2)/1.2, 2)</f>
        <v>42.5</v>
      </c>
      <c r="Y74" s="9">
        <f t="shared" si="7"/>
        <v>15130</v>
      </c>
      <c r="AD74" s="4" t="s">
        <v>273</v>
      </c>
      <c r="AE74" s="4" t="s">
        <v>274</v>
      </c>
      <c r="AF74" s="4" t="s">
        <v>235</v>
      </c>
    </row>
    <row r="75" spans="1:35" ht="18" x14ac:dyDescent="0.3">
      <c r="A75" s="10" t="s">
        <v>275</v>
      </c>
      <c r="B75" s="10"/>
      <c r="C75" s="16" t="s">
        <v>226</v>
      </c>
      <c r="D75" s="12"/>
      <c r="E75" s="12"/>
      <c r="F75" s="17" t="s">
        <v>227</v>
      </c>
      <c r="G75" s="18">
        <v>0.3</v>
      </c>
      <c r="H75" s="18"/>
      <c r="I75" s="18">
        <v>130.62</v>
      </c>
      <c r="J75" s="19">
        <v>220</v>
      </c>
      <c r="M75" s="20">
        <f>ROUND(ROUND(J75, 2)*I75, 2)</f>
        <v>28736.400000000001</v>
      </c>
      <c r="P75" s="19">
        <v>220</v>
      </c>
      <c r="S75" s="20">
        <f>ROUND(ROUND(P75, 2)*I75, 2)</f>
        <v>28736.400000000001</v>
      </c>
      <c r="V75" s="9">
        <f>ROUND(ROUND(P75, 2)/1.2, 2)</f>
        <v>183.33</v>
      </c>
      <c r="Y75" s="9">
        <f t="shared" si="7"/>
        <v>23947</v>
      </c>
      <c r="AD75" s="4" t="s">
        <v>276</v>
      </c>
      <c r="AE75" s="4" t="s">
        <v>277</v>
      </c>
      <c r="AF75" s="4" t="s">
        <v>230</v>
      </c>
    </row>
    <row r="76" spans="1:35" ht="90" x14ac:dyDescent="0.3">
      <c r="A76" s="10" t="s">
        <v>278</v>
      </c>
      <c r="B76" s="10" t="s">
        <v>219</v>
      </c>
      <c r="C76" s="11" t="s">
        <v>220</v>
      </c>
      <c r="D76" s="12" t="s">
        <v>221</v>
      </c>
      <c r="E76" s="12" t="s">
        <v>279</v>
      </c>
      <c r="F76" s="12" t="s">
        <v>59</v>
      </c>
      <c r="G76" s="13">
        <v>1</v>
      </c>
      <c r="H76" s="13"/>
      <c r="I76" s="13">
        <v>1236</v>
      </c>
      <c r="J76" s="14">
        <v>1562.05</v>
      </c>
      <c r="K76" s="15">
        <v>556</v>
      </c>
      <c r="L76" s="14">
        <f>J76+ROUND(K76, 2)</f>
        <v>2118.0500000000002</v>
      </c>
      <c r="M76" s="14">
        <v>1930693.8</v>
      </c>
      <c r="N76" s="14">
        <v>687216</v>
      </c>
      <c r="O76" s="14">
        <f>M76+N76</f>
        <v>2617909.7999999998</v>
      </c>
      <c r="P76" s="14">
        <v>1562.05</v>
      </c>
      <c r="Q76" s="15">
        <v>834</v>
      </c>
      <c r="R76" s="14">
        <f>P76+ROUND(Q76, 2)</f>
        <v>2396.0500000000002</v>
      </c>
      <c r="S76" s="14">
        <v>1930693.8</v>
      </c>
      <c r="T76" s="14">
        <v>1030824</v>
      </c>
      <c r="U76" s="14">
        <f>S76+T76</f>
        <v>2961517.8</v>
      </c>
      <c r="V76" s="9">
        <f>ROUND(P76 / 1.2, 2)</f>
        <v>1301.71</v>
      </c>
      <c r="W76" s="9">
        <f>ROUND(Q76 / 1.2, 2)</f>
        <v>695</v>
      </c>
      <c r="X76" s="9">
        <f>ROUND(R76 / 1.2, 2)</f>
        <v>1996.71</v>
      </c>
      <c r="Y76" s="9">
        <f t="shared" si="7"/>
        <v>1608911.5</v>
      </c>
      <c r="Z76" s="9">
        <f>ROUND(T76 / 1.2, 2)</f>
        <v>859020</v>
      </c>
      <c r="AA76" s="9">
        <f>Y76+Z76</f>
        <v>2467931.5</v>
      </c>
      <c r="AD76" s="4">
        <v>315889916</v>
      </c>
      <c r="AE76" s="4">
        <v>27245779</v>
      </c>
      <c r="AG76" s="4" t="s">
        <v>222</v>
      </c>
      <c r="AH76" s="4" t="s">
        <v>223</v>
      </c>
      <c r="AI76" s="4" t="s">
        <v>224</v>
      </c>
    </row>
    <row r="77" spans="1:35" ht="18" x14ac:dyDescent="0.3">
      <c r="A77" s="10" t="s">
        <v>280</v>
      </c>
      <c r="B77" s="10"/>
      <c r="C77" s="16" t="s">
        <v>226</v>
      </c>
      <c r="D77" s="12"/>
      <c r="E77" s="12"/>
      <c r="F77" s="17" t="s">
        <v>227</v>
      </c>
      <c r="G77" s="18">
        <v>0.3</v>
      </c>
      <c r="H77" s="18"/>
      <c r="I77" s="18">
        <v>370.8</v>
      </c>
      <c r="J77" s="19">
        <v>220</v>
      </c>
      <c r="M77" s="20">
        <f>ROUND(ROUND(J77, 2)*I77, 2)</f>
        <v>81576</v>
      </c>
      <c r="P77" s="19">
        <v>220</v>
      </c>
      <c r="S77" s="20">
        <f>ROUND(ROUND(P77, 2)*I77, 2)</f>
        <v>81576</v>
      </c>
      <c r="V77" s="9">
        <f>ROUND(ROUND(P77, 2)/1.2, 2)</f>
        <v>183.33</v>
      </c>
      <c r="Y77" s="9">
        <f t="shared" si="7"/>
        <v>67980</v>
      </c>
      <c r="AD77" s="4" t="s">
        <v>281</v>
      </c>
      <c r="AE77" s="4" t="s">
        <v>282</v>
      </c>
      <c r="AF77" s="4" t="s">
        <v>230</v>
      </c>
    </row>
    <row r="78" spans="1:35" ht="72" x14ac:dyDescent="0.3">
      <c r="A78" s="10" t="s">
        <v>283</v>
      </c>
      <c r="B78" s="10"/>
      <c r="C78" s="21" t="s">
        <v>248</v>
      </c>
      <c r="D78" s="12"/>
      <c r="E78" s="12"/>
      <c r="F78" s="17" t="s">
        <v>76</v>
      </c>
      <c r="G78" s="18">
        <v>1</v>
      </c>
      <c r="H78" s="22"/>
      <c r="I78" s="22">
        <v>561</v>
      </c>
      <c r="J78" s="19">
        <v>51</v>
      </c>
      <c r="M78" s="20">
        <f>ROUND(ROUND(J78, 2)*I78, 2)</f>
        <v>28611</v>
      </c>
      <c r="P78" s="19">
        <v>51</v>
      </c>
      <c r="S78" s="20">
        <f>ROUND(ROUND(P78, 2)*I78, 2)</f>
        <v>28611</v>
      </c>
      <c r="V78" s="9">
        <f>ROUND(ROUND(P78, 2)/1.2, 2)</f>
        <v>42.5</v>
      </c>
      <c r="Y78" s="9">
        <f t="shared" si="7"/>
        <v>23842.5</v>
      </c>
      <c r="AD78" s="4" t="s">
        <v>284</v>
      </c>
      <c r="AE78" s="4" t="s">
        <v>285</v>
      </c>
      <c r="AF78" s="4" t="s">
        <v>251</v>
      </c>
    </row>
    <row r="79" spans="1:35" ht="54" x14ac:dyDescent="0.3">
      <c r="A79" s="10" t="s">
        <v>286</v>
      </c>
      <c r="B79" s="10"/>
      <c r="C79" s="21" t="s">
        <v>243</v>
      </c>
      <c r="D79" s="12"/>
      <c r="E79" s="12"/>
      <c r="F79" s="17" t="s">
        <v>59</v>
      </c>
      <c r="G79" s="18">
        <v>1.1000000000000001</v>
      </c>
      <c r="H79" s="22"/>
      <c r="I79" s="22">
        <v>1359.6</v>
      </c>
      <c r="J79" s="19">
        <v>1339</v>
      </c>
      <c r="M79" s="20">
        <f>ROUND(ROUND(J79, 2)*I79, 2)</f>
        <v>1820504.4</v>
      </c>
      <c r="P79" s="19">
        <v>1339</v>
      </c>
      <c r="S79" s="20">
        <f>ROUND(ROUND(P79, 2)*I79, 2)</f>
        <v>1820504.4</v>
      </c>
      <c r="V79" s="9">
        <f>ROUND(ROUND(P79, 2)/1.2, 2)</f>
        <v>1115.83</v>
      </c>
      <c r="Y79" s="9">
        <f t="shared" si="7"/>
        <v>1517087</v>
      </c>
      <c r="AD79" s="4" t="s">
        <v>287</v>
      </c>
      <c r="AE79" s="4" t="s">
        <v>288</v>
      </c>
      <c r="AF79" s="4" t="s">
        <v>246</v>
      </c>
    </row>
    <row r="80" spans="1:35" ht="90" x14ac:dyDescent="0.3">
      <c r="A80" s="10" t="s">
        <v>289</v>
      </c>
      <c r="B80" s="10" t="s">
        <v>219</v>
      </c>
      <c r="C80" s="11" t="s">
        <v>220</v>
      </c>
      <c r="D80" s="12" t="s">
        <v>221</v>
      </c>
      <c r="E80" s="12" t="s">
        <v>256</v>
      </c>
      <c r="F80" s="12" t="s">
        <v>59</v>
      </c>
      <c r="G80" s="13">
        <v>1</v>
      </c>
      <c r="H80" s="13"/>
      <c r="I80" s="13">
        <v>2276</v>
      </c>
      <c r="J80" s="14">
        <v>89.15</v>
      </c>
      <c r="K80" s="15">
        <v>556</v>
      </c>
      <c r="L80" s="14">
        <f>J80+ROUND(K80, 2)</f>
        <v>645.15</v>
      </c>
      <c r="M80" s="14">
        <v>202905.4</v>
      </c>
      <c r="N80" s="14">
        <v>1265456</v>
      </c>
      <c r="O80" s="14">
        <f>M80+N80</f>
        <v>1468361.4</v>
      </c>
      <c r="P80" s="14">
        <v>89.15</v>
      </c>
      <c r="Q80" s="15">
        <v>834</v>
      </c>
      <c r="R80" s="14">
        <f>P80+ROUND(Q80, 2)</f>
        <v>923.15</v>
      </c>
      <c r="S80" s="14">
        <v>202905.4</v>
      </c>
      <c r="T80" s="14">
        <v>1898184</v>
      </c>
      <c r="U80" s="14">
        <f>S80+T80</f>
        <v>2101089.4</v>
      </c>
      <c r="V80" s="9">
        <f>ROUND(P80 / 1.2, 2)</f>
        <v>74.290000000000006</v>
      </c>
      <c r="W80" s="9">
        <f>ROUND(Q80 / 1.2, 2)</f>
        <v>695</v>
      </c>
      <c r="X80" s="9">
        <f>ROUND(R80 / 1.2, 2)</f>
        <v>769.29</v>
      </c>
      <c r="Y80" s="9">
        <f t="shared" si="7"/>
        <v>169087.83</v>
      </c>
      <c r="Z80" s="9">
        <f>ROUND(T80 / 1.2, 2)</f>
        <v>1581820</v>
      </c>
      <c r="AA80" s="9">
        <f>Y80+Z80</f>
        <v>1750907.83</v>
      </c>
      <c r="AD80" s="4">
        <v>315889917</v>
      </c>
      <c r="AE80" s="4">
        <v>27245782</v>
      </c>
      <c r="AG80" s="4" t="s">
        <v>222</v>
      </c>
      <c r="AH80" s="4" t="s">
        <v>223</v>
      </c>
      <c r="AI80" s="4" t="s">
        <v>224</v>
      </c>
    </row>
    <row r="81" spans="1:35" ht="72" x14ac:dyDescent="0.3">
      <c r="A81" s="10" t="s">
        <v>290</v>
      </c>
      <c r="B81" s="10"/>
      <c r="C81" s="21" t="s">
        <v>248</v>
      </c>
      <c r="D81" s="12"/>
      <c r="E81" s="12"/>
      <c r="F81" s="17" t="s">
        <v>76</v>
      </c>
      <c r="G81" s="18">
        <v>1</v>
      </c>
      <c r="H81" s="22"/>
      <c r="I81" s="22">
        <v>1033</v>
      </c>
      <c r="J81" s="19">
        <v>51</v>
      </c>
      <c r="M81" s="20">
        <f>ROUND(ROUND(J81, 2)*I81, 2)</f>
        <v>52683</v>
      </c>
      <c r="P81" s="19">
        <v>51</v>
      </c>
      <c r="S81" s="20">
        <f>ROUND(ROUND(P81, 2)*I81, 2)</f>
        <v>52683</v>
      </c>
      <c r="V81" s="9">
        <f>ROUND(ROUND(P81, 2)/1.2, 2)</f>
        <v>42.5</v>
      </c>
      <c r="Y81" s="9">
        <f t="shared" si="7"/>
        <v>43902.5</v>
      </c>
      <c r="AD81" s="4" t="s">
        <v>291</v>
      </c>
      <c r="AE81" s="4" t="s">
        <v>292</v>
      </c>
      <c r="AF81" s="4" t="s">
        <v>251</v>
      </c>
    </row>
    <row r="82" spans="1:35" ht="18" x14ac:dyDescent="0.3">
      <c r="A82" s="10" t="s">
        <v>293</v>
      </c>
      <c r="B82" s="10"/>
      <c r="C82" s="16" t="s">
        <v>226</v>
      </c>
      <c r="D82" s="12"/>
      <c r="E82" s="12"/>
      <c r="F82" s="17" t="s">
        <v>227</v>
      </c>
      <c r="G82" s="18">
        <v>0.3</v>
      </c>
      <c r="H82" s="18"/>
      <c r="I82" s="18">
        <v>682.8</v>
      </c>
      <c r="J82" s="19">
        <v>220</v>
      </c>
      <c r="M82" s="20">
        <f>ROUND(ROUND(J82, 2)*I82, 2)</f>
        <v>150216</v>
      </c>
      <c r="P82" s="19">
        <v>220</v>
      </c>
      <c r="S82" s="20">
        <f>ROUND(ROUND(P82, 2)*I82, 2)</f>
        <v>150216</v>
      </c>
      <c r="V82" s="9">
        <f>ROUND(ROUND(P82, 2)/1.2, 2)</f>
        <v>183.33</v>
      </c>
      <c r="Y82" s="9">
        <f t="shared" si="7"/>
        <v>125180</v>
      </c>
      <c r="AD82" s="4" t="s">
        <v>294</v>
      </c>
      <c r="AE82" s="4" t="s">
        <v>295</v>
      </c>
      <c r="AF82" s="4" t="s">
        <v>230</v>
      </c>
    </row>
    <row r="83" spans="1:35" ht="18" x14ac:dyDescent="0.3">
      <c r="A83" s="10" t="s">
        <v>296</v>
      </c>
      <c r="B83" s="10" t="s">
        <v>297</v>
      </c>
      <c r="C83" s="11" t="s">
        <v>298</v>
      </c>
      <c r="D83" s="12"/>
      <c r="E83" s="12"/>
      <c r="F83" s="12" t="s">
        <v>76</v>
      </c>
      <c r="G83" s="13">
        <v>1</v>
      </c>
      <c r="H83" s="13"/>
      <c r="I83" s="13">
        <v>0</v>
      </c>
      <c r="J83" s="14">
        <v>0</v>
      </c>
      <c r="K83" s="15">
        <v>200</v>
      </c>
      <c r="L83" s="14">
        <f>J83+ROUND(K83, 2)</f>
        <v>200</v>
      </c>
      <c r="M83" s="14">
        <v>0</v>
      </c>
      <c r="N83" s="14">
        <v>0</v>
      </c>
      <c r="O83" s="14">
        <f>M83+N83</f>
        <v>0</v>
      </c>
      <c r="P83" s="14">
        <v>577.48</v>
      </c>
      <c r="Q83" s="15">
        <v>200</v>
      </c>
      <c r="R83" s="14">
        <f>P83+ROUND(Q83, 2)</f>
        <v>777.48</v>
      </c>
      <c r="S83" s="14">
        <v>0</v>
      </c>
      <c r="T83" s="14">
        <v>0</v>
      </c>
      <c r="U83" s="14">
        <f>S83+T83</f>
        <v>0</v>
      </c>
      <c r="V83" s="9">
        <f>ROUND(P83 / 1.2, 2)</f>
        <v>481.23</v>
      </c>
      <c r="W83" s="9">
        <f>ROUND(Q83 / 1.2, 2)</f>
        <v>166.67</v>
      </c>
      <c r="X83" s="9">
        <f>ROUND(R83 / 1.2, 2)</f>
        <v>647.9</v>
      </c>
      <c r="Y83" s="9">
        <f t="shared" si="7"/>
        <v>0</v>
      </c>
      <c r="Z83" s="9">
        <f>ROUND(T83 / 1.2, 2)</f>
        <v>0</v>
      </c>
      <c r="AA83" s="9">
        <f>Y83+Z83</f>
        <v>0</v>
      </c>
      <c r="AD83" s="4">
        <v>315889919</v>
      </c>
      <c r="AE83" s="4">
        <v>27245706</v>
      </c>
      <c r="AG83" s="4" t="s">
        <v>299</v>
      </c>
      <c r="AH83" s="4" t="s">
        <v>300</v>
      </c>
      <c r="AI83" s="4" t="s">
        <v>224</v>
      </c>
    </row>
    <row r="84" spans="1:35" ht="36" x14ac:dyDescent="0.3">
      <c r="A84" s="10" t="s">
        <v>301</v>
      </c>
      <c r="B84" s="10"/>
      <c r="C84" s="16" t="s">
        <v>302</v>
      </c>
      <c r="D84" s="12"/>
      <c r="E84" s="12"/>
      <c r="F84" s="17" t="s">
        <v>76</v>
      </c>
      <c r="G84" s="18">
        <v>1.1000000000000001</v>
      </c>
      <c r="H84" s="22"/>
      <c r="I84" s="22">
        <v>0</v>
      </c>
      <c r="J84" s="19">
        <v>0</v>
      </c>
      <c r="M84" s="20">
        <f>ROUND(ROUND(J84, 2)*I84, 2)</f>
        <v>0</v>
      </c>
      <c r="P84" s="19">
        <v>516.79999999999995</v>
      </c>
      <c r="S84" s="20">
        <f>ROUND(ROUND(P84, 2)*I84, 2)</f>
        <v>0</v>
      </c>
      <c r="V84" s="9">
        <f>ROUND(ROUND(P84, 2)/1.2, 2)</f>
        <v>430.67</v>
      </c>
      <c r="Y84" s="9">
        <f t="shared" si="7"/>
        <v>0</v>
      </c>
      <c r="AD84" s="4" t="s">
        <v>303</v>
      </c>
      <c r="AE84" s="4" t="s">
        <v>304</v>
      </c>
      <c r="AF84" s="4" t="s">
        <v>305</v>
      </c>
    </row>
    <row r="85" spans="1:35" ht="18" x14ac:dyDescent="0.3">
      <c r="A85" s="10" t="s">
        <v>306</v>
      </c>
      <c r="B85" s="10"/>
      <c r="C85" s="16" t="s">
        <v>307</v>
      </c>
      <c r="D85" s="12"/>
      <c r="E85" s="12"/>
      <c r="F85" s="17" t="s">
        <v>308</v>
      </c>
      <c r="G85" s="23">
        <v>0.09</v>
      </c>
      <c r="H85" s="18"/>
      <c r="I85" s="18">
        <v>0</v>
      </c>
      <c r="J85" s="19">
        <v>100</v>
      </c>
      <c r="M85" s="20">
        <f>ROUND(ROUND(J85, 2)*I85, 2)</f>
        <v>0</v>
      </c>
      <c r="P85" s="19">
        <v>100</v>
      </c>
      <c r="S85" s="20">
        <f>ROUND(ROUND(P85, 2)*I85, 2)</f>
        <v>0</v>
      </c>
      <c r="V85" s="9">
        <f>ROUND(ROUND(P85, 2)/1.2, 2)</f>
        <v>83.33</v>
      </c>
      <c r="Y85" s="9">
        <f t="shared" si="7"/>
        <v>0</v>
      </c>
      <c r="AD85" s="4" t="s">
        <v>309</v>
      </c>
      <c r="AE85" s="4" t="s">
        <v>310</v>
      </c>
      <c r="AF85" s="4" t="s">
        <v>311</v>
      </c>
    </row>
    <row r="86" spans="1:35" ht="18" x14ac:dyDescent="0.3">
      <c r="A86" s="10" t="s">
        <v>312</v>
      </c>
      <c r="B86" s="10" t="s">
        <v>297</v>
      </c>
      <c r="C86" s="11" t="s">
        <v>298</v>
      </c>
      <c r="D86" s="12"/>
      <c r="E86" s="12"/>
      <c r="F86" s="12" t="s">
        <v>76</v>
      </c>
      <c r="G86" s="13">
        <v>1</v>
      </c>
      <c r="H86" s="13"/>
      <c r="I86" s="13">
        <v>0</v>
      </c>
      <c r="J86" s="14">
        <v>0</v>
      </c>
      <c r="K86" s="15">
        <v>200</v>
      </c>
      <c r="L86" s="14">
        <f>J86+ROUND(K86, 2)</f>
        <v>200</v>
      </c>
      <c r="M86" s="14">
        <v>0</v>
      </c>
      <c r="N86" s="14">
        <v>0</v>
      </c>
      <c r="O86" s="14">
        <f>M86+N86</f>
        <v>0</v>
      </c>
      <c r="P86" s="14">
        <v>577.48</v>
      </c>
      <c r="Q86" s="15">
        <v>200</v>
      </c>
      <c r="R86" s="14">
        <f>P86+ROUND(Q86, 2)</f>
        <v>777.48</v>
      </c>
      <c r="S86" s="14">
        <v>0</v>
      </c>
      <c r="T86" s="14">
        <v>0</v>
      </c>
      <c r="U86" s="14">
        <f>S86+T86</f>
        <v>0</v>
      </c>
      <c r="V86" s="9">
        <f>ROUND(P86 / 1.2, 2)</f>
        <v>481.23</v>
      </c>
      <c r="W86" s="9">
        <f>ROUND(Q86 / 1.2, 2)</f>
        <v>166.67</v>
      </c>
      <c r="X86" s="9">
        <f>ROUND(R86 / 1.2, 2)</f>
        <v>647.9</v>
      </c>
      <c r="Y86" s="9">
        <f t="shared" si="7"/>
        <v>0</v>
      </c>
      <c r="Z86" s="9">
        <f>ROUND(T86 / 1.2, 2)</f>
        <v>0</v>
      </c>
      <c r="AA86" s="9">
        <f>Y86+Z86</f>
        <v>0</v>
      </c>
      <c r="AD86" s="4">
        <v>315889920</v>
      </c>
      <c r="AE86" s="4">
        <v>27245707</v>
      </c>
      <c r="AG86" s="4" t="s">
        <v>299</v>
      </c>
      <c r="AH86" s="4" t="s">
        <v>300</v>
      </c>
      <c r="AI86" s="4" t="s">
        <v>224</v>
      </c>
    </row>
    <row r="87" spans="1:35" ht="18" x14ac:dyDescent="0.3">
      <c r="A87" s="10" t="s">
        <v>313</v>
      </c>
      <c r="B87" s="10"/>
      <c r="C87" s="16" t="s">
        <v>307</v>
      </c>
      <c r="D87" s="12"/>
      <c r="E87" s="12"/>
      <c r="F87" s="17" t="s">
        <v>308</v>
      </c>
      <c r="G87" s="23">
        <v>0.09</v>
      </c>
      <c r="H87" s="18"/>
      <c r="I87" s="18">
        <v>0</v>
      </c>
      <c r="J87" s="19">
        <v>100</v>
      </c>
      <c r="M87" s="20">
        <f>ROUND(ROUND(J87, 2)*I87, 2)</f>
        <v>0</v>
      </c>
      <c r="P87" s="19">
        <v>100</v>
      </c>
      <c r="S87" s="20">
        <f>ROUND(ROUND(P87, 2)*I87, 2)</f>
        <v>0</v>
      </c>
      <c r="V87" s="9">
        <f>ROUND(ROUND(P87, 2)/1.2, 2)</f>
        <v>83.33</v>
      </c>
      <c r="Y87" s="9">
        <f t="shared" si="7"/>
        <v>0</v>
      </c>
      <c r="AD87" s="4" t="s">
        <v>314</v>
      </c>
      <c r="AE87" s="4" t="s">
        <v>315</v>
      </c>
      <c r="AF87" s="4" t="s">
        <v>311</v>
      </c>
    </row>
    <row r="88" spans="1:35" ht="36" x14ac:dyDescent="0.3">
      <c r="A88" s="10" t="s">
        <v>316</v>
      </c>
      <c r="B88" s="10"/>
      <c r="C88" s="16" t="s">
        <v>302</v>
      </c>
      <c r="D88" s="12"/>
      <c r="E88" s="12"/>
      <c r="F88" s="17" t="s">
        <v>76</v>
      </c>
      <c r="G88" s="18">
        <v>1.1000000000000001</v>
      </c>
      <c r="H88" s="22"/>
      <c r="I88" s="22">
        <v>0</v>
      </c>
      <c r="J88" s="19">
        <v>0</v>
      </c>
      <c r="M88" s="20">
        <f>ROUND(ROUND(J88, 2)*I88, 2)</f>
        <v>0</v>
      </c>
      <c r="P88" s="19">
        <v>516.79999999999995</v>
      </c>
      <c r="S88" s="20">
        <f>ROUND(ROUND(P88, 2)*I88, 2)</f>
        <v>0</v>
      </c>
      <c r="V88" s="9">
        <f>ROUND(ROUND(P88, 2)/1.2, 2)</f>
        <v>430.67</v>
      </c>
      <c r="Y88" s="9">
        <f t="shared" si="7"/>
        <v>0</v>
      </c>
      <c r="AD88" s="4" t="s">
        <v>317</v>
      </c>
      <c r="AE88" s="4" t="s">
        <v>318</v>
      </c>
      <c r="AF88" s="4" t="s">
        <v>305</v>
      </c>
    </row>
    <row r="89" spans="1:35" ht="18" x14ac:dyDescent="0.3">
      <c r="A89" s="10" t="s">
        <v>319</v>
      </c>
      <c r="B89" s="10" t="s">
        <v>297</v>
      </c>
      <c r="C89" s="11" t="s">
        <v>298</v>
      </c>
      <c r="D89" s="12"/>
      <c r="E89" s="12"/>
      <c r="F89" s="12" t="s">
        <v>76</v>
      </c>
      <c r="G89" s="13">
        <v>1</v>
      </c>
      <c r="H89" s="13"/>
      <c r="I89" s="13">
        <v>0</v>
      </c>
      <c r="J89" s="14">
        <v>0</v>
      </c>
      <c r="K89" s="15">
        <v>200</v>
      </c>
      <c r="L89" s="14">
        <f>J89+ROUND(K89, 2)</f>
        <v>200</v>
      </c>
      <c r="M89" s="14">
        <v>0</v>
      </c>
      <c r="N89" s="14">
        <v>0</v>
      </c>
      <c r="O89" s="14">
        <f>M89+N89</f>
        <v>0</v>
      </c>
      <c r="P89" s="14">
        <v>577.48</v>
      </c>
      <c r="Q89" s="15">
        <v>200</v>
      </c>
      <c r="R89" s="14">
        <f>P89+ROUND(Q89, 2)</f>
        <v>777.48</v>
      </c>
      <c r="S89" s="14">
        <v>0</v>
      </c>
      <c r="T89" s="14">
        <v>0</v>
      </c>
      <c r="U89" s="14">
        <f>S89+T89</f>
        <v>0</v>
      </c>
      <c r="V89" s="9">
        <f>ROUND(P89 / 1.2, 2)</f>
        <v>481.23</v>
      </c>
      <c r="W89" s="9">
        <f>ROUND(Q89 / 1.2, 2)</f>
        <v>166.67</v>
      </c>
      <c r="X89" s="9">
        <f>ROUND(R89 / 1.2, 2)</f>
        <v>647.9</v>
      </c>
      <c r="Y89" s="9">
        <f t="shared" si="7"/>
        <v>0</v>
      </c>
      <c r="Z89" s="9">
        <f>ROUND(T89 / 1.2, 2)</f>
        <v>0</v>
      </c>
      <c r="AA89" s="9">
        <f>Y89+Z89</f>
        <v>0</v>
      </c>
      <c r="AD89" s="4">
        <v>315889921</v>
      </c>
      <c r="AE89" s="4">
        <v>27245708</v>
      </c>
      <c r="AG89" s="4" t="s">
        <v>299</v>
      </c>
      <c r="AH89" s="4" t="s">
        <v>300</v>
      </c>
      <c r="AI89" s="4" t="s">
        <v>224</v>
      </c>
    </row>
    <row r="90" spans="1:35" ht="36" x14ac:dyDescent="0.3">
      <c r="A90" s="10" t="s">
        <v>320</v>
      </c>
      <c r="B90" s="10"/>
      <c r="C90" s="16" t="s">
        <v>302</v>
      </c>
      <c r="D90" s="12"/>
      <c r="E90" s="12"/>
      <c r="F90" s="17" t="s">
        <v>76</v>
      </c>
      <c r="G90" s="18">
        <v>1.1000000000000001</v>
      </c>
      <c r="H90" s="22"/>
      <c r="I90" s="22">
        <v>0</v>
      </c>
      <c r="J90" s="19">
        <v>0</v>
      </c>
      <c r="M90" s="20">
        <f>ROUND(ROUND(J90, 2)*I90, 2)</f>
        <v>0</v>
      </c>
      <c r="P90" s="19">
        <v>516.79999999999995</v>
      </c>
      <c r="S90" s="20">
        <f>ROUND(ROUND(P90, 2)*I90, 2)</f>
        <v>0</v>
      </c>
      <c r="V90" s="9">
        <f>ROUND(ROUND(P90, 2)/1.2, 2)</f>
        <v>430.67</v>
      </c>
      <c r="Y90" s="9">
        <f t="shared" si="7"/>
        <v>0</v>
      </c>
      <c r="AD90" s="4" t="s">
        <v>321</v>
      </c>
      <c r="AE90" s="4" t="s">
        <v>322</v>
      </c>
      <c r="AF90" s="4" t="s">
        <v>305</v>
      </c>
    </row>
    <row r="91" spans="1:35" ht="18" x14ac:dyDescent="0.3">
      <c r="A91" s="10" t="s">
        <v>323</v>
      </c>
      <c r="B91" s="10"/>
      <c r="C91" s="16" t="s">
        <v>307</v>
      </c>
      <c r="D91" s="12"/>
      <c r="E91" s="12"/>
      <c r="F91" s="17" t="s">
        <v>308</v>
      </c>
      <c r="G91" s="23">
        <v>0.09</v>
      </c>
      <c r="H91" s="18"/>
      <c r="I91" s="18">
        <v>0</v>
      </c>
      <c r="J91" s="19">
        <v>100</v>
      </c>
      <c r="M91" s="20">
        <f>ROUND(ROUND(J91, 2)*I91, 2)</f>
        <v>0</v>
      </c>
      <c r="P91" s="19">
        <v>100</v>
      </c>
      <c r="S91" s="20">
        <f>ROUND(ROUND(P91, 2)*I91, 2)</f>
        <v>0</v>
      </c>
      <c r="V91" s="9">
        <f>ROUND(ROUND(P91, 2)/1.2, 2)</f>
        <v>83.33</v>
      </c>
      <c r="Y91" s="9">
        <f t="shared" si="7"/>
        <v>0</v>
      </c>
      <c r="AD91" s="4" t="s">
        <v>324</v>
      </c>
      <c r="AE91" s="4" t="s">
        <v>325</v>
      </c>
      <c r="AF91" s="4" t="s">
        <v>311</v>
      </c>
    </row>
    <row r="92" spans="1:35" ht="18" x14ac:dyDescent="0.3">
      <c r="A92" s="10" t="s">
        <v>326</v>
      </c>
      <c r="B92" s="10" t="s">
        <v>297</v>
      </c>
      <c r="C92" s="11" t="s">
        <v>298</v>
      </c>
      <c r="D92" s="12"/>
      <c r="E92" s="12"/>
      <c r="F92" s="12" t="s">
        <v>76</v>
      </c>
      <c r="G92" s="13">
        <v>1</v>
      </c>
      <c r="H92" s="13"/>
      <c r="I92" s="13">
        <v>0</v>
      </c>
      <c r="J92" s="14">
        <v>0</v>
      </c>
      <c r="K92" s="15">
        <v>200</v>
      </c>
      <c r="L92" s="14">
        <f>J92+ROUND(K92, 2)</f>
        <v>200</v>
      </c>
      <c r="M92" s="14">
        <v>0</v>
      </c>
      <c r="N92" s="14">
        <v>0</v>
      </c>
      <c r="O92" s="14">
        <f>M92+N92</f>
        <v>0</v>
      </c>
      <c r="P92" s="14">
        <v>99.86</v>
      </c>
      <c r="Q92" s="15">
        <v>200</v>
      </c>
      <c r="R92" s="14">
        <f>P92+ROUND(Q92, 2)</f>
        <v>299.86</v>
      </c>
      <c r="S92" s="14">
        <v>0</v>
      </c>
      <c r="T92" s="14">
        <v>0</v>
      </c>
      <c r="U92" s="14">
        <f>S92+T92</f>
        <v>0</v>
      </c>
      <c r="V92" s="9">
        <f>ROUND(P92 / 1.2, 2)</f>
        <v>83.22</v>
      </c>
      <c r="W92" s="9">
        <f>ROUND(Q92 / 1.2, 2)</f>
        <v>166.67</v>
      </c>
      <c r="X92" s="9">
        <f>ROUND(R92 / 1.2, 2)</f>
        <v>249.88</v>
      </c>
      <c r="Y92" s="9">
        <f t="shared" si="7"/>
        <v>0</v>
      </c>
      <c r="Z92" s="9">
        <f>ROUND(T92 / 1.2, 2)</f>
        <v>0</v>
      </c>
      <c r="AA92" s="9">
        <f>Y92+Z92</f>
        <v>0</v>
      </c>
      <c r="AD92" s="4">
        <v>315889922</v>
      </c>
      <c r="AE92" s="4">
        <v>27245709</v>
      </c>
      <c r="AG92" s="4" t="s">
        <v>299</v>
      </c>
      <c r="AH92" s="4" t="s">
        <v>300</v>
      </c>
      <c r="AI92" s="4" t="s">
        <v>224</v>
      </c>
    </row>
    <row r="93" spans="1:35" ht="18" x14ac:dyDescent="0.3">
      <c r="A93" s="10" t="s">
        <v>327</v>
      </c>
      <c r="B93" s="10"/>
      <c r="C93" s="21" t="s">
        <v>328</v>
      </c>
      <c r="D93" s="12"/>
      <c r="E93" s="12"/>
      <c r="F93" s="17" t="s">
        <v>76</v>
      </c>
      <c r="G93" s="18">
        <v>1.05</v>
      </c>
      <c r="H93" s="22"/>
      <c r="I93" s="22">
        <v>0</v>
      </c>
      <c r="J93" s="19">
        <v>140.54</v>
      </c>
      <c r="M93" s="20">
        <f>ROUND(ROUND(J93, 2)*I93, 2)</f>
        <v>0</v>
      </c>
      <c r="P93" s="19">
        <v>140.54</v>
      </c>
      <c r="S93" s="20">
        <f>ROUND(ROUND(P93, 2)*I93, 2)</f>
        <v>0</v>
      </c>
      <c r="V93" s="9">
        <f>ROUND(ROUND(P93, 2)/1.2, 2)</f>
        <v>117.12</v>
      </c>
      <c r="Y93" s="9">
        <f t="shared" ref="Y93:Y124" si="8">ROUND(S93 / 1.2, 2)</f>
        <v>0</v>
      </c>
      <c r="AD93" s="4" t="s">
        <v>329</v>
      </c>
      <c r="AE93" s="4" t="s">
        <v>330</v>
      </c>
      <c r="AF93" s="4" t="s">
        <v>331</v>
      </c>
    </row>
    <row r="94" spans="1:35" ht="18" x14ac:dyDescent="0.3">
      <c r="A94" s="10" t="s">
        <v>332</v>
      </c>
      <c r="B94" s="10"/>
      <c r="C94" s="16" t="s">
        <v>307</v>
      </c>
      <c r="D94" s="12"/>
      <c r="E94" s="12"/>
      <c r="F94" s="17" t="s">
        <v>308</v>
      </c>
      <c r="G94" s="23">
        <v>0.09</v>
      </c>
      <c r="H94" s="18"/>
      <c r="I94" s="18">
        <v>0</v>
      </c>
      <c r="J94" s="19">
        <v>100</v>
      </c>
      <c r="M94" s="20">
        <f>ROUND(ROUND(J94, 2)*I94, 2)</f>
        <v>0</v>
      </c>
      <c r="P94" s="19">
        <v>100</v>
      </c>
      <c r="S94" s="20">
        <f>ROUND(ROUND(P94, 2)*I94, 2)</f>
        <v>0</v>
      </c>
      <c r="V94" s="9">
        <f>ROUND(ROUND(P94, 2)/1.2, 2)</f>
        <v>83.33</v>
      </c>
      <c r="Y94" s="9">
        <f t="shared" si="8"/>
        <v>0</v>
      </c>
      <c r="AD94" s="4" t="s">
        <v>333</v>
      </c>
      <c r="AE94" s="4" t="s">
        <v>334</v>
      </c>
      <c r="AF94" s="4" t="s">
        <v>311</v>
      </c>
    </row>
    <row r="95" spans="1:35" ht="72" x14ac:dyDescent="0.3">
      <c r="A95" s="10" t="s">
        <v>335</v>
      </c>
      <c r="B95" s="10" t="s">
        <v>297</v>
      </c>
      <c r="C95" s="11" t="s">
        <v>298</v>
      </c>
      <c r="D95" s="12"/>
      <c r="E95" s="12" t="s">
        <v>336</v>
      </c>
      <c r="F95" s="12" t="s">
        <v>76</v>
      </c>
      <c r="G95" s="13">
        <v>1</v>
      </c>
      <c r="H95" s="13"/>
      <c r="I95" s="13">
        <v>25</v>
      </c>
      <c r="J95" s="14">
        <v>9</v>
      </c>
      <c r="K95" s="15">
        <v>200</v>
      </c>
      <c r="L95" s="14">
        <f>J95+ROUND(K95, 2)</f>
        <v>209</v>
      </c>
      <c r="M95" s="14">
        <v>225</v>
      </c>
      <c r="N95" s="14">
        <v>5000</v>
      </c>
      <c r="O95" s="14">
        <f>M95+N95</f>
        <v>5225</v>
      </c>
      <c r="P95" s="14">
        <v>9</v>
      </c>
      <c r="Q95" s="15">
        <v>300</v>
      </c>
      <c r="R95" s="14">
        <f>P95+ROUND(Q95, 2)</f>
        <v>309</v>
      </c>
      <c r="S95" s="14">
        <v>225</v>
      </c>
      <c r="T95" s="14">
        <v>7500</v>
      </c>
      <c r="U95" s="14">
        <f>S95+T95</f>
        <v>7725</v>
      </c>
      <c r="V95" s="9">
        <f>ROUND(P95 / 1.2, 2)</f>
        <v>7.5</v>
      </c>
      <c r="W95" s="9">
        <f>ROUND(Q95 / 1.2, 2)</f>
        <v>250</v>
      </c>
      <c r="X95" s="9">
        <f>ROUND(R95 / 1.2, 2)</f>
        <v>257.5</v>
      </c>
      <c r="Y95" s="9">
        <f t="shared" si="8"/>
        <v>187.5</v>
      </c>
      <c r="Z95" s="9">
        <f>ROUND(T95 / 1.2, 2)</f>
        <v>6250</v>
      </c>
      <c r="AA95" s="9">
        <f>Y95+Z95</f>
        <v>6437.5</v>
      </c>
      <c r="AD95" s="4">
        <v>315889923</v>
      </c>
      <c r="AE95" s="4">
        <v>27245762</v>
      </c>
      <c r="AG95" s="4" t="s">
        <v>299</v>
      </c>
      <c r="AH95" s="4" t="s">
        <v>300</v>
      </c>
      <c r="AI95" s="4" t="s">
        <v>224</v>
      </c>
    </row>
    <row r="96" spans="1:35" ht="36" x14ac:dyDescent="0.3">
      <c r="A96" s="10" t="s">
        <v>337</v>
      </c>
      <c r="B96" s="10"/>
      <c r="C96" s="16" t="s">
        <v>302</v>
      </c>
      <c r="D96" s="12"/>
      <c r="E96" s="12"/>
      <c r="F96" s="17" t="s">
        <v>76</v>
      </c>
      <c r="G96" s="18">
        <v>1.1000000000000001</v>
      </c>
      <c r="H96" s="22"/>
      <c r="I96" s="22">
        <v>27.5</v>
      </c>
      <c r="J96" s="19">
        <v>0</v>
      </c>
      <c r="M96" s="20">
        <f>ROUND(ROUND(J96, 2)*I96, 2)</f>
        <v>0</v>
      </c>
      <c r="P96" s="19">
        <v>0</v>
      </c>
      <c r="S96" s="20">
        <f>ROUND(ROUND(P96, 2)*I96, 2)</f>
        <v>0</v>
      </c>
      <c r="V96" s="9">
        <f>ROUND(ROUND(P96, 2)/1.2, 2)</f>
        <v>0</v>
      </c>
      <c r="Y96" s="9">
        <f t="shared" si="8"/>
        <v>0</v>
      </c>
      <c r="AD96" s="4" t="s">
        <v>338</v>
      </c>
      <c r="AE96" s="4" t="s">
        <v>339</v>
      </c>
      <c r="AF96" s="4" t="s">
        <v>305</v>
      </c>
    </row>
    <row r="97" spans="1:35" ht="18" x14ac:dyDescent="0.3">
      <c r="A97" s="10" t="s">
        <v>340</v>
      </c>
      <c r="B97" s="10"/>
      <c r="C97" s="16" t="s">
        <v>307</v>
      </c>
      <c r="D97" s="12"/>
      <c r="E97" s="12"/>
      <c r="F97" s="17" t="s">
        <v>308</v>
      </c>
      <c r="G97" s="23">
        <v>0.09</v>
      </c>
      <c r="H97" s="18"/>
      <c r="I97" s="18">
        <v>2.25</v>
      </c>
      <c r="J97" s="19">
        <v>100</v>
      </c>
      <c r="M97" s="20">
        <f>ROUND(ROUND(J97, 2)*I97, 2)</f>
        <v>225</v>
      </c>
      <c r="P97" s="19">
        <v>100</v>
      </c>
      <c r="S97" s="20">
        <f>ROUND(ROUND(P97, 2)*I97, 2)</f>
        <v>225</v>
      </c>
      <c r="V97" s="9">
        <f>ROUND(ROUND(P97, 2)/1.2, 2)</f>
        <v>83.33</v>
      </c>
      <c r="Y97" s="9">
        <f t="shared" si="8"/>
        <v>187.5</v>
      </c>
      <c r="AD97" s="4" t="s">
        <v>341</v>
      </c>
      <c r="AE97" s="4" t="s">
        <v>342</v>
      </c>
      <c r="AF97" s="4" t="s">
        <v>311</v>
      </c>
    </row>
    <row r="98" spans="1:35" ht="72" x14ac:dyDescent="0.3">
      <c r="A98" s="10" t="s">
        <v>343</v>
      </c>
      <c r="B98" s="10" t="s">
        <v>297</v>
      </c>
      <c r="C98" s="11" t="s">
        <v>298</v>
      </c>
      <c r="D98" s="12"/>
      <c r="E98" s="12" t="s">
        <v>344</v>
      </c>
      <c r="F98" s="12" t="s">
        <v>76</v>
      </c>
      <c r="G98" s="13">
        <v>1</v>
      </c>
      <c r="H98" s="13"/>
      <c r="I98" s="13">
        <v>8.1</v>
      </c>
      <c r="J98" s="14">
        <v>9</v>
      </c>
      <c r="K98" s="15">
        <v>200</v>
      </c>
      <c r="L98" s="14">
        <f>J98+ROUND(K98, 2)</f>
        <v>209</v>
      </c>
      <c r="M98" s="14">
        <v>72.900000000000006</v>
      </c>
      <c r="N98" s="14">
        <v>1620</v>
      </c>
      <c r="O98" s="14">
        <f>M98+N98</f>
        <v>1692.9</v>
      </c>
      <c r="P98" s="14">
        <v>9</v>
      </c>
      <c r="Q98" s="15">
        <v>300</v>
      </c>
      <c r="R98" s="14">
        <f>P98+ROUND(Q98, 2)</f>
        <v>309</v>
      </c>
      <c r="S98" s="14">
        <v>72.900000000000006</v>
      </c>
      <c r="T98" s="14">
        <v>2430</v>
      </c>
      <c r="U98" s="14">
        <f>S98+T98</f>
        <v>2502.9</v>
      </c>
      <c r="V98" s="9">
        <f>ROUND(P98 / 1.2, 2)</f>
        <v>7.5</v>
      </c>
      <c r="W98" s="9">
        <f>ROUND(Q98 / 1.2, 2)</f>
        <v>250</v>
      </c>
      <c r="X98" s="9">
        <f>ROUND(R98 / 1.2, 2)</f>
        <v>257.5</v>
      </c>
      <c r="Y98" s="9">
        <f t="shared" si="8"/>
        <v>60.75</v>
      </c>
      <c r="Z98" s="9">
        <f>ROUND(T98 / 1.2, 2)</f>
        <v>2025</v>
      </c>
      <c r="AA98" s="9">
        <f>Y98+Z98</f>
        <v>2085.75</v>
      </c>
      <c r="AD98" s="4">
        <v>315889924</v>
      </c>
      <c r="AE98" s="4">
        <v>27245763</v>
      </c>
      <c r="AG98" s="4" t="s">
        <v>299</v>
      </c>
      <c r="AH98" s="4" t="s">
        <v>300</v>
      </c>
      <c r="AI98" s="4" t="s">
        <v>224</v>
      </c>
    </row>
    <row r="99" spans="1:35" ht="18" x14ac:dyDescent="0.3">
      <c r="A99" s="10" t="s">
        <v>345</v>
      </c>
      <c r="B99" s="10"/>
      <c r="C99" s="16" t="s">
        <v>307</v>
      </c>
      <c r="D99" s="12"/>
      <c r="E99" s="12"/>
      <c r="F99" s="17" t="s">
        <v>308</v>
      </c>
      <c r="G99" s="23">
        <v>0.09</v>
      </c>
      <c r="H99" s="18"/>
      <c r="I99" s="18">
        <v>0.72899999999999998</v>
      </c>
      <c r="J99" s="19">
        <v>100</v>
      </c>
      <c r="M99" s="20">
        <f>ROUND(ROUND(J99, 2)*I99, 2)</f>
        <v>72.900000000000006</v>
      </c>
      <c r="P99" s="19">
        <v>100</v>
      </c>
      <c r="S99" s="20">
        <f>ROUND(ROUND(P99, 2)*I99, 2)</f>
        <v>72.900000000000006</v>
      </c>
      <c r="V99" s="9">
        <f>ROUND(ROUND(P99, 2)/1.2, 2)</f>
        <v>83.33</v>
      </c>
      <c r="Y99" s="9">
        <f t="shared" si="8"/>
        <v>60.75</v>
      </c>
      <c r="AD99" s="4" t="s">
        <v>346</v>
      </c>
      <c r="AE99" s="4" t="s">
        <v>347</v>
      </c>
      <c r="AF99" s="4" t="s">
        <v>311</v>
      </c>
    </row>
    <row r="100" spans="1:35" ht="36" x14ac:dyDescent="0.3">
      <c r="A100" s="10" t="s">
        <v>348</v>
      </c>
      <c r="B100" s="10"/>
      <c r="C100" s="16" t="s">
        <v>302</v>
      </c>
      <c r="D100" s="12"/>
      <c r="E100" s="12"/>
      <c r="F100" s="17" t="s">
        <v>76</v>
      </c>
      <c r="G100" s="18">
        <v>1.1000000000000001</v>
      </c>
      <c r="H100" s="22"/>
      <c r="I100" s="22">
        <v>8.91</v>
      </c>
      <c r="J100" s="19">
        <v>0</v>
      </c>
      <c r="M100" s="20">
        <f>ROUND(ROUND(J100, 2)*I100, 2)</f>
        <v>0</v>
      </c>
      <c r="P100" s="19">
        <v>0</v>
      </c>
      <c r="S100" s="20">
        <f>ROUND(ROUND(P100, 2)*I100, 2)</f>
        <v>0</v>
      </c>
      <c r="V100" s="9">
        <f>ROUND(ROUND(P100, 2)/1.2, 2)</f>
        <v>0</v>
      </c>
      <c r="Y100" s="9">
        <f t="shared" si="8"/>
        <v>0</v>
      </c>
      <c r="AD100" s="4" t="s">
        <v>349</v>
      </c>
      <c r="AE100" s="4" t="s">
        <v>350</v>
      </c>
      <c r="AF100" s="4" t="s">
        <v>305</v>
      </c>
    </row>
    <row r="101" spans="1:35" ht="72" x14ac:dyDescent="0.3">
      <c r="A101" s="10" t="s">
        <v>351</v>
      </c>
      <c r="B101" s="10" t="s">
        <v>297</v>
      </c>
      <c r="C101" s="11" t="s">
        <v>298</v>
      </c>
      <c r="D101" s="12"/>
      <c r="E101" s="12" t="s">
        <v>352</v>
      </c>
      <c r="F101" s="12" t="s">
        <v>76</v>
      </c>
      <c r="G101" s="13">
        <v>1</v>
      </c>
      <c r="H101" s="13"/>
      <c r="I101" s="13">
        <v>11</v>
      </c>
      <c r="J101" s="14">
        <v>9</v>
      </c>
      <c r="K101" s="15">
        <v>200</v>
      </c>
      <c r="L101" s="14">
        <f>J101+ROUND(K101, 2)</f>
        <v>209</v>
      </c>
      <c r="M101" s="14">
        <v>99</v>
      </c>
      <c r="N101" s="14">
        <v>2200</v>
      </c>
      <c r="O101" s="14">
        <f>M101+N101</f>
        <v>2299</v>
      </c>
      <c r="P101" s="14">
        <v>9</v>
      </c>
      <c r="Q101" s="15">
        <v>300</v>
      </c>
      <c r="R101" s="14">
        <f>P101+ROUND(Q101, 2)</f>
        <v>309</v>
      </c>
      <c r="S101" s="14">
        <v>99</v>
      </c>
      <c r="T101" s="14">
        <v>3300</v>
      </c>
      <c r="U101" s="14">
        <f>S101+T101</f>
        <v>3399</v>
      </c>
      <c r="V101" s="9">
        <f>ROUND(P101 / 1.2, 2)</f>
        <v>7.5</v>
      </c>
      <c r="W101" s="9">
        <f>ROUND(Q101 / 1.2, 2)</f>
        <v>250</v>
      </c>
      <c r="X101" s="9">
        <f>ROUND(R101 / 1.2, 2)</f>
        <v>257.5</v>
      </c>
      <c r="Y101" s="9">
        <f t="shared" si="8"/>
        <v>82.5</v>
      </c>
      <c r="Z101" s="9">
        <f>ROUND(T101 / 1.2, 2)</f>
        <v>2750</v>
      </c>
      <c r="AA101" s="9">
        <f>Y101+Z101</f>
        <v>2832.5</v>
      </c>
      <c r="AD101" s="4">
        <v>315889925</v>
      </c>
      <c r="AE101" s="4">
        <v>27245789</v>
      </c>
      <c r="AG101" s="4" t="s">
        <v>299</v>
      </c>
      <c r="AH101" s="4" t="s">
        <v>300</v>
      </c>
      <c r="AI101" s="4" t="s">
        <v>224</v>
      </c>
    </row>
    <row r="102" spans="1:35" ht="36" x14ac:dyDescent="0.3">
      <c r="A102" s="10" t="s">
        <v>353</v>
      </c>
      <c r="B102" s="10"/>
      <c r="C102" s="16" t="s">
        <v>302</v>
      </c>
      <c r="D102" s="12"/>
      <c r="E102" s="12"/>
      <c r="F102" s="17" t="s">
        <v>76</v>
      </c>
      <c r="G102" s="18">
        <v>1.1000000000000001</v>
      </c>
      <c r="H102" s="22"/>
      <c r="I102" s="22">
        <v>12.1</v>
      </c>
      <c r="J102" s="19">
        <v>0</v>
      </c>
      <c r="M102" s="20">
        <f>ROUND(ROUND(J102, 2)*I102, 2)</f>
        <v>0</v>
      </c>
      <c r="P102" s="19">
        <v>0</v>
      </c>
      <c r="S102" s="20">
        <f>ROUND(ROUND(P102, 2)*I102, 2)</f>
        <v>0</v>
      </c>
      <c r="V102" s="9">
        <f>ROUND(ROUND(P102, 2)/1.2, 2)</f>
        <v>0</v>
      </c>
      <c r="Y102" s="9">
        <f t="shared" si="8"/>
        <v>0</v>
      </c>
      <c r="AD102" s="4" t="s">
        <v>354</v>
      </c>
      <c r="AE102" s="4" t="s">
        <v>355</v>
      </c>
      <c r="AF102" s="4" t="s">
        <v>305</v>
      </c>
    </row>
    <row r="103" spans="1:35" ht="18" x14ac:dyDescent="0.3">
      <c r="A103" s="10" t="s">
        <v>356</v>
      </c>
      <c r="B103" s="10"/>
      <c r="C103" s="16" t="s">
        <v>307</v>
      </c>
      <c r="D103" s="12"/>
      <c r="E103" s="12"/>
      <c r="F103" s="17" t="s">
        <v>308</v>
      </c>
      <c r="G103" s="23">
        <v>0.09</v>
      </c>
      <c r="H103" s="18"/>
      <c r="I103" s="18">
        <v>0.99</v>
      </c>
      <c r="J103" s="19">
        <v>100</v>
      </c>
      <c r="M103" s="20">
        <f>ROUND(ROUND(J103, 2)*I103, 2)</f>
        <v>99</v>
      </c>
      <c r="P103" s="19">
        <v>100</v>
      </c>
      <c r="S103" s="20">
        <f>ROUND(ROUND(P103, 2)*I103, 2)</f>
        <v>99</v>
      </c>
      <c r="V103" s="9">
        <f>ROUND(ROUND(P103, 2)/1.2, 2)</f>
        <v>83.33</v>
      </c>
      <c r="Y103" s="9">
        <f t="shared" si="8"/>
        <v>82.5</v>
      </c>
      <c r="AD103" s="4" t="s">
        <v>357</v>
      </c>
      <c r="AE103" s="4" t="s">
        <v>358</v>
      </c>
      <c r="AF103" s="4" t="s">
        <v>311</v>
      </c>
    </row>
    <row r="104" spans="1:35" ht="18" x14ac:dyDescent="0.3">
      <c r="A104" s="10" t="s">
        <v>359</v>
      </c>
      <c r="B104" s="10" t="s">
        <v>297</v>
      </c>
      <c r="C104" s="11" t="s">
        <v>298</v>
      </c>
      <c r="D104" s="12"/>
      <c r="E104" s="12" t="s">
        <v>360</v>
      </c>
      <c r="F104" s="12" t="s">
        <v>76</v>
      </c>
      <c r="G104" s="13">
        <v>1</v>
      </c>
      <c r="H104" s="13"/>
      <c r="I104" s="13">
        <v>106.7</v>
      </c>
      <c r="J104" s="14">
        <v>99.86</v>
      </c>
      <c r="K104" s="15">
        <v>200</v>
      </c>
      <c r="L104" s="14">
        <f>J104+ROUND(K104, 2)</f>
        <v>299.86</v>
      </c>
      <c r="M104" s="14">
        <v>10655.06</v>
      </c>
      <c r="N104" s="14">
        <v>21340</v>
      </c>
      <c r="O104" s="14">
        <f>M104+N104</f>
        <v>31995.059999999998</v>
      </c>
      <c r="P104" s="14">
        <v>99.86</v>
      </c>
      <c r="Q104" s="15">
        <v>300</v>
      </c>
      <c r="R104" s="14">
        <f>P104+ROUND(Q104, 2)</f>
        <v>399.86</v>
      </c>
      <c r="S104" s="14">
        <v>10655.06</v>
      </c>
      <c r="T104" s="14">
        <v>32010</v>
      </c>
      <c r="U104" s="14">
        <f>S104+T104</f>
        <v>42665.06</v>
      </c>
      <c r="V104" s="9">
        <f>ROUND(P104 / 1.2, 2)</f>
        <v>83.22</v>
      </c>
      <c r="W104" s="9">
        <f>ROUND(Q104 / 1.2, 2)</f>
        <v>250</v>
      </c>
      <c r="X104" s="9">
        <f>ROUND(R104 / 1.2, 2)</f>
        <v>333.22</v>
      </c>
      <c r="Y104" s="9">
        <f t="shared" si="8"/>
        <v>8879.2199999999993</v>
      </c>
      <c r="Z104" s="9">
        <f>ROUND(T104 / 1.2, 2)</f>
        <v>26675</v>
      </c>
      <c r="AA104" s="9">
        <f>Y104+Z104</f>
        <v>35554.22</v>
      </c>
      <c r="AD104" s="4">
        <v>315889926</v>
      </c>
      <c r="AE104" s="4">
        <v>27245761</v>
      </c>
      <c r="AG104" s="4" t="s">
        <v>299</v>
      </c>
      <c r="AH104" s="4" t="s">
        <v>300</v>
      </c>
      <c r="AI104" s="4" t="s">
        <v>224</v>
      </c>
    </row>
    <row r="105" spans="1:35" ht="18" x14ac:dyDescent="0.3">
      <c r="A105" s="10" t="s">
        <v>361</v>
      </c>
      <c r="B105" s="10"/>
      <c r="C105" s="21" t="s">
        <v>328</v>
      </c>
      <c r="D105" s="12"/>
      <c r="E105" s="12"/>
      <c r="F105" s="17" t="s">
        <v>76</v>
      </c>
      <c r="G105" s="18">
        <v>1.05</v>
      </c>
      <c r="H105" s="22"/>
      <c r="I105" s="22">
        <v>68.984999999999999</v>
      </c>
      <c r="J105" s="19">
        <v>140.54</v>
      </c>
      <c r="M105" s="20">
        <f>ROUND(ROUND(J105, 2)*I105, 2)</f>
        <v>9695.15</v>
      </c>
      <c r="P105" s="19">
        <v>140.54</v>
      </c>
      <c r="S105" s="20">
        <f>ROUND(ROUND(P105, 2)*I105, 2)</f>
        <v>9695.15</v>
      </c>
      <c r="V105" s="9">
        <f>ROUND(ROUND(P105, 2)/1.2, 2)</f>
        <v>117.12</v>
      </c>
      <c r="Y105" s="9">
        <f t="shared" si="8"/>
        <v>8079.29</v>
      </c>
      <c r="AD105" s="4" t="s">
        <v>362</v>
      </c>
      <c r="AE105" s="4" t="s">
        <v>363</v>
      </c>
      <c r="AF105" s="4" t="s">
        <v>331</v>
      </c>
    </row>
    <row r="106" spans="1:35" ht="18" x14ac:dyDescent="0.3">
      <c r="A106" s="10" t="s">
        <v>364</v>
      </c>
      <c r="B106" s="10"/>
      <c r="C106" s="16" t="s">
        <v>307</v>
      </c>
      <c r="D106" s="12"/>
      <c r="E106" s="12"/>
      <c r="F106" s="17" t="s">
        <v>308</v>
      </c>
      <c r="G106" s="23">
        <v>0.09</v>
      </c>
      <c r="H106" s="18"/>
      <c r="I106" s="18">
        <v>9.6029999999999998</v>
      </c>
      <c r="J106" s="19">
        <v>100</v>
      </c>
      <c r="M106" s="20">
        <f>ROUND(ROUND(J106, 2)*I106, 2)</f>
        <v>960.3</v>
      </c>
      <c r="P106" s="19">
        <v>100</v>
      </c>
      <c r="S106" s="20">
        <f>ROUND(ROUND(P106, 2)*I106, 2)</f>
        <v>960.3</v>
      </c>
      <c r="V106" s="9">
        <f>ROUND(ROUND(P106, 2)/1.2, 2)</f>
        <v>83.33</v>
      </c>
      <c r="Y106" s="9">
        <f t="shared" si="8"/>
        <v>800.25</v>
      </c>
      <c r="AD106" s="4" t="s">
        <v>365</v>
      </c>
      <c r="AE106" s="4" t="s">
        <v>366</v>
      </c>
      <c r="AF106" s="4" t="s">
        <v>311</v>
      </c>
    </row>
    <row r="107" spans="1:35" ht="36" x14ac:dyDescent="0.3">
      <c r="A107" s="10" t="s">
        <v>367</v>
      </c>
      <c r="B107" s="10" t="s">
        <v>368</v>
      </c>
      <c r="C107" s="11" t="s">
        <v>369</v>
      </c>
      <c r="D107" s="12"/>
      <c r="E107" s="12"/>
      <c r="F107" s="12" t="s">
        <v>59</v>
      </c>
      <c r="G107" s="13">
        <v>1</v>
      </c>
      <c r="H107" s="13"/>
      <c r="I107" s="13">
        <v>0</v>
      </c>
      <c r="J107" s="14">
        <v>0</v>
      </c>
      <c r="K107" s="15">
        <v>661</v>
      </c>
      <c r="L107" s="14">
        <f>J107+ROUND(K107, 2)</f>
        <v>661</v>
      </c>
      <c r="M107" s="14">
        <v>0</v>
      </c>
      <c r="N107" s="14">
        <v>0</v>
      </c>
      <c r="O107" s="14">
        <f>M107+N107</f>
        <v>0</v>
      </c>
      <c r="P107" s="14">
        <v>2510.19</v>
      </c>
      <c r="Q107" s="15">
        <v>661</v>
      </c>
      <c r="R107" s="14">
        <f>P107+ROUND(Q107, 2)</f>
        <v>3171.19</v>
      </c>
      <c r="S107" s="14">
        <v>0</v>
      </c>
      <c r="T107" s="14">
        <v>0</v>
      </c>
      <c r="U107" s="14">
        <f>S107+T107</f>
        <v>0</v>
      </c>
      <c r="V107" s="9">
        <f>ROUND(P107 / 1.2, 2)</f>
        <v>2091.83</v>
      </c>
      <c r="W107" s="9">
        <f>ROUND(Q107 / 1.2, 2)</f>
        <v>550.83000000000004</v>
      </c>
      <c r="X107" s="9">
        <f>ROUND(R107 / 1.2, 2)</f>
        <v>2642.66</v>
      </c>
      <c r="Y107" s="9">
        <f t="shared" si="8"/>
        <v>0</v>
      </c>
      <c r="Z107" s="9">
        <f>ROUND(T107 / 1.2, 2)</f>
        <v>0</v>
      </c>
      <c r="AA107" s="9">
        <f>Y107+Z107</f>
        <v>0</v>
      </c>
      <c r="AD107" s="4">
        <v>315889928</v>
      </c>
      <c r="AE107" s="4">
        <v>27245602</v>
      </c>
      <c r="AG107" s="4" t="s">
        <v>370</v>
      </c>
      <c r="AH107" s="4" t="s">
        <v>371</v>
      </c>
      <c r="AI107" s="4" t="s">
        <v>224</v>
      </c>
    </row>
    <row r="108" spans="1:35" ht="90" x14ac:dyDescent="0.3">
      <c r="A108" s="10" t="s">
        <v>372</v>
      </c>
      <c r="B108" s="10"/>
      <c r="C108" s="16" t="s">
        <v>373</v>
      </c>
      <c r="D108" s="12"/>
      <c r="E108" s="12"/>
      <c r="F108" s="17" t="s">
        <v>308</v>
      </c>
      <c r="G108" s="18">
        <v>1</v>
      </c>
      <c r="H108" s="22"/>
      <c r="I108" s="22">
        <v>0</v>
      </c>
      <c r="J108" s="19">
        <v>0</v>
      </c>
      <c r="M108" s="20">
        <f>ROUND(ROUND(J108, 2)*I108, 2)</f>
        <v>0</v>
      </c>
      <c r="P108" s="19">
        <v>3880</v>
      </c>
      <c r="S108" s="20">
        <f>ROUND(ROUND(P108, 2)*I108, 2)</f>
        <v>0</v>
      </c>
      <c r="V108" s="9">
        <f>ROUND(ROUND(P108, 2)/1.2, 2)</f>
        <v>3233.33</v>
      </c>
      <c r="Y108" s="9">
        <f t="shared" si="8"/>
        <v>0</v>
      </c>
      <c r="AD108" s="4" t="s">
        <v>374</v>
      </c>
      <c r="AE108" s="4" t="s">
        <v>375</v>
      </c>
      <c r="AF108" s="4" t="s">
        <v>376</v>
      </c>
    </row>
    <row r="109" spans="1:35" ht="36" x14ac:dyDescent="0.3">
      <c r="A109" s="10" t="s">
        <v>377</v>
      </c>
      <c r="B109" s="10"/>
      <c r="C109" s="16" t="s">
        <v>378</v>
      </c>
      <c r="D109" s="12"/>
      <c r="E109" s="12"/>
      <c r="F109" s="17" t="s">
        <v>59</v>
      </c>
      <c r="G109" s="18">
        <v>1.03</v>
      </c>
      <c r="H109" s="22"/>
      <c r="I109" s="22">
        <v>0</v>
      </c>
      <c r="J109" s="19">
        <v>0</v>
      </c>
      <c r="M109" s="20">
        <f>ROUND(ROUND(J109, 2)*I109, 2)</f>
        <v>0</v>
      </c>
      <c r="P109" s="19">
        <v>2000</v>
      </c>
      <c r="S109" s="20">
        <f>ROUND(ROUND(P109, 2)*I109, 2)</f>
        <v>0</v>
      </c>
      <c r="V109" s="9">
        <f>ROUND(ROUND(P109, 2)/1.2, 2)</f>
        <v>1666.67</v>
      </c>
      <c r="Y109" s="9">
        <f t="shared" si="8"/>
        <v>0</v>
      </c>
      <c r="AD109" s="4" t="s">
        <v>379</v>
      </c>
      <c r="AE109" s="4" t="s">
        <v>380</v>
      </c>
      <c r="AF109" s="4" t="s">
        <v>381</v>
      </c>
    </row>
    <row r="110" spans="1:35" ht="36" x14ac:dyDescent="0.3">
      <c r="A110" s="10" t="s">
        <v>382</v>
      </c>
      <c r="B110" s="10" t="s">
        <v>368</v>
      </c>
      <c r="C110" s="11" t="s">
        <v>369</v>
      </c>
      <c r="D110" s="12"/>
      <c r="E110" s="12"/>
      <c r="F110" s="12" t="s">
        <v>59</v>
      </c>
      <c r="G110" s="13">
        <v>1</v>
      </c>
      <c r="H110" s="13"/>
      <c r="I110" s="13">
        <v>0</v>
      </c>
      <c r="J110" s="14">
        <v>0</v>
      </c>
      <c r="K110" s="15">
        <v>661</v>
      </c>
      <c r="L110" s="14">
        <f>J110+ROUND(K110, 2)</f>
        <v>661</v>
      </c>
      <c r="M110" s="14">
        <v>0</v>
      </c>
      <c r="N110" s="14">
        <v>0</v>
      </c>
      <c r="O110" s="14">
        <f>M110+N110</f>
        <v>0</v>
      </c>
      <c r="P110" s="14">
        <v>2509.98</v>
      </c>
      <c r="Q110" s="15">
        <v>661</v>
      </c>
      <c r="R110" s="14">
        <f>P110+ROUND(Q110, 2)</f>
        <v>3170.98</v>
      </c>
      <c r="S110" s="14">
        <v>0</v>
      </c>
      <c r="T110" s="14">
        <v>0</v>
      </c>
      <c r="U110" s="14">
        <f>S110+T110</f>
        <v>0</v>
      </c>
      <c r="V110" s="9">
        <f>ROUND(P110 / 1.2, 2)</f>
        <v>2091.65</v>
      </c>
      <c r="W110" s="9">
        <f>ROUND(Q110 / 1.2, 2)</f>
        <v>550.83000000000004</v>
      </c>
      <c r="X110" s="9">
        <f>ROUND(R110 / 1.2, 2)</f>
        <v>2642.48</v>
      </c>
      <c r="Y110" s="9">
        <f t="shared" si="8"/>
        <v>0</v>
      </c>
      <c r="Z110" s="9">
        <f>ROUND(T110 / 1.2, 2)</f>
        <v>0</v>
      </c>
      <c r="AA110" s="9">
        <f>Y110+Z110</f>
        <v>0</v>
      </c>
      <c r="AD110" s="4">
        <v>315889929</v>
      </c>
      <c r="AE110" s="4">
        <v>27245603</v>
      </c>
      <c r="AG110" s="4" t="s">
        <v>370</v>
      </c>
      <c r="AH110" s="4" t="s">
        <v>371</v>
      </c>
      <c r="AI110" s="4" t="s">
        <v>224</v>
      </c>
    </row>
    <row r="111" spans="1:35" ht="36" x14ac:dyDescent="0.3">
      <c r="A111" s="10" t="s">
        <v>383</v>
      </c>
      <c r="B111" s="10"/>
      <c r="C111" s="16" t="s">
        <v>378</v>
      </c>
      <c r="D111" s="12"/>
      <c r="E111" s="12"/>
      <c r="F111" s="17" t="s">
        <v>59</v>
      </c>
      <c r="G111" s="18">
        <v>1.03</v>
      </c>
      <c r="H111" s="22"/>
      <c r="I111" s="22">
        <v>0</v>
      </c>
      <c r="J111" s="19">
        <v>0</v>
      </c>
      <c r="M111" s="20">
        <f>ROUND(ROUND(J111, 2)*I111, 2)</f>
        <v>0</v>
      </c>
      <c r="P111" s="19">
        <v>2000</v>
      </c>
      <c r="S111" s="20">
        <f>ROUND(ROUND(P111, 2)*I111, 2)</f>
        <v>0</v>
      </c>
      <c r="V111" s="9">
        <f>ROUND(ROUND(P111, 2)/1.2, 2)</f>
        <v>1666.67</v>
      </c>
      <c r="Y111" s="9">
        <f t="shared" si="8"/>
        <v>0</v>
      </c>
      <c r="AD111" s="4" t="s">
        <v>384</v>
      </c>
      <c r="AE111" s="4" t="s">
        <v>385</v>
      </c>
      <c r="AF111" s="4" t="s">
        <v>381</v>
      </c>
    </row>
    <row r="112" spans="1:35" ht="90" x14ac:dyDescent="0.3">
      <c r="A112" s="10" t="s">
        <v>386</v>
      </c>
      <c r="B112" s="10"/>
      <c r="C112" s="16" t="s">
        <v>373</v>
      </c>
      <c r="D112" s="12"/>
      <c r="E112" s="12"/>
      <c r="F112" s="17" t="s">
        <v>308</v>
      </c>
      <c r="G112" s="18">
        <v>1</v>
      </c>
      <c r="H112" s="22"/>
      <c r="I112" s="22">
        <v>0</v>
      </c>
      <c r="J112" s="19">
        <v>0</v>
      </c>
      <c r="M112" s="20">
        <f>ROUND(ROUND(J112, 2)*I112, 2)</f>
        <v>0</v>
      </c>
      <c r="P112" s="19">
        <v>3880</v>
      </c>
      <c r="S112" s="20">
        <f>ROUND(ROUND(P112, 2)*I112, 2)</f>
        <v>0</v>
      </c>
      <c r="V112" s="9">
        <f>ROUND(ROUND(P112, 2)/1.2, 2)</f>
        <v>3233.33</v>
      </c>
      <c r="Y112" s="9">
        <f t="shared" si="8"/>
        <v>0</v>
      </c>
      <c r="AD112" s="4" t="s">
        <v>387</v>
      </c>
      <c r="AE112" s="4" t="s">
        <v>388</v>
      </c>
      <c r="AF112" s="4" t="s">
        <v>376</v>
      </c>
    </row>
    <row r="113" spans="1:35" ht="108" x14ac:dyDescent="0.3">
      <c r="A113" s="10" t="s">
        <v>389</v>
      </c>
      <c r="B113" s="10" t="s">
        <v>368</v>
      </c>
      <c r="C113" s="11" t="s">
        <v>369</v>
      </c>
      <c r="D113" s="12"/>
      <c r="E113" s="12" t="s">
        <v>390</v>
      </c>
      <c r="F113" s="12" t="s">
        <v>59</v>
      </c>
      <c r="G113" s="13">
        <v>1</v>
      </c>
      <c r="H113" s="13"/>
      <c r="I113" s="13">
        <v>245.2</v>
      </c>
      <c r="J113" s="14">
        <v>0</v>
      </c>
      <c r="K113" s="15">
        <v>661</v>
      </c>
      <c r="L113" s="14">
        <f>J113+ROUND(K113, 2)</f>
        <v>661</v>
      </c>
      <c r="M113" s="14">
        <v>0</v>
      </c>
      <c r="N113" s="14">
        <v>162077.20000000001</v>
      </c>
      <c r="O113" s="14">
        <f>M113+N113</f>
        <v>162077.20000000001</v>
      </c>
      <c r="P113" s="14">
        <v>4146.0600000000004</v>
      </c>
      <c r="Q113" s="15">
        <v>991.5</v>
      </c>
      <c r="R113" s="14">
        <f>P113+ROUND(Q113, 2)</f>
        <v>5137.5600000000004</v>
      </c>
      <c r="S113" s="14">
        <v>1016613.91</v>
      </c>
      <c r="T113" s="14">
        <v>243115.8</v>
      </c>
      <c r="U113" s="14">
        <f>S113+T113</f>
        <v>1259729.71</v>
      </c>
      <c r="V113" s="9">
        <f>ROUND(P113 / 1.2, 2)</f>
        <v>3455.05</v>
      </c>
      <c r="W113" s="9">
        <f>ROUND(Q113 / 1.2, 2)</f>
        <v>826.25</v>
      </c>
      <c r="X113" s="9">
        <f>ROUND(R113 / 1.2, 2)</f>
        <v>4281.3</v>
      </c>
      <c r="Y113" s="9">
        <f t="shared" si="8"/>
        <v>847178.26</v>
      </c>
      <c r="Z113" s="9">
        <f>ROUND(T113 / 1.2, 2)</f>
        <v>202596.5</v>
      </c>
      <c r="AA113" s="9">
        <f>Y113+Z113</f>
        <v>1049774.76</v>
      </c>
      <c r="AD113" s="4">
        <v>315889930</v>
      </c>
      <c r="AE113" s="4">
        <v>27245796</v>
      </c>
      <c r="AG113" s="4" t="s">
        <v>370</v>
      </c>
      <c r="AH113" s="4" t="s">
        <v>371</v>
      </c>
      <c r="AI113" s="4" t="s">
        <v>224</v>
      </c>
    </row>
    <row r="114" spans="1:35" ht="90" x14ac:dyDescent="0.3">
      <c r="A114" s="10" t="s">
        <v>391</v>
      </c>
      <c r="B114" s="10"/>
      <c r="C114" s="16" t="s">
        <v>373</v>
      </c>
      <c r="D114" s="12"/>
      <c r="E114" s="12" t="s">
        <v>392</v>
      </c>
      <c r="F114" s="17" t="s">
        <v>308</v>
      </c>
      <c r="G114" s="18">
        <v>1</v>
      </c>
      <c r="H114" s="22"/>
      <c r="I114" s="22">
        <v>28.45</v>
      </c>
      <c r="J114" s="19">
        <v>0</v>
      </c>
      <c r="M114" s="20">
        <f>ROUND(ROUND(J114, 2)*I114, 2)</f>
        <v>0</v>
      </c>
      <c r="P114" s="19">
        <v>2000</v>
      </c>
      <c r="S114" s="20">
        <f>ROUND(ROUND(P114, 2)*I114, 2)</f>
        <v>56900</v>
      </c>
      <c r="V114" s="9">
        <f>ROUND(ROUND(P114, 2)/1.2, 2)</f>
        <v>1666.67</v>
      </c>
      <c r="Y114" s="9">
        <f t="shared" si="8"/>
        <v>47416.67</v>
      </c>
      <c r="AD114" s="4" t="s">
        <v>393</v>
      </c>
      <c r="AE114" s="4" t="s">
        <v>394</v>
      </c>
      <c r="AF114" s="4" t="s">
        <v>376</v>
      </c>
    </row>
    <row r="115" spans="1:35" ht="36" x14ac:dyDescent="0.3">
      <c r="A115" s="10" t="s">
        <v>395</v>
      </c>
      <c r="B115" s="10"/>
      <c r="C115" s="16" t="s">
        <v>378</v>
      </c>
      <c r="D115" s="12"/>
      <c r="E115" s="12" t="s">
        <v>396</v>
      </c>
      <c r="F115" s="17" t="s">
        <v>59</v>
      </c>
      <c r="G115" s="18">
        <v>1.03</v>
      </c>
      <c r="H115" s="22"/>
      <c r="I115" s="22">
        <v>252.55600000000001</v>
      </c>
      <c r="J115" s="19">
        <v>0</v>
      </c>
      <c r="M115" s="20">
        <f>ROUND(ROUND(J115, 2)*I115, 2)</f>
        <v>0</v>
      </c>
      <c r="P115" s="19">
        <v>3800</v>
      </c>
      <c r="S115" s="20">
        <f>ROUND(ROUND(P115, 2)*I115, 2)</f>
        <v>959712.8</v>
      </c>
      <c r="V115" s="9">
        <f>ROUND(ROUND(P115, 2)/1.2, 2)</f>
        <v>3166.67</v>
      </c>
      <c r="Y115" s="9">
        <f t="shared" si="8"/>
        <v>799760.67</v>
      </c>
      <c r="AD115" s="4" t="s">
        <v>397</v>
      </c>
      <c r="AE115" s="4" t="s">
        <v>398</v>
      </c>
      <c r="AF115" s="4" t="s">
        <v>381</v>
      </c>
    </row>
    <row r="116" spans="1:35" ht="90" x14ac:dyDescent="0.3">
      <c r="A116" s="10" t="s">
        <v>399</v>
      </c>
      <c r="B116" s="10" t="s">
        <v>368</v>
      </c>
      <c r="C116" s="11" t="s">
        <v>369</v>
      </c>
      <c r="D116" s="12"/>
      <c r="E116" s="12" t="s">
        <v>400</v>
      </c>
      <c r="F116" s="12" t="s">
        <v>59</v>
      </c>
      <c r="G116" s="13">
        <v>1</v>
      </c>
      <c r="H116" s="13"/>
      <c r="I116" s="13">
        <v>45.7</v>
      </c>
      <c r="J116" s="14">
        <v>0</v>
      </c>
      <c r="K116" s="15">
        <v>661</v>
      </c>
      <c r="L116" s="14">
        <f>J116+ROUND(K116, 2)</f>
        <v>661</v>
      </c>
      <c r="M116" s="14">
        <v>0</v>
      </c>
      <c r="N116" s="14">
        <v>30207.7</v>
      </c>
      <c r="O116" s="14">
        <f>M116+N116</f>
        <v>30207.7</v>
      </c>
      <c r="P116" s="14">
        <v>2509.98</v>
      </c>
      <c r="Q116" s="15">
        <v>991.5</v>
      </c>
      <c r="R116" s="14">
        <f>P116+ROUND(Q116, 2)</f>
        <v>3501.48</v>
      </c>
      <c r="S116" s="14">
        <v>114706.09</v>
      </c>
      <c r="T116" s="14">
        <v>45311.55</v>
      </c>
      <c r="U116" s="14">
        <f>S116+T116</f>
        <v>160017.64000000001</v>
      </c>
      <c r="V116" s="9">
        <f>ROUND(P116 / 1.2, 2)</f>
        <v>2091.65</v>
      </c>
      <c r="W116" s="9">
        <f>ROUND(Q116 / 1.2, 2)</f>
        <v>826.25</v>
      </c>
      <c r="X116" s="9">
        <f>ROUND(R116 / 1.2, 2)</f>
        <v>2917.9</v>
      </c>
      <c r="Y116" s="9">
        <f t="shared" si="8"/>
        <v>95588.41</v>
      </c>
      <c r="Z116" s="9">
        <f>ROUND(T116 / 1.2, 2)</f>
        <v>37759.629999999997</v>
      </c>
      <c r="AA116" s="9">
        <f>Y116+Z116</f>
        <v>133348.04</v>
      </c>
      <c r="AD116" s="4">
        <v>315889931</v>
      </c>
      <c r="AE116" s="4">
        <v>27245798</v>
      </c>
      <c r="AG116" s="4" t="s">
        <v>370</v>
      </c>
      <c r="AH116" s="4" t="s">
        <v>371</v>
      </c>
      <c r="AI116" s="4" t="s">
        <v>224</v>
      </c>
    </row>
    <row r="117" spans="1:35" ht="36" x14ac:dyDescent="0.3">
      <c r="A117" s="10" t="s">
        <v>401</v>
      </c>
      <c r="B117" s="10"/>
      <c r="C117" s="16" t="s">
        <v>378</v>
      </c>
      <c r="D117" s="12"/>
      <c r="E117" s="12"/>
      <c r="F117" s="17" t="s">
        <v>59</v>
      </c>
      <c r="G117" s="18">
        <v>1.03</v>
      </c>
      <c r="H117" s="22"/>
      <c r="I117" s="22">
        <v>47.070999999999998</v>
      </c>
      <c r="J117" s="19">
        <v>0</v>
      </c>
      <c r="M117" s="20">
        <f>ROUND(ROUND(J117, 2)*I117, 2)</f>
        <v>0</v>
      </c>
      <c r="P117" s="19">
        <v>2000</v>
      </c>
      <c r="S117" s="20">
        <f>ROUND(ROUND(P117, 2)*I117, 2)</f>
        <v>94142</v>
      </c>
      <c r="V117" s="9">
        <f>ROUND(ROUND(P117, 2)/1.2, 2)</f>
        <v>1666.67</v>
      </c>
      <c r="Y117" s="9">
        <f t="shared" si="8"/>
        <v>78451.67</v>
      </c>
      <c r="AD117" s="4" t="s">
        <v>402</v>
      </c>
      <c r="AE117" s="4" t="s">
        <v>403</v>
      </c>
      <c r="AF117" s="4" t="s">
        <v>381</v>
      </c>
    </row>
    <row r="118" spans="1:35" ht="90" x14ac:dyDescent="0.3">
      <c r="A118" s="10" t="s">
        <v>404</v>
      </c>
      <c r="B118" s="10"/>
      <c r="C118" s="16" t="s">
        <v>373</v>
      </c>
      <c r="D118" s="12"/>
      <c r="E118" s="12"/>
      <c r="F118" s="17" t="s">
        <v>308</v>
      </c>
      <c r="G118" s="18">
        <v>1</v>
      </c>
      <c r="H118" s="22"/>
      <c r="I118" s="22">
        <v>5.3</v>
      </c>
      <c r="J118" s="19">
        <v>0</v>
      </c>
      <c r="M118" s="20">
        <f>ROUND(ROUND(J118, 2)*I118, 2)</f>
        <v>0</v>
      </c>
      <c r="P118" s="19">
        <v>3880</v>
      </c>
      <c r="S118" s="20">
        <f>ROUND(ROUND(P118, 2)*I118, 2)</f>
        <v>20564</v>
      </c>
      <c r="V118" s="9">
        <f>ROUND(ROUND(P118, 2)/1.2, 2)</f>
        <v>3233.33</v>
      </c>
      <c r="Y118" s="9">
        <f t="shared" si="8"/>
        <v>17136.669999999998</v>
      </c>
      <c r="AD118" s="4" t="s">
        <v>405</v>
      </c>
      <c r="AE118" s="4" t="s">
        <v>406</v>
      </c>
      <c r="AF118" s="4" t="s">
        <v>376</v>
      </c>
    </row>
    <row r="119" spans="1:35" ht="36" x14ac:dyDescent="0.3">
      <c r="A119" s="10" t="s">
        <v>407</v>
      </c>
      <c r="B119" s="10" t="s">
        <v>408</v>
      </c>
      <c r="C119" s="11" t="s">
        <v>409</v>
      </c>
      <c r="D119" s="12"/>
      <c r="E119" s="12"/>
      <c r="F119" s="12" t="s">
        <v>76</v>
      </c>
      <c r="G119" s="13">
        <v>1</v>
      </c>
      <c r="H119" s="13"/>
      <c r="I119" s="13">
        <v>0</v>
      </c>
      <c r="J119" s="14">
        <v>0</v>
      </c>
      <c r="K119" s="15">
        <v>210</v>
      </c>
      <c r="L119" s="14">
        <f>J119+ROUND(K119, 2)</f>
        <v>210</v>
      </c>
      <c r="M119" s="14">
        <v>0</v>
      </c>
      <c r="N119" s="14">
        <v>0</v>
      </c>
      <c r="O119" s="14">
        <f>M119+N119</f>
        <v>0</v>
      </c>
      <c r="P119" s="14">
        <v>409.64</v>
      </c>
      <c r="Q119" s="15">
        <v>210</v>
      </c>
      <c r="R119" s="14">
        <f>P119+ROUND(Q119, 2)</f>
        <v>619.64</v>
      </c>
      <c r="S119" s="14">
        <v>0</v>
      </c>
      <c r="T119" s="14">
        <v>0</v>
      </c>
      <c r="U119" s="14">
        <f>S119+T119</f>
        <v>0</v>
      </c>
      <c r="V119" s="9">
        <f>ROUND(P119 / 1.2, 2)</f>
        <v>341.37</v>
      </c>
      <c r="W119" s="9">
        <f>ROUND(Q119 / 1.2, 2)</f>
        <v>175</v>
      </c>
      <c r="X119" s="9">
        <f>ROUND(R119 / 1.2, 2)</f>
        <v>516.37</v>
      </c>
      <c r="Y119" s="9">
        <f t="shared" si="8"/>
        <v>0</v>
      </c>
      <c r="Z119" s="9">
        <f>ROUND(T119 / 1.2, 2)</f>
        <v>0</v>
      </c>
      <c r="AA119" s="9">
        <f>Y119+Z119</f>
        <v>0</v>
      </c>
      <c r="AD119" s="4">
        <v>315889933</v>
      </c>
      <c r="AE119" s="4">
        <v>27245607</v>
      </c>
      <c r="AG119" s="4" t="s">
        <v>410</v>
      </c>
      <c r="AH119" s="4" t="s">
        <v>411</v>
      </c>
      <c r="AI119" s="4" t="s">
        <v>224</v>
      </c>
    </row>
    <row r="120" spans="1:35" ht="72" x14ac:dyDescent="0.3">
      <c r="A120" s="10" t="s">
        <v>412</v>
      </c>
      <c r="B120" s="10"/>
      <c r="C120" s="16" t="s">
        <v>413</v>
      </c>
      <c r="D120" s="12"/>
      <c r="E120" s="12"/>
      <c r="F120" s="17" t="s">
        <v>76</v>
      </c>
      <c r="G120" s="18">
        <v>1.1000000000000001</v>
      </c>
      <c r="H120" s="22"/>
      <c r="I120" s="22">
        <v>0</v>
      </c>
      <c r="J120" s="19">
        <v>0</v>
      </c>
      <c r="M120" s="20">
        <f>ROUND(ROUND(J120, 2)*I120, 2)</f>
        <v>0</v>
      </c>
      <c r="P120" s="19">
        <v>372.4</v>
      </c>
      <c r="S120" s="20">
        <f>ROUND(ROUND(P120, 2)*I120, 2)</f>
        <v>0</v>
      </c>
      <c r="V120" s="9">
        <f>ROUND(ROUND(P120, 2)/1.2, 2)</f>
        <v>310.33</v>
      </c>
      <c r="Y120" s="9">
        <f t="shared" si="8"/>
        <v>0</v>
      </c>
      <c r="AD120" s="4" t="s">
        <v>414</v>
      </c>
      <c r="AE120" s="4" t="s">
        <v>415</v>
      </c>
      <c r="AF120" s="4" t="s">
        <v>416</v>
      </c>
    </row>
    <row r="121" spans="1:35" ht="36" x14ac:dyDescent="0.3">
      <c r="A121" s="10" t="s">
        <v>417</v>
      </c>
      <c r="B121" s="10" t="s">
        <v>408</v>
      </c>
      <c r="C121" s="11" t="s">
        <v>409</v>
      </c>
      <c r="D121" s="12"/>
      <c r="E121" s="12"/>
      <c r="F121" s="12" t="s">
        <v>76</v>
      </c>
      <c r="G121" s="13">
        <v>1</v>
      </c>
      <c r="H121" s="13"/>
      <c r="I121" s="13">
        <v>0</v>
      </c>
      <c r="J121" s="14">
        <v>0</v>
      </c>
      <c r="K121" s="15">
        <v>210</v>
      </c>
      <c r="L121" s="14">
        <f>J121+ROUND(K121, 2)</f>
        <v>210</v>
      </c>
      <c r="M121" s="14">
        <v>0</v>
      </c>
      <c r="N121" s="14">
        <v>0</v>
      </c>
      <c r="O121" s="14">
        <f>M121+N121</f>
        <v>0</v>
      </c>
      <c r="P121" s="14">
        <v>409.64</v>
      </c>
      <c r="Q121" s="15">
        <v>210</v>
      </c>
      <c r="R121" s="14">
        <f>P121+ROUND(Q121, 2)</f>
        <v>619.64</v>
      </c>
      <c r="S121" s="14">
        <v>0</v>
      </c>
      <c r="T121" s="14">
        <v>0</v>
      </c>
      <c r="U121" s="14">
        <f>S121+T121</f>
        <v>0</v>
      </c>
      <c r="V121" s="9">
        <f>ROUND(P121 / 1.2, 2)</f>
        <v>341.37</v>
      </c>
      <c r="W121" s="9">
        <f>ROUND(Q121 / 1.2, 2)</f>
        <v>175</v>
      </c>
      <c r="X121" s="9">
        <f>ROUND(R121 / 1.2, 2)</f>
        <v>516.37</v>
      </c>
      <c r="Y121" s="9">
        <f t="shared" si="8"/>
        <v>0</v>
      </c>
      <c r="Z121" s="9">
        <f>ROUND(T121 / 1.2, 2)</f>
        <v>0</v>
      </c>
      <c r="AA121" s="9">
        <f>Y121+Z121</f>
        <v>0</v>
      </c>
      <c r="AD121" s="4">
        <v>315889934</v>
      </c>
      <c r="AE121" s="4">
        <v>27245608</v>
      </c>
      <c r="AG121" s="4" t="s">
        <v>410</v>
      </c>
      <c r="AH121" s="4" t="s">
        <v>411</v>
      </c>
      <c r="AI121" s="4" t="s">
        <v>224</v>
      </c>
    </row>
    <row r="122" spans="1:35" ht="72" x14ac:dyDescent="0.3">
      <c r="A122" s="10" t="s">
        <v>418</v>
      </c>
      <c r="B122" s="10"/>
      <c r="C122" s="16" t="s">
        <v>413</v>
      </c>
      <c r="D122" s="12"/>
      <c r="E122" s="12"/>
      <c r="F122" s="17" t="s">
        <v>76</v>
      </c>
      <c r="G122" s="18">
        <v>1.1000000000000001</v>
      </c>
      <c r="H122" s="22"/>
      <c r="I122" s="22">
        <v>0</v>
      </c>
      <c r="J122" s="19">
        <v>0</v>
      </c>
      <c r="M122" s="20">
        <f>ROUND(ROUND(J122, 2)*I122, 2)</f>
        <v>0</v>
      </c>
      <c r="P122" s="19">
        <v>372.4</v>
      </c>
      <c r="S122" s="20">
        <f>ROUND(ROUND(P122, 2)*I122, 2)</f>
        <v>0</v>
      </c>
      <c r="V122" s="9">
        <f>ROUND(ROUND(P122, 2)/1.2, 2)</f>
        <v>310.33</v>
      </c>
      <c r="Y122" s="9">
        <f t="shared" si="8"/>
        <v>0</v>
      </c>
      <c r="AD122" s="4" t="s">
        <v>419</v>
      </c>
      <c r="AE122" s="4" t="s">
        <v>420</v>
      </c>
      <c r="AF122" s="4" t="s">
        <v>416</v>
      </c>
    </row>
    <row r="123" spans="1:35" ht="36" x14ac:dyDescent="0.3">
      <c r="A123" s="10" t="s">
        <v>421</v>
      </c>
      <c r="B123" s="10" t="s">
        <v>408</v>
      </c>
      <c r="C123" s="11" t="s">
        <v>409</v>
      </c>
      <c r="D123" s="12"/>
      <c r="E123" s="12" t="s">
        <v>422</v>
      </c>
      <c r="F123" s="12" t="s">
        <v>76</v>
      </c>
      <c r="G123" s="13">
        <v>1</v>
      </c>
      <c r="H123" s="13"/>
      <c r="I123" s="13">
        <v>1012.89</v>
      </c>
      <c r="J123" s="14">
        <v>0</v>
      </c>
      <c r="K123" s="15">
        <v>210</v>
      </c>
      <c r="L123" s="14">
        <f>J123+ROUND(K123, 2)</f>
        <v>210</v>
      </c>
      <c r="M123" s="14">
        <v>0</v>
      </c>
      <c r="N123" s="14">
        <v>212706.9</v>
      </c>
      <c r="O123" s="14">
        <f>M123+N123</f>
        <v>212706.9</v>
      </c>
      <c r="P123" s="14">
        <v>409.64</v>
      </c>
      <c r="Q123" s="15">
        <v>315</v>
      </c>
      <c r="R123" s="14">
        <f>P123+ROUND(Q123, 2)</f>
        <v>724.64</v>
      </c>
      <c r="S123" s="14">
        <v>414920.26</v>
      </c>
      <c r="T123" s="14">
        <v>319060.34999999998</v>
      </c>
      <c r="U123" s="14">
        <f>S123+T123</f>
        <v>733980.61</v>
      </c>
      <c r="V123" s="9">
        <f>ROUND(P123 / 1.2, 2)</f>
        <v>341.37</v>
      </c>
      <c r="W123" s="9">
        <f>ROUND(Q123 / 1.2, 2)</f>
        <v>262.5</v>
      </c>
      <c r="X123" s="9">
        <f>ROUND(R123 / 1.2, 2)</f>
        <v>603.87</v>
      </c>
      <c r="Y123" s="9">
        <f t="shared" si="8"/>
        <v>345766.88</v>
      </c>
      <c r="Z123" s="9">
        <f>ROUND(T123 / 1.2, 2)</f>
        <v>265883.63</v>
      </c>
      <c r="AA123" s="9">
        <f>Y123+Z123</f>
        <v>611650.51</v>
      </c>
      <c r="AD123" s="4">
        <v>315889935</v>
      </c>
      <c r="AE123" s="4">
        <v>27245787</v>
      </c>
      <c r="AG123" s="4" t="s">
        <v>410</v>
      </c>
      <c r="AH123" s="4" t="s">
        <v>411</v>
      </c>
      <c r="AI123" s="4" t="s">
        <v>224</v>
      </c>
    </row>
    <row r="124" spans="1:35" ht="72" x14ac:dyDescent="0.3">
      <c r="A124" s="10" t="s">
        <v>423</v>
      </c>
      <c r="B124" s="10"/>
      <c r="C124" s="16" t="s">
        <v>413</v>
      </c>
      <c r="D124" s="12"/>
      <c r="E124" s="12" t="s">
        <v>424</v>
      </c>
      <c r="F124" s="17" t="s">
        <v>76</v>
      </c>
      <c r="G124" s="18">
        <v>1.1000000000000001</v>
      </c>
      <c r="H124" s="22"/>
      <c r="I124" s="22">
        <v>1114.1790000000001</v>
      </c>
      <c r="J124" s="19">
        <v>0</v>
      </c>
      <c r="M124" s="20">
        <f>ROUND(ROUND(J124, 2)*I124, 2)</f>
        <v>0</v>
      </c>
      <c r="P124" s="19">
        <v>372.4</v>
      </c>
      <c r="S124" s="20">
        <f>ROUND(ROUND(P124, 2)*I124, 2)</f>
        <v>414920.26</v>
      </c>
      <c r="V124" s="9">
        <f>ROUND(ROUND(P124, 2)/1.2, 2)</f>
        <v>310.33</v>
      </c>
      <c r="Y124" s="9">
        <f t="shared" si="8"/>
        <v>345766.88</v>
      </c>
      <c r="AD124" s="4" t="s">
        <v>425</v>
      </c>
      <c r="AE124" s="4" t="s">
        <v>426</v>
      </c>
      <c r="AF124" s="4" t="s">
        <v>416</v>
      </c>
    </row>
    <row r="125" spans="1:35" ht="36" x14ac:dyDescent="0.3">
      <c r="A125" s="10" t="s">
        <v>427</v>
      </c>
      <c r="B125" s="10" t="s">
        <v>408</v>
      </c>
      <c r="C125" s="11" t="s">
        <v>409</v>
      </c>
      <c r="D125" s="12"/>
      <c r="E125" s="12" t="s">
        <v>428</v>
      </c>
      <c r="F125" s="12" t="s">
        <v>76</v>
      </c>
      <c r="G125" s="13">
        <v>1</v>
      </c>
      <c r="H125" s="13"/>
      <c r="I125" s="13">
        <v>409.31</v>
      </c>
      <c r="J125" s="14">
        <v>0</v>
      </c>
      <c r="K125" s="15">
        <v>210</v>
      </c>
      <c r="L125" s="14">
        <f>J125+ROUND(K125, 2)</f>
        <v>210</v>
      </c>
      <c r="M125" s="14">
        <v>0</v>
      </c>
      <c r="N125" s="14">
        <v>85955.1</v>
      </c>
      <c r="O125" s="14">
        <f>M125+N125</f>
        <v>85955.1</v>
      </c>
      <c r="P125" s="14">
        <v>409.64</v>
      </c>
      <c r="Q125" s="15">
        <v>315</v>
      </c>
      <c r="R125" s="14">
        <f>P125+ROUND(Q125, 2)</f>
        <v>724.64</v>
      </c>
      <c r="S125" s="14">
        <v>167669.75</v>
      </c>
      <c r="T125" s="14">
        <v>128932.65</v>
      </c>
      <c r="U125" s="14">
        <f>S125+T125</f>
        <v>296602.40000000002</v>
      </c>
      <c r="V125" s="9">
        <f>ROUND(P125 / 1.2, 2)</f>
        <v>341.37</v>
      </c>
      <c r="W125" s="9">
        <f>ROUND(Q125 / 1.2, 2)</f>
        <v>262.5</v>
      </c>
      <c r="X125" s="9">
        <f>ROUND(R125 / 1.2, 2)</f>
        <v>603.87</v>
      </c>
      <c r="Y125" s="9">
        <f t="shared" ref="Y125:Y156" si="9">ROUND(S125 / 1.2, 2)</f>
        <v>139724.79</v>
      </c>
      <c r="Z125" s="9">
        <f>ROUND(T125 / 1.2, 2)</f>
        <v>107443.88</v>
      </c>
      <c r="AA125" s="9">
        <f>Y125+Z125</f>
        <v>247168.67</v>
      </c>
      <c r="AD125" s="4">
        <v>315889936</v>
      </c>
      <c r="AE125" s="4">
        <v>27245788</v>
      </c>
      <c r="AG125" s="4" t="s">
        <v>410</v>
      </c>
      <c r="AH125" s="4" t="s">
        <v>411</v>
      </c>
      <c r="AI125" s="4" t="s">
        <v>224</v>
      </c>
    </row>
    <row r="126" spans="1:35" ht="72" x14ac:dyDescent="0.3">
      <c r="A126" s="10" t="s">
        <v>429</v>
      </c>
      <c r="B126" s="10"/>
      <c r="C126" s="16" t="s">
        <v>413</v>
      </c>
      <c r="D126" s="12"/>
      <c r="E126" s="12" t="s">
        <v>430</v>
      </c>
      <c r="F126" s="17" t="s">
        <v>76</v>
      </c>
      <c r="G126" s="18">
        <v>1.1000000000000001</v>
      </c>
      <c r="H126" s="22"/>
      <c r="I126" s="22">
        <v>450.24099999999999</v>
      </c>
      <c r="J126" s="19">
        <v>0</v>
      </c>
      <c r="M126" s="20">
        <f>ROUND(ROUND(J126, 2)*I126, 2)</f>
        <v>0</v>
      </c>
      <c r="P126" s="19">
        <v>372.4</v>
      </c>
      <c r="S126" s="20">
        <f>ROUND(ROUND(P126, 2)*I126, 2)</f>
        <v>167669.75</v>
      </c>
      <c r="V126" s="9">
        <f>ROUND(ROUND(P126, 2)/1.2, 2)</f>
        <v>310.33</v>
      </c>
      <c r="Y126" s="9">
        <f t="shared" si="9"/>
        <v>139724.79</v>
      </c>
      <c r="AD126" s="4" t="s">
        <v>431</v>
      </c>
      <c r="AE126" s="4" t="s">
        <v>432</v>
      </c>
      <c r="AF126" s="4" t="s">
        <v>416</v>
      </c>
    </row>
    <row r="127" spans="1:35" ht="36" x14ac:dyDescent="0.3">
      <c r="A127" s="10" t="s">
        <v>433</v>
      </c>
      <c r="B127" s="10" t="s">
        <v>434</v>
      </c>
      <c r="C127" s="11" t="s">
        <v>435</v>
      </c>
      <c r="D127" s="12"/>
      <c r="E127" s="12"/>
      <c r="F127" s="12" t="s">
        <v>59</v>
      </c>
      <c r="G127" s="13">
        <v>1</v>
      </c>
      <c r="H127" s="13"/>
      <c r="I127" s="13">
        <v>0</v>
      </c>
      <c r="J127" s="14">
        <v>0</v>
      </c>
      <c r="K127" s="15">
        <v>2310</v>
      </c>
      <c r="L127" s="14">
        <f>J127+ROUND(K127, 2)</f>
        <v>2310</v>
      </c>
      <c r="M127" s="14">
        <v>0</v>
      </c>
      <c r="N127" s="14">
        <v>0</v>
      </c>
      <c r="O127" s="14">
        <f>M127+N127</f>
        <v>0</v>
      </c>
      <c r="P127" s="14">
        <v>1629.53</v>
      </c>
      <c r="Q127" s="15">
        <v>2310</v>
      </c>
      <c r="R127" s="14">
        <f>P127+ROUND(Q127, 2)</f>
        <v>3939.5299999999997</v>
      </c>
      <c r="S127" s="14">
        <v>0</v>
      </c>
      <c r="T127" s="14">
        <v>0</v>
      </c>
      <c r="U127" s="14">
        <f>S127+T127</f>
        <v>0</v>
      </c>
      <c r="V127" s="9">
        <f>ROUND(P127 / 1.2, 2)</f>
        <v>1357.94</v>
      </c>
      <c r="W127" s="9">
        <f>ROUND(Q127 / 1.2, 2)</f>
        <v>1925</v>
      </c>
      <c r="X127" s="9">
        <f>ROUND(R127 / 1.2, 2)</f>
        <v>3282.94</v>
      </c>
      <c r="Y127" s="9">
        <f t="shared" si="9"/>
        <v>0</v>
      </c>
      <c r="Z127" s="9">
        <f>ROUND(T127 / 1.2, 2)</f>
        <v>0</v>
      </c>
      <c r="AA127" s="9">
        <f>Y127+Z127</f>
        <v>0</v>
      </c>
      <c r="AD127" s="4">
        <v>315889938</v>
      </c>
      <c r="AE127" s="4">
        <v>27245720</v>
      </c>
      <c r="AG127" s="4" t="s">
        <v>436</v>
      </c>
      <c r="AH127" s="4" t="s">
        <v>437</v>
      </c>
      <c r="AI127" s="4" t="s">
        <v>224</v>
      </c>
    </row>
    <row r="128" spans="1:35" ht="54" x14ac:dyDescent="0.3">
      <c r="A128" s="10" t="s">
        <v>438</v>
      </c>
      <c r="B128" s="10"/>
      <c r="C128" s="21" t="s">
        <v>439</v>
      </c>
      <c r="D128" s="12"/>
      <c r="E128" s="12"/>
      <c r="F128" s="17" t="s">
        <v>308</v>
      </c>
      <c r="G128" s="18">
        <v>4</v>
      </c>
      <c r="H128" s="18"/>
      <c r="I128" s="18">
        <v>0</v>
      </c>
      <c r="J128" s="19">
        <v>396</v>
      </c>
      <c r="M128" s="20">
        <f>ROUND(ROUND(J128, 2)*I128, 2)</f>
        <v>0</v>
      </c>
      <c r="P128" s="19">
        <v>396</v>
      </c>
      <c r="S128" s="20">
        <f>ROUND(ROUND(P128, 2)*I128, 2)</f>
        <v>0</v>
      </c>
      <c r="V128" s="9">
        <f>ROUND(ROUND(P128, 2)/1.2, 2)</f>
        <v>330</v>
      </c>
      <c r="Y128" s="9">
        <f t="shared" si="9"/>
        <v>0</v>
      </c>
      <c r="AD128" s="4" t="s">
        <v>440</v>
      </c>
      <c r="AE128" s="4" t="s">
        <v>441</v>
      </c>
      <c r="AF128" s="4" t="s">
        <v>442</v>
      </c>
    </row>
    <row r="129" spans="1:35" ht="36" x14ac:dyDescent="0.3">
      <c r="A129" s="10" t="s">
        <v>443</v>
      </c>
      <c r="B129" s="10"/>
      <c r="C129" s="21" t="s">
        <v>444</v>
      </c>
      <c r="D129" s="12"/>
      <c r="E129" s="12"/>
      <c r="F129" s="17" t="s">
        <v>227</v>
      </c>
      <c r="G129" s="18">
        <v>1.2</v>
      </c>
      <c r="H129" s="22"/>
      <c r="I129" s="22">
        <v>0</v>
      </c>
      <c r="J129" s="19">
        <v>16.96</v>
      </c>
      <c r="M129" s="20">
        <f>ROUND(ROUND(J129, 2)*I129, 2)</f>
        <v>0</v>
      </c>
      <c r="P129" s="19">
        <v>16.96</v>
      </c>
      <c r="S129" s="20">
        <f>ROUND(ROUND(P129, 2)*I129, 2)</f>
        <v>0</v>
      </c>
      <c r="V129" s="9">
        <f>ROUND(ROUND(P129, 2)/1.2, 2)</f>
        <v>14.13</v>
      </c>
      <c r="Y129" s="9">
        <f t="shared" si="9"/>
        <v>0</v>
      </c>
      <c r="AD129" s="4" t="s">
        <v>445</v>
      </c>
      <c r="AE129" s="4" t="s">
        <v>446</v>
      </c>
      <c r="AF129" s="4" t="s">
        <v>447</v>
      </c>
    </row>
    <row r="130" spans="1:35" ht="18" x14ac:dyDescent="0.3">
      <c r="A130" s="10" t="s">
        <v>448</v>
      </c>
      <c r="B130" s="10"/>
      <c r="C130" s="16" t="s">
        <v>449</v>
      </c>
      <c r="D130" s="12"/>
      <c r="E130" s="12"/>
      <c r="F130" s="17" t="s">
        <v>227</v>
      </c>
      <c r="G130" s="18">
        <v>0.25</v>
      </c>
      <c r="H130" s="18"/>
      <c r="I130" s="18">
        <v>0</v>
      </c>
      <c r="J130" s="19">
        <v>47.44</v>
      </c>
      <c r="M130" s="20">
        <f>ROUND(ROUND(J130, 2)*I130, 2)</f>
        <v>0</v>
      </c>
      <c r="P130" s="19">
        <v>47.44</v>
      </c>
      <c r="S130" s="20">
        <f>ROUND(ROUND(P130, 2)*I130, 2)</f>
        <v>0</v>
      </c>
      <c r="V130" s="9">
        <f>ROUND(ROUND(P130, 2)/1.2, 2)</f>
        <v>39.53</v>
      </c>
      <c r="Y130" s="9">
        <f t="shared" si="9"/>
        <v>0</v>
      </c>
      <c r="AD130" s="4" t="s">
        <v>450</v>
      </c>
      <c r="AE130" s="4" t="s">
        <v>451</v>
      </c>
      <c r="AF130" s="4" t="s">
        <v>452</v>
      </c>
    </row>
    <row r="131" spans="1:35" ht="36" x14ac:dyDescent="0.3">
      <c r="A131" s="10" t="s">
        <v>453</v>
      </c>
      <c r="B131" s="10"/>
      <c r="C131" s="16" t="s">
        <v>454</v>
      </c>
      <c r="D131" s="12"/>
      <c r="E131" s="12"/>
      <c r="F131" s="17" t="s">
        <v>227</v>
      </c>
      <c r="G131" s="18">
        <v>0.15</v>
      </c>
      <c r="H131" s="18"/>
      <c r="I131" s="18">
        <v>0</v>
      </c>
      <c r="J131" s="19">
        <v>88.8</v>
      </c>
      <c r="M131" s="20">
        <f>ROUND(ROUND(J131, 2)*I131, 2)</f>
        <v>0</v>
      </c>
      <c r="P131" s="19">
        <v>88.8</v>
      </c>
      <c r="S131" s="20">
        <f>ROUND(ROUND(P131, 2)*I131, 2)</f>
        <v>0</v>
      </c>
      <c r="V131" s="9">
        <f>ROUND(ROUND(P131, 2)/1.2, 2)</f>
        <v>74</v>
      </c>
      <c r="Y131" s="9">
        <f t="shared" si="9"/>
        <v>0</v>
      </c>
      <c r="AD131" s="4" t="s">
        <v>455</v>
      </c>
      <c r="AE131" s="4" t="s">
        <v>456</v>
      </c>
      <c r="AF131" s="4" t="s">
        <v>457</v>
      </c>
    </row>
    <row r="132" spans="1:35" ht="36" x14ac:dyDescent="0.3">
      <c r="A132" s="10" t="s">
        <v>458</v>
      </c>
      <c r="B132" s="10" t="s">
        <v>434</v>
      </c>
      <c r="C132" s="11" t="s">
        <v>435</v>
      </c>
      <c r="D132" s="12"/>
      <c r="E132" s="12"/>
      <c r="F132" s="12" t="s">
        <v>59</v>
      </c>
      <c r="G132" s="13">
        <v>1</v>
      </c>
      <c r="H132" s="13"/>
      <c r="I132" s="13">
        <v>0</v>
      </c>
      <c r="J132" s="14">
        <v>0</v>
      </c>
      <c r="K132" s="15">
        <v>2310</v>
      </c>
      <c r="L132" s="14">
        <f>J132+ROUND(K132, 2)</f>
        <v>2310</v>
      </c>
      <c r="M132" s="14">
        <v>0</v>
      </c>
      <c r="N132" s="14">
        <v>0</v>
      </c>
      <c r="O132" s="14">
        <f>M132+N132</f>
        <v>0</v>
      </c>
      <c r="P132" s="14">
        <v>1469.97</v>
      </c>
      <c r="Q132" s="15">
        <v>2310</v>
      </c>
      <c r="R132" s="14">
        <f>P132+ROUND(Q132, 2)</f>
        <v>3779.9700000000003</v>
      </c>
      <c r="S132" s="14">
        <v>0</v>
      </c>
      <c r="T132" s="14">
        <v>0</v>
      </c>
      <c r="U132" s="14">
        <f>S132+T132</f>
        <v>0</v>
      </c>
      <c r="V132" s="9">
        <f>ROUND(P132 / 1.2, 2)</f>
        <v>1224.98</v>
      </c>
      <c r="W132" s="9">
        <f>ROUND(Q132 / 1.2, 2)</f>
        <v>1925</v>
      </c>
      <c r="X132" s="9">
        <f>ROUND(R132 / 1.2, 2)</f>
        <v>3149.98</v>
      </c>
      <c r="Y132" s="9">
        <f t="shared" si="9"/>
        <v>0</v>
      </c>
      <c r="Z132" s="9">
        <f>ROUND(T132 / 1.2, 2)</f>
        <v>0</v>
      </c>
      <c r="AA132" s="9">
        <f>Y132+Z132</f>
        <v>0</v>
      </c>
      <c r="AD132" s="4">
        <v>315889939</v>
      </c>
      <c r="AE132" s="4">
        <v>27245721</v>
      </c>
      <c r="AG132" s="4" t="s">
        <v>436</v>
      </c>
      <c r="AH132" s="4" t="s">
        <v>437</v>
      </c>
      <c r="AI132" s="4" t="s">
        <v>224</v>
      </c>
    </row>
    <row r="133" spans="1:35" ht="36" x14ac:dyDescent="0.3">
      <c r="A133" s="10" t="s">
        <v>459</v>
      </c>
      <c r="B133" s="10"/>
      <c r="C133" s="16" t="s">
        <v>454</v>
      </c>
      <c r="D133" s="12"/>
      <c r="E133" s="12"/>
      <c r="F133" s="17" t="s">
        <v>227</v>
      </c>
      <c r="G133" s="18">
        <v>0.15</v>
      </c>
      <c r="H133" s="18"/>
      <c r="I133" s="18">
        <v>0</v>
      </c>
      <c r="J133" s="19">
        <v>88.8</v>
      </c>
      <c r="M133" s="20">
        <f>ROUND(ROUND(J133, 2)*I133, 2)</f>
        <v>0</v>
      </c>
      <c r="P133" s="19">
        <v>88.8</v>
      </c>
      <c r="S133" s="20">
        <f>ROUND(ROUND(P133, 2)*I133, 2)</f>
        <v>0</v>
      </c>
      <c r="V133" s="9">
        <f>ROUND(ROUND(P133, 2)/1.2, 2)</f>
        <v>74</v>
      </c>
      <c r="Y133" s="9">
        <f t="shared" si="9"/>
        <v>0</v>
      </c>
      <c r="AD133" s="4" t="s">
        <v>460</v>
      </c>
      <c r="AE133" s="4" t="s">
        <v>461</v>
      </c>
      <c r="AF133" s="4" t="s">
        <v>457</v>
      </c>
    </row>
    <row r="134" spans="1:35" ht="18" x14ac:dyDescent="0.3">
      <c r="A134" s="10" t="s">
        <v>462</v>
      </c>
      <c r="B134" s="10"/>
      <c r="C134" s="16" t="s">
        <v>449</v>
      </c>
      <c r="D134" s="12"/>
      <c r="E134" s="12"/>
      <c r="F134" s="17" t="s">
        <v>227</v>
      </c>
      <c r="G134" s="18">
        <v>0.25</v>
      </c>
      <c r="H134" s="18"/>
      <c r="I134" s="18">
        <v>0</v>
      </c>
      <c r="J134" s="19">
        <v>47.44</v>
      </c>
      <c r="M134" s="20">
        <f>ROUND(ROUND(J134, 2)*I134, 2)</f>
        <v>0</v>
      </c>
      <c r="P134" s="19">
        <v>47.44</v>
      </c>
      <c r="S134" s="20">
        <f>ROUND(ROUND(P134, 2)*I134, 2)</f>
        <v>0</v>
      </c>
      <c r="V134" s="9">
        <f>ROUND(ROUND(P134, 2)/1.2, 2)</f>
        <v>39.53</v>
      </c>
      <c r="Y134" s="9">
        <f t="shared" si="9"/>
        <v>0</v>
      </c>
      <c r="AD134" s="4" t="s">
        <v>463</v>
      </c>
      <c r="AE134" s="4" t="s">
        <v>464</v>
      </c>
      <c r="AF134" s="4" t="s">
        <v>452</v>
      </c>
    </row>
    <row r="135" spans="1:35" ht="36" x14ac:dyDescent="0.3">
      <c r="A135" s="10" t="s">
        <v>465</v>
      </c>
      <c r="B135" s="10"/>
      <c r="C135" s="21" t="s">
        <v>444</v>
      </c>
      <c r="D135" s="12"/>
      <c r="E135" s="12"/>
      <c r="F135" s="17" t="s">
        <v>227</v>
      </c>
      <c r="G135" s="18">
        <v>1.2</v>
      </c>
      <c r="H135" s="22"/>
      <c r="I135" s="22">
        <v>0</v>
      </c>
      <c r="J135" s="19">
        <v>16.96</v>
      </c>
      <c r="M135" s="20">
        <f>ROUND(ROUND(J135, 2)*I135, 2)</f>
        <v>0</v>
      </c>
      <c r="P135" s="19">
        <v>16.96</v>
      </c>
      <c r="S135" s="20">
        <f>ROUND(ROUND(P135, 2)*I135, 2)</f>
        <v>0</v>
      </c>
      <c r="V135" s="9">
        <f>ROUND(ROUND(P135, 2)/1.2, 2)</f>
        <v>14.13</v>
      </c>
      <c r="Y135" s="9">
        <f t="shared" si="9"/>
        <v>0</v>
      </c>
      <c r="AD135" s="4" t="s">
        <v>466</v>
      </c>
      <c r="AE135" s="4" t="s">
        <v>467</v>
      </c>
      <c r="AF135" s="4" t="s">
        <v>447</v>
      </c>
    </row>
    <row r="136" spans="1:35" ht="36" x14ac:dyDescent="0.3">
      <c r="A136" s="10" t="s">
        <v>468</v>
      </c>
      <c r="B136" s="10"/>
      <c r="C136" s="16" t="s">
        <v>469</v>
      </c>
      <c r="D136" s="12"/>
      <c r="E136" s="12"/>
      <c r="F136" s="17" t="s">
        <v>308</v>
      </c>
      <c r="G136" s="18">
        <v>4</v>
      </c>
      <c r="H136" s="18"/>
      <c r="I136" s="18">
        <v>0</v>
      </c>
      <c r="J136" s="19">
        <v>356.11</v>
      </c>
      <c r="M136" s="20">
        <f>ROUND(ROUND(J136, 2)*I136, 2)</f>
        <v>0</v>
      </c>
      <c r="P136" s="19">
        <v>356.11</v>
      </c>
      <c r="S136" s="20">
        <f>ROUND(ROUND(P136, 2)*I136, 2)</f>
        <v>0</v>
      </c>
      <c r="V136" s="9">
        <f>ROUND(ROUND(P136, 2)/1.2, 2)</f>
        <v>296.76</v>
      </c>
      <c r="Y136" s="9">
        <f t="shared" si="9"/>
        <v>0</v>
      </c>
      <c r="AD136" s="4" t="s">
        <v>470</v>
      </c>
      <c r="AE136" s="4" t="s">
        <v>471</v>
      </c>
      <c r="AF136" s="4" t="s">
        <v>472</v>
      </c>
    </row>
    <row r="137" spans="1:35" ht="36" x14ac:dyDescent="0.3">
      <c r="A137" s="10" t="s">
        <v>473</v>
      </c>
      <c r="B137" s="10" t="s">
        <v>434</v>
      </c>
      <c r="C137" s="11" t="s">
        <v>435</v>
      </c>
      <c r="D137" s="12"/>
      <c r="E137" s="12"/>
      <c r="F137" s="12" t="s">
        <v>59</v>
      </c>
      <c r="G137" s="13">
        <v>1</v>
      </c>
      <c r="H137" s="13"/>
      <c r="I137" s="13">
        <v>0</v>
      </c>
      <c r="J137" s="14">
        <v>0</v>
      </c>
      <c r="K137" s="15">
        <v>2310</v>
      </c>
      <c r="L137" s="14">
        <f>J137+ROUND(K137, 2)</f>
        <v>2310</v>
      </c>
      <c r="M137" s="14">
        <v>0</v>
      </c>
      <c r="N137" s="14">
        <v>0</v>
      </c>
      <c r="O137" s="14">
        <f>M137+N137</f>
        <v>0</v>
      </c>
      <c r="P137" s="14">
        <v>4447.13</v>
      </c>
      <c r="Q137" s="15">
        <v>2310</v>
      </c>
      <c r="R137" s="14">
        <f>P137+ROUND(Q137, 2)</f>
        <v>6757.13</v>
      </c>
      <c r="S137" s="14">
        <v>0</v>
      </c>
      <c r="T137" s="14">
        <v>0</v>
      </c>
      <c r="U137" s="14">
        <f>S137+T137</f>
        <v>0</v>
      </c>
      <c r="V137" s="9">
        <f>ROUND(P137 / 1.2, 2)</f>
        <v>3705.94</v>
      </c>
      <c r="W137" s="9">
        <f>ROUND(Q137 / 1.2, 2)</f>
        <v>1925</v>
      </c>
      <c r="X137" s="9">
        <f>ROUND(R137 / 1.2, 2)</f>
        <v>5630.94</v>
      </c>
      <c r="Y137" s="9">
        <f t="shared" si="9"/>
        <v>0</v>
      </c>
      <c r="Z137" s="9">
        <f>ROUND(T137 / 1.2, 2)</f>
        <v>0</v>
      </c>
      <c r="AA137" s="9">
        <f>Y137+Z137</f>
        <v>0</v>
      </c>
      <c r="AD137" s="4">
        <v>315889940</v>
      </c>
      <c r="AE137" s="4">
        <v>27245722</v>
      </c>
      <c r="AG137" s="4" t="s">
        <v>436</v>
      </c>
      <c r="AH137" s="4" t="s">
        <v>437</v>
      </c>
      <c r="AI137" s="4" t="s">
        <v>224</v>
      </c>
    </row>
    <row r="138" spans="1:35" ht="54" x14ac:dyDescent="0.3">
      <c r="A138" s="10" t="s">
        <v>474</v>
      </c>
      <c r="B138" s="10"/>
      <c r="C138" s="21" t="s">
        <v>475</v>
      </c>
      <c r="D138" s="12"/>
      <c r="E138" s="12"/>
      <c r="F138" s="17" t="s">
        <v>308</v>
      </c>
      <c r="G138" s="18">
        <v>4</v>
      </c>
      <c r="H138" s="18"/>
      <c r="I138" s="18">
        <v>0</v>
      </c>
      <c r="J138" s="19">
        <v>1100.4000000000001</v>
      </c>
      <c r="M138" s="20">
        <f>ROUND(ROUND(J138, 2)*I138, 2)</f>
        <v>0</v>
      </c>
      <c r="P138" s="19">
        <v>1100.4000000000001</v>
      </c>
      <c r="S138" s="20">
        <f>ROUND(ROUND(P138, 2)*I138, 2)</f>
        <v>0</v>
      </c>
      <c r="V138" s="9">
        <f>ROUND(ROUND(P138, 2)/1.2, 2)</f>
        <v>917</v>
      </c>
      <c r="Y138" s="9">
        <f t="shared" si="9"/>
        <v>0</v>
      </c>
      <c r="AD138" s="4" t="s">
        <v>476</v>
      </c>
      <c r="AE138" s="4" t="s">
        <v>477</v>
      </c>
      <c r="AF138" s="4" t="s">
        <v>478</v>
      </c>
    </row>
    <row r="139" spans="1:35" ht="36" x14ac:dyDescent="0.3">
      <c r="A139" s="10" t="s">
        <v>479</v>
      </c>
      <c r="B139" s="10"/>
      <c r="C139" s="21" t="s">
        <v>444</v>
      </c>
      <c r="D139" s="12"/>
      <c r="E139" s="12"/>
      <c r="F139" s="17" t="s">
        <v>227</v>
      </c>
      <c r="G139" s="18">
        <v>1.2</v>
      </c>
      <c r="H139" s="22"/>
      <c r="I139" s="22">
        <v>0</v>
      </c>
      <c r="J139" s="19">
        <v>16.96</v>
      </c>
      <c r="M139" s="20">
        <f>ROUND(ROUND(J139, 2)*I139, 2)</f>
        <v>0</v>
      </c>
      <c r="P139" s="19">
        <v>16.96</v>
      </c>
      <c r="S139" s="20">
        <f>ROUND(ROUND(P139, 2)*I139, 2)</f>
        <v>0</v>
      </c>
      <c r="V139" s="9">
        <f>ROUND(ROUND(P139, 2)/1.2, 2)</f>
        <v>14.13</v>
      </c>
      <c r="Y139" s="9">
        <f t="shared" si="9"/>
        <v>0</v>
      </c>
      <c r="AD139" s="4" t="s">
        <v>480</v>
      </c>
      <c r="AE139" s="4" t="s">
        <v>481</v>
      </c>
      <c r="AF139" s="4" t="s">
        <v>447</v>
      </c>
    </row>
    <row r="140" spans="1:35" ht="18" x14ac:dyDescent="0.3">
      <c r="A140" s="10" t="s">
        <v>482</v>
      </c>
      <c r="B140" s="10"/>
      <c r="C140" s="16" t="s">
        <v>449</v>
      </c>
      <c r="D140" s="12"/>
      <c r="E140" s="12"/>
      <c r="F140" s="17" t="s">
        <v>227</v>
      </c>
      <c r="G140" s="18">
        <v>0.25</v>
      </c>
      <c r="H140" s="18"/>
      <c r="I140" s="18">
        <v>0</v>
      </c>
      <c r="J140" s="19">
        <v>47.44</v>
      </c>
      <c r="M140" s="20">
        <f>ROUND(ROUND(J140, 2)*I140, 2)</f>
        <v>0</v>
      </c>
      <c r="P140" s="19">
        <v>47.44</v>
      </c>
      <c r="S140" s="20">
        <f>ROUND(ROUND(P140, 2)*I140, 2)</f>
        <v>0</v>
      </c>
      <c r="V140" s="9">
        <f>ROUND(ROUND(P140, 2)/1.2, 2)</f>
        <v>39.53</v>
      </c>
      <c r="Y140" s="9">
        <f t="shared" si="9"/>
        <v>0</v>
      </c>
      <c r="AD140" s="4" t="s">
        <v>483</v>
      </c>
      <c r="AE140" s="4" t="s">
        <v>484</v>
      </c>
      <c r="AF140" s="4" t="s">
        <v>452</v>
      </c>
    </row>
    <row r="141" spans="1:35" ht="36" x14ac:dyDescent="0.3">
      <c r="A141" s="10" t="s">
        <v>485</v>
      </c>
      <c r="B141" s="10"/>
      <c r="C141" s="16" t="s">
        <v>454</v>
      </c>
      <c r="D141" s="12"/>
      <c r="E141" s="12"/>
      <c r="F141" s="17" t="s">
        <v>227</v>
      </c>
      <c r="G141" s="18">
        <v>0.15</v>
      </c>
      <c r="H141" s="18"/>
      <c r="I141" s="18">
        <v>0</v>
      </c>
      <c r="J141" s="19">
        <v>88.8</v>
      </c>
      <c r="M141" s="20">
        <f>ROUND(ROUND(J141, 2)*I141, 2)</f>
        <v>0</v>
      </c>
      <c r="P141" s="19">
        <v>88.8</v>
      </c>
      <c r="S141" s="20">
        <f>ROUND(ROUND(P141, 2)*I141, 2)</f>
        <v>0</v>
      </c>
      <c r="V141" s="9">
        <f>ROUND(ROUND(P141, 2)/1.2, 2)</f>
        <v>74</v>
      </c>
      <c r="Y141" s="9">
        <f t="shared" si="9"/>
        <v>0</v>
      </c>
      <c r="AD141" s="4" t="s">
        <v>486</v>
      </c>
      <c r="AE141" s="4" t="s">
        <v>487</v>
      </c>
      <c r="AF141" s="4" t="s">
        <v>457</v>
      </c>
    </row>
    <row r="142" spans="1:35" ht="36" x14ac:dyDescent="0.3">
      <c r="A142" s="10" t="s">
        <v>488</v>
      </c>
      <c r="B142" s="10" t="s">
        <v>434</v>
      </c>
      <c r="C142" s="11" t="s">
        <v>435</v>
      </c>
      <c r="D142" s="12"/>
      <c r="E142" s="12" t="s">
        <v>489</v>
      </c>
      <c r="F142" s="12" t="s">
        <v>59</v>
      </c>
      <c r="G142" s="13">
        <v>1</v>
      </c>
      <c r="H142" s="13"/>
      <c r="I142" s="13">
        <v>338.3</v>
      </c>
      <c r="J142" s="14">
        <v>1628.52</v>
      </c>
      <c r="K142" s="15">
        <v>2310</v>
      </c>
      <c r="L142" s="14">
        <f>J142+ROUND(K142, 2)</f>
        <v>3938.52</v>
      </c>
      <c r="M142" s="14">
        <v>550928.31999999995</v>
      </c>
      <c r="N142" s="14">
        <v>781473</v>
      </c>
      <c r="O142" s="14">
        <f>M142+N142</f>
        <v>1332401.3199999998</v>
      </c>
      <c r="P142" s="14">
        <v>1628.51</v>
      </c>
      <c r="Q142" s="15">
        <v>3465</v>
      </c>
      <c r="R142" s="14">
        <f>P142+ROUND(Q142, 2)</f>
        <v>5093.51</v>
      </c>
      <c r="S142" s="14">
        <v>550924.93000000005</v>
      </c>
      <c r="T142" s="14">
        <v>1172209.5</v>
      </c>
      <c r="U142" s="14">
        <f>S142+T142</f>
        <v>1723134.4300000002</v>
      </c>
      <c r="V142" s="9">
        <f>ROUND(P142 / 1.2, 2)</f>
        <v>1357.09</v>
      </c>
      <c r="W142" s="9">
        <f>ROUND(Q142 / 1.2, 2)</f>
        <v>2887.5</v>
      </c>
      <c r="X142" s="9">
        <f>ROUND(R142 / 1.2, 2)</f>
        <v>4244.59</v>
      </c>
      <c r="Y142" s="9">
        <f t="shared" si="9"/>
        <v>459104.11</v>
      </c>
      <c r="Z142" s="9">
        <f>ROUND(T142 / 1.2, 2)</f>
        <v>976841.25</v>
      </c>
      <c r="AA142" s="9">
        <f>Y142+Z142</f>
        <v>1435945.3599999999</v>
      </c>
      <c r="AD142" s="4">
        <v>315889941</v>
      </c>
      <c r="AE142" s="4">
        <v>27245771</v>
      </c>
      <c r="AG142" s="4" t="s">
        <v>436</v>
      </c>
      <c r="AH142" s="4" t="s">
        <v>437</v>
      </c>
      <c r="AI142" s="4" t="s">
        <v>224</v>
      </c>
    </row>
    <row r="143" spans="1:35" ht="36" x14ac:dyDescent="0.3">
      <c r="A143" s="10" t="s">
        <v>490</v>
      </c>
      <c r="B143" s="10"/>
      <c r="C143" s="16" t="s">
        <v>454</v>
      </c>
      <c r="D143" s="12"/>
      <c r="E143" s="12"/>
      <c r="F143" s="17" t="s">
        <v>227</v>
      </c>
      <c r="G143" s="18">
        <v>0.15</v>
      </c>
      <c r="H143" s="18"/>
      <c r="I143" s="18">
        <v>50.744999999999997</v>
      </c>
      <c r="J143" s="19">
        <v>88.8</v>
      </c>
      <c r="M143" s="20">
        <f>ROUND(ROUND(J143, 2)*I143, 2)</f>
        <v>4506.16</v>
      </c>
      <c r="P143" s="19">
        <v>88.8</v>
      </c>
      <c r="S143" s="20">
        <f>ROUND(ROUND(P143, 2)*I143, 2)</f>
        <v>4506.16</v>
      </c>
      <c r="V143" s="9">
        <f>ROUND(ROUND(P143, 2)/1.2, 2)</f>
        <v>74</v>
      </c>
      <c r="Y143" s="9">
        <f t="shared" si="9"/>
        <v>3755.13</v>
      </c>
      <c r="AD143" s="4" t="s">
        <v>491</v>
      </c>
      <c r="AE143" s="4" t="s">
        <v>492</v>
      </c>
      <c r="AF143" s="4" t="s">
        <v>457</v>
      </c>
    </row>
    <row r="144" spans="1:35" ht="18" x14ac:dyDescent="0.3">
      <c r="A144" s="10" t="s">
        <v>493</v>
      </c>
      <c r="B144" s="10"/>
      <c r="C144" s="16" t="s">
        <v>449</v>
      </c>
      <c r="D144" s="12"/>
      <c r="E144" s="12"/>
      <c r="F144" s="17" t="s">
        <v>227</v>
      </c>
      <c r="G144" s="18">
        <v>0.25</v>
      </c>
      <c r="H144" s="18"/>
      <c r="I144" s="18">
        <v>84.575000000000003</v>
      </c>
      <c r="J144" s="19">
        <v>47.44</v>
      </c>
      <c r="M144" s="20">
        <f>ROUND(ROUND(J144, 2)*I144, 2)</f>
        <v>4012.24</v>
      </c>
      <c r="P144" s="19">
        <v>47.44</v>
      </c>
      <c r="S144" s="20">
        <f>ROUND(ROUND(P144, 2)*I144, 2)</f>
        <v>4012.24</v>
      </c>
      <c r="V144" s="9">
        <f>ROUND(ROUND(P144, 2)/1.2, 2)</f>
        <v>39.53</v>
      </c>
      <c r="Y144" s="9">
        <f t="shared" si="9"/>
        <v>3343.53</v>
      </c>
      <c r="AD144" s="4" t="s">
        <v>494</v>
      </c>
      <c r="AE144" s="4" t="s">
        <v>495</v>
      </c>
      <c r="AF144" s="4" t="s">
        <v>452</v>
      </c>
    </row>
    <row r="145" spans="1:35" ht="36" x14ac:dyDescent="0.3">
      <c r="A145" s="10" t="s">
        <v>496</v>
      </c>
      <c r="B145" s="10"/>
      <c r="C145" s="21" t="s">
        <v>444</v>
      </c>
      <c r="D145" s="12"/>
      <c r="E145" s="12"/>
      <c r="F145" s="17" t="s">
        <v>227</v>
      </c>
      <c r="G145" s="18">
        <v>1.2</v>
      </c>
      <c r="H145" s="22"/>
      <c r="I145" s="22">
        <v>405.96</v>
      </c>
      <c r="J145" s="19">
        <v>16.12</v>
      </c>
      <c r="M145" s="20">
        <f>ROUND(ROUND(J145, 2)*I145, 2)</f>
        <v>6544.08</v>
      </c>
      <c r="P145" s="19">
        <v>16.11</v>
      </c>
      <c r="S145" s="20">
        <f>ROUND(ROUND(P145, 2)*I145, 2)</f>
        <v>6540.02</v>
      </c>
      <c r="V145" s="9">
        <f>ROUND(ROUND(P145, 2)/1.2, 2)</f>
        <v>13.43</v>
      </c>
      <c r="Y145" s="9">
        <f t="shared" si="9"/>
        <v>5450.02</v>
      </c>
      <c r="AD145" s="4" t="s">
        <v>497</v>
      </c>
      <c r="AE145" s="4" t="s">
        <v>498</v>
      </c>
      <c r="AF145" s="4" t="s">
        <v>447</v>
      </c>
    </row>
    <row r="146" spans="1:35" ht="90" x14ac:dyDescent="0.3">
      <c r="A146" s="10" t="s">
        <v>499</v>
      </c>
      <c r="B146" s="10"/>
      <c r="C146" s="21" t="s">
        <v>439</v>
      </c>
      <c r="D146" s="12"/>
      <c r="E146" s="12" t="s">
        <v>500</v>
      </c>
      <c r="F146" s="17" t="s">
        <v>308</v>
      </c>
      <c r="G146" s="18">
        <v>4</v>
      </c>
      <c r="H146" s="18"/>
      <c r="I146" s="18">
        <v>1353.2</v>
      </c>
      <c r="J146" s="19">
        <v>396</v>
      </c>
      <c r="M146" s="20">
        <f>ROUND(ROUND(J146, 2)*I146, 2)</f>
        <v>535867.19999999995</v>
      </c>
      <c r="P146" s="19">
        <v>396</v>
      </c>
      <c r="S146" s="20">
        <f>ROUND(ROUND(P146, 2)*I146, 2)</f>
        <v>535867.19999999995</v>
      </c>
      <c r="V146" s="9">
        <f>ROUND(ROUND(P146, 2)/1.2, 2)</f>
        <v>330</v>
      </c>
      <c r="Y146" s="9">
        <f t="shared" si="9"/>
        <v>446556</v>
      </c>
      <c r="AD146" s="4" t="s">
        <v>501</v>
      </c>
      <c r="AE146" s="4" t="s">
        <v>502</v>
      </c>
      <c r="AF146" s="4" t="s">
        <v>442</v>
      </c>
    </row>
    <row r="147" spans="1:35" ht="36" x14ac:dyDescent="0.3">
      <c r="A147" s="10" t="s">
        <v>503</v>
      </c>
      <c r="B147" s="10" t="s">
        <v>434</v>
      </c>
      <c r="C147" s="11" t="s">
        <v>435</v>
      </c>
      <c r="D147" s="12"/>
      <c r="E147" s="12" t="s">
        <v>504</v>
      </c>
      <c r="F147" s="12" t="s">
        <v>59</v>
      </c>
      <c r="G147" s="13">
        <v>1</v>
      </c>
      <c r="H147" s="13"/>
      <c r="I147" s="13">
        <v>190.6</v>
      </c>
      <c r="J147" s="14">
        <v>4446.12</v>
      </c>
      <c r="K147" s="15">
        <v>2310</v>
      </c>
      <c r="L147" s="14">
        <f>J147+ROUND(K147, 2)</f>
        <v>6756.12</v>
      </c>
      <c r="M147" s="14">
        <v>847430.47</v>
      </c>
      <c r="N147" s="14">
        <v>440286</v>
      </c>
      <c r="O147" s="14">
        <f>M147+N147</f>
        <v>1287716.47</v>
      </c>
      <c r="P147" s="14">
        <v>4446.1099999999997</v>
      </c>
      <c r="Q147" s="15">
        <v>3465</v>
      </c>
      <c r="R147" s="14">
        <f>P147+ROUND(Q147, 2)</f>
        <v>7911.11</v>
      </c>
      <c r="S147" s="14">
        <v>847428.57</v>
      </c>
      <c r="T147" s="14">
        <v>660429</v>
      </c>
      <c r="U147" s="14">
        <f>S147+T147</f>
        <v>1507857.5699999998</v>
      </c>
      <c r="V147" s="9">
        <f>ROUND(P147 / 1.2, 2)</f>
        <v>3705.09</v>
      </c>
      <c r="W147" s="9">
        <f>ROUND(Q147 / 1.2, 2)</f>
        <v>2887.5</v>
      </c>
      <c r="X147" s="9">
        <f>ROUND(R147 / 1.2, 2)</f>
        <v>6592.59</v>
      </c>
      <c r="Y147" s="9">
        <f t="shared" si="9"/>
        <v>706190.48</v>
      </c>
      <c r="Z147" s="9">
        <f>ROUND(T147 / 1.2, 2)</f>
        <v>550357.5</v>
      </c>
      <c r="AA147" s="9">
        <f>Y147+Z147</f>
        <v>1256547.98</v>
      </c>
      <c r="AD147" s="4">
        <v>315889942</v>
      </c>
      <c r="AE147" s="4">
        <v>27245772</v>
      </c>
      <c r="AG147" s="4" t="s">
        <v>436</v>
      </c>
      <c r="AH147" s="4" t="s">
        <v>437</v>
      </c>
      <c r="AI147" s="4" t="s">
        <v>224</v>
      </c>
    </row>
    <row r="148" spans="1:35" ht="90" x14ac:dyDescent="0.3">
      <c r="A148" s="10" t="s">
        <v>505</v>
      </c>
      <c r="B148" s="10"/>
      <c r="C148" s="21" t="s">
        <v>475</v>
      </c>
      <c r="D148" s="12"/>
      <c r="E148" s="12" t="s">
        <v>506</v>
      </c>
      <c r="F148" s="17" t="s">
        <v>308</v>
      </c>
      <c r="G148" s="18">
        <v>4</v>
      </c>
      <c r="H148" s="18"/>
      <c r="I148" s="18">
        <v>762.4</v>
      </c>
      <c r="J148" s="19">
        <v>1100.4000000000001</v>
      </c>
      <c r="M148" s="20">
        <f>ROUND(ROUND(J148, 2)*I148, 2)</f>
        <v>838944.96</v>
      </c>
      <c r="P148" s="19">
        <v>1100.4000000000001</v>
      </c>
      <c r="S148" s="20">
        <f>ROUND(ROUND(P148, 2)*I148, 2)</f>
        <v>838944.96</v>
      </c>
      <c r="V148" s="9">
        <f>ROUND(ROUND(P148, 2)/1.2, 2)</f>
        <v>917</v>
      </c>
      <c r="Y148" s="9">
        <f t="shared" si="9"/>
        <v>699120.8</v>
      </c>
      <c r="AD148" s="4" t="s">
        <v>507</v>
      </c>
      <c r="AE148" s="4" t="s">
        <v>508</v>
      </c>
      <c r="AF148" s="4" t="s">
        <v>478</v>
      </c>
    </row>
    <row r="149" spans="1:35" ht="36" x14ac:dyDescent="0.3">
      <c r="A149" s="10" t="s">
        <v>509</v>
      </c>
      <c r="B149" s="10"/>
      <c r="C149" s="21" t="s">
        <v>444</v>
      </c>
      <c r="D149" s="12"/>
      <c r="E149" s="12"/>
      <c r="F149" s="17" t="s">
        <v>227</v>
      </c>
      <c r="G149" s="18">
        <v>1.2</v>
      </c>
      <c r="H149" s="22"/>
      <c r="I149" s="22">
        <v>228.72</v>
      </c>
      <c r="J149" s="19">
        <v>16.12</v>
      </c>
      <c r="M149" s="20">
        <f>ROUND(ROUND(J149, 2)*I149, 2)</f>
        <v>3686.97</v>
      </c>
      <c r="P149" s="19">
        <v>16.11</v>
      </c>
      <c r="S149" s="20">
        <f>ROUND(ROUND(P149, 2)*I149, 2)</f>
        <v>3684.68</v>
      </c>
      <c r="V149" s="9">
        <f>ROUND(ROUND(P149, 2)/1.2, 2)</f>
        <v>13.43</v>
      </c>
      <c r="Y149" s="9">
        <f t="shared" si="9"/>
        <v>3070.57</v>
      </c>
      <c r="AD149" s="4" t="s">
        <v>510</v>
      </c>
      <c r="AE149" s="4" t="s">
        <v>511</v>
      </c>
      <c r="AF149" s="4" t="s">
        <v>447</v>
      </c>
    </row>
    <row r="150" spans="1:35" ht="18" x14ac:dyDescent="0.3">
      <c r="A150" s="10" t="s">
        <v>512</v>
      </c>
      <c r="B150" s="10"/>
      <c r="C150" s="16" t="s">
        <v>449</v>
      </c>
      <c r="D150" s="12"/>
      <c r="E150" s="12"/>
      <c r="F150" s="17" t="s">
        <v>227</v>
      </c>
      <c r="G150" s="18">
        <v>0.25</v>
      </c>
      <c r="H150" s="18"/>
      <c r="I150" s="18">
        <v>47.65</v>
      </c>
      <c r="J150" s="19">
        <v>47.44</v>
      </c>
      <c r="M150" s="20">
        <f>ROUND(ROUND(J150, 2)*I150, 2)</f>
        <v>2260.52</v>
      </c>
      <c r="P150" s="19">
        <v>47.44</v>
      </c>
      <c r="S150" s="20">
        <f>ROUND(ROUND(P150, 2)*I150, 2)</f>
        <v>2260.52</v>
      </c>
      <c r="V150" s="9">
        <f>ROUND(ROUND(P150, 2)/1.2, 2)</f>
        <v>39.53</v>
      </c>
      <c r="Y150" s="9">
        <f t="shared" si="9"/>
        <v>1883.77</v>
      </c>
      <c r="AD150" s="4" t="s">
        <v>513</v>
      </c>
      <c r="AE150" s="4" t="s">
        <v>514</v>
      </c>
      <c r="AF150" s="4" t="s">
        <v>452</v>
      </c>
    </row>
    <row r="151" spans="1:35" ht="36" x14ac:dyDescent="0.3">
      <c r="A151" s="10" t="s">
        <v>515</v>
      </c>
      <c r="B151" s="10"/>
      <c r="C151" s="16" t="s">
        <v>454</v>
      </c>
      <c r="D151" s="12"/>
      <c r="E151" s="12"/>
      <c r="F151" s="17" t="s">
        <v>227</v>
      </c>
      <c r="G151" s="18">
        <v>0.15</v>
      </c>
      <c r="H151" s="18"/>
      <c r="I151" s="18">
        <v>28.59</v>
      </c>
      <c r="J151" s="19">
        <v>88.8</v>
      </c>
      <c r="M151" s="20">
        <f>ROUND(ROUND(J151, 2)*I151, 2)</f>
        <v>2538.79</v>
      </c>
      <c r="P151" s="19">
        <v>88.8</v>
      </c>
      <c r="S151" s="20">
        <f>ROUND(ROUND(P151, 2)*I151, 2)</f>
        <v>2538.79</v>
      </c>
      <c r="V151" s="9">
        <f>ROUND(ROUND(P151, 2)/1.2, 2)</f>
        <v>74</v>
      </c>
      <c r="Y151" s="9">
        <f t="shared" si="9"/>
        <v>2115.66</v>
      </c>
      <c r="AD151" s="4" t="s">
        <v>516</v>
      </c>
      <c r="AE151" s="4" t="s">
        <v>517</v>
      </c>
      <c r="AF151" s="4" t="s">
        <v>457</v>
      </c>
    </row>
    <row r="152" spans="1:35" ht="36" x14ac:dyDescent="0.3">
      <c r="A152" s="10" t="s">
        <v>518</v>
      </c>
      <c r="B152" s="10" t="s">
        <v>434</v>
      </c>
      <c r="C152" s="11" t="s">
        <v>435</v>
      </c>
      <c r="D152" s="12"/>
      <c r="E152" s="12" t="s">
        <v>519</v>
      </c>
      <c r="F152" s="12" t="s">
        <v>59</v>
      </c>
      <c r="G152" s="13">
        <v>1</v>
      </c>
      <c r="H152" s="13"/>
      <c r="I152" s="13">
        <v>129.4</v>
      </c>
      <c r="J152" s="14">
        <v>4446.12</v>
      </c>
      <c r="K152" s="15">
        <v>2310</v>
      </c>
      <c r="L152" s="14">
        <f>J152+ROUND(K152, 2)</f>
        <v>6756.12</v>
      </c>
      <c r="M152" s="14">
        <v>575327.93000000005</v>
      </c>
      <c r="N152" s="14">
        <v>298914</v>
      </c>
      <c r="O152" s="14">
        <f>M152+N152</f>
        <v>874241.93</v>
      </c>
      <c r="P152" s="14">
        <v>4446.1099999999997</v>
      </c>
      <c r="Q152" s="15">
        <v>3465</v>
      </c>
      <c r="R152" s="14">
        <f>P152+ROUND(Q152, 2)</f>
        <v>7911.11</v>
      </c>
      <c r="S152" s="14">
        <v>575326.63</v>
      </c>
      <c r="T152" s="14">
        <v>448371</v>
      </c>
      <c r="U152" s="14">
        <f>S152+T152</f>
        <v>1023697.63</v>
      </c>
      <c r="V152" s="9">
        <f>ROUND(P152 / 1.2, 2)</f>
        <v>3705.09</v>
      </c>
      <c r="W152" s="9">
        <f>ROUND(Q152 / 1.2, 2)</f>
        <v>2887.5</v>
      </c>
      <c r="X152" s="9">
        <f>ROUND(R152 / 1.2, 2)</f>
        <v>6592.59</v>
      </c>
      <c r="Y152" s="9">
        <f t="shared" si="9"/>
        <v>479438.86</v>
      </c>
      <c r="Z152" s="9">
        <f>ROUND(T152 / 1.2, 2)</f>
        <v>373642.5</v>
      </c>
      <c r="AA152" s="9">
        <f>Y152+Z152</f>
        <v>853081.36</v>
      </c>
      <c r="AD152" s="4">
        <v>315889943</v>
      </c>
      <c r="AE152" s="4">
        <v>27245778</v>
      </c>
      <c r="AG152" s="4" t="s">
        <v>436</v>
      </c>
      <c r="AH152" s="4" t="s">
        <v>437</v>
      </c>
      <c r="AI152" s="4" t="s">
        <v>224</v>
      </c>
    </row>
    <row r="153" spans="1:35" ht="36" x14ac:dyDescent="0.3">
      <c r="A153" s="10" t="s">
        <v>520</v>
      </c>
      <c r="B153" s="10"/>
      <c r="C153" s="16" t="s">
        <v>454</v>
      </c>
      <c r="D153" s="12"/>
      <c r="E153" s="12"/>
      <c r="F153" s="17" t="s">
        <v>227</v>
      </c>
      <c r="G153" s="18">
        <v>0.15</v>
      </c>
      <c r="H153" s="18"/>
      <c r="I153" s="18">
        <v>19.41</v>
      </c>
      <c r="J153" s="19">
        <v>88.8</v>
      </c>
      <c r="M153" s="20">
        <f>ROUND(ROUND(J153, 2)*I153, 2)</f>
        <v>1723.61</v>
      </c>
      <c r="P153" s="19">
        <v>88.8</v>
      </c>
      <c r="S153" s="20">
        <f>ROUND(ROUND(P153, 2)*I153, 2)</f>
        <v>1723.61</v>
      </c>
      <c r="V153" s="9">
        <f>ROUND(ROUND(P153, 2)/1.2, 2)</f>
        <v>74</v>
      </c>
      <c r="Y153" s="9">
        <f t="shared" si="9"/>
        <v>1436.34</v>
      </c>
      <c r="AD153" s="4" t="s">
        <v>521</v>
      </c>
      <c r="AE153" s="4" t="s">
        <v>522</v>
      </c>
      <c r="AF153" s="4" t="s">
        <v>457</v>
      </c>
    </row>
    <row r="154" spans="1:35" ht="18" x14ac:dyDescent="0.3">
      <c r="A154" s="10" t="s">
        <v>523</v>
      </c>
      <c r="B154" s="10"/>
      <c r="C154" s="16" t="s">
        <v>449</v>
      </c>
      <c r="D154" s="12"/>
      <c r="E154" s="12"/>
      <c r="F154" s="17" t="s">
        <v>227</v>
      </c>
      <c r="G154" s="18">
        <v>0.25</v>
      </c>
      <c r="H154" s="18"/>
      <c r="I154" s="18">
        <v>32.35</v>
      </c>
      <c r="J154" s="19">
        <v>47.44</v>
      </c>
      <c r="M154" s="20">
        <f>ROUND(ROUND(J154, 2)*I154, 2)</f>
        <v>1534.68</v>
      </c>
      <c r="P154" s="19">
        <v>47.44</v>
      </c>
      <c r="S154" s="20">
        <f>ROUND(ROUND(P154, 2)*I154, 2)</f>
        <v>1534.68</v>
      </c>
      <c r="V154" s="9">
        <f>ROUND(ROUND(P154, 2)/1.2, 2)</f>
        <v>39.53</v>
      </c>
      <c r="Y154" s="9">
        <f t="shared" si="9"/>
        <v>1278.9000000000001</v>
      </c>
      <c r="AD154" s="4" t="s">
        <v>524</v>
      </c>
      <c r="AE154" s="4" t="s">
        <v>525</v>
      </c>
      <c r="AF154" s="4" t="s">
        <v>452</v>
      </c>
    </row>
    <row r="155" spans="1:35" ht="36" x14ac:dyDescent="0.3">
      <c r="A155" s="10" t="s">
        <v>526</v>
      </c>
      <c r="B155" s="10"/>
      <c r="C155" s="21" t="s">
        <v>444</v>
      </c>
      <c r="D155" s="12"/>
      <c r="E155" s="12"/>
      <c r="F155" s="17" t="s">
        <v>227</v>
      </c>
      <c r="G155" s="18">
        <v>1.2</v>
      </c>
      <c r="H155" s="22"/>
      <c r="I155" s="22">
        <v>155.28</v>
      </c>
      <c r="J155" s="19">
        <v>16.12</v>
      </c>
      <c r="M155" s="20">
        <f>ROUND(ROUND(J155, 2)*I155, 2)</f>
        <v>2503.11</v>
      </c>
      <c r="P155" s="19">
        <v>16.11</v>
      </c>
      <c r="S155" s="20">
        <f>ROUND(ROUND(P155, 2)*I155, 2)</f>
        <v>2501.56</v>
      </c>
      <c r="V155" s="9">
        <f>ROUND(ROUND(P155, 2)/1.2, 2)</f>
        <v>13.43</v>
      </c>
      <c r="Y155" s="9">
        <f t="shared" si="9"/>
        <v>2084.63</v>
      </c>
      <c r="AD155" s="4" t="s">
        <v>527</v>
      </c>
      <c r="AE155" s="4" t="s">
        <v>528</v>
      </c>
      <c r="AF155" s="4" t="s">
        <v>447</v>
      </c>
    </row>
    <row r="156" spans="1:35" ht="90" x14ac:dyDescent="0.3">
      <c r="A156" s="10" t="s">
        <v>529</v>
      </c>
      <c r="B156" s="10"/>
      <c r="C156" s="21" t="s">
        <v>475</v>
      </c>
      <c r="D156" s="12"/>
      <c r="E156" s="12" t="s">
        <v>530</v>
      </c>
      <c r="F156" s="17" t="s">
        <v>308</v>
      </c>
      <c r="G156" s="18">
        <v>4</v>
      </c>
      <c r="H156" s="18"/>
      <c r="I156" s="18">
        <v>517.6</v>
      </c>
      <c r="J156" s="19">
        <v>1100.4000000000001</v>
      </c>
      <c r="M156" s="20">
        <f>ROUND(ROUND(J156, 2)*I156, 2)</f>
        <v>569567.04</v>
      </c>
      <c r="P156" s="19">
        <v>1100.4000000000001</v>
      </c>
      <c r="S156" s="20">
        <f>ROUND(ROUND(P156, 2)*I156, 2)</f>
        <v>569567.04</v>
      </c>
      <c r="V156" s="9">
        <f>ROUND(ROUND(P156, 2)/1.2, 2)</f>
        <v>917</v>
      </c>
      <c r="Y156" s="9">
        <f t="shared" si="9"/>
        <v>474639.2</v>
      </c>
      <c r="AD156" s="4" t="s">
        <v>531</v>
      </c>
      <c r="AE156" s="4" t="s">
        <v>532</v>
      </c>
      <c r="AF156" s="4" t="s">
        <v>478</v>
      </c>
    </row>
    <row r="157" spans="1:35" ht="36" x14ac:dyDescent="0.3">
      <c r="A157" s="10" t="s">
        <v>533</v>
      </c>
      <c r="B157" s="10" t="s">
        <v>534</v>
      </c>
      <c r="C157" s="11" t="s">
        <v>535</v>
      </c>
      <c r="D157" s="12"/>
      <c r="E157" s="12"/>
      <c r="F157" s="12" t="s">
        <v>76</v>
      </c>
      <c r="G157" s="13">
        <v>1</v>
      </c>
      <c r="H157" s="13"/>
      <c r="I157" s="13">
        <v>0</v>
      </c>
      <c r="J157" s="14">
        <v>0</v>
      </c>
      <c r="K157" s="15">
        <v>473</v>
      </c>
      <c r="L157" s="14">
        <f>J157+ROUND(K157, 2)</f>
        <v>473</v>
      </c>
      <c r="M157" s="14">
        <v>0</v>
      </c>
      <c r="N157" s="14">
        <v>0</v>
      </c>
      <c r="O157" s="14">
        <f>M157+N157</f>
        <v>0</v>
      </c>
      <c r="P157" s="14">
        <v>844.85</v>
      </c>
      <c r="Q157" s="15">
        <v>473</v>
      </c>
      <c r="R157" s="14">
        <f>P157+ROUND(Q157, 2)</f>
        <v>1317.85</v>
      </c>
      <c r="S157" s="14">
        <v>0</v>
      </c>
      <c r="T157" s="14">
        <v>0</v>
      </c>
      <c r="U157" s="14">
        <f>S157+T157</f>
        <v>0</v>
      </c>
      <c r="V157" s="9">
        <f>ROUND(P157 / 1.2, 2)</f>
        <v>704.04</v>
      </c>
      <c r="W157" s="9">
        <f>ROUND(Q157 / 1.2, 2)</f>
        <v>394.17</v>
      </c>
      <c r="X157" s="9">
        <f>ROUND(R157 / 1.2, 2)</f>
        <v>1098.21</v>
      </c>
      <c r="Y157" s="9">
        <f t="shared" ref="Y157:Y188" si="10">ROUND(S157 / 1.2, 2)</f>
        <v>0</v>
      </c>
      <c r="Z157" s="9">
        <f>ROUND(T157 / 1.2, 2)</f>
        <v>0</v>
      </c>
      <c r="AA157" s="9">
        <f>Y157+Z157</f>
        <v>0</v>
      </c>
      <c r="AD157" s="4">
        <v>315889945</v>
      </c>
      <c r="AE157" s="4">
        <v>27245655</v>
      </c>
      <c r="AG157" s="4" t="s">
        <v>536</v>
      </c>
      <c r="AH157" s="4" t="s">
        <v>537</v>
      </c>
      <c r="AI157" s="4" t="s">
        <v>224</v>
      </c>
    </row>
    <row r="158" spans="1:35" ht="36" x14ac:dyDescent="0.3">
      <c r="A158" s="10" t="s">
        <v>538</v>
      </c>
      <c r="B158" s="10"/>
      <c r="C158" s="21" t="s">
        <v>539</v>
      </c>
      <c r="D158" s="12"/>
      <c r="E158" s="12"/>
      <c r="F158" s="17" t="s">
        <v>227</v>
      </c>
      <c r="G158" s="18">
        <v>0.7</v>
      </c>
      <c r="H158" s="22"/>
      <c r="I158" s="22">
        <v>0</v>
      </c>
      <c r="J158" s="19">
        <v>16.96</v>
      </c>
      <c r="M158" s="20">
        <f>ROUND(ROUND(J158, 2)*I158, 2)</f>
        <v>0</v>
      </c>
      <c r="P158" s="19">
        <v>16.96</v>
      </c>
      <c r="S158" s="20">
        <f>ROUND(ROUND(P158, 2)*I158, 2)</f>
        <v>0</v>
      </c>
      <c r="V158" s="9">
        <f>ROUND(ROUND(P158, 2)/1.2, 2)</f>
        <v>14.13</v>
      </c>
      <c r="Y158" s="9">
        <f t="shared" si="10"/>
        <v>0</v>
      </c>
      <c r="AD158" s="4" t="s">
        <v>540</v>
      </c>
      <c r="AE158" s="4" t="s">
        <v>541</v>
      </c>
      <c r="AF158" s="4" t="s">
        <v>542</v>
      </c>
    </row>
    <row r="159" spans="1:35" ht="36" x14ac:dyDescent="0.3">
      <c r="A159" s="10" t="s">
        <v>543</v>
      </c>
      <c r="B159" s="10"/>
      <c r="C159" s="16" t="s">
        <v>544</v>
      </c>
      <c r="D159" s="12"/>
      <c r="E159" s="12"/>
      <c r="F159" s="17" t="s">
        <v>308</v>
      </c>
      <c r="G159" s="18">
        <v>1.84</v>
      </c>
      <c r="H159" s="22"/>
      <c r="I159" s="22">
        <v>0</v>
      </c>
      <c r="J159" s="19">
        <v>450.95</v>
      </c>
      <c r="M159" s="20">
        <f>ROUND(ROUND(J159, 2)*I159, 2)</f>
        <v>0</v>
      </c>
      <c r="P159" s="19">
        <v>450.95</v>
      </c>
      <c r="S159" s="20">
        <f>ROUND(ROUND(P159, 2)*I159, 2)</f>
        <v>0</v>
      </c>
      <c r="V159" s="9">
        <f>ROUND(ROUND(P159, 2)/1.2, 2)</f>
        <v>375.79</v>
      </c>
      <c r="Y159" s="9">
        <f t="shared" si="10"/>
        <v>0</v>
      </c>
      <c r="AD159" s="4" t="s">
        <v>545</v>
      </c>
      <c r="AE159" s="4" t="s">
        <v>546</v>
      </c>
      <c r="AF159" s="4" t="s">
        <v>547</v>
      </c>
    </row>
    <row r="160" spans="1:35" ht="18" x14ac:dyDescent="0.3">
      <c r="A160" s="10" t="s">
        <v>548</v>
      </c>
      <c r="B160" s="10"/>
      <c r="C160" s="16" t="s">
        <v>449</v>
      </c>
      <c r="D160" s="12"/>
      <c r="E160" s="12"/>
      <c r="F160" s="17" t="s">
        <v>227</v>
      </c>
      <c r="G160" s="18">
        <v>0.04</v>
      </c>
      <c r="H160" s="18"/>
      <c r="I160" s="18">
        <v>0</v>
      </c>
      <c r="J160" s="19">
        <v>47.44</v>
      </c>
      <c r="M160" s="20">
        <f>ROUND(ROUND(J160, 2)*I160, 2)</f>
        <v>0</v>
      </c>
      <c r="P160" s="19">
        <v>47.44</v>
      </c>
      <c r="S160" s="20">
        <f>ROUND(ROUND(P160, 2)*I160, 2)</f>
        <v>0</v>
      </c>
      <c r="V160" s="9">
        <f>ROUND(ROUND(P160, 2)/1.2, 2)</f>
        <v>39.53</v>
      </c>
      <c r="Y160" s="9">
        <f t="shared" si="10"/>
        <v>0</v>
      </c>
      <c r="AD160" s="4" t="s">
        <v>549</v>
      </c>
      <c r="AE160" s="4" t="s">
        <v>550</v>
      </c>
      <c r="AF160" s="4" t="s">
        <v>452</v>
      </c>
    </row>
    <row r="161" spans="1:35" ht="36" x14ac:dyDescent="0.3">
      <c r="A161" s="10" t="s">
        <v>551</v>
      </c>
      <c r="B161" s="10"/>
      <c r="C161" s="16" t="s">
        <v>552</v>
      </c>
      <c r="D161" s="12"/>
      <c r="E161" s="12"/>
      <c r="F161" s="17" t="s">
        <v>227</v>
      </c>
      <c r="G161" s="18">
        <v>1.4999999999999999E-2</v>
      </c>
      <c r="H161" s="18"/>
      <c r="I161" s="18">
        <v>0</v>
      </c>
      <c r="J161" s="19">
        <v>88.8</v>
      </c>
      <c r="M161" s="20">
        <f>ROUND(ROUND(J161, 2)*I161, 2)</f>
        <v>0</v>
      </c>
      <c r="P161" s="19">
        <v>88.8</v>
      </c>
      <c r="S161" s="20">
        <f>ROUND(ROUND(P161, 2)*I161, 2)</f>
        <v>0</v>
      </c>
      <c r="V161" s="9">
        <f>ROUND(ROUND(P161, 2)/1.2, 2)</f>
        <v>74</v>
      </c>
      <c r="Y161" s="9">
        <f t="shared" si="10"/>
        <v>0</v>
      </c>
      <c r="AD161" s="4" t="s">
        <v>553</v>
      </c>
      <c r="AE161" s="4" t="s">
        <v>554</v>
      </c>
      <c r="AF161" s="4" t="s">
        <v>555</v>
      </c>
    </row>
    <row r="162" spans="1:35" ht="36" x14ac:dyDescent="0.3">
      <c r="A162" s="10" t="s">
        <v>556</v>
      </c>
      <c r="B162" s="10" t="s">
        <v>534</v>
      </c>
      <c r="C162" s="11" t="s">
        <v>535</v>
      </c>
      <c r="D162" s="12"/>
      <c r="E162" s="12"/>
      <c r="F162" s="12" t="s">
        <v>76</v>
      </c>
      <c r="G162" s="13">
        <v>1</v>
      </c>
      <c r="H162" s="13"/>
      <c r="I162" s="13">
        <v>0</v>
      </c>
      <c r="J162" s="14">
        <v>0</v>
      </c>
      <c r="K162" s="15">
        <v>473</v>
      </c>
      <c r="L162" s="14">
        <f>J162+ROUND(K162, 2)</f>
        <v>473</v>
      </c>
      <c r="M162" s="14">
        <v>0</v>
      </c>
      <c r="N162" s="14">
        <v>0</v>
      </c>
      <c r="O162" s="14">
        <f>M162+N162</f>
        <v>0</v>
      </c>
      <c r="P162" s="14">
        <v>844.85</v>
      </c>
      <c r="Q162" s="15">
        <v>473</v>
      </c>
      <c r="R162" s="14">
        <f>P162+ROUND(Q162, 2)</f>
        <v>1317.85</v>
      </c>
      <c r="S162" s="14">
        <v>0</v>
      </c>
      <c r="T162" s="14">
        <v>0</v>
      </c>
      <c r="U162" s="14">
        <f>S162+T162</f>
        <v>0</v>
      </c>
      <c r="V162" s="9">
        <f>ROUND(P162 / 1.2, 2)</f>
        <v>704.04</v>
      </c>
      <c r="W162" s="9">
        <f>ROUND(Q162 / 1.2, 2)</f>
        <v>394.17</v>
      </c>
      <c r="X162" s="9">
        <f>ROUND(R162 / 1.2, 2)</f>
        <v>1098.21</v>
      </c>
      <c r="Y162" s="9">
        <f t="shared" si="10"/>
        <v>0</v>
      </c>
      <c r="Z162" s="9">
        <f>ROUND(T162 / 1.2, 2)</f>
        <v>0</v>
      </c>
      <c r="AA162" s="9">
        <f>Y162+Z162</f>
        <v>0</v>
      </c>
      <c r="AD162" s="4">
        <v>315889946</v>
      </c>
      <c r="AE162" s="4">
        <v>27245656</v>
      </c>
      <c r="AG162" s="4" t="s">
        <v>536</v>
      </c>
      <c r="AH162" s="4" t="s">
        <v>537</v>
      </c>
      <c r="AI162" s="4" t="s">
        <v>224</v>
      </c>
    </row>
    <row r="163" spans="1:35" ht="36" x14ac:dyDescent="0.3">
      <c r="A163" s="10" t="s">
        <v>557</v>
      </c>
      <c r="B163" s="10"/>
      <c r="C163" s="16" t="s">
        <v>552</v>
      </c>
      <c r="D163" s="12"/>
      <c r="E163" s="12"/>
      <c r="F163" s="17" t="s">
        <v>227</v>
      </c>
      <c r="G163" s="18">
        <v>1.4999999999999999E-2</v>
      </c>
      <c r="H163" s="18"/>
      <c r="I163" s="18">
        <v>0</v>
      </c>
      <c r="J163" s="19">
        <v>88.8</v>
      </c>
      <c r="M163" s="20">
        <f>ROUND(ROUND(J163, 2)*I163, 2)</f>
        <v>0</v>
      </c>
      <c r="P163" s="19">
        <v>88.8</v>
      </c>
      <c r="S163" s="20">
        <f>ROUND(ROUND(P163, 2)*I163, 2)</f>
        <v>0</v>
      </c>
      <c r="V163" s="9">
        <f>ROUND(ROUND(P163, 2)/1.2, 2)</f>
        <v>74</v>
      </c>
      <c r="Y163" s="9">
        <f t="shared" si="10"/>
        <v>0</v>
      </c>
      <c r="AD163" s="4" t="s">
        <v>558</v>
      </c>
      <c r="AE163" s="4" t="s">
        <v>559</v>
      </c>
      <c r="AF163" s="4" t="s">
        <v>555</v>
      </c>
    </row>
    <row r="164" spans="1:35" ht="18" x14ac:dyDescent="0.3">
      <c r="A164" s="10" t="s">
        <v>560</v>
      </c>
      <c r="B164" s="10"/>
      <c r="C164" s="16" t="s">
        <v>449</v>
      </c>
      <c r="D164" s="12"/>
      <c r="E164" s="12"/>
      <c r="F164" s="17" t="s">
        <v>227</v>
      </c>
      <c r="G164" s="18">
        <v>0.04</v>
      </c>
      <c r="H164" s="18"/>
      <c r="I164" s="18">
        <v>0</v>
      </c>
      <c r="J164" s="19">
        <v>47.44</v>
      </c>
      <c r="M164" s="20">
        <f>ROUND(ROUND(J164, 2)*I164, 2)</f>
        <v>0</v>
      </c>
      <c r="P164" s="19">
        <v>47.44</v>
      </c>
      <c r="S164" s="20">
        <f>ROUND(ROUND(P164, 2)*I164, 2)</f>
        <v>0</v>
      </c>
      <c r="V164" s="9">
        <f>ROUND(ROUND(P164, 2)/1.2, 2)</f>
        <v>39.53</v>
      </c>
      <c r="Y164" s="9">
        <f t="shared" si="10"/>
        <v>0</v>
      </c>
      <c r="AD164" s="4" t="s">
        <v>561</v>
      </c>
      <c r="AE164" s="4" t="s">
        <v>562</v>
      </c>
      <c r="AF164" s="4" t="s">
        <v>452</v>
      </c>
    </row>
    <row r="165" spans="1:35" ht="36" x14ac:dyDescent="0.3">
      <c r="A165" s="10" t="s">
        <v>563</v>
      </c>
      <c r="B165" s="10"/>
      <c r="C165" s="16" t="s">
        <v>544</v>
      </c>
      <c r="D165" s="12"/>
      <c r="E165" s="12"/>
      <c r="F165" s="17" t="s">
        <v>308</v>
      </c>
      <c r="G165" s="18">
        <v>1.84</v>
      </c>
      <c r="H165" s="22"/>
      <c r="I165" s="22">
        <v>0</v>
      </c>
      <c r="J165" s="19">
        <v>450.95</v>
      </c>
      <c r="M165" s="20">
        <f>ROUND(ROUND(J165, 2)*I165, 2)</f>
        <v>0</v>
      </c>
      <c r="P165" s="19">
        <v>450.95</v>
      </c>
      <c r="S165" s="20">
        <f>ROUND(ROUND(P165, 2)*I165, 2)</f>
        <v>0</v>
      </c>
      <c r="V165" s="9">
        <f>ROUND(ROUND(P165, 2)/1.2, 2)</f>
        <v>375.79</v>
      </c>
      <c r="Y165" s="9">
        <f t="shared" si="10"/>
        <v>0</v>
      </c>
      <c r="AD165" s="4" t="s">
        <v>564</v>
      </c>
      <c r="AE165" s="4" t="s">
        <v>565</v>
      </c>
      <c r="AF165" s="4" t="s">
        <v>547</v>
      </c>
    </row>
    <row r="166" spans="1:35" ht="36" x14ac:dyDescent="0.3">
      <c r="A166" s="10" t="s">
        <v>566</v>
      </c>
      <c r="B166" s="10"/>
      <c r="C166" s="21" t="s">
        <v>539</v>
      </c>
      <c r="D166" s="12"/>
      <c r="E166" s="12"/>
      <c r="F166" s="17" t="s">
        <v>227</v>
      </c>
      <c r="G166" s="18">
        <v>0.7</v>
      </c>
      <c r="H166" s="22"/>
      <c r="I166" s="22">
        <v>0</v>
      </c>
      <c r="J166" s="19">
        <v>16.96</v>
      </c>
      <c r="M166" s="20">
        <f>ROUND(ROUND(J166, 2)*I166, 2)</f>
        <v>0</v>
      </c>
      <c r="P166" s="19">
        <v>16.96</v>
      </c>
      <c r="S166" s="20">
        <f>ROUND(ROUND(P166, 2)*I166, 2)</f>
        <v>0</v>
      </c>
      <c r="V166" s="9">
        <f>ROUND(ROUND(P166, 2)/1.2, 2)</f>
        <v>14.13</v>
      </c>
      <c r="Y166" s="9">
        <f t="shared" si="10"/>
        <v>0</v>
      </c>
      <c r="AD166" s="4" t="s">
        <v>567</v>
      </c>
      <c r="AE166" s="4" t="s">
        <v>568</v>
      </c>
      <c r="AF166" s="4" t="s">
        <v>542</v>
      </c>
    </row>
    <row r="167" spans="1:35" ht="36" x14ac:dyDescent="0.3">
      <c r="A167" s="10" t="s">
        <v>569</v>
      </c>
      <c r="B167" s="10" t="s">
        <v>534</v>
      </c>
      <c r="C167" s="11" t="s">
        <v>535</v>
      </c>
      <c r="D167" s="12"/>
      <c r="E167" s="12" t="s">
        <v>570</v>
      </c>
      <c r="F167" s="12" t="s">
        <v>76</v>
      </c>
      <c r="G167" s="13">
        <v>1</v>
      </c>
      <c r="H167" s="13"/>
      <c r="I167" s="13">
        <v>0</v>
      </c>
      <c r="J167" s="14">
        <v>0</v>
      </c>
      <c r="K167" s="15">
        <v>473</v>
      </c>
      <c r="L167" s="14">
        <f>J167+ROUND(K167, 2)</f>
        <v>473</v>
      </c>
      <c r="M167" s="14">
        <v>0</v>
      </c>
      <c r="N167" s="14">
        <v>0</v>
      </c>
      <c r="O167" s="14">
        <f>M167+N167</f>
        <v>0</v>
      </c>
      <c r="P167" s="14">
        <v>842.95</v>
      </c>
      <c r="Q167" s="15">
        <v>473</v>
      </c>
      <c r="R167" s="14">
        <f>P167+ROUND(Q167, 2)</f>
        <v>1315.95</v>
      </c>
      <c r="S167" s="14">
        <v>0</v>
      </c>
      <c r="T167" s="14">
        <v>0</v>
      </c>
      <c r="U167" s="14">
        <f>S167+T167</f>
        <v>0</v>
      </c>
      <c r="V167" s="9">
        <f>ROUND(P167 / 1.2, 2)</f>
        <v>702.46</v>
      </c>
      <c r="W167" s="9">
        <f>ROUND(Q167 / 1.2, 2)</f>
        <v>394.17</v>
      </c>
      <c r="X167" s="9">
        <f>ROUND(R167 / 1.2, 2)</f>
        <v>1096.6300000000001</v>
      </c>
      <c r="Y167" s="9">
        <f t="shared" si="10"/>
        <v>0</v>
      </c>
      <c r="Z167" s="9">
        <f>ROUND(T167 / 1.2, 2)</f>
        <v>0</v>
      </c>
      <c r="AA167" s="9">
        <f>Y167+Z167</f>
        <v>0</v>
      </c>
      <c r="AD167" s="4">
        <v>315889947</v>
      </c>
      <c r="AE167" s="4">
        <v>27245783</v>
      </c>
      <c r="AG167" s="4" t="s">
        <v>536</v>
      </c>
      <c r="AH167" s="4" t="s">
        <v>537</v>
      </c>
      <c r="AI167" s="4" t="s">
        <v>224</v>
      </c>
    </row>
    <row r="168" spans="1:35" ht="36" x14ac:dyDescent="0.3">
      <c r="A168" s="10" t="s">
        <v>571</v>
      </c>
      <c r="B168" s="10"/>
      <c r="C168" s="21" t="s">
        <v>539</v>
      </c>
      <c r="D168" s="12"/>
      <c r="E168" s="12"/>
      <c r="F168" s="17" t="s">
        <v>227</v>
      </c>
      <c r="G168" s="18">
        <v>0.7</v>
      </c>
      <c r="H168" s="22"/>
      <c r="I168" s="22">
        <v>0</v>
      </c>
      <c r="J168" s="19">
        <v>16.96</v>
      </c>
      <c r="M168" s="20">
        <f>ROUND(ROUND(J168, 2)*I168, 2)</f>
        <v>0</v>
      </c>
      <c r="P168" s="19">
        <v>16.96</v>
      </c>
      <c r="S168" s="20">
        <f>ROUND(ROUND(P168, 2)*I168, 2)</f>
        <v>0</v>
      </c>
      <c r="V168" s="9">
        <f>ROUND(ROUND(P168, 2)/1.2, 2)</f>
        <v>14.13</v>
      </c>
      <c r="Y168" s="9">
        <f t="shared" si="10"/>
        <v>0</v>
      </c>
      <c r="AD168" s="4" t="s">
        <v>572</v>
      </c>
      <c r="AE168" s="4" t="s">
        <v>573</v>
      </c>
      <c r="AF168" s="4" t="s">
        <v>542</v>
      </c>
    </row>
    <row r="169" spans="1:35" ht="36" x14ac:dyDescent="0.3">
      <c r="A169" s="10" t="s">
        <v>574</v>
      </c>
      <c r="B169" s="10"/>
      <c r="C169" s="16" t="s">
        <v>544</v>
      </c>
      <c r="D169" s="12"/>
      <c r="E169" s="12"/>
      <c r="F169" s="17" t="s">
        <v>308</v>
      </c>
      <c r="G169" s="18">
        <v>1.84</v>
      </c>
      <c r="H169" s="22"/>
      <c r="I169" s="22">
        <v>0</v>
      </c>
      <c r="J169" s="19">
        <v>450.95</v>
      </c>
      <c r="M169" s="20">
        <f>ROUND(ROUND(J169, 2)*I169, 2)</f>
        <v>0</v>
      </c>
      <c r="P169" s="19">
        <v>450.95</v>
      </c>
      <c r="S169" s="20">
        <f>ROUND(ROUND(P169, 2)*I169, 2)</f>
        <v>0</v>
      </c>
      <c r="V169" s="9">
        <f>ROUND(ROUND(P169, 2)/1.2, 2)</f>
        <v>375.79</v>
      </c>
      <c r="Y169" s="9">
        <f t="shared" si="10"/>
        <v>0</v>
      </c>
      <c r="AD169" s="4" t="s">
        <v>575</v>
      </c>
      <c r="AE169" s="4" t="s">
        <v>576</v>
      </c>
      <c r="AF169" s="4" t="s">
        <v>547</v>
      </c>
    </row>
    <row r="170" spans="1:35" ht="36" x14ac:dyDescent="0.3">
      <c r="A170" s="10" t="s">
        <v>577</v>
      </c>
      <c r="B170" s="10"/>
      <c r="C170" s="16" t="s">
        <v>552</v>
      </c>
      <c r="D170" s="12"/>
      <c r="E170" s="12"/>
      <c r="F170" s="17" t="s">
        <v>227</v>
      </c>
      <c r="G170" s="18">
        <v>1.4999999999999999E-2</v>
      </c>
      <c r="H170" s="18"/>
      <c r="I170" s="18">
        <v>0</v>
      </c>
      <c r="J170" s="19">
        <v>88.8</v>
      </c>
      <c r="M170" s="20">
        <f>ROUND(ROUND(J170, 2)*I170, 2)</f>
        <v>0</v>
      </c>
      <c r="P170" s="19">
        <v>88.8</v>
      </c>
      <c r="S170" s="20">
        <f>ROUND(ROUND(P170, 2)*I170, 2)</f>
        <v>0</v>
      </c>
      <c r="V170" s="9">
        <f>ROUND(ROUND(P170, 2)/1.2, 2)</f>
        <v>74</v>
      </c>
      <c r="Y170" s="9">
        <f t="shared" si="10"/>
        <v>0</v>
      </c>
      <c r="AD170" s="4" t="s">
        <v>578</v>
      </c>
      <c r="AE170" s="4" t="s">
        <v>579</v>
      </c>
      <c r="AF170" s="4" t="s">
        <v>555</v>
      </c>
    </row>
    <row r="171" spans="1:35" ht="36" x14ac:dyDescent="0.3">
      <c r="A171" s="10" t="s">
        <v>580</v>
      </c>
      <c r="B171" s="10" t="s">
        <v>534</v>
      </c>
      <c r="C171" s="11" t="s">
        <v>535</v>
      </c>
      <c r="D171" s="12"/>
      <c r="E171" s="12" t="s">
        <v>581</v>
      </c>
      <c r="F171" s="12" t="s">
        <v>76</v>
      </c>
      <c r="G171" s="13">
        <v>1</v>
      </c>
      <c r="H171" s="13"/>
      <c r="I171" s="13">
        <v>103.54</v>
      </c>
      <c r="J171" s="14">
        <v>832.98</v>
      </c>
      <c r="K171" s="15">
        <v>473</v>
      </c>
      <c r="L171" s="14">
        <f>J171+ROUND(K171, 2)</f>
        <v>1305.98</v>
      </c>
      <c r="M171" s="14">
        <v>86246.75</v>
      </c>
      <c r="N171" s="14">
        <v>48974.42</v>
      </c>
      <c r="O171" s="14">
        <f>M171+N171</f>
        <v>135221.16999999998</v>
      </c>
      <c r="P171" s="14">
        <v>832.98</v>
      </c>
      <c r="Q171" s="15">
        <v>709.5</v>
      </c>
      <c r="R171" s="14">
        <f>P171+ROUND(Q171, 2)</f>
        <v>1542.48</v>
      </c>
      <c r="S171" s="14">
        <v>86246.75</v>
      </c>
      <c r="T171" s="14">
        <v>73461.63</v>
      </c>
      <c r="U171" s="14">
        <f>S171+T171</f>
        <v>159708.38</v>
      </c>
      <c r="V171" s="9">
        <f>ROUND(P171 / 1.2, 2)</f>
        <v>694.15</v>
      </c>
      <c r="W171" s="9">
        <f>ROUND(Q171 / 1.2, 2)</f>
        <v>591.25</v>
      </c>
      <c r="X171" s="9">
        <f>ROUND(R171 / 1.2, 2)</f>
        <v>1285.4000000000001</v>
      </c>
      <c r="Y171" s="9">
        <f t="shared" si="10"/>
        <v>71872.289999999994</v>
      </c>
      <c r="Z171" s="9">
        <f>ROUND(T171 / 1.2, 2)</f>
        <v>61218.03</v>
      </c>
      <c r="AA171" s="9">
        <f>Y171+Z171</f>
        <v>133090.32</v>
      </c>
      <c r="AD171" s="4">
        <v>315889948</v>
      </c>
      <c r="AE171" s="4">
        <v>27245785</v>
      </c>
      <c r="AG171" s="4" t="s">
        <v>536</v>
      </c>
      <c r="AH171" s="4" t="s">
        <v>537</v>
      </c>
      <c r="AI171" s="4" t="s">
        <v>224</v>
      </c>
    </row>
    <row r="172" spans="1:35" ht="36" x14ac:dyDescent="0.3">
      <c r="A172" s="10" t="s">
        <v>582</v>
      </c>
      <c r="B172" s="10"/>
      <c r="C172" s="16" t="s">
        <v>552</v>
      </c>
      <c r="D172" s="12"/>
      <c r="E172" s="12"/>
      <c r="F172" s="17" t="s">
        <v>227</v>
      </c>
      <c r="G172" s="18">
        <v>1.4999999999999999E-2</v>
      </c>
      <c r="H172" s="18"/>
      <c r="I172" s="18">
        <v>1.5529999999999999</v>
      </c>
      <c r="J172" s="19">
        <v>88.8</v>
      </c>
      <c r="M172" s="20">
        <f>ROUND(ROUND(J172, 2)*I172, 2)</f>
        <v>137.91</v>
      </c>
      <c r="P172" s="19">
        <v>88.8</v>
      </c>
      <c r="S172" s="20">
        <f>ROUND(ROUND(P172, 2)*I172, 2)</f>
        <v>137.91</v>
      </c>
      <c r="V172" s="9">
        <f>ROUND(ROUND(P172, 2)/1.2, 2)</f>
        <v>74</v>
      </c>
      <c r="Y172" s="9">
        <f t="shared" si="10"/>
        <v>114.93</v>
      </c>
      <c r="AD172" s="4" t="s">
        <v>583</v>
      </c>
      <c r="AE172" s="4" t="s">
        <v>584</v>
      </c>
      <c r="AF172" s="4" t="s">
        <v>555</v>
      </c>
    </row>
    <row r="173" spans="1:35" ht="18" x14ac:dyDescent="0.3">
      <c r="A173" s="10" t="s">
        <v>585</v>
      </c>
      <c r="B173" s="10"/>
      <c r="C173" s="16" t="s">
        <v>449</v>
      </c>
      <c r="D173" s="12"/>
      <c r="E173" s="12"/>
      <c r="F173" s="17" t="s">
        <v>227</v>
      </c>
      <c r="G173" s="18">
        <v>0.04</v>
      </c>
      <c r="H173" s="18"/>
      <c r="I173" s="18">
        <v>4.1420000000000003</v>
      </c>
      <c r="J173" s="19">
        <v>47.44</v>
      </c>
      <c r="M173" s="20">
        <f>ROUND(ROUND(J173, 2)*I173, 2)</f>
        <v>196.5</v>
      </c>
      <c r="P173" s="19">
        <v>47.44</v>
      </c>
      <c r="S173" s="20">
        <f>ROUND(ROUND(P173, 2)*I173, 2)</f>
        <v>196.5</v>
      </c>
      <c r="V173" s="9">
        <f>ROUND(ROUND(P173, 2)/1.2, 2)</f>
        <v>39.53</v>
      </c>
      <c r="Y173" s="9">
        <f t="shared" si="10"/>
        <v>163.75</v>
      </c>
      <c r="AD173" s="4" t="s">
        <v>586</v>
      </c>
      <c r="AE173" s="4" t="s">
        <v>587</v>
      </c>
      <c r="AF173" s="4" t="s">
        <v>452</v>
      </c>
    </row>
    <row r="174" spans="1:35" ht="90" x14ac:dyDescent="0.3">
      <c r="A174" s="10" t="s">
        <v>588</v>
      </c>
      <c r="B174" s="10"/>
      <c r="C174" s="16" t="s">
        <v>544</v>
      </c>
      <c r="D174" s="12"/>
      <c r="E174" s="12" t="s">
        <v>589</v>
      </c>
      <c r="F174" s="17" t="s">
        <v>308</v>
      </c>
      <c r="G174" s="18">
        <v>1.84</v>
      </c>
      <c r="H174" s="22"/>
      <c r="I174" s="22">
        <v>190.51400000000001</v>
      </c>
      <c r="J174" s="19">
        <v>450.95</v>
      </c>
      <c r="M174" s="20">
        <f>ROUND(ROUND(J174, 2)*I174, 2)</f>
        <v>85912.29</v>
      </c>
      <c r="P174" s="19">
        <v>450.95</v>
      </c>
      <c r="S174" s="20">
        <f>ROUND(ROUND(P174, 2)*I174, 2)</f>
        <v>85912.29</v>
      </c>
      <c r="V174" s="9">
        <f>ROUND(ROUND(P174, 2)/1.2, 2)</f>
        <v>375.79</v>
      </c>
      <c r="Y174" s="9">
        <f t="shared" si="10"/>
        <v>71593.58</v>
      </c>
      <c r="AD174" s="4" t="s">
        <v>590</v>
      </c>
      <c r="AE174" s="4" t="s">
        <v>591</v>
      </c>
      <c r="AF174" s="4" t="s">
        <v>547</v>
      </c>
    </row>
    <row r="175" spans="1:35" ht="36" x14ac:dyDescent="0.3">
      <c r="A175" s="10" t="s">
        <v>592</v>
      </c>
      <c r="B175" s="10" t="s">
        <v>534</v>
      </c>
      <c r="C175" s="11" t="s">
        <v>535</v>
      </c>
      <c r="D175" s="12"/>
      <c r="E175" s="12" t="s">
        <v>593</v>
      </c>
      <c r="F175" s="12" t="s">
        <v>76</v>
      </c>
      <c r="G175" s="13">
        <v>1</v>
      </c>
      <c r="H175" s="13"/>
      <c r="I175" s="13">
        <v>379.83</v>
      </c>
      <c r="J175" s="14">
        <v>844.26</v>
      </c>
      <c r="K175" s="15">
        <v>473</v>
      </c>
      <c r="L175" s="14">
        <f>J175+ROUND(K175, 2)</f>
        <v>1317.26</v>
      </c>
      <c r="M175" s="14">
        <v>320675.28000000003</v>
      </c>
      <c r="N175" s="14">
        <v>179659.59</v>
      </c>
      <c r="O175" s="14">
        <f>M175+N175</f>
        <v>500334.87</v>
      </c>
      <c r="P175" s="14">
        <v>844.25</v>
      </c>
      <c r="Q175" s="15">
        <v>709.5</v>
      </c>
      <c r="R175" s="14">
        <f>P175+ROUND(Q175, 2)</f>
        <v>1553.75</v>
      </c>
      <c r="S175" s="14">
        <v>320671.48</v>
      </c>
      <c r="T175" s="14">
        <v>269489.39</v>
      </c>
      <c r="U175" s="14">
        <f>S175+T175</f>
        <v>590160.87</v>
      </c>
      <c r="V175" s="9">
        <f>ROUND(P175 / 1.2, 2)</f>
        <v>703.54</v>
      </c>
      <c r="W175" s="9">
        <f>ROUND(Q175 / 1.2, 2)</f>
        <v>591.25</v>
      </c>
      <c r="X175" s="9">
        <f>ROUND(R175 / 1.2, 2)</f>
        <v>1294.79</v>
      </c>
      <c r="Y175" s="9">
        <f t="shared" si="10"/>
        <v>267226.23</v>
      </c>
      <c r="Z175" s="9">
        <f>ROUND(T175 / 1.2, 2)</f>
        <v>224574.49</v>
      </c>
      <c r="AA175" s="9">
        <f>Y175+Z175</f>
        <v>491800.72</v>
      </c>
      <c r="AD175" s="4">
        <v>315889949</v>
      </c>
      <c r="AE175" s="4">
        <v>27245786</v>
      </c>
      <c r="AG175" s="4" t="s">
        <v>536</v>
      </c>
      <c r="AH175" s="4" t="s">
        <v>537</v>
      </c>
      <c r="AI175" s="4" t="s">
        <v>224</v>
      </c>
    </row>
    <row r="176" spans="1:35" ht="36" x14ac:dyDescent="0.3">
      <c r="A176" s="10" t="s">
        <v>594</v>
      </c>
      <c r="B176" s="10"/>
      <c r="C176" s="21" t="s">
        <v>539</v>
      </c>
      <c r="D176" s="12"/>
      <c r="E176" s="12"/>
      <c r="F176" s="17" t="s">
        <v>227</v>
      </c>
      <c r="G176" s="18">
        <v>0.7</v>
      </c>
      <c r="H176" s="22"/>
      <c r="I176" s="22">
        <v>265.88099999999997</v>
      </c>
      <c r="J176" s="19">
        <v>16.12</v>
      </c>
      <c r="M176" s="20">
        <f>ROUND(ROUND(J176, 2)*I176, 2)</f>
        <v>4286</v>
      </c>
      <c r="P176" s="19">
        <v>16.11</v>
      </c>
      <c r="S176" s="20">
        <f>ROUND(ROUND(P176, 2)*I176, 2)</f>
        <v>4283.34</v>
      </c>
      <c r="V176" s="9">
        <f>ROUND(ROUND(P176, 2)/1.2, 2)</f>
        <v>13.43</v>
      </c>
      <c r="Y176" s="9">
        <f t="shared" si="10"/>
        <v>3569.45</v>
      </c>
      <c r="AD176" s="4" t="s">
        <v>595</v>
      </c>
      <c r="AE176" s="4" t="s">
        <v>596</v>
      </c>
      <c r="AF176" s="4" t="s">
        <v>542</v>
      </c>
    </row>
    <row r="177" spans="1:35" ht="72" x14ac:dyDescent="0.3">
      <c r="A177" s="10" t="s">
        <v>597</v>
      </c>
      <c r="B177" s="10"/>
      <c r="C177" s="16" t="s">
        <v>544</v>
      </c>
      <c r="D177" s="12"/>
      <c r="E177" s="12" t="s">
        <v>598</v>
      </c>
      <c r="F177" s="17" t="s">
        <v>308</v>
      </c>
      <c r="G177" s="18">
        <v>1.84</v>
      </c>
      <c r="H177" s="22"/>
      <c r="I177" s="22">
        <v>698.88699999999994</v>
      </c>
      <c r="J177" s="19">
        <v>450.95</v>
      </c>
      <c r="M177" s="20">
        <f>ROUND(ROUND(J177, 2)*I177, 2)</f>
        <v>315163.09000000003</v>
      </c>
      <c r="P177" s="19">
        <v>450.95</v>
      </c>
      <c r="S177" s="20">
        <f>ROUND(ROUND(P177, 2)*I177, 2)</f>
        <v>315163.09000000003</v>
      </c>
      <c r="V177" s="9">
        <f>ROUND(ROUND(P177, 2)/1.2, 2)</f>
        <v>375.79</v>
      </c>
      <c r="Y177" s="9">
        <f t="shared" si="10"/>
        <v>262635.90999999997</v>
      </c>
      <c r="AD177" s="4" t="s">
        <v>599</v>
      </c>
      <c r="AE177" s="4" t="s">
        <v>600</v>
      </c>
      <c r="AF177" s="4" t="s">
        <v>547</v>
      </c>
    </row>
    <row r="178" spans="1:35" ht="18" x14ac:dyDescent="0.3">
      <c r="A178" s="10" t="s">
        <v>601</v>
      </c>
      <c r="B178" s="10"/>
      <c r="C178" s="16" t="s">
        <v>449</v>
      </c>
      <c r="D178" s="12"/>
      <c r="E178" s="12"/>
      <c r="F178" s="17" t="s">
        <v>227</v>
      </c>
      <c r="G178" s="18">
        <v>0.04</v>
      </c>
      <c r="H178" s="18"/>
      <c r="I178" s="18">
        <v>15.193</v>
      </c>
      <c r="J178" s="19">
        <v>47.44</v>
      </c>
      <c r="M178" s="20">
        <f>ROUND(ROUND(J178, 2)*I178, 2)</f>
        <v>720.76</v>
      </c>
      <c r="P178" s="19">
        <v>47.44</v>
      </c>
      <c r="S178" s="20">
        <f>ROUND(ROUND(P178, 2)*I178, 2)</f>
        <v>720.76</v>
      </c>
      <c r="V178" s="9">
        <f>ROUND(ROUND(P178, 2)/1.2, 2)</f>
        <v>39.53</v>
      </c>
      <c r="Y178" s="9">
        <f t="shared" si="10"/>
        <v>600.63</v>
      </c>
      <c r="AD178" s="4" t="s">
        <v>602</v>
      </c>
      <c r="AE178" s="4" t="s">
        <v>603</v>
      </c>
      <c r="AF178" s="4" t="s">
        <v>452</v>
      </c>
    </row>
    <row r="179" spans="1:35" ht="36" x14ac:dyDescent="0.3">
      <c r="A179" s="10" t="s">
        <v>604</v>
      </c>
      <c r="B179" s="10"/>
      <c r="C179" s="16" t="s">
        <v>552</v>
      </c>
      <c r="D179" s="12"/>
      <c r="E179" s="12"/>
      <c r="F179" s="17" t="s">
        <v>227</v>
      </c>
      <c r="G179" s="18">
        <v>1.4999999999999999E-2</v>
      </c>
      <c r="H179" s="18"/>
      <c r="I179" s="18">
        <v>5.6970000000000001</v>
      </c>
      <c r="J179" s="19">
        <v>88.8</v>
      </c>
      <c r="M179" s="20">
        <f>ROUND(ROUND(J179, 2)*I179, 2)</f>
        <v>505.89</v>
      </c>
      <c r="P179" s="19">
        <v>88.8</v>
      </c>
      <c r="S179" s="20">
        <f>ROUND(ROUND(P179, 2)*I179, 2)</f>
        <v>505.89</v>
      </c>
      <c r="V179" s="9">
        <f>ROUND(ROUND(P179, 2)/1.2, 2)</f>
        <v>74</v>
      </c>
      <c r="Y179" s="9">
        <f t="shared" si="10"/>
        <v>421.58</v>
      </c>
      <c r="AD179" s="4" t="s">
        <v>605</v>
      </c>
      <c r="AE179" s="4" t="s">
        <v>606</v>
      </c>
      <c r="AF179" s="4" t="s">
        <v>555</v>
      </c>
    </row>
    <row r="180" spans="1:35" ht="36" x14ac:dyDescent="0.3">
      <c r="A180" s="10" t="s">
        <v>607</v>
      </c>
      <c r="B180" s="10" t="s">
        <v>534</v>
      </c>
      <c r="C180" s="11" t="s">
        <v>535</v>
      </c>
      <c r="D180" s="12"/>
      <c r="E180" s="12" t="s">
        <v>570</v>
      </c>
      <c r="F180" s="12" t="s">
        <v>76</v>
      </c>
      <c r="G180" s="13">
        <v>1</v>
      </c>
      <c r="H180" s="13"/>
      <c r="I180" s="13">
        <v>78</v>
      </c>
      <c r="J180" s="14">
        <v>844.26</v>
      </c>
      <c r="K180" s="15">
        <v>473</v>
      </c>
      <c r="L180" s="14">
        <f>J180+ROUND(K180, 2)</f>
        <v>1317.26</v>
      </c>
      <c r="M180" s="14">
        <v>65852.28</v>
      </c>
      <c r="N180" s="14">
        <v>36894</v>
      </c>
      <c r="O180" s="14">
        <f>M180+N180</f>
        <v>102746.28</v>
      </c>
      <c r="P180" s="14">
        <v>844.25</v>
      </c>
      <c r="Q180" s="15">
        <v>709.5</v>
      </c>
      <c r="R180" s="14">
        <f>P180+ROUND(Q180, 2)</f>
        <v>1553.75</v>
      </c>
      <c r="S180" s="14">
        <v>65851.5</v>
      </c>
      <c r="T180" s="14">
        <v>55341</v>
      </c>
      <c r="U180" s="14">
        <f>S180+T180</f>
        <v>121192.5</v>
      </c>
      <c r="V180" s="9">
        <f>ROUND(P180 / 1.2, 2)</f>
        <v>703.54</v>
      </c>
      <c r="W180" s="9">
        <f>ROUND(Q180 / 1.2, 2)</f>
        <v>591.25</v>
      </c>
      <c r="X180" s="9">
        <f>ROUND(R180 / 1.2, 2)</f>
        <v>1294.79</v>
      </c>
      <c r="Y180" s="9">
        <f t="shared" si="10"/>
        <v>54876.25</v>
      </c>
      <c r="Z180" s="9">
        <f>ROUND(T180 / 1.2, 2)</f>
        <v>46117.5</v>
      </c>
      <c r="AA180" s="9">
        <f>Y180+Z180</f>
        <v>100993.75</v>
      </c>
      <c r="AD180" s="4">
        <v>315889950</v>
      </c>
      <c r="AE180" s="4">
        <v>27245784</v>
      </c>
      <c r="AG180" s="4" t="s">
        <v>536</v>
      </c>
      <c r="AH180" s="4" t="s">
        <v>537</v>
      </c>
      <c r="AI180" s="4" t="s">
        <v>224</v>
      </c>
    </row>
    <row r="181" spans="1:35" ht="36" x14ac:dyDescent="0.3">
      <c r="A181" s="10" t="s">
        <v>608</v>
      </c>
      <c r="B181" s="10"/>
      <c r="C181" s="16" t="s">
        <v>552</v>
      </c>
      <c r="D181" s="12"/>
      <c r="E181" s="12"/>
      <c r="F181" s="17" t="s">
        <v>227</v>
      </c>
      <c r="G181" s="18">
        <v>1.4999999999999999E-2</v>
      </c>
      <c r="H181" s="18"/>
      <c r="I181" s="18">
        <v>1.17</v>
      </c>
      <c r="J181" s="19">
        <v>88.8</v>
      </c>
      <c r="M181" s="20">
        <f>ROUND(ROUND(J181, 2)*I181, 2)</f>
        <v>103.9</v>
      </c>
      <c r="P181" s="19">
        <v>88.8</v>
      </c>
      <c r="S181" s="20">
        <f>ROUND(ROUND(P181, 2)*I181, 2)</f>
        <v>103.9</v>
      </c>
      <c r="V181" s="9">
        <f>ROUND(ROUND(P181, 2)/1.2, 2)</f>
        <v>74</v>
      </c>
      <c r="Y181" s="9">
        <f t="shared" si="10"/>
        <v>86.58</v>
      </c>
      <c r="AD181" s="4" t="s">
        <v>609</v>
      </c>
      <c r="AE181" s="4" t="s">
        <v>610</v>
      </c>
      <c r="AF181" s="4" t="s">
        <v>555</v>
      </c>
    </row>
    <row r="182" spans="1:35" ht="18" x14ac:dyDescent="0.3">
      <c r="A182" s="10" t="s">
        <v>611</v>
      </c>
      <c r="B182" s="10"/>
      <c r="C182" s="16" t="s">
        <v>449</v>
      </c>
      <c r="D182" s="12"/>
      <c r="E182" s="12"/>
      <c r="F182" s="17" t="s">
        <v>227</v>
      </c>
      <c r="G182" s="18">
        <v>0.04</v>
      </c>
      <c r="H182" s="18"/>
      <c r="I182" s="18">
        <v>3.12</v>
      </c>
      <c r="J182" s="19">
        <v>47.44</v>
      </c>
      <c r="M182" s="20">
        <f>ROUND(ROUND(J182, 2)*I182, 2)</f>
        <v>148.01</v>
      </c>
      <c r="P182" s="19">
        <v>47.44</v>
      </c>
      <c r="S182" s="20">
        <f>ROUND(ROUND(P182, 2)*I182, 2)</f>
        <v>148.01</v>
      </c>
      <c r="V182" s="9">
        <f>ROUND(ROUND(P182, 2)/1.2, 2)</f>
        <v>39.53</v>
      </c>
      <c r="Y182" s="9">
        <f t="shared" si="10"/>
        <v>123.34</v>
      </c>
      <c r="AD182" s="4" t="s">
        <v>612</v>
      </c>
      <c r="AE182" s="4" t="s">
        <v>613</v>
      </c>
      <c r="AF182" s="4" t="s">
        <v>452</v>
      </c>
    </row>
    <row r="183" spans="1:35" ht="54" x14ac:dyDescent="0.3">
      <c r="A183" s="10" t="s">
        <v>614</v>
      </c>
      <c r="B183" s="10"/>
      <c r="C183" s="16" t="s">
        <v>544</v>
      </c>
      <c r="D183" s="12"/>
      <c r="E183" s="12" t="s">
        <v>615</v>
      </c>
      <c r="F183" s="17" t="s">
        <v>308</v>
      </c>
      <c r="G183" s="18">
        <v>1.84</v>
      </c>
      <c r="H183" s="22"/>
      <c r="I183" s="22">
        <v>143.52000000000001</v>
      </c>
      <c r="J183" s="19">
        <v>450.95</v>
      </c>
      <c r="M183" s="20">
        <f>ROUND(ROUND(J183, 2)*I183, 2)</f>
        <v>64720.34</v>
      </c>
      <c r="P183" s="19">
        <v>450.95</v>
      </c>
      <c r="S183" s="20">
        <f>ROUND(ROUND(P183, 2)*I183, 2)</f>
        <v>64720.34</v>
      </c>
      <c r="V183" s="9">
        <f>ROUND(ROUND(P183, 2)/1.2, 2)</f>
        <v>375.79</v>
      </c>
      <c r="Y183" s="9">
        <f t="shared" si="10"/>
        <v>53933.62</v>
      </c>
      <c r="AD183" s="4" t="s">
        <v>616</v>
      </c>
      <c r="AE183" s="4" t="s">
        <v>617</v>
      </c>
      <c r="AF183" s="4" t="s">
        <v>547</v>
      </c>
    </row>
    <row r="184" spans="1:35" ht="36" x14ac:dyDescent="0.3">
      <c r="A184" s="10" t="s">
        <v>618</v>
      </c>
      <c r="B184" s="10"/>
      <c r="C184" s="21" t="s">
        <v>539</v>
      </c>
      <c r="D184" s="12"/>
      <c r="E184" s="12"/>
      <c r="F184" s="17" t="s">
        <v>227</v>
      </c>
      <c r="G184" s="18">
        <v>0.7</v>
      </c>
      <c r="H184" s="22"/>
      <c r="I184" s="22">
        <v>54.6</v>
      </c>
      <c r="J184" s="19">
        <v>16.12</v>
      </c>
      <c r="M184" s="20">
        <f>ROUND(ROUND(J184, 2)*I184, 2)</f>
        <v>880.15</v>
      </c>
      <c r="P184" s="19">
        <v>16.11</v>
      </c>
      <c r="S184" s="20">
        <f>ROUND(ROUND(P184, 2)*I184, 2)</f>
        <v>879.61</v>
      </c>
      <c r="V184" s="9">
        <f>ROUND(ROUND(P184, 2)/1.2, 2)</f>
        <v>13.43</v>
      </c>
      <c r="Y184" s="9">
        <f t="shared" si="10"/>
        <v>733.01</v>
      </c>
      <c r="AD184" s="4" t="s">
        <v>619</v>
      </c>
      <c r="AE184" s="4" t="s">
        <v>620</v>
      </c>
      <c r="AF184" s="4" t="s">
        <v>542</v>
      </c>
    </row>
    <row r="185" spans="1:35" ht="54" x14ac:dyDescent="0.3">
      <c r="A185" s="10" t="s">
        <v>621</v>
      </c>
      <c r="B185" s="10" t="s">
        <v>622</v>
      </c>
      <c r="C185" s="11" t="s">
        <v>623</v>
      </c>
      <c r="D185" s="12"/>
      <c r="E185" s="12"/>
      <c r="F185" s="12" t="s">
        <v>59</v>
      </c>
      <c r="G185" s="13">
        <v>1</v>
      </c>
      <c r="H185" s="13"/>
      <c r="I185" s="13">
        <v>0</v>
      </c>
      <c r="J185" s="14">
        <v>0</v>
      </c>
      <c r="K185" s="15">
        <v>1655</v>
      </c>
      <c r="L185" s="14">
        <f>J185+ROUND(K185, 2)</f>
        <v>1655</v>
      </c>
      <c r="M185" s="14">
        <v>0</v>
      </c>
      <c r="N185" s="14">
        <v>0</v>
      </c>
      <c r="O185" s="14">
        <f>M185+N185</f>
        <v>0</v>
      </c>
      <c r="P185" s="14">
        <v>1046.53</v>
      </c>
      <c r="Q185" s="15">
        <v>1655</v>
      </c>
      <c r="R185" s="14">
        <f>P185+ROUND(Q185, 2)</f>
        <v>2701.5299999999997</v>
      </c>
      <c r="S185" s="14">
        <v>0</v>
      </c>
      <c r="T185" s="14">
        <v>0</v>
      </c>
      <c r="U185" s="14">
        <f>S185+T185</f>
        <v>0</v>
      </c>
      <c r="V185" s="9">
        <f>ROUND(P185 / 1.2, 2)</f>
        <v>872.11</v>
      </c>
      <c r="W185" s="9">
        <f>ROUND(Q185 / 1.2, 2)</f>
        <v>1379.17</v>
      </c>
      <c r="X185" s="9">
        <f>ROUND(R185 / 1.2, 2)</f>
        <v>2251.2800000000002</v>
      </c>
      <c r="Y185" s="9">
        <f t="shared" si="10"/>
        <v>0</v>
      </c>
      <c r="Z185" s="9">
        <f>ROUND(T185 / 1.2, 2)</f>
        <v>0</v>
      </c>
      <c r="AA185" s="9">
        <f>Y185+Z185</f>
        <v>0</v>
      </c>
      <c r="AD185" s="4">
        <v>315889952</v>
      </c>
      <c r="AE185" s="4">
        <v>27245634</v>
      </c>
      <c r="AG185" s="4" t="s">
        <v>624</v>
      </c>
      <c r="AH185" s="4" t="s">
        <v>625</v>
      </c>
      <c r="AI185" s="4" t="s">
        <v>224</v>
      </c>
    </row>
    <row r="186" spans="1:35" ht="36" x14ac:dyDescent="0.3">
      <c r="A186" s="10" t="s">
        <v>626</v>
      </c>
      <c r="B186" s="10"/>
      <c r="C186" s="21" t="s">
        <v>627</v>
      </c>
      <c r="D186" s="12"/>
      <c r="E186" s="12"/>
      <c r="F186" s="17" t="s">
        <v>227</v>
      </c>
      <c r="G186" s="18">
        <v>7</v>
      </c>
      <c r="H186" s="18"/>
      <c r="I186" s="18">
        <v>0</v>
      </c>
      <c r="J186" s="19">
        <v>16.96</v>
      </c>
      <c r="M186" s="20">
        <f>ROUND(ROUND(J186, 2)*I186, 2)</f>
        <v>0</v>
      </c>
      <c r="P186" s="19">
        <v>16.96</v>
      </c>
      <c r="S186" s="20">
        <f>ROUND(ROUND(P186, 2)*I186, 2)</f>
        <v>0</v>
      </c>
      <c r="V186" s="9">
        <f>ROUND(ROUND(P186, 2)/1.2, 2)</f>
        <v>14.13</v>
      </c>
      <c r="Y186" s="9">
        <f t="shared" si="10"/>
        <v>0</v>
      </c>
      <c r="AD186" s="4" t="s">
        <v>628</v>
      </c>
      <c r="AE186" s="4" t="s">
        <v>629</v>
      </c>
      <c r="AF186" s="4" t="s">
        <v>630</v>
      </c>
    </row>
    <row r="187" spans="1:35" ht="36" x14ac:dyDescent="0.3">
      <c r="A187" s="10" t="s">
        <v>631</v>
      </c>
      <c r="B187" s="10"/>
      <c r="C187" s="16" t="s">
        <v>632</v>
      </c>
      <c r="D187" s="12"/>
      <c r="E187" s="12"/>
      <c r="F187" s="17" t="s">
        <v>59</v>
      </c>
      <c r="G187" s="18">
        <v>1.07</v>
      </c>
      <c r="H187" s="22"/>
      <c r="I187" s="22">
        <v>0</v>
      </c>
      <c r="J187" s="19">
        <v>845.25</v>
      </c>
      <c r="M187" s="20">
        <f>ROUND(ROUND(J187, 2)*I187, 2)</f>
        <v>0</v>
      </c>
      <c r="P187" s="19">
        <v>845.25</v>
      </c>
      <c r="S187" s="20">
        <f>ROUND(ROUND(P187, 2)*I187, 2)</f>
        <v>0</v>
      </c>
      <c r="V187" s="9">
        <f>ROUND(ROUND(P187, 2)/1.2, 2)</f>
        <v>704.38</v>
      </c>
      <c r="Y187" s="9">
        <f t="shared" si="10"/>
        <v>0</v>
      </c>
      <c r="AD187" s="4" t="s">
        <v>633</v>
      </c>
      <c r="AE187" s="4" t="s">
        <v>634</v>
      </c>
      <c r="AF187" s="4" t="s">
        <v>635</v>
      </c>
    </row>
    <row r="188" spans="1:35" ht="36" x14ac:dyDescent="0.3">
      <c r="A188" s="10" t="s">
        <v>636</v>
      </c>
      <c r="B188" s="10"/>
      <c r="C188" s="16" t="s">
        <v>637</v>
      </c>
      <c r="D188" s="12"/>
      <c r="E188" s="12"/>
      <c r="F188" s="17" t="s">
        <v>227</v>
      </c>
      <c r="G188" s="18">
        <v>0.25</v>
      </c>
      <c r="H188" s="22"/>
      <c r="I188" s="22">
        <v>0</v>
      </c>
      <c r="J188" s="19">
        <v>40.270000000000003</v>
      </c>
      <c r="M188" s="20">
        <f>ROUND(ROUND(J188, 2)*I188, 2)</f>
        <v>0</v>
      </c>
      <c r="P188" s="19">
        <v>40.270000000000003</v>
      </c>
      <c r="S188" s="20">
        <f>ROUND(ROUND(P188, 2)*I188, 2)</f>
        <v>0</v>
      </c>
      <c r="V188" s="9">
        <f>ROUND(ROUND(P188, 2)/1.2, 2)</f>
        <v>33.56</v>
      </c>
      <c r="Y188" s="9">
        <f t="shared" si="10"/>
        <v>0</v>
      </c>
      <c r="AD188" s="4" t="s">
        <v>638</v>
      </c>
      <c r="AE188" s="4" t="s">
        <v>639</v>
      </c>
      <c r="AF188" s="4" t="s">
        <v>640</v>
      </c>
    </row>
    <row r="189" spans="1:35" ht="36" x14ac:dyDescent="0.3">
      <c r="A189" s="10" t="s">
        <v>641</v>
      </c>
      <c r="B189" s="10"/>
      <c r="C189" s="16" t="s">
        <v>552</v>
      </c>
      <c r="D189" s="12"/>
      <c r="E189" s="12"/>
      <c r="F189" s="17" t="s">
        <v>227</v>
      </c>
      <c r="G189" s="18">
        <v>0.15</v>
      </c>
      <c r="H189" s="18"/>
      <c r="I189" s="18">
        <v>0</v>
      </c>
      <c r="J189" s="19">
        <v>88.8</v>
      </c>
      <c r="M189" s="20">
        <f>ROUND(ROUND(J189, 2)*I189, 2)</f>
        <v>0</v>
      </c>
      <c r="P189" s="19">
        <v>88.8</v>
      </c>
      <c r="S189" s="20">
        <f>ROUND(ROUND(P189, 2)*I189, 2)</f>
        <v>0</v>
      </c>
      <c r="V189" s="9">
        <f>ROUND(ROUND(P189, 2)/1.2, 2)</f>
        <v>74</v>
      </c>
      <c r="Y189" s="9">
        <f t="shared" ref="Y189:Y220" si="11">ROUND(S189 / 1.2, 2)</f>
        <v>0</v>
      </c>
      <c r="AD189" s="4" t="s">
        <v>642</v>
      </c>
      <c r="AE189" s="4" t="s">
        <v>643</v>
      </c>
      <c r="AF189" s="4" t="s">
        <v>555</v>
      </c>
    </row>
    <row r="190" spans="1:35" ht="54" x14ac:dyDescent="0.3">
      <c r="A190" s="10" t="s">
        <v>644</v>
      </c>
      <c r="B190" s="10" t="s">
        <v>622</v>
      </c>
      <c r="C190" s="11" t="s">
        <v>623</v>
      </c>
      <c r="D190" s="12"/>
      <c r="E190" s="12" t="s">
        <v>645</v>
      </c>
      <c r="F190" s="12" t="s">
        <v>59</v>
      </c>
      <c r="G190" s="13">
        <v>1</v>
      </c>
      <c r="H190" s="13"/>
      <c r="I190" s="13">
        <v>370.9</v>
      </c>
      <c r="J190" s="14">
        <v>1040.6600000000001</v>
      </c>
      <c r="K190" s="15">
        <v>1655</v>
      </c>
      <c r="L190" s="14">
        <f>J190+ROUND(K190, 2)</f>
        <v>2695.66</v>
      </c>
      <c r="M190" s="14">
        <v>385980.79</v>
      </c>
      <c r="N190" s="14">
        <v>613839.5</v>
      </c>
      <c r="O190" s="14">
        <f>M190+N190</f>
        <v>999820.29</v>
      </c>
      <c r="P190" s="14">
        <v>1040.58</v>
      </c>
      <c r="Q190" s="15">
        <v>2482.5</v>
      </c>
      <c r="R190" s="14">
        <f>P190+ROUND(Q190, 2)</f>
        <v>3523.08</v>
      </c>
      <c r="S190" s="14">
        <v>385951.12</v>
      </c>
      <c r="T190" s="14">
        <v>920759.25</v>
      </c>
      <c r="U190" s="14">
        <f>S190+T190</f>
        <v>1306710.3700000001</v>
      </c>
      <c r="V190" s="9">
        <f>ROUND(P190 / 1.2, 2)</f>
        <v>867.15</v>
      </c>
      <c r="W190" s="9">
        <f>ROUND(Q190 / 1.2, 2)</f>
        <v>2068.75</v>
      </c>
      <c r="X190" s="9">
        <f>ROUND(R190 / 1.2, 2)</f>
        <v>2935.9</v>
      </c>
      <c r="Y190" s="9">
        <f t="shared" si="11"/>
        <v>321625.93</v>
      </c>
      <c r="Z190" s="9">
        <f>ROUND(T190 / 1.2, 2)</f>
        <v>767299.38</v>
      </c>
      <c r="AA190" s="9">
        <f>Y190+Z190</f>
        <v>1088925.31</v>
      </c>
      <c r="AD190" s="4">
        <v>315889953</v>
      </c>
      <c r="AE190" s="4">
        <v>27245777</v>
      </c>
      <c r="AG190" s="4" t="s">
        <v>624</v>
      </c>
      <c r="AH190" s="4" t="s">
        <v>625</v>
      </c>
      <c r="AI190" s="4" t="s">
        <v>224</v>
      </c>
    </row>
    <row r="191" spans="1:35" ht="36" x14ac:dyDescent="0.3">
      <c r="A191" s="10" t="s">
        <v>646</v>
      </c>
      <c r="B191" s="10"/>
      <c r="C191" s="16" t="s">
        <v>552</v>
      </c>
      <c r="D191" s="12"/>
      <c r="E191" s="12"/>
      <c r="F191" s="17" t="s">
        <v>227</v>
      </c>
      <c r="G191" s="18">
        <v>0.15</v>
      </c>
      <c r="H191" s="18"/>
      <c r="I191" s="18">
        <v>55.634999999999998</v>
      </c>
      <c r="J191" s="19">
        <v>88.8</v>
      </c>
      <c r="M191" s="20">
        <f>ROUND(ROUND(J191, 2)*I191, 2)</f>
        <v>4940.3900000000003</v>
      </c>
      <c r="P191" s="19">
        <v>88.8</v>
      </c>
      <c r="S191" s="20">
        <f>ROUND(ROUND(P191, 2)*I191, 2)</f>
        <v>4940.3900000000003</v>
      </c>
      <c r="V191" s="9">
        <f>ROUND(ROUND(P191, 2)/1.2, 2)</f>
        <v>74</v>
      </c>
      <c r="Y191" s="9">
        <f t="shared" si="11"/>
        <v>4116.99</v>
      </c>
      <c r="AD191" s="4" t="s">
        <v>647</v>
      </c>
      <c r="AE191" s="4" t="s">
        <v>648</v>
      </c>
      <c r="AF191" s="4" t="s">
        <v>555</v>
      </c>
    </row>
    <row r="192" spans="1:35" ht="36" x14ac:dyDescent="0.3">
      <c r="A192" s="10" t="s">
        <v>649</v>
      </c>
      <c r="B192" s="10"/>
      <c r="C192" s="16" t="s">
        <v>637</v>
      </c>
      <c r="D192" s="12"/>
      <c r="E192" s="12"/>
      <c r="F192" s="17" t="s">
        <v>227</v>
      </c>
      <c r="G192" s="18">
        <v>0.25</v>
      </c>
      <c r="H192" s="22"/>
      <c r="I192" s="22">
        <v>92.724999999999994</v>
      </c>
      <c r="J192" s="19">
        <v>40.270000000000003</v>
      </c>
      <c r="M192" s="20">
        <f>ROUND(ROUND(J192, 2)*I192, 2)</f>
        <v>3734.04</v>
      </c>
      <c r="P192" s="19">
        <v>40.270000000000003</v>
      </c>
      <c r="S192" s="20">
        <f>ROUND(ROUND(P192, 2)*I192, 2)</f>
        <v>3734.04</v>
      </c>
      <c r="V192" s="9">
        <f>ROUND(ROUND(P192, 2)/1.2, 2)</f>
        <v>33.56</v>
      </c>
      <c r="Y192" s="9">
        <f t="shared" si="11"/>
        <v>3111.7</v>
      </c>
      <c r="AD192" s="4" t="s">
        <v>650</v>
      </c>
      <c r="AE192" s="4" t="s">
        <v>651</v>
      </c>
      <c r="AF192" s="4" t="s">
        <v>640</v>
      </c>
    </row>
    <row r="193" spans="1:35" ht="90" x14ac:dyDescent="0.3">
      <c r="A193" s="10" t="s">
        <v>652</v>
      </c>
      <c r="B193" s="10"/>
      <c r="C193" s="16" t="s">
        <v>632</v>
      </c>
      <c r="D193" s="12"/>
      <c r="E193" s="12" t="s">
        <v>653</v>
      </c>
      <c r="F193" s="17" t="s">
        <v>59</v>
      </c>
      <c r="G193" s="18">
        <v>1.07</v>
      </c>
      <c r="H193" s="22"/>
      <c r="I193" s="22">
        <v>396.863</v>
      </c>
      <c r="J193" s="19">
        <v>845.26</v>
      </c>
      <c r="M193" s="20">
        <f>ROUND(ROUND(J193, 2)*I193, 2)</f>
        <v>335452.42</v>
      </c>
      <c r="P193" s="19">
        <v>845.25</v>
      </c>
      <c r="S193" s="20">
        <f>ROUND(ROUND(P193, 2)*I193, 2)</f>
        <v>335448.45</v>
      </c>
      <c r="V193" s="9">
        <f>ROUND(ROUND(P193, 2)/1.2, 2)</f>
        <v>704.38</v>
      </c>
      <c r="Y193" s="9">
        <f t="shared" si="11"/>
        <v>279540.38</v>
      </c>
      <c r="AD193" s="4" t="s">
        <v>654</v>
      </c>
      <c r="AE193" s="4" t="s">
        <v>655</v>
      </c>
      <c r="AF193" s="4" t="s">
        <v>635</v>
      </c>
    </row>
    <row r="194" spans="1:35" ht="36" x14ac:dyDescent="0.3">
      <c r="A194" s="10" t="s">
        <v>656</v>
      </c>
      <c r="B194" s="10"/>
      <c r="C194" s="21" t="s">
        <v>627</v>
      </c>
      <c r="D194" s="12"/>
      <c r="E194" s="12"/>
      <c r="F194" s="17" t="s">
        <v>227</v>
      </c>
      <c r="G194" s="18">
        <v>7</v>
      </c>
      <c r="H194" s="18"/>
      <c r="I194" s="18">
        <v>2596.3000000000002</v>
      </c>
      <c r="J194" s="19">
        <v>16.12</v>
      </c>
      <c r="M194" s="20">
        <f>ROUND(ROUND(J194, 2)*I194, 2)</f>
        <v>41852.36</v>
      </c>
      <c r="P194" s="19">
        <v>16.11</v>
      </c>
      <c r="S194" s="20">
        <f>ROUND(ROUND(P194, 2)*I194, 2)</f>
        <v>41826.39</v>
      </c>
      <c r="V194" s="9">
        <f>ROUND(ROUND(P194, 2)/1.2, 2)</f>
        <v>13.43</v>
      </c>
      <c r="Y194" s="9">
        <f t="shared" si="11"/>
        <v>34855.33</v>
      </c>
      <c r="AD194" s="4" t="s">
        <v>657</v>
      </c>
      <c r="AE194" s="4" t="s">
        <v>658</v>
      </c>
      <c r="AF194" s="4" t="s">
        <v>630</v>
      </c>
    </row>
    <row r="195" spans="1:35" ht="54" x14ac:dyDescent="0.3">
      <c r="A195" s="10" t="s">
        <v>659</v>
      </c>
      <c r="B195" s="10" t="s">
        <v>660</v>
      </c>
      <c r="C195" s="11" t="s">
        <v>661</v>
      </c>
      <c r="D195" s="12"/>
      <c r="E195" s="12"/>
      <c r="F195" s="12" t="s">
        <v>59</v>
      </c>
      <c r="G195" s="13">
        <v>1</v>
      </c>
      <c r="H195" s="13"/>
      <c r="I195" s="13">
        <v>0</v>
      </c>
      <c r="J195" s="14">
        <v>0</v>
      </c>
      <c r="K195" s="15">
        <v>2785</v>
      </c>
      <c r="L195" s="14">
        <f>J195+ROUND(K195, 2)</f>
        <v>2785</v>
      </c>
      <c r="M195" s="14">
        <v>0</v>
      </c>
      <c r="N195" s="14">
        <v>0</v>
      </c>
      <c r="O195" s="14">
        <f>M195+N195</f>
        <v>0</v>
      </c>
      <c r="P195" s="14">
        <v>2064.9</v>
      </c>
      <c r="Q195" s="15">
        <v>2785</v>
      </c>
      <c r="R195" s="14">
        <f>P195+ROUND(Q195, 2)</f>
        <v>4849.8999999999996</v>
      </c>
      <c r="S195" s="14">
        <v>0</v>
      </c>
      <c r="T195" s="14">
        <v>0</v>
      </c>
      <c r="U195" s="14">
        <f>S195+T195</f>
        <v>0</v>
      </c>
      <c r="V195" s="9">
        <f>ROUND(P195 / 1.2, 2)</f>
        <v>1720.75</v>
      </c>
      <c r="W195" s="9">
        <f>ROUND(Q195 / 1.2, 2)</f>
        <v>2320.83</v>
      </c>
      <c r="X195" s="9">
        <f>ROUND(R195 / 1.2, 2)</f>
        <v>4041.58</v>
      </c>
      <c r="Y195" s="9">
        <f t="shared" si="11"/>
        <v>0</v>
      </c>
      <c r="Z195" s="9">
        <f>ROUND(T195 / 1.2, 2)</f>
        <v>0</v>
      </c>
      <c r="AA195" s="9">
        <f>Y195+Z195</f>
        <v>0</v>
      </c>
      <c r="AD195" s="4">
        <v>315889954</v>
      </c>
      <c r="AE195" s="4">
        <v>27245665</v>
      </c>
      <c r="AG195" s="4" t="s">
        <v>662</v>
      </c>
      <c r="AH195" s="4" t="s">
        <v>663</v>
      </c>
      <c r="AI195" s="4" t="s">
        <v>224</v>
      </c>
    </row>
    <row r="196" spans="1:35" ht="36" x14ac:dyDescent="0.3">
      <c r="A196" s="10" t="s">
        <v>664</v>
      </c>
      <c r="B196" s="10"/>
      <c r="C196" s="21" t="s">
        <v>665</v>
      </c>
      <c r="D196" s="12"/>
      <c r="E196" s="12"/>
      <c r="F196" s="17" t="s">
        <v>227</v>
      </c>
      <c r="G196" s="18">
        <v>1.2</v>
      </c>
      <c r="H196" s="22"/>
      <c r="I196" s="22">
        <v>0</v>
      </c>
      <c r="J196" s="19">
        <v>16.96</v>
      </c>
      <c r="M196" s="20">
        <f>ROUND(ROUND(J196, 2)*I196, 2)</f>
        <v>0</v>
      </c>
      <c r="P196" s="19">
        <v>16.96</v>
      </c>
      <c r="S196" s="20">
        <f>ROUND(ROUND(P196, 2)*I196, 2)</f>
        <v>0</v>
      </c>
      <c r="V196" s="9">
        <f>ROUND(ROUND(P196, 2)/1.2, 2)</f>
        <v>14.13</v>
      </c>
      <c r="Y196" s="9">
        <f t="shared" si="11"/>
        <v>0</v>
      </c>
      <c r="AD196" s="4" t="s">
        <v>666</v>
      </c>
      <c r="AE196" s="4" t="s">
        <v>667</v>
      </c>
      <c r="AF196" s="4" t="s">
        <v>668</v>
      </c>
    </row>
    <row r="197" spans="1:35" ht="36" x14ac:dyDescent="0.3">
      <c r="A197" s="10" t="s">
        <v>669</v>
      </c>
      <c r="B197" s="10"/>
      <c r="C197" s="16" t="s">
        <v>670</v>
      </c>
      <c r="D197" s="12"/>
      <c r="E197" s="12"/>
      <c r="F197" s="17" t="s">
        <v>59</v>
      </c>
      <c r="G197" s="18">
        <v>1.2</v>
      </c>
      <c r="H197" s="22"/>
      <c r="I197" s="22">
        <v>0</v>
      </c>
      <c r="J197" s="19">
        <v>2021.25</v>
      </c>
      <c r="M197" s="20">
        <f>ROUND(ROUND(J197, 2)*I197, 2)</f>
        <v>0</v>
      </c>
      <c r="P197" s="19">
        <v>1684.3</v>
      </c>
      <c r="S197" s="20">
        <f>ROUND(ROUND(P197, 2)*I197, 2)</f>
        <v>0</v>
      </c>
      <c r="V197" s="9">
        <f>ROUND(ROUND(P197, 2)/1.2, 2)</f>
        <v>1403.58</v>
      </c>
      <c r="Y197" s="9">
        <f t="shared" si="11"/>
        <v>0</v>
      </c>
      <c r="AD197" s="4" t="s">
        <v>671</v>
      </c>
      <c r="AE197" s="4" t="s">
        <v>672</v>
      </c>
      <c r="AF197" s="4" t="s">
        <v>673</v>
      </c>
    </row>
    <row r="198" spans="1:35" ht="36" x14ac:dyDescent="0.3">
      <c r="A198" s="10" t="s">
        <v>674</v>
      </c>
      <c r="B198" s="10"/>
      <c r="C198" s="16" t="s">
        <v>637</v>
      </c>
      <c r="D198" s="12"/>
      <c r="E198" s="12"/>
      <c r="F198" s="17" t="s">
        <v>227</v>
      </c>
      <c r="G198" s="18">
        <v>0.25</v>
      </c>
      <c r="H198" s="22"/>
      <c r="I198" s="22">
        <v>0</v>
      </c>
      <c r="J198" s="19">
        <v>40.270000000000003</v>
      </c>
      <c r="M198" s="20">
        <f>ROUND(ROUND(J198, 2)*I198, 2)</f>
        <v>0</v>
      </c>
      <c r="P198" s="19">
        <v>40.270000000000003</v>
      </c>
      <c r="S198" s="20">
        <f>ROUND(ROUND(P198, 2)*I198, 2)</f>
        <v>0</v>
      </c>
      <c r="V198" s="9">
        <f>ROUND(ROUND(P198, 2)/1.2, 2)</f>
        <v>33.56</v>
      </c>
      <c r="Y198" s="9">
        <f t="shared" si="11"/>
        <v>0</v>
      </c>
      <c r="AD198" s="4" t="s">
        <v>675</v>
      </c>
      <c r="AE198" s="4" t="s">
        <v>676</v>
      </c>
      <c r="AF198" s="4" t="s">
        <v>640</v>
      </c>
    </row>
    <row r="199" spans="1:35" ht="36" x14ac:dyDescent="0.3">
      <c r="A199" s="10" t="s">
        <v>677</v>
      </c>
      <c r="B199" s="10"/>
      <c r="C199" s="16" t="s">
        <v>552</v>
      </c>
      <c r="D199" s="12"/>
      <c r="E199" s="12"/>
      <c r="F199" s="17" t="s">
        <v>227</v>
      </c>
      <c r="G199" s="18">
        <v>0.15</v>
      </c>
      <c r="H199" s="18"/>
      <c r="I199" s="18">
        <v>0</v>
      </c>
      <c r="J199" s="19">
        <v>88.8</v>
      </c>
      <c r="M199" s="20">
        <f>ROUND(ROUND(J199, 2)*I199, 2)</f>
        <v>0</v>
      </c>
      <c r="P199" s="19">
        <v>88.8</v>
      </c>
      <c r="S199" s="20">
        <f>ROUND(ROUND(P199, 2)*I199, 2)</f>
        <v>0</v>
      </c>
      <c r="V199" s="9">
        <f>ROUND(ROUND(P199, 2)/1.2, 2)</f>
        <v>74</v>
      </c>
      <c r="Y199" s="9">
        <f t="shared" si="11"/>
        <v>0</v>
      </c>
      <c r="AD199" s="4" t="s">
        <v>678</v>
      </c>
      <c r="AE199" s="4" t="s">
        <v>679</v>
      </c>
      <c r="AF199" s="4" t="s">
        <v>555</v>
      </c>
    </row>
    <row r="200" spans="1:35" ht="54" x14ac:dyDescent="0.3">
      <c r="A200" s="10" t="s">
        <v>680</v>
      </c>
      <c r="B200" s="10" t="s">
        <v>660</v>
      </c>
      <c r="C200" s="11" t="s">
        <v>661</v>
      </c>
      <c r="D200" s="12"/>
      <c r="E200" s="12"/>
      <c r="F200" s="12" t="s">
        <v>59</v>
      </c>
      <c r="G200" s="13">
        <v>1</v>
      </c>
      <c r="H200" s="13"/>
      <c r="I200" s="13">
        <v>0</v>
      </c>
      <c r="J200" s="14">
        <v>0</v>
      </c>
      <c r="K200" s="15">
        <v>2785</v>
      </c>
      <c r="L200" s="14">
        <f>J200+ROUND(K200, 2)</f>
        <v>2785</v>
      </c>
      <c r="M200" s="14">
        <v>0</v>
      </c>
      <c r="N200" s="14">
        <v>0</v>
      </c>
      <c r="O200" s="14">
        <f>M200+N200</f>
        <v>0</v>
      </c>
      <c r="P200" s="14">
        <v>2054.6999999999998</v>
      </c>
      <c r="Q200" s="15">
        <v>2785</v>
      </c>
      <c r="R200" s="14">
        <f>P200+ROUND(Q200, 2)</f>
        <v>4839.7</v>
      </c>
      <c r="S200" s="14">
        <v>0</v>
      </c>
      <c r="T200" s="14">
        <v>0</v>
      </c>
      <c r="U200" s="14">
        <f>S200+T200</f>
        <v>0</v>
      </c>
      <c r="V200" s="9">
        <f>ROUND(P200 / 1.2, 2)</f>
        <v>1712.25</v>
      </c>
      <c r="W200" s="9">
        <f>ROUND(Q200 / 1.2, 2)</f>
        <v>2320.83</v>
      </c>
      <c r="X200" s="9">
        <f>ROUND(R200 / 1.2, 2)</f>
        <v>4033.08</v>
      </c>
      <c r="Y200" s="9">
        <f t="shared" si="11"/>
        <v>0</v>
      </c>
      <c r="Z200" s="9">
        <f>ROUND(T200 / 1.2, 2)</f>
        <v>0</v>
      </c>
      <c r="AA200" s="9">
        <f>Y200+Z200</f>
        <v>0</v>
      </c>
      <c r="AD200" s="4">
        <v>315889955</v>
      </c>
      <c r="AE200" s="4">
        <v>27245666</v>
      </c>
      <c r="AG200" s="4" t="s">
        <v>662</v>
      </c>
      <c r="AH200" s="4" t="s">
        <v>663</v>
      </c>
      <c r="AI200" s="4" t="s">
        <v>224</v>
      </c>
    </row>
    <row r="201" spans="1:35" ht="36" x14ac:dyDescent="0.3">
      <c r="A201" s="10" t="s">
        <v>681</v>
      </c>
      <c r="B201" s="10"/>
      <c r="C201" s="16" t="s">
        <v>552</v>
      </c>
      <c r="D201" s="12"/>
      <c r="E201" s="12"/>
      <c r="F201" s="17" t="s">
        <v>227</v>
      </c>
      <c r="G201" s="18">
        <v>0.15</v>
      </c>
      <c r="H201" s="18"/>
      <c r="I201" s="18">
        <v>0</v>
      </c>
      <c r="J201" s="19">
        <v>88.8</v>
      </c>
      <c r="M201" s="20">
        <f>ROUND(ROUND(J201, 2)*I201, 2)</f>
        <v>0</v>
      </c>
      <c r="P201" s="19">
        <v>88.8</v>
      </c>
      <c r="S201" s="20">
        <f>ROUND(ROUND(P201, 2)*I201, 2)</f>
        <v>0</v>
      </c>
      <c r="V201" s="9">
        <f>ROUND(ROUND(P201, 2)/1.2, 2)</f>
        <v>74</v>
      </c>
      <c r="Y201" s="9">
        <f t="shared" si="11"/>
        <v>0</v>
      </c>
      <c r="AD201" s="4" t="s">
        <v>682</v>
      </c>
      <c r="AE201" s="4" t="s">
        <v>683</v>
      </c>
      <c r="AF201" s="4" t="s">
        <v>555</v>
      </c>
    </row>
    <row r="202" spans="1:35" ht="36" x14ac:dyDescent="0.3">
      <c r="A202" s="10" t="s">
        <v>684</v>
      </c>
      <c r="B202" s="10"/>
      <c r="C202" s="16" t="s">
        <v>637</v>
      </c>
      <c r="D202" s="12"/>
      <c r="E202" s="12"/>
      <c r="F202" s="17" t="s">
        <v>227</v>
      </c>
      <c r="G202" s="18">
        <v>0.25</v>
      </c>
      <c r="H202" s="22"/>
      <c r="I202" s="22">
        <v>0</v>
      </c>
      <c r="J202" s="19">
        <v>40.270000000000003</v>
      </c>
      <c r="M202" s="20">
        <f>ROUND(ROUND(J202, 2)*I202, 2)</f>
        <v>0</v>
      </c>
      <c r="P202" s="19">
        <v>40.270000000000003</v>
      </c>
      <c r="S202" s="20">
        <f>ROUND(ROUND(P202, 2)*I202, 2)</f>
        <v>0</v>
      </c>
      <c r="V202" s="9">
        <f>ROUND(ROUND(P202, 2)/1.2, 2)</f>
        <v>33.56</v>
      </c>
      <c r="Y202" s="9">
        <f t="shared" si="11"/>
        <v>0</v>
      </c>
      <c r="AD202" s="4" t="s">
        <v>685</v>
      </c>
      <c r="AE202" s="4" t="s">
        <v>686</v>
      </c>
      <c r="AF202" s="4" t="s">
        <v>640</v>
      </c>
    </row>
    <row r="203" spans="1:35" ht="36" x14ac:dyDescent="0.3">
      <c r="A203" s="10" t="s">
        <v>687</v>
      </c>
      <c r="B203" s="10"/>
      <c r="C203" s="16" t="s">
        <v>670</v>
      </c>
      <c r="D203" s="12"/>
      <c r="E203" s="12"/>
      <c r="F203" s="17" t="s">
        <v>59</v>
      </c>
      <c r="G203" s="18">
        <v>1.2</v>
      </c>
      <c r="H203" s="22"/>
      <c r="I203" s="22">
        <v>0</v>
      </c>
      <c r="J203" s="19">
        <v>2021.25</v>
      </c>
      <c r="M203" s="20">
        <f>ROUND(ROUND(J203, 2)*I203, 2)</f>
        <v>0</v>
      </c>
      <c r="P203" s="19">
        <v>1675.8</v>
      </c>
      <c r="S203" s="20">
        <f>ROUND(ROUND(P203, 2)*I203, 2)</f>
        <v>0</v>
      </c>
      <c r="V203" s="9">
        <f>ROUND(ROUND(P203, 2)/1.2, 2)</f>
        <v>1396.5</v>
      </c>
      <c r="Y203" s="9">
        <f t="shared" si="11"/>
        <v>0</v>
      </c>
      <c r="AD203" s="4" t="s">
        <v>688</v>
      </c>
      <c r="AE203" s="4" t="s">
        <v>689</v>
      </c>
      <c r="AF203" s="4" t="s">
        <v>673</v>
      </c>
    </row>
    <row r="204" spans="1:35" ht="36" x14ac:dyDescent="0.3">
      <c r="A204" s="10" t="s">
        <v>690</v>
      </c>
      <c r="B204" s="10"/>
      <c r="C204" s="21" t="s">
        <v>665</v>
      </c>
      <c r="D204" s="12"/>
      <c r="E204" s="12"/>
      <c r="F204" s="17" t="s">
        <v>227</v>
      </c>
      <c r="G204" s="18">
        <v>1.2</v>
      </c>
      <c r="H204" s="22"/>
      <c r="I204" s="22">
        <v>0</v>
      </c>
      <c r="J204" s="19">
        <v>16.96</v>
      </c>
      <c r="M204" s="20">
        <f>ROUND(ROUND(J204, 2)*I204, 2)</f>
        <v>0</v>
      </c>
      <c r="P204" s="19">
        <v>16.96</v>
      </c>
      <c r="S204" s="20">
        <f>ROUND(ROUND(P204, 2)*I204, 2)</f>
        <v>0</v>
      </c>
      <c r="V204" s="9">
        <f>ROUND(ROUND(P204, 2)/1.2, 2)</f>
        <v>14.13</v>
      </c>
      <c r="Y204" s="9">
        <f t="shared" si="11"/>
        <v>0</v>
      </c>
      <c r="AD204" s="4" t="s">
        <v>691</v>
      </c>
      <c r="AE204" s="4" t="s">
        <v>692</v>
      </c>
      <c r="AF204" s="4" t="s">
        <v>668</v>
      </c>
    </row>
    <row r="205" spans="1:35" ht="54" x14ac:dyDescent="0.3">
      <c r="A205" s="10" t="s">
        <v>693</v>
      </c>
      <c r="B205" s="10" t="s">
        <v>660</v>
      </c>
      <c r="C205" s="11" t="s">
        <v>661</v>
      </c>
      <c r="D205" s="12"/>
      <c r="E205" s="12"/>
      <c r="F205" s="12" t="s">
        <v>59</v>
      </c>
      <c r="G205" s="13">
        <v>1</v>
      </c>
      <c r="H205" s="13"/>
      <c r="I205" s="13">
        <v>0</v>
      </c>
      <c r="J205" s="14">
        <v>0</v>
      </c>
      <c r="K205" s="15">
        <v>2785</v>
      </c>
      <c r="L205" s="14">
        <f>J205+ROUND(K205, 2)</f>
        <v>2785</v>
      </c>
      <c r="M205" s="14">
        <v>0</v>
      </c>
      <c r="N205" s="14">
        <v>0</v>
      </c>
      <c r="O205" s="14">
        <f>M205+N205</f>
        <v>0</v>
      </c>
      <c r="P205" s="14">
        <v>1990.74</v>
      </c>
      <c r="Q205" s="15">
        <v>2785</v>
      </c>
      <c r="R205" s="14">
        <f>P205+ROUND(Q205, 2)</f>
        <v>4775.74</v>
      </c>
      <c r="S205" s="14">
        <v>0</v>
      </c>
      <c r="T205" s="14">
        <v>0</v>
      </c>
      <c r="U205" s="14">
        <f>S205+T205</f>
        <v>0</v>
      </c>
      <c r="V205" s="9">
        <f>ROUND(P205 / 1.2, 2)</f>
        <v>1658.95</v>
      </c>
      <c r="W205" s="9">
        <f>ROUND(Q205 / 1.2, 2)</f>
        <v>2320.83</v>
      </c>
      <c r="X205" s="9">
        <f>ROUND(R205 / 1.2, 2)</f>
        <v>3979.78</v>
      </c>
      <c r="Y205" s="9">
        <f t="shared" si="11"/>
        <v>0</v>
      </c>
      <c r="Z205" s="9">
        <f>ROUND(T205 / 1.2, 2)</f>
        <v>0</v>
      </c>
      <c r="AA205" s="9">
        <f>Y205+Z205</f>
        <v>0</v>
      </c>
      <c r="AD205" s="4">
        <v>315889956</v>
      </c>
      <c r="AE205" s="4">
        <v>27245667</v>
      </c>
      <c r="AG205" s="4" t="s">
        <v>662</v>
      </c>
      <c r="AH205" s="4" t="s">
        <v>663</v>
      </c>
      <c r="AI205" s="4" t="s">
        <v>224</v>
      </c>
    </row>
    <row r="206" spans="1:35" ht="36" x14ac:dyDescent="0.3">
      <c r="A206" s="10" t="s">
        <v>694</v>
      </c>
      <c r="B206" s="10"/>
      <c r="C206" s="21" t="s">
        <v>665</v>
      </c>
      <c r="D206" s="12"/>
      <c r="E206" s="12"/>
      <c r="F206" s="17" t="s">
        <v>227</v>
      </c>
      <c r="G206" s="18">
        <v>1.2</v>
      </c>
      <c r="H206" s="22"/>
      <c r="I206" s="22">
        <v>0</v>
      </c>
      <c r="J206" s="19">
        <v>16.96</v>
      </c>
      <c r="M206" s="20">
        <f>ROUND(ROUND(J206, 2)*I206, 2)</f>
        <v>0</v>
      </c>
      <c r="P206" s="19">
        <v>16.96</v>
      </c>
      <c r="S206" s="20">
        <f>ROUND(ROUND(P206, 2)*I206, 2)</f>
        <v>0</v>
      </c>
      <c r="V206" s="9">
        <f>ROUND(ROUND(P206, 2)/1.2, 2)</f>
        <v>14.13</v>
      </c>
      <c r="Y206" s="9">
        <f t="shared" si="11"/>
        <v>0</v>
      </c>
      <c r="AD206" s="4" t="s">
        <v>695</v>
      </c>
      <c r="AE206" s="4" t="s">
        <v>696</v>
      </c>
      <c r="AF206" s="4" t="s">
        <v>668</v>
      </c>
    </row>
    <row r="207" spans="1:35" ht="36" x14ac:dyDescent="0.3">
      <c r="A207" s="10" t="s">
        <v>697</v>
      </c>
      <c r="B207" s="10"/>
      <c r="C207" s="16" t="s">
        <v>670</v>
      </c>
      <c r="D207" s="12"/>
      <c r="E207" s="12"/>
      <c r="F207" s="17" t="s">
        <v>59</v>
      </c>
      <c r="G207" s="18">
        <v>1.2</v>
      </c>
      <c r="H207" s="22"/>
      <c r="I207" s="22">
        <v>0</v>
      </c>
      <c r="J207" s="19">
        <v>2021.25</v>
      </c>
      <c r="M207" s="20">
        <f>ROUND(ROUND(J207, 2)*I207, 2)</f>
        <v>0</v>
      </c>
      <c r="P207" s="19">
        <v>1622.5</v>
      </c>
      <c r="S207" s="20">
        <f>ROUND(ROUND(P207, 2)*I207, 2)</f>
        <v>0</v>
      </c>
      <c r="V207" s="9">
        <f>ROUND(ROUND(P207, 2)/1.2, 2)</f>
        <v>1352.08</v>
      </c>
      <c r="Y207" s="9">
        <f t="shared" si="11"/>
        <v>0</v>
      </c>
      <c r="AD207" s="4" t="s">
        <v>698</v>
      </c>
      <c r="AE207" s="4" t="s">
        <v>699</v>
      </c>
      <c r="AF207" s="4" t="s">
        <v>673</v>
      </c>
    </row>
    <row r="208" spans="1:35" ht="36" x14ac:dyDescent="0.3">
      <c r="A208" s="10" t="s">
        <v>700</v>
      </c>
      <c r="B208" s="10"/>
      <c r="C208" s="16" t="s">
        <v>637</v>
      </c>
      <c r="D208" s="12"/>
      <c r="E208" s="12"/>
      <c r="F208" s="17" t="s">
        <v>227</v>
      </c>
      <c r="G208" s="18">
        <v>0.25</v>
      </c>
      <c r="H208" s="22"/>
      <c r="I208" s="22">
        <v>0</v>
      </c>
      <c r="J208" s="19">
        <v>40.270000000000003</v>
      </c>
      <c r="M208" s="20">
        <f>ROUND(ROUND(J208, 2)*I208, 2)</f>
        <v>0</v>
      </c>
      <c r="P208" s="19">
        <v>40.270000000000003</v>
      </c>
      <c r="S208" s="20">
        <f>ROUND(ROUND(P208, 2)*I208, 2)</f>
        <v>0</v>
      </c>
      <c r="V208" s="9">
        <f>ROUND(ROUND(P208, 2)/1.2, 2)</f>
        <v>33.56</v>
      </c>
      <c r="Y208" s="9">
        <f t="shared" si="11"/>
        <v>0</v>
      </c>
      <c r="AD208" s="4" t="s">
        <v>701</v>
      </c>
      <c r="AE208" s="4" t="s">
        <v>702</v>
      </c>
      <c r="AF208" s="4" t="s">
        <v>640</v>
      </c>
    </row>
    <row r="209" spans="1:35" ht="36" x14ac:dyDescent="0.3">
      <c r="A209" s="10" t="s">
        <v>703</v>
      </c>
      <c r="B209" s="10"/>
      <c r="C209" s="16" t="s">
        <v>552</v>
      </c>
      <c r="D209" s="12"/>
      <c r="E209" s="12"/>
      <c r="F209" s="17" t="s">
        <v>227</v>
      </c>
      <c r="G209" s="18">
        <v>0.15</v>
      </c>
      <c r="H209" s="18"/>
      <c r="I209" s="18">
        <v>0</v>
      </c>
      <c r="J209" s="19">
        <v>88.8</v>
      </c>
      <c r="M209" s="20">
        <f>ROUND(ROUND(J209, 2)*I209, 2)</f>
        <v>0</v>
      </c>
      <c r="P209" s="19">
        <v>88.8</v>
      </c>
      <c r="S209" s="20">
        <f>ROUND(ROUND(P209, 2)*I209, 2)</f>
        <v>0</v>
      </c>
      <c r="V209" s="9">
        <f>ROUND(ROUND(P209, 2)/1.2, 2)</f>
        <v>74</v>
      </c>
      <c r="Y209" s="9">
        <f t="shared" si="11"/>
        <v>0</v>
      </c>
      <c r="AD209" s="4" t="s">
        <v>704</v>
      </c>
      <c r="AE209" s="4" t="s">
        <v>705</v>
      </c>
      <c r="AF209" s="4" t="s">
        <v>555</v>
      </c>
    </row>
    <row r="210" spans="1:35" ht="54" x14ac:dyDescent="0.3">
      <c r="A210" s="10" t="s">
        <v>706</v>
      </c>
      <c r="B210" s="10" t="s">
        <v>660</v>
      </c>
      <c r="C210" s="11" t="s">
        <v>661</v>
      </c>
      <c r="D210" s="12"/>
      <c r="E210" s="12"/>
      <c r="F210" s="12" t="s">
        <v>59</v>
      </c>
      <c r="G210" s="13">
        <v>1</v>
      </c>
      <c r="H210" s="13"/>
      <c r="I210" s="13">
        <v>0</v>
      </c>
      <c r="J210" s="14">
        <v>0</v>
      </c>
      <c r="K210" s="15">
        <v>2785</v>
      </c>
      <c r="L210" s="14">
        <f>J210+ROUND(K210, 2)</f>
        <v>2785</v>
      </c>
      <c r="M210" s="14">
        <v>0</v>
      </c>
      <c r="N210" s="14">
        <v>0</v>
      </c>
      <c r="O210" s="14">
        <f>M210+N210</f>
        <v>0</v>
      </c>
      <c r="P210" s="14">
        <v>2075.46</v>
      </c>
      <c r="Q210" s="15">
        <v>2785</v>
      </c>
      <c r="R210" s="14">
        <f>P210+ROUND(Q210, 2)</f>
        <v>4860.46</v>
      </c>
      <c r="S210" s="14">
        <v>0</v>
      </c>
      <c r="T210" s="14">
        <v>0</v>
      </c>
      <c r="U210" s="14">
        <f>S210+T210</f>
        <v>0</v>
      </c>
      <c r="V210" s="9">
        <f>ROUND(P210 / 1.2, 2)</f>
        <v>1729.55</v>
      </c>
      <c r="W210" s="9">
        <f>ROUND(Q210 / 1.2, 2)</f>
        <v>2320.83</v>
      </c>
      <c r="X210" s="9">
        <f>ROUND(R210 / 1.2, 2)</f>
        <v>4050.38</v>
      </c>
      <c r="Y210" s="9">
        <f t="shared" si="11"/>
        <v>0</v>
      </c>
      <c r="Z210" s="9">
        <f>ROUND(T210 / 1.2, 2)</f>
        <v>0</v>
      </c>
      <c r="AA210" s="9">
        <f>Y210+Z210</f>
        <v>0</v>
      </c>
      <c r="AD210" s="4">
        <v>315889957</v>
      </c>
      <c r="AE210" s="4">
        <v>27245668</v>
      </c>
      <c r="AG210" s="4" t="s">
        <v>662</v>
      </c>
      <c r="AH210" s="4" t="s">
        <v>663</v>
      </c>
      <c r="AI210" s="4" t="s">
        <v>224</v>
      </c>
    </row>
    <row r="211" spans="1:35" ht="36" x14ac:dyDescent="0.3">
      <c r="A211" s="10" t="s">
        <v>707</v>
      </c>
      <c r="B211" s="10"/>
      <c r="C211" s="16" t="s">
        <v>552</v>
      </c>
      <c r="D211" s="12"/>
      <c r="E211" s="12"/>
      <c r="F211" s="17" t="s">
        <v>227</v>
      </c>
      <c r="G211" s="18">
        <v>0.15</v>
      </c>
      <c r="H211" s="18"/>
      <c r="I211" s="18">
        <v>0</v>
      </c>
      <c r="J211" s="19">
        <v>88.8</v>
      </c>
      <c r="M211" s="20">
        <f>ROUND(ROUND(J211, 2)*I211, 2)</f>
        <v>0</v>
      </c>
      <c r="P211" s="19">
        <v>88.8</v>
      </c>
      <c r="S211" s="20">
        <f>ROUND(ROUND(P211, 2)*I211, 2)</f>
        <v>0</v>
      </c>
      <c r="V211" s="9">
        <f>ROUND(ROUND(P211, 2)/1.2, 2)</f>
        <v>74</v>
      </c>
      <c r="Y211" s="9">
        <f t="shared" si="11"/>
        <v>0</v>
      </c>
      <c r="AD211" s="4" t="s">
        <v>708</v>
      </c>
      <c r="AE211" s="4" t="s">
        <v>709</v>
      </c>
      <c r="AF211" s="4" t="s">
        <v>555</v>
      </c>
    </row>
    <row r="212" spans="1:35" ht="36" x14ac:dyDescent="0.3">
      <c r="A212" s="10" t="s">
        <v>710</v>
      </c>
      <c r="B212" s="10"/>
      <c r="C212" s="16" t="s">
        <v>637</v>
      </c>
      <c r="D212" s="12"/>
      <c r="E212" s="12"/>
      <c r="F212" s="17" t="s">
        <v>227</v>
      </c>
      <c r="G212" s="18">
        <v>0.25</v>
      </c>
      <c r="H212" s="22"/>
      <c r="I212" s="22">
        <v>0</v>
      </c>
      <c r="J212" s="19">
        <v>40.270000000000003</v>
      </c>
      <c r="M212" s="20">
        <f>ROUND(ROUND(J212, 2)*I212, 2)</f>
        <v>0</v>
      </c>
      <c r="P212" s="19">
        <v>40.270000000000003</v>
      </c>
      <c r="S212" s="20">
        <f>ROUND(ROUND(P212, 2)*I212, 2)</f>
        <v>0</v>
      </c>
      <c r="V212" s="9">
        <f>ROUND(ROUND(P212, 2)/1.2, 2)</f>
        <v>33.56</v>
      </c>
      <c r="Y212" s="9">
        <f t="shared" si="11"/>
        <v>0</v>
      </c>
      <c r="AD212" s="4" t="s">
        <v>711</v>
      </c>
      <c r="AE212" s="4" t="s">
        <v>712</v>
      </c>
      <c r="AF212" s="4" t="s">
        <v>640</v>
      </c>
    </row>
    <row r="213" spans="1:35" ht="36" x14ac:dyDescent="0.3">
      <c r="A213" s="10" t="s">
        <v>713</v>
      </c>
      <c r="B213" s="10"/>
      <c r="C213" s="16" t="s">
        <v>670</v>
      </c>
      <c r="D213" s="12"/>
      <c r="E213" s="12"/>
      <c r="F213" s="17" t="s">
        <v>59</v>
      </c>
      <c r="G213" s="18">
        <v>1.2</v>
      </c>
      <c r="H213" s="22"/>
      <c r="I213" s="22">
        <v>0</v>
      </c>
      <c r="J213" s="19">
        <v>2021.25</v>
      </c>
      <c r="M213" s="20">
        <f>ROUND(ROUND(J213, 2)*I213, 2)</f>
        <v>0</v>
      </c>
      <c r="P213" s="19">
        <v>1693.1</v>
      </c>
      <c r="S213" s="20">
        <f>ROUND(ROUND(P213, 2)*I213, 2)</f>
        <v>0</v>
      </c>
      <c r="V213" s="9">
        <f>ROUND(ROUND(P213, 2)/1.2, 2)</f>
        <v>1410.92</v>
      </c>
      <c r="Y213" s="9">
        <f t="shared" si="11"/>
        <v>0</v>
      </c>
      <c r="AD213" s="4" t="s">
        <v>714</v>
      </c>
      <c r="AE213" s="4" t="s">
        <v>715</v>
      </c>
      <c r="AF213" s="4" t="s">
        <v>673</v>
      </c>
    </row>
    <row r="214" spans="1:35" ht="36" x14ac:dyDescent="0.3">
      <c r="A214" s="10" t="s">
        <v>716</v>
      </c>
      <c r="B214" s="10"/>
      <c r="C214" s="21" t="s">
        <v>665</v>
      </c>
      <c r="D214" s="12"/>
      <c r="E214" s="12"/>
      <c r="F214" s="17" t="s">
        <v>227</v>
      </c>
      <c r="G214" s="18">
        <v>1.2</v>
      </c>
      <c r="H214" s="22"/>
      <c r="I214" s="22">
        <v>0</v>
      </c>
      <c r="J214" s="19">
        <v>16.96</v>
      </c>
      <c r="M214" s="20">
        <f>ROUND(ROUND(J214, 2)*I214, 2)</f>
        <v>0</v>
      </c>
      <c r="P214" s="19">
        <v>16.96</v>
      </c>
      <c r="S214" s="20">
        <f>ROUND(ROUND(P214, 2)*I214, 2)</f>
        <v>0</v>
      </c>
      <c r="V214" s="9">
        <f>ROUND(ROUND(P214, 2)/1.2, 2)</f>
        <v>14.13</v>
      </c>
      <c r="Y214" s="9">
        <f t="shared" si="11"/>
        <v>0</v>
      </c>
      <c r="AD214" s="4" t="s">
        <v>717</v>
      </c>
      <c r="AE214" s="4" t="s">
        <v>718</v>
      </c>
      <c r="AF214" s="4" t="s">
        <v>668</v>
      </c>
    </row>
    <row r="215" spans="1:35" ht="54" x14ac:dyDescent="0.3">
      <c r="A215" s="10" t="s">
        <v>719</v>
      </c>
      <c r="B215" s="10" t="s">
        <v>660</v>
      </c>
      <c r="C215" s="11" t="s">
        <v>661</v>
      </c>
      <c r="D215" s="12"/>
      <c r="E215" s="12"/>
      <c r="F215" s="12" t="s">
        <v>59</v>
      </c>
      <c r="G215" s="13">
        <v>1</v>
      </c>
      <c r="H215" s="13"/>
      <c r="I215" s="13">
        <v>0</v>
      </c>
      <c r="J215" s="14">
        <v>0</v>
      </c>
      <c r="K215" s="15">
        <v>2785</v>
      </c>
      <c r="L215" s="14">
        <f>J215+ROUND(K215, 2)</f>
        <v>2785</v>
      </c>
      <c r="M215" s="14">
        <v>0</v>
      </c>
      <c r="N215" s="14">
        <v>0</v>
      </c>
      <c r="O215" s="14">
        <f>M215+N215</f>
        <v>0</v>
      </c>
      <c r="P215" s="14">
        <v>2000.82</v>
      </c>
      <c r="Q215" s="15">
        <v>2785</v>
      </c>
      <c r="R215" s="14">
        <f>P215+ROUND(Q215, 2)</f>
        <v>4785.82</v>
      </c>
      <c r="S215" s="14">
        <v>0</v>
      </c>
      <c r="T215" s="14">
        <v>0</v>
      </c>
      <c r="U215" s="14">
        <f>S215+T215</f>
        <v>0</v>
      </c>
      <c r="V215" s="9">
        <f>ROUND(P215 / 1.2, 2)</f>
        <v>1667.35</v>
      </c>
      <c r="W215" s="9">
        <f>ROUND(Q215 / 1.2, 2)</f>
        <v>2320.83</v>
      </c>
      <c r="X215" s="9">
        <f>ROUND(R215 / 1.2, 2)</f>
        <v>3988.18</v>
      </c>
      <c r="Y215" s="9">
        <f t="shared" si="11"/>
        <v>0</v>
      </c>
      <c r="Z215" s="9">
        <f>ROUND(T215 / 1.2, 2)</f>
        <v>0</v>
      </c>
      <c r="AA215" s="9">
        <f>Y215+Z215</f>
        <v>0</v>
      </c>
      <c r="AD215" s="4">
        <v>315889958</v>
      </c>
      <c r="AE215" s="4">
        <v>27245669</v>
      </c>
      <c r="AG215" s="4" t="s">
        <v>662</v>
      </c>
      <c r="AH215" s="4" t="s">
        <v>663</v>
      </c>
      <c r="AI215" s="4" t="s">
        <v>224</v>
      </c>
    </row>
    <row r="216" spans="1:35" ht="36" x14ac:dyDescent="0.3">
      <c r="A216" s="10" t="s">
        <v>720</v>
      </c>
      <c r="B216" s="10"/>
      <c r="C216" s="21" t="s">
        <v>665</v>
      </c>
      <c r="D216" s="12"/>
      <c r="E216" s="12"/>
      <c r="F216" s="17" t="s">
        <v>227</v>
      </c>
      <c r="G216" s="18">
        <v>1.2</v>
      </c>
      <c r="H216" s="22"/>
      <c r="I216" s="22">
        <v>0</v>
      </c>
      <c r="J216" s="19">
        <v>16.96</v>
      </c>
      <c r="M216" s="20">
        <f>ROUND(ROUND(J216, 2)*I216, 2)</f>
        <v>0</v>
      </c>
      <c r="P216" s="19">
        <v>16.96</v>
      </c>
      <c r="S216" s="20">
        <f>ROUND(ROUND(P216, 2)*I216, 2)</f>
        <v>0</v>
      </c>
      <c r="V216" s="9">
        <f>ROUND(ROUND(P216, 2)/1.2, 2)</f>
        <v>14.13</v>
      </c>
      <c r="Y216" s="9">
        <f t="shared" si="11"/>
        <v>0</v>
      </c>
      <c r="AD216" s="4" t="s">
        <v>721</v>
      </c>
      <c r="AE216" s="4" t="s">
        <v>722</v>
      </c>
      <c r="AF216" s="4" t="s">
        <v>668</v>
      </c>
    </row>
    <row r="217" spans="1:35" ht="36" x14ac:dyDescent="0.3">
      <c r="A217" s="10" t="s">
        <v>723</v>
      </c>
      <c r="B217" s="10"/>
      <c r="C217" s="16" t="s">
        <v>670</v>
      </c>
      <c r="D217" s="12"/>
      <c r="E217" s="12"/>
      <c r="F217" s="17" t="s">
        <v>59</v>
      </c>
      <c r="G217" s="18">
        <v>1.2</v>
      </c>
      <c r="H217" s="22"/>
      <c r="I217" s="22">
        <v>0</v>
      </c>
      <c r="J217" s="19">
        <v>2021.25</v>
      </c>
      <c r="M217" s="20">
        <f>ROUND(ROUND(J217, 2)*I217, 2)</f>
        <v>0</v>
      </c>
      <c r="P217" s="19">
        <v>1630.9</v>
      </c>
      <c r="S217" s="20">
        <f>ROUND(ROUND(P217, 2)*I217, 2)</f>
        <v>0</v>
      </c>
      <c r="V217" s="9">
        <f>ROUND(ROUND(P217, 2)/1.2, 2)</f>
        <v>1359.08</v>
      </c>
      <c r="Y217" s="9">
        <f t="shared" si="11"/>
        <v>0</v>
      </c>
      <c r="AD217" s="4" t="s">
        <v>724</v>
      </c>
      <c r="AE217" s="4" t="s">
        <v>725</v>
      </c>
      <c r="AF217" s="4" t="s">
        <v>673</v>
      </c>
    </row>
    <row r="218" spans="1:35" ht="36" x14ac:dyDescent="0.3">
      <c r="A218" s="10" t="s">
        <v>726</v>
      </c>
      <c r="B218" s="10"/>
      <c r="C218" s="16" t="s">
        <v>637</v>
      </c>
      <c r="D218" s="12"/>
      <c r="E218" s="12"/>
      <c r="F218" s="17" t="s">
        <v>227</v>
      </c>
      <c r="G218" s="18">
        <v>0.25</v>
      </c>
      <c r="H218" s="22"/>
      <c r="I218" s="22">
        <v>0</v>
      </c>
      <c r="J218" s="19">
        <v>40.270000000000003</v>
      </c>
      <c r="M218" s="20">
        <f>ROUND(ROUND(J218, 2)*I218, 2)</f>
        <v>0</v>
      </c>
      <c r="P218" s="19">
        <v>40.270000000000003</v>
      </c>
      <c r="S218" s="20">
        <f>ROUND(ROUND(P218, 2)*I218, 2)</f>
        <v>0</v>
      </c>
      <c r="V218" s="9">
        <f>ROUND(ROUND(P218, 2)/1.2, 2)</f>
        <v>33.56</v>
      </c>
      <c r="Y218" s="9">
        <f t="shared" si="11"/>
        <v>0</v>
      </c>
      <c r="AD218" s="4" t="s">
        <v>727</v>
      </c>
      <c r="AE218" s="4" t="s">
        <v>728</v>
      </c>
      <c r="AF218" s="4" t="s">
        <v>640</v>
      </c>
    </row>
    <row r="219" spans="1:35" ht="36" x14ac:dyDescent="0.3">
      <c r="A219" s="10" t="s">
        <v>729</v>
      </c>
      <c r="B219" s="10"/>
      <c r="C219" s="16" t="s">
        <v>552</v>
      </c>
      <c r="D219" s="12"/>
      <c r="E219" s="12"/>
      <c r="F219" s="17" t="s">
        <v>227</v>
      </c>
      <c r="G219" s="18">
        <v>0.15</v>
      </c>
      <c r="H219" s="18"/>
      <c r="I219" s="18">
        <v>0</v>
      </c>
      <c r="J219" s="19">
        <v>88.8</v>
      </c>
      <c r="M219" s="20">
        <f>ROUND(ROUND(J219, 2)*I219, 2)</f>
        <v>0</v>
      </c>
      <c r="P219" s="19">
        <v>88.8</v>
      </c>
      <c r="S219" s="20">
        <f>ROUND(ROUND(P219, 2)*I219, 2)</f>
        <v>0</v>
      </c>
      <c r="V219" s="9">
        <f>ROUND(ROUND(P219, 2)/1.2, 2)</f>
        <v>74</v>
      </c>
      <c r="Y219" s="9">
        <f t="shared" si="11"/>
        <v>0</v>
      </c>
      <c r="AD219" s="4" t="s">
        <v>730</v>
      </c>
      <c r="AE219" s="4" t="s">
        <v>731</v>
      </c>
      <c r="AF219" s="4" t="s">
        <v>555</v>
      </c>
    </row>
    <row r="220" spans="1:35" ht="54" x14ac:dyDescent="0.3">
      <c r="A220" s="10" t="s">
        <v>732</v>
      </c>
      <c r="B220" s="10" t="s">
        <v>660</v>
      </c>
      <c r="C220" s="11" t="s">
        <v>661</v>
      </c>
      <c r="D220" s="12"/>
      <c r="E220" s="12"/>
      <c r="F220" s="12" t="s">
        <v>59</v>
      </c>
      <c r="G220" s="13">
        <v>1</v>
      </c>
      <c r="H220" s="13"/>
      <c r="I220" s="13">
        <v>0</v>
      </c>
      <c r="J220" s="14">
        <v>0</v>
      </c>
      <c r="K220" s="15">
        <v>2785</v>
      </c>
      <c r="L220" s="14">
        <f>J220+ROUND(K220, 2)</f>
        <v>2785</v>
      </c>
      <c r="M220" s="14">
        <v>0</v>
      </c>
      <c r="N220" s="14">
        <v>0</v>
      </c>
      <c r="O220" s="14">
        <f>M220+N220</f>
        <v>0</v>
      </c>
      <c r="P220" s="14">
        <v>2000.82</v>
      </c>
      <c r="Q220" s="15">
        <v>2785</v>
      </c>
      <c r="R220" s="14">
        <f>P220+ROUND(Q220, 2)</f>
        <v>4785.82</v>
      </c>
      <c r="S220" s="14">
        <v>0</v>
      </c>
      <c r="T220" s="14">
        <v>0</v>
      </c>
      <c r="U220" s="14">
        <f>S220+T220</f>
        <v>0</v>
      </c>
      <c r="V220" s="9">
        <f>ROUND(P220 / 1.2, 2)</f>
        <v>1667.35</v>
      </c>
      <c r="W220" s="9">
        <f>ROUND(Q220 / 1.2, 2)</f>
        <v>2320.83</v>
      </c>
      <c r="X220" s="9">
        <f>ROUND(R220 / 1.2, 2)</f>
        <v>3988.18</v>
      </c>
      <c r="Y220" s="9">
        <f t="shared" si="11"/>
        <v>0</v>
      </c>
      <c r="Z220" s="9">
        <f>ROUND(T220 / 1.2, 2)</f>
        <v>0</v>
      </c>
      <c r="AA220" s="9">
        <f>Y220+Z220</f>
        <v>0</v>
      </c>
      <c r="AD220" s="4">
        <v>315889959</v>
      </c>
      <c r="AE220" s="4">
        <v>27245670</v>
      </c>
      <c r="AG220" s="4" t="s">
        <v>662</v>
      </c>
      <c r="AH220" s="4" t="s">
        <v>663</v>
      </c>
      <c r="AI220" s="4" t="s">
        <v>224</v>
      </c>
    </row>
    <row r="221" spans="1:35" ht="36" x14ac:dyDescent="0.3">
      <c r="A221" s="10" t="s">
        <v>733</v>
      </c>
      <c r="B221" s="10"/>
      <c r="C221" s="16" t="s">
        <v>552</v>
      </c>
      <c r="D221" s="12"/>
      <c r="E221" s="12"/>
      <c r="F221" s="17" t="s">
        <v>227</v>
      </c>
      <c r="G221" s="18">
        <v>0.15</v>
      </c>
      <c r="H221" s="18"/>
      <c r="I221" s="18">
        <v>0</v>
      </c>
      <c r="J221" s="19">
        <v>88.8</v>
      </c>
      <c r="M221" s="20">
        <f>ROUND(ROUND(J221, 2)*I221, 2)</f>
        <v>0</v>
      </c>
      <c r="P221" s="19">
        <v>88.8</v>
      </c>
      <c r="S221" s="20">
        <f>ROUND(ROUND(P221, 2)*I221, 2)</f>
        <v>0</v>
      </c>
      <c r="V221" s="9">
        <f>ROUND(ROUND(P221, 2)/1.2, 2)</f>
        <v>74</v>
      </c>
      <c r="Y221" s="9">
        <f t="shared" ref="Y221:Y254" si="12">ROUND(S221 / 1.2, 2)</f>
        <v>0</v>
      </c>
      <c r="AD221" s="4" t="s">
        <v>734</v>
      </c>
      <c r="AE221" s="4" t="s">
        <v>735</v>
      </c>
      <c r="AF221" s="4" t="s">
        <v>555</v>
      </c>
    </row>
    <row r="222" spans="1:35" ht="36" x14ac:dyDescent="0.3">
      <c r="A222" s="10" t="s">
        <v>736</v>
      </c>
      <c r="B222" s="10"/>
      <c r="C222" s="16" t="s">
        <v>637</v>
      </c>
      <c r="D222" s="12"/>
      <c r="E222" s="12"/>
      <c r="F222" s="17" t="s">
        <v>227</v>
      </c>
      <c r="G222" s="18">
        <v>0.25</v>
      </c>
      <c r="H222" s="22"/>
      <c r="I222" s="22">
        <v>0</v>
      </c>
      <c r="J222" s="19">
        <v>40.270000000000003</v>
      </c>
      <c r="M222" s="20">
        <f>ROUND(ROUND(J222, 2)*I222, 2)</f>
        <v>0</v>
      </c>
      <c r="P222" s="19">
        <v>40.270000000000003</v>
      </c>
      <c r="S222" s="20">
        <f>ROUND(ROUND(P222, 2)*I222, 2)</f>
        <v>0</v>
      </c>
      <c r="V222" s="9">
        <f>ROUND(ROUND(P222, 2)/1.2, 2)</f>
        <v>33.56</v>
      </c>
      <c r="Y222" s="9">
        <f t="shared" si="12"/>
        <v>0</v>
      </c>
      <c r="AD222" s="4" t="s">
        <v>737</v>
      </c>
      <c r="AE222" s="4" t="s">
        <v>738</v>
      </c>
      <c r="AF222" s="4" t="s">
        <v>640</v>
      </c>
    </row>
    <row r="223" spans="1:35" ht="36" x14ac:dyDescent="0.3">
      <c r="A223" s="10" t="s">
        <v>739</v>
      </c>
      <c r="B223" s="10"/>
      <c r="C223" s="16" t="s">
        <v>670</v>
      </c>
      <c r="D223" s="12"/>
      <c r="E223" s="12"/>
      <c r="F223" s="17" t="s">
        <v>59</v>
      </c>
      <c r="G223" s="18">
        <v>1.2</v>
      </c>
      <c r="H223" s="22"/>
      <c r="I223" s="22">
        <v>0</v>
      </c>
      <c r="J223" s="19">
        <v>2021.25</v>
      </c>
      <c r="M223" s="20">
        <f>ROUND(ROUND(J223, 2)*I223, 2)</f>
        <v>0</v>
      </c>
      <c r="P223" s="19">
        <v>1630.9</v>
      </c>
      <c r="S223" s="20">
        <f>ROUND(ROUND(P223, 2)*I223, 2)</f>
        <v>0</v>
      </c>
      <c r="V223" s="9">
        <f>ROUND(ROUND(P223, 2)/1.2, 2)</f>
        <v>1359.08</v>
      </c>
      <c r="Y223" s="9">
        <f t="shared" si="12"/>
        <v>0</v>
      </c>
      <c r="AD223" s="4" t="s">
        <v>740</v>
      </c>
      <c r="AE223" s="4" t="s">
        <v>741</v>
      </c>
      <c r="AF223" s="4" t="s">
        <v>673</v>
      </c>
    </row>
    <row r="224" spans="1:35" ht="36" x14ac:dyDescent="0.3">
      <c r="A224" s="10" t="s">
        <v>742</v>
      </c>
      <c r="B224" s="10"/>
      <c r="C224" s="21" t="s">
        <v>665</v>
      </c>
      <c r="D224" s="12"/>
      <c r="E224" s="12"/>
      <c r="F224" s="17" t="s">
        <v>227</v>
      </c>
      <c r="G224" s="18">
        <v>1.2</v>
      </c>
      <c r="H224" s="22"/>
      <c r="I224" s="22">
        <v>0</v>
      </c>
      <c r="J224" s="19">
        <v>16.96</v>
      </c>
      <c r="M224" s="20">
        <f>ROUND(ROUND(J224, 2)*I224, 2)</f>
        <v>0</v>
      </c>
      <c r="P224" s="19">
        <v>16.96</v>
      </c>
      <c r="S224" s="20">
        <f>ROUND(ROUND(P224, 2)*I224, 2)</f>
        <v>0</v>
      </c>
      <c r="V224" s="9">
        <f>ROUND(ROUND(P224, 2)/1.2, 2)</f>
        <v>14.13</v>
      </c>
      <c r="Y224" s="9">
        <f t="shared" si="12"/>
        <v>0</v>
      </c>
      <c r="AD224" s="4" t="s">
        <v>743</v>
      </c>
      <c r="AE224" s="4" t="s">
        <v>744</v>
      </c>
      <c r="AF224" s="4" t="s">
        <v>668</v>
      </c>
    </row>
    <row r="225" spans="1:35" ht="54" x14ac:dyDescent="0.3">
      <c r="A225" s="10" t="s">
        <v>745</v>
      </c>
      <c r="B225" s="10" t="s">
        <v>660</v>
      </c>
      <c r="C225" s="11" t="s">
        <v>661</v>
      </c>
      <c r="D225" s="12"/>
      <c r="E225" s="12" t="s">
        <v>746</v>
      </c>
      <c r="F225" s="12" t="s">
        <v>59</v>
      </c>
      <c r="G225" s="13">
        <v>1</v>
      </c>
      <c r="H225" s="13"/>
      <c r="I225" s="13">
        <v>1132.5</v>
      </c>
      <c r="J225" s="14">
        <v>2468.2399999999998</v>
      </c>
      <c r="K225" s="15">
        <v>2785</v>
      </c>
      <c r="L225" s="14">
        <f>J225+ROUND(K225, 2)</f>
        <v>5253.24</v>
      </c>
      <c r="M225" s="14">
        <v>2795281.8</v>
      </c>
      <c r="N225" s="14">
        <v>3154012.5</v>
      </c>
      <c r="O225" s="14">
        <f>M225+N225</f>
        <v>5949294.2999999998</v>
      </c>
      <c r="P225" s="14">
        <v>2063.89</v>
      </c>
      <c r="Q225" s="15">
        <v>4177.5</v>
      </c>
      <c r="R225" s="14">
        <f>P225+ROUND(Q225, 2)</f>
        <v>6241.3899999999994</v>
      </c>
      <c r="S225" s="14">
        <v>2337355.4300000002</v>
      </c>
      <c r="T225" s="14">
        <v>4731018.75</v>
      </c>
      <c r="U225" s="14">
        <f>S225+T225</f>
        <v>7068374.1799999997</v>
      </c>
      <c r="V225" s="9">
        <f>ROUND(P225 / 1.2, 2)</f>
        <v>1719.91</v>
      </c>
      <c r="W225" s="9">
        <f>ROUND(Q225 / 1.2, 2)</f>
        <v>3481.25</v>
      </c>
      <c r="X225" s="9">
        <f>ROUND(R225 / 1.2, 2)</f>
        <v>5201.16</v>
      </c>
      <c r="Y225" s="9">
        <f t="shared" si="12"/>
        <v>1947796.19</v>
      </c>
      <c r="Z225" s="9">
        <f>ROUND(T225 / 1.2, 2)</f>
        <v>3942515.63</v>
      </c>
      <c r="AA225" s="9">
        <f>Y225+Z225</f>
        <v>5890311.8200000003</v>
      </c>
      <c r="AD225" s="4">
        <v>315889960</v>
      </c>
      <c r="AE225" s="4">
        <v>27245769</v>
      </c>
      <c r="AG225" s="4" t="s">
        <v>662</v>
      </c>
      <c r="AH225" s="4" t="s">
        <v>663</v>
      </c>
      <c r="AI225" s="4" t="s">
        <v>224</v>
      </c>
    </row>
    <row r="226" spans="1:35" ht="36" x14ac:dyDescent="0.3">
      <c r="A226" s="10" t="s">
        <v>747</v>
      </c>
      <c r="B226" s="10"/>
      <c r="C226" s="21" t="s">
        <v>665</v>
      </c>
      <c r="D226" s="12"/>
      <c r="E226" s="12"/>
      <c r="F226" s="17" t="s">
        <v>227</v>
      </c>
      <c r="G226" s="18">
        <v>1.2</v>
      </c>
      <c r="H226" s="22"/>
      <c r="I226" s="22">
        <v>1359</v>
      </c>
      <c r="J226" s="19">
        <v>16.12</v>
      </c>
      <c r="M226" s="20">
        <f>ROUND(ROUND(J226, 2)*I226, 2)</f>
        <v>21907.08</v>
      </c>
      <c r="P226" s="19">
        <v>16.12</v>
      </c>
      <c r="S226" s="20">
        <f>ROUND(ROUND(P226, 2)*I226, 2)</f>
        <v>21907.08</v>
      </c>
      <c r="V226" s="9">
        <f>ROUND(ROUND(P226, 2)/1.2, 2)</f>
        <v>13.43</v>
      </c>
      <c r="Y226" s="9">
        <f t="shared" si="12"/>
        <v>18255.900000000001</v>
      </c>
      <c r="AD226" s="4" t="s">
        <v>748</v>
      </c>
      <c r="AE226" s="4" t="s">
        <v>749</v>
      </c>
      <c r="AF226" s="4" t="s">
        <v>668</v>
      </c>
    </row>
    <row r="227" spans="1:35" ht="72" x14ac:dyDescent="0.3">
      <c r="A227" s="10" t="s">
        <v>750</v>
      </c>
      <c r="B227" s="10"/>
      <c r="C227" s="16" t="s">
        <v>670</v>
      </c>
      <c r="D227" s="12"/>
      <c r="E227" s="12" t="s">
        <v>751</v>
      </c>
      <c r="F227" s="17" t="s">
        <v>59</v>
      </c>
      <c r="G227" s="18">
        <v>1.2</v>
      </c>
      <c r="H227" s="22"/>
      <c r="I227" s="22">
        <v>1359</v>
      </c>
      <c r="J227" s="19">
        <v>2021.26</v>
      </c>
      <c r="M227" s="20">
        <f>ROUND(ROUND(J227, 2)*I227, 2)</f>
        <v>2746892.34</v>
      </c>
      <c r="P227" s="19">
        <v>1684.3</v>
      </c>
      <c r="S227" s="20">
        <f>ROUND(ROUND(P227, 2)*I227, 2)</f>
        <v>2288963.7000000002</v>
      </c>
      <c r="V227" s="9">
        <f>ROUND(ROUND(P227, 2)/1.2, 2)</f>
        <v>1403.58</v>
      </c>
      <c r="Y227" s="9">
        <f t="shared" si="12"/>
        <v>1907469.75</v>
      </c>
      <c r="AD227" s="4" t="s">
        <v>752</v>
      </c>
      <c r="AE227" s="4" t="s">
        <v>753</v>
      </c>
      <c r="AF227" s="4" t="s">
        <v>673</v>
      </c>
    </row>
    <row r="228" spans="1:35" ht="36" x14ac:dyDescent="0.3">
      <c r="A228" s="10" t="s">
        <v>754</v>
      </c>
      <c r="B228" s="10"/>
      <c r="C228" s="16" t="s">
        <v>637</v>
      </c>
      <c r="D228" s="12"/>
      <c r="E228" s="12"/>
      <c r="F228" s="17" t="s">
        <v>227</v>
      </c>
      <c r="G228" s="18">
        <v>0.25</v>
      </c>
      <c r="H228" s="22"/>
      <c r="I228" s="22">
        <v>283.125</v>
      </c>
      <c r="J228" s="19">
        <v>40.270000000000003</v>
      </c>
      <c r="M228" s="20">
        <f>ROUND(ROUND(J228, 2)*I228, 2)</f>
        <v>11401.44</v>
      </c>
      <c r="P228" s="19">
        <v>40.270000000000003</v>
      </c>
      <c r="S228" s="20">
        <f>ROUND(ROUND(P228, 2)*I228, 2)</f>
        <v>11401.44</v>
      </c>
      <c r="V228" s="9">
        <f>ROUND(ROUND(P228, 2)/1.2, 2)</f>
        <v>33.56</v>
      </c>
      <c r="Y228" s="9">
        <f t="shared" si="12"/>
        <v>9501.2000000000007</v>
      </c>
      <c r="AD228" s="4" t="s">
        <v>755</v>
      </c>
      <c r="AE228" s="4" t="s">
        <v>756</v>
      </c>
      <c r="AF228" s="4" t="s">
        <v>640</v>
      </c>
    </row>
    <row r="229" spans="1:35" ht="36" x14ac:dyDescent="0.3">
      <c r="A229" s="10" t="s">
        <v>757</v>
      </c>
      <c r="B229" s="10"/>
      <c r="C229" s="16" t="s">
        <v>552</v>
      </c>
      <c r="D229" s="12"/>
      <c r="E229" s="12"/>
      <c r="F229" s="17" t="s">
        <v>227</v>
      </c>
      <c r="G229" s="18">
        <v>0.15</v>
      </c>
      <c r="H229" s="18"/>
      <c r="I229" s="18">
        <v>169.875</v>
      </c>
      <c r="J229" s="19">
        <v>88.8</v>
      </c>
      <c r="M229" s="20">
        <f>ROUND(ROUND(J229, 2)*I229, 2)</f>
        <v>15084.9</v>
      </c>
      <c r="P229" s="19">
        <v>88.8</v>
      </c>
      <c r="S229" s="20">
        <f>ROUND(ROUND(P229, 2)*I229, 2)</f>
        <v>15084.9</v>
      </c>
      <c r="V229" s="9">
        <f>ROUND(ROUND(P229, 2)/1.2, 2)</f>
        <v>74</v>
      </c>
      <c r="Y229" s="9">
        <f t="shared" si="12"/>
        <v>12570.75</v>
      </c>
      <c r="AD229" s="4" t="s">
        <v>758</v>
      </c>
      <c r="AE229" s="4" t="s">
        <v>759</v>
      </c>
      <c r="AF229" s="4" t="s">
        <v>555</v>
      </c>
    </row>
    <row r="230" spans="1:35" ht="54" x14ac:dyDescent="0.3">
      <c r="A230" s="10" t="s">
        <v>760</v>
      </c>
      <c r="B230" s="10" t="s">
        <v>660</v>
      </c>
      <c r="C230" s="11" t="s">
        <v>661</v>
      </c>
      <c r="D230" s="12"/>
      <c r="E230" s="12" t="s">
        <v>761</v>
      </c>
      <c r="F230" s="12" t="s">
        <v>59</v>
      </c>
      <c r="G230" s="13">
        <v>1</v>
      </c>
      <c r="H230" s="13"/>
      <c r="I230" s="13">
        <v>31.2</v>
      </c>
      <c r="J230" s="14">
        <v>2468.2399999999998</v>
      </c>
      <c r="K230" s="15">
        <v>2785</v>
      </c>
      <c r="L230" s="14">
        <f>J230+ROUND(K230, 2)</f>
        <v>5253.24</v>
      </c>
      <c r="M230" s="14">
        <v>77009.09</v>
      </c>
      <c r="N230" s="14">
        <v>86892</v>
      </c>
      <c r="O230" s="14">
        <f>M230+N230</f>
        <v>163901.09</v>
      </c>
      <c r="P230" s="14">
        <v>2053.6799999999998</v>
      </c>
      <c r="Q230" s="15">
        <v>4177.5</v>
      </c>
      <c r="R230" s="14">
        <f>P230+ROUND(Q230, 2)</f>
        <v>6231.18</v>
      </c>
      <c r="S230" s="14">
        <v>64074.82</v>
      </c>
      <c r="T230" s="14">
        <v>130338</v>
      </c>
      <c r="U230" s="14">
        <f>S230+T230</f>
        <v>194412.82</v>
      </c>
      <c r="V230" s="9">
        <f>ROUND(P230 / 1.2, 2)</f>
        <v>1711.4</v>
      </c>
      <c r="W230" s="9">
        <f>ROUND(Q230 / 1.2, 2)</f>
        <v>3481.25</v>
      </c>
      <c r="X230" s="9">
        <f>ROUND(R230 / 1.2, 2)</f>
        <v>5192.6499999999996</v>
      </c>
      <c r="Y230" s="9">
        <f t="shared" si="12"/>
        <v>53395.68</v>
      </c>
      <c r="Z230" s="9">
        <f>ROUND(T230 / 1.2, 2)</f>
        <v>108615</v>
      </c>
      <c r="AA230" s="9">
        <f>Y230+Z230</f>
        <v>162010.68</v>
      </c>
      <c r="AD230" s="4">
        <v>315889961</v>
      </c>
      <c r="AE230" s="4">
        <v>27245774</v>
      </c>
      <c r="AG230" s="4" t="s">
        <v>662</v>
      </c>
      <c r="AH230" s="4" t="s">
        <v>663</v>
      </c>
      <c r="AI230" s="4" t="s">
        <v>224</v>
      </c>
    </row>
    <row r="231" spans="1:35" ht="36" x14ac:dyDescent="0.3">
      <c r="A231" s="10" t="s">
        <v>762</v>
      </c>
      <c r="B231" s="10"/>
      <c r="C231" s="16" t="s">
        <v>552</v>
      </c>
      <c r="D231" s="12"/>
      <c r="E231" s="12"/>
      <c r="F231" s="17" t="s">
        <v>227</v>
      </c>
      <c r="G231" s="18">
        <v>0.15</v>
      </c>
      <c r="H231" s="18"/>
      <c r="I231" s="18">
        <v>4.68</v>
      </c>
      <c r="J231" s="19">
        <v>88.8</v>
      </c>
      <c r="M231" s="20">
        <f>ROUND(ROUND(J231, 2)*I231, 2)</f>
        <v>415.58</v>
      </c>
      <c r="P231" s="19">
        <v>88.8</v>
      </c>
      <c r="S231" s="20">
        <f>ROUND(ROUND(P231, 2)*I231, 2)</f>
        <v>415.58</v>
      </c>
      <c r="V231" s="9">
        <f>ROUND(ROUND(P231, 2)/1.2, 2)</f>
        <v>74</v>
      </c>
      <c r="Y231" s="9">
        <f t="shared" si="12"/>
        <v>346.32</v>
      </c>
      <c r="AD231" s="4" t="s">
        <v>763</v>
      </c>
      <c r="AE231" s="4" t="s">
        <v>764</v>
      </c>
      <c r="AF231" s="4" t="s">
        <v>555</v>
      </c>
    </row>
    <row r="232" spans="1:35" ht="36" x14ac:dyDescent="0.3">
      <c r="A232" s="10" t="s">
        <v>765</v>
      </c>
      <c r="B232" s="10"/>
      <c r="C232" s="16" t="s">
        <v>637</v>
      </c>
      <c r="D232" s="12"/>
      <c r="E232" s="12"/>
      <c r="F232" s="17" t="s">
        <v>227</v>
      </c>
      <c r="G232" s="18">
        <v>0.25</v>
      </c>
      <c r="H232" s="22"/>
      <c r="I232" s="22">
        <v>7.8</v>
      </c>
      <c r="J232" s="19">
        <v>40.270000000000003</v>
      </c>
      <c r="M232" s="20">
        <f>ROUND(ROUND(J232, 2)*I232, 2)</f>
        <v>314.11</v>
      </c>
      <c r="P232" s="19">
        <v>40.270000000000003</v>
      </c>
      <c r="S232" s="20">
        <f>ROUND(ROUND(P232, 2)*I232, 2)</f>
        <v>314.11</v>
      </c>
      <c r="V232" s="9">
        <f>ROUND(ROUND(P232, 2)/1.2, 2)</f>
        <v>33.56</v>
      </c>
      <c r="Y232" s="9">
        <f t="shared" si="12"/>
        <v>261.76</v>
      </c>
      <c r="AD232" s="4" t="s">
        <v>766</v>
      </c>
      <c r="AE232" s="4" t="s">
        <v>767</v>
      </c>
      <c r="AF232" s="4" t="s">
        <v>640</v>
      </c>
    </row>
    <row r="233" spans="1:35" ht="72" x14ac:dyDescent="0.3">
      <c r="A233" s="10" t="s">
        <v>768</v>
      </c>
      <c r="B233" s="10"/>
      <c r="C233" s="16" t="s">
        <v>670</v>
      </c>
      <c r="D233" s="12"/>
      <c r="E233" s="12" t="s">
        <v>769</v>
      </c>
      <c r="F233" s="17" t="s">
        <v>59</v>
      </c>
      <c r="G233" s="18">
        <v>1.2</v>
      </c>
      <c r="H233" s="22"/>
      <c r="I233" s="22">
        <v>37.44</v>
      </c>
      <c r="J233" s="19">
        <v>2021.26</v>
      </c>
      <c r="M233" s="20">
        <f>ROUND(ROUND(J233, 2)*I233, 2)</f>
        <v>75675.97</v>
      </c>
      <c r="P233" s="19">
        <v>1675.8</v>
      </c>
      <c r="S233" s="20">
        <f>ROUND(ROUND(P233, 2)*I233, 2)</f>
        <v>62741.95</v>
      </c>
      <c r="V233" s="9">
        <f>ROUND(ROUND(P233, 2)/1.2, 2)</f>
        <v>1396.5</v>
      </c>
      <c r="Y233" s="9">
        <f t="shared" si="12"/>
        <v>52284.959999999999</v>
      </c>
      <c r="AD233" s="4" t="s">
        <v>770</v>
      </c>
      <c r="AE233" s="4" t="s">
        <v>771</v>
      </c>
      <c r="AF233" s="4" t="s">
        <v>673</v>
      </c>
    </row>
    <row r="234" spans="1:35" ht="36" x14ac:dyDescent="0.3">
      <c r="A234" s="10" t="s">
        <v>772</v>
      </c>
      <c r="B234" s="10"/>
      <c r="C234" s="21" t="s">
        <v>665</v>
      </c>
      <c r="D234" s="12"/>
      <c r="E234" s="12"/>
      <c r="F234" s="17" t="s">
        <v>227</v>
      </c>
      <c r="G234" s="18">
        <v>1.2</v>
      </c>
      <c r="H234" s="22"/>
      <c r="I234" s="22">
        <v>37.44</v>
      </c>
      <c r="J234" s="19">
        <v>16.12</v>
      </c>
      <c r="M234" s="20">
        <f>ROUND(ROUND(J234, 2)*I234, 2)</f>
        <v>603.53</v>
      </c>
      <c r="P234" s="19">
        <v>16.11</v>
      </c>
      <c r="S234" s="20">
        <f>ROUND(ROUND(P234, 2)*I234, 2)</f>
        <v>603.16</v>
      </c>
      <c r="V234" s="9">
        <f>ROUND(ROUND(P234, 2)/1.2, 2)</f>
        <v>13.43</v>
      </c>
      <c r="Y234" s="9">
        <f t="shared" si="12"/>
        <v>502.63</v>
      </c>
      <c r="AD234" s="4" t="s">
        <v>773</v>
      </c>
      <c r="AE234" s="4" t="s">
        <v>774</v>
      </c>
      <c r="AF234" s="4" t="s">
        <v>668</v>
      </c>
    </row>
    <row r="235" spans="1:35" ht="54" x14ac:dyDescent="0.3">
      <c r="A235" s="10" t="s">
        <v>775</v>
      </c>
      <c r="B235" s="10" t="s">
        <v>660</v>
      </c>
      <c r="C235" s="11" t="s">
        <v>661</v>
      </c>
      <c r="D235" s="12"/>
      <c r="E235" s="12" t="s">
        <v>776</v>
      </c>
      <c r="F235" s="12" t="s">
        <v>59</v>
      </c>
      <c r="G235" s="13">
        <v>1</v>
      </c>
      <c r="H235" s="13"/>
      <c r="I235" s="13">
        <v>560.4</v>
      </c>
      <c r="J235" s="14">
        <v>2468.2399999999998</v>
      </c>
      <c r="K235" s="15">
        <v>2785</v>
      </c>
      <c r="L235" s="14">
        <f>J235+ROUND(K235, 2)</f>
        <v>5253.24</v>
      </c>
      <c r="M235" s="14">
        <v>1383201.7</v>
      </c>
      <c r="N235" s="14">
        <v>1560714</v>
      </c>
      <c r="O235" s="14">
        <f>M235+N235</f>
        <v>2943915.7</v>
      </c>
      <c r="P235" s="14">
        <v>1989.72</v>
      </c>
      <c r="Q235" s="15">
        <v>4177.5</v>
      </c>
      <c r="R235" s="14">
        <f>P235+ROUND(Q235, 2)</f>
        <v>6167.22</v>
      </c>
      <c r="S235" s="14">
        <v>1115039.0900000001</v>
      </c>
      <c r="T235" s="14">
        <v>2341071</v>
      </c>
      <c r="U235" s="14">
        <f>S235+T235</f>
        <v>3456110.09</v>
      </c>
      <c r="V235" s="9">
        <f>ROUND(P235 / 1.2, 2)</f>
        <v>1658.1</v>
      </c>
      <c r="W235" s="9">
        <f>ROUND(Q235 / 1.2, 2)</f>
        <v>3481.25</v>
      </c>
      <c r="X235" s="9">
        <f>ROUND(R235 / 1.2, 2)</f>
        <v>5139.3500000000004</v>
      </c>
      <c r="Y235" s="9">
        <f t="shared" si="12"/>
        <v>929199.24</v>
      </c>
      <c r="Z235" s="9">
        <f>ROUND(T235 / 1.2, 2)</f>
        <v>1950892.5</v>
      </c>
      <c r="AA235" s="9">
        <f>Y235+Z235</f>
        <v>2880091.74</v>
      </c>
      <c r="AD235" s="4">
        <v>315889962</v>
      </c>
      <c r="AE235" s="4">
        <v>27245775</v>
      </c>
      <c r="AG235" s="4" t="s">
        <v>662</v>
      </c>
      <c r="AH235" s="4" t="s">
        <v>663</v>
      </c>
      <c r="AI235" s="4" t="s">
        <v>224</v>
      </c>
    </row>
    <row r="236" spans="1:35" ht="36" x14ac:dyDescent="0.3">
      <c r="A236" s="10" t="s">
        <v>777</v>
      </c>
      <c r="B236" s="10"/>
      <c r="C236" s="21" t="s">
        <v>665</v>
      </c>
      <c r="D236" s="12"/>
      <c r="E236" s="12"/>
      <c r="F236" s="17" t="s">
        <v>227</v>
      </c>
      <c r="G236" s="18">
        <v>1.2</v>
      </c>
      <c r="H236" s="22"/>
      <c r="I236" s="22">
        <v>672.48</v>
      </c>
      <c r="J236" s="19">
        <v>16.12</v>
      </c>
      <c r="M236" s="20">
        <f>ROUND(ROUND(J236, 2)*I236, 2)</f>
        <v>10840.38</v>
      </c>
      <c r="P236" s="19">
        <v>16.11</v>
      </c>
      <c r="S236" s="20">
        <f>ROUND(ROUND(P236, 2)*I236, 2)</f>
        <v>10833.65</v>
      </c>
      <c r="V236" s="9">
        <f>ROUND(ROUND(P236, 2)/1.2, 2)</f>
        <v>13.43</v>
      </c>
      <c r="Y236" s="9">
        <f t="shared" si="12"/>
        <v>9028.0400000000009</v>
      </c>
      <c r="AD236" s="4" t="s">
        <v>778</v>
      </c>
      <c r="AE236" s="4" t="s">
        <v>779</v>
      </c>
      <c r="AF236" s="4" t="s">
        <v>668</v>
      </c>
    </row>
    <row r="237" spans="1:35" ht="90" x14ac:dyDescent="0.3">
      <c r="A237" s="10" t="s">
        <v>780</v>
      </c>
      <c r="B237" s="10"/>
      <c r="C237" s="16" t="s">
        <v>670</v>
      </c>
      <c r="D237" s="12"/>
      <c r="E237" s="12" t="s">
        <v>781</v>
      </c>
      <c r="F237" s="17" t="s">
        <v>59</v>
      </c>
      <c r="G237" s="18">
        <v>1.2</v>
      </c>
      <c r="H237" s="22"/>
      <c r="I237" s="22">
        <v>672.48</v>
      </c>
      <c r="J237" s="19">
        <v>2021.26</v>
      </c>
      <c r="M237" s="20">
        <f>ROUND(ROUND(J237, 2)*I237, 2)</f>
        <v>1359256.92</v>
      </c>
      <c r="P237" s="19">
        <v>1622.5</v>
      </c>
      <c r="S237" s="20">
        <f>ROUND(ROUND(P237, 2)*I237, 2)</f>
        <v>1091098.8</v>
      </c>
      <c r="V237" s="9">
        <f>ROUND(ROUND(P237, 2)/1.2, 2)</f>
        <v>1352.08</v>
      </c>
      <c r="Y237" s="9">
        <f t="shared" si="12"/>
        <v>909249</v>
      </c>
      <c r="AD237" s="4" t="s">
        <v>782</v>
      </c>
      <c r="AE237" s="4" t="s">
        <v>783</v>
      </c>
      <c r="AF237" s="4" t="s">
        <v>673</v>
      </c>
    </row>
    <row r="238" spans="1:35" ht="36" x14ac:dyDescent="0.3">
      <c r="A238" s="10" t="s">
        <v>784</v>
      </c>
      <c r="B238" s="10"/>
      <c r="C238" s="16" t="s">
        <v>637</v>
      </c>
      <c r="D238" s="12"/>
      <c r="E238" s="12"/>
      <c r="F238" s="17" t="s">
        <v>227</v>
      </c>
      <c r="G238" s="18">
        <v>0.25</v>
      </c>
      <c r="H238" s="22"/>
      <c r="I238" s="22">
        <v>140.1</v>
      </c>
      <c r="J238" s="19">
        <v>40.270000000000003</v>
      </c>
      <c r="M238" s="20">
        <f>ROUND(ROUND(J238, 2)*I238, 2)</f>
        <v>5641.83</v>
      </c>
      <c r="P238" s="19">
        <v>40.270000000000003</v>
      </c>
      <c r="S238" s="20">
        <f>ROUND(ROUND(P238, 2)*I238, 2)</f>
        <v>5641.83</v>
      </c>
      <c r="V238" s="9">
        <f>ROUND(ROUND(P238, 2)/1.2, 2)</f>
        <v>33.56</v>
      </c>
      <c r="Y238" s="9">
        <f t="shared" si="12"/>
        <v>4701.53</v>
      </c>
      <c r="AD238" s="4" t="s">
        <v>785</v>
      </c>
      <c r="AE238" s="4" t="s">
        <v>786</v>
      </c>
      <c r="AF238" s="4" t="s">
        <v>640</v>
      </c>
    </row>
    <row r="239" spans="1:35" ht="36" x14ac:dyDescent="0.3">
      <c r="A239" s="10" t="s">
        <v>787</v>
      </c>
      <c r="B239" s="10"/>
      <c r="C239" s="16" t="s">
        <v>552</v>
      </c>
      <c r="D239" s="12"/>
      <c r="E239" s="12"/>
      <c r="F239" s="17" t="s">
        <v>227</v>
      </c>
      <c r="G239" s="18">
        <v>0.15</v>
      </c>
      <c r="H239" s="18"/>
      <c r="I239" s="18">
        <v>84.06</v>
      </c>
      <c r="J239" s="19">
        <v>88.8</v>
      </c>
      <c r="M239" s="20">
        <f>ROUND(ROUND(J239, 2)*I239, 2)</f>
        <v>7464.53</v>
      </c>
      <c r="P239" s="19">
        <v>88.8</v>
      </c>
      <c r="S239" s="20">
        <f>ROUND(ROUND(P239, 2)*I239, 2)</f>
        <v>7464.53</v>
      </c>
      <c r="V239" s="9">
        <f>ROUND(ROUND(P239, 2)/1.2, 2)</f>
        <v>74</v>
      </c>
      <c r="Y239" s="9">
        <f t="shared" si="12"/>
        <v>6220.44</v>
      </c>
      <c r="AD239" s="4" t="s">
        <v>788</v>
      </c>
      <c r="AE239" s="4" t="s">
        <v>789</v>
      </c>
      <c r="AF239" s="4" t="s">
        <v>555</v>
      </c>
    </row>
    <row r="240" spans="1:35" ht="54" x14ac:dyDescent="0.3">
      <c r="A240" s="10" t="s">
        <v>790</v>
      </c>
      <c r="B240" s="10" t="s">
        <v>660</v>
      </c>
      <c r="C240" s="11" t="s">
        <v>661</v>
      </c>
      <c r="D240" s="12"/>
      <c r="E240" s="12" t="s">
        <v>791</v>
      </c>
      <c r="F240" s="12" t="s">
        <v>59</v>
      </c>
      <c r="G240" s="13">
        <v>1</v>
      </c>
      <c r="H240" s="13"/>
      <c r="I240" s="13">
        <v>28</v>
      </c>
      <c r="J240" s="14">
        <v>2468.2399999999998</v>
      </c>
      <c r="K240" s="15">
        <v>2785</v>
      </c>
      <c r="L240" s="14">
        <f>J240+ROUND(K240, 2)</f>
        <v>5253.24</v>
      </c>
      <c r="M240" s="14">
        <v>69110.720000000001</v>
      </c>
      <c r="N240" s="14">
        <v>77980</v>
      </c>
      <c r="O240" s="14">
        <f>M240+N240</f>
        <v>147090.72</v>
      </c>
      <c r="P240" s="14">
        <v>2074.44</v>
      </c>
      <c r="Q240" s="15">
        <v>4177.5</v>
      </c>
      <c r="R240" s="14">
        <f>P240+ROUND(Q240, 2)</f>
        <v>6251.9400000000005</v>
      </c>
      <c r="S240" s="14">
        <v>58084.32</v>
      </c>
      <c r="T240" s="14">
        <v>116970</v>
      </c>
      <c r="U240" s="14">
        <f>S240+T240</f>
        <v>175054.32</v>
      </c>
      <c r="V240" s="9">
        <f>ROUND(P240 / 1.2, 2)</f>
        <v>1728.7</v>
      </c>
      <c r="W240" s="9">
        <f>ROUND(Q240 / 1.2, 2)</f>
        <v>3481.25</v>
      </c>
      <c r="X240" s="9">
        <f>ROUND(R240 / 1.2, 2)</f>
        <v>5209.95</v>
      </c>
      <c r="Y240" s="9">
        <f t="shared" si="12"/>
        <v>48403.6</v>
      </c>
      <c r="Z240" s="9">
        <f>ROUND(T240 / 1.2, 2)</f>
        <v>97475</v>
      </c>
      <c r="AA240" s="9">
        <f>Y240+Z240</f>
        <v>145878.6</v>
      </c>
      <c r="AD240" s="4">
        <v>315889963</v>
      </c>
      <c r="AE240" s="4">
        <v>27245776</v>
      </c>
      <c r="AG240" s="4" t="s">
        <v>662</v>
      </c>
      <c r="AH240" s="4" t="s">
        <v>663</v>
      </c>
      <c r="AI240" s="4" t="s">
        <v>224</v>
      </c>
    </row>
    <row r="241" spans="1:35" ht="36" x14ac:dyDescent="0.3">
      <c r="A241" s="10" t="s">
        <v>792</v>
      </c>
      <c r="B241" s="10"/>
      <c r="C241" s="16" t="s">
        <v>552</v>
      </c>
      <c r="D241" s="12"/>
      <c r="E241" s="12"/>
      <c r="F241" s="17" t="s">
        <v>227</v>
      </c>
      <c r="G241" s="18">
        <v>0.15</v>
      </c>
      <c r="H241" s="18"/>
      <c r="I241" s="18">
        <v>4.2</v>
      </c>
      <c r="J241" s="19">
        <v>88.8</v>
      </c>
      <c r="M241" s="20">
        <f>ROUND(ROUND(J241, 2)*I241, 2)</f>
        <v>372.96</v>
      </c>
      <c r="P241" s="19">
        <v>88.8</v>
      </c>
      <c r="S241" s="20">
        <f>ROUND(ROUND(P241, 2)*I241, 2)</f>
        <v>372.96</v>
      </c>
      <c r="V241" s="9">
        <f>ROUND(ROUND(P241, 2)/1.2, 2)</f>
        <v>74</v>
      </c>
      <c r="Y241" s="9">
        <f t="shared" si="12"/>
        <v>310.8</v>
      </c>
      <c r="AD241" s="4" t="s">
        <v>793</v>
      </c>
      <c r="AE241" s="4" t="s">
        <v>794</v>
      </c>
      <c r="AF241" s="4" t="s">
        <v>555</v>
      </c>
    </row>
    <row r="242" spans="1:35" ht="36" x14ac:dyDescent="0.3">
      <c r="A242" s="10" t="s">
        <v>795</v>
      </c>
      <c r="B242" s="10"/>
      <c r="C242" s="16" t="s">
        <v>637</v>
      </c>
      <c r="D242" s="12"/>
      <c r="E242" s="12"/>
      <c r="F242" s="17" t="s">
        <v>227</v>
      </c>
      <c r="G242" s="18">
        <v>0.25</v>
      </c>
      <c r="H242" s="22"/>
      <c r="I242" s="22">
        <v>7</v>
      </c>
      <c r="J242" s="19">
        <v>40.270000000000003</v>
      </c>
      <c r="M242" s="20">
        <f>ROUND(ROUND(J242, 2)*I242, 2)</f>
        <v>281.89</v>
      </c>
      <c r="P242" s="19">
        <v>40.270000000000003</v>
      </c>
      <c r="S242" s="20">
        <f>ROUND(ROUND(P242, 2)*I242, 2)</f>
        <v>281.89</v>
      </c>
      <c r="V242" s="9">
        <f>ROUND(ROUND(P242, 2)/1.2, 2)</f>
        <v>33.56</v>
      </c>
      <c r="Y242" s="9">
        <f t="shared" si="12"/>
        <v>234.91</v>
      </c>
      <c r="AD242" s="4" t="s">
        <v>796</v>
      </c>
      <c r="AE242" s="4" t="s">
        <v>797</v>
      </c>
      <c r="AF242" s="4" t="s">
        <v>640</v>
      </c>
    </row>
    <row r="243" spans="1:35" ht="72" x14ac:dyDescent="0.3">
      <c r="A243" s="10" t="s">
        <v>798</v>
      </c>
      <c r="B243" s="10"/>
      <c r="C243" s="16" t="s">
        <v>670</v>
      </c>
      <c r="D243" s="12"/>
      <c r="E243" s="12" t="s">
        <v>799</v>
      </c>
      <c r="F243" s="17" t="s">
        <v>59</v>
      </c>
      <c r="G243" s="18">
        <v>1.2</v>
      </c>
      <c r="H243" s="22"/>
      <c r="I243" s="22">
        <v>33.6</v>
      </c>
      <c r="J243" s="19">
        <v>2021.26</v>
      </c>
      <c r="M243" s="20">
        <f>ROUND(ROUND(J243, 2)*I243, 2)</f>
        <v>67914.34</v>
      </c>
      <c r="P243" s="19">
        <v>1693.1</v>
      </c>
      <c r="S243" s="20">
        <f>ROUND(ROUND(P243, 2)*I243, 2)</f>
        <v>56888.160000000003</v>
      </c>
      <c r="V243" s="9">
        <f>ROUND(ROUND(P243, 2)/1.2, 2)</f>
        <v>1410.92</v>
      </c>
      <c r="Y243" s="9">
        <f t="shared" si="12"/>
        <v>47406.8</v>
      </c>
      <c r="AD243" s="4" t="s">
        <v>800</v>
      </c>
      <c r="AE243" s="4" t="s">
        <v>801</v>
      </c>
      <c r="AF243" s="4" t="s">
        <v>673</v>
      </c>
    </row>
    <row r="244" spans="1:35" ht="36" x14ac:dyDescent="0.3">
      <c r="A244" s="10" t="s">
        <v>802</v>
      </c>
      <c r="B244" s="10"/>
      <c r="C244" s="21" t="s">
        <v>665</v>
      </c>
      <c r="D244" s="12"/>
      <c r="E244" s="12"/>
      <c r="F244" s="17" t="s">
        <v>227</v>
      </c>
      <c r="G244" s="18">
        <v>1.2</v>
      </c>
      <c r="H244" s="22"/>
      <c r="I244" s="22">
        <v>33.6</v>
      </c>
      <c r="J244" s="19">
        <v>16.12</v>
      </c>
      <c r="M244" s="20">
        <f>ROUND(ROUND(J244, 2)*I244, 2)</f>
        <v>541.63</v>
      </c>
      <c r="P244" s="19">
        <v>16.11</v>
      </c>
      <c r="S244" s="20">
        <f>ROUND(ROUND(P244, 2)*I244, 2)</f>
        <v>541.29999999999995</v>
      </c>
      <c r="V244" s="9">
        <f>ROUND(ROUND(P244, 2)/1.2, 2)</f>
        <v>13.43</v>
      </c>
      <c r="Y244" s="9">
        <f t="shared" si="12"/>
        <v>451.08</v>
      </c>
      <c r="AD244" s="4" t="s">
        <v>803</v>
      </c>
      <c r="AE244" s="4" t="s">
        <v>804</v>
      </c>
      <c r="AF244" s="4" t="s">
        <v>668</v>
      </c>
    </row>
    <row r="245" spans="1:35" ht="54" x14ac:dyDescent="0.3">
      <c r="A245" s="10" t="s">
        <v>805</v>
      </c>
      <c r="B245" s="10" t="s">
        <v>660</v>
      </c>
      <c r="C245" s="11" t="s">
        <v>661</v>
      </c>
      <c r="D245" s="12"/>
      <c r="E245" s="12" t="s">
        <v>806</v>
      </c>
      <c r="F245" s="12" t="s">
        <v>59</v>
      </c>
      <c r="G245" s="13">
        <v>1</v>
      </c>
      <c r="H245" s="13"/>
      <c r="I245" s="13">
        <v>207.1</v>
      </c>
      <c r="J245" s="14">
        <v>2468.2399999999998</v>
      </c>
      <c r="K245" s="15">
        <v>2785</v>
      </c>
      <c r="L245" s="14">
        <f>J245+ROUND(K245, 2)</f>
        <v>5253.24</v>
      </c>
      <c r="M245" s="14">
        <v>511172.5</v>
      </c>
      <c r="N245" s="14">
        <v>576773.5</v>
      </c>
      <c r="O245" s="14">
        <f>M245+N245</f>
        <v>1087946</v>
      </c>
      <c r="P245" s="14">
        <v>1999.8</v>
      </c>
      <c r="Q245" s="15">
        <v>4177.5</v>
      </c>
      <c r="R245" s="14">
        <f>P245+ROUND(Q245, 2)</f>
        <v>6177.3</v>
      </c>
      <c r="S245" s="14">
        <v>414158.58</v>
      </c>
      <c r="T245" s="14">
        <v>865160.25</v>
      </c>
      <c r="U245" s="14">
        <f>S245+T245</f>
        <v>1279318.83</v>
      </c>
      <c r="V245" s="9">
        <f>ROUND(P245 / 1.2, 2)</f>
        <v>1666.5</v>
      </c>
      <c r="W245" s="9">
        <f>ROUND(Q245 / 1.2, 2)</f>
        <v>3481.25</v>
      </c>
      <c r="X245" s="9">
        <f>ROUND(R245 / 1.2, 2)</f>
        <v>5147.75</v>
      </c>
      <c r="Y245" s="9">
        <f t="shared" si="12"/>
        <v>345132.15</v>
      </c>
      <c r="Z245" s="9">
        <f>ROUND(T245 / 1.2, 2)</f>
        <v>720966.88</v>
      </c>
      <c r="AA245" s="9">
        <f>Y245+Z245</f>
        <v>1066099.03</v>
      </c>
      <c r="AD245" s="4">
        <v>315889964</v>
      </c>
      <c r="AE245" s="4">
        <v>27245773</v>
      </c>
      <c r="AG245" s="4" t="s">
        <v>662</v>
      </c>
      <c r="AH245" s="4" t="s">
        <v>663</v>
      </c>
      <c r="AI245" s="4" t="s">
        <v>224</v>
      </c>
    </row>
    <row r="246" spans="1:35" ht="36" x14ac:dyDescent="0.3">
      <c r="A246" s="10" t="s">
        <v>807</v>
      </c>
      <c r="B246" s="10"/>
      <c r="C246" s="21" t="s">
        <v>665</v>
      </c>
      <c r="D246" s="12"/>
      <c r="E246" s="12"/>
      <c r="F246" s="17" t="s">
        <v>227</v>
      </c>
      <c r="G246" s="18">
        <v>1.2</v>
      </c>
      <c r="H246" s="22"/>
      <c r="I246" s="22">
        <v>248.52</v>
      </c>
      <c r="J246" s="19">
        <v>16.12</v>
      </c>
      <c r="M246" s="20">
        <f>ROUND(ROUND(J246, 2)*I246, 2)</f>
        <v>4006.14</v>
      </c>
      <c r="P246" s="19">
        <v>16.11</v>
      </c>
      <c r="S246" s="20">
        <f>ROUND(ROUND(P246, 2)*I246, 2)</f>
        <v>4003.66</v>
      </c>
      <c r="V246" s="9">
        <f>ROUND(ROUND(P246, 2)/1.2, 2)</f>
        <v>13.43</v>
      </c>
      <c r="Y246" s="9">
        <f t="shared" si="12"/>
        <v>3336.38</v>
      </c>
      <c r="AD246" s="4" t="s">
        <v>808</v>
      </c>
      <c r="AE246" s="4" t="s">
        <v>809</v>
      </c>
      <c r="AF246" s="4" t="s">
        <v>668</v>
      </c>
    </row>
    <row r="247" spans="1:35" ht="90" x14ac:dyDescent="0.3">
      <c r="A247" s="10" t="s">
        <v>810</v>
      </c>
      <c r="B247" s="10"/>
      <c r="C247" s="16" t="s">
        <v>670</v>
      </c>
      <c r="D247" s="12"/>
      <c r="E247" s="12" t="s">
        <v>811</v>
      </c>
      <c r="F247" s="17" t="s">
        <v>59</v>
      </c>
      <c r="G247" s="18">
        <v>1.2</v>
      </c>
      <c r="H247" s="22"/>
      <c r="I247" s="22">
        <v>248.52</v>
      </c>
      <c r="J247" s="19">
        <v>2021.26</v>
      </c>
      <c r="M247" s="20">
        <f>ROUND(ROUND(J247, 2)*I247, 2)</f>
        <v>502323.54</v>
      </c>
      <c r="P247" s="19">
        <v>1630.9</v>
      </c>
      <c r="S247" s="20">
        <f>ROUND(ROUND(P247, 2)*I247, 2)</f>
        <v>405311.27</v>
      </c>
      <c r="V247" s="9">
        <f>ROUND(ROUND(P247, 2)/1.2, 2)</f>
        <v>1359.08</v>
      </c>
      <c r="Y247" s="9">
        <f t="shared" si="12"/>
        <v>337759.39</v>
      </c>
      <c r="AD247" s="4" t="s">
        <v>812</v>
      </c>
      <c r="AE247" s="4" t="s">
        <v>813</v>
      </c>
      <c r="AF247" s="4" t="s">
        <v>673</v>
      </c>
    </row>
    <row r="248" spans="1:35" ht="36" x14ac:dyDescent="0.3">
      <c r="A248" s="10" t="s">
        <v>814</v>
      </c>
      <c r="B248" s="10"/>
      <c r="C248" s="16" t="s">
        <v>637</v>
      </c>
      <c r="D248" s="12"/>
      <c r="E248" s="12"/>
      <c r="F248" s="17" t="s">
        <v>227</v>
      </c>
      <c r="G248" s="18">
        <v>0.25</v>
      </c>
      <c r="H248" s="22"/>
      <c r="I248" s="22">
        <v>51.774999999999999</v>
      </c>
      <c r="J248" s="19">
        <v>40.270000000000003</v>
      </c>
      <c r="M248" s="20">
        <f>ROUND(ROUND(J248, 2)*I248, 2)</f>
        <v>2084.98</v>
      </c>
      <c r="P248" s="19">
        <v>40.270000000000003</v>
      </c>
      <c r="S248" s="20">
        <f>ROUND(ROUND(P248, 2)*I248, 2)</f>
        <v>2084.98</v>
      </c>
      <c r="V248" s="9">
        <f>ROUND(ROUND(P248, 2)/1.2, 2)</f>
        <v>33.56</v>
      </c>
      <c r="Y248" s="9">
        <f t="shared" si="12"/>
        <v>1737.48</v>
      </c>
      <c r="AD248" s="4" t="s">
        <v>815</v>
      </c>
      <c r="AE248" s="4" t="s">
        <v>816</v>
      </c>
      <c r="AF248" s="4" t="s">
        <v>640</v>
      </c>
    </row>
    <row r="249" spans="1:35" ht="36" x14ac:dyDescent="0.3">
      <c r="A249" s="10" t="s">
        <v>817</v>
      </c>
      <c r="B249" s="10"/>
      <c r="C249" s="16" t="s">
        <v>552</v>
      </c>
      <c r="D249" s="12"/>
      <c r="E249" s="12"/>
      <c r="F249" s="17" t="s">
        <v>227</v>
      </c>
      <c r="G249" s="18">
        <v>0.15</v>
      </c>
      <c r="H249" s="18"/>
      <c r="I249" s="18">
        <v>31.065000000000001</v>
      </c>
      <c r="J249" s="19">
        <v>88.8</v>
      </c>
      <c r="M249" s="20">
        <f>ROUND(ROUND(J249, 2)*I249, 2)</f>
        <v>2758.57</v>
      </c>
      <c r="P249" s="19">
        <v>88.8</v>
      </c>
      <c r="S249" s="20">
        <f>ROUND(ROUND(P249, 2)*I249, 2)</f>
        <v>2758.57</v>
      </c>
      <c r="V249" s="9">
        <f>ROUND(ROUND(P249, 2)/1.2, 2)</f>
        <v>74</v>
      </c>
      <c r="Y249" s="9">
        <f t="shared" si="12"/>
        <v>2298.81</v>
      </c>
      <c r="AD249" s="4" t="s">
        <v>818</v>
      </c>
      <c r="AE249" s="4" t="s">
        <v>819</v>
      </c>
      <c r="AF249" s="4" t="s">
        <v>555</v>
      </c>
    </row>
    <row r="250" spans="1:35" ht="54" x14ac:dyDescent="0.3">
      <c r="A250" s="10" t="s">
        <v>820</v>
      </c>
      <c r="B250" s="10" t="s">
        <v>660</v>
      </c>
      <c r="C250" s="11" t="s">
        <v>661</v>
      </c>
      <c r="D250" s="12"/>
      <c r="E250" s="12" t="s">
        <v>821</v>
      </c>
      <c r="F250" s="12" t="s">
        <v>59</v>
      </c>
      <c r="G250" s="13">
        <v>1</v>
      </c>
      <c r="H250" s="13"/>
      <c r="I250" s="13">
        <v>207.5</v>
      </c>
      <c r="J250" s="14">
        <v>2468.2399999999998</v>
      </c>
      <c r="K250" s="15">
        <v>2785</v>
      </c>
      <c r="L250" s="14">
        <f>J250+ROUND(K250, 2)</f>
        <v>5253.24</v>
      </c>
      <c r="M250" s="14">
        <v>512159.8</v>
      </c>
      <c r="N250" s="14">
        <v>577887.5</v>
      </c>
      <c r="O250" s="14">
        <f>M250+N250</f>
        <v>1090047.3</v>
      </c>
      <c r="P250" s="14">
        <v>1999.8</v>
      </c>
      <c r="Q250" s="15">
        <v>4177.5</v>
      </c>
      <c r="R250" s="14">
        <f>P250+ROUND(Q250, 2)</f>
        <v>6177.3</v>
      </c>
      <c r="S250" s="14">
        <v>414958.5</v>
      </c>
      <c r="T250" s="14">
        <v>866831.25</v>
      </c>
      <c r="U250" s="14">
        <f>S250+T250</f>
        <v>1281789.75</v>
      </c>
      <c r="V250" s="9">
        <f>ROUND(P250 / 1.2, 2)</f>
        <v>1666.5</v>
      </c>
      <c r="W250" s="9">
        <f>ROUND(Q250 / 1.2, 2)</f>
        <v>3481.25</v>
      </c>
      <c r="X250" s="9">
        <f>ROUND(R250 / 1.2, 2)</f>
        <v>5147.75</v>
      </c>
      <c r="Y250" s="9">
        <f t="shared" si="12"/>
        <v>345798.75</v>
      </c>
      <c r="Z250" s="9">
        <f>ROUND(T250 / 1.2, 2)</f>
        <v>722359.38</v>
      </c>
      <c r="AA250" s="9">
        <f>Y250+Z250</f>
        <v>1068158.1299999999</v>
      </c>
      <c r="AD250" s="4">
        <v>315889965</v>
      </c>
      <c r="AE250" s="4">
        <v>27245770</v>
      </c>
      <c r="AG250" s="4" t="s">
        <v>662</v>
      </c>
      <c r="AH250" s="4" t="s">
        <v>663</v>
      </c>
      <c r="AI250" s="4" t="s">
        <v>224</v>
      </c>
    </row>
    <row r="251" spans="1:35" ht="36" x14ac:dyDescent="0.3">
      <c r="A251" s="10" t="s">
        <v>822</v>
      </c>
      <c r="B251" s="10"/>
      <c r="C251" s="16" t="s">
        <v>552</v>
      </c>
      <c r="D251" s="12"/>
      <c r="E251" s="12"/>
      <c r="F251" s="17" t="s">
        <v>227</v>
      </c>
      <c r="G251" s="18">
        <v>0.15</v>
      </c>
      <c r="H251" s="18"/>
      <c r="I251" s="18">
        <v>31.125</v>
      </c>
      <c r="J251" s="19">
        <v>88.8</v>
      </c>
      <c r="M251" s="20">
        <f>ROUND(ROUND(J251, 2)*I251, 2)</f>
        <v>2763.9</v>
      </c>
      <c r="P251" s="19">
        <v>88.8</v>
      </c>
      <c r="S251" s="20">
        <f>ROUND(ROUND(P251, 2)*I251, 2)</f>
        <v>2763.9</v>
      </c>
      <c r="V251" s="9">
        <f>ROUND(ROUND(P251, 2)/1.2, 2)</f>
        <v>74</v>
      </c>
      <c r="Y251" s="9">
        <f t="shared" si="12"/>
        <v>2303.25</v>
      </c>
      <c r="AD251" s="4" t="s">
        <v>823</v>
      </c>
      <c r="AE251" s="4" t="s">
        <v>824</v>
      </c>
      <c r="AF251" s="4" t="s">
        <v>555</v>
      </c>
    </row>
    <row r="252" spans="1:35" ht="36" x14ac:dyDescent="0.3">
      <c r="A252" s="10" t="s">
        <v>825</v>
      </c>
      <c r="B252" s="10"/>
      <c r="C252" s="16" t="s">
        <v>637</v>
      </c>
      <c r="D252" s="12"/>
      <c r="E252" s="12"/>
      <c r="F252" s="17" t="s">
        <v>227</v>
      </c>
      <c r="G252" s="18">
        <v>0.25</v>
      </c>
      <c r="H252" s="22"/>
      <c r="I252" s="22">
        <v>51.875</v>
      </c>
      <c r="J252" s="19">
        <v>40.270000000000003</v>
      </c>
      <c r="M252" s="20">
        <f>ROUND(ROUND(J252, 2)*I252, 2)</f>
        <v>2089.0100000000002</v>
      </c>
      <c r="P252" s="19">
        <v>40.270000000000003</v>
      </c>
      <c r="S252" s="20">
        <f>ROUND(ROUND(P252, 2)*I252, 2)</f>
        <v>2089.0100000000002</v>
      </c>
      <c r="V252" s="9">
        <f>ROUND(ROUND(P252, 2)/1.2, 2)</f>
        <v>33.56</v>
      </c>
      <c r="Y252" s="9">
        <f t="shared" si="12"/>
        <v>1740.84</v>
      </c>
      <c r="AD252" s="4" t="s">
        <v>826</v>
      </c>
      <c r="AE252" s="4" t="s">
        <v>827</v>
      </c>
      <c r="AF252" s="4" t="s">
        <v>640</v>
      </c>
    </row>
    <row r="253" spans="1:35" ht="90" x14ac:dyDescent="0.3">
      <c r="A253" s="10" t="s">
        <v>828</v>
      </c>
      <c r="B253" s="10"/>
      <c r="C253" s="16" t="s">
        <v>670</v>
      </c>
      <c r="D253" s="12"/>
      <c r="E253" s="12" t="s">
        <v>829</v>
      </c>
      <c r="F253" s="17" t="s">
        <v>59</v>
      </c>
      <c r="G253" s="18">
        <v>1.2</v>
      </c>
      <c r="H253" s="22"/>
      <c r="I253" s="22">
        <v>249</v>
      </c>
      <c r="J253" s="19">
        <v>2021.26</v>
      </c>
      <c r="M253" s="20">
        <f>ROUND(ROUND(J253, 2)*I253, 2)</f>
        <v>503293.74</v>
      </c>
      <c r="P253" s="19">
        <v>1630.9</v>
      </c>
      <c r="S253" s="20">
        <f>ROUND(ROUND(P253, 2)*I253, 2)</f>
        <v>406094.1</v>
      </c>
      <c r="V253" s="9">
        <f>ROUND(ROUND(P253, 2)/1.2, 2)</f>
        <v>1359.08</v>
      </c>
      <c r="Y253" s="9">
        <f t="shared" si="12"/>
        <v>338411.75</v>
      </c>
      <c r="AD253" s="4" t="s">
        <v>830</v>
      </c>
      <c r="AE253" s="4" t="s">
        <v>831</v>
      </c>
      <c r="AF253" s="4" t="s">
        <v>673</v>
      </c>
    </row>
    <row r="254" spans="1:35" ht="36" x14ac:dyDescent="0.3">
      <c r="A254" s="10" t="s">
        <v>832</v>
      </c>
      <c r="B254" s="10"/>
      <c r="C254" s="21" t="s">
        <v>665</v>
      </c>
      <c r="D254" s="12"/>
      <c r="E254" s="12"/>
      <c r="F254" s="17" t="s">
        <v>227</v>
      </c>
      <c r="G254" s="18">
        <v>1.2</v>
      </c>
      <c r="H254" s="22"/>
      <c r="I254" s="22">
        <v>249</v>
      </c>
      <c r="J254" s="19">
        <v>16.12</v>
      </c>
      <c r="M254" s="20">
        <f>ROUND(ROUND(J254, 2)*I254, 2)</f>
        <v>4013.88</v>
      </c>
      <c r="P254" s="19">
        <v>16.11</v>
      </c>
      <c r="S254" s="20">
        <f>ROUND(ROUND(P254, 2)*I254, 2)</f>
        <v>4011.39</v>
      </c>
      <c r="V254" s="9">
        <f>ROUND(ROUND(P254, 2)/1.2, 2)</f>
        <v>13.43</v>
      </c>
      <c r="Y254" s="9">
        <f t="shared" si="12"/>
        <v>3342.83</v>
      </c>
      <c r="AD254" s="4" t="s">
        <v>833</v>
      </c>
      <c r="AE254" s="4" t="s">
        <v>834</v>
      </c>
      <c r="AF254" s="4" t="s">
        <v>668</v>
      </c>
    </row>
    <row r="255" spans="1:35" ht="16.95" customHeight="1" x14ac:dyDescent="0.3">
      <c r="A255" s="10" t="s">
        <v>835</v>
      </c>
      <c r="B255" s="10" t="s">
        <v>836</v>
      </c>
      <c r="C255" s="47" t="s">
        <v>837</v>
      </c>
      <c r="D255" s="48"/>
      <c r="E255" s="48"/>
      <c r="F255" s="48"/>
      <c r="G255" s="48"/>
      <c r="H255" s="48"/>
      <c r="I255" s="49"/>
      <c r="M255" s="6">
        <f>SUM(M256,M258)</f>
        <v>329650</v>
      </c>
      <c r="N255" s="6">
        <f>SUM(N256,N258)</f>
        <v>29009.200000000001</v>
      </c>
      <c r="O255" s="6">
        <f>SUM(O256,O258)</f>
        <v>358659.2</v>
      </c>
      <c r="S255" s="6">
        <f>SUM(S256,S258)</f>
        <v>329650</v>
      </c>
      <c r="T255" s="6">
        <f>SUM(T256,T258)</f>
        <v>43513.8</v>
      </c>
      <c r="U255" s="6">
        <f>SUM(U256,U258)</f>
        <v>373163.8</v>
      </c>
      <c r="Y255" s="9">
        <f>SUM(Y256,Y258)</f>
        <v>274708.33</v>
      </c>
      <c r="Z255" s="9">
        <f>SUM(Z256,Z258)</f>
        <v>36261.5</v>
      </c>
      <c r="AA255" s="9">
        <f>SUM(AA256,AA258)</f>
        <v>310969.83</v>
      </c>
      <c r="AD255" s="4">
        <v>315889966</v>
      </c>
      <c r="AE255" s="4">
        <v>27245717</v>
      </c>
    </row>
    <row r="256" spans="1:35" ht="18" x14ac:dyDescent="0.3">
      <c r="A256" s="10" t="s">
        <v>838</v>
      </c>
      <c r="B256" s="10" t="s">
        <v>839</v>
      </c>
      <c r="C256" s="11" t="s">
        <v>840</v>
      </c>
      <c r="D256" s="12"/>
      <c r="E256" s="12"/>
      <c r="F256" s="12" t="s">
        <v>59</v>
      </c>
      <c r="G256" s="13">
        <v>1</v>
      </c>
      <c r="H256" s="13"/>
      <c r="I256" s="13">
        <v>0</v>
      </c>
      <c r="J256" s="14">
        <v>0</v>
      </c>
      <c r="K256" s="15">
        <v>836</v>
      </c>
      <c r="L256" s="14">
        <f>J256+ROUND(K256, 2)</f>
        <v>836</v>
      </c>
      <c r="M256" s="14">
        <v>0</v>
      </c>
      <c r="N256" s="14">
        <v>0</v>
      </c>
      <c r="O256" s="14">
        <f>M256+N256</f>
        <v>0</v>
      </c>
      <c r="P256" s="14">
        <v>9500</v>
      </c>
      <c r="Q256" s="15">
        <v>836</v>
      </c>
      <c r="R256" s="14">
        <f>P256+ROUND(Q256, 2)</f>
        <v>10336</v>
      </c>
      <c r="S256" s="14">
        <v>0</v>
      </c>
      <c r="T256" s="14">
        <v>0</v>
      </c>
      <c r="U256" s="14">
        <f>S256+T256</f>
        <v>0</v>
      </c>
      <c r="V256" s="9">
        <f>ROUND(P256 / 1.2, 2)</f>
        <v>7916.67</v>
      </c>
      <c r="W256" s="9">
        <f>ROUND(Q256 / 1.2, 2)</f>
        <v>696.67</v>
      </c>
      <c r="X256" s="9">
        <f>ROUND(R256 / 1.2, 2)</f>
        <v>8613.33</v>
      </c>
      <c r="Y256" s="9">
        <f>ROUND(S256 / 1.2, 2)</f>
        <v>0</v>
      </c>
      <c r="Z256" s="9">
        <f>ROUND(T256 / 1.2, 2)</f>
        <v>0</v>
      </c>
      <c r="AA256" s="9">
        <f>Y256+Z256</f>
        <v>0</v>
      </c>
      <c r="AD256" s="4">
        <v>315889968</v>
      </c>
      <c r="AE256" s="4">
        <v>27245597</v>
      </c>
      <c r="AG256" s="4" t="s">
        <v>841</v>
      </c>
      <c r="AH256" s="4" t="s">
        <v>842</v>
      </c>
      <c r="AI256" s="4" t="s">
        <v>224</v>
      </c>
    </row>
    <row r="257" spans="1:35" ht="18" x14ac:dyDescent="0.3">
      <c r="A257" s="10" t="s">
        <v>843</v>
      </c>
      <c r="B257" s="10"/>
      <c r="C257" s="16" t="s">
        <v>844</v>
      </c>
      <c r="D257" s="12"/>
      <c r="E257" s="12"/>
      <c r="F257" s="17" t="s">
        <v>59</v>
      </c>
      <c r="G257" s="18">
        <v>1</v>
      </c>
      <c r="H257" s="18"/>
      <c r="I257" s="18">
        <v>0</v>
      </c>
      <c r="J257" s="19">
        <v>9500</v>
      </c>
      <c r="M257" s="20">
        <f>ROUND(ROUND(J257, 2)*I257, 2)</f>
        <v>0</v>
      </c>
      <c r="P257" s="19">
        <v>9500</v>
      </c>
      <c r="S257" s="20">
        <f>ROUND(ROUND(P257, 2)*I257, 2)</f>
        <v>0</v>
      </c>
      <c r="V257" s="9">
        <f>ROUND(ROUND(P257, 2)/1.2, 2)</f>
        <v>7916.67</v>
      </c>
      <c r="Y257" s="9">
        <f>ROUND(S257 / 1.2, 2)</f>
        <v>0</v>
      </c>
      <c r="AD257" s="4" t="s">
        <v>845</v>
      </c>
      <c r="AE257" s="4" t="s">
        <v>846</v>
      </c>
      <c r="AF257" s="4" t="s">
        <v>847</v>
      </c>
    </row>
    <row r="258" spans="1:35" ht="18" x14ac:dyDescent="0.3">
      <c r="A258" s="10" t="s">
        <v>848</v>
      </c>
      <c r="B258" s="10" t="s">
        <v>839</v>
      </c>
      <c r="C258" s="11" t="s">
        <v>840</v>
      </c>
      <c r="D258" s="12"/>
      <c r="E258" s="12" t="s">
        <v>849</v>
      </c>
      <c r="F258" s="12" t="s">
        <v>59</v>
      </c>
      <c r="G258" s="13">
        <v>1</v>
      </c>
      <c r="H258" s="13"/>
      <c r="I258" s="13">
        <v>34.700000000000003</v>
      </c>
      <c r="J258" s="14">
        <v>9500</v>
      </c>
      <c r="K258" s="15">
        <v>836</v>
      </c>
      <c r="L258" s="14">
        <f>J258+ROUND(K258, 2)</f>
        <v>10336</v>
      </c>
      <c r="M258" s="14">
        <v>329650</v>
      </c>
      <c r="N258" s="14">
        <v>29009.200000000001</v>
      </c>
      <c r="O258" s="14">
        <f>M258+N258</f>
        <v>358659.2</v>
      </c>
      <c r="P258" s="14">
        <v>9500</v>
      </c>
      <c r="Q258" s="15">
        <v>1254</v>
      </c>
      <c r="R258" s="14">
        <f>P258+ROUND(Q258, 2)</f>
        <v>10754</v>
      </c>
      <c r="S258" s="14">
        <v>329650</v>
      </c>
      <c r="T258" s="14">
        <v>43513.8</v>
      </c>
      <c r="U258" s="14">
        <f>S258+T258</f>
        <v>373163.8</v>
      </c>
      <c r="V258" s="9">
        <f>ROUND(P258 / 1.2, 2)</f>
        <v>7916.67</v>
      </c>
      <c r="W258" s="9">
        <f>ROUND(Q258 / 1.2, 2)</f>
        <v>1045</v>
      </c>
      <c r="X258" s="9">
        <f>ROUND(R258 / 1.2, 2)</f>
        <v>8961.67</v>
      </c>
      <c r="Y258" s="9">
        <f>ROUND(S258 / 1.2, 2)</f>
        <v>274708.33</v>
      </c>
      <c r="Z258" s="9">
        <f>ROUND(T258 / 1.2, 2)</f>
        <v>36261.5</v>
      </c>
      <c r="AA258" s="9">
        <f>Y258+Z258</f>
        <v>310969.83</v>
      </c>
      <c r="AD258" s="4">
        <v>315889969</v>
      </c>
      <c r="AE258" s="4">
        <v>27245728</v>
      </c>
      <c r="AG258" s="4" t="s">
        <v>841</v>
      </c>
      <c r="AH258" s="4" t="s">
        <v>842</v>
      </c>
      <c r="AI258" s="4" t="s">
        <v>224</v>
      </c>
    </row>
    <row r="259" spans="1:35" ht="108" x14ac:dyDescent="0.3">
      <c r="A259" s="10" t="s">
        <v>850</v>
      </c>
      <c r="B259" s="10"/>
      <c r="C259" s="16" t="s">
        <v>844</v>
      </c>
      <c r="D259" s="12"/>
      <c r="E259" s="12" t="s">
        <v>851</v>
      </c>
      <c r="F259" s="17" t="s">
        <v>59</v>
      </c>
      <c r="G259" s="18">
        <v>1</v>
      </c>
      <c r="H259" s="18"/>
      <c r="I259" s="18">
        <v>34.700000000000003</v>
      </c>
      <c r="J259" s="19">
        <v>9500</v>
      </c>
      <c r="M259" s="20">
        <f>ROUND(ROUND(J259, 2)*I259, 2)</f>
        <v>329650</v>
      </c>
      <c r="P259" s="19">
        <v>9500</v>
      </c>
      <c r="S259" s="20">
        <f>ROUND(ROUND(P259, 2)*I259, 2)</f>
        <v>329650</v>
      </c>
      <c r="V259" s="9">
        <f>ROUND(ROUND(P259, 2)/1.2, 2)</f>
        <v>7916.67</v>
      </c>
      <c r="Y259" s="9">
        <f>ROUND(S259 / 1.2, 2)</f>
        <v>274708.33</v>
      </c>
      <c r="AD259" s="4" t="s">
        <v>852</v>
      </c>
      <c r="AE259" s="4" t="s">
        <v>853</v>
      </c>
      <c r="AF259" s="4" t="s">
        <v>847</v>
      </c>
    </row>
    <row r="260" spans="1:35" ht="16.95" customHeight="1" x14ac:dyDescent="0.3">
      <c r="A260" s="10" t="s">
        <v>854</v>
      </c>
      <c r="B260" s="10" t="s">
        <v>855</v>
      </c>
      <c r="C260" s="47" t="s">
        <v>856</v>
      </c>
      <c r="D260" s="48"/>
      <c r="E260" s="48"/>
      <c r="F260" s="48"/>
      <c r="G260" s="48"/>
      <c r="H260" s="48"/>
      <c r="I260" s="49"/>
      <c r="M260" s="6">
        <f>SUM(M261,M268,M433)</f>
        <v>5802522.5599999996</v>
      </c>
      <c r="N260" s="6">
        <f>SUM(N261,N268,N433)</f>
        <v>9178574.6999999993</v>
      </c>
      <c r="O260" s="6">
        <f>SUM(O261,O268,O433)</f>
        <v>14981097.260000002</v>
      </c>
      <c r="S260" s="6">
        <f>SUM(S261,S268,S433)</f>
        <v>3503673.5000000005</v>
      </c>
      <c r="T260" s="6">
        <f>SUM(T261,T268,T433)</f>
        <v>13767862.050000001</v>
      </c>
      <c r="U260" s="6">
        <f>SUM(U261,U268,U433)</f>
        <v>17271535.549999997</v>
      </c>
      <c r="Y260" s="9">
        <f>SUM(Y261,Y268,Y433)</f>
        <v>2919727.95</v>
      </c>
      <c r="Z260" s="9">
        <f>SUM(Z261,Z268,Z433)</f>
        <v>11473218.390000002</v>
      </c>
      <c r="AA260" s="9">
        <f>SUM(AA261,AA268,AA433)</f>
        <v>14392946.340000004</v>
      </c>
      <c r="AD260" s="4">
        <v>315889970</v>
      </c>
      <c r="AE260" s="4">
        <v>27245606</v>
      </c>
    </row>
    <row r="261" spans="1:35" ht="16.95" customHeight="1" x14ac:dyDescent="0.3">
      <c r="A261" s="10" t="s">
        <v>857</v>
      </c>
      <c r="B261" s="10" t="s">
        <v>858</v>
      </c>
      <c r="C261" s="47" t="s">
        <v>859</v>
      </c>
      <c r="D261" s="48"/>
      <c r="E261" s="48"/>
      <c r="F261" s="48"/>
      <c r="G261" s="48"/>
      <c r="H261" s="48"/>
      <c r="I261" s="49"/>
      <c r="M261" s="6">
        <f>SUM(M262,M265)</f>
        <v>1902.81</v>
      </c>
      <c r="N261" s="6">
        <f>SUM(N262,N265)</f>
        <v>80682</v>
      </c>
      <c r="O261" s="6">
        <f>SUM(O262,O265)</f>
        <v>82584.81</v>
      </c>
      <c r="S261" s="6">
        <f>SUM(S262,S265)</f>
        <v>1902.81</v>
      </c>
      <c r="T261" s="6">
        <f>SUM(T262,T265)</f>
        <v>121023</v>
      </c>
      <c r="U261" s="6">
        <f>SUM(U262,U265)</f>
        <v>122925.81</v>
      </c>
      <c r="Y261" s="9">
        <f>SUM(Y262,Y265)</f>
        <v>1585.68</v>
      </c>
      <c r="Z261" s="9">
        <f>SUM(Z262,Z265)</f>
        <v>100852.5</v>
      </c>
      <c r="AA261" s="9">
        <f>SUM(AA262,AA265)</f>
        <v>102438.18</v>
      </c>
      <c r="AD261" s="4">
        <v>315889971</v>
      </c>
      <c r="AE261" s="4">
        <v>27245641</v>
      </c>
    </row>
    <row r="262" spans="1:35" ht="36" x14ac:dyDescent="0.3">
      <c r="A262" s="10" t="s">
        <v>860</v>
      </c>
      <c r="B262" s="10" t="s">
        <v>861</v>
      </c>
      <c r="C262" s="11" t="s">
        <v>862</v>
      </c>
      <c r="D262" s="12"/>
      <c r="E262" s="12"/>
      <c r="F262" s="12" t="s">
        <v>308</v>
      </c>
      <c r="G262" s="13">
        <v>1</v>
      </c>
      <c r="H262" s="13"/>
      <c r="I262" s="13">
        <v>0</v>
      </c>
      <c r="J262" s="14">
        <v>0</v>
      </c>
      <c r="K262" s="15">
        <v>226</v>
      </c>
      <c r="L262" s="14">
        <f>J262+ROUND(K262, 2)</f>
        <v>226</v>
      </c>
      <c r="M262" s="14">
        <v>0</v>
      </c>
      <c r="N262" s="14">
        <v>0</v>
      </c>
      <c r="O262" s="14">
        <f>M262+N262</f>
        <v>0</v>
      </c>
      <c r="P262" s="14">
        <v>5.33</v>
      </c>
      <c r="Q262" s="15">
        <v>226</v>
      </c>
      <c r="R262" s="14">
        <f>P262+ROUND(Q262, 2)</f>
        <v>231.33</v>
      </c>
      <c r="S262" s="14">
        <v>0</v>
      </c>
      <c r="T262" s="14">
        <v>0</v>
      </c>
      <c r="U262" s="14">
        <f>S262+T262</f>
        <v>0</v>
      </c>
      <c r="V262" s="9">
        <f>ROUND(P262 / 1.2, 2)</f>
        <v>4.4400000000000004</v>
      </c>
      <c r="W262" s="9">
        <f>ROUND(Q262 / 1.2, 2)</f>
        <v>188.33</v>
      </c>
      <c r="X262" s="9">
        <f>ROUND(R262 / 1.2, 2)</f>
        <v>192.78</v>
      </c>
      <c r="Y262" s="9">
        <f>ROUND(S262 / 1.2, 2)</f>
        <v>0</v>
      </c>
      <c r="Z262" s="9">
        <f>ROUND(T262 / 1.2, 2)</f>
        <v>0</v>
      </c>
      <c r="AA262" s="9">
        <f>Y262+Z262</f>
        <v>0</v>
      </c>
      <c r="AD262" s="4">
        <v>315889973</v>
      </c>
      <c r="AE262" s="4">
        <v>27245599</v>
      </c>
      <c r="AG262" s="4" t="s">
        <v>863</v>
      </c>
      <c r="AH262" s="4" t="s">
        <v>864</v>
      </c>
      <c r="AI262" s="4" t="s">
        <v>224</v>
      </c>
    </row>
    <row r="263" spans="1:35" ht="18" x14ac:dyDescent="0.3">
      <c r="A263" s="10" t="s">
        <v>865</v>
      </c>
      <c r="B263" s="10"/>
      <c r="C263" s="16" t="s">
        <v>866</v>
      </c>
      <c r="D263" s="12"/>
      <c r="E263" s="12"/>
      <c r="F263" s="17" t="s">
        <v>867</v>
      </c>
      <c r="G263" s="18">
        <v>1E-3</v>
      </c>
      <c r="H263" s="22"/>
      <c r="I263" s="22">
        <v>0</v>
      </c>
      <c r="J263" s="19">
        <v>2800</v>
      </c>
      <c r="M263" s="20">
        <f>ROUND(ROUND(J263, 2)*I263, 2)</f>
        <v>0</v>
      </c>
      <c r="P263" s="19">
        <v>2800</v>
      </c>
      <c r="S263" s="20">
        <f>ROUND(ROUND(P263, 2)*I263, 2)</f>
        <v>0</v>
      </c>
      <c r="V263" s="9">
        <f>ROUND(ROUND(P263, 2)/1.2, 2)</f>
        <v>2333.33</v>
      </c>
      <c r="Y263" s="9">
        <f>ROUND(S263 / 1.2, 2)</f>
        <v>0</v>
      </c>
      <c r="AD263" s="4" t="s">
        <v>868</v>
      </c>
      <c r="AE263" s="4" t="s">
        <v>869</v>
      </c>
      <c r="AF263" s="4" t="s">
        <v>870</v>
      </c>
    </row>
    <row r="264" spans="1:35" ht="18" x14ac:dyDescent="0.3">
      <c r="A264" s="10" t="s">
        <v>871</v>
      </c>
      <c r="B264" s="10"/>
      <c r="C264" s="16" t="s">
        <v>872</v>
      </c>
      <c r="D264" s="12"/>
      <c r="E264" s="12"/>
      <c r="F264" s="17" t="s">
        <v>227</v>
      </c>
      <c r="G264" s="18">
        <v>0.41</v>
      </c>
      <c r="H264" s="22"/>
      <c r="I264" s="22">
        <v>0</v>
      </c>
      <c r="J264" s="19">
        <v>6.17</v>
      </c>
      <c r="M264" s="20">
        <f>ROUND(ROUND(J264, 2)*I264, 2)</f>
        <v>0</v>
      </c>
      <c r="P264" s="19">
        <v>6.17</v>
      </c>
      <c r="S264" s="20">
        <f>ROUND(ROUND(P264, 2)*I264, 2)</f>
        <v>0</v>
      </c>
      <c r="V264" s="9">
        <f>ROUND(ROUND(P264, 2)/1.2, 2)</f>
        <v>5.14</v>
      </c>
      <c r="Y264" s="9">
        <f>ROUND(S264 / 1.2, 2)</f>
        <v>0</v>
      </c>
      <c r="AD264" s="4" t="s">
        <v>873</v>
      </c>
      <c r="AE264" s="4" t="s">
        <v>874</v>
      </c>
      <c r="AF264" s="4" t="s">
        <v>875</v>
      </c>
    </row>
    <row r="265" spans="1:35" ht="36" x14ac:dyDescent="0.3">
      <c r="A265" s="10" t="s">
        <v>876</v>
      </c>
      <c r="B265" s="10" t="s">
        <v>861</v>
      </c>
      <c r="C265" s="11" t="s">
        <v>862</v>
      </c>
      <c r="D265" s="12"/>
      <c r="E265" s="12" t="s">
        <v>877</v>
      </c>
      <c r="F265" s="12" t="s">
        <v>308</v>
      </c>
      <c r="G265" s="13">
        <v>1</v>
      </c>
      <c r="H265" s="13"/>
      <c r="I265" s="13">
        <v>357</v>
      </c>
      <c r="J265" s="14">
        <v>5.33</v>
      </c>
      <c r="K265" s="15">
        <v>226</v>
      </c>
      <c r="L265" s="14">
        <f>J265+ROUND(K265, 2)</f>
        <v>231.33</v>
      </c>
      <c r="M265" s="14">
        <v>1902.81</v>
      </c>
      <c r="N265" s="14">
        <v>80682</v>
      </c>
      <c r="O265" s="14">
        <f>M265+N265</f>
        <v>82584.81</v>
      </c>
      <c r="P265" s="14">
        <v>5.33</v>
      </c>
      <c r="Q265" s="15">
        <v>339</v>
      </c>
      <c r="R265" s="14">
        <f>P265+ROUND(Q265, 2)</f>
        <v>344.33</v>
      </c>
      <c r="S265" s="14">
        <v>1902.81</v>
      </c>
      <c r="T265" s="14">
        <v>121023</v>
      </c>
      <c r="U265" s="14">
        <f>S265+T265</f>
        <v>122925.81</v>
      </c>
      <c r="V265" s="9">
        <f>ROUND(P265 / 1.2, 2)</f>
        <v>4.4400000000000004</v>
      </c>
      <c r="W265" s="9">
        <f>ROUND(Q265 / 1.2, 2)</f>
        <v>282.5</v>
      </c>
      <c r="X265" s="9">
        <f>ROUND(R265 / 1.2, 2)</f>
        <v>286.94</v>
      </c>
      <c r="Y265" s="9">
        <f>ROUND(S265 / 1.2, 2)</f>
        <v>1585.68</v>
      </c>
      <c r="Z265" s="9">
        <f>ROUND(T265 / 1.2, 2)</f>
        <v>100852.5</v>
      </c>
      <c r="AA265" s="9">
        <f>Y265+Z265</f>
        <v>102438.18</v>
      </c>
      <c r="AD265" s="4">
        <v>315889974</v>
      </c>
      <c r="AE265" s="4">
        <v>27245799</v>
      </c>
      <c r="AG265" s="4" t="s">
        <v>863</v>
      </c>
      <c r="AH265" s="4" t="s">
        <v>864</v>
      </c>
      <c r="AI265" s="4" t="s">
        <v>224</v>
      </c>
    </row>
    <row r="266" spans="1:35" ht="18" x14ac:dyDescent="0.3">
      <c r="A266" s="10" t="s">
        <v>878</v>
      </c>
      <c r="B266" s="10"/>
      <c r="C266" s="16" t="s">
        <v>872</v>
      </c>
      <c r="D266" s="12"/>
      <c r="E266" s="12"/>
      <c r="F266" s="17" t="s">
        <v>227</v>
      </c>
      <c r="G266" s="18">
        <v>0.41</v>
      </c>
      <c r="H266" s="22"/>
      <c r="I266" s="22">
        <v>146.37</v>
      </c>
      <c r="J266" s="19">
        <v>6.17</v>
      </c>
      <c r="M266" s="20">
        <f>ROUND(ROUND(J266, 2)*I266, 2)</f>
        <v>903.1</v>
      </c>
      <c r="P266" s="19">
        <v>6.17</v>
      </c>
      <c r="S266" s="20">
        <f>ROUND(ROUND(P266, 2)*I266, 2)</f>
        <v>903.1</v>
      </c>
      <c r="V266" s="9">
        <f>ROUND(ROUND(P266, 2)/1.2, 2)</f>
        <v>5.14</v>
      </c>
      <c r="Y266" s="9">
        <f>ROUND(S266 / 1.2, 2)</f>
        <v>752.58</v>
      </c>
      <c r="AD266" s="4" t="s">
        <v>879</v>
      </c>
      <c r="AE266" s="4" t="s">
        <v>880</v>
      </c>
      <c r="AF266" s="4" t="s">
        <v>875</v>
      </c>
    </row>
    <row r="267" spans="1:35" ht="18" x14ac:dyDescent="0.3">
      <c r="A267" s="10" t="s">
        <v>881</v>
      </c>
      <c r="B267" s="10"/>
      <c r="C267" s="16" t="s">
        <v>866</v>
      </c>
      <c r="D267" s="12"/>
      <c r="E267" s="12"/>
      <c r="F267" s="17" t="s">
        <v>867</v>
      </c>
      <c r="G267" s="18">
        <v>1E-3</v>
      </c>
      <c r="H267" s="22"/>
      <c r="I267" s="22">
        <v>0.35699999999999998</v>
      </c>
      <c r="J267" s="19">
        <v>2800</v>
      </c>
      <c r="M267" s="20">
        <f>ROUND(ROUND(J267, 2)*I267, 2)</f>
        <v>999.6</v>
      </c>
      <c r="P267" s="19">
        <v>2800</v>
      </c>
      <c r="S267" s="20">
        <f>ROUND(ROUND(P267, 2)*I267, 2)</f>
        <v>999.6</v>
      </c>
      <c r="V267" s="9">
        <f>ROUND(ROUND(P267, 2)/1.2, 2)</f>
        <v>2333.33</v>
      </c>
      <c r="Y267" s="9">
        <f>ROUND(S267 / 1.2, 2)</f>
        <v>833</v>
      </c>
      <c r="AD267" s="4" t="s">
        <v>882</v>
      </c>
      <c r="AE267" s="4" t="s">
        <v>883</v>
      </c>
      <c r="AF267" s="4" t="s">
        <v>870</v>
      </c>
    </row>
    <row r="268" spans="1:35" ht="16.95" customHeight="1" x14ac:dyDescent="0.3">
      <c r="A268" s="10" t="s">
        <v>884</v>
      </c>
      <c r="B268" s="10" t="s">
        <v>885</v>
      </c>
      <c r="C268" s="47" t="s">
        <v>886</v>
      </c>
      <c r="D268" s="48"/>
      <c r="E268" s="48"/>
      <c r="F268" s="48"/>
      <c r="G268" s="48"/>
      <c r="H268" s="48"/>
      <c r="I268" s="49"/>
      <c r="M268" s="6">
        <f>SUM(M269,M271,M273,M275,M277,M279,M281,M283,M285,M287,M289,M291,M293,M295,M297,M299,M301,M303,M305,M307,M309,M312,M315,M318,M321,M324,M327,M330,M333,M336,M339,M342,M345,M348,M351,M354,M357,M360,M363,M368,M373,M378,M383,M388,M393,M398,M403,M408,M413,M418,M423,M428)</f>
        <v>5506461.4500000002</v>
      </c>
      <c r="N268" s="6">
        <f>SUM(N269,N271,N273,N275,N277,N279,N281,N283,N285,N287,N289,N291,N293,N295,N297,N299,N301,N303,N305,N307,N309,N312,N315,N318,N321,N324,N327,N330,N333,N336,N339,N342,N345,N348,N351,N354,N357,N360,N363,N368,N373,N378,N383,N388,N393,N398,N403,N408,N413,N418,N423,N428)</f>
        <v>8393216</v>
      </c>
      <c r="O268" s="6">
        <f>SUM(O269,O271,O273,O275,O277,O279,O281,O283,O285,O287,O289,O291,O293,O295,O297,O299,O301,O303,O305,O307,O309,O312,O315,O318,O321,O324,O327,O330,O333,O336,O339,O342,O345,O348,O351,O354,O357,O360,O363,O368,O373,O378,O383,O388,O393,O398,O403,O408,O413,O418,O423,O428)</f>
        <v>13899677.450000001</v>
      </c>
      <c r="S268" s="6">
        <f>SUM(S269,S271,S273,S275,S277,S279,S281,S283,S285,S287,S289,S291,S293,S295,S297,S299,S301,S303,S305,S307,S309,S312,S315,S318,S321,S324,S327,S330,S333,S336,S339,S342,S345,S348,S351,S354,S357,S360,S363,S368,S373,S378,S383,S388,S393,S398,S403,S408,S413,S418,S423,S428)</f>
        <v>3090423.6700000004</v>
      </c>
      <c r="T268" s="6">
        <f>SUM(T269,T271,T273,T275,T277,T279,T281,T283,T285,T287,T289,T291,T293,T295,T297,T299,T301,T303,T305,T307,T309,T312,T315,T318,T321,T324,T327,T330,T333,T336,T339,T342,T345,T348,T351,T354,T357,T360,T363,T368,T373,T378,T383,T388,T393,T398,T403,T408,T413,T418,T423,T428)</f>
        <v>12589824</v>
      </c>
      <c r="U268" s="6">
        <f>SUM(U269,U271,U273,U275,U277,U279,U281,U283,U285,U287,U289,U291,U293,U295,U297,U299,U301,U303,U305,U307,U309,U312,U315,U318,U321,U324,U327,U330,U333,U336,U339,U342,U345,U348,U351,U354,U357,U360,U363,U368,U373,U378,U383,U388,U393,U398,U403,U408,U413,U418,U423,U428)</f>
        <v>15680247.669999998</v>
      </c>
      <c r="Y268" s="9">
        <f>SUM(Y269,Y271,Y273,Y275,Y277,Y279,Y281,Y283,Y285,Y287,Y289,Y291,Y293,Y295,Y297,Y299,Y301,Y303,Y305,Y307,Y309,Y312,Y315,Y318,Y321,Y324,Y327,Y330,Y333,Y336,Y339,Y342,Y345,Y348,Y351,Y354,Y357,Y360,Y363,Y368,Y373,Y378,Y383,Y388,Y393,Y398,Y403,Y408,Y413,Y418,Y423,Y428)</f>
        <v>2575353.08</v>
      </c>
      <c r="Z268" s="9">
        <f>SUM(Z269,Z271,Z273,Z275,Z277,Z279,Z281,Z283,Z285,Z287,Z289,Z291,Z293,Z295,Z297,Z299,Z301,Z303,Z305,Z307,Z309,Z312,Z315,Z318,Z321,Z324,Z327,Z330,Z333,Z336,Z339,Z342,Z345,Z348,Z351,Z354,Z357,Z360,Z363,Z368,Z373,Z378,Z383,Z388,Z393,Z398,Z403,Z408,Z413,Z418,Z423,Z428)</f>
        <v>10491520.010000002</v>
      </c>
      <c r="AA268" s="9">
        <f>SUM(AA269,AA271,AA273,AA275,AA277,AA279,AA281,AA283,AA285,AA287,AA289,AA291,AA293,AA295,AA297,AA299,AA301,AA303,AA305,AA307,AA309,AA312,AA315,AA318,AA321,AA324,AA327,AA330,AA333,AA336,AA339,AA342,AA345,AA348,AA351,AA354,AA357,AA360,AA363,AA368,AA373,AA378,AA383,AA388,AA393,AA398,AA403,AA408,AA413,AA418,AA423,AA428)</f>
        <v>13066873.090000004</v>
      </c>
      <c r="AD268" s="4">
        <v>315889975</v>
      </c>
      <c r="AE268" s="4">
        <v>27245711</v>
      </c>
    </row>
    <row r="269" spans="1:35" ht="18" x14ac:dyDescent="0.3">
      <c r="A269" s="10" t="s">
        <v>887</v>
      </c>
      <c r="B269" s="10" t="s">
        <v>888</v>
      </c>
      <c r="C269" s="11" t="s">
        <v>889</v>
      </c>
      <c r="D269" s="12"/>
      <c r="E269" s="12"/>
      <c r="F269" s="12" t="s">
        <v>59</v>
      </c>
      <c r="G269" s="13">
        <v>1</v>
      </c>
      <c r="H269" s="13"/>
      <c r="I269" s="13">
        <v>0</v>
      </c>
      <c r="J269" s="14">
        <v>0</v>
      </c>
      <c r="K269" s="15">
        <v>1010</v>
      </c>
      <c r="L269" s="14">
        <f>J269+ROUND(K269, 2)</f>
        <v>1010</v>
      </c>
      <c r="M269" s="14">
        <v>0</v>
      </c>
      <c r="N269" s="14">
        <v>0</v>
      </c>
      <c r="O269" s="14">
        <f>M269+N269</f>
        <v>0</v>
      </c>
      <c r="P269" s="14">
        <v>390</v>
      </c>
      <c r="Q269" s="15">
        <v>1010</v>
      </c>
      <c r="R269" s="14">
        <f>P269+ROUND(Q269, 2)</f>
        <v>1400</v>
      </c>
      <c r="S269" s="14">
        <v>0</v>
      </c>
      <c r="T269" s="14">
        <v>0</v>
      </c>
      <c r="U269" s="14">
        <f>S269+T269</f>
        <v>0</v>
      </c>
      <c r="V269" s="9">
        <f>ROUND(P269 / 1.2, 2)</f>
        <v>325</v>
      </c>
      <c r="W269" s="9">
        <f>ROUND(Q269 / 1.2, 2)</f>
        <v>841.67</v>
      </c>
      <c r="X269" s="9">
        <f>ROUND(R269 / 1.2, 2)</f>
        <v>1166.67</v>
      </c>
      <c r="Y269" s="9">
        <f>ROUND(S269 / 1.2, 2)</f>
        <v>0</v>
      </c>
      <c r="Z269" s="9">
        <f>ROUND(T269 / 1.2, 2)</f>
        <v>0</v>
      </c>
      <c r="AA269" s="9">
        <f>Y269+Z269</f>
        <v>0</v>
      </c>
      <c r="AD269" s="4">
        <v>315889977</v>
      </c>
      <c r="AE269" s="4">
        <v>27245674</v>
      </c>
      <c r="AG269" s="4" t="s">
        <v>890</v>
      </c>
      <c r="AH269" s="4" t="s">
        <v>891</v>
      </c>
      <c r="AI269" s="4" t="s">
        <v>224</v>
      </c>
    </row>
    <row r="270" spans="1:35" ht="36" x14ac:dyDescent="0.3">
      <c r="A270" s="10" t="s">
        <v>892</v>
      </c>
      <c r="B270" s="10"/>
      <c r="C270" s="16" t="s">
        <v>893</v>
      </c>
      <c r="D270" s="12"/>
      <c r="E270" s="12"/>
      <c r="F270" s="17" t="s">
        <v>308</v>
      </c>
      <c r="G270" s="18">
        <v>1.5</v>
      </c>
      <c r="H270" s="18"/>
      <c r="I270" s="18">
        <v>0</v>
      </c>
      <c r="J270" s="19">
        <v>260</v>
      </c>
      <c r="M270" s="20">
        <f>ROUND(ROUND(J270, 2)*I270, 2)</f>
        <v>0</v>
      </c>
      <c r="P270" s="19">
        <v>260</v>
      </c>
      <c r="S270" s="20">
        <f>ROUND(ROUND(P270, 2)*I270, 2)</f>
        <v>0</v>
      </c>
      <c r="V270" s="9">
        <f>ROUND(ROUND(P270, 2)/1.2, 2)</f>
        <v>216.67</v>
      </c>
      <c r="Y270" s="9">
        <f t="shared" ref="Y270:Y301" si="13">ROUND(S270 / 1.2, 2)</f>
        <v>0</v>
      </c>
      <c r="AD270" s="4" t="s">
        <v>894</v>
      </c>
      <c r="AE270" s="4" t="s">
        <v>895</v>
      </c>
      <c r="AF270" s="4" t="s">
        <v>896</v>
      </c>
    </row>
    <row r="271" spans="1:35" ht="18" x14ac:dyDescent="0.3">
      <c r="A271" s="10" t="s">
        <v>897</v>
      </c>
      <c r="B271" s="10" t="s">
        <v>888</v>
      </c>
      <c r="C271" s="11" t="s">
        <v>889</v>
      </c>
      <c r="D271" s="12"/>
      <c r="E271" s="12"/>
      <c r="F271" s="12" t="s">
        <v>59</v>
      </c>
      <c r="G271" s="13">
        <v>1</v>
      </c>
      <c r="H271" s="13"/>
      <c r="I271" s="13">
        <v>0</v>
      </c>
      <c r="J271" s="14">
        <v>0</v>
      </c>
      <c r="K271" s="15">
        <v>1010</v>
      </c>
      <c r="L271" s="14">
        <f>J271+ROUND(K271, 2)</f>
        <v>1010</v>
      </c>
      <c r="M271" s="14">
        <v>0</v>
      </c>
      <c r="N271" s="14">
        <v>0</v>
      </c>
      <c r="O271" s="14">
        <f>M271+N271</f>
        <v>0</v>
      </c>
      <c r="P271" s="14">
        <v>390</v>
      </c>
      <c r="Q271" s="15">
        <v>1010</v>
      </c>
      <c r="R271" s="14">
        <f>P271+ROUND(Q271, 2)</f>
        <v>1400</v>
      </c>
      <c r="S271" s="14">
        <v>0</v>
      </c>
      <c r="T271" s="14">
        <v>0</v>
      </c>
      <c r="U271" s="14">
        <f>S271+T271</f>
        <v>0</v>
      </c>
      <c r="V271" s="9">
        <f>ROUND(P271 / 1.2, 2)</f>
        <v>325</v>
      </c>
      <c r="W271" s="9">
        <f>ROUND(Q271 / 1.2, 2)</f>
        <v>841.67</v>
      </c>
      <c r="X271" s="9">
        <f>ROUND(R271 / 1.2, 2)</f>
        <v>1166.67</v>
      </c>
      <c r="Y271" s="9">
        <f t="shared" si="13"/>
        <v>0</v>
      </c>
      <c r="Z271" s="9">
        <f>ROUND(T271 / 1.2, 2)</f>
        <v>0</v>
      </c>
      <c r="AA271" s="9">
        <f>Y271+Z271</f>
        <v>0</v>
      </c>
      <c r="AD271" s="4">
        <v>315889978</v>
      </c>
      <c r="AE271" s="4">
        <v>27245675</v>
      </c>
      <c r="AG271" s="4" t="s">
        <v>890</v>
      </c>
      <c r="AH271" s="4" t="s">
        <v>891</v>
      </c>
      <c r="AI271" s="4" t="s">
        <v>224</v>
      </c>
    </row>
    <row r="272" spans="1:35" ht="36" x14ac:dyDescent="0.3">
      <c r="A272" s="10" t="s">
        <v>898</v>
      </c>
      <c r="B272" s="10"/>
      <c r="C272" s="16" t="s">
        <v>893</v>
      </c>
      <c r="D272" s="12"/>
      <c r="E272" s="12"/>
      <c r="F272" s="17" t="s">
        <v>308</v>
      </c>
      <c r="G272" s="18">
        <v>1.5</v>
      </c>
      <c r="H272" s="18"/>
      <c r="I272" s="18">
        <v>0</v>
      </c>
      <c r="J272" s="19">
        <v>260</v>
      </c>
      <c r="M272" s="20">
        <f>ROUND(ROUND(J272, 2)*I272, 2)</f>
        <v>0</v>
      </c>
      <c r="P272" s="19">
        <v>260</v>
      </c>
      <c r="S272" s="20">
        <f>ROUND(ROUND(P272, 2)*I272, 2)</f>
        <v>0</v>
      </c>
      <c r="V272" s="9">
        <f>ROUND(ROUND(P272, 2)/1.2, 2)</f>
        <v>216.67</v>
      </c>
      <c r="Y272" s="9">
        <f t="shared" si="13"/>
        <v>0</v>
      </c>
      <c r="AD272" s="4" t="s">
        <v>899</v>
      </c>
      <c r="AE272" s="4" t="s">
        <v>900</v>
      </c>
      <c r="AF272" s="4" t="s">
        <v>896</v>
      </c>
    </row>
    <row r="273" spans="1:35" ht="18" x14ac:dyDescent="0.3">
      <c r="A273" s="10" t="s">
        <v>901</v>
      </c>
      <c r="B273" s="10" t="s">
        <v>888</v>
      </c>
      <c r="C273" s="11" t="s">
        <v>889</v>
      </c>
      <c r="D273" s="12"/>
      <c r="E273" s="12"/>
      <c r="F273" s="12" t="s">
        <v>59</v>
      </c>
      <c r="G273" s="13">
        <v>1</v>
      </c>
      <c r="H273" s="13"/>
      <c r="I273" s="13">
        <v>0</v>
      </c>
      <c r="J273" s="14">
        <v>0</v>
      </c>
      <c r="K273" s="15">
        <v>1010</v>
      </c>
      <c r="L273" s="14">
        <f>J273+ROUND(K273, 2)</f>
        <v>1010</v>
      </c>
      <c r="M273" s="14">
        <v>0</v>
      </c>
      <c r="N273" s="14">
        <v>0</v>
      </c>
      <c r="O273" s="14">
        <f>M273+N273</f>
        <v>0</v>
      </c>
      <c r="P273" s="14">
        <v>390</v>
      </c>
      <c r="Q273" s="15">
        <v>1010</v>
      </c>
      <c r="R273" s="14">
        <f>P273+ROUND(Q273, 2)</f>
        <v>1400</v>
      </c>
      <c r="S273" s="14">
        <v>0</v>
      </c>
      <c r="T273" s="14">
        <v>0</v>
      </c>
      <c r="U273" s="14">
        <f>S273+T273</f>
        <v>0</v>
      </c>
      <c r="V273" s="9">
        <f>ROUND(P273 / 1.2, 2)</f>
        <v>325</v>
      </c>
      <c r="W273" s="9">
        <f>ROUND(Q273 / 1.2, 2)</f>
        <v>841.67</v>
      </c>
      <c r="X273" s="9">
        <f>ROUND(R273 / 1.2, 2)</f>
        <v>1166.67</v>
      </c>
      <c r="Y273" s="9">
        <f t="shared" si="13"/>
        <v>0</v>
      </c>
      <c r="Z273" s="9">
        <f>ROUND(T273 / 1.2, 2)</f>
        <v>0</v>
      </c>
      <c r="AA273" s="9">
        <f>Y273+Z273</f>
        <v>0</v>
      </c>
      <c r="AD273" s="4">
        <v>315889979</v>
      </c>
      <c r="AE273" s="4">
        <v>27245676</v>
      </c>
      <c r="AG273" s="4" t="s">
        <v>890</v>
      </c>
      <c r="AH273" s="4" t="s">
        <v>891</v>
      </c>
      <c r="AI273" s="4" t="s">
        <v>224</v>
      </c>
    </row>
    <row r="274" spans="1:35" ht="36" x14ac:dyDescent="0.3">
      <c r="A274" s="10" t="s">
        <v>902</v>
      </c>
      <c r="B274" s="10"/>
      <c r="C274" s="16" t="s">
        <v>893</v>
      </c>
      <c r="D274" s="12"/>
      <c r="E274" s="12"/>
      <c r="F274" s="17" t="s">
        <v>308</v>
      </c>
      <c r="G274" s="18">
        <v>1.5</v>
      </c>
      <c r="H274" s="18"/>
      <c r="I274" s="18">
        <v>0</v>
      </c>
      <c r="J274" s="19">
        <v>260</v>
      </c>
      <c r="M274" s="20">
        <f>ROUND(ROUND(J274, 2)*I274, 2)</f>
        <v>0</v>
      </c>
      <c r="P274" s="19">
        <v>260</v>
      </c>
      <c r="S274" s="20">
        <f>ROUND(ROUND(P274, 2)*I274, 2)</f>
        <v>0</v>
      </c>
      <c r="V274" s="9">
        <f>ROUND(ROUND(P274, 2)/1.2, 2)</f>
        <v>216.67</v>
      </c>
      <c r="Y274" s="9">
        <f t="shared" si="13"/>
        <v>0</v>
      </c>
      <c r="AD274" s="4" t="s">
        <v>903</v>
      </c>
      <c r="AE274" s="4" t="s">
        <v>904</v>
      </c>
      <c r="AF274" s="4" t="s">
        <v>896</v>
      </c>
    </row>
    <row r="275" spans="1:35" ht="18" x14ac:dyDescent="0.3">
      <c r="A275" s="10" t="s">
        <v>905</v>
      </c>
      <c r="B275" s="10" t="s">
        <v>888</v>
      </c>
      <c r="C275" s="11" t="s">
        <v>889</v>
      </c>
      <c r="D275" s="12"/>
      <c r="E275" s="12"/>
      <c r="F275" s="12" t="s">
        <v>59</v>
      </c>
      <c r="G275" s="13">
        <v>1</v>
      </c>
      <c r="H275" s="13"/>
      <c r="I275" s="13">
        <v>0</v>
      </c>
      <c r="J275" s="14">
        <v>0</v>
      </c>
      <c r="K275" s="15">
        <v>1010</v>
      </c>
      <c r="L275" s="14">
        <f>J275+ROUND(K275, 2)</f>
        <v>1010</v>
      </c>
      <c r="M275" s="14">
        <v>0</v>
      </c>
      <c r="N275" s="14">
        <v>0</v>
      </c>
      <c r="O275" s="14">
        <f>M275+N275</f>
        <v>0</v>
      </c>
      <c r="P275" s="14">
        <v>390</v>
      </c>
      <c r="Q275" s="15">
        <v>1010</v>
      </c>
      <c r="R275" s="14">
        <f>P275+ROUND(Q275, 2)</f>
        <v>1400</v>
      </c>
      <c r="S275" s="14">
        <v>0</v>
      </c>
      <c r="T275" s="14">
        <v>0</v>
      </c>
      <c r="U275" s="14">
        <f>S275+T275</f>
        <v>0</v>
      </c>
      <c r="V275" s="9">
        <f>ROUND(P275 / 1.2, 2)</f>
        <v>325</v>
      </c>
      <c r="W275" s="9">
        <f>ROUND(Q275 / 1.2, 2)</f>
        <v>841.67</v>
      </c>
      <c r="X275" s="9">
        <f>ROUND(R275 / 1.2, 2)</f>
        <v>1166.67</v>
      </c>
      <c r="Y275" s="9">
        <f t="shared" si="13"/>
        <v>0</v>
      </c>
      <c r="Z275" s="9">
        <f>ROUND(T275 / 1.2, 2)</f>
        <v>0</v>
      </c>
      <c r="AA275" s="9">
        <f>Y275+Z275</f>
        <v>0</v>
      </c>
      <c r="AD275" s="4">
        <v>315889980</v>
      </c>
      <c r="AE275" s="4">
        <v>27245678</v>
      </c>
      <c r="AG275" s="4" t="s">
        <v>890</v>
      </c>
      <c r="AH275" s="4" t="s">
        <v>891</v>
      </c>
      <c r="AI275" s="4" t="s">
        <v>224</v>
      </c>
    </row>
    <row r="276" spans="1:35" ht="36" x14ac:dyDescent="0.3">
      <c r="A276" s="10" t="s">
        <v>906</v>
      </c>
      <c r="B276" s="10"/>
      <c r="C276" s="16" t="s">
        <v>893</v>
      </c>
      <c r="D276" s="12"/>
      <c r="E276" s="12"/>
      <c r="F276" s="17" t="s">
        <v>308</v>
      </c>
      <c r="G276" s="18">
        <v>1.5</v>
      </c>
      <c r="H276" s="18"/>
      <c r="I276" s="18">
        <v>0</v>
      </c>
      <c r="J276" s="19">
        <v>260</v>
      </c>
      <c r="M276" s="20">
        <f>ROUND(ROUND(J276, 2)*I276, 2)</f>
        <v>0</v>
      </c>
      <c r="P276" s="19">
        <v>260</v>
      </c>
      <c r="S276" s="20">
        <f>ROUND(ROUND(P276, 2)*I276, 2)</f>
        <v>0</v>
      </c>
      <c r="V276" s="9">
        <f>ROUND(ROUND(P276, 2)/1.2, 2)</f>
        <v>216.67</v>
      </c>
      <c r="Y276" s="9">
        <f t="shared" si="13"/>
        <v>0</v>
      </c>
      <c r="AD276" s="4" t="s">
        <v>907</v>
      </c>
      <c r="AE276" s="4" t="s">
        <v>908</v>
      </c>
      <c r="AF276" s="4" t="s">
        <v>896</v>
      </c>
    </row>
    <row r="277" spans="1:35" ht="18" x14ac:dyDescent="0.3">
      <c r="A277" s="10" t="s">
        <v>909</v>
      </c>
      <c r="B277" s="10" t="s">
        <v>888</v>
      </c>
      <c r="C277" s="11" t="s">
        <v>889</v>
      </c>
      <c r="D277" s="12"/>
      <c r="E277" s="12"/>
      <c r="F277" s="12" t="s">
        <v>59</v>
      </c>
      <c r="G277" s="13">
        <v>1</v>
      </c>
      <c r="H277" s="13"/>
      <c r="I277" s="13">
        <v>0</v>
      </c>
      <c r="J277" s="14">
        <v>0</v>
      </c>
      <c r="K277" s="15">
        <v>1010</v>
      </c>
      <c r="L277" s="14">
        <f>J277+ROUND(K277, 2)</f>
        <v>1010</v>
      </c>
      <c r="M277" s="14">
        <v>0</v>
      </c>
      <c r="N277" s="14">
        <v>0</v>
      </c>
      <c r="O277" s="14">
        <f>M277+N277</f>
        <v>0</v>
      </c>
      <c r="P277" s="14">
        <v>390</v>
      </c>
      <c r="Q277" s="15">
        <v>1010</v>
      </c>
      <c r="R277" s="14">
        <f>P277+ROUND(Q277, 2)</f>
        <v>1400</v>
      </c>
      <c r="S277" s="14">
        <v>0</v>
      </c>
      <c r="T277" s="14">
        <v>0</v>
      </c>
      <c r="U277" s="14">
        <f>S277+T277</f>
        <v>0</v>
      </c>
      <c r="V277" s="9">
        <f>ROUND(P277 / 1.2, 2)</f>
        <v>325</v>
      </c>
      <c r="W277" s="9">
        <f>ROUND(Q277 / 1.2, 2)</f>
        <v>841.67</v>
      </c>
      <c r="X277" s="9">
        <f>ROUND(R277 / 1.2, 2)</f>
        <v>1166.67</v>
      </c>
      <c r="Y277" s="9">
        <f t="shared" si="13"/>
        <v>0</v>
      </c>
      <c r="Z277" s="9">
        <f>ROUND(T277 / 1.2, 2)</f>
        <v>0</v>
      </c>
      <c r="AA277" s="9">
        <f>Y277+Z277</f>
        <v>0</v>
      </c>
      <c r="AD277" s="4">
        <v>315889981</v>
      </c>
      <c r="AE277" s="4">
        <v>27245679</v>
      </c>
      <c r="AG277" s="4" t="s">
        <v>890</v>
      </c>
      <c r="AH277" s="4" t="s">
        <v>891</v>
      </c>
      <c r="AI277" s="4" t="s">
        <v>224</v>
      </c>
    </row>
    <row r="278" spans="1:35" ht="36" x14ac:dyDescent="0.3">
      <c r="A278" s="10" t="s">
        <v>910</v>
      </c>
      <c r="B278" s="10"/>
      <c r="C278" s="16" t="s">
        <v>893</v>
      </c>
      <c r="D278" s="12"/>
      <c r="E278" s="12"/>
      <c r="F278" s="17" t="s">
        <v>308</v>
      </c>
      <c r="G278" s="18">
        <v>1.5</v>
      </c>
      <c r="H278" s="18"/>
      <c r="I278" s="18">
        <v>0</v>
      </c>
      <c r="J278" s="19">
        <v>260</v>
      </c>
      <c r="M278" s="20">
        <f>ROUND(ROUND(J278, 2)*I278, 2)</f>
        <v>0</v>
      </c>
      <c r="P278" s="19">
        <v>260</v>
      </c>
      <c r="S278" s="20">
        <f>ROUND(ROUND(P278, 2)*I278, 2)</f>
        <v>0</v>
      </c>
      <c r="V278" s="9">
        <f>ROUND(ROUND(P278, 2)/1.2, 2)</f>
        <v>216.67</v>
      </c>
      <c r="Y278" s="9">
        <f t="shared" si="13"/>
        <v>0</v>
      </c>
      <c r="AD278" s="4" t="s">
        <v>911</v>
      </c>
      <c r="AE278" s="4" t="s">
        <v>912</v>
      </c>
      <c r="AF278" s="4" t="s">
        <v>896</v>
      </c>
    </row>
    <row r="279" spans="1:35" ht="18" x14ac:dyDescent="0.3">
      <c r="A279" s="10" t="s">
        <v>913</v>
      </c>
      <c r="B279" s="10" t="s">
        <v>888</v>
      </c>
      <c r="C279" s="11" t="s">
        <v>889</v>
      </c>
      <c r="D279" s="12"/>
      <c r="E279" s="12"/>
      <c r="F279" s="12" t="s">
        <v>59</v>
      </c>
      <c r="G279" s="13">
        <v>1</v>
      </c>
      <c r="H279" s="13"/>
      <c r="I279" s="13">
        <v>0</v>
      </c>
      <c r="J279" s="14">
        <v>0</v>
      </c>
      <c r="K279" s="15">
        <v>1010</v>
      </c>
      <c r="L279" s="14">
        <f>J279+ROUND(K279, 2)</f>
        <v>1010</v>
      </c>
      <c r="M279" s="14">
        <v>0</v>
      </c>
      <c r="N279" s="14">
        <v>0</v>
      </c>
      <c r="O279" s="14">
        <f>M279+N279</f>
        <v>0</v>
      </c>
      <c r="P279" s="14">
        <v>390</v>
      </c>
      <c r="Q279" s="15">
        <v>1010</v>
      </c>
      <c r="R279" s="14">
        <f>P279+ROUND(Q279, 2)</f>
        <v>1400</v>
      </c>
      <c r="S279" s="14">
        <v>0</v>
      </c>
      <c r="T279" s="14">
        <v>0</v>
      </c>
      <c r="U279" s="14">
        <f>S279+T279</f>
        <v>0</v>
      </c>
      <c r="V279" s="9">
        <f>ROUND(P279 / 1.2, 2)</f>
        <v>325</v>
      </c>
      <c r="W279" s="9">
        <f>ROUND(Q279 / 1.2, 2)</f>
        <v>841.67</v>
      </c>
      <c r="X279" s="9">
        <f>ROUND(R279 / 1.2, 2)</f>
        <v>1166.67</v>
      </c>
      <c r="Y279" s="9">
        <f t="shared" si="13"/>
        <v>0</v>
      </c>
      <c r="Z279" s="9">
        <f>ROUND(T279 / 1.2, 2)</f>
        <v>0</v>
      </c>
      <c r="AA279" s="9">
        <f>Y279+Z279</f>
        <v>0</v>
      </c>
      <c r="AD279" s="4">
        <v>315889982</v>
      </c>
      <c r="AE279" s="4">
        <v>27245681</v>
      </c>
      <c r="AG279" s="4" t="s">
        <v>890</v>
      </c>
      <c r="AH279" s="4" t="s">
        <v>891</v>
      </c>
      <c r="AI279" s="4" t="s">
        <v>224</v>
      </c>
    </row>
    <row r="280" spans="1:35" ht="36" x14ac:dyDescent="0.3">
      <c r="A280" s="10" t="s">
        <v>914</v>
      </c>
      <c r="B280" s="10"/>
      <c r="C280" s="16" t="s">
        <v>893</v>
      </c>
      <c r="D280" s="12"/>
      <c r="E280" s="12"/>
      <c r="F280" s="17" t="s">
        <v>308</v>
      </c>
      <c r="G280" s="18">
        <v>1.5</v>
      </c>
      <c r="H280" s="18"/>
      <c r="I280" s="18">
        <v>0</v>
      </c>
      <c r="J280" s="19">
        <v>260</v>
      </c>
      <c r="M280" s="20">
        <f>ROUND(ROUND(J280, 2)*I280, 2)</f>
        <v>0</v>
      </c>
      <c r="P280" s="19">
        <v>260</v>
      </c>
      <c r="S280" s="20">
        <f>ROUND(ROUND(P280, 2)*I280, 2)</f>
        <v>0</v>
      </c>
      <c r="V280" s="9">
        <f>ROUND(ROUND(P280, 2)/1.2, 2)</f>
        <v>216.67</v>
      </c>
      <c r="Y280" s="9">
        <f t="shared" si="13"/>
        <v>0</v>
      </c>
      <c r="AD280" s="4" t="s">
        <v>915</v>
      </c>
      <c r="AE280" s="4" t="s">
        <v>916</v>
      </c>
      <c r="AF280" s="4" t="s">
        <v>896</v>
      </c>
    </row>
    <row r="281" spans="1:35" ht="18" x14ac:dyDescent="0.3">
      <c r="A281" s="10" t="s">
        <v>917</v>
      </c>
      <c r="B281" s="10" t="s">
        <v>888</v>
      </c>
      <c r="C281" s="11" t="s">
        <v>889</v>
      </c>
      <c r="D281" s="12"/>
      <c r="E281" s="12"/>
      <c r="F281" s="12" t="s">
        <v>59</v>
      </c>
      <c r="G281" s="13">
        <v>1</v>
      </c>
      <c r="H281" s="13"/>
      <c r="I281" s="13">
        <v>0</v>
      </c>
      <c r="J281" s="14">
        <v>0</v>
      </c>
      <c r="K281" s="15">
        <v>1010</v>
      </c>
      <c r="L281" s="14">
        <f>J281+ROUND(K281, 2)</f>
        <v>1010</v>
      </c>
      <c r="M281" s="14">
        <v>0</v>
      </c>
      <c r="N281" s="14">
        <v>0</v>
      </c>
      <c r="O281" s="14">
        <f>M281+N281</f>
        <v>0</v>
      </c>
      <c r="P281" s="14">
        <v>390</v>
      </c>
      <c r="Q281" s="15">
        <v>1010</v>
      </c>
      <c r="R281" s="14">
        <f>P281+ROUND(Q281, 2)</f>
        <v>1400</v>
      </c>
      <c r="S281" s="14">
        <v>0</v>
      </c>
      <c r="T281" s="14">
        <v>0</v>
      </c>
      <c r="U281" s="14">
        <f>S281+T281</f>
        <v>0</v>
      </c>
      <c r="V281" s="9">
        <f>ROUND(P281 / 1.2, 2)</f>
        <v>325</v>
      </c>
      <c r="W281" s="9">
        <f>ROUND(Q281 / 1.2, 2)</f>
        <v>841.67</v>
      </c>
      <c r="X281" s="9">
        <f>ROUND(R281 / 1.2, 2)</f>
        <v>1166.67</v>
      </c>
      <c r="Y281" s="9">
        <f t="shared" si="13"/>
        <v>0</v>
      </c>
      <c r="Z281" s="9">
        <f>ROUND(T281 / 1.2, 2)</f>
        <v>0</v>
      </c>
      <c r="AA281" s="9">
        <f>Y281+Z281</f>
        <v>0</v>
      </c>
      <c r="AD281" s="4">
        <v>315889983</v>
      </c>
      <c r="AE281" s="4">
        <v>27245683</v>
      </c>
      <c r="AG281" s="4" t="s">
        <v>890</v>
      </c>
      <c r="AH281" s="4" t="s">
        <v>891</v>
      </c>
      <c r="AI281" s="4" t="s">
        <v>224</v>
      </c>
    </row>
    <row r="282" spans="1:35" ht="36" x14ac:dyDescent="0.3">
      <c r="A282" s="10" t="s">
        <v>918</v>
      </c>
      <c r="B282" s="10"/>
      <c r="C282" s="16" t="s">
        <v>893</v>
      </c>
      <c r="D282" s="12"/>
      <c r="E282" s="12"/>
      <c r="F282" s="17" t="s">
        <v>308</v>
      </c>
      <c r="G282" s="18">
        <v>1.5</v>
      </c>
      <c r="H282" s="18"/>
      <c r="I282" s="18">
        <v>0</v>
      </c>
      <c r="J282" s="19">
        <v>260</v>
      </c>
      <c r="M282" s="20">
        <f>ROUND(ROUND(J282, 2)*I282, 2)</f>
        <v>0</v>
      </c>
      <c r="P282" s="19">
        <v>260</v>
      </c>
      <c r="S282" s="20">
        <f>ROUND(ROUND(P282, 2)*I282, 2)</f>
        <v>0</v>
      </c>
      <c r="V282" s="9">
        <f>ROUND(ROUND(P282, 2)/1.2, 2)</f>
        <v>216.67</v>
      </c>
      <c r="Y282" s="9">
        <f t="shared" si="13"/>
        <v>0</v>
      </c>
      <c r="AD282" s="4" t="s">
        <v>919</v>
      </c>
      <c r="AE282" s="4" t="s">
        <v>920</v>
      </c>
      <c r="AF282" s="4" t="s">
        <v>896</v>
      </c>
    </row>
    <row r="283" spans="1:35" ht="18" x14ac:dyDescent="0.3">
      <c r="A283" s="10" t="s">
        <v>921</v>
      </c>
      <c r="B283" s="10" t="s">
        <v>888</v>
      </c>
      <c r="C283" s="11" t="s">
        <v>889</v>
      </c>
      <c r="D283" s="12"/>
      <c r="E283" s="12"/>
      <c r="F283" s="12" t="s">
        <v>59</v>
      </c>
      <c r="G283" s="13">
        <v>1</v>
      </c>
      <c r="H283" s="13"/>
      <c r="I283" s="13">
        <v>0</v>
      </c>
      <c r="J283" s="14">
        <v>0</v>
      </c>
      <c r="K283" s="15">
        <v>1010</v>
      </c>
      <c r="L283" s="14">
        <f>J283+ROUND(K283, 2)</f>
        <v>1010</v>
      </c>
      <c r="M283" s="14">
        <v>0</v>
      </c>
      <c r="N283" s="14">
        <v>0</v>
      </c>
      <c r="O283" s="14">
        <f>M283+N283</f>
        <v>0</v>
      </c>
      <c r="P283" s="14">
        <v>0</v>
      </c>
      <c r="Q283" s="15">
        <v>1515</v>
      </c>
      <c r="R283" s="14">
        <f>P283+ROUND(Q283, 2)</f>
        <v>1515</v>
      </c>
      <c r="S283" s="14">
        <v>0</v>
      </c>
      <c r="T283" s="14">
        <v>0</v>
      </c>
      <c r="U283" s="14">
        <f>S283+T283</f>
        <v>0</v>
      </c>
      <c r="V283" s="9">
        <f>ROUND(P283 / 1.2, 2)</f>
        <v>0</v>
      </c>
      <c r="W283" s="9">
        <f>ROUND(Q283 / 1.2, 2)</f>
        <v>1262.5</v>
      </c>
      <c r="X283" s="9">
        <f>ROUND(R283 / 1.2, 2)</f>
        <v>1262.5</v>
      </c>
      <c r="Y283" s="9">
        <f t="shared" si="13"/>
        <v>0</v>
      </c>
      <c r="Z283" s="9">
        <f>ROUND(T283 / 1.2, 2)</f>
        <v>0</v>
      </c>
      <c r="AA283" s="9">
        <f>Y283+Z283</f>
        <v>0</v>
      </c>
      <c r="AD283" s="4">
        <v>315889984</v>
      </c>
      <c r="AE283" s="4">
        <v>27245684</v>
      </c>
      <c r="AG283" s="4" t="s">
        <v>890</v>
      </c>
      <c r="AH283" s="4" t="s">
        <v>891</v>
      </c>
      <c r="AI283" s="4" t="s">
        <v>224</v>
      </c>
    </row>
    <row r="284" spans="1:35" ht="36" x14ac:dyDescent="0.3">
      <c r="A284" s="10" t="s">
        <v>922</v>
      </c>
      <c r="B284" s="10"/>
      <c r="C284" s="16" t="s">
        <v>893</v>
      </c>
      <c r="D284" s="12"/>
      <c r="E284" s="12"/>
      <c r="F284" s="17" t="s">
        <v>308</v>
      </c>
      <c r="G284" s="18">
        <v>1.5</v>
      </c>
      <c r="H284" s="18"/>
      <c r="I284" s="18">
        <v>0</v>
      </c>
      <c r="J284" s="19">
        <v>260</v>
      </c>
      <c r="M284" s="20">
        <f>ROUND(ROUND(J284, 2)*I284, 2)</f>
        <v>0</v>
      </c>
      <c r="P284" s="19">
        <v>260</v>
      </c>
      <c r="S284" s="20">
        <f>ROUND(ROUND(P284, 2)*I284, 2)</f>
        <v>0</v>
      </c>
      <c r="V284" s="9">
        <f>ROUND(ROUND(P284, 2)/1.2, 2)</f>
        <v>216.67</v>
      </c>
      <c r="Y284" s="9">
        <f t="shared" si="13"/>
        <v>0</v>
      </c>
      <c r="AD284" s="4" t="s">
        <v>923</v>
      </c>
      <c r="AE284" s="4" t="s">
        <v>924</v>
      </c>
      <c r="AF284" s="4" t="s">
        <v>896</v>
      </c>
    </row>
    <row r="285" spans="1:35" ht="18" x14ac:dyDescent="0.3">
      <c r="A285" s="10" t="s">
        <v>925</v>
      </c>
      <c r="B285" s="10" t="s">
        <v>888</v>
      </c>
      <c r="C285" s="11" t="s">
        <v>889</v>
      </c>
      <c r="D285" s="12"/>
      <c r="E285" s="12"/>
      <c r="F285" s="12" t="s">
        <v>59</v>
      </c>
      <c r="G285" s="13">
        <v>1</v>
      </c>
      <c r="H285" s="13"/>
      <c r="I285" s="13">
        <v>0</v>
      </c>
      <c r="J285" s="14">
        <v>0</v>
      </c>
      <c r="K285" s="15">
        <v>1010</v>
      </c>
      <c r="L285" s="14">
        <f>J285+ROUND(K285, 2)</f>
        <v>1010</v>
      </c>
      <c r="M285" s="14">
        <v>0</v>
      </c>
      <c r="N285" s="14">
        <v>0</v>
      </c>
      <c r="O285" s="14">
        <f>M285+N285</f>
        <v>0</v>
      </c>
      <c r="P285" s="14">
        <v>0</v>
      </c>
      <c r="Q285" s="15">
        <v>1515</v>
      </c>
      <c r="R285" s="14">
        <f>P285+ROUND(Q285, 2)</f>
        <v>1515</v>
      </c>
      <c r="S285" s="14">
        <v>0</v>
      </c>
      <c r="T285" s="14">
        <v>0</v>
      </c>
      <c r="U285" s="14">
        <f>S285+T285</f>
        <v>0</v>
      </c>
      <c r="V285" s="9">
        <f>ROUND(P285 / 1.2, 2)</f>
        <v>0</v>
      </c>
      <c r="W285" s="9">
        <f>ROUND(Q285 / 1.2, 2)</f>
        <v>1262.5</v>
      </c>
      <c r="X285" s="9">
        <f>ROUND(R285 / 1.2, 2)</f>
        <v>1262.5</v>
      </c>
      <c r="Y285" s="9">
        <f t="shared" si="13"/>
        <v>0</v>
      </c>
      <c r="Z285" s="9">
        <f>ROUND(T285 / 1.2, 2)</f>
        <v>0</v>
      </c>
      <c r="AA285" s="9">
        <f>Y285+Z285</f>
        <v>0</v>
      </c>
      <c r="AD285" s="4">
        <v>315889985</v>
      </c>
      <c r="AE285" s="4">
        <v>27245685</v>
      </c>
      <c r="AG285" s="4" t="s">
        <v>890</v>
      </c>
      <c r="AH285" s="4" t="s">
        <v>891</v>
      </c>
      <c r="AI285" s="4" t="s">
        <v>224</v>
      </c>
    </row>
    <row r="286" spans="1:35" ht="36" x14ac:dyDescent="0.3">
      <c r="A286" s="10" t="s">
        <v>926</v>
      </c>
      <c r="B286" s="10"/>
      <c r="C286" s="16" t="s">
        <v>893</v>
      </c>
      <c r="D286" s="12"/>
      <c r="E286" s="12"/>
      <c r="F286" s="17" t="s">
        <v>308</v>
      </c>
      <c r="G286" s="18">
        <v>1.5</v>
      </c>
      <c r="H286" s="18"/>
      <c r="I286" s="18">
        <v>0</v>
      </c>
      <c r="J286" s="19">
        <v>260</v>
      </c>
      <c r="M286" s="20">
        <f>ROUND(ROUND(J286, 2)*I286, 2)</f>
        <v>0</v>
      </c>
      <c r="P286" s="19">
        <v>260</v>
      </c>
      <c r="S286" s="20">
        <f>ROUND(ROUND(P286, 2)*I286, 2)</f>
        <v>0</v>
      </c>
      <c r="V286" s="9">
        <f>ROUND(ROUND(P286, 2)/1.2, 2)</f>
        <v>216.67</v>
      </c>
      <c r="Y286" s="9">
        <f t="shared" si="13"/>
        <v>0</v>
      </c>
      <c r="AD286" s="4" t="s">
        <v>927</v>
      </c>
      <c r="AE286" s="4" t="s">
        <v>928</v>
      </c>
      <c r="AF286" s="4" t="s">
        <v>896</v>
      </c>
    </row>
    <row r="287" spans="1:35" ht="18" x14ac:dyDescent="0.3">
      <c r="A287" s="10" t="s">
        <v>929</v>
      </c>
      <c r="B287" s="10" t="s">
        <v>888</v>
      </c>
      <c r="C287" s="11" t="s">
        <v>889</v>
      </c>
      <c r="D287" s="12"/>
      <c r="E287" s="12"/>
      <c r="F287" s="12" t="s">
        <v>59</v>
      </c>
      <c r="G287" s="13">
        <v>1</v>
      </c>
      <c r="H287" s="13"/>
      <c r="I287" s="13">
        <v>0</v>
      </c>
      <c r="J287" s="14">
        <v>0</v>
      </c>
      <c r="K287" s="15">
        <v>1010</v>
      </c>
      <c r="L287" s="14">
        <f>J287+ROUND(K287, 2)</f>
        <v>1010</v>
      </c>
      <c r="M287" s="14">
        <v>0</v>
      </c>
      <c r="N287" s="14">
        <v>0</v>
      </c>
      <c r="O287" s="14">
        <f>M287+N287</f>
        <v>0</v>
      </c>
      <c r="P287" s="14">
        <v>0</v>
      </c>
      <c r="Q287" s="15">
        <v>1515</v>
      </c>
      <c r="R287" s="14">
        <f>P287+ROUND(Q287, 2)</f>
        <v>1515</v>
      </c>
      <c r="S287" s="14">
        <v>0</v>
      </c>
      <c r="T287" s="14">
        <v>0</v>
      </c>
      <c r="U287" s="14">
        <f>S287+T287</f>
        <v>0</v>
      </c>
      <c r="V287" s="9">
        <f>ROUND(P287 / 1.2, 2)</f>
        <v>0</v>
      </c>
      <c r="W287" s="9">
        <f>ROUND(Q287 / 1.2, 2)</f>
        <v>1262.5</v>
      </c>
      <c r="X287" s="9">
        <f>ROUND(R287 / 1.2, 2)</f>
        <v>1262.5</v>
      </c>
      <c r="Y287" s="9">
        <f t="shared" si="13"/>
        <v>0</v>
      </c>
      <c r="Z287" s="9">
        <f>ROUND(T287 / 1.2, 2)</f>
        <v>0</v>
      </c>
      <c r="AA287" s="9">
        <f>Y287+Z287</f>
        <v>0</v>
      </c>
      <c r="AD287" s="4">
        <v>315889986</v>
      </c>
      <c r="AE287" s="4">
        <v>27245686</v>
      </c>
      <c r="AG287" s="4" t="s">
        <v>890</v>
      </c>
      <c r="AH287" s="4" t="s">
        <v>891</v>
      </c>
      <c r="AI287" s="4" t="s">
        <v>224</v>
      </c>
    </row>
    <row r="288" spans="1:35" ht="36" x14ac:dyDescent="0.3">
      <c r="A288" s="10" t="s">
        <v>930</v>
      </c>
      <c r="B288" s="10"/>
      <c r="C288" s="16" t="s">
        <v>893</v>
      </c>
      <c r="D288" s="12"/>
      <c r="E288" s="12"/>
      <c r="F288" s="17" t="s">
        <v>308</v>
      </c>
      <c r="G288" s="18">
        <v>1.5</v>
      </c>
      <c r="H288" s="18"/>
      <c r="I288" s="18">
        <v>0</v>
      </c>
      <c r="J288" s="19">
        <v>260</v>
      </c>
      <c r="M288" s="20">
        <f>ROUND(ROUND(J288, 2)*I288, 2)</f>
        <v>0</v>
      </c>
      <c r="P288" s="19">
        <v>260</v>
      </c>
      <c r="S288" s="20">
        <f>ROUND(ROUND(P288, 2)*I288, 2)</f>
        <v>0</v>
      </c>
      <c r="V288" s="9">
        <f>ROUND(ROUND(P288, 2)/1.2, 2)</f>
        <v>216.67</v>
      </c>
      <c r="Y288" s="9">
        <f t="shared" si="13"/>
        <v>0</v>
      </c>
      <c r="AD288" s="4" t="s">
        <v>931</v>
      </c>
      <c r="AE288" s="4" t="s">
        <v>932</v>
      </c>
      <c r="AF288" s="4" t="s">
        <v>896</v>
      </c>
    </row>
    <row r="289" spans="1:35" ht="18" x14ac:dyDescent="0.3">
      <c r="A289" s="10" t="s">
        <v>933</v>
      </c>
      <c r="B289" s="10" t="s">
        <v>888</v>
      </c>
      <c r="C289" s="11" t="s">
        <v>889</v>
      </c>
      <c r="D289" s="12"/>
      <c r="E289" s="12" t="s">
        <v>934</v>
      </c>
      <c r="F289" s="12" t="s">
        <v>59</v>
      </c>
      <c r="G289" s="13">
        <v>1</v>
      </c>
      <c r="H289" s="13"/>
      <c r="I289" s="13">
        <v>195.1</v>
      </c>
      <c r="J289" s="14">
        <v>390</v>
      </c>
      <c r="K289" s="15">
        <v>1010</v>
      </c>
      <c r="L289" s="14">
        <f>J289+ROUND(K289, 2)</f>
        <v>1400</v>
      </c>
      <c r="M289" s="14">
        <v>76089</v>
      </c>
      <c r="N289" s="14">
        <v>197051</v>
      </c>
      <c r="O289" s="14">
        <f>M289+N289</f>
        <v>273140</v>
      </c>
      <c r="P289" s="14">
        <v>390</v>
      </c>
      <c r="Q289" s="15">
        <v>1515</v>
      </c>
      <c r="R289" s="14">
        <f>P289+ROUND(Q289, 2)</f>
        <v>1905</v>
      </c>
      <c r="S289" s="14">
        <v>76089</v>
      </c>
      <c r="T289" s="14">
        <v>295576.5</v>
      </c>
      <c r="U289" s="14">
        <f>S289+T289</f>
        <v>371665.5</v>
      </c>
      <c r="V289" s="9">
        <f>ROUND(P289 / 1.2, 2)</f>
        <v>325</v>
      </c>
      <c r="W289" s="9">
        <f>ROUND(Q289 / 1.2, 2)</f>
        <v>1262.5</v>
      </c>
      <c r="X289" s="9">
        <f>ROUND(R289 / 1.2, 2)</f>
        <v>1587.5</v>
      </c>
      <c r="Y289" s="9">
        <f t="shared" si="13"/>
        <v>63407.5</v>
      </c>
      <c r="Z289" s="9">
        <f>ROUND(T289 / 1.2, 2)</f>
        <v>246313.75</v>
      </c>
      <c r="AA289" s="9">
        <f>Y289+Z289</f>
        <v>309721.25</v>
      </c>
      <c r="AD289" s="4">
        <v>315889987</v>
      </c>
      <c r="AE289" s="4">
        <v>27245757</v>
      </c>
      <c r="AG289" s="4" t="s">
        <v>890</v>
      </c>
      <c r="AH289" s="4" t="s">
        <v>891</v>
      </c>
      <c r="AI289" s="4" t="s">
        <v>224</v>
      </c>
    </row>
    <row r="290" spans="1:35" ht="36" x14ac:dyDescent="0.3">
      <c r="A290" s="10" t="s">
        <v>935</v>
      </c>
      <c r="B290" s="10"/>
      <c r="C290" s="16" t="s">
        <v>893</v>
      </c>
      <c r="D290" s="12"/>
      <c r="E290" s="12"/>
      <c r="F290" s="17" t="s">
        <v>308</v>
      </c>
      <c r="G290" s="18">
        <v>1.5</v>
      </c>
      <c r="H290" s="18"/>
      <c r="I290" s="18">
        <v>292.64999999999998</v>
      </c>
      <c r="J290" s="19">
        <v>260</v>
      </c>
      <c r="M290" s="20">
        <f>ROUND(ROUND(J290, 2)*I290, 2)</f>
        <v>76089</v>
      </c>
      <c r="P290" s="19">
        <v>260</v>
      </c>
      <c r="S290" s="20">
        <f>ROUND(ROUND(P290, 2)*I290, 2)</f>
        <v>76089</v>
      </c>
      <c r="V290" s="9">
        <f>ROUND(ROUND(P290, 2)/1.2, 2)</f>
        <v>216.67</v>
      </c>
      <c r="Y290" s="9">
        <f t="shared" si="13"/>
        <v>63407.5</v>
      </c>
      <c r="AD290" s="4" t="s">
        <v>936</v>
      </c>
      <c r="AE290" s="4" t="s">
        <v>937</v>
      </c>
      <c r="AF290" s="4" t="s">
        <v>896</v>
      </c>
    </row>
    <row r="291" spans="1:35" ht="18" x14ac:dyDescent="0.3">
      <c r="A291" s="10" t="s">
        <v>938</v>
      </c>
      <c r="B291" s="10" t="s">
        <v>888</v>
      </c>
      <c r="C291" s="11" t="s">
        <v>889</v>
      </c>
      <c r="D291" s="12"/>
      <c r="E291" s="12" t="s">
        <v>939</v>
      </c>
      <c r="F291" s="12" t="s">
        <v>59</v>
      </c>
      <c r="G291" s="13">
        <v>1</v>
      </c>
      <c r="H291" s="13"/>
      <c r="I291" s="13">
        <v>23.1</v>
      </c>
      <c r="J291" s="14">
        <v>390</v>
      </c>
      <c r="K291" s="15">
        <v>1010</v>
      </c>
      <c r="L291" s="14">
        <f>J291+ROUND(K291, 2)</f>
        <v>1400</v>
      </c>
      <c r="M291" s="14">
        <v>9009</v>
      </c>
      <c r="N291" s="14">
        <v>23331</v>
      </c>
      <c r="O291" s="14">
        <f>M291+N291</f>
        <v>32340</v>
      </c>
      <c r="P291" s="14">
        <v>390</v>
      </c>
      <c r="Q291" s="15">
        <v>1515</v>
      </c>
      <c r="R291" s="14">
        <f>P291+ROUND(Q291, 2)</f>
        <v>1905</v>
      </c>
      <c r="S291" s="14">
        <v>9009</v>
      </c>
      <c r="T291" s="14">
        <v>34996.5</v>
      </c>
      <c r="U291" s="14">
        <f>S291+T291</f>
        <v>44005.5</v>
      </c>
      <c r="V291" s="9">
        <f>ROUND(P291 / 1.2, 2)</f>
        <v>325</v>
      </c>
      <c r="W291" s="9">
        <f>ROUND(Q291 / 1.2, 2)</f>
        <v>1262.5</v>
      </c>
      <c r="X291" s="9">
        <f>ROUND(R291 / 1.2, 2)</f>
        <v>1587.5</v>
      </c>
      <c r="Y291" s="9">
        <f t="shared" si="13"/>
        <v>7507.5</v>
      </c>
      <c r="Z291" s="9">
        <f>ROUND(T291 / 1.2, 2)</f>
        <v>29163.75</v>
      </c>
      <c r="AA291" s="9">
        <f>Y291+Z291</f>
        <v>36671.25</v>
      </c>
      <c r="AD291" s="4">
        <v>315889988</v>
      </c>
      <c r="AE291" s="4">
        <v>27245794</v>
      </c>
      <c r="AG291" s="4" t="s">
        <v>890</v>
      </c>
      <c r="AH291" s="4" t="s">
        <v>891</v>
      </c>
      <c r="AI291" s="4" t="s">
        <v>224</v>
      </c>
    </row>
    <row r="292" spans="1:35" ht="36" x14ac:dyDescent="0.3">
      <c r="A292" s="10" t="s">
        <v>940</v>
      </c>
      <c r="B292" s="10"/>
      <c r="C292" s="16" t="s">
        <v>893</v>
      </c>
      <c r="D292" s="12"/>
      <c r="E292" s="12"/>
      <c r="F292" s="17" t="s">
        <v>308</v>
      </c>
      <c r="G292" s="18">
        <v>1.5</v>
      </c>
      <c r="H292" s="18"/>
      <c r="I292" s="18">
        <v>34.65</v>
      </c>
      <c r="J292" s="19">
        <v>260</v>
      </c>
      <c r="M292" s="20">
        <f>ROUND(ROUND(J292, 2)*I292, 2)</f>
        <v>9009</v>
      </c>
      <c r="P292" s="19">
        <v>260</v>
      </c>
      <c r="S292" s="20">
        <f>ROUND(ROUND(P292, 2)*I292, 2)</f>
        <v>9009</v>
      </c>
      <c r="V292" s="9">
        <f>ROUND(ROUND(P292, 2)/1.2, 2)</f>
        <v>216.67</v>
      </c>
      <c r="Y292" s="9">
        <f t="shared" si="13"/>
        <v>7507.5</v>
      </c>
      <c r="AD292" s="4" t="s">
        <v>941</v>
      </c>
      <c r="AE292" s="4" t="s">
        <v>942</v>
      </c>
      <c r="AF292" s="4" t="s">
        <v>896</v>
      </c>
    </row>
    <row r="293" spans="1:35" ht="18" x14ac:dyDescent="0.3">
      <c r="A293" s="10" t="s">
        <v>943</v>
      </c>
      <c r="B293" s="10" t="s">
        <v>888</v>
      </c>
      <c r="C293" s="11" t="s">
        <v>889</v>
      </c>
      <c r="D293" s="12"/>
      <c r="E293" s="12" t="s">
        <v>944</v>
      </c>
      <c r="F293" s="12" t="s">
        <v>59</v>
      </c>
      <c r="G293" s="13">
        <v>1</v>
      </c>
      <c r="H293" s="13"/>
      <c r="I293" s="13">
        <v>75</v>
      </c>
      <c r="J293" s="14">
        <v>390</v>
      </c>
      <c r="K293" s="15">
        <v>1010</v>
      </c>
      <c r="L293" s="14">
        <f>J293+ROUND(K293, 2)</f>
        <v>1400</v>
      </c>
      <c r="M293" s="14">
        <v>29250</v>
      </c>
      <c r="N293" s="14">
        <v>75750</v>
      </c>
      <c r="O293" s="14">
        <f>M293+N293</f>
        <v>105000</v>
      </c>
      <c r="P293" s="14">
        <v>390</v>
      </c>
      <c r="Q293" s="15">
        <v>1515</v>
      </c>
      <c r="R293" s="14">
        <f>P293+ROUND(Q293, 2)</f>
        <v>1905</v>
      </c>
      <c r="S293" s="14">
        <v>29250</v>
      </c>
      <c r="T293" s="14">
        <v>113625</v>
      </c>
      <c r="U293" s="14">
        <f>S293+T293</f>
        <v>142875</v>
      </c>
      <c r="V293" s="9">
        <f>ROUND(P293 / 1.2, 2)</f>
        <v>325</v>
      </c>
      <c r="W293" s="9">
        <f>ROUND(Q293 / 1.2, 2)</f>
        <v>1262.5</v>
      </c>
      <c r="X293" s="9">
        <f>ROUND(R293 / 1.2, 2)</f>
        <v>1587.5</v>
      </c>
      <c r="Y293" s="9">
        <f t="shared" si="13"/>
        <v>24375</v>
      </c>
      <c r="Z293" s="9">
        <f>ROUND(T293 / 1.2, 2)</f>
        <v>94687.5</v>
      </c>
      <c r="AA293" s="9">
        <f>Y293+Z293</f>
        <v>119062.5</v>
      </c>
      <c r="AD293" s="4">
        <v>315889989</v>
      </c>
      <c r="AE293" s="4">
        <v>27245758</v>
      </c>
      <c r="AG293" s="4" t="s">
        <v>890</v>
      </c>
      <c r="AH293" s="4" t="s">
        <v>891</v>
      </c>
      <c r="AI293" s="4" t="s">
        <v>224</v>
      </c>
    </row>
    <row r="294" spans="1:35" ht="36" x14ac:dyDescent="0.3">
      <c r="A294" s="10" t="s">
        <v>945</v>
      </c>
      <c r="B294" s="10"/>
      <c r="C294" s="16" t="s">
        <v>893</v>
      </c>
      <c r="D294" s="12"/>
      <c r="E294" s="12"/>
      <c r="F294" s="17" t="s">
        <v>308</v>
      </c>
      <c r="G294" s="18">
        <v>1.5</v>
      </c>
      <c r="H294" s="18"/>
      <c r="I294" s="18">
        <v>112.5</v>
      </c>
      <c r="J294" s="19">
        <v>260</v>
      </c>
      <c r="M294" s="20">
        <f>ROUND(ROUND(J294, 2)*I294, 2)</f>
        <v>29250</v>
      </c>
      <c r="P294" s="19">
        <v>260</v>
      </c>
      <c r="S294" s="20">
        <f>ROUND(ROUND(P294, 2)*I294, 2)</f>
        <v>29250</v>
      </c>
      <c r="V294" s="9">
        <f>ROUND(ROUND(P294, 2)/1.2, 2)</f>
        <v>216.67</v>
      </c>
      <c r="Y294" s="9">
        <f t="shared" si="13"/>
        <v>24375</v>
      </c>
      <c r="AD294" s="4" t="s">
        <v>946</v>
      </c>
      <c r="AE294" s="4" t="s">
        <v>947</v>
      </c>
      <c r="AF294" s="4" t="s">
        <v>896</v>
      </c>
    </row>
    <row r="295" spans="1:35" ht="18" x14ac:dyDescent="0.3">
      <c r="A295" s="10" t="s">
        <v>948</v>
      </c>
      <c r="B295" s="10" t="s">
        <v>888</v>
      </c>
      <c r="C295" s="11" t="s">
        <v>889</v>
      </c>
      <c r="D295" s="12"/>
      <c r="E295" s="12" t="s">
        <v>949</v>
      </c>
      <c r="F295" s="12" t="s">
        <v>59</v>
      </c>
      <c r="G295" s="13">
        <v>1</v>
      </c>
      <c r="H295" s="13"/>
      <c r="I295" s="13">
        <v>41.8</v>
      </c>
      <c r="J295" s="14">
        <v>390</v>
      </c>
      <c r="K295" s="15">
        <v>1010</v>
      </c>
      <c r="L295" s="14">
        <f>J295+ROUND(K295, 2)</f>
        <v>1400</v>
      </c>
      <c r="M295" s="14">
        <v>16302</v>
      </c>
      <c r="N295" s="14">
        <v>42218</v>
      </c>
      <c r="O295" s="14">
        <f>M295+N295</f>
        <v>58520</v>
      </c>
      <c r="P295" s="14">
        <v>390</v>
      </c>
      <c r="Q295" s="15">
        <v>1515</v>
      </c>
      <c r="R295" s="14">
        <f>P295+ROUND(Q295, 2)</f>
        <v>1905</v>
      </c>
      <c r="S295" s="14">
        <v>16302</v>
      </c>
      <c r="T295" s="14">
        <v>63327</v>
      </c>
      <c r="U295" s="14">
        <f>S295+T295</f>
        <v>79629</v>
      </c>
      <c r="V295" s="9">
        <f>ROUND(P295 / 1.2, 2)</f>
        <v>325</v>
      </c>
      <c r="W295" s="9">
        <f>ROUND(Q295 / 1.2, 2)</f>
        <v>1262.5</v>
      </c>
      <c r="X295" s="9">
        <f>ROUND(R295 / 1.2, 2)</f>
        <v>1587.5</v>
      </c>
      <c r="Y295" s="9">
        <f t="shared" si="13"/>
        <v>13585</v>
      </c>
      <c r="Z295" s="9">
        <f>ROUND(T295 / 1.2, 2)</f>
        <v>52772.5</v>
      </c>
      <c r="AA295" s="9">
        <f>Y295+Z295</f>
        <v>66357.5</v>
      </c>
      <c r="AD295" s="4">
        <v>315889990</v>
      </c>
      <c r="AE295" s="4">
        <v>27245795</v>
      </c>
      <c r="AG295" s="4" t="s">
        <v>890</v>
      </c>
      <c r="AH295" s="4" t="s">
        <v>891</v>
      </c>
      <c r="AI295" s="4" t="s">
        <v>224</v>
      </c>
    </row>
    <row r="296" spans="1:35" ht="36" x14ac:dyDescent="0.3">
      <c r="A296" s="10" t="s">
        <v>950</v>
      </c>
      <c r="B296" s="10"/>
      <c r="C296" s="16" t="s">
        <v>893</v>
      </c>
      <c r="D296" s="12"/>
      <c r="E296" s="12"/>
      <c r="F296" s="17" t="s">
        <v>308</v>
      </c>
      <c r="G296" s="18">
        <v>1.5</v>
      </c>
      <c r="H296" s="18"/>
      <c r="I296" s="18">
        <v>62.7</v>
      </c>
      <c r="J296" s="19">
        <v>260</v>
      </c>
      <c r="M296" s="20">
        <f>ROUND(ROUND(J296, 2)*I296, 2)</f>
        <v>16302</v>
      </c>
      <c r="P296" s="19">
        <v>260</v>
      </c>
      <c r="S296" s="20">
        <f>ROUND(ROUND(P296, 2)*I296, 2)</f>
        <v>16302</v>
      </c>
      <c r="V296" s="9">
        <f>ROUND(ROUND(P296, 2)/1.2, 2)</f>
        <v>216.67</v>
      </c>
      <c r="Y296" s="9">
        <f t="shared" si="13"/>
        <v>13585</v>
      </c>
      <c r="AD296" s="4" t="s">
        <v>951</v>
      </c>
      <c r="AE296" s="4" t="s">
        <v>952</v>
      </c>
      <c r="AF296" s="4" t="s">
        <v>896</v>
      </c>
    </row>
    <row r="297" spans="1:35" ht="18" x14ac:dyDescent="0.3">
      <c r="A297" s="10" t="s">
        <v>953</v>
      </c>
      <c r="B297" s="10" t="s">
        <v>888</v>
      </c>
      <c r="C297" s="11" t="s">
        <v>889</v>
      </c>
      <c r="D297" s="12"/>
      <c r="E297" s="12" t="s">
        <v>954</v>
      </c>
      <c r="F297" s="12" t="s">
        <v>59</v>
      </c>
      <c r="G297" s="13">
        <v>1</v>
      </c>
      <c r="H297" s="13"/>
      <c r="I297" s="13">
        <v>25.2</v>
      </c>
      <c r="J297" s="14">
        <v>390</v>
      </c>
      <c r="K297" s="15">
        <v>1010</v>
      </c>
      <c r="L297" s="14">
        <f>J297+ROUND(K297, 2)</f>
        <v>1400</v>
      </c>
      <c r="M297" s="14">
        <v>9828</v>
      </c>
      <c r="N297" s="14">
        <v>25452</v>
      </c>
      <c r="O297" s="14">
        <f>M297+N297</f>
        <v>35280</v>
      </c>
      <c r="P297" s="14">
        <v>390</v>
      </c>
      <c r="Q297" s="15">
        <v>1515</v>
      </c>
      <c r="R297" s="14">
        <f>P297+ROUND(Q297, 2)</f>
        <v>1905</v>
      </c>
      <c r="S297" s="14">
        <v>9828</v>
      </c>
      <c r="T297" s="14">
        <v>38178</v>
      </c>
      <c r="U297" s="14">
        <f>S297+T297</f>
        <v>48006</v>
      </c>
      <c r="V297" s="9">
        <f>ROUND(P297 / 1.2, 2)</f>
        <v>325</v>
      </c>
      <c r="W297" s="9">
        <f>ROUND(Q297 / 1.2, 2)</f>
        <v>1262.5</v>
      </c>
      <c r="X297" s="9">
        <f>ROUND(R297 / 1.2, 2)</f>
        <v>1587.5</v>
      </c>
      <c r="Y297" s="9">
        <f t="shared" si="13"/>
        <v>8190</v>
      </c>
      <c r="Z297" s="9">
        <f>ROUND(T297 / 1.2, 2)</f>
        <v>31815</v>
      </c>
      <c r="AA297" s="9">
        <f>Y297+Z297</f>
        <v>40005</v>
      </c>
      <c r="AD297" s="4">
        <v>315889991</v>
      </c>
      <c r="AE297" s="4">
        <v>27245726</v>
      </c>
      <c r="AG297" s="4" t="s">
        <v>890</v>
      </c>
      <c r="AH297" s="4" t="s">
        <v>891</v>
      </c>
      <c r="AI297" s="4" t="s">
        <v>224</v>
      </c>
    </row>
    <row r="298" spans="1:35" ht="36" x14ac:dyDescent="0.3">
      <c r="A298" s="10" t="s">
        <v>955</v>
      </c>
      <c r="B298" s="10"/>
      <c r="C298" s="16" t="s">
        <v>893</v>
      </c>
      <c r="D298" s="12"/>
      <c r="E298" s="12"/>
      <c r="F298" s="17" t="s">
        <v>308</v>
      </c>
      <c r="G298" s="18">
        <v>1.5</v>
      </c>
      <c r="H298" s="18"/>
      <c r="I298" s="18">
        <v>37.799999999999997</v>
      </c>
      <c r="J298" s="19">
        <v>260</v>
      </c>
      <c r="M298" s="20">
        <f>ROUND(ROUND(J298, 2)*I298, 2)</f>
        <v>9828</v>
      </c>
      <c r="P298" s="19">
        <v>260</v>
      </c>
      <c r="S298" s="20">
        <f>ROUND(ROUND(P298, 2)*I298, 2)</f>
        <v>9828</v>
      </c>
      <c r="V298" s="9">
        <f>ROUND(ROUND(P298, 2)/1.2, 2)</f>
        <v>216.67</v>
      </c>
      <c r="Y298" s="9">
        <f t="shared" si="13"/>
        <v>8190</v>
      </c>
      <c r="AD298" s="4" t="s">
        <v>956</v>
      </c>
      <c r="AE298" s="4" t="s">
        <v>957</v>
      </c>
      <c r="AF298" s="4" t="s">
        <v>896</v>
      </c>
    </row>
    <row r="299" spans="1:35" ht="108" x14ac:dyDescent="0.3">
      <c r="A299" s="10" t="s">
        <v>958</v>
      </c>
      <c r="B299" s="10" t="s">
        <v>888</v>
      </c>
      <c r="C299" s="11" t="s">
        <v>889</v>
      </c>
      <c r="D299" s="12"/>
      <c r="E299" s="12" t="s">
        <v>959</v>
      </c>
      <c r="F299" s="12" t="s">
        <v>59</v>
      </c>
      <c r="G299" s="13">
        <v>1</v>
      </c>
      <c r="H299" s="13"/>
      <c r="I299" s="13">
        <v>9.3000000000000007</v>
      </c>
      <c r="J299" s="14">
        <v>390</v>
      </c>
      <c r="K299" s="15">
        <v>1010</v>
      </c>
      <c r="L299" s="14">
        <f>J299+ROUND(K299, 2)</f>
        <v>1400</v>
      </c>
      <c r="M299" s="14">
        <v>3627</v>
      </c>
      <c r="N299" s="14">
        <v>9393</v>
      </c>
      <c r="O299" s="14">
        <f>M299+N299</f>
        <v>13020</v>
      </c>
      <c r="P299" s="14">
        <v>390</v>
      </c>
      <c r="Q299" s="15">
        <v>1515</v>
      </c>
      <c r="R299" s="14">
        <f>P299+ROUND(Q299, 2)</f>
        <v>1905</v>
      </c>
      <c r="S299" s="14">
        <v>3627</v>
      </c>
      <c r="T299" s="14">
        <v>14089.5</v>
      </c>
      <c r="U299" s="14">
        <f>S299+T299</f>
        <v>17716.5</v>
      </c>
      <c r="V299" s="9">
        <f>ROUND(P299 / 1.2, 2)</f>
        <v>325</v>
      </c>
      <c r="W299" s="9">
        <f>ROUND(Q299 / 1.2, 2)</f>
        <v>1262.5</v>
      </c>
      <c r="X299" s="9">
        <f>ROUND(R299 / 1.2, 2)</f>
        <v>1587.5</v>
      </c>
      <c r="Y299" s="9">
        <f t="shared" si="13"/>
        <v>3022.5</v>
      </c>
      <c r="Z299" s="9">
        <f>ROUND(T299 / 1.2, 2)</f>
        <v>11741.25</v>
      </c>
      <c r="AA299" s="9">
        <f>Y299+Z299</f>
        <v>14763.75</v>
      </c>
      <c r="AD299" s="4">
        <v>315889992</v>
      </c>
      <c r="AE299" s="4">
        <v>27245752</v>
      </c>
      <c r="AG299" s="4" t="s">
        <v>890</v>
      </c>
      <c r="AH299" s="4" t="s">
        <v>891</v>
      </c>
      <c r="AI299" s="4" t="s">
        <v>224</v>
      </c>
    </row>
    <row r="300" spans="1:35" ht="36" x14ac:dyDescent="0.3">
      <c r="A300" s="10" t="s">
        <v>960</v>
      </c>
      <c r="B300" s="10"/>
      <c r="C300" s="16" t="s">
        <v>893</v>
      </c>
      <c r="D300" s="12"/>
      <c r="E300" s="12"/>
      <c r="F300" s="17" t="s">
        <v>308</v>
      </c>
      <c r="G300" s="18">
        <v>1.5</v>
      </c>
      <c r="H300" s="18"/>
      <c r="I300" s="18">
        <v>13.95</v>
      </c>
      <c r="J300" s="19">
        <v>260</v>
      </c>
      <c r="M300" s="20">
        <f>ROUND(ROUND(J300, 2)*I300, 2)</f>
        <v>3627</v>
      </c>
      <c r="P300" s="19">
        <v>260</v>
      </c>
      <c r="S300" s="20">
        <f>ROUND(ROUND(P300, 2)*I300, 2)</f>
        <v>3627</v>
      </c>
      <c r="V300" s="9">
        <f>ROUND(ROUND(P300, 2)/1.2, 2)</f>
        <v>216.67</v>
      </c>
      <c r="Y300" s="9">
        <f t="shared" si="13"/>
        <v>3022.5</v>
      </c>
      <c r="AD300" s="4" t="s">
        <v>961</v>
      </c>
      <c r="AE300" s="4" t="s">
        <v>962</v>
      </c>
      <c r="AF300" s="4" t="s">
        <v>896</v>
      </c>
    </row>
    <row r="301" spans="1:35" ht="108" x14ac:dyDescent="0.3">
      <c r="A301" s="10" t="s">
        <v>963</v>
      </c>
      <c r="B301" s="10" t="s">
        <v>888</v>
      </c>
      <c r="C301" s="11" t="s">
        <v>889</v>
      </c>
      <c r="D301" s="12"/>
      <c r="E301" s="12" t="s">
        <v>964</v>
      </c>
      <c r="F301" s="12" t="s">
        <v>59</v>
      </c>
      <c r="G301" s="13">
        <v>1</v>
      </c>
      <c r="H301" s="13"/>
      <c r="I301" s="13">
        <v>9.4</v>
      </c>
      <c r="J301" s="14">
        <v>390</v>
      </c>
      <c r="K301" s="15">
        <v>1010</v>
      </c>
      <c r="L301" s="14">
        <f>J301+ROUND(K301, 2)</f>
        <v>1400</v>
      </c>
      <c r="M301" s="14">
        <v>3666</v>
      </c>
      <c r="N301" s="14">
        <v>9494</v>
      </c>
      <c r="O301" s="14">
        <f>M301+N301</f>
        <v>13160</v>
      </c>
      <c r="P301" s="14">
        <v>390</v>
      </c>
      <c r="Q301" s="15">
        <v>1515</v>
      </c>
      <c r="R301" s="14">
        <f>P301+ROUND(Q301, 2)</f>
        <v>1905</v>
      </c>
      <c r="S301" s="14">
        <v>3666</v>
      </c>
      <c r="T301" s="14">
        <v>14241</v>
      </c>
      <c r="U301" s="14">
        <f>S301+T301</f>
        <v>17907</v>
      </c>
      <c r="V301" s="9">
        <f>ROUND(P301 / 1.2, 2)</f>
        <v>325</v>
      </c>
      <c r="W301" s="9">
        <f>ROUND(Q301 / 1.2, 2)</f>
        <v>1262.5</v>
      </c>
      <c r="X301" s="9">
        <f>ROUND(R301 / 1.2, 2)</f>
        <v>1587.5</v>
      </c>
      <c r="Y301" s="9">
        <f t="shared" si="13"/>
        <v>3055</v>
      </c>
      <c r="Z301" s="9">
        <f>ROUND(T301 / 1.2, 2)</f>
        <v>11867.5</v>
      </c>
      <c r="AA301" s="9">
        <f>Y301+Z301</f>
        <v>14922.5</v>
      </c>
      <c r="AD301" s="4">
        <v>315889993</v>
      </c>
      <c r="AE301" s="4">
        <v>27245756</v>
      </c>
      <c r="AG301" s="4" t="s">
        <v>890</v>
      </c>
      <c r="AH301" s="4" t="s">
        <v>891</v>
      </c>
      <c r="AI301" s="4" t="s">
        <v>224</v>
      </c>
    </row>
    <row r="302" spans="1:35" ht="36" x14ac:dyDescent="0.3">
      <c r="A302" s="10" t="s">
        <v>965</v>
      </c>
      <c r="B302" s="10"/>
      <c r="C302" s="16" t="s">
        <v>893</v>
      </c>
      <c r="D302" s="12"/>
      <c r="E302" s="12"/>
      <c r="F302" s="17" t="s">
        <v>308</v>
      </c>
      <c r="G302" s="18">
        <v>1.5</v>
      </c>
      <c r="H302" s="18"/>
      <c r="I302" s="18">
        <v>14.1</v>
      </c>
      <c r="J302" s="19">
        <v>260</v>
      </c>
      <c r="M302" s="20">
        <f>ROUND(ROUND(J302, 2)*I302, 2)</f>
        <v>3666</v>
      </c>
      <c r="P302" s="19">
        <v>260</v>
      </c>
      <c r="S302" s="20">
        <f>ROUND(ROUND(P302, 2)*I302, 2)</f>
        <v>3666</v>
      </c>
      <c r="V302" s="9">
        <f>ROUND(ROUND(P302, 2)/1.2, 2)</f>
        <v>216.67</v>
      </c>
      <c r="Y302" s="9">
        <f t="shared" ref="Y302:Y333" si="14">ROUND(S302 / 1.2, 2)</f>
        <v>3055</v>
      </c>
      <c r="AD302" s="4" t="s">
        <v>966</v>
      </c>
      <c r="AE302" s="4" t="s">
        <v>967</v>
      </c>
      <c r="AF302" s="4" t="s">
        <v>896</v>
      </c>
    </row>
    <row r="303" spans="1:35" ht="18" x14ac:dyDescent="0.3">
      <c r="A303" s="10" t="s">
        <v>968</v>
      </c>
      <c r="B303" s="10" t="s">
        <v>888</v>
      </c>
      <c r="C303" s="11" t="s">
        <v>889</v>
      </c>
      <c r="D303" s="12"/>
      <c r="E303" s="12"/>
      <c r="F303" s="12" t="s">
        <v>59</v>
      </c>
      <c r="G303" s="13">
        <v>1</v>
      </c>
      <c r="H303" s="13"/>
      <c r="I303" s="13">
        <v>0</v>
      </c>
      <c r="J303" s="14">
        <v>0</v>
      </c>
      <c r="K303" s="15">
        <v>1010</v>
      </c>
      <c r="L303" s="14">
        <f>J303+ROUND(K303, 2)</f>
        <v>1010</v>
      </c>
      <c r="M303" s="14">
        <v>0</v>
      </c>
      <c r="N303" s="14">
        <v>0</v>
      </c>
      <c r="O303" s="14">
        <f>M303+N303</f>
        <v>0</v>
      </c>
      <c r="P303" s="14">
        <v>0</v>
      </c>
      <c r="Q303" s="15">
        <v>1515</v>
      </c>
      <c r="R303" s="14">
        <f>P303+ROUND(Q303, 2)</f>
        <v>1515</v>
      </c>
      <c r="S303" s="14">
        <v>0</v>
      </c>
      <c r="T303" s="14">
        <v>0</v>
      </c>
      <c r="U303" s="14">
        <f>S303+T303</f>
        <v>0</v>
      </c>
      <c r="V303" s="9">
        <f>ROUND(P303 / 1.2, 2)</f>
        <v>0</v>
      </c>
      <c r="W303" s="9">
        <f>ROUND(Q303 / 1.2, 2)</f>
        <v>1262.5</v>
      </c>
      <c r="X303" s="9">
        <f>ROUND(R303 / 1.2, 2)</f>
        <v>1262.5</v>
      </c>
      <c r="Y303" s="9">
        <f t="shared" si="14"/>
        <v>0</v>
      </c>
      <c r="Z303" s="9">
        <f>ROUND(T303 / 1.2, 2)</f>
        <v>0</v>
      </c>
      <c r="AA303" s="9">
        <f>Y303+Z303</f>
        <v>0</v>
      </c>
      <c r="AD303" s="4">
        <v>315889994</v>
      </c>
      <c r="AE303" s="4">
        <v>27245687</v>
      </c>
      <c r="AG303" s="4" t="s">
        <v>890</v>
      </c>
      <c r="AH303" s="4" t="s">
        <v>891</v>
      </c>
      <c r="AI303" s="4" t="s">
        <v>224</v>
      </c>
    </row>
    <row r="304" spans="1:35" ht="36" x14ac:dyDescent="0.3">
      <c r="A304" s="10" t="s">
        <v>969</v>
      </c>
      <c r="B304" s="10"/>
      <c r="C304" s="16" t="s">
        <v>893</v>
      </c>
      <c r="D304" s="12"/>
      <c r="E304" s="12"/>
      <c r="F304" s="17" t="s">
        <v>308</v>
      </c>
      <c r="G304" s="18">
        <v>1.5</v>
      </c>
      <c r="H304" s="18"/>
      <c r="I304" s="18">
        <v>0</v>
      </c>
      <c r="J304" s="19">
        <v>260</v>
      </c>
      <c r="M304" s="20">
        <f>ROUND(ROUND(J304, 2)*I304, 2)</f>
        <v>0</v>
      </c>
      <c r="P304" s="19">
        <v>260</v>
      </c>
      <c r="S304" s="20">
        <f>ROUND(ROUND(P304, 2)*I304, 2)</f>
        <v>0</v>
      </c>
      <c r="V304" s="9">
        <f>ROUND(ROUND(P304, 2)/1.2, 2)</f>
        <v>216.67</v>
      </c>
      <c r="Y304" s="9">
        <f t="shared" si="14"/>
        <v>0</v>
      </c>
      <c r="AD304" s="4" t="s">
        <v>970</v>
      </c>
      <c r="AE304" s="4" t="s">
        <v>971</v>
      </c>
      <c r="AF304" s="4" t="s">
        <v>896</v>
      </c>
    </row>
    <row r="305" spans="1:35" ht="18" x14ac:dyDescent="0.3">
      <c r="A305" s="10" t="s">
        <v>972</v>
      </c>
      <c r="B305" s="10" t="s">
        <v>973</v>
      </c>
      <c r="C305" s="11" t="s">
        <v>974</v>
      </c>
      <c r="D305" s="12"/>
      <c r="E305" s="12"/>
      <c r="F305" s="12" t="s">
        <v>59</v>
      </c>
      <c r="G305" s="13">
        <v>1</v>
      </c>
      <c r="H305" s="13"/>
      <c r="I305" s="13">
        <v>0</v>
      </c>
      <c r="J305" s="14">
        <v>0</v>
      </c>
      <c r="K305" s="15">
        <v>1010</v>
      </c>
      <c r="L305" s="14">
        <f>J305+ROUND(K305, 2)</f>
        <v>1010</v>
      </c>
      <c r="M305" s="14">
        <v>0</v>
      </c>
      <c r="N305" s="14">
        <v>0</v>
      </c>
      <c r="O305" s="14">
        <f>M305+N305</f>
        <v>0</v>
      </c>
      <c r="P305" s="14">
        <v>418</v>
      </c>
      <c r="Q305" s="15">
        <v>1010</v>
      </c>
      <c r="R305" s="14">
        <f>P305+ROUND(Q305, 2)</f>
        <v>1428</v>
      </c>
      <c r="S305" s="14">
        <v>0</v>
      </c>
      <c r="T305" s="14">
        <v>0</v>
      </c>
      <c r="U305" s="14">
        <f>S305+T305</f>
        <v>0</v>
      </c>
      <c r="V305" s="9">
        <f>ROUND(P305 / 1.2, 2)</f>
        <v>348.33</v>
      </c>
      <c r="W305" s="9">
        <f>ROUND(Q305 / 1.2, 2)</f>
        <v>841.67</v>
      </c>
      <c r="X305" s="9">
        <f>ROUND(R305 / 1.2, 2)</f>
        <v>1190</v>
      </c>
      <c r="Y305" s="9">
        <f t="shared" si="14"/>
        <v>0</v>
      </c>
      <c r="Z305" s="9">
        <f>ROUND(T305 / 1.2, 2)</f>
        <v>0</v>
      </c>
      <c r="AA305" s="9">
        <f>Y305+Z305</f>
        <v>0</v>
      </c>
      <c r="AD305" s="4">
        <v>315889995</v>
      </c>
      <c r="AE305" s="4">
        <v>27245696</v>
      </c>
      <c r="AG305" s="4" t="s">
        <v>975</v>
      </c>
      <c r="AH305" s="4" t="s">
        <v>976</v>
      </c>
      <c r="AI305" s="4" t="s">
        <v>224</v>
      </c>
    </row>
    <row r="306" spans="1:35" ht="18" x14ac:dyDescent="0.3">
      <c r="A306" s="10" t="s">
        <v>977</v>
      </c>
      <c r="B306" s="10"/>
      <c r="C306" s="16" t="s">
        <v>978</v>
      </c>
      <c r="D306" s="12"/>
      <c r="E306" s="12"/>
      <c r="F306" s="17" t="s">
        <v>308</v>
      </c>
      <c r="G306" s="18">
        <v>1</v>
      </c>
      <c r="H306" s="18"/>
      <c r="I306" s="18">
        <v>0</v>
      </c>
      <c r="J306" s="19">
        <v>418</v>
      </c>
      <c r="M306" s="20">
        <f>ROUND(ROUND(J306, 2)*I306, 2)</f>
        <v>0</v>
      </c>
      <c r="P306" s="19">
        <v>418</v>
      </c>
      <c r="S306" s="20">
        <f>ROUND(ROUND(P306, 2)*I306, 2)</f>
        <v>0</v>
      </c>
      <c r="V306" s="9">
        <f>ROUND(ROUND(P306, 2)/1.2, 2)</f>
        <v>348.33</v>
      </c>
      <c r="Y306" s="9">
        <f t="shared" si="14"/>
        <v>0</v>
      </c>
      <c r="AD306" s="4" t="s">
        <v>979</v>
      </c>
      <c r="AE306" s="4" t="s">
        <v>980</v>
      </c>
      <c r="AF306" s="4" t="s">
        <v>981</v>
      </c>
    </row>
    <row r="307" spans="1:35" ht="306" x14ac:dyDescent="0.3">
      <c r="A307" s="10" t="s">
        <v>982</v>
      </c>
      <c r="B307" s="10" t="s">
        <v>973</v>
      </c>
      <c r="C307" s="11" t="s">
        <v>974</v>
      </c>
      <c r="D307" s="12"/>
      <c r="E307" s="12" t="s">
        <v>983</v>
      </c>
      <c r="F307" s="12" t="s">
        <v>59</v>
      </c>
      <c r="G307" s="13">
        <v>1</v>
      </c>
      <c r="H307" s="13"/>
      <c r="I307" s="13">
        <v>227.3</v>
      </c>
      <c r="J307" s="14">
        <v>418</v>
      </c>
      <c r="K307" s="15">
        <v>1010</v>
      </c>
      <c r="L307" s="14">
        <f>J307+ROUND(K307, 2)</f>
        <v>1428</v>
      </c>
      <c r="M307" s="14">
        <v>95011.4</v>
      </c>
      <c r="N307" s="14">
        <v>229573</v>
      </c>
      <c r="O307" s="14">
        <f>M307+N307</f>
        <v>324584.40000000002</v>
      </c>
      <c r="P307" s="14">
        <v>418</v>
      </c>
      <c r="Q307" s="15">
        <v>1515</v>
      </c>
      <c r="R307" s="14">
        <f>P307+ROUND(Q307, 2)</f>
        <v>1933</v>
      </c>
      <c r="S307" s="14">
        <v>95011.4</v>
      </c>
      <c r="T307" s="14">
        <v>344359.5</v>
      </c>
      <c r="U307" s="14">
        <f>S307+T307</f>
        <v>439370.9</v>
      </c>
      <c r="V307" s="9">
        <f>ROUND(P307 / 1.2, 2)</f>
        <v>348.33</v>
      </c>
      <c r="W307" s="9">
        <f>ROUND(Q307 / 1.2, 2)</f>
        <v>1262.5</v>
      </c>
      <c r="X307" s="9">
        <f>ROUND(R307 / 1.2, 2)</f>
        <v>1610.83</v>
      </c>
      <c r="Y307" s="9">
        <f t="shared" si="14"/>
        <v>79176.17</v>
      </c>
      <c r="Z307" s="9">
        <f>ROUND(T307 / 1.2, 2)</f>
        <v>286966.25</v>
      </c>
      <c r="AA307" s="9">
        <f>Y307+Z307</f>
        <v>366142.42</v>
      </c>
      <c r="AD307" s="4">
        <v>315889996</v>
      </c>
      <c r="AE307" s="4">
        <v>27245764</v>
      </c>
      <c r="AG307" s="4" t="s">
        <v>975</v>
      </c>
      <c r="AH307" s="4" t="s">
        <v>976</v>
      </c>
      <c r="AI307" s="4" t="s">
        <v>224</v>
      </c>
    </row>
    <row r="308" spans="1:35" ht="396" x14ac:dyDescent="0.3">
      <c r="A308" s="10" t="s">
        <v>984</v>
      </c>
      <c r="B308" s="10"/>
      <c r="C308" s="16" t="s">
        <v>978</v>
      </c>
      <c r="D308" s="12"/>
      <c r="E308" s="12" t="s">
        <v>985</v>
      </c>
      <c r="F308" s="17" t="s">
        <v>308</v>
      </c>
      <c r="G308" s="18">
        <v>1</v>
      </c>
      <c r="H308" s="18"/>
      <c r="I308" s="18">
        <v>227.3</v>
      </c>
      <c r="J308" s="19">
        <v>418</v>
      </c>
      <c r="M308" s="20">
        <f>ROUND(ROUND(J308, 2)*I308, 2)</f>
        <v>95011.4</v>
      </c>
      <c r="P308" s="19">
        <v>418</v>
      </c>
      <c r="S308" s="20">
        <f>ROUND(ROUND(P308, 2)*I308, 2)</f>
        <v>95011.4</v>
      </c>
      <c r="V308" s="9">
        <f>ROUND(ROUND(P308, 2)/1.2, 2)</f>
        <v>348.33</v>
      </c>
      <c r="Y308" s="9">
        <f t="shared" si="14"/>
        <v>79176.17</v>
      </c>
      <c r="AD308" s="4" t="s">
        <v>986</v>
      </c>
      <c r="AE308" s="4" t="s">
        <v>987</v>
      </c>
      <c r="AF308" s="4" t="s">
        <v>981</v>
      </c>
    </row>
    <row r="309" spans="1:35" ht="36" x14ac:dyDescent="0.3">
      <c r="A309" s="10" t="s">
        <v>988</v>
      </c>
      <c r="B309" s="10" t="s">
        <v>989</v>
      </c>
      <c r="C309" s="11" t="s">
        <v>990</v>
      </c>
      <c r="D309" s="12"/>
      <c r="E309" s="12"/>
      <c r="F309" s="12" t="s">
        <v>59</v>
      </c>
      <c r="G309" s="13">
        <v>1</v>
      </c>
      <c r="H309" s="13"/>
      <c r="I309" s="13">
        <v>0</v>
      </c>
      <c r="J309" s="14">
        <v>0</v>
      </c>
      <c r="K309" s="15">
        <v>428</v>
      </c>
      <c r="L309" s="14">
        <f>J309+ROUND(K309, 2)</f>
        <v>428</v>
      </c>
      <c r="M309" s="14">
        <v>0</v>
      </c>
      <c r="N309" s="14">
        <v>0</v>
      </c>
      <c r="O309" s="14">
        <f>M309+N309</f>
        <v>0</v>
      </c>
      <c r="P309" s="14">
        <v>162.09</v>
      </c>
      <c r="Q309" s="15">
        <v>428</v>
      </c>
      <c r="R309" s="14">
        <f>P309+ROUND(Q309, 2)</f>
        <v>590.09</v>
      </c>
      <c r="S309" s="14">
        <v>0</v>
      </c>
      <c r="T309" s="14">
        <v>0</v>
      </c>
      <c r="U309" s="14">
        <f>S309+T309</f>
        <v>0</v>
      </c>
      <c r="V309" s="9">
        <f>ROUND(P309 / 1.2, 2)</f>
        <v>135.08000000000001</v>
      </c>
      <c r="W309" s="9">
        <f>ROUND(Q309 / 1.2, 2)</f>
        <v>356.67</v>
      </c>
      <c r="X309" s="9">
        <f>ROUND(R309 / 1.2, 2)</f>
        <v>491.74</v>
      </c>
      <c r="Y309" s="9">
        <f t="shared" si="14"/>
        <v>0</v>
      </c>
      <c r="Z309" s="9">
        <f>ROUND(T309 / 1.2, 2)</f>
        <v>0</v>
      </c>
      <c r="AA309" s="9">
        <f>Y309+Z309</f>
        <v>0</v>
      </c>
      <c r="AD309" s="4">
        <v>315889998</v>
      </c>
      <c r="AE309" s="4">
        <v>27245646</v>
      </c>
      <c r="AG309" s="4" t="s">
        <v>991</v>
      </c>
      <c r="AH309" s="4" t="s">
        <v>992</v>
      </c>
      <c r="AI309" s="4" t="s">
        <v>224</v>
      </c>
    </row>
    <row r="310" spans="1:35" ht="36" x14ac:dyDescent="0.3">
      <c r="A310" s="10" t="s">
        <v>993</v>
      </c>
      <c r="B310" s="10"/>
      <c r="C310" s="16" t="s">
        <v>552</v>
      </c>
      <c r="D310" s="12"/>
      <c r="E310" s="12"/>
      <c r="F310" s="17" t="s">
        <v>227</v>
      </c>
      <c r="G310" s="18">
        <v>0.15</v>
      </c>
      <c r="H310" s="18"/>
      <c r="I310" s="18">
        <v>0</v>
      </c>
      <c r="J310" s="19">
        <v>88.8</v>
      </c>
      <c r="M310" s="20">
        <f>ROUND(ROUND(J310, 2)*I310, 2)</f>
        <v>0</v>
      </c>
      <c r="P310" s="19">
        <v>88.8</v>
      </c>
      <c r="S310" s="20">
        <f>ROUND(ROUND(P310, 2)*I310, 2)</f>
        <v>0</v>
      </c>
      <c r="V310" s="9">
        <f>ROUND(ROUND(P310, 2)/1.2, 2)</f>
        <v>74</v>
      </c>
      <c r="Y310" s="9">
        <f t="shared" si="14"/>
        <v>0</v>
      </c>
      <c r="AD310" s="4" t="s">
        <v>994</v>
      </c>
      <c r="AE310" s="4" t="s">
        <v>995</v>
      </c>
      <c r="AF310" s="4" t="s">
        <v>555</v>
      </c>
    </row>
    <row r="311" spans="1:35" ht="36" x14ac:dyDescent="0.3">
      <c r="A311" s="10" t="s">
        <v>996</v>
      </c>
      <c r="B311" s="10"/>
      <c r="C311" s="16" t="s">
        <v>997</v>
      </c>
      <c r="D311" s="12"/>
      <c r="E311" s="12"/>
      <c r="F311" s="17" t="s">
        <v>227</v>
      </c>
      <c r="G311" s="18">
        <v>0.3</v>
      </c>
      <c r="H311" s="18"/>
      <c r="I311" s="18">
        <v>0</v>
      </c>
      <c r="J311" s="19">
        <v>1216.56</v>
      </c>
      <c r="M311" s="20">
        <f>ROUND(ROUND(J311, 2)*I311, 2)</f>
        <v>0</v>
      </c>
      <c r="P311" s="19">
        <v>495.9</v>
      </c>
      <c r="S311" s="20">
        <f>ROUND(ROUND(P311, 2)*I311, 2)</f>
        <v>0</v>
      </c>
      <c r="V311" s="9">
        <f>ROUND(ROUND(P311, 2)/1.2, 2)</f>
        <v>413.25</v>
      </c>
      <c r="Y311" s="9">
        <f t="shared" si="14"/>
        <v>0</v>
      </c>
      <c r="AD311" s="4" t="s">
        <v>998</v>
      </c>
      <c r="AE311" s="4" t="s">
        <v>999</v>
      </c>
      <c r="AF311" s="4" t="s">
        <v>1000</v>
      </c>
    </row>
    <row r="312" spans="1:35" ht="36" x14ac:dyDescent="0.3">
      <c r="A312" s="10" t="s">
        <v>1001</v>
      </c>
      <c r="B312" s="10" t="s">
        <v>989</v>
      </c>
      <c r="C312" s="11" t="s">
        <v>990</v>
      </c>
      <c r="D312" s="12"/>
      <c r="E312" s="12"/>
      <c r="F312" s="12" t="s">
        <v>59</v>
      </c>
      <c r="G312" s="13">
        <v>1</v>
      </c>
      <c r="H312" s="13"/>
      <c r="I312" s="13">
        <v>0</v>
      </c>
      <c r="J312" s="14">
        <v>0</v>
      </c>
      <c r="K312" s="15">
        <v>428</v>
      </c>
      <c r="L312" s="14">
        <f>J312+ROUND(K312, 2)</f>
        <v>428</v>
      </c>
      <c r="M312" s="14">
        <v>0</v>
      </c>
      <c r="N312" s="14">
        <v>0</v>
      </c>
      <c r="O312" s="14">
        <f>M312+N312</f>
        <v>0</v>
      </c>
      <c r="P312" s="14">
        <v>162.09</v>
      </c>
      <c r="Q312" s="15">
        <v>428</v>
      </c>
      <c r="R312" s="14">
        <f>P312+ROUND(Q312, 2)</f>
        <v>590.09</v>
      </c>
      <c r="S312" s="14">
        <v>0</v>
      </c>
      <c r="T312" s="14">
        <v>0</v>
      </c>
      <c r="U312" s="14">
        <f>S312+T312</f>
        <v>0</v>
      </c>
      <c r="V312" s="9">
        <f>ROUND(P312 / 1.2, 2)</f>
        <v>135.08000000000001</v>
      </c>
      <c r="W312" s="9">
        <f>ROUND(Q312 / 1.2, 2)</f>
        <v>356.67</v>
      </c>
      <c r="X312" s="9">
        <f>ROUND(R312 / 1.2, 2)</f>
        <v>491.74</v>
      </c>
      <c r="Y312" s="9">
        <f t="shared" si="14"/>
        <v>0</v>
      </c>
      <c r="Z312" s="9">
        <f>ROUND(T312 / 1.2, 2)</f>
        <v>0</v>
      </c>
      <c r="AA312" s="9">
        <f>Y312+Z312</f>
        <v>0</v>
      </c>
      <c r="AD312" s="4">
        <v>315889999</v>
      </c>
      <c r="AE312" s="4">
        <v>27245647</v>
      </c>
      <c r="AG312" s="4" t="s">
        <v>991</v>
      </c>
      <c r="AH312" s="4" t="s">
        <v>992</v>
      </c>
      <c r="AI312" s="4" t="s">
        <v>224</v>
      </c>
    </row>
    <row r="313" spans="1:35" ht="36" x14ac:dyDescent="0.3">
      <c r="A313" s="10" t="s">
        <v>1002</v>
      </c>
      <c r="B313" s="10"/>
      <c r="C313" s="16" t="s">
        <v>997</v>
      </c>
      <c r="D313" s="12"/>
      <c r="E313" s="12"/>
      <c r="F313" s="17" t="s">
        <v>227</v>
      </c>
      <c r="G313" s="18">
        <v>0.3</v>
      </c>
      <c r="H313" s="18"/>
      <c r="I313" s="18">
        <v>0</v>
      </c>
      <c r="J313" s="19">
        <v>1216.56</v>
      </c>
      <c r="M313" s="20">
        <f>ROUND(ROUND(J313, 2)*I313, 2)</f>
        <v>0</v>
      </c>
      <c r="P313" s="19">
        <v>495.9</v>
      </c>
      <c r="S313" s="20">
        <f>ROUND(ROUND(P313, 2)*I313, 2)</f>
        <v>0</v>
      </c>
      <c r="V313" s="9">
        <f>ROUND(ROUND(P313, 2)/1.2, 2)</f>
        <v>413.25</v>
      </c>
      <c r="Y313" s="9">
        <f t="shared" si="14"/>
        <v>0</v>
      </c>
      <c r="AD313" s="4" t="s">
        <v>1003</v>
      </c>
      <c r="AE313" s="4" t="s">
        <v>1004</v>
      </c>
      <c r="AF313" s="4" t="s">
        <v>1000</v>
      </c>
    </row>
    <row r="314" spans="1:35" ht="36" x14ac:dyDescent="0.3">
      <c r="A314" s="10" t="s">
        <v>1005</v>
      </c>
      <c r="B314" s="10"/>
      <c r="C314" s="16" t="s">
        <v>552</v>
      </c>
      <c r="D314" s="12"/>
      <c r="E314" s="12"/>
      <c r="F314" s="17" t="s">
        <v>227</v>
      </c>
      <c r="G314" s="18">
        <v>0.15</v>
      </c>
      <c r="H314" s="18"/>
      <c r="I314" s="18">
        <v>0</v>
      </c>
      <c r="J314" s="19">
        <v>88.8</v>
      </c>
      <c r="M314" s="20">
        <f>ROUND(ROUND(J314, 2)*I314, 2)</f>
        <v>0</v>
      </c>
      <c r="P314" s="19">
        <v>88.8</v>
      </c>
      <c r="S314" s="20">
        <f>ROUND(ROUND(P314, 2)*I314, 2)</f>
        <v>0</v>
      </c>
      <c r="V314" s="9">
        <f>ROUND(ROUND(P314, 2)/1.2, 2)</f>
        <v>74</v>
      </c>
      <c r="Y314" s="9">
        <f t="shared" si="14"/>
        <v>0</v>
      </c>
      <c r="AD314" s="4" t="s">
        <v>1006</v>
      </c>
      <c r="AE314" s="4" t="s">
        <v>1007</v>
      </c>
      <c r="AF314" s="4" t="s">
        <v>555</v>
      </c>
    </row>
    <row r="315" spans="1:35" ht="36" x14ac:dyDescent="0.3">
      <c r="A315" s="10" t="s">
        <v>1008</v>
      </c>
      <c r="B315" s="10" t="s">
        <v>989</v>
      </c>
      <c r="C315" s="11" t="s">
        <v>990</v>
      </c>
      <c r="D315" s="12"/>
      <c r="E315" s="12"/>
      <c r="F315" s="12" t="s">
        <v>59</v>
      </c>
      <c r="G315" s="13">
        <v>1</v>
      </c>
      <c r="H315" s="13"/>
      <c r="I315" s="13">
        <v>0</v>
      </c>
      <c r="J315" s="14">
        <v>0</v>
      </c>
      <c r="K315" s="15">
        <v>428</v>
      </c>
      <c r="L315" s="14">
        <f>J315+ROUND(K315, 2)</f>
        <v>428</v>
      </c>
      <c r="M315" s="14">
        <v>0</v>
      </c>
      <c r="N315" s="14">
        <v>0</v>
      </c>
      <c r="O315" s="14">
        <f>M315+N315</f>
        <v>0</v>
      </c>
      <c r="P315" s="14">
        <v>162.09</v>
      </c>
      <c r="Q315" s="15">
        <v>428</v>
      </c>
      <c r="R315" s="14">
        <f>P315+ROUND(Q315, 2)</f>
        <v>590.09</v>
      </c>
      <c r="S315" s="14">
        <v>0</v>
      </c>
      <c r="T315" s="14">
        <v>0</v>
      </c>
      <c r="U315" s="14">
        <f>S315+T315</f>
        <v>0</v>
      </c>
      <c r="V315" s="9">
        <f>ROUND(P315 / 1.2, 2)</f>
        <v>135.08000000000001</v>
      </c>
      <c r="W315" s="9">
        <f>ROUND(Q315 / 1.2, 2)</f>
        <v>356.67</v>
      </c>
      <c r="X315" s="9">
        <f>ROUND(R315 / 1.2, 2)</f>
        <v>491.74</v>
      </c>
      <c r="Y315" s="9">
        <f t="shared" si="14"/>
        <v>0</v>
      </c>
      <c r="Z315" s="9">
        <f>ROUND(T315 / 1.2, 2)</f>
        <v>0</v>
      </c>
      <c r="AA315" s="9">
        <f>Y315+Z315</f>
        <v>0</v>
      </c>
      <c r="AD315" s="4">
        <v>315890000</v>
      </c>
      <c r="AE315" s="4">
        <v>27245648</v>
      </c>
      <c r="AG315" s="4" t="s">
        <v>991</v>
      </c>
      <c r="AH315" s="4" t="s">
        <v>992</v>
      </c>
      <c r="AI315" s="4" t="s">
        <v>224</v>
      </c>
    </row>
    <row r="316" spans="1:35" ht="36" x14ac:dyDescent="0.3">
      <c r="A316" s="10" t="s">
        <v>1009</v>
      </c>
      <c r="B316" s="10"/>
      <c r="C316" s="16" t="s">
        <v>552</v>
      </c>
      <c r="D316" s="12"/>
      <c r="E316" s="12"/>
      <c r="F316" s="17" t="s">
        <v>227</v>
      </c>
      <c r="G316" s="18">
        <v>0.15</v>
      </c>
      <c r="H316" s="18"/>
      <c r="I316" s="18">
        <v>0</v>
      </c>
      <c r="J316" s="19">
        <v>88.8</v>
      </c>
      <c r="M316" s="20">
        <f>ROUND(ROUND(J316, 2)*I316, 2)</f>
        <v>0</v>
      </c>
      <c r="P316" s="19">
        <v>88.8</v>
      </c>
      <c r="S316" s="20">
        <f>ROUND(ROUND(P316, 2)*I316, 2)</f>
        <v>0</v>
      </c>
      <c r="V316" s="9">
        <f>ROUND(ROUND(P316, 2)/1.2, 2)</f>
        <v>74</v>
      </c>
      <c r="Y316" s="9">
        <f t="shared" si="14"/>
        <v>0</v>
      </c>
      <c r="AD316" s="4" t="s">
        <v>1010</v>
      </c>
      <c r="AE316" s="4" t="s">
        <v>1011</v>
      </c>
      <c r="AF316" s="4" t="s">
        <v>555</v>
      </c>
    </row>
    <row r="317" spans="1:35" ht="36" x14ac:dyDescent="0.3">
      <c r="A317" s="10" t="s">
        <v>1012</v>
      </c>
      <c r="B317" s="10"/>
      <c r="C317" s="16" t="s">
        <v>997</v>
      </c>
      <c r="D317" s="12"/>
      <c r="E317" s="12"/>
      <c r="F317" s="17" t="s">
        <v>227</v>
      </c>
      <c r="G317" s="18">
        <v>0.3</v>
      </c>
      <c r="H317" s="18"/>
      <c r="I317" s="18">
        <v>0</v>
      </c>
      <c r="J317" s="19">
        <v>1216.56</v>
      </c>
      <c r="M317" s="20">
        <f>ROUND(ROUND(J317, 2)*I317, 2)</f>
        <v>0</v>
      </c>
      <c r="P317" s="19">
        <v>495.9</v>
      </c>
      <c r="S317" s="20">
        <f>ROUND(ROUND(P317, 2)*I317, 2)</f>
        <v>0</v>
      </c>
      <c r="V317" s="9">
        <f>ROUND(ROUND(P317, 2)/1.2, 2)</f>
        <v>413.25</v>
      </c>
      <c r="Y317" s="9">
        <f t="shared" si="14"/>
        <v>0</v>
      </c>
      <c r="AD317" s="4" t="s">
        <v>1013</v>
      </c>
      <c r="AE317" s="4" t="s">
        <v>1014</v>
      </c>
      <c r="AF317" s="4" t="s">
        <v>1000</v>
      </c>
    </row>
    <row r="318" spans="1:35" ht="36" x14ac:dyDescent="0.3">
      <c r="A318" s="10" t="s">
        <v>1015</v>
      </c>
      <c r="B318" s="10" t="s">
        <v>989</v>
      </c>
      <c r="C318" s="11" t="s">
        <v>990</v>
      </c>
      <c r="D318" s="12"/>
      <c r="E318" s="12"/>
      <c r="F318" s="12" t="s">
        <v>59</v>
      </c>
      <c r="G318" s="13">
        <v>1</v>
      </c>
      <c r="H318" s="13"/>
      <c r="I318" s="13">
        <v>0</v>
      </c>
      <c r="J318" s="14">
        <v>0</v>
      </c>
      <c r="K318" s="15">
        <v>428</v>
      </c>
      <c r="L318" s="14">
        <f>J318+ROUND(K318, 2)</f>
        <v>428</v>
      </c>
      <c r="M318" s="14">
        <v>0</v>
      </c>
      <c r="N318" s="14">
        <v>0</v>
      </c>
      <c r="O318" s="14">
        <f>M318+N318</f>
        <v>0</v>
      </c>
      <c r="P318" s="14">
        <v>162.09</v>
      </c>
      <c r="Q318" s="15">
        <v>428</v>
      </c>
      <c r="R318" s="14">
        <f>P318+ROUND(Q318, 2)</f>
        <v>590.09</v>
      </c>
      <c r="S318" s="14">
        <v>0</v>
      </c>
      <c r="T318" s="14">
        <v>0</v>
      </c>
      <c r="U318" s="14">
        <f>S318+T318</f>
        <v>0</v>
      </c>
      <c r="V318" s="9">
        <f>ROUND(P318 / 1.2, 2)</f>
        <v>135.08000000000001</v>
      </c>
      <c r="W318" s="9">
        <f>ROUND(Q318 / 1.2, 2)</f>
        <v>356.67</v>
      </c>
      <c r="X318" s="9">
        <f>ROUND(R318 / 1.2, 2)</f>
        <v>491.74</v>
      </c>
      <c r="Y318" s="9">
        <f t="shared" si="14"/>
        <v>0</v>
      </c>
      <c r="Z318" s="9">
        <f>ROUND(T318 / 1.2, 2)</f>
        <v>0</v>
      </c>
      <c r="AA318" s="9">
        <f>Y318+Z318</f>
        <v>0</v>
      </c>
      <c r="AD318" s="4">
        <v>315890001</v>
      </c>
      <c r="AE318" s="4">
        <v>27245649</v>
      </c>
      <c r="AG318" s="4" t="s">
        <v>991</v>
      </c>
      <c r="AH318" s="4" t="s">
        <v>992</v>
      </c>
      <c r="AI318" s="4" t="s">
        <v>224</v>
      </c>
    </row>
    <row r="319" spans="1:35" ht="36" x14ac:dyDescent="0.3">
      <c r="A319" s="10" t="s">
        <v>1016</v>
      </c>
      <c r="B319" s="10"/>
      <c r="C319" s="16" t="s">
        <v>997</v>
      </c>
      <c r="D319" s="12"/>
      <c r="E319" s="12"/>
      <c r="F319" s="17" t="s">
        <v>227</v>
      </c>
      <c r="G319" s="18">
        <v>0.3</v>
      </c>
      <c r="H319" s="18"/>
      <c r="I319" s="18">
        <v>0</v>
      </c>
      <c r="J319" s="19">
        <v>1216.56</v>
      </c>
      <c r="M319" s="20">
        <f>ROUND(ROUND(J319, 2)*I319, 2)</f>
        <v>0</v>
      </c>
      <c r="P319" s="19">
        <v>495.9</v>
      </c>
      <c r="S319" s="20">
        <f>ROUND(ROUND(P319, 2)*I319, 2)</f>
        <v>0</v>
      </c>
      <c r="V319" s="9">
        <f>ROUND(ROUND(P319, 2)/1.2, 2)</f>
        <v>413.25</v>
      </c>
      <c r="Y319" s="9">
        <f t="shared" si="14"/>
        <v>0</v>
      </c>
      <c r="AD319" s="4" t="s">
        <v>1017</v>
      </c>
      <c r="AE319" s="4" t="s">
        <v>1018</v>
      </c>
      <c r="AF319" s="4" t="s">
        <v>1000</v>
      </c>
    </row>
    <row r="320" spans="1:35" ht="36" x14ac:dyDescent="0.3">
      <c r="A320" s="10" t="s">
        <v>1019</v>
      </c>
      <c r="B320" s="10"/>
      <c r="C320" s="16" t="s">
        <v>552</v>
      </c>
      <c r="D320" s="12"/>
      <c r="E320" s="12"/>
      <c r="F320" s="17" t="s">
        <v>227</v>
      </c>
      <c r="G320" s="18">
        <v>0.15</v>
      </c>
      <c r="H320" s="18"/>
      <c r="I320" s="18">
        <v>0</v>
      </c>
      <c r="J320" s="19">
        <v>88.8</v>
      </c>
      <c r="M320" s="20">
        <f>ROUND(ROUND(J320, 2)*I320, 2)</f>
        <v>0</v>
      </c>
      <c r="P320" s="19">
        <v>88.8</v>
      </c>
      <c r="S320" s="20">
        <f>ROUND(ROUND(P320, 2)*I320, 2)</f>
        <v>0</v>
      </c>
      <c r="V320" s="9">
        <f>ROUND(ROUND(P320, 2)/1.2, 2)</f>
        <v>74</v>
      </c>
      <c r="Y320" s="9">
        <f t="shared" si="14"/>
        <v>0</v>
      </c>
      <c r="AD320" s="4" t="s">
        <v>1020</v>
      </c>
      <c r="AE320" s="4" t="s">
        <v>1021</v>
      </c>
      <c r="AF320" s="4" t="s">
        <v>555</v>
      </c>
    </row>
    <row r="321" spans="1:35" ht="36" x14ac:dyDescent="0.3">
      <c r="A321" s="10" t="s">
        <v>1022</v>
      </c>
      <c r="B321" s="10" t="s">
        <v>989</v>
      </c>
      <c r="C321" s="11" t="s">
        <v>990</v>
      </c>
      <c r="D321" s="12"/>
      <c r="E321" s="12"/>
      <c r="F321" s="12" t="s">
        <v>59</v>
      </c>
      <c r="G321" s="13">
        <v>1</v>
      </c>
      <c r="H321" s="13"/>
      <c r="I321" s="13">
        <v>0</v>
      </c>
      <c r="J321" s="14">
        <v>0</v>
      </c>
      <c r="K321" s="15">
        <v>428</v>
      </c>
      <c r="L321" s="14">
        <f>J321+ROUND(K321, 2)</f>
        <v>428</v>
      </c>
      <c r="M321" s="14">
        <v>0</v>
      </c>
      <c r="N321" s="14">
        <v>0</v>
      </c>
      <c r="O321" s="14">
        <f>M321+N321</f>
        <v>0</v>
      </c>
      <c r="P321" s="14">
        <v>162.09</v>
      </c>
      <c r="Q321" s="15">
        <v>428</v>
      </c>
      <c r="R321" s="14">
        <f>P321+ROUND(Q321, 2)</f>
        <v>590.09</v>
      </c>
      <c r="S321" s="14">
        <v>0</v>
      </c>
      <c r="T321" s="14">
        <v>0</v>
      </c>
      <c r="U321" s="14">
        <f>S321+T321</f>
        <v>0</v>
      </c>
      <c r="V321" s="9">
        <f>ROUND(P321 / 1.2, 2)</f>
        <v>135.08000000000001</v>
      </c>
      <c r="W321" s="9">
        <f>ROUND(Q321 / 1.2, 2)</f>
        <v>356.67</v>
      </c>
      <c r="X321" s="9">
        <f>ROUND(R321 / 1.2, 2)</f>
        <v>491.74</v>
      </c>
      <c r="Y321" s="9">
        <f t="shared" si="14"/>
        <v>0</v>
      </c>
      <c r="Z321" s="9">
        <f>ROUND(T321 / 1.2, 2)</f>
        <v>0</v>
      </c>
      <c r="AA321" s="9">
        <f>Y321+Z321</f>
        <v>0</v>
      </c>
      <c r="AD321" s="4">
        <v>315890002</v>
      </c>
      <c r="AE321" s="4">
        <v>27245650</v>
      </c>
      <c r="AG321" s="4" t="s">
        <v>991</v>
      </c>
      <c r="AH321" s="4" t="s">
        <v>992</v>
      </c>
      <c r="AI321" s="4" t="s">
        <v>224</v>
      </c>
    </row>
    <row r="322" spans="1:35" ht="36" x14ac:dyDescent="0.3">
      <c r="A322" s="10" t="s">
        <v>1023</v>
      </c>
      <c r="B322" s="10"/>
      <c r="C322" s="16" t="s">
        <v>552</v>
      </c>
      <c r="D322" s="12"/>
      <c r="E322" s="12"/>
      <c r="F322" s="17" t="s">
        <v>227</v>
      </c>
      <c r="G322" s="18">
        <v>0.15</v>
      </c>
      <c r="H322" s="18"/>
      <c r="I322" s="18">
        <v>0</v>
      </c>
      <c r="J322" s="19">
        <v>88.8</v>
      </c>
      <c r="M322" s="20">
        <f>ROUND(ROUND(J322, 2)*I322, 2)</f>
        <v>0</v>
      </c>
      <c r="P322" s="19">
        <v>88.8</v>
      </c>
      <c r="S322" s="20">
        <f>ROUND(ROUND(P322, 2)*I322, 2)</f>
        <v>0</v>
      </c>
      <c r="V322" s="9">
        <f>ROUND(ROUND(P322, 2)/1.2, 2)</f>
        <v>74</v>
      </c>
      <c r="Y322" s="9">
        <f t="shared" si="14"/>
        <v>0</v>
      </c>
      <c r="AD322" s="4" t="s">
        <v>1024</v>
      </c>
      <c r="AE322" s="4" t="s">
        <v>1025</v>
      </c>
      <c r="AF322" s="4" t="s">
        <v>555</v>
      </c>
    </row>
    <row r="323" spans="1:35" ht="36" x14ac:dyDescent="0.3">
      <c r="A323" s="10" t="s">
        <v>1026</v>
      </c>
      <c r="B323" s="10"/>
      <c r="C323" s="16" t="s">
        <v>997</v>
      </c>
      <c r="D323" s="12"/>
      <c r="E323" s="12"/>
      <c r="F323" s="17" t="s">
        <v>227</v>
      </c>
      <c r="G323" s="18">
        <v>0.3</v>
      </c>
      <c r="H323" s="18"/>
      <c r="I323" s="18">
        <v>0</v>
      </c>
      <c r="J323" s="19">
        <v>1216.56</v>
      </c>
      <c r="M323" s="20">
        <f>ROUND(ROUND(J323, 2)*I323, 2)</f>
        <v>0</v>
      </c>
      <c r="P323" s="19">
        <v>495.9</v>
      </c>
      <c r="S323" s="20">
        <f>ROUND(ROUND(P323, 2)*I323, 2)</f>
        <v>0</v>
      </c>
      <c r="V323" s="9">
        <f>ROUND(ROUND(P323, 2)/1.2, 2)</f>
        <v>413.25</v>
      </c>
      <c r="Y323" s="9">
        <f t="shared" si="14"/>
        <v>0</v>
      </c>
      <c r="AD323" s="4" t="s">
        <v>1027</v>
      </c>
      <c r="AE323" s="4" t="s">
        <v>1028</v>
      </c>
      <c r="AF323" s="4" t="s">
        <v>1000</v>
      </c>
    </row>
    <row r="324" spans="1:35" ht="36" x14ac:dyDescent="0.3">
      <c r="A324" s="10" t="s">
        <v>1029</v>
      </c>
      <c r="B324" s="10" t="s">
        <v>989</v>
      </c>
      <c r="C324" s="11" t="s">
        <v>990</v>
      </c>
      <c r="D324" s="12"/>
      <c r="E324" s="12"/>
      <c r="F324" s="12" t="s">
        <v>59</v>
      </c>
      <c r="G324" s="13">
        <v>1</v>
      </c>
      <c r="H324" s="13"/>
      <c r="I324" s="13">
        <v>0</v>
      </c>
      <c r="J324" s="14">
        <v>0</v>
      </c>
      <c r="K324" s="15">
        <v>428</v>
      </c>
      <c r="L324" s="14">
        <f>J324+ROUND(K324, 2)</f>
        <v>428</v>
      </c>
      <c r="M324" s="14">
        <v>0</v>
      </c>
      <c r="N324" s="14">
        <v>0</v>
      </c>
      <c r="O324" s="14">
        <f>M324+N324</f>
        <v>0</v>
      </c>
      <c r="P324" s="14">
        <v>162.09</v>
      </c>
      <c r="Q324" s="15">
        <v>428</v>
      </c>
      <c r="R324" s="14">
        <f>P324+ROUND(Q324, 2)</f>
        <v>590.09</v>
      </c>
      <c r="S324" s="14">
        <v>0</v>
      </c>
      <c r="T324" s="14">
        <v>0</v>
      </c>
      <c r="U324" s="14">
        <f>S324+T324</f>
        <v>0</v>
      </c>
      <c r="V324" s="9">
        <f>ROUND(P324 / 1.2, 2)</f>
        <v>135.08000000000001</v>
      </c>
      <c r="W324" s="9">
        <f>ROUND(Q324 / 1.2, 2)</f>
        <v>356.67</v>
      </c>
      <c r="X324" s="9">
        <f>ROUND(R324 / 1.2, 2)</f>
        <v>491.74</v>
      </c>
      <c r="Y324" s="9">
        <f t="shared" si="14"/>
        <v>0</v>
      </c>
      <c r="Z324" s="9">
        <f>ROUND(T324 / 1.2, 2)</f>
        <v>0</v>
      </c>
      <c r="AA324" s="9">
        <f>Y324+Z324</f>
        <v>0</v>
      </c>
      <c r="AD324" s="4">
        <v>315890003</v>
      </c>
      <c r="AE324" s="4">
        <v>27245651</v>
      </c>
      <c r="AG324" s="4" t="s">
        <v>991</v>
      </c>
      <c r="AH324" s="4" t="s">
        <v>992</v>
      </c>
      <c r="AI324" s="4" t="s">
        <v>224</v>
      </c>
    </row>
    <row r="325" spans="1:35" ht="36" x14ac:dyDescent="0.3">
      <c r="A325" s="10" t="s">
        <v>1030</v>
      </c>
      <c r="B325" s="10"/>
      <c r="C325" s="16" t="s">
        <v>997</v>
      </c>
      <c r="D325" s="12"/>
      <c r="E325" s="12"/>
      <c r="F325" s="17" t="s">
        <v>227</v>
      </c>
      <c r="G325" s="18">
        <v>0.3</v>
      </c>
      <c r="H325" s="18"/>
      <c r="I325" s="18">
        <v>0</v>
      </c>
      <c r="J325" s="19">
        <v>1216.56</v>
      </c>
      <c r="M325" s="20">
        <f>ROUND(ROUND(J325, 2)*I325, 2)</f>
        <v>0</v>
      </c>
      <c r="P325" s="19">
        <v>495.9</v>
      </c>
      <c r="S325" s="20">
        <f>ROUND(ROUND(P325, 2)*I325, 2)</f>
        <v>0</v>
      </c>
      <c r="V325" s="9">
        <f>ROUND(ROUND(P325, 2)/1.2, 2)</f>
        <v>413.25</v>
      </c>
      <c r="Y325" s="9">
        <f t="shared" si="14"/>
        <v>0</v>
      </c>
      <c r="AD325" s="4" t="s">
        <v>1031</v>
      </c>
      <c r="AE325" s="4" t="s">
        <v>1032</v>
      </c>
      <c r="AF325" s="4" t="s">
        <v>1000</v>
      </c>
    </row>
    <row r="326" spans="1:35" ht="36" x14ac:dyDescent="0.3">
      <c r="A326" s="10" t="s">
        <v>1033</v>
      </c>
      <c r="B326" s="10"/>
      <c r="C326" s="16" t="s">
        <v>552</v>
      </c>
      <c r="D326" s="12"/>
      <c r="E326" s="12"/>
      <c r="F326" s="17" t="s">
        <v>227</v>
      </c>
      <c r="G326" s="18">
        <v>0.15</v>
      </c>
      <c r="H326" s="18"/>
      <c r="I326" s="18">
        <v>0</v>
      </c>
      <c r="J326" s="19">
        <v>88.8</v>
      </c>
      <c r="M326" s="20">
        <f>ROUND(ROUND(J326, 2)*I326, 2)</f>
        <v>0</v>
      </c>
      <c r="P326" s="19">
        <v>88.8</v>
      </c>
      <c r="S326" s="20">
        <f>ROUND(ROUND(P326, 2)*I326, 2)</f>
        <v>0</v>
      </c>
      <c r="V326" s="9">
        <f>ROUND(ROUND(P326, 2)/1.2, 2)</f>
        <v>74</v>
      </c>
      <c r="Y326" s="9">
        <f t="shared" si="14"/>
        <v>0</v>
      </c>
      <c r="AD326" s="4" t="s">
        <v>1034</v>
      </c>
      <c r="AE326" s="4" t="s">
        <v>1035</v>
      </c>
      <c r="AF326" s="4" t="s">
        <v>555</v>
      </c>
    </row>
    <row r="327" spans="1:35" ht="36" x14ac:dyDescent="0.3">
      <c r="A327" s="10" t="s">
        <v>1036</v>
      </c>
      <c r="B327" s="10" t="s">
        <v>989</v>
      </c>
      <c r="C327" s="11" t="s">
        <v>990</v>
      </c>
      <c r="D327" s="12"/>
      <c r="E327" s="12"/>
      <c r="F327" s="12" t="s">
        <v>59</v>
      </c>
      <c r="G327" s="13">
        <v>1</v>
      </c>
      <c r="H327" s="13"/>
      <c r="I327" s="13">
        <v>0</v>
      </c>
      <c r="J327" s="14">
        <v>0</v>
      </c>
      <c r="K327" s="15">
        <v>428</v>
      </c>
      <c r="L327" s="14">
        <f>J327+ROUND(K327, 2)</f>
        <v>428</v>
      </c>
      <c r="M327" s="14">
        <v>0</v>
      </c>
      <c r="N327" s="14">
        <v>0</v>
      </c>
      <c r="O327" s="14">
        <f>M327+N327</f>
        <v>0</v>
      </c>
      <c r="P327" s="14">
        <v>162.09</v>
      </c>
      <c r="Q327" s="15">
        <v>428</v>
      </c>
      <c r="R327" s="14">
        <f>P327+ROUND(Q327, 2)</f>
        <v>590.09</v>
      </c>
      <c r="S327" s="14">
        <v>0</v>
      </c>
      <c r="T327" s="14">
        <v>0</v>
      </c>
      <c r="U327" s="14">
        <f>S327+T327</f>
        <v>0</v>
      </c>
      <c r="V327" s="9">
        <f>ROUND(P327 / 1.2, 2)</f>
        <v>135.08000000000001</v>
      </c>
      <c r="W327" s="9">
        <f>ROUND(Q327 / 1.2, 2)</f>
        <v>356.67</v>
      </c>
      <c r="X327" s="9">
        <f>ROUND(R327 / 1.2, 2)</f>
        <v>491.74</v>
      </c>
      <c r="Y327" s="9">
        <f t="shared" si="14"/>
        <v>0</v>
      </c>
      <c r="Z327" s="9">
        <f>ROUND(T327 / 1.2, 2)</f>
        <v>0</v>
      </c>
      <c r="AA327" s="9">
        <f>Y327+Z327</f>
        <v>0</v>
      </c>
      <c r="AD327" s="4">
        <v>315890004</v>
      </c>
      <c r="AE327" s="4">
        <v>27245652</v>
      </c>
      <c r="AG327" s="4" t="s">
        <v>991</v>
      </c>
      <c r="AH327" s="4" t="s">
        <v>992</v>
      </c>
      <c r="AI327" s="4" t="s">
        <v>224</v>
      </c>
    </row>
    <row r="328" spans="1:35" ht="36" x14ac:dyDescent="0.3">
      <c r="A328" s="10" t="s">
        <v>1037</v>
      </c>
      <c r="B328" s="10"/>
      <c r="C328" s="16" t="s">
        <v>552</v>
      </c>
      <c r="D328" s="12"/>
      <c r="E328" s="12"/>
      <c r="F328" s="17" t="s">
        <v>227</v>
      </c>
      <c r="G328" s="18">
        <v>0.15</v>
      </c>
      <c r="H328" s="18"/>
      <c r="I328" s="18">
        <v>0</v>
      </c>
      <c r="J328" s="19">
        <v>88.8</v>
      </c>
      <c r="M328" s="20">
        <f>ROUND(ROUND(J328, 2)*I328, 2)</f>
        <v>0</v>
      </c>
      <c r="P328" s="19">
        <v>88.8</v>
      </c>
      <c r="S328" s="20">
        <f>ROUND(ROUND(P328, 2)*I328, 2)</f>
        <v>0</v>
      </c>
      <c r="V328" s="9">
        <f>ROUND(ROUND(P328, 2)/1.2, 2)</f>
        <v>74</v>
      </c>
      <c r="Y328" s="9">
        <f t="shared" si="14"/>
        <v>0</v>
      </c>
      <c r="AD328" s="4" t="s">
        <v>1038</v>
      </c>
      <c r="AE328" s="4" t="s">
        <v>1039</v>
      </c>
      <c r="AF328" s="4" t="s">
        <v>555</v>
      </c>
    </row>
    <row r="329" spans="1:35" ht="36" x14ac:dyDescent="0.3">
      <c r="A329" s="10" t="s">
        <v>1040</v>
      </c>
      <c r="B329" s="10"/>
      <c r="C329" s="16" t="s">
        <v>997</v>
      </c>
      <c r="D329" s="12"/>
      <c r="E329" s="12"/>
      <c r="F329" s="17" t="s">
        <v>227</v>
      </c>
      <c r="G329" s="18">
        <v>0.3</v>
      </c>
      <c r="H329" s="18"/>
      <c r="I329" s="18">
        <v>0</v>
      </c>
      <c r="J329" s="19">
        <v>1216.56</v>
      </c>
      <c r="M329" s="20">
        <f>ROUND(ROUND(J329, 2)*I329, 2)</f>
        <v>0</v>
      </c>
      <c r="P329" s="19">
        <v>495.9</v>
      </c>
      <c r="S329" s="20">
        <f>ROUND(ROUND(P329, 2)*I329, 2)</f>
        <v>0</v>
      </c>
      <c r="V329" s="9">
        <f>ROUND(ROUND(P329, 2)/1.2, 2)</f>
        <v>413.25</v>
      </c>
      <c r="Y329" s="9">
        <f t="shared" si="14"/>
        <v>0</v>
      </c>
      <c r="AD329" s="4" t="s">
        <v>1041</v>
      </c>
      <c r="AE329" s="4" t="s">
        <v>1042</v>
      </c>
      <c r="AF329" s="4" t="s">
        <v>1000</v>
      </c>
    </row>
    <row r="330" spans="1:35" ht="36" x14ac:dyDescent="0.3">
      <c r="A330" s="10" t="s">
        <v>1043</v>
      </c>
      <c r="B330" s="10" t="s">
        <v>989</v>
      </c>
      <c r="C330" s="11" t="s">
        <v>990</v>
      </c>
      <c r="D330" s="12"/>
      <c r="E330" s="12"/>
      <c r="F330" s="12" t="s">
        <v>59</v>
      </c>
      <c r="G330" s="13">
        <v>1</v>
      </c>
      <c r="H330" s="13"/>
      <c r="I330" s="13">
        <v>0</v>
      </c>
      <c r="J330" s="14">
        <v>0</v>
      </c>
      <c r="K330" s="15">
        <v>428</v>
      </c>
      <c r="L330" s="14">
        <f>J330+ROUND(K330, 2)</f>
        <v>428</v>
      </c>
      <c r="M330" s="14">
        <v>0</v>
      </c>
      <c r="N330" s="14">
        <v>0</v>
      </c>
      <c r="O330" s="14">
        <f>M330+N330</f>
        <v>0</v>
      </c>
      <c r="P330" s="14">
        <v>162.09</v>
      </c>
      <c r="Q330" s="15">
        <v>428</v>
      </c>
      <c r="R330" s="14">
        <f>P330+ROUND(Q330, 2)</f>
        <v>590.09</v>
      </c>
      <c r="S330" s="14">
        <v>0</v>
      </c>
      <c r="T330" s="14">
        <v>0</v>
      </c>
      <c r="U330" s="14">
        <f>S330+T330</f>
        <v>0</v>
      </c>
      <c r="V330" s="9">
        <f>ROUND(P330 / 1.2, 2)</f>
        <v>135.08000000000001</v>
      </c>
      <c r="W330" s="9">
        <f>ROUND(Q330 / 1.2, 2)</f>
        <v>356.67</v>
      </c>
      <c r="X330" s="9">
        <f>ROUND(R330 / 1.2, 2)</f>
        <v>491.74</v>
      </c>
      <c r="Y330" s="9">
        <f t="shared" si="14"/>
        <v>0</v>
      </c>
      <c r="Z330" s="9">
        <f>ROUND(T330 / 1.2, 2)</f>
        <v>0</v>
      </c>
      <c r="AA330" s="9">
        <f>Y330+Z330</f>
        <v>0</v>
      </c>
      <c r="AD330" s="4">
        <v>315890005</v>
      </c>
      <c r="AE330" s="4">
        <v>27245653</v>
      </c>
      <c r="AG330" s="4" t="s">
        <v>991</v>
      </c>
      <c r="AH330" s="4" t="s">
        <v>992</v>
      </c>
      <c r="AI330" s="4" t="s">
        <v>224</v>
      </c>
    </row>
    <row r="331" spans="1:35" ht="36" x14ac:dyDescent="0.3">
      <c r="A331" s="10" t="s">
        <v>1044</v>
      </c>
      <c r="B331" s="10"/>
      <c r="C331" s="16" t="s">
        <v>997</v>
      </c>
      <c r="D331" s="12"/>
      <c r="E331" s="12"/>
      <c r="F331" s="17" t="s">
        <v>227</v>
      </c>
      <c r="G331" s="18">
        <v>0.3</v>
      </c>
      <c r="H331" s="18"/>
      <c r="I331" s="18">
        <v>0</v>
      </c>
      <c r="J331" s="19">
        <v>1216.56</v>
      </c>
      <c r="M331" s="20">
        <f>ROUND(ROUND(J331, 2)*I331, 2)</f>
        <v>0</v>
      </c>
      <c r="P331" s="19">
        <v>495.9</v>
      </c>
      <c r="S331" s="20">
        <f>ROUND(ROUND(P331, 2)*I331, 2)</f>
        <v>0</v>
      </c>
      <c r="V331" s="9">
        <f>ROUND(ROUND(P331, 2)/1.2, 2)</f>
        <v>413.25</v>
      </c>
      <c r="Y331" s="9">
        <f t="shared" si="14"/>
        <v>0</v>
      </c>
      <c r="AD331" s="4" t="s">
        <v>1045</v>
      </c>
      <c r="AE331" s="4" t="s">
        <v>1046</v>
      </c>
      <c r="AF331" s="4" t="s">
        <v>1000</v>
      </c>
    </row>
    <row r="332" spans="1:35" ht="36" x14ac:dyDescent="0.3">
      <c r="A332" s="10" t="s">
        <v>1047</v>
      </c>
      <c r="B332" s="10"/>
      <c r="C332" s="16" t="s">
        <v>552</v>
      </c>
      <c r="D332" s="12"/>
      <c r="E332" s="12"/>
      <c r="F332" s="17" t="s">
        <v>227</v>
      </c>
      <c r="G332" s="18">
        <v>0.15</v>
      </c>
      <c r="H332" s="18"/>
      <c r="I332" s="18">
        <v>0</v>
      </c>
      <c r="J332" s="19">
        <v>88.8</v>
      </c>
      <c r="M332" s="20">
        <f>ROUND(ROUND(J332, 2)*I332, 2)</f>
        <v>0</v>
      </c>
      <c r="P332" s="19">
        <v>88.8</v>
      </c>
      <c r="S332" s="20">
        <f>ROUND(ROUND(P332, 2)*I332, 2)</f>
        <v>0</v>
      </c>
      <c r="V332" s="9">
        <f>ROUND(ROUND(P332, 2)/1.2, 2)</f>
        <v>74</v>
      </c>
      <c r="Y332" s="9">
        <f t="shared" si="14"/>
        <v>0</v>
      </c>
      <c r="AD332" s="4" t="s">
        <v>1048</v>
      </c>
      <c r="AE332" s="4" t="s">
        <v>1049</v>
      </c>
      <c r="AF332" s="4" t="s">
        <v>555</v>
      </c>
    </row>
    <row r="333" spans="1:35" ht="108" x14ac:dyDescent="0.3">
      <c r="A333" s="10" t="s">
        <v>1050</v>
      </c>
      <c r="B333" s="10" t="s">
        <v>989</v>
      </c>
      <c r="C333" s="11" t="s">
        <v>990</v>
      </c>
      <c r="D333" s="12"/>
      <c r="E333" s="12" t="s">
        <v>1051</v>
      </c>
      <c r="F333" s="12" t="s">
        <v>59</v>
      </c>
      <c r="G333" s="13">
        <v>1</v>
      </c>
      <c r="H333" s="13"/>
      <c r="I333" s="13">
        <v>276</v>
      </c>
      <c r="J333" s="14">
        <v>378.29</v>
      </c>
      <c r="K333" s="15">
        <v>428</v>
      </c>
      <c r="L333" s="14">
        <f>J333+ROUND(K333, 2)</f>
        <v>806.29</v>
      </c>
      <c r="M333" s="14">
        <v>104408.04</v>
      </c>
      <c r="N333" s="14">
        <v>118128</v>
      </c>
      <c r="O333" s="14">
        <f>M333+N333</f>
        <v>222536.03999999998</v>
      </c>
      <c r="P333" s="14">
        <v>162.09</v>
      </c>
      <c r="Q333" s="15">
        <v>642</v>
      </c>
      <c r="R333" s="14">
        <f>P333+ROUND(Q333, 2)</f>
        <v>804.09</v>
      </c>
      <c r="S333" s="14">
        <v>44736.84</v>
      </c>
      <c r="T333" s="14">
        <v>177192</v>
      </c>
      <c r="U333" s="14">
        <f>S333+T333</f>
        <v>221928.84</v>
      </c>
      <c r="V333" s="9">
        <f>ROUND(P333 / 1.2, 2)</f>
        <v>135.08000000000001</v>
      </c>
      <c r="W333" s="9">
        <f>ROUND(Q333 / 1.2, 2)</f>
        <v>535</v>
      </c>
      <c r="X333" s="9">
        <f>ROUND(R333 / 1.2, 2)</f>
        <v>670.08</v>
      </c>
      <c r="Y333" s="9">
        <f t="shared" si="14"/>
        <v>37280.699999999997</v>
      </c>
      <c r="Z333" s="9">
        <f>ROUND(T333 / 1.2, 2)</f>
        <v>147660</v>
      </c>
      <c r="AA333" s="9">
        <f>Y333+Z333</f>
        <v>184940.7</v>
      </c>
      <c r="AD333" s="4">
        <v>315890006</v>
      </c>
      <c r="AE333" s="4">
        <v>27245751</v>
      </c>
      <c r="AG333" s="4" t="s">
        <v>991</v>
      </c>
      <c r="AH333" s="4" t="s">
        <v>992</v>
      </c>
      <c r="AI333" s="4" t="s">
        <v>224</v>
      </c>
    </row>
    <row r="334" spans="1:35" ht="36" x14ac:dyDescent="0.3">
      <c r="A334" s="10" t="s">
        <v>1052</v>
      </c>
      <c r="B334" s="10"/>
      <c r="C334" s="16" t="s">
        <v>552</v>
      </c>
      <c r="D334" s="12"/>
      <c r="E334" s="12"/>
      <c r="F334" s="17" t="s">
        <v>227</v>
      </c>
      <c r="G334" s="18">
        <v>0.15</v>
      </c>
      <c r="H334" s="18"/>
      <c r="I334" s="18">
        <v>41.4</v>
      </c>
      <c r="J334" s="19">
        <v>88.8</v>
      </c>
      <c r="M334" s="20">
        <f>ROUND(ROUND(J334, 2)*I334, 2)</f>
        <v>3676.32</v>
      </c>
      <c r="P334" s="19">
        <v>88.8</v>
      </c>
      <c r="S334" s="20">
        <f>ROUND(ROUND(P334, 2)*I334, 2)</f>
        <v>3676.32</v>
      </c>
      <c r="V334" s="9">
        <f>ROUND(ROUND(P334, 2)/1.2, 2)</f>
        <v>74</v>
      </c>
      <c r="Y334" s="9">
        <f t="shared" ref="Y334:Y365" si="15">ROUND(S334 / 1.2, 2)</f>
        <v>3063.6</v>
      </c>
      <c r="AD334" s="4" t="s">
        <v>1053</v>
      </c>
      <c r="AE334" s="4" t="s">
        <v>1054</v>
      </c>
      <c r="AF334" s="4" t="s">
        <v>555</v>
      </c>
    </row>
    <row r="335" spans="1:35" ht="36" x14ac:dyDescent="0.3">
      <c r="A335" s="10" t="s">
        <v>1055</v>
      </c>
      <c r="B335" s="10"/>
      <c r="C335" s="16" t="s">
        <v>997</v>
      </c>
      <c r="D335" s="12"/>
      <c r="E335" s="12"/>
      <c r="F335" s="17" t="s">
        <v>227</v>
      </c>
      <c r="G335" s="18">
        <v>0.3</v>
      </c>
      <c r="H335" s="18"/>
      <c r="I335" s="18">
        <v>82.8</v>
      </c>
      <c r="J335" s="19">
        <v>1216.56</v>
      </c>
      <c r="M335" s="20">
        <f>ROUND(ROUND(J335, 2)*I335, 2)</f>
        <v>100731.17</v>
      </c>
      <c r="P335" s="19">
        <v>495.9</v>
      </c>
      <c r="S335" s="20">
        <f>ROUND(ROUND(P335, 2)*I335, 2)</f>
        <v>41060.519999999997</v>
      </c>
      <c r="V335" s="9">
        <f>ROUND(ROUND(P335, 2)/1.2, 2)</f>
        <v>413.25</v>
      </c>
      <c r="Y335" s="9">
        <f t="shared" si="15"/>
        <v>34217.1</v>
      </c>
      <c r="AD335" s="4" t="s">
        <v>1056</v>
      </c>
      <c r="AE335" s="4" t="s">
        <v>1057</v>
      </c>
      <c r="AF335" s="4" t="s">
        <v>1000</v>
      </c>
    </row>
    <row r="336" spans="1:35" ht="108" x14ac:dyDescent="0.3">
      <c r="A336" s="10" t="s">
        <v>1058</v>
      </c>
      <c r="B336" s="10" t="s">
        <v>989</v>
      </c>
      <c r="C336" s="11" t="s">
        <v>990</v>
      </c>
      <c r="D336" s="12"/>
      <c r="E336" s="12" t="s">
        <v>1059</v>
      </c>
      <c r="F336" s="12" t="s">
        <v>59</v>
      </c>
      <c r="G336" s="13">
        <v>1</v>
      </c>
      <c r="H336" s="13"/>
      <c r="I336" s="13">
        <v>224.5</v>
      </c>
      <c r="J336" s="14">
        <v>378.29</v>
      </c>
      <c r="K336" s="15">
        <v>428</v>
      </c>
      <c r="L336" s="14">
        <f>J336+ROUND(K336, 2)</f>
        <v>806.29</v>
      </c>
      <c r="M336" s="14">
        <v>84926.11</v>
      </c>
      <c r="N336" s="14">
        <v>96086</v>
      </c>
      <c r="O336" s="14">
        <f>M336+N336</f>
        <v>181012.11</v>
      </c>
      <c r="P336" s="14">
        <v>162.09</v>
      </c>
      <c r="Q336" s="15">
        <v>642</v>
      </c>
      <c r="R336" s="14">
        <f>P336+ROUND(Q336, 2)</f>
        <v>804.09</v>
      </c>
      <c r="S336" s="14">
        <v>36389.21</v>
      </c>
      <c r="T336" s="14">
        <v>144129</v>
      </c>
      <c r="U336" s="14">
        <f>S336+T336</f>
        <v>180518.21</v>
      </c>
      <c r="V336" s="9">
        <f>ROUND(P336 / 1.2, 2)</f>
        <v>135.08000000000001</v>
      </c>
      <c r="W336" s="9">
        <f>ROUND(Q336 / 1.2, 2)</f>
        <v>535</v>
      </c>
      <c r="X336" s="9">
        <f>ROUND(R336 / 1.2, 2)</f>
        <v>670.08</v>
      </c>
      <c r="Y336" s="9">
        <f t="shared" si="15"/>
        <v>30324.34</v>
      </c>
      <c r="Z336" s="9">
        <f>ROUND(T336 / 1.2, 2)</f>
        <v>120107.5</v>
      </c>
      <c r="AA336" s="9">
        <f>Y336+Z336</f>
        <v>150431.84</v>
      </c>
      <c r="AD336" s="4">
        <v>315890007</v>
      </c>
      <c r="AE336" s="4">
        <v>27245754</v>
      </c>
      <c r="AG336" s="4" t="s">
        <v>991</v>
      </c>
      <c r="AH336" s="4" t="s">
        <v>992</v>
      </c>
      <c r="AI336" s="4" t="s">
        <v>224</v>
      </c>
    </row>
    <row r="337" spans="1:35" ht="36" x14ac:dyDescent="0.3">
      <c r="A337" s="10" t="s">
        <v>1060</v>
      </c>
      <c r="B337" s="10"/>
      <c r="C337" s="16" t="s">
        <v>997</v>
      </c>
      <c r="D337" s="12"/>
      <c r="E337" s="12"/>
      <c r="F337" s="17" t="s">
        <v>227</v>
      </c>
      <c r="G337" s="18">
        <v>0.3</v>
      </c>
      <c r="H337" s="18"/>
      <c r="I337" s="18">
        <v>67.349999999999994</v>
      </c>
      <c r="J337" s="19">
        <v>1216.56</v>
      </c>
      <c r="M337" s="20">
        <f>ROUND(ROUND(J337, 2)*I337, 2)</f>
        <v>81935.320000000007</v>
      </c>
      <c r="P337" s="19">
        <v>495.9</v>
      </c>
      <c r="S337" s="20">
        <f>ROUND(ROUND(P337, 2)*I337, 2)</f>
        <v>33398.870000000003</v>
      </c>
      <c r="V337" s="9">
        <f>ROUND(ROUND(P337, 2)/1.2, 2)</f>
        <v>413.25</v>
      </c>
      <c r="Y337" s="9">
        <f t="shared" si="15"/>
        <v>27832.39</v>
      </c>
      <c r="AD337" s="4" t="s">
        <v>1061</v>
      </c>
      <c r="AE337" s="4" t="s">
        <v>1062</v>
      </c>
      <c r="AF337" s="4" t="s">
        <v>1000</v>
      </c>
    </row>
    <row r="338" spans="1:35" ht="36" x14ac:dyDescent="0.3">
      <c r="A338" s="10" t="s">
        <v>1063</v>
      </c>
      <c r="B338" s="10"/>
      <c r="C338" s="16" t="s">
        <v>552</v>
      </c>
      <c r="D338" s="12"/>
      <c r="E338" s="12"/>
      <c r="F338" s="17" t="s">
        <v>227</v>
      </c>
      <c r="G338" s="18">
        <v>0.15</v>
      </c>
      <c r="H338" s="18"/>
      <c r="I338" s="18">
        <v>33.674999999999997</v>
      </c>
      <c r="J338" s="19">
        <v>88.8</v>
      </c>
      <c r="M338" s="20">
        <f>ROUND(ROUND(J338, 2)*I338, 2)</f>
        <v>2990.34</v>
      </c>
      <c r="P338" s="19">
        <v>88.8</v>
      </c>
      <c r="S338" s="20">
        <f>ROUND(ROUND(P338, 2)*I338, 2)</f>
        <v>2990.34</v>
      </c>
      <c r="V338" s="9">
        <f>ROUND(ROUND(P338, 2)/1.2, 2)</f>
        <v>74</v>
      </c>
      <c r="Y338" s="9">
        <f t="shared" si="15"/>
        <v>2491.9499999999998</v>
      </c>
      <c r="AD338" s="4" t="s">
        <v>1064</v>
      </c>
      <c r="AE338" s="4" t="s">
        <v>1065</v>
      </c>
      <c r="AF338" s="4" t="s">
        <v>555</v>
      </c>
    </row>
    <row r="339" spans="1:35" ht="108" x14ac:dyDescent="0.3">
      <c r="A339" s="10" t="s">
        <v>1066</v>
      </c>
      <c r="B339" s="10" t="s">
        <v>989</v>
      </c>
      <c r="C339" s="11" t="s">
        <v>990</v>
      </c>
      <c r="D339" s="12"/>
      <c r="E339" s="12" t="s">
        <v>1067</v>
      </c>
      <c r="F339" s="12" t="s">
        <v>59</v>
      </c>
      <c r="G339" s="13">
        <v>1</v>
      </c>
      <c r="H339" s="13"/>
      <c r="I339" s="13">
        <v>180</v>
      </c>
      <c r="J339" s="14">
        <v>378.29</v>
      </c>
      <c r="K339" s="15">
        <v>428</v>
      </c>
      <c r="L339" s="14">
        <f>J339+ROUND(K339, 2)</f>
        <v>806.29</v>
      </c>
      <c r="M339" s="14">
        <v>68092.2</v>
      </c>
      <c r="N339" s="14">
        <v>77040</v>
      </c>
      <c r="O339" s="14">
        <f>M339+N339</f>
        <v>145132.20000000001</v>
      </c>
      <c r="P339" s="14">
        <v>162.09</v>
      </c>
      <c r="Q339" s="15">
        <v>642</v>
      </c>
      <c r="R339" s="14">
        <f>P339+ROUND(Q339, 2)</f>
        <v>804.09</v>
      </c>
      <c r="S339" s="14">
        <v>29176.2</v>
      </c>
      <c r="T339" s="14">
        <v>115560</v>
      </c>
      <c r="U339" s="14">
        <f>S339+T339</f>
        <v>144736.20000000001</v>
      </c>
      <c r="V339" s="9">
        <f>ROUND(P339 / 1.2, 2)</f>
        <v>135.08000000000001</v>
      </c>
      <c r="W339" s="9">
        <f>ROUND(Q339 / 1.2, 2)</f>
        <v>535</v>
      </c>
      <c r="X339" s="9">
        <f>ROUND(R339 / 1.2, 2)</f>
        <v>670.08</v>
      </c>
      <c r="Y339" s="9">
        <f t="shared" si="15"/>
        <v>24313.5</v>
      </c>
      <c r="Z339" s="9">
        <f>ROUND(T339 / 1.2, 2)</f>
        <v>96300</v>
      </c>
      <c r="AA339" s="9">
        <f>Y339+Z339</f>
        <v>120613.5</v>
      </c>
      <c r="AD339" s="4">
        <v>315890008</v>
      </c>
      <c r="AE339" s="4">
        <v>27245759</v>
      </c>
      <c r="AG339" s="4" t="s">
        <v>991</v>
      </c>
      <c r="AH339" s="4" t="s">
        <v>992</v>
      </c>
      <c r="AI339" s="4" t="s">
        <v>224</v>
      </c>
    </row>
    <row r="340" spans="1:35" ht="36" x14ac:dyDescent="0.3">
      <c r="A340" s="10" t="s">
        <v>1068</v>
      </c>
      <c r="B340" s="10"/>
      <c r="C340" s="16" t="s">
        <v>552</v>
      </c>
      <c r="D340" s="12"/>
      <c r="E340" s="12"/>
      <c r="F340" s="17" t="s">
        <v>227</v>
      </c>
      <c r="G340" s="18">
        <v>0.15</v>
      </c>
      <c r="H340" s="18"/>
      <c r="I340" s="18">
        <v>27</v>
      </c>
      <c r="J340" s="19">
        <v>88.8</v>
      </c>
      <c r="M340" s="20">
        <f>ROUND(ROUND(J340, 2)*I340, 2)</f>
        <v>2397.6</v>
      </c>
      <c r="P340" s="19">
        <v>88.8</v>
      </c>
      <c r="S340" s="20">
        <f>ROUND(ROUND(P340, 2)*I340, 2)</f>
        <v>2397.6</v>
      </c>
      <c r="V340" s="9">
        <f>ROUND(ROUND(P340, 2)/1.2, 2)</f>
        <v>74</v>
      </c>
      <c r="Y340" s="9">
        <f t="shared" si="15"/>
        <v>1998</v>
      </c>
      <c r="AD340" s="4" t="s">
        <v>1069</v>
      </c>
      <c r="AE340" s="4" t="s">
        <v>1070</v>
      </c>
      <c r="AF340" s="4" t="s">
        <v>555</v>
      </c>
    </row>
    <row r="341" spans="1:35" ht="36" x14ac:dyDescent="0.3">
      <c r="A341" s="10" t="s">
        <v>1071</v>
      </c>
      <c r="B341" s="10"/>
      <c r="C341" s="16" t="s">
        <v>997</v>
      </c>
      <c r="D341" s="12"/>
      <c r="E341" s="12"/>
      <c r="F341" s="17" t="s">
        <v>227</v>
      </c>
      <c r="G341" s="18">
        <v>0.3</v>
      </c>
      <c r="H341" s="18"/>
      <c r="I341" s="18">
        <v>54</v>
      </c>
      <c r="J341" s="19">
        <v>1216.56</v>
      </c>
      <c r="M341" s="20">
        <f>ROUND(ROUND(J341, 2)*I341, 2)</f>
        <v>65694.240000000005</v>
      </c>
      <c r="P341" s="19">
        <v>495.9</v>
      </c>
      <c r="S341" s="20">
        <f>ROUND(ROUND(P341, 2)*I341, 2)</f>
        <v>26778.6</v>
      </c>
      <c r="V341" s="9">
        <f>ROUND(ROUND(P341, 2)/1.2, 2)</f>
        <v>413.25</v>
      </c>
      <c r="Y341" s="9">
        <f t="shared" si="15"/>
        <v>22315.5</v>
      </c>
      <c r="AD341" s="4" t="s">
        <v>1072</v>
      </c>
      <c r="AE341" s="4" t="s">
        <v>1073</v>
      </c>
      <c r="AF341" s="4" t="s">
        <v>1000</v>
      </c>
    </row>
    <row r="342" spans="1:35" ht="108" x14ac:dyDescent="0.3">
      <c r="A342" s="10" t="s">
        <v>1074</v>
      </c>
      <c r="B342" s="10" t="s">
        <v>989</v>
      </c>
      <c r="C342" s="11" t="s">
        <v>990</v>
      </c>
      <c r="D342" s="12"/>
      <c r="E342" s="12" t="s">
        <v>1075</v>
      </c>
      <c r="F342" s="12" t="s">
        <v>59</v>
      </c>
      <c r="G342" s="13">
        <v>1</v>
      </c>
      <c r="H342" s="13"/>
      <c r="I342" s="13">
        <v>1285.3</v>
      </c>
      <c r="J342" s="14">
        <v>378.29</v>
      </c>
      <c r="K342" s="15">
        <v>428</v>
      </c>
      <c r="L342" s="14">
        <f>J342+ROUND(K342, 2)</f>
        <v>806.29</v>
      </c>
      <c r="M342" s="14">
        <v>486216.14</v>
      </c>
      <c r="N342" s="14">
        <v>550108.4</v>
      </c>
      <c r="O342" s="14">
        <f>M342+N342</f>
        <v>1036324.54</v>
      </c>
      <c r="P342" s="14">
        <v>162.09</v>
      </c>
      <c r="Q342" s="15">
        <v>642</v>
      </c>
      <c r="R342" s="14">
        <f>P342+ROUND(Q342, 2)</f>
        <v>804.09</v>
      </c>
      <c r="S342" s="14">
        <v>208334.28</v>
      </c>
      <c r="T342" s="14">
        <v>825162.6</v>
      </c>
      <c r="U342" s="14">
        <f>S342+T342</f>
        <v>1033496.88</v>
      </c>
      <c r="V342" s="9">
        <f>ROUND(P342 / 1.2, 2)</f>
        <v>135.08000000000001</v>
      </c>
      <c r="W342" s="9">
        <f>ROUND(Q342 / 1.2, 2)</f>
        <v>535</v>
      </c>
      <c r="X342" s="9">
        <f>ROUND(R342 / 1.2, 2)</f>
        <v>670.08</v>
      </c>
      <c r="Y342" s="9">
        <f t="shared" si="15"/>
        <v>173611.9</v>
      </c>
      <c r="Z342" s="9">
        <f>ROUND(T342 / 1.2, 2)</f>
        <v>687635.5</v>
      </c>
      <c r="AA342" s="9">
        <f>Y342+Z342</f>
        <v>861247.4</v>
      </c>
      <c r="AD342" s="4">
        <v>315890009</v>
      </c>
      <c r="AE342" s="4">
        <v>27245747</v>
      </c>
      <c r="AG342" s="4" t="s">
        <v>991</v>
      </c>
      <c r="AH342" s="4" t="s">
        <v>992</v>
      </c>
      <c r="AI342" s="4" t="s">
        <v>224</v>
      </c>
    </row>
    <row r="343" spans="1:35" ht="36" x14ac:dyDescent="0.3">
      <c r="A343" s="10" t="s">
        <v>1076</v>
      </c>
      <c r="B343" s="10"/>
      <c r="C343" s="16" t="s">
        <v>997</v>
      </c>
      <c r="D343" s="12"/>
      <c r="E343" s="12"/>
      <c r="F343" s="17" t="s">
        <v>227</v>
      </c>
      <c r="G343" s="18">
        <v>0.3</v>
      </c>
      <c r="H343" s="18"/>
      <c r="I343" s="18">
        <v>385.59</v>
      </c>
      <c r="J343" s="19">
        <v>1216.56</v>
      </c>
      <c r="M343" s="20">
        <f>ROUND(ROUND(J343, 2)*I343, 2)</f>
        <v>469093.37</v>
      </c>
      <c r="P343" s="19">
        <v>495.9</v>
      </c>
      <c r="S343" s="20">
        <f>ROUND(ROUND(P343, 2)*I343, 2)</f>
        <v>191214.07999999999</v>
      </c>
      <c r="V343" s="9">
        <f>ROUND(ROUND(P343, 2)/1.2, 2)</f>
        <v>413.25</v>
      </c>
      <c r="Y343" s="9">
        <f t="shared" si="15"/>
        <v>159345.07</v>
      </c>
      <c r="AD343" s="4" t="s">
        <v>1077</v>
      </c>
      <c r="AE343" s="4" t="s">
        <v>1078</v>
      </c>
      <c r="AF343" s="4" t="s">
        <v>1000</v>
      </c>
    </row>
    <row r="344" spans="1:35" ht="36" x14ac:dyDescent="0.3">
      <c r="A344" s="10" t="s">
        <v>1079</v>
      </c>
      <c r="B344" s="10"/>
      <c r="C344" s="16" t="s">
        <v>552</v>
      </c>
      <c r="D344" s="12"/>
      <c r="E344" s="12"/>
      <c r="F344" s="17" t="s">
        <v>227</v>
      </c>
      <c r="G344" s="18">
        <v>0.15</v>
      </c>
      <c r="H344" s="18"/>
      <c r="I344" s="18">
        <v>192.79499999999999</v>
      </c>
      <c r="J344" s="19">
        <v>88.8</v>
      </c>
      <c r="M344" s="20">
        <f>ROUND(ROUND(J344, 2)*I344, 2)</f>
        <v>17120.2</v>
      </c>
      <c r="P344" s="19">
        <v>88.8</v>
      </c>
      <c r="S344" s="20">
        <f>ROUND(ROUND(P344, 2)*I344, 2)</f>
        <v>17120.2</v>
      </c>
      <c r="V344" s="9">
        <f>ROUND(ROUND(P344, 2)/1.2, 2)</f>
        <v>74</v>
      </c>
      <c r="Y344" s="9">
        <f t="shared" si="15"/>
        <v>14266.83</v>
      </c>
      <c r="AD344" s="4" t="s">
        <v>1080</v>
      </c>
      <c r="AE344" s="4" t="s">
        <v>1081</v>
      </c>
      <c r="AF344" s="4" t="s">
        <v>555</v>
      </c>
    </row>
    <row r="345" spans="1:35" ht="108" x14ac:dyDescent="0.3">
      <c r="A345" s="10" t="s">
        <v>1082</v>
      </c>
      <c r="B345" s="10" t="s">
        <v>989</v>
      </c>
      <c r="C345" s="11" t="s">
        <v>990</v>
      </c>
      <c r="D345" s="12"/>
      <c r="E345" s="12" t="s">
        <v>1083</v>
      </c>
      <c r="F345" s="12" t="s">
        <v>59</v>
      </c>
      <c r="G345" s="13">
        <v>1</v>
      </c>
      <c r="H345" s="13"/>
      <c r="I345" s="13">
        <v>101.4</v>
      </c>
      <c r="J345" s="14">
        <v>378.29</v>
      </c>
      <c r="K345" s="15">
        <v>428</v>
      </c>
      <c r="L345" s="14">
        <f>J345+ROUND(K345, 2)</f>
        <v>806.29</v>
      </c>
      <c r="M345" s="14">
        <v>38358.61</v>
      </c>
      <c r="N345" s="14">
        <v>43399.199999999997</v>
      </c>
      <c r="O345" s="14">
        <f>M345+N345</f>
        <v>81757.81</v>
      </c>
      <c r="P345" s="14">
        <v>162.09</v>
      </c>
      <c r="Q345" s="15">
        <v>642</v>
      </c>
      <c r="R345" s="14">
        <f>P345+ROUND(Q345, 2)</f>
        <v>804.09</v>
      </c>
      <c r="S345" s="14">
        <v>16435.93</v>
      </c>
      <c r="T345" s="14">
        <v>65098.8</v>
      </c>
      <c r="U345" s="14">
        <f>S345+T345</f>
        <v>81534.73000000001</v>
      </c>
      <c r="V345" s="9">
        <f>ROUND(P345 / 1.2, 2)</f>
        <v>135.08000000000001</v>
      </c>
      <c r="W345" s="9">
        <f>ROUND(Q345 / 1.2, 2)</f>
        <v>535</v>
      </c>
      <c r="X345" s="9">
        <f>ROUND(R345 / 1.2, 2)</f>
        <v>670.08</v>
      </c>
      <c r="Y345" s="9">
        <f t="shared" si="15"/>
        <v>13696.61</v>
      </c>
      <c r="Z345" s="9">
        <f>ROUND(T345 / 1.2, 2)</f>
        <v>54249</v>
      </c>
      <c r="AA345" s="9">
        <f>Y345+Z345</f>
        <v>67945.61</v>
      </c>
      <c r="AD345" s="4">
        <v>315890010</v>
      </c>
      <c r="AE345" s="4">
        <v>27245749</v>
      </c>
      <c r="AG345" s="4" t="s">
        <v>991</v>
      </c>
      <c r="AH345" s="4" t="s">
        <v>992</v>
      </c>
      <c r="AI345" s="4" t="s">
        <v>224</v>
      </c>
    </row>
    <row r="346" spans="1:35" ht="36" x14ac:dyDescent="0.3">
      <c r="A346" s="10" t="s">
        <v>1084</v>
      </c>
      <c r="B346" s="10"/>
      <c r="C346" s="16" t="s">
        <v>552</v>
      </c>
      <c r="D346" s="12"/>
      <c r="E346" s="12"/>
      <c r="F346" s="17" t="s">
        <v>227</v>
      </c>
      <c r="G346" s="18">
        <v>0.15</v>
      </c>
      <c r="H346" s="18"/>
      <c r="I346" s="18">
        <v>15.21</v>
      </c>
      <c r="J346" s="19">
        <v>88.8</v>
      </c>
      <c r="M346" s="20">
        <f>ROUND(ROUND(J346, 2)*I346, 2)</f>
        <v>1350.65</v>
      </c>
      <c r="P346" s="19">
        <v>88.8</v>
      </c>
      <c r="S346" s="20">
        <f>ROUND(ROUND(P346, 2)*I346, 2)</f>
        <v>1350.65</v>
      </c>
      <c r="V346" s="9">
        <f>ROUND(ROUND(P346, 2)/1.2, 2)</f>
        <v>74</v>
      </c>
      <c r="Y346" s="9">
        <f t="shared" si="15"/>
        <v>1125.54</v>
      </c>
      <c r="AD346" s="4" t="s">
        <v>1085</v>
      </c>
      <c r="AE346" s="4" t="s">
        <v>1086</v>
      </c>
      <c r="AF346" s="4" t="s">
        <v>555</v>
      </c>
    </row>
    <row r="347" spans="1:35" ht="36" x14ac:dyDescent="0.3">
      <c r="A347" s="10" t="s">
        <v>1087</v>
      </c>
      <c r="B347" s="10"/>
      <c r="C347" s="16" t="s">
        <v>997</v>
      </c>
      <c r="D347" s="12"/>
      <c r="E347" s="12"/>
      <c r="F347" s="17" t="s">
        <v>227</v>
      </c>
      <c r="G347" s="18">
        <v>0.3</v>
      </c>
      <c r="H347" s="18"/>
      <c r="I347" s="18">
        <v>30.42</v>
      </c>
      <c r="J347" s="19">
        <v>1216.56</v>
      </c>
      <c r="M347" s="20">
        <f>ROUND(ROUND(J347, 2)*I347, 2)</f>
        <v>37007.760000000002</v>
      </c>
      <c r="P347" s="19">
        <v>495.9</v>
      </c>
      <c r="S347" s="20">
        <f>ROUND(ROUND(P347, 2)*I347, 2)</f>
        <v>15085.28</v>
      </c>
      <c r="V347" s="9">
        <f>ROUND(ROUND(P347, 2)/1.2, 2)</f>
        <v>413.25</v>
      </c>
      <c r="Y347" s="9">
        <f t="shared" si="15"/>
        <v>12571.07</v>
      </c>
      <c r="AD347" s="4" t="s">
        <v>1088</v>
      </c>
      <c r="AE347" s="4" t="s">
        <v>1089</v>
      </c>
      <c r="AF347" s="4" t="s">
        <v>1000</v>
      </c>
    </row>
    <row r="348" spans="1:35" ht="108" x14ac:dyDescent="0.3">
      <c r="A348" s="10" t="s">
        <v>1090</v>
      </c>
      <c r="B348" s="10" t="s">
        <v>989</v>
      </c>
      <c r="C348" s="11" t="s">
        <v>990</v>
      </c>
      <c r="D348" s="12"/>
      <c r="E348" s="12" t="s">
        <v>1091</v>
      </c>
      <c r="F348" s="12" t="s">
        <v>59</v>
      </c>
      <c r="G348" s="13">
        <v>1</v>
      </c>
      <c r="H348" s="13"/>
      <c r="I348" s="13">
        <v>23.1</v>
      </c>
      <c r="J348" s="14">
        <v>378.29</v>
      </c>
      <c r="K348" s="15">
        <v>428</v>
      </c>
      <c r="L348" s="14">
        <f>J348+ROUND(K348, 2)</f>
        <v>806.29</v>
      </c>
      <c r="M348" s="14">
        <v>8738.5</v>
      </c>
      <c r="N348" s="14">
        <v>9886.7999999999993</v>
      </c>
      <c r="O348" s="14">
        <f>M348+N348</f>
        <v>18625.3</v>
      </c>
      <c r="P348" s="14">
        <v>162.09</v>
      </c>
      <c r="Q348" s="15">
        <v>642</v>
      </c>
      <c r="R348" s="14">
        <f>P348+ROUND(Q348, 2)</f>
        <v>804.09</v>
      </c>
      <c r="S348" s="14">
        <v>3744.28</v>
      </c>
      <c r="T348" s="14">
        <v>14830.2</v>
      </c>
      <c r="U348" s="14">
        <f>S348+T348</f>
        <v>18574.48</v>
      </c>
      <c r="V348" s="9">
        <f>ROUND(P348 / 1.2, 2)</f>
        <v>135.08000000000001</v>
      </c>
      <c r="W348" s="9">
        <f>ROUND(Q348 / 1.2, 2)</f>
        <v>535</v>
      </c>
      <c r="X348" s="9">
        <f>ROUND(R348 / 1.2, 2)</f>
        <v>670.08</v>
      </c>
      <c r="Y348" s="9">
        <f t="shared" si="15"/>
        <v>3120.23</v>
      </c>
      <c r="Z348" s="9">
        <f>ROUND(T348 / 1.2, 2)</f>
        <v>12358.5</v>
      </c>
      <c r="AA348" s="9">
        <f>Y348+Z348</f>
        <v>15478.73</v>
      </c>
      <c r="AD348" s="4">
        <v>315890011</v>
      </c>
      <c r="AE348" s="4">
        <v>27245743</v>
      </c>
      <c r="AG348" s="4" t="s">
        <v>991</v>
      </c>
      <c r="AH348" s="4" t="s">
        <v>992</v>
      </c>
      <c r="AI348" s="4" t="s">
        <v>224</v>
      </c>
    </row>
    <row r="349" spans="1:35" ht="36" x14ac:dyDescent="0.3">
      <c r="A349" s="10" t="s">
        <v>1092</v>
      </c>
      <c r="B349" s="10"/>
      <c r="C349" s="16" t="s">
        <v>997</v>
      </c>
      <c r="D349" s="12"/>
      <c r="E349" s="12"/>
      <c r="F349" s="17" t="s">
        <v>227</v>
      </c>
      <c r="G349" s="18">
        <v>0.3</v>
      </c>
      <c r="H349" s="18"/>
      <c r="I349" s="18">
        <v>6.93</v>
      </c>
      <c r="J349" s="19">
        <v>1216.56</v>
      </c>
      <c r="M349" s="20">
        <f>ROUND(ROUND(J349, 2)*I349, 2)</f>
        <v>8430.76</v>
      </c>
      <c r="P349" s="19">
        <v>495.9</v>
      </c>
      <c r="S349" s="20">
        <f>ROUND(ROUND(P349, 2)*I349, 2)</f>
        <v>3436.59</v>
      </c>
      <c r="V349" s="9">
        <f>ROUND(ROUND(P349, 2)/1.2, 2)</f>
        <v>413.25</v>
      </c>
      <c r="Y349" s="9">
        <f t="shared" si="15"/>
        <v>2863.83</v>
      </c>
      <c r="AD349" s="4" t="s">
        <v>1093</v>
      </c>
      <c r="AE349" s="4" t="s">
        <v>1094</v>
      </c>
      <c r="AF349" s="4" t="s">
        <v>1000</v>
      </c>
    </row>
    <row r="350" spans="1:35" ht="36" x14ac:dyDescent="0.3">
      <c r="A350" s="10" t="s">
        <v>1095</v>
      </c>
      <c r="B350" s="10"/>
      <c r="C350" s="16" t="s">
        <v>552</v>
      </c>
      <c r="D350" s="12"/>
      <c r="E350" s="12"/>
      <c r="F350" s="17" t="s">
        <v>227</v>
      </c>
      <c r="G350" s="18">
        <v>0.15</v>
      </c>
      <c r="H350" s="18"/>
      <c r="I350" s="18">
        <v>3.4649999999999999</v>
      </c>
      <c r="J350" s="19">
        <v>88.8</v>
      </c>
      <c r="M350" s="20">
        <f>ROUND(ROUND(J350, 2)*I350, 2)</f>
        <v>307.69</v>
      </c>
      <c r="P350" s="19">
        <v>88.8</v>
      </c>
      <c r="S350" s="20">
        <f>ROUND(ROUND(P350, 2)*I350, 2)</f>
        <v>307.69</v>
      </c>
      <c r="V350" s="9">
        <f>ROUND(ROUND(P350, 2)/1.2, 2)</f>
        <v>74</v>
      </c>
      <c r="Y350" s="9">
        <f t="shared" si="15"/>
        <v>256.41000000000003</v>
      </c>
      <c r="AD350" s="4" t="s">
        <v>1096</v>
      </c>
      <c r="AE350" s="4" t="s">
        <v>1097</v>
      </c>
      <c r="AF350" s="4" t="s">
        <v>555</v>
      </c>
    </row>
    <row r="351" spans="1:35" ht="108" x14ac:dyDescent="0.3">
      <c r="A351" s="10" t="s">
        <v>1098</v>
      </c>
      <c r="B351" s="10" t="s">
        <v>989</v>
      </c>
      <c r="C351" s="11" t="s">
        <v>990</v>
      </c>
      <c r="D351" s="12"/>
      <c r="E351" s="12" t="s">
        <v>1099</v>
      </c>
      <c r="F351" s="12" t="s">
        <v>59</v>
      </c>
      <c r="G351" s="13">
        <v>1</v>
      </c>
      <c r="H351" s="13"/>
      <c r="I351" s="13">
        <v>18.5</v>
      </c>
      <c r="J351" s="14">
        <v>378.29</v>
      </c>
      <c r="K351" s="15">
        <v>428</v>
      </c>
      <c r="L351" s="14">
        <f>J351+ROUND(K351, 2)</f>
        <v>806.29</v>
      </c>
      <c r="M351" s="14">
        <v>6998.37</v>
      </c>
      <c r="N351" s="14">
        <v>7918</v>
      </c>
      <c r="O351" s="14">
        <f>M351+N351</f>
        <v>14916.369999999999</v>
      </c>
      <c r="P351" s="14">
        <v>162.09</v>
      </c>
      <c r="Q351" s="15">
        <v>642</v>
      </c>
      <c r="R351" s="14">
        <f>P351+ROUND(Q351, 2)</f>
        <v>804.09</v>
      </c>
      <c r="S351" s="14">
        <v>2998.67</v>
      </c>
      <c r="T351" s="14">
        <v>11877</v>
      </c>
      <c r="U351" s="14">
        <f>S351+T351</f>
        <v>14875.67</v>
      </c>
      <c r="V351" s="9">
        <f>ROUND(P351 / 1.2, 2)</f>
        <v>135.08000000000001</v>
      </c>
      <c r="W351" s="9">
        <f>ROUND(Q351 / 1.2, 2)</f>
        <v>535</v>
      </c>
      <c r="X351" s="9">
        <f>ROUND(R351 / 1.2, 2)</f>
        <v>670.08</v>
      </c>
      <c r="Y351" s="9">
        <f t="shared" si="15"/>
        <v>2498.89</v>
      </c>
      <c r="Z351" s="9">
        <f>ROUND(T351 / 1.2, 2)</f>
        <v>9897.5</v>
      </c>
      <c r="AA351" s="9">
        <f>Y351+Z351</f>
        <v>12396.39</v>
      </c>
      <c r="AD351" s="4">
        <v>315890012</v>
      </c>
      <c r="AE351" s="4">
        <v>27245745</v>
      </c>
      <c r="AG351" s="4" t="s">
        <v>991</v>
      </c>
      <c r="AH351" s="4" t="s">
        <v>992</v>
      </c>
      <c r="AI351" s="4" t="s">
        <v>224</v>
      </c>
    </row>
    <row r="352" spans="1:35" ht="36" x14ac:dyDescent="0.3">
      <c r="A352" s="10" t="s">
        <v>1100</v>
      </c>
      <c r="B352" s="10"/>
      <c r="C352" s="16" t="s">
        <v>552</v>
      </c>
      <c r="D352" s="12"/>
      <c r="E352" s="12"/>
      <c r="F352" s="17" t="s">
        <v>227</v>
      </c>
      <c r="G352" s="18">
        <v>0.15</v>
      </c>
      <c r="H352" s="18"/>
      <c r="I352" s="18">
        <v>2.7749999999999999</v>
      </c>
      <c r="J352" s="19">
        <v>88.8</v>
      </c>
      <c r="M352" s="20">
        <f>ROUND(ROUND(J352, 2)*I352, 2)</f>
        <v>246.42</v>
      </c>
      <c r="P352" s="19">
        <v>88.8</v>
      </c>
      <c r="S352" s="20">
        <f>ROUND(ROUND(P352, 2)*I352, 2)</f>
        <v>246.42</v>
      </c>
      <c r="V352" s="9">
        <f>ROUND(ROUND(P352, 2)/1.2, 2)</f>
        <v>74</v>
      </c>
      <c r="Y352" s="9">
        <f t="shared" si="15"/>
        <v>205.35</v>
      </c>
      <c r="AD352" s="4" t="s">
        <v>1101</v>
      </c>
      <c r="AE352" s="4" t="s">
        <v>1102</v>
      </c>
      <c r="AF352" s="4" t="s">
        <v>555</v>
      </c>
    </row>
    <row r="353" spans="1:35" ht="36" x14ac:dyDescent="0.3">
      <c r="A353" s="10" t="s">
        <v>1103</v>
      </c>
      <c r="B353" s="10"/>
      <c r="C353" s="16" t="s">
        <v>997</v>
      </c>
      <c r="D353" s="12"/>
      <c r="E353" s="12"/>
      <c r="F353" s="17" t="s">
        <v>227</v>
      </c>
      <c r="G353" s="18">
        <v>0.3</v>
      </c>
      <c r="H353" s="18"/>
      <c r="I353" s="18">
        <v>5.55</v>
      </c>
      <c r="J353" s="19">
        <v>1216.56</v>
      </c>
      <c r="M353" s="20">
        <f>ROUND(ROUND(J353, 2)*I353, 2)</f>
        <v>6751.91</v>
      </c>
      <c r="P353" s="19">
        <v>495.9</v>
      </c>
      <c r="S353" s="20">
        <f>ROUND(ROUND(P353, 2)*I353, 2)</f>
        <v>2752.25</v>
      </c>
      <c r="V353" s="9">
        <f>ROUND(ROUND(P353, 2)/1.2, 2)</f>
        <v>413.25</v>
      </c>
      <c r="Y353" s="9">
        <f t="shared" si="15"/>
        <v>2293.54</v>
      </c>
      <c r="AD353" s="4" t="s">
        <v>1104</v>
      </c>
      <c r="AE353" s="4" t="s">
        <v>1105</v>
      </c>
      <c r="AF353" s="4" t="s">
        <v>1000</v>
      </c>
    </row>
    <row r="354" spans="1:35" ht="54" x14ac:dyDescent="0.3">
      <c r="A354" s="10" t="s">
        <v>1106</v>
      </c>
      <c r="B354" s="10" t="s">
        <v>989</v>
      </c>
      <c r="C354" s="11" t="s">
        <v>990</v>
      </c>
      <c r="D354" s="12"/>
      <c r="E354" s="12" t="s">
        <v>1107</v>
      </c>
      <c r="F354" s="12" t="s">
        <v>59</v>
      </c>
      <c r="G354" s="13">
        <v>1</v>
      </c>
      <c r="H354" s="13"/>
      <c r="I354" s="13">
        <v>253.5</v>
      </c>
      <c r="J354" s="14">
        <v>378.29</v>
      </c>
      <c r="K354" s="15">
        <v>428</v>
      </c>
      <c r="L354" s="14">
        <f>J354+ROUND(K354, 2)</f>
        <v>806.29</v>
      </c>
      <c r="M354" s="14">
        <v>95896.52</v>
      </c>
      <c r="N354" s="14">
        <v>108498</v>
      </c>
      <c r="O354" s="14">
        <f>M354+N354</f>
        <v>204394.52000000002</v>
      </c>
      <c r="P354" s="14">
        <v>162.09</v>
      </c>
      <c r="Q354" s="15">
        <v>642</v>
      </c>
      <c r="R354" s="14">
        <f>P354+ROUND(Q354, 2)</f>
        <v>804.09</v>
      </c>
      <c r="S354" s="14">
        <v>41089.82</v>
      </c>
      <c r="T354" s="14">
        <v>162747</v>
      </c>
      <c r="U354" s="14">
        <f>S354+T354</f>
        <v>203836.82</v>
      </c>
      <c r="V354" s="9">
        <f>ROUND(P354 / 1.2, 2)</f>
        <v>135.08000000000001</v>
      </c>
      <c r="W354" s="9">
        <f>ROUND(Q354 / 1.2, 2)</f>
        <v>535</v>
      </c>
      <c r="X354" s="9">
        <f>ROUND(R354 / 1.2, 2)</f>
        <v>670.08</v>
      </c>
      <c r="Y354" s="9">
        <f t="shared" si="15"/>
        <v>34241.519999999997</v>
      </c>
      <c r="Z354" s="9">
        <f>ROUND(T354 / 1.2, 2)</f>
        <v>135622.5</v>
      </c>
      <c r="AA354" s="9">
        <f>Y354+Z354</f>
        <v>169864.02</v>
      </c>
      <c r="AD354" s="4">
        <v>315890013</v>
      </c>
      <c r="AE354" s="4">
        <v>27245797</v>
      </c>
      <c r="AG354" s="4" t="s">
        <v>991</v>
      </c>
      <c r="AH354" s="4" t="s">
        <v>992</v>
      </c>
      <c r="AI354" s="4" t="s">
        <v>224</v>
      </c>
    </row>
    <row r="355" spans="1:35" ht="36" x14ac:dyDescent="0.3">
      <c r="A355" s="10" t="s">
        <v>1108</v>
      </c>
      <c r="B355" s="10"/>
      <c r="C355" s="16" t="s">
        <v>997</v>
      </c>
      <c r="D355" s="12"/>
      <c r="E355" s="12"/>
      <c r="F355" s="17" t="s">
        <v>227</v>
      </c>
      <c r="G355" s="18">
        <v>0.3</v>
      </c>
      <c r="H355" s="18"/>
      <c r="I355" s="18">
        <v>76.05</v>
      </c>
      <c r="J355" s="19">
        <v>1216.56</v>
      </c>
      <c r="M355" s="20">
        <f>ROUND(ROUND(J355, 2)*I355, 2)</f>
        <v>92519.39</v>
      </c>
      <c r="P355" s="19">
        <v>495.9</v>
      </c>
      <c r="S355" s="20">
        <f>ROUND(ROUND(P355, 2)*I355, 2)</f>
        <v>37713.199999999997</v>
      </c>
      <c r="V355" s="9">
        <f>ROUND(ROUND(P355, 2)/1.2, 2)</f>
        <v>413.25</v>
      </c>
      <c r="Y355" s="9">
        <f t="shared" si="15"/>
        <v>31427.67</v>
      </c>
      <c r="AD355" s="4" t="s">
        <v>1109</v>
      </c>
      <c r="AE355" s="4" t="s">
        <v>1110</v>
      </c>
      <c r="AF355" s="4" t="s">
        <v>1000</v>
      </c>
    </row>
    <row r="356" spans="1:35" ht="36" x14ac:dyDescent="0.3">
      <c r="A356" s="10" t="s">
        <v>1111</v>
      </c>
      <c r="B356" s="10"/>
      <c r="C356" s="16" t="s">
        <v>552</v>
      </c>
      <c r="D356" s="12"/>
      <c r="E356" s="12"/>
      <c r="F356" s="17" t="s">
        <v>227</v>
      </c>
      <c r="G356" s="18">
        <v>0.15</v>
      </c>
      <c r="H356" s="18"/>
      <c r="I356" s="18">
        <v>38.024999999999999</v>
      </c>
      <c r="J356" s="19">
        <v>88.8</v>
      </c>
      <c r="M356" s="20">
        <f>ROUND(ROUND(J356, 2)*I356, 2)</f>
        <v>3376.62</v>
      </c>
      <c r="P356" s="19">
        <v>88.8</v>
      </c>
      <c r="S356" s="20">
        <f>ROUND(ROUND(P356, 2)*I356, 2)</f>
        <v>3376.62</v>
      </c>
      <c r="V356" s="9">
        <f>ROUND(ROUND(P356, 2)/1.2, 2)</f>
        <v>74</v>
      </c>
      <c r="Y356" s="9">
        <f t="shared" si="15"/>
        <v>2813.85</v>
      </c>
      <c r="AD356" s="4" t="s">
        <v>1112</v>
      </c>
      <c r="AE356" s="4" t="s">
        <v>1113</v>
      </c>
      <c r="AF356" s="4" t="s">
        <v>555</v>
      </c>
    </row>
    <row r="357" spans="1:35" ht="36" x14ac:dyDescent="0.3">
      <c r="A357" s="10" t="s">
        <v>1114</v>
      </c>
      <c r="B357" s="10" t="s">
        <v>1115</v>
      </c>
      <c r="C357" s="11" t="s">
        <v>1116</v>
      </c>
      <c r="D357" s="12"/>
      <c r="E357" s="12"/>
      <c r="F357" s="12" t="s">
        <v>59</v>
      </c>
      <c r="G357" s="13">
        <v>1</v>
      </c>
      <c r="H357" s="13"/>
      <c r="I357" s="13">
        <v>0</v>
      </c>
      <c r="J357" s="14">
        <v>0</v>
      </c>
      <c r="K357" s="15">
        <v>472</v>
      </c>
      <c r="L357" s="14">
        <f>J357+ROUND(K357, 2)</f>
        <v>472</v>
      </c>
      <c r="M357" s="14">
        <v>0</v>
      </c>
      <c r="N357" s="14">
        <v>0</v>
      </c>
      <c r="O357" s="14">
        <f>M357+N357</f>
        <v>0</v>
      </c>
      <c r="P357" s="14">
        <v>157.65</v>
      </c>
      <c r="Q357" s="15">
        <v>472</v>
      </c>
      <c r="R357" s="14">
        <f>P357+ROUND(Q357, 2)</f>
        <v>629.65</v>
      </c>
      <c r="S357" s="14">
        <v>0</v>
      </c>
      <c r="T357" s="14">
        <v>0</v>
      </c>
      <c r="U357" s="14">
        <f>S357+T357</f>
        <v>0</v>
      </c>
      <c r="V357" s="9">
        <f>ROUND(P357 / 1.2, 2)</f>
        <v>131.38</v>
      </c>
      <c r="W357" s="9">
        <f>ROUND(Q357 / 1.2, 2)</f>
        <v>393.33</v>
      </c>
      <c r="X357" s="9">
        <f>ROUND(R357 / 1.2, 2)</f>
        <v>524.71</v>
      </c>
      <c r="Y357" s="9">
        <f t="shared" si="15"/>
        <v>0</v>
      </c>
      <c r="Z357" s="9">
        <f>ROUND(T357 / 1.2, 2)</f>
        <v>0</v>
      </c>
      <c r="AA357" s="9">
        <f>Y357+Z357</f>
        <v>0</v>
      </c>
      <c r="AD357" s="4">
        <v>315890014</v>
      </c>
      <c r="AE357" s="4">
        <v>27245673</v>
      </c>
      <c r="AG357" s="4" t="s">
        <v>1117</v>
      </c>
      <c r="AH357" s="4" t="s">
        <v>1118</v>
      </c>
      <c r="AI357" s="4" t="s">
        <v>224</v>
      </c>
    </row>
    <row r="358" spans="1:35" ht="18" x14ac:dyDescent="0.3">
      <c r="A358" s="10" t="s">
        <v>1119</v>
      </c>
      <c r="B358" s="10"/>
      <c r="C358" s="16" t="s">
        <v>1120</v>
      </c>
      <c r="D358" s="12"/>
      <c r="E358" s="12"/>
      <c r="F358" s="17" t="s">
        <v>227</v>
      </c>
      <c r="G358" s="18">
        <v>0.3</v>
      </c>
      <c r="H358" s="18"/>
      <c r="I358" s="18">
        <v>0</v>
      </c>
      <c r="J358" s="19">
        <v>938.78</v>
      </c>
      <c r="M358" s="20">
        <f>ROUND(ROUND(J358, 2)*I358, 2)</f>
        <v>0</v>
      </c>
      <c r="P358" s="19">
        <v>495.9</v>
      </c>
      <c r="S358" s="20">
        <f>ROUND(ROUND(P358, 2)*I358, 2)</f>
        <v>0</v>
      </c>
      <c r="V358" s="9">
        <f>ROUND(ROUND(P358, 2)/1.2, 2)</f>
        <v>413.25</v>
      </c>
      <c r="Y358" s="9">
        <f t="shared" si="15"/>
        <v>0</v>
      </c>
      <c r="AD358" s="4" t="s">
        <v>1121</v>
      </c>
      <c r="AE358" s="4" t="s">
        <v>1122</v>
      </c>
      <c r="AF358" s="4" t="s">
        <v>1123</v>
      </c>
    </row>
    <row r="359" spans="1:35" ht="36" x14ac:dyDescent="0.3">
      <c r="A359" s="10" t="s">
        <v>1124</v>
      </c>
      <c r="B359" s="10"/>
      <c r="C359" s="16" t="s">
        <v>552</v>
      </c>
      <c r="D359" s="12"/>
      <c r="E359" s="12"/>
      <c r="F359" s="17" t="s">
        <v>227</v>
      </c>
      <c r="G359" s="18">
        <v>0.1</v>
      </c>
      <c r="H359" s="18"/>
      <c r="I359" s="18">
        <v>0</v>
      </c>
      <c r="J359" s="19">
        <v>88.8</v>
      </c>
      <c r="M359" s="20">
        <f>ROUND(ROUND(J359, 2)*I359, 2)</f>
        <v>0</v>
      </c>
      <c r="P359" s="19">
        <v>88.8</v>
      </c>
      <c r="S359" s="20">
        <f>ROUND(ROUND(P359, 2)*I359, 2)</f>
        <v>0</v>
      </c>
      <c r="V359" s="9">
        <f>ROUND(ROUND(P359, 2)/1.2, 2)</f>
        <v>74</v>
      </c>
      <c r="Y359" s="9">
        <f t="shared" si="15"/>
        <v>0</v>
      </c>
      <c r="AD359" s="4" t="s">
        <v>1125</v>
      </c>
      <c r="AE359" s="4" t="s">
        <v>1126</v>
      </c>
      <c r="AF359" s="4" t="s">
        <v>555</v>
      </c>
    </row>
    <row r="360" spans="1:35" ht="108" x14ac:dyDescent="0.3">
      <c r="A360" s="10" t="s">
        <v>1127</v>
      </c>
      <c r="B360" s="10" t="s">
        <v>1115</v>
      </c>
      <c r="C360" s="11" t="s">
        <v>1116</v>
      </c>
      <c r="D360" s="12"/>
      <c r="E360" s="12" t="s">
        <v>1128</v>
      </c>
      <c r="F360" s="12" t="s">
        <v>59</v>
      </c>
      <c r="G360" s="13">
        <v>1</v>
      </c>
      <c r="H360" s="13"/>
      <c r="I360" s="13">
        <v>170.8</v>
      </c>
      <c r="J360" s="14">
        <v>290.51</v>
      </c>
      <c r="K360" s="15">
        <v>472</v>
      </c>
      <c r="L360" s="14">
        <f>J360+ROUND(K360, 2)</f>
        <v>762.51</v>
      </c>
      <c r="M360" s="14">
        <v>49619.11</v>
      </c>
      <c r="N360" s="14">
        <v>80617.600000000006</v>
      </c>
      <c r="O360" s="14">
        <f>M360+N360</f>
        <v>130236.71</v>
      </c>
      <c r="P360" s="14">
        <v>157.65</v>
      </c>
      <c r="Q360" s="15">
        <v>708</v>
      </c>
      <c r="R360" s="14">
        <f>P360+ROUND(Q360, 2)</f>
        <v>865.65</v>
      </c>
      <c r="S360" s="14">
        <v>26926.62</v>
      </c>
      <c r="T360" s="14">
        <v>120926.39999999999</v>
      </c>
      <c r="U360" s="14">
        <f>S360+T360</f>
        <v>147853.01999999999</v>
      </c>
      <c r="V360" s="9">
        <f>ROUND(P360 / 1.2, 2)</f>
        <v>131.38</v>
      </c>
      <c r="W360" s="9">
        <f>ROUND(Q360 / 1.2, 2)</f>
        <v>590</v>
      </c>
      <c r="X360" s="9">
        <f>ROUND(R360 / 1.2, 2)</f>
        <v>721.38</v>
      </c>
      <c r="Y360" s="9">
        <f t="shared" si="15"/>
        <v>22438.85</v>
      </c>
      <c r="Z360" s="9">
        <f>ROUND(T360 / 1.2, 2)</f>
        <v>100772</v>
      </c>
      <c r="AA360" s="9">
        <f>Y360+Z360</f>
        <v>123210.85</v>
      </c>
      <c r="AD360" s="4">
        <v>315890015</v>
      </c>
      <c r="AE360" s="4">
        <v>27245748</v>
      </c>
      <c r="AG360" s="4" t="s">
        <v>1117</v>
      </c>
      <c r="AH360" s="4" t="s">
        <v>1118</v>
      </c>
      <c r="AI360" s="4" t="s">
        <v>224</v>
      </c>
    </row>
    <row r="361" spans="1:35" ht="36" x14ac:dyDescent="0.3">
      <c r="A361" s="10" t="s">
        <v>1129</v>
      </c>
      <c r="B361" s="10"/>
      <c r="C361" s="16" t="s">
        <v>552</v>
      </c>
      <c r="D361" s="12"/>
      <c r="E361" s="12"/>
      <c r="F361" s="17" t="s">
        <v>227</v>
      </c>
      <c r="G361" s="18">
        <v>0.1</v>
      </c>
      <c r="H361" s="18"/>
      <c r="I361" s="18">
        <v>17.079999999999998</v>
      </c>
      <c r="J361" s="19">
        <v>88.8</v>
      </c>
      <c r="M361" s="20">
        <f>ROUND(ROUND(J361, 2)*I361, 2)</f>
        <v>1516.7</v>
      </c>
      <c r="P361" s="19">
        <v>88.8</v>
      </c>
      <c r="S361" s="20">
        <f>ROUND(ROUND(P361, 2)*I361, 2)</f>
        <v>1516.7</v>
      </c>
      <c r="V361" s="9">
        <f>ROUND(ROUND(P361, 2)/1.2, 2)</f>
        <v>74</v>
      </c>
      <c r="Y361" s="9">
        <f t="shared" si="15"/>
        <v>1263.92</v>
      </c>
      <c r="AD361" s="4" t="s">
        <v>1130</v>
      </c>
      <c r="AE361" s="4" t="s">
        <v>1131</v>
      </c>
      <c r="AF361" s="4" t="s">
        <v>555</v>
      </c>
    </row>
    <row r="362" spans="1:35" ht="18" x14ac:dyDescent="0.3">
      <c r="A362" s="10" t="s">
        <v>1132</v>
      </c>
      <c r="B362" s="10"/>
      <c r="C362" s="16" t="s">
        <v>1120</v>
      </c>
      <c r="D362" s="12"/>
      <c r="E362" s="12"/>
      <c r="F362" s="17" t="s">
        <v>227</v>
      </c>
      <c r="G362" s="18">
        <v>0.3</v>
      </c>
      <c r="H362" s="18"/>
      <c r="I362" s="18">
        <v>51.24</v>
      </c>
      <c r="J362" s="19">
        <v>938.78</v>
      </c>
      <c r="M362" s="20">
        <f>ROUND(ROUND(J362, 2)*I362, 2)</f>
        <v>48103.09</v>
      </c>
      <c r="P362" s="19">
        <v>495.9</v>
      </c>
      <c r="S362" s="20">
        <f>ROUND(ROUND(P362, 2)*I362, 2)</f>
        <v>25409.919999999998</v>
      </c>
      <c r="V362" s="9">
        <f>ROUND(ROUND(P362, 2)/1.2, 2)</f>
        <v>413.25</v>
      </c>
      <c r="Y362" s="9">
        <f t="shared" si="15"/>
        <v>21174.93</v>
      </c>
      <c r="AD362" s="4" t="s">
        <v>1133</v>
      </c>
      <c r="AE362" s="4" t="s">
        <v>1134</v>
      </c>
      <c r="AF362" s="4" t="s">
        <v>1123</v>
      </c>
    </row>
    <row r="363" spans="1:35" ht="54" x14ac:dyDescent="0.3">
      <c r="A363" s="10" t="s">
        <v>1135</v>
      </c>
      <c r="B363" s="10" t="s">
        <v>1136</v>
      </c>
      <c r="C363" s="11" t="s">
        <v>1137</v>
      </c>
      <c r="D363" s="12"/>
      <c r="E363" s="12"/>
      <c r="F363" s="12" t="s">
        <v>59</v>
      </c>
      <c r="G363" s="13">
        <v>1</v>
      </c>
      <c r="H363" s="13"/>
      <c r="I363" s="13">
        <v>0</v>
      </c>
      <c r="J363" s="14">
        <v>0</v>
      </c>
      <c r="K363" s="15">
        <v>2364</v>
      </c>
      <c r="L363" s="14">
        <f>J363+ROUND(K363, 2)</f>
        <v>2364</v>
      </c>
      <c r="M363" s="14">
        <v>0</v>
      </c>
      <c r="N363" s="14">
        <v>0</v>
      </c>
      <c r="O363" s="14">
        <f>M363+N363</f>
        <v>0</v>
      </c>
      <c r="P363" s="14">
        <v>624.15</v>
      </c>
      <c r="Q363" s="15">
        <v>2364</v>
      </c>
      <c r="R363" s="14">
        <f>P363+ROUND(Q363, 2)</f>
        <v>2988.15</v>
      </c>
      <c r="S363" s="14">
        <v>0</v>
      </c>
      <c r="T363" s="14">
        <v>0</v>
      </c>
      <c r="U363" s="14">
        <f>S363+T363</f>
        <v>0</v>
      </c>
      <c r="V363" s="9">
        <f>ROUND(P363 / 1.2, 2)</f>
        <v>520.13</v>
      </c>
      <c r="W363" s="9">
        <f>ROUND(Q363 / 1.2, 2)</f>
        <v>1970</v>
      </c>
      <c r="X363" s="9">
        <f>ROUND(R363 / 1.2, 2)</f>
        <v>2490.13</v>
      </c>
      <c r="Y363" s="9">
        <f t="shared" si="15"/>
        <v>0</v>
      </c>
      <c r="Z363" s="9">
        <f>ROUND(T363 / 1.2, 2)</f>
        <v>0</v>
      </c>
      <c r="AA363" s="9">
        <f>Y363+Z363</f>
        <v>0</v>
      </c>
      <c r="AD363" s="4">
        <v>315890017</v>
      </c>
      <c r="AE363" s="4">
        <v>27245661</v>
      </c>
      <c r="AG363" s="4" t="s">
        <v>1138</v>
      </c>
      <c r="AH363" s="4" t="s">
        <v>1139</v>
      </c>
      <c r="AI363" s="4" t="s">
        <v>224</v>
      </c>
    </row>
    <row r="364" spans="1:35" ht="36" x14ac:dyDescent="0.3">
      <c r="A364" s="10" t="s">
        <v>1140</v>
      </c>
      <c r="B364" s="10"/>
      <c r="C364" s="16" t="s">
        <v>637</v>
      </c>
      <c r="D364" s="12"/>
      <c r="E364" s="12"/>
      <c r="F364" s="17" t="s">
        <v>227</v>
      </c>
      <c r="G364" s="18">
        <v>0.25</v>
      </c>
      <c r="H364" s="22"/>
      <c r="I364" s="22">
        <v>0</v>
      </c>
      <c r="J364" s="19">
        <v>40.270000000000003</v>
      </c>
      <c r="M364" s="20">
        <f>ROUND(ROUND(J364, 2)*I364, 2)</f>
        <v>0</v>
      </c>
      <c r="P364" s="19">
        <v>40.270000000000003</v>
      </c>
      <c r="S364" s="20">
        <f>ROUND(ROUND(P364, 2)*I364, 2)</f>
        <v>0</v>
      </c>
      <c r="V364" s="9">
        <f>ROUND(ROUND(P364, 2)/1.2, 2)</f>
        <v>33.56</v>
      </c>
      <c r="Y364" s="9">
        <f t="shared" si="15"/>
        <v>0</v>
      </c>
      <c r="AD364" s="4" t="s">
        <v>1141</v>
      </c>
      <c r="AE364" s="4" t="s">
        <v>1142</v>
      </c>
      <c r="AF364" s="4" t="s">
        <v>640</v>
      </c>
    </row>
    <row r="365" spans="1:35" ht="36" x14ac:dyDescent="0.3">
      <c r="A365" s="10" t="s">
        <v>1143</v>
      </c>
      <c r="B365" s="10"/>
      <c r="C365" s="16" t="s">
        <v>1144</v>
      </c>
      <c r="D365" s="12"/>
      <c r="E365" s="12"/>
      <c r="F365" s="17" t="s">
        <v>227</v>
      </c>
      <c r="G365" s="18">
        <v>0.15</v>
      </c>
      <c r="H365" s="18"/>
      <c r="I365" s="18">
        <v>0</v>
      </c>
      <c r="J365" s="19">
        <v>68.400000000000006</v>
      </c>
      <c r="M365" s="20">
        <f>ROUND(ROUND(J365, 2)*I365, 2)</f>
        <v>0</v>
      </c>
      <c r="P365" s="19">
        <v>68.400000000000006</v>
      </c>
      <c r="S365" s="20">
        <f>ROUND(ROUND(P365, 2)*I365, 2)</f>
        <v>0</v>
      </c>
      <c r="V365" s="9">
        <f>ROUND(ROUND(P365, 2)/1.2, 2)</f>
        <v>57</v>
      </c>
      <c r="Y365" s="9">
        <f t="shared" si="15"/>
        <v>0</v>
      </c>
      <c r="AD365" s="4" t="s">
        <v>1145</v>
      </c>
      <c r="AE365" s="4" t="s">
        <v>1146</v>
      </c>
      <c r="AF365" s="4" t="s">
        <v>1147</v>
      </c>
    </row>
    <row r="366" spans="1:35" ht="36" x14ac:dyDescent="0.3">
      <c r="A366" s="10" t="s">
        <v>1148</v>
      </c>
      <c r="B366" s="10"/>
      <c r="C366" s="21" t="s">
        <v>665</v>
      </c>
      <c r="D366" s="12"/>
      <c r="E366" s="12"/>
      <c r="F366" s="17" t="s">
        <v>227</v>
      </c>
      <c r="G366" s="18">
        <v>1.2</v>
      </c>
      <c r="H366" s="22"/>
      <c r="I366" s="22">
        <v>0</v>
      </c>
      <c r="J366" s="19">
        <v>16.96</v>
      </c>
      <c r="M366" s="20">
        <f>ROUND(ROUND(J366, 2)*I366, 2)</f>
        <v>0</v>
      </c>
      <c r="P366" s="19">
        <v>16.96</v>
      </c>
      <c r="S366" s="20">
        <f>ROUND(ROUND(P366, 2)*I366, 2)</f>
        <v>0</v>
      </c>
      <c r="V366" s="9">
        <f>ROUND(ROUND(P366, 2)/1.2, 2)</f>
        <v>14.13</v>
      </c>
      <c r="Y366" s="9">
        <f t="shared" ref="Y366:Y397" si="16">ROUND(S366 / 1.2, 2)</f>
        <v>0</v>
      </c>
      <c r="AD366" s="4" t="s">
        <v>1149</v>
      </c>
      <c r="AE366" s="4" t="s">
        <v>1150</v>
      </c>
      <c r="AF366" s="4" t="s">
        <v>668</v>
      </c>
    </row>
    <row r="367" spans="1:35" ht="36" x14ac:dyDescent="0.3">
      <c r="A367" s="10" t="s">
        <v>1151</v>
      </c>
      <c r="B367" s="10"/>
      <c r="C367" s="21" t="s">
        <v>1152</v>
      </c>
      <c r="D367" s="12"/>
      <c r="E367" s="12"/>
      <c r="F367" s="17" t="s">
        <v>59</v>
      </c>
      <c r="G367" s="18">
        <v>1.07</v>
      </c>
      <c r="H367" s="22"/>
      <c r="I367" s="22">
        <v>0</v>
      </c>
      <c r="J367" s="19">
        <v>1384.95</v>
      </c>
      <c r="M367" s="20">
        <f>ROUND(ROUND(J367, 2)*I367, 2)</f>
        <v>0</v>
      </c>
      <c r="P367" s="19">
        <v>545.29999999999995</v>
      </c>
      <c r="S367" s="20">
        <f>ROUND(ROUND(P367, 2)*I367, 2)</f>
        <v>0</v>
      </c>
      <c r="V367" s="9">
        <f>ROUND(ROUND(P367, 2)/1.2, 2)</f>
        <v>454.42</v>
      </c>
      <c r="Y367" s="9">
        <f t="shared" si="16"/>
        <v>0</v>
      </c>
      <c r="AD367" s="4" t="s">
        <v>1153</v>
      </c>
      <c r="AE367" s="4" t="s">
        <v>1154</v>
      </c>
      <c r="AF367" s="4" t="s">
        <v>1155</v>
      </c>
    </row>
    <row r="368" spans="1:35" ht="54" x14ac:dyDescent="0.3">
      <c r="A368" s="10" t="s">
        <v>1156</v>
      </c>
      <c r="B368" s="10" t="s">
        <v>1136</v>
      </c>
      <c r="C368" s="11" t="s">
        <v>1137</v>
      </c>
      <c r="D368" s="12"/>
      <c r="E368" s="12"/>
      <c r="F368" s="12" t="s">
        <v>59</v>
      </c>
      <c r="G368" s="13">
        <v>1</v>
      </c>
      <c r="H368" s="13"/>
      <c r="I368" s="13">
        <v>0</v>
      </c>
      <c r="J368" s="14">
        <v>0</v>
      </c>
      <c r="K368" s="15">
        <v>2364</v>
      </c>
      <c r="L368" s="14">
        <f>J368+ROUND(K368, 2)</f>
        <v>2364</v>
      </c>
      <c r="M368" s="14">
        <v>0</v>
      </c>
      <c r="N368" s="14">
        <v>0</v>
      </c>
      <c r="O368" s="14">
        <f>M368+N368</f>
        <v>0</v>
      </c>
      <c r="P368" s="14">
        <v>1051.83</v>
      </c>
      <c r="Q368" s="15">
        <v>2364</v>
      </c>
      <c r="R368" s="14">
        <f>P368+ROUND(Q368, 2)</f>
        <v>3415.83</v>
      </c>
      <c r="S368" s="14">
        <v>0</v>
      </c>
      <c r="T368" s="14">
        <v>0</v>
      </c>
      <c r="U368" s="14">
        <f>S368+T368</f>
        <v>0</v>
      </c>
      <c r="V368" s="9">
        <f>ROUND(P368 / 1.2, 2)</f>
        <v>876.53</v>
      </c>
      <c r="W368" s="9">
        <f>ROUND(Q368 / 1.2, 2)</f>
        <v>1970</v>
      </c>
      <c r="X368" s="9">
        <f>ROUND(R368 / 1.2, 2)</f>
        <v>2846.53</v>
      </c>
      <c r="Y368" s="9">
        <f t="shared" si="16"/>
        <v>0</v>
      </c>
      <c r="Z368" s="9">
        <f>ROUND(T368 / 1.2, 2)</f>
        <v>0</v>
      </c>
      <c r="AA368" s="9">
        <f>Y368+Z368</f>
        <v>0</v>
      </c>
      <c r="AD368" s="4">
        <v>315890018</v>
      </c>
      <c r="AE368" s="4">
        <v>27245662</v>
      </c>
      <c r="AG368" s="4" t="s">
        <v>1138</v>
      </c>
      <c r="AH368" s="4" t="s">
        <v>1139</v>
      </c>
      <c r="AI368" s="4" t="s">
        <v>224</v>
      </c>
    </row>
    <row r="369" spans="1:35" ht="36" x14ac:dyDescent="0.3">
      <c r="A369" s="10" t="s">
        <v>1157</v>
      </c>
      <c r="B369" s="10"/>
      <c r="C369" s="21" t="s">
        <v>1158</v>
      </c>
      <c r="D369" s="12"/>
      <c r="E369" s="12"/>
      <c r="F369" s="17" t="s">
        <v>59</v>
      </c>
      <c r="G369" s="18">
        <v>1.07</v>
      </c>
      <c r="H369" s="22"/>
      <c r="I369" s="22">
        <v>0</v>
      </c>
      <c r="J369" s="19">
        <v>945</v>
      </c>
      <c r="M369" s="20">
        <f>ROUND(ROUND(J369, 2)*I369, 2)</f>
        <v>0</v>
      </c>
      <c r="P369" s="19">
        <v>945</v>
      </c>
      <c r="S369" s="20">
        <f>ROUND(ROUND(P369, 2)*I369, 2)</f>
        <v>0</v>
      </c>
      <c r="V369" s="9">
        <f>ROUND(ROUND(P369, 2)/1.2, 2)</f>
        <v>787.5</v>
      </c>
      <c r="Y369" s="9">
        <f t="shared" si="16"/>
        <v>0</v>
      </c>
      <c r="AD369" s="4" t="s">
        <v>1159</v>
      </c>
      <c r="AE369" s="4" t="s">
        <v>1160</v>
      </c>
      <c r="AF369" s="4" t="s">
        <v>1161</v>
      </c>
    </row>
    <row r="370" spans="1:35" ht="36" x14ac:dyDescent="0.3">
      <c r="A370" s="10" t="s">
        <v>1162</v>
      </c>
      <c r="B370" s="10"/>
      <c r="C370" s="21" t="s">
        <v>665</v>
      </c>
      <c r="D370" s="12"/>
      <c r="E370" s="12"/>
      <c r="F370" s="17" t="s">
        <v>227</v>
      </c>
      <c r="G370" s="18">
        <v>1.2</v>
      </c>
      <c r="H370" s="22"/>
      <c r="I370" s="22">
        <v>0</v>
      </c>
      <c r="J370" s="19">
        <v>16.96</v>
      </c>
      <c r="M370" s="20">
        <f>ROUND(ROUND(J370, 2)*I370, 2)</f>
        <v>0</v>
      </c>
      <c r="P370" s="19">
        <v>16.96</v>
      </c>
      <c r="S370" s="20">
        <f>ROUND(ROUND(P370, 2)*I370, 2)</f>
        <v>0</v>
      </c>
      <c r="V370" s="9">
        <f>ROUND(ROUND(P370, 2)/1.2, 2)</f>
        <v>14.13</v>
      </c>
      <c r="Y370" s="9">
        <f t="shared" si="16"/>
        <v>0</v>
      </c>
      <c r="AD370" s="4" t="s">
        <v>1163</v>
      </c>
      <c r="AE370" s="4" t="s">
        <v>1164</v>
      </c>
      <c r="AF370" s="4" t="s">
        <v>668</v>
      </c>
    </row>
    <row r="371" spans="1:35" ht="36" x14ac:dyDescent="0.3">
      <c r="A371" s="10" t="s">
        <v>1165</v>
      </c>
      <c r="B371" s="10"/>
      <c r="C371" s="16" t="s">
        <v>1144</v>
      </c>
      <c r="D371" s="12"/>
      <c r="E371" s="12"/>
      <c r="F371" s="17" t="s">
        <v>227</v>
      </c>
      <c r="G371" s="18">
        <v>0.15</v>
      </c>
      <c r="H371" s="18"/>
      <c r="I371" s="18">
        <v>0</v>
      </c>
      <c r="J371" s="19">
        <v>68.400000000000006</v>
      </c>
      <c r="M371" s="20">
        <f>ROUND(ROUND(J371, 2)*I371, 2)</f>
        <v>0</v>
      </c>
      <c r="P371" s="19">
        <v>68.400000000000006</v>
      </c>
      <c r="S371" s="20">
        <f>ROUND(ROUND(P371, 2)*I371, 2)</f>
        <v>0</v>
      </c>
      <c r="V371" s="9">
        <f>ROUND(ROUND(P371, 2)/1.2, 2)</f>
        <v>57</v>
      </c>
      <c r="Y371" s="9">
        <f t="shared" si="16"/>
        <v>0</v>
      </c>
      <c r="AD371" s="4" t="s">
        <v>1166</v>
      </c>
      <c r="AE371" s="4" t="s">
        <v>1167</v>
      </c>
      <c r="AF371" s="4" t="s">
        <v>1147</v>
      </c>
    </row>
    <row r="372" spans="1:35" ht="36" x14ac:dyDescent="0.3">
      <c r="A372" s="10" t="s">
        <v>1168</v>
      </c>
      <c r="B372" s="10"/>
      <c r="C372" s="16" t="s">
        <v>637</v>
      </c>
      <c r="D372" s="12"/>
      <c r="E372" s="12"/>
      <c r="F372" s="17" t="s">
        <v>227</v>
      </c>
      <c r="G372" s="18">
        <v>0.25</v>
      </c>
      <c r="H372" s="22"/>
      <c r="I372" s="22">
        <v>0</v>
      </c>
      <c r="J372" s="19">
        <v>40.270000000000003</v>
      </c>
      <c r="M372" s="20">
        <f>ROUND(ROUND(J372, 2)*I372, 2)</f>
        <v>0</v>
      </c>
      <c r="P372" s="19">
        <v>40.270000000000003</v>
      </c>
      <c r="S372" s="20">
        <f>ROUND(ROUND(P372, 2)*I372, 2)</f>
        <v>0</v>
      </c>
      <c r="V372" s="9">
        <f>ROUND(ROUND(P372, 2)/1.2, 2)</f>
        <v>33.56</v>
      </c>
      <c r="Y372" s="9">
        <f t="shared" si="16"/>
        <v>0</v>
      </c>
      <c r="AD372" s="4" t="s">
        <v>1169</v>
      </c>
      <c r="AE372" s="4" t="s">
        <v>1170</v>
      </c>
      <c r="AF372" s="4" t="s">
        <v>640</v>
      </c>
    </row>
    <row r="373" spans="1:35" ht="54" x14ac:dyDescent="0.3">
      <c r="A373" s="10" t="s">
        <v>1171</v>
      </c>
      <c r="B373" s="10" t="s">
        <v>1136</v>
      </c>
      <c r="C373" s="11" t="s">
        <v>1137</v>
      </c>
      <c r="D373" s="12"/>
      <c r="E373" s="12"/>
      <c r="F373" s="12" t="s">
        <v>59</v>
      </c>
      <c r="G373" s="13">
        <v>1</v>
      </c>
      <c r="H373" s="13"/>
      <c r="I373" s="13">
        <v>0</v>
      </c>
      <c r="J373" s="14">
        <v>0</v>
      </c>
      <c r="K373" s="15">
        <v>2364</v>
      </c>
      <c r="L373" s="14">
        <f>J373+ROUND(K373, 2)</f>
        <v>2364</v>
      </c>
      <c r="M373" s="14">
        <v>0</v>
      </c>
      <c r="N373" s="14">
        <v>0</v>
      </c>
      <c r="O373" s="14">
        <f>M373+N373</f>
        <v>0</v>
      </c>
      <c r="P373" s="14">
        <v>1522.58</v>
      </c>
      <c r="Q373" s="15">
        <v>2364</v>
      </c>
      <c r="R373" s="14">
        <f>P373+ROUND(Q373, 2)</f>
        <v>3886.58</v>
      </c>
      <c r="S373" s="14">
        <v>0</v>
      </c>
      <c r="T373" s="14">
        <v>0</v>
      </c>
      <c r="U373" s="14">
        <f>S373+T373</f>
        <v>0</v>
      </c>
      <c r="V373" s="9">
        <f>ROUND(P373 / 1.2, 2)</f>
        <v>1268.82</v>
      </c>
      <c r="W373" s="9">
        <f>ROUND(Q373 / 1.2, 2)</f>
        <v>1970</v>
      </c>
      <c r="X373" s="9">
        <f>ROUND(R373 / 1.2, 2)</f>
        <v>3238.82</v>
      </c>
      <c r="Y373" s="9">
        <f t="shared" si="16"/>
        <v>0</v>
      </c>
      <c r="Z373" s="9">
        <f>ROUND(T373 / 1.2, 2)</f>
        <v>0</v>
      </c>
      <c r="AA373" s="9">
        <f>Y373+Z373</f>
        <v>0</v>
      </c>
      <c r="AD373" s="4">
        <v>315890019</v>
      </c>
      <c r="AE373" s="4">
        <v>27245663</v>
      </c>
      <c r="AG373" s="4" t="s">
        <v>1138</v>
      </c>
      <c r="AH373" s="4" t="s">
        <v>1139</v>
      </c>
      <c r="AI373" s="4" t="s">
        <v>224</v>
      </c>
    </row>
    <row r="374" spans="1:35" ht="36" x14ac:dyDescent="0.3">
      <c r="A374" s="10" t="s">
        <v>1172</v>
      </c>
      <c r="B374" s="10"/>
      <c r="C374" s="16" t="s">
        <v>637</v>
      </c>
      <c r="D374" s="12"/>
      <c r="E374" s="12"/>
      <c r="F374" s="17" t="s">
        <v>227</v>
      </c>
      <c r="G374" s="18">
        <v>0.25</v>
      </c>
      <c r="H374" s="22"/>
      <c r="I374" s="22">
        <v>0</v>
      </c>
      <c r="J374" s="19">
        <v>40.270000000000003</v>
      </c>
      <c r="M374" s="20">
        <f>ROUND(ROUND(J374, 2)*I374, 2)</f>
        <v>0</v>
      </c>
      <c r="P374" s="19">
        <v>40.270000000000003</v>
      </c>
      <c r="S374" s="20">
        <f>ROUND(ROUND(P374, 2)*I374, 2)</f>
        <v>0</v>
      </c>
      <c r="V374" s="9">
        <f>ROUND(ROUND(P374, 2)/1.2, 2)</f>
        <v>33.56</v>
      </c>
      <c r="Y374" s="9">
        <f t="shared" si="16"/>
        <v>0</v>
      </c>
      <c r="AD374" s="4" t="s">
        <v>1173</v>
      </c>
      <c r="AE374" s="4" t="s">
        <v>1174</v>
      </c>
      <c r="AF374" s="4" t="s">
        <v>640</v>
      </c>
    </row>
    <row r="375" spans="1:35" ht="36" x14ac:dyDescent="0.3">
      <c r="A375" s="10" t="s">
        <v>1175</v>
      </c>
      <c r="B375" s="10"/>
      <c r="C375" s="16" t="s">
        <v>1144</v>
      </c>
      <c r="D375" s="12"/>
      <c r="E375" s="12"/>
      <c r="F375" s="17" t="s">
        <v>227</v>
      </c>
      <c r="G375" s="18">
        <v>0.15</v>
      </c>
      <c r="H375" s="18"/>
      <c r="I375" s="18">
        <v>0</v>
      </c>
      <c r="J375" s="19">
        <v>68.400000000000006</v>
      </c>
      <c r="M375" s="20">
        <f>ROUND(ROUND(J375, 2)*I375, 2)</f>
        <v>0</v>
      </c>
      <c r="P375" s="19">
        <v>68.400000000000006</v>
      </c>
      <c r="S375" s="20">
        <f>ROUND(ROUND(P375, 2)*I375, 2)</f>
        <v>0</v>
      </c>
      <c r="V375" s="9">
        <f>ROUND(ROUND(P375, 2)/1.2, 2)</f>
        <v>57</v>
      </c>
      <c r="Y375" s="9">
        <f t="shared" si="16"/>
        <v>0</v>
      </c>
      <c r="AD375" s="4" t="s">
        <v>1176</v>
      </c>
      <c r="AE375" s="4" t="s">
        <v>1177</v>
      </c>
      <c r="AF375" s="4" t="s">
        <v>1147</v>
      </c>
    </row>
    <row r="376" spans="1:35" ht="36" x14ac:dyDescent="0.3">
      <c r="A376" s="10" t="s">
        <v>1178</v>
      </c>
      <c r="B376" s="10"/>
      <c r="C376" s="21" t="s">
        <v>665</v>
      </c>
      <c r="D376" s="12"/>
      <c r="E376" s="12"/>
      <c r="F376" s="17" t="s">
        <v>227</v>
      </c>
      <c r="G376" s="18">
        <v>1.2</v>
      </c>
      <c r="H376" s="22"/>
      <c r="I376" s="22">
        <v>0</v>
      </c>
      <c r="J376" s="19">
        <v>16.96</v>
      </c>
      <c r="M376" s="20">
        <f>ROUND(ROUND(J376, 2)*I376, 2)</f>
        <v>0</v>
      </c>
      <c r="P376" s="19">
        <v>16.96</v>
      </c>
      <c r="S376" s="20">
        <f>ROUND(ROUND(P376, 2)*I376, 2)</f>
        <v>0</v>
      </c>
      <c r="V376" s="9">
        <f>ROUND(ROUND(P376, 2)/1.2, 2)</f>
        <v>14.13</v>
      </c>
      <c r="Y376" s="9">
        <f t="shared" si="16"/>
        <v>0</v>
      </c>
      <c r="AD376" s="4" t="s">
        <v>1179</v>
      </c>
      <c r="AE376" s="4" t="s">
        <v>1180</v>
      </c>
      <c r="AF376" s="4" t="s">
        <v>668</v>
      </c>
    </row>
    <row r="377" spans="1:35" ht="36" x14ac:dyDescent="0.3">
      <c r="A377" s="10" t="s">
        <v>1181</v>
      </c>
      <c r="B377" s="10"/>
      <c r="C377" s="21" t="s">
        <v>1152</v>
      </c>
      <c r="D377" s="12"/>
      <c r="E377" s="12"/>
      <c r="F377" s="17" t="s">
        <v>59</v>
      </c>
      <c r="G377" s="18">
        <v>1.07</v>
      </c>
      <c r="H377" s="22"/>
      <c r="I377" s="22">
        <v>0</v>
      </c>
      <c r="J377" s="19">
        <v>1384.95</v>
      </c>
      <c r="M377" s="20">
        <f>ROUND(ROUND(J377, 2)*I377, 2)</f>
        <v>0</v>
      </c>
      <c r="P377" s="19">
        <v>1384.95</v>
      </c>
      <c r="S377" s="20">
        <f>ROUND(ROUND(P377, 2)*I377, 2)</f>
        <v>0</v>
      </c>
      <c r="V377" s="9">
        <f>ROUND(ROUND(P377, 2)/1.2, 2)</f>
        <v>1154.1300000000001</v>
      </c>
      <c r="Y377" s="9">
        <f t="shared" si="16"/>
        <v>0</v>
      </c>
      <c r="AD377" s="4" t="s">
        <v>1182</v>
      </c>
      <c r="AE377" s="4" t="s">
        <v>1183</v>
      </c>
      <c r="AF377" s="4" t="s">
        <v>1155</v>
      </c>
    </row>
    <row r="378" spans="1:35" ht="54" x14ac:dyDescent="0.3">
      <c r="A378" s="10" t="s">
        <v>1184</v>
      </c>
      <c r="B378" s="10" t="s">
        <v>1136</v>
      </c>
      <c r="C378" s="11" t="s">
        <v>1137</v>
      </c>
      <c r="D378" s="12"/>
      <c r="E378" s="12" t="s">
        <v>1185</v>
      </c>
      <c r="F378" s="12" t="s">
        <v>59</v>
      </c>
      <c r="G378" s="13">
        <v>1</v>
      </c>
      <c r="H378" s="13"/>
      <c r="I378" s="13">
        <v>1163</v>
      </c>
      <c r="J378" s="14">
        <v>1521.58</v>
      </c>
      <c r="K378" s="15">
        <v>2364</v>
      </c>
      <c r="L378" s="14">
        <f>J378+ROUND(K378, 2)</f>
        <v>3885.58</v>
      </c>
      <c r="M378" s="14">
        <v>1769597.54</v>
      </c>
      <c r="N378" s="14">
        <v>2749332</v>
      </c>
      <c r="O378" s="14">
        <f>M378+N378</f>
        <v>4518929.54</v>
      </c>
      <c r="P378" s="14">
        <v>623.13</v>
      </c>
      <c r="Q378" s="15">
        <v>3546</v>
      </c>
      <c r="R378" s="14">
        <f>P378+ROUND(Q378, 2)</f>
        <v>4169.13</v>
      </c>
      <c r="S378" s="14">
        <v>724700.19</v>
      </c>
      <c r="T378" s="14">
        <v>4123998</v>
      </c>
      <c r="U378" s="14">
        <f>S378+T378</f>
        <v>4848698.1899999995</v>
      </c>
      <c r="V378" s="9">
        <f>ROUND(P378 / 1.2, 2)</f>
        <v>519.28</v>
      </c>
      <c r="W378" s="9">
        <f>ROUND(Q378 / 1.2, 2)</f>
        <v>2955</v>
      </c>
      <c r="X378" s="9">
        <f>ROUND(R378 / 1.2, 2)</f>
        <v>3474.28</v>
      </c>
      <c r="Y378" s="9">
        <f t="shared" si="16"/>
        <v>603916.82999999996</v>
      </c>
      <c r="Z378" s="9">
        <f>ROUND(T378 / 1.2, 2)</f>
        <v>3436665</v>
      </c>
      <c r="AA378" s="9">
        <f>Y378+Z378</f>
        <v>4040581.83</v>
      </c>
      <c r="AD378" s="4">
        <v>315890020</v>
      </c>
      <c r="AE378" s="4">
        <v>27245760</v>
      </c>
      <c r="AG378" s="4" t="s">
        <v>1138</v>
      </c>
      <c r="AH378" s="4" t="s">
        <v>1139</v>
      </c>
      <c r="AI378" s="4" t="s">
        <v>224</v>
      </c>
    </row>
    <row r="379" spans="1:35" ht="90" x14ac:dyDescent="0.3">
      <c r="A379" s="10" t="s">
        <v>1186</v>
      </c>
      <c r="B379" s="10"/>
      <c r="C379" s="21" t="s">
        <v>1152</v>
      </c>
      <c r="D379" s="12"/>
      <c r="E379" s="12" t="s">
        <v>653</v>
      </c>
      <c r="F379" s="17" t="s">
        <v>59</v>
      </c>
      <c r="G379" s="18">
        <v>1.07</v>
      </c>
      <c r="H379" s="22"/>
      <c r="I379" s="22">
        <v>1244.4100000000001</v>
      </c>
      <c r="J379" s="19">
        <v>1384.96</v>
      </c>
      <c r="M379" s="20">
        <f>ROUND(ROUND(J379, 2)*I379, 2)</f>
        <v>1723458.07</v>
      </c>
      <c r="P379" s="19">
        <v>545.29999999999995</v>
      </c>
      <c r="S379" s="20">
        <f>ROUND(ROUND(P379, 2)*I379, 2)</f>
        <v>678576.77</v>
      </c>
      <c r="V379" s="9">
        <f>ROUND(ROUND(P379, 2)/1.2, 2)</f>
        <v>454.42</v>
      </c>
      <c r="Y379" s="9">
        <f t="shared" si="16"/>
        <v>565480.64</v>
      </c>
      <c r="AD379" s="4" t="s">
        <v>1187</v>
      </c>
      <c r="AE379" s="4" t="s">
        <v>1188</v>
      </c>
      <c r="AF379" s="4" t="s">
        <v>1155</v>
      </c>
    </row>
    <row r="380" spans="1:35" ht="36" x14ac:dyDescent="0.3">
      <c r="A380" s="10" t="s">
        <v>1189</v>
      </c>
      <c r="B380" s="10"/>
      <c r="C380" s="21" t="s">
        <v>665</v>
      </c>
      <c r="D380" s="12"/>
      <c r="E380" s="12"/>
      <c r="F380" s="17" t="s">
        <v>227</v>
      </c>
      <c r="G380" s="18">
        <v>1.2</v>
      </c>
      <c r="H380" s="22"/>
      <c r="I380" s="22">
        <v>1395.6</v>
      </c>
      <c r="J380" s="19">
        <v>16.12</v>
      </c>
      <c r="M380" s="20">
        <f>ROUND(ROUND(J380, 2)*I380, 2)</f>
        <v>22497.07</v>
      </c>
      <c r="P380" s="19">
        <v>16.11</v>
      </c>
      <c r="S380" s="20">
        <f>ROUND(ROUND(P380, 2)*I380, 2)</f>
        <v>22483.119999999999</v>
      </c>
      <c r="V380" s="9">
        <f>ROUND(ROUND(P380, 2)/1.2, 2)</f>
        <v>13.43</v>
      </c>
      <c r="Y380" s="9">
        <f t="shared" si="16"/>
        <v>18735.93</v>
      </c>
      <c r="AD380" s="4" t="s">
        <v>1190</v>
      </c>
      <c r="AE380" s="4" t="s">
        <v>1191</v>
      </c>
      <c r="AF380" s="4" t="s">
        <v>668</v>
      </c>
    </row>
    <row r="381" spans="1:35" ht="36" x14ac:dyDescent="0.3">
      <c r="A381" s="10" t="s">
        <v>1192</v>
      </c>
      <c r="B381" s="10"/>
      <c r="C381" s="16" t="s">
        <v>1144</v>
      </c>
      <c r="D381" s="12"/>
      <c r="E381" s="12"/>
      <c r="F381" s="17" t="s">
        <v>227</v>
      </c>
      <c r="G381" s="18">
        <v>0.15</v>
      </c>
      <c r="H381" s="18"/>
      <c r="I381" s="18">
        <v>174.45</v>
      </c>
      <c r="J381" s="19">
        <v>68.400000000000006</v>
      </c>
      <c r="M381" s="20">
        <f>ROUND(ROUND(J381, 2)*I381, 2)</f>
        <v>11932.38</v>
      </c>
      <c r="P381" s="19">
        <v>68.400000000000006</v>
      </c>
      <c r="S381" s="20">
        <f>ROUND(ROUND(P381, 2)*I381, 2)</f>
        <v>11932.38</v>
      </c>
      <c r="V381" s="9">
        <f>ROUND(ROUND(P381, 2)/1.2, 2)</f>
        <v>57</v>
      </c>
      <c r="Y381" s="9">
        <f t="shared" si="16"/>
        <v>9943.65</v>
      </c>
      <c r="AD381" s="4" t="s">
        <v>1193</v>
      </c>
      <c r="AE381" s="4" t="s">
        <v>1194</v>
      </c>
      <c r="AF381" s="4" t="s">
        <v>1147</v>
      </c>
    </row>
    <row r="382" spans="1:35" ht="36" x14ac:dyDescent="0.3">
      <c r="A382" s="10" t="s">
        <v>1195</v>
      </c>
      <c r="B382" s="10"/>
      <c r="C382" s="16" t="s">
        <v>637</v>
      </c>
      <c r="D382" s="12"/>
      <c r="E382" s="12"/>
      <c r="F382" s="17" t="s">
        <v>227</v>
      </c>
      <c r="G382" s="18">
        <v>0.25</v>
      </c>
      <c r="H382" s="22"/>
      <c r="I382" s="22">
        <v>290.75</v>
      </c>
      <c r="J382" s="19">
        <v>40.270000000000003</v>
      </c>
      <c r="M382" s="20">
        <f>ROUND(ROUND(J382, 2)*I382, 2)</f>
        <v>11708.5</v>
      </c>
      <c r="P382" s="19">
        <v>40.270000000000003</v>
      </c>
      <c r="S382" s="20">
        <f>ROUND(ROUND(P382, 2)*I382, 2)</f>
        <v>11708.5</v>
      </c>
      <c r="V382" s="9">
        <f>ROUND(ROUND(P382, 2)/1.2, 2)</f>
        <v>33.56</v>
      </c>
      <c r="Y382" s="9">
        <f t="shared" si="16"/>
        <v>9757.08</v>
      </c>
      <c r="AD382" s="4" t="s">
        <v>1196</v>
      </c>
      <c r="AE382" s="4" t="s">
        <v>1197</v>
      </c>
      <c r="AF382" s="4" t="s">
        <v>640</v>
      </c>
    </row>
    <row r="383" spans="1:35" ht="54" x14ac:dyDescent="0.3">
      <c r="A383" s="10" t="s">
        <v>1198</v>
      </c>
      <c r="B383" s="10" t="s">
        <v>1136</v>
      </c>
      <c r="C383" s="11" t="s">
        <v>1137</v>
      </c>
      <c r="D383" s="12"/>
      <c r="E383" s="12" t="s">
        <v>1199</v>
      </c>
      <c r="F383" s="12" t="s">
        <v>59</v>
      </c>
      <c r="G383" s="13">
        <v>1</v>
      </c>
      <c r="H383" s="13"/>
      <c r="I383" s="13">
        <v>593.5</v>
      </c>
      <c r="J383" s="14">
        <v>1050.82</v>
      </c>
      <c r="K383" s="15">
        <v>2364</v>
      </c>
      <c r="L383" s="14">
        <f>J383+ROUND(K383, 2)</f>
        <v>3414.8199999999997</v>
      </c>
      <c r="M383" s="14">
        <v>623661.67000000004</v>
      </c>
      <c r="N383" s="14">
        <v>1403034</v>
      </c>
      <c r="O383" s="14">
        <f>M383+N383</f>
        <v>2026695.67</v>
      </c>
      <c r="P383" s="14">
        <v>1050.81</v>
      </c>
      <c r="Q383" s="15">
        <v>3546</v>
      </c>
      <c r="R383" s="14">
        <f>P383+ROUND(Q383, 2)</f>
        <v>4596.8099999999995</v>
      </c>
      <c r="S383" s="14">
        <v>623655.74</v>
      </c>
      <c r="T383" s="14">
        <v>2104551</v>
      </c>
      <c r="U383" s="14">
        <f>S383+T383</f>
        <v>2728206.74</v>
      </c>
      <c r="V383" s="9">
        <f>ROUND(P383 / 1.2, 2)</f>
        <v>875.68</v>
      </c>
      <c r="W383" s="9">
        <f>ROUND(Q383 / 1.2, 2)</f>
        <v>2955</v>
      </c>
      <c r="X383" s="9">
        <f>ROUND(R383 / 1.2, 2)</f>
        <v>3830.68</v>
      </c>
      <c r="Y383" s="9">
        <f t="shared" si="16"/>
        <v>519713.12</v>
      </c>
      <c r="Z383" s="9">
        <f>ROUND(T383 / 1.2, 2)</f>
        <v>1753792.5</v>
      </c>
      <c r="AA383" s="9">
        <f>Y383+Z383</f>
        <v>2273505.62</v>
      </c>
      <c r="AD383" s="4">
        <v>315890021</v>
      </c>
      <c r="AE383" s="4">
        <v>27245750</v>
      </c>
      <c r="AG383" s="4" t="s">
        <v>1138</v>
      </c>
      <c r="AH383" s="4" t="s">
        <v>1139</v>
      </c>
      <c r="AI383" s="4" t="s">
        <v>224</v>
      </c>
    </row>
    <row r="384" spans="1:35" ht="36" x14ac:dyDescent="0.3">
      <c r="A384" s="10" t="s">
        <v>1200</v>
      </c>
      <c r="B384" s="10"/>
      <c r="C384" s="16" t="s">
        <v>637</v>
      </c>
      <c r="D384" s="12"/>
      <c r="E384" s="12"/>
      <c r="F384" s="17" t="s">
        <v>227</v>
      </c>
      <c r="G384" s="18">
        <v>0.25</v>
      </c>
      <c r="H384" s="22"/>
      <c r="I384" s="22">
        <v>148.375</v>
      </c>
      <c r="J384" s="19">
        <v>40.270000000000003</v>
      </c>
      <c r="M384" s="20">
        <f>ROUND(ROUND(J384, 2)*I384, 2)</f>
        <v>5975.06</v>
      </c>
      <c r="P384" s="19">
        <v>40.270000000000003</v>
      </c>
      <c r="S384" s="20">
        <f>ROUND(ROUND(P384, 2)*I384, 2)</f>
        <v>5975.06</v>
      </c>
      <c r="V384" s="9">
        <f>ROUND(ROUND(P384, 2)/1.2, 2)</f>
        <v>33.56</v>
      </c>
      <c r="Y384" s="9">
        <f t="shared" si="16"/>
        <v>4979.22</v>
      </c>
      <c r="AD384" s="4" t="s">
        <v>1201</v>
      </c>
      <c r="AE384" s="4" t="s">
        <v>1202</v>
      </c>
      <c r="AF384" s="4" t="s">
        <v>640</v>
      </c>
    </row>
    <row r="385" spans="1:35" ht="36" x14ac:dyDescent="0.3">
      <c r="A385" s="10" t="s">
        <v>1203</v>
      </c>
      <c r="B385" s="10"/>
      <c r="C385" s="16" t="s">
        <v>1144</v>
      </c>
      <c r="D385" s="12"/>
      <c r="E385" s="12"/>
      <c r="F385" s="17" t="s">
        <v>227</v>
      </c>
      <c r="G385" s="18">
        <v>0.15</v>
      </c>
      <c r="H385" s="18"/>
      <c r="I385" s="18">
        <v>89.025000000000006</v>
      </c>
      <c r="J385" s="19">
        <v>68.400000000000006</v>
      </c>
      <c r="M385" s="20">
        <f>ROUND(ROUND(J385, 2)*I385, 2)</f>
        <v>6089.31</v>
      </c>
      <c r="P385" s="19">
        <v>68.400000000000006</v>
      </c>
      <c r="S385" s="20">
        <f>ROUND(ROUND(P385, 2)*I385, 2)</f>
        <v>6089.31</v>
      </c>
      <c r="V385" s="9">
        <f>ROUND(ROUND(P385, 2)/1.2, 2)</f>
        <v>57</v>
      </c>
      <c r="Y385" s="9">
        <f t="shared" si="16"/>
        <v>5074.43</v>
      </c>
      <c r="AD385" s="4" t="s">
        <v>1204</v>
      </c>
      <c r="AE385" s="4" t="s">
        <v>1205</v>
      </c>
      <c r="AF385" s="4" t="s">
        <v>1147</v>
      </c>
    </row>
    <row r="386" spans="1:35" ht="36" x14ac:dyDescent="0.3">
      <c r="A386" s="10" t="s">
        <v>1206</v>
      </c>
      <c r="B386" s="10"/>
      <c r="C386" s="21" t="s">
        <v>665</v>
      </c>
      <c r="D386" s="12"/>
      <c r="E386" s="12"/>
      <c r="F386" s="17" t="s">
        <v>227</v>
      </c>
      <c r="G386" s="18">
        <v>1.2</v>
      </c>
      <c r="H386" s="22"/>
      <c r="I386" s="22">
        <v>712.2</v>
      </c>
      <c r="J386" s="19">
        <v>16.12</v>
      </c>
      <c r="M386" s="20">
        <f>ROUND(ROUND(J386, 2)*I386, 2)</f>
        <v>11480.66</v>
      </c>
      <c r="P386" s="19">
        <v>16.11</v>
      </c>
      <c r="S386" s="20">
        <f>ROUND(ROUND(P386, 2)*I386, 2)</f>
        <v>11473.54</v>
      </c>
      <c r="V386" s="9">
        <f>ROUND(ROUND(P386, 2)/1.2, 2)</f>
        <v>13.43</v>
      </c>
      <c r="Y386" s="9">
        <f t="shared" si="16"/>
        <v>9561.2800000000007</v>
      </c>
      <c r="AD386" s="4" t="s">
        <v>1207</v>
      </c>
      <c r="AE386" s="4" t="s">
        <v>1208</v>
      </c>
      <c r="AF386" s="4" t="s">
        <v>668</v>
      </c>
    </row>
    <row r="387" spans="1:35" ht="36" x14ac:dyDescent="0.3">
      <c r="A387" s="10" t="s">
        <v>1209</v>
      </c>
      <c r="B387" s="10"/>
      <c r="C387" s="21" t="s">
        <v>1158</v>
      </c>
      <c r="D387" s="12"/>
      <c r="E387" s="12"/>
      <c r="F387" s="17" t="s">
        <v>59</v>
      </c>
      <c r="G387" s="18">
        <v>1.07</v>
      </c>
      <c r="H387" s="22"/>
      <c r="I387" s="22">
        <v>635.04499999999996</v>
      </c>
      <c r="J387" s="19">
        <v>945</v>
      </c>
      <c r="M387" s="20">
        <f>ROUND(ROUND(J387, 2)*I387, 2)</f>
        <v>600117.53</v>
      </c>
      <c r="P387" s="19">
        <v>945</v>
      </c>
      <c r="S387" s="20">
        <f>ROUND(ROUND(P387, 2)*I387, 2)</f>
        <v>600117.53</v>
      </c>
      <c r="V387" s="9">
        <f>ROUND(ROUND(P387, 2)/1.2, 2)</f>
        <v>787.5</v>
      </c>
      <c r="Y387" s="9">
        <f t="shared" si="16"/>
        <v>500097.94</v>
      </c>
      <c r="AD387" s="4" t="s">
        <v>1210</v>
      </c>
      <c r="AE387" s="4" t="s">
        <v>1211</v>
      </c>
      <c r="AF387" s="4" t="s">
        <v>1161</v>
      </c>
    </row>
    <row r="388" spans="1:35" ht="54" x14ac:dyDescent="0.3">
      <c r="A388" s="10" t="s">
        <v>1212</v>
      </c>
      <c r="B388" s="10" t="s">
        <v>1136</v>
      </c>
      <c r="C388" s="11" t="s">
        <v>1137</v>
      </c>
      <c r="D388" s="12"/>
      <c r="E388" s="12" t="s">
        <v>1213</v>
      </c>
      <c r="F388" s="12" t="s">
        <v>59</v>
      </c>
      <c r="G388" s="13">
        <v>1</v>
      </c>
      <c r="H388" s="13"/>
      <c r="I388" s="13">
        <v>46</v>
      </c>
      <c r="J388" s="14">
        <v>1521.58</v>
      </c>
      <c r="K388" s="15">
        <v>2364</v>
      </c>
      <c r="L388" s="14">
        <f>J388+ROUND(K388, 2)</f>
        <v>3885.58</v>
      </c>
      <c r="M388" s="14">
        <v>69992.679999999993</v>
      </c>
      <c r="N388" s="14">
        <v>108744</v>
      </c>
      <c r="O388" s="14">
        <f>M388+N388</f>
        <v>178736.68</v>
      </c>
      <c r="P388" s="14">
        <v>1521.56</v>
      </c>
      <c r="Q388" s="15">
        <v>3546</v>
      </c>
      <c r="R388" s="14">
        <f>P388+ROUND(Q388, 2)</f>
        <v>5067.5599999999995</v>
      </c>
      <c r="S388" s="14">
        <v>69991.759999999995</v>
      </c>
      <c r="T388" s="14">
        <v>163116</v>
      </c>
      <c r="U388" s="14">
        <f>S388+T388</f>
        <v>233107.76</v>
      </c>
      <c r="V388" s="9">
        <f>ROUND(P388 / 1.2, 2)</f>
        <v>1267.97</v>
      </c>
      <c r="W388" s="9">
        <f>ROUND(Q388 / 1.2, 2)</f>
        <v>2955</v>
      </c>
      <c r="X388" s="9">
        <f>ROUND(R388 / 1.2, 2)</f>
        <v>4222.97</v>
      </c>
      <c r="Y388" s="9">
        <f t="shared" si="16"/>
        <v>58326.47</v>
      </c>
      <c r="Z388" s="9">
        <f>ROUND(T388 / 1.2, 2)</f>
        <v>135930</v>
      </c>
      <c r="AA388" s="9">
        <f>Y388+Z388</f>
        <v>194256.47</v>
      </c>
      <c r="AD388" s="4">
        <v>315890022</v>
      </c>
      <c r="AE388" s="4">
        <v>27245727</v>
      </c>
      <c r="AG388" s="4" t="s">
        <v>1138</v>
      </c>
      <c r="AH388" s="4" t="s">
        <v>1139</v>
      </c>
      <c r="AI388" s="4" t="s">
        <v>224</v>
      </c>
    </row>
    <row r="389" spans="1:35" ht="36" x14ac:dyDescent="0.3">
      <c r="A389" s="10" t="s">
        <v>1214</v>
      </c>
      <c r="B389" s="10"/>
      <c r="C389" s="21" t="s">
        <v>1152</v>
      </c>
      <c r="D389" s="12"/>
      <c r="E389" s="12"/>
      <c r="F389" s="17" t="s">
        <v>59</v>
      </c>
      <c r="G389" s="18">
        <v>1.07</v>
      </c>
      <c r="H389" s="22"/>
      <c r="I389" s="22">
        <v>49.22</v>
      </c>
      <c r="J389" s="19">
        <v>1384.96</v>
      </c>
      <c r="M389" s="20">
        <f>ROUND(ROUND(J389, 2)*I389, 2)</f>
        <v>68167.73</v>
      </c>
      <c r="P389" s="19">
        <v>1384.95</v>
      </c>
      <c r="S389" s="20">
        <f>ROUND(ROUND(P389, 2)*I389, 2)</f>
        <v>68167.240000000005</v>
      </c>
      <c r="V389" s="9">
        <f>ROUND(ROUND(P389, 2)/1.2, 2)</f>
        <v>1154.1300000000001</v>
      </c>
      <c r="Y389" s="9">
        <f t="shared" si="16"/>
        <v>56806.03</v>
      </c>
      <c r="AD389" s="4" t="s">
        <v>1215</v>
      </c>
      <c r="AE389" s="4" t="s">
        <v>1216</v>
      </c>
      <c r="AF389" s="4" t="s">
        <v>1155</v>
      </c>
    </row>
    <row r="390" spans="1:35" ht="36" x14ac:dyDescent="0.3">
      <c r="A390" s="10" t="s">
        <v>1217</v>
      </c>
      <c r="B390" s="10"/>
      <c r="C390" s="21" t="s">
        <v>665</v>
      </c>
      <c r="D390" s="12"/>
      <c r="E390" s="12"/>
      <c r="F390" s="17" t="s">
        <v>227</v>
      </c>
      <c r="G390" s="18">
        <v>1.2</v>
      </c>
      <c r="H390" s="22"/>
      <c r="I390" s="22">
        <v>55.2</v>
      </c>
      <c r="J390" s="19">
        <v>16.12</v>
      </c>
      <c r="M390" s="20">
        <f>ROUND(ROUND(J390, 2)*I390, 2)</f>
        <v>889.82</v>
      </c>
      <c r="P390" s="19">
        <v>16.11</v>
      </c>
      <c r="S390" s="20">
        <f>ROUND(ROUND(P390, 2)*I390, 2)</f>
        <v>889.27</v>
      </c>
      <c r="V390" s="9">
        <f>ROUND(ROUND(P390, 2)/1.2, 2)</f>
        <v>13.43</v>
      </c>
      <c r="Y390" s="9">
        <f t="shared" si="16"/>
        <v>741.06</v>
      </c>
      <c r="AD390" s="4" t="s">
        <v>1218</v>
      </c>
      <c r="AE390" s="4" t="s">
        <v>1219</v>
      </c>
      <c r="AF390" s="4" t="s">
        <v>668</v>
      </c>
    </row>
    <row r="391" spans="1:35" ht="36" x14ac:dyDescent="0.3">
      <c r="A391" s="10" t="s">
        <v>1220</v>
      </c>
      <c r="B391" s="10"/>
      <c r="C391" s="16" t="s">
        <v>1144</v>
      </c>
      <c r="D391" s="12"/>
      <c r="E391" s="12"/>
      <c r="F391" s="17" t="s">
        <v>227</v>
      </c>
      <c r="G391" s="18">
        <v>0.15</v>
      </c>
      <c r="H391" s="18"/>
      <c r="I391" s="18">
        <v>6.9</v>
      </c>
      <c r="J391" s="19">
        <v>68.400000000000006</v>
      </c>
      <c r="M391" s="20">
        <f>ROUND(ROUND(J391, 2)*I391, 2)</f>
        <v>471.96</v>
      </c>
      <c r="P391" s="19">
        <v>68.400000000000006</v>
      </c>
      <c r="S391" s="20">
        <f>ROUND(ROUND(P391, 2)*I391, 2)</f>
        <v>471.96</v>
      </c>
      <c r="V391" s="9">
        <f>ROUND(ROUND(P391, 2)/1.2, 2)</f>
        <v>57</v>
      </c>
      <c r="Y391" s="9">
        <f t="shared" si="16"/>
        <v>393.3</v>
      </c>
      <c r="AD391" s="4" t="s">
        <v>1221</v>
      </c>
      <c r="AE391" s="4" t="s">
        <v>1222</v>
      </c>
      <c r="AF391" s="4" t="s">
        <v>1147</v>
      </c>
    </row>
    <row r="392" spans="1:35" ht="36" x14ac:dyDescent="0.3">
      <c r="A392" s="10" t="s">
        <v>1223</v>
      </c>
      <c r="B392" s="10"/>
      <c r="C392" s="16" t="s">
        <v>637</v>
      </c>
      <c r="D392" s="12"/>
      <c r="E392" s="12"/>
      <c r="F392" s="17" t="s">
        <v>227</v>
      </c>
      <c r="G392" s="18">
        <v>0.25</v>
      </c>
      <c r="H392" s="22"/>
      <c r="I392" s="22">
        <v>11.5</v>
      </c>
      <c r="J392" s="19">
        <v>40.270000000000003</v>
      </c>
      <c r="M392" s="20">
        <f>ROUND(ROUND(J392, 2)*I392, 2)</f>
        <v>463.11</v>
      </c>
      <c r="P392" s="19">
        <v>40.270000000000003</v>
      </c>
      <c r="S392" s="20">
        <f>ROUND(ROUND(P392, 2)*I392, 2)</f>
        <v>463.11</v>
      </c>
      <c r="V392" s="9">
        <f>ROUND(ROUND(P392, 2)/1.2, 2)</f>
        <v>33.56</v>
      </c>
      <c r="Y392" s="9">
        <f t="shared" si="16"/>
        <v>385.93</v>
      </c>
      <c r="AD392" s="4" t="s">
        <v>1224</v>
      </c>
      <c r="AE392" s="4" t="s">
        <v>1225</v>
      </c>
      <c r="AF392" s="4" t="s">
        <v>640</v>
      </c>
    </row>
    <row r="393" spans="1:35" ht="54" x14ac:dyDescent="0.3">
      <c r="A393" s="10" t="s">
        <v>1226</v>
      </c>
      <c r="B393" s="10" t="s">
        <v>1227</v>
      </c>
      <c r="C393" s="11" t="s">
        <v>1228</v>
      </c>
      <c r="D393" s="12"/>
      <c r="E393" s="12"/>
      <c r="F393" s="12" t="s">
        <v>59</v>
      </c>
      <c r="G393" s="13">
        <v>1</v>
      </c>
      <c r="H393" s="13"/>
      <c r="I393" s="13">
        <v>0</v>
      </c>
      <c r="J393" s="14">
        <v>0</v>
      </c>
      <c r="K393" s="15">
        <v>2983</v>
      </c>
      <c r="L393" s="14">
        <f>J393+ROUND(K393, 2)</f>
        <v>2983</v>
      </c>
      <c r="M393" s="14">
        <v>0</v>
      </c>
      <c r="N393" s="14">
        <v>0</v>
      </c>
      <c r="O393" s="14">
        <f>M393+N393</f>
        <v>0</v>
      </c>
      <c r="P393" s="14">
        <v>1253.43</v>
      </c>
      <c r="Q393" s="15">
        <v>2983</v>
      </c>
      <c r="R393" s="14">
        <f>P393+ROUND(Q393, 2)</f>
        <v>4236.43</v>
      </c>
      <c r="S393" s="14">
        <v>0</v>
      </c>
      <c r="T393" s="14">
        <v>0</v>
      </c>
      <c r="U393" s="14">
        <f>S393+T393</f>
        <v>0</v>
      </c>
      <c r="V393" s="9">
        <f>ROUND(P393 / 1.2, 2)</f>
        <v>1044.53</v>
      </c>
      <c r="W393" s="9">
        <f>ROUND(Q393 / 1.2, 2)</f>
        <v>2485.83</v>
      </c>
      <c r="X393" s="9">
        <f>ROUND(R393 / 1.2, 2)</f>
        <v>3530.36</v>
      </c>
      <c r="Y393" s="9">
        <f t="shared" si="16"/>
        <v>0</v>
      </c>
      <c r="Z393" s="9">
        <f>ROUND(T393 / 1.2, 2)</f>
        <v>0</v>
      </c>
      <c r="AA393" s="9">
        <f>Y393+Z393</f>
        <v>0</v>
      </c>
      <c r="AD393" s="4">
        <v>315890023</v>
      </c>
      <c r="AE393" s="4">
        <v>27245627</v>
      </c>
      <c r="AG393" s="4" t="s">
        <v>1229</v>
      </c>
      <c r="AH393" s="4" t="s">
        <v>1230</v>
      </c>
      <c r="AI393" s="4" t="s">
        <v>224</v>
      </c>
    </row>
    <row r="394" spans="1:35" ht="36" x14ac:dyDescent="0.3">
      <c r="A394" s="10" t="s">
        <v>1231</v>
      </c>
      <c r="B394" s="10"/>
      <c r="C394" s="21" t="s">
        <v>1232</v>
      </c>
      <c r="D394" s="12"/>
      <c r="E394" s="12"/>
      <c r="F394" s="17" t="s">
        <v>59</v>
      </c>
      <c r="G394" s="18">
        <v>1.1000000000000001</v>
      </c>
      <c r="H394" s="22"/>
      <c r="I394" s="22">
        <v>0</v>
      </c>
      <c r="J394" s="19">
        <v>2038.05</v>
      </c>
      <c r="M394" s="20">
        <f>ROUND(ROUND(J394, 2)*I394, 2)</f>
        <v>0</v>
      </c>
      <c r="P394" s="19">
        <v>1102.5</v>
      </c>
      <c r="S394" s="20">
        <f>ROUND(ROUND(P394, 2)*I394, 2)</f>
        <v>0</v>
      </c>
      <c r="V394" s="9">
        <f>ROUND(ROUND(P394, 2)/1.2, 2)</f>
        <v>918.75</v>
      </c>
      <c r="Y394" s="9">
        <f t="shared" si="16"/>
        <v>0</v>
      </c>
      <c r="AD394" s="4" t="s">
        <v>1233</v>
      </c>
      <c r="AE394" s="4" t="s">
        <v>1234</v>
      </c>
      <c r="AF394" s="4" t="s">
        <v>1235</v>
      </c>
    </row>
    <row r="395" spans="1:35" ht="36" x14ac:dyDescent="0.3">
      <c r="A395" s="10" t="s">
        <v>1236</v>
      </c>
      <c r="B395" s="10"/>
      <c r="C395" s="21" t="s">
        <v>665</v>
      </c>
      <c r="D395" s="12"/>
      <c r="E395" s="12"/>
      <c r="F395" s="17" t="s">
        <v>227</v>
      </c>
      <c r="G395" s="18">
        <v>1.2</v>
      </c>
      <c r="H395" s="22"/>
      <c r="I395" s="22">
        <v>0</v>
      </c>
      <c r="J395" s="19">
        <v>16.96</v>
      </c>
      <c r="M395" s="20">
        <f>ROUND(ROUND(J395, 2)*I395, 2)</f>
        <v>0</v>
      </c>
      <c r="P395" s="19">
        <v>16.96</v>
      </c>
      <c r="S395" s="20">
        <f>ROUND(ROUND(P395, 2)*I395, 2)</f>
        <v>0</v>
      </c>
      <c r="V395" s="9">
        <f>ROUND(ROUND(P395, 2)/1.2, 2)</f>
        <v>14.13</v>
      </c>
      <c r="Y395" s="9">
        <f t="shared" si="16"/>
        <v>0</v>
      </c>
      <c r="AD395" s="4" t="s">
        <v>1237</v>
      </c>
      <c r="AE395" s="4" t="s">
        <v>1238</v>
      </c>
      <c r="AF395" s="4" t="s">
        <v>668</v>
      </c>
    </row>
    <row r="396" spans="1:35" ht="36" x14ac:dyDescent="0.3">
      <c r="A396" s="10" t="s">
        <v>1239</v>
      </c>
      <c r="B396" s="10"/>
      <c r="C396" s="16" t="s">
        <v>637</v>
      </c>
      <c r="D396" s="12"/>
      <c r="E396" s="12"/>
      <c r="F396" s="17" t="s">
        <v>227</v>
      </c>
      <c r="G396" s="18">
        <v>0.25</v>
      </c>
      <c r="H396" s="22"/>
      <c r="I396" s="22">
        <v>0</v>
      </c>
      <c r="J396" s="19">
        <v>40.270000000000003</v>
      </c>
      <c r="M396" s="20">
        <f>ROUND(ROUND(J396, 2)*I396, 2)</f>
        <v>0</v>
      </c>
      <c r="P396" s="19">
        <v>40.270000000000003</v>
      </c>
      <c r="S396" s="20">
        <f>ROUND(ROUND(P396, 2)*I396, 2)</f>
        <v>0</v>
      </c>
      <c r="V396" s="9">
        <f>ROUND(ROUND(P396, 2)/1.2, 2)</f>
        <v>33.56</v>
      </c>
      <c r="Y396" s="9">
        <f t="shared" si="16"/>
        <v>0</v>
      </c>
      <c r="AD396" s="4" t="s">
        <v>1240</v>
      </c>
      <c r="AE396" s="4" t="s">
        <v>1241</v>
      </c>
      <c r="AF396" s="4" t="s">
        <v>640</v>
      </c>
    </row>
    <row r="397" spans="1:35" ht="36" x14ac:dyDescent="0.3">
      <c r="A397" s="10" t="s">
        <v>1242</v>
      </c>
      <c r="B397" s="10"/>
      <c r="C397" s="16" t="s">
        <v>1144</v>
      </c>
      <c r="D397" s="12"/>
      <c r="E397" s="12"/>
      <c r="F397" s="17" t="s">
        <v>227</v>
      </c>
      <c r="G397" s="18">
        <v>0.15</v>
      </c>
      <c r="H397" s="18"/>
      <c r="I397" s="18">
        <v>0</v>
      </c>
      <c r="J397" s="19">
        <v>68.400000000000006</v>
      </c>
      <c r="M397" s="20">
        <f>ROUND(ROUND(J397, 2)*I397, 2)</f>
        <v>0</v>
      </c>
      <c r="P397" s="19">
        <v>68.400000000000006</v>
      </c>
      <c r="S397" s="20">
        <f>ROUND(ROUND(P397, 2)*I397, 2)</f>
        <v>0</v>
      </c>
      <c r="V397" s="9">
        <f>ROUND(ROUND(P397, 2)/1.2, 2)</f>
        <v>57</v>
      </c>
      <c r="Y397" s="9">
        <f t="shared" si="16"/>
        <v>0</v>
      </c>
      <c r="AD397" s="4" t="s">
        <v>1243</v>
      </c>
      <c r="AE397" s="4" t="s">
        <v>1244</v>
      </c>
      <c r="AF397" s="4" t="s">
        <v>1147</v>
      </c>
    </row>
    <row r="398" spans="1:35" ht="54" x14ac:dyDescent="0.3">
      <c r="A398" s="10" t="s">
        <v>1245</v>
      </c>
      <c r="B398" s="10" t="s">
        <v>1227</v>
      </c>
      <c r="C398" s="11" t="s">
        <v>1228</v>
      </c>
      <c r="D398" s="12"/>
      <c r="E398" s="12"/>
      <c r="F398" s="12" t="s">
        <v>59</v>
      </c>
      <c r="G398" s="13">
        <v>1</v>
      </c>
      <c r="H398" s="13"/>
      <c r="I398" s="13">
        <v>0</v>
      </c>
      <c r="J398" s="14">
        <v>0</v>
      </c>
      <c r="K398" s="15">
        <v>2983</v>
      </c>
      <c r="L398" s="14">
        <f>J398+ROUND(K398, 2)</f>
        <v>2983</v>
      </c>
      <c r="M398" s="14">
        <v>0</v>
      </c>
      <c r="N398" s="14">
        <v>0</v>
      </c>
      <c r="O398" s="14">
        <f>M398+N398</f>
        <v>0</v>
      </c>
      <c r="P398" s="14">
        <v>1253.43</v>
      </c>
      <c r="Q398" s="15">
        <v>2983</v>
      </c>
      <c r="R398" s="14">
        <f>P398+ROUND(Q398, 2)</f>
        <v>4236.43</v>
      </c>
      <c r="S398" s="14">
        <v>0</v>
      </c>
      <c r="T398" s="14">
        <v>0</v>
      </c>
      <c r="U398" s="14">
        <f>S398+T398</f>
        <v>0</v>
      </c>
      <c r="V398" s="9">
        <f>ROUND(P398 / 1.2, 2)</f>
        <v>1044.53</v>
      </c>
      <c r="W398" s="9">
        <f>ROUND(Q398 / 1.2, 2)</f>
        <v>2485.83</v>
      </c>
      <c r="X398" s="9">
        <f>ROUND(R398 / 1.2, 2)</f>
        <v>3530.36</v>
      </c>
      <c r="Y398" s="9">
        <f t="shared" ref="Y398:Y432" si="17">ROUND(S398 / 1.2, 2)</f>
        <v>0</v>
      </c>
      <c r="Z398" s="9">
        <f>ROUND(T398 / 1.2, 2)</f>
        <v>0</v>
      </c>
      <c r="AA398" s="9">
        <f>Y398+Z398</f>
        <v>0</v>
      </c>
      <c r="AD398" s="4">
        <v>315890024</v>
      </c>
      <c r="AE398" s="4">
        <v>27245628</v>
      </c>
      <c r="AG398" s="4" t="s">
        <v>1229</v>
      </c>
      <c r="AH398" s="4" t="s">
        <v>1230</v>
      </c>
      <c r="AI398" s="4" t="s">
        <v>224</v>
      </c>
    </row>
    <row r="399" spans="1:35" ht="36" x14ac:dyDescent="0.3">
      <c r="A399" s="10" t="s">
        <v>1246</v>
      </c>
      <c r="B399" s="10"/>
      <c r="C399" s="16" t="s">
        <v>1144</v>
      </c>
      <c r="D399" s="12"/>
      <c r="E399" s="12"/>
      <c r="F399" s="17" t="s">
        <v>227</v>
      </c>
      <c r="G399" s="18">
        <v>0.15</v>
      </c>
      <c r="H399" s="18"/>
      <c r="I399" s="18">
        <v>0</v>
      </c>
      <c r="J399" s="19">
        <v>68.400000000000006</v>
      </c>
      <c r="M399" s="20">
        <f>ROUND(ROUND(J399, 2)*I399, 2)</f>
        <v>0</v>
      </c>
      <c r="P399" s="19">
        <v>68.400000000000006</v>
      </c>
      <c r="S399" s="20">
        <f>ROUND(ROUND(P399, 2)*I399, 2)</f>
        <v>0</v>
      </c>
      <c r="V399" s="9">
        <f>ROUND(ROUND(P399, 2)/1.2, 2)</f>
        <v>57</v>
      </c>
      <c r="Y399" s="9">
        <f t="shared" si="17"/>
        <v>0</v>
      </c>
      <c r="AD399" s="4" t="s">
        <v>1247</v>
      </c>
      <c r="AE399" s="4" t="s">
        <v>1248</v>
      </c>
      <c r="AF399" s="4" t="s">
        <v>1147</v>
      </c>
    </row>
    <row r="400" spans="1:35" ht="36" x14ac:dyDescent="0.3">
      <c r="A400" s="10" t="s">
        <v>1249</v>
      </c>
      <c r="B400" s="10"/>
      <c r="C400" s="16" t="s">
        <v>637</v>
      </c>
      <c r="D400" s="12"/>
      <c r="E400" s="12"/>
      <c r="F400" s="17" t="s">
        <v>227</v>
      </c>
      <c r="G400" s="18">
        <v>0.25</v>
      </c>
      <c r="H400" s="22"/>
      <c r="I400" s="22">
        <v>0</v>
      </c>
      <c r="J400" s="19">
        <v>40.270000000000003</v>
      </c>
      <c r="M400" s="20">
        <f>ROUND(ROUND(J400, 2)*I400, 2)</f>
        <v>0</v>
      </c>
      <c r="P400" s="19">
        <v>40.270000000000003</v>
      </c>
      <c r="S400" s="20">
        <f>ROUND(ROUND(P400, 2)*I400, 2)</f>
        <v>0</v>
      </c>
      <c r="V400" s="9">
        <f>ROUND(ROUND(P400, 2)/1.2, 2)</f>
        <v>33.56</v>
      </c>
      <c r="Y400" s="9">
        <f t="shared" si="17"/>
        <v>0</v>
      </c>
      <c r="AD400" s="4" t="s">
        <v>1250</v>
      </c>
      <c r="AE400" s="4" t="s">
        <v>1251</v>
      </c>
      <c r="AF400" s="4" t="s">
        <v>640</v>
      </c>
    </row>
    <row r="401" spans="1:35" ht="36" x14ac:dyDescent="0.3">
      <c r="A401" s="10" t="s">
        <v>1252</v>
      </c>
      <c r="B401" s="10"/>
      <c r="C401" s="21" t="s">
        <v>665</v>
      </c>
      <c r="D401" s="12"/>
      <c r="E401" s="12"/>
      <c r="F401" s="17" t="s">
        <v>227</v>
      </c>
      <c r="G401" s="18">
        <v>1.2</v>
      </c>
      <c r="H401" s="22"/>
      <c r="I401" s="22">
        <v>0</v>
      </c>
      <c r="J401" s="19">
        <v>16.96</v>
      </c>
      <c r="M401" s="20">
        <f>ROUND(ROUND(J401, 2)*I401, 2)</f>
        <v>0</v>
      </c>
      <c r="P401" s="19">
        <v>16.96</v>
      </c>
      <c r="S401" s="20">
        <f>ROUND(ROUND(P401, 2)*I401, 2)</f>
        <v>0</v>
      </c>
      <c r="V401" s="9">
        <f>ROUND(ROUND(P401, 2)/1.2, 2)</f>
        <v>14.13</v>
      </c>
      <c r="Y401" s="9">
        <f t="shared" si="17"/>
        <v>0</v>
      </c>
      <c r="AD401" s="4" t="s">
        <v>1253</v>
      </c>
      <c r="AE401" s="4" t="s">
        <v>1254</v>
      </c>
      <c r="AF401" s="4" t="s">
        <v>668</v>
      </c>
    </row>
    <row r="402" spans="1:35" ht="36" x14ac:dyDescent="0.3">
      <c r="A402" s="10" t="s">
        <v>1255</v>
      </c>
      <c r="B402" s="10"/>
      <c r="C402" s="21" t="s">
        <v>1232</v>
      </c>
      <c r="D402" s="12"/>
      <c r="E402" s="12"/>
      <c r="F402" s="17" t="s">
        <v>59</v>
      </c>
      <c r="G402" s="18">
        <v>1.1000000000000001</v>
      </c>
      <c r="H402" s="22"/>
      <c r="I402" s="22">
        <v>0</v>
      </c>
      <c r="J402" s="19">
        <v>2038.05</v>
      </c>
      <c r="M402" s="20">
        <f>ROUND(ROUND(J402, 2)*I402, 2)</f>
        <v>0</v>
      </c>
      <c r="P402" s="19">
        <v>1102.5</v>
      </c>
      <c r="S402" s="20">
        <f>ROUND(ROUND(P402, 2)*I402, 2)</f>
        <v>0</v>
      </c>
      <c r="V402" s="9">
        <f>ROUND(ROUND(P402, 2)/1.2, 2)</f>
        <v>918.75</v>
      </c>
      <c r="Y402" s="9">
        <f t="shared" si="17"/>
        <v>0</v>
      </c>
      <c r="AD402" s="4" t="s">
        <v>1256</v>
      </c>
      <c r="AE402" s="4" t="s">
        <v>1257</v>
      </c>
      <c r="AF402" s="4" t="s">
        <v>1235</v>
      </c>
    </row>
    <row r="403" spans="1:35" ht="54" x14ac:dyDescent="0.3">
      <c r="A403" s="10" t="s">
        <v>1258</v>
      </c>
      <c r="B403" s="10" t="s">
        <v>1227</v>
      </c>
      <c r="C403" s="11" t="s">
        <v>1228</v>
      </c>
      <c r="D403" s="12"/>
      <c r="E403" s="12"/>
      <c r="F403" s="12" t="s">
        <v>59</v>
      </c>
      <c r="G403" s="13">
        <v>1</v>
      </c>
      <c r="H403" s="13"/>
      <c r="I403" s="13">
        <v>0</v>
      </c>
      <c r="J403" s="14">
        <v>0</v>
      </c>
      <c r="K403" s="15">
        <v>2983</v>
      </c>
      <c r="L403" s="14">
        <f>J403+ROUND(K403, 2)</f>
        <v>2983</v>
      </c>
      <c r="M403" s="14">
        <v>0</v>
      </c>
      <c r="N403" s="14">
        <v>0</v>
      </c>
      <c r="O403" s="14">
        <f>M403+N403</f>
        <v>0</v>
      </c>
      <c r="P403" s="14">
        <v>1253.43</v>
      </c>
      <c r="Q403" s="15">
        <v>2983</v>
      </c>
      <c r="R403" s="14">
        <f>P403+ROUND(Q403, 2)</f>
        <v>4236.43</v>
      </c>
      <c r="S403" s="14">
        <v>0</v>
      </c>
      <c r="T403" s="14">
        <v>0</v>
      </c>
      <c r="U403" s="14">
        <f>S403+T403</f>
        <v>0</v>
      </c>
      <c r="V403" s="9">
        <f>ROUND(P403 / 1.2, 2)</f>
        <v>1044.53</v>
      </c>
      <c r="W403" s="9">
        <f>ROUND(Q403 / 1.2, 2)</f>
        <v>2485.83</v>
      </c>
      <c r="X403" s="9">
        <f>ROUND(R403 / 1.2, 2)</f>
        <v>3530.36</v>
      </c>
      <c r="Y403" s="9">
        <f t="shared" si="17"/>
        <v>0</v>
      </c>
      <c r="Z403" s="9">
        <f>ROUND(T403 / 1.2, 2)</f>
        <v>0</v>
      </c>
      <c r="AA403" s="9">
        <f>Y403+Z403</f>
        <v>0</v>
      </c>
      <c r="AD403" s="4">
        <v>315890025</v>
      </c>
      <c r="AE403" s="4">
        <v>27245629</v>
      </c>
      <c r="AG403" s="4" t="s">
        <v>1229</v>
      </c>
      <c r="AH403" s="4" t="s">
        <v>1230</v>
      </c>
      <c r="AI403" s="4" t="s">
        <v>224</v>
      </c>
    </row>
    <row r="404" spans="1:35" ht="36" x14ac:dyDescent="0.3">
      <c r="A404" s="10" t="s">
        <v>1259</v>
      </c>
      <c r="B404" s="10"/>
      <c r="C404" s="21" t="s">
        <v>1232</v>
      </c>
      <c r="D404" s="12"/>
      <c r="E404" s="12"/>
      <c r="F404" s="17" t="s">
        <v>59</v>
      </c>
      <c r="G404" s="18">
        <v>1.1000000000000001</v>
      </c>
      <c r="H404" s="22"/>
      <c r="I404" s="22">
        <v>0</v>
      </c>
      <c r="J404" s="19">
        <v>2038.05</v>
      </c>
      <c r="M404" s="20">
        <f>ROUND(ROUND(J404, 2)*I404, 2)</f>
        <v>0</v>
      </c>
      <c r="P404" s="19">
        <v>1102.5</v>
      </c>
      <c r="S404" s="20">
        <f>ROUND(ROUND(P404, 2)*I404, 2)</f>
        <v>0</v>
      </c>
      <c r="V404" s="9">
        <f>ROUND(ROUND(P404, 2)/1.2, 2)</f>
        <v>918.75</v>
      </c>
      <c r="Y404" s="9">
        <f t="shared" si="17"/>
        <v>0</v>
      </c>
      <c r="AD404" s="4" t="s">
        <v>1260</v>
      </c>
      <c r="AE404" s="4" t="s">
        <v>1261</v>
      </c>
      <c r="AF404" s="4" t="s">
        <v>1235</v>
      </c>
    </row>
    <row r="405" spans="1:35" ht="36" x14ac:dyDescent="0.3">
      <c r="A405" s="10" t="s">
        <v>1262</v>
      </c>
      <c r="B405" s="10"/>
      <c r="C405" s="21" t="s">
        <v>665</v>
      </c>
      <c r="D405" s="12"/>
      <c r="E405" s="12"/>
      <c r="F405" s="17" t="s">
        <v>227</v>
      </c>
      <c r="G405" s="18">
        <v>1.2</v>
      </c>
      <c r="H405" s="22"/>
      <c r="I405" s="22">
        <v>0</v>
      </c>
      <c r="J405" s="19">
        <v>16.96</v>
      </c>
      <c r="M405" s="20">
        <f>ROUND(ROUND(J405, 2)*I405, 2)</f>
        <v>0</v>
      </c>
      <c r="P405" s="19">
        <v>16.96</v>
      </c>
      <c r="S405" s="20">
        <f>ROUND(ROUND(P405, 2)*I405, 2)</f>
        <v>0</v>
      </c>
      <c r="V405" s="9">
        <f>ROUND(ROUND(P405, 2)/1.2, 2)</f>
        <v>14.13</v>
      </c>
      <c r="Y405" s="9">
        <f t="shared" si="17"/>
        <v>0</v>
      </c>
      <c r="AD405" s="4" t="s">
        <v>1263</v>
      </c>
      <c r="AE405" s="4" t="s">
        <v>1264</v>
      </c>
      <c r="AF405" s="4" t="s">
        <v>668</v>
      </c>
    </row>
    <row r="406" spans="1:35" ht="36" x14ac:dyDescent="0.3">
      <c r="A406" s="10" t="s">
        <v>1265</v>
      </c>
      <c r="B406" s="10"/>
      <c r="C406" s="16" t="s">
        <v>637</v>
      </c>
      <c r="D406" s="12"/>
      <c r="E406" s="12"/>
      <c r="F406" s="17" t="s">
        <v>227</v>
      </c>
      <c r="G406" s="18">
        <v>0.25</v>
      </c>
      <c r="H406" s="22"/>
      <c r="I406" s="22">
        <v>0</v>
      </c>
      <c r="J406" s="19">
        <v>40.270000000000003</v>
      </c>
      <c r="M406" s="20">
        <f>ROUND(ROUND(J406, 2)*I406, 2)</f>
        <v>0</v>
      </c>
      <c r="P406" s="19">
        <v>40.270000000000003</v>
      </c>
      <c r="S406" s="20">
        <f>ROUND(ROUND(P406, 2)*I406, 2)</f>
        <v>0</v>
      </c>
      <c r="V406" s="9">
        <f>ROUND(ROUND(P406, 2)/1.2, 2)</f>
        <v>33.56</v>
      </c>
      <c r="Y406" s="9">
        <f t="shared" si="17"/>
        <v>0</v>
      </c>
      <c r="AD406" s="4" t="s">
        <v>1266</v>
      </c>
      <c r="AE406" s="4" t="s">
        <v>1267</v>
      </c>
      <c r="AF406" s="4" t="s">
        <v>640</v>
      </c>
    </row>
    <row r="407" spans="1:35" ht="36" x14ac:dyDescent="0.3">
      <c r="A407" s="10" t="s">
        <v>1268</v>
      </c>
      <c r="B407" s="10"/>
      <c r="C407" s="16" t="s">
        <v>1144</v>
      </c>
      <c r="D407" s="12"/>
      <c r="E407" s="12"/>
      <c r="F407" s="17" t="s">
        <v>227</v>
      </c>
      <c r="G407" s="18">
        <v>0.15</v>
      </c>
      <c r="H407" s="18"/>
      <c r="I407" s="18">
        <v>0</v>
      </c>
      <c r="J407" s="19">
        <v>68.400000000000006</v>
      </c>
      <c r="M407" s="20">
        <f>ROUND(ROUND(J407, 2)*I407, 2)</f>
        <v>0</v>
      </c>
      <c r="P407" s="19">
        <v>68.400000000000006</v>
      </c>
      <c r="S407" s="20">
        <f>ROUND(ROUND(P407, 2)*I407, 2)</f>
        <v>0</v>
      </c>
      <c r="V407" s="9">
        <f>ROUND(ROUND(P407, 2)/1.2, 2)</f>
        <v>57</v>
      </c>
      <c r="Y407" s="9">
        <f t="shared" si="17"/>
        <v>0</v>
      </c>
      <c r="AD407" s="4" t="s">
        <v>1269</v>
      </c>
      <c r="AE407" s="4" t="s">
        <v>1270</v>
      </c>
      <c r="AF407" s="4" t="s">
        <v>1147</v>
      </c>
    </row>
    <row r="408" spans="1:35" ht="54" x14ac:dyDescent="0.3">
      <c r="A408" s="10" t="s">
        <v>1271</v>
      </c>
      <c r="B408" s="10" t="s">
        <v>1227</v>
      </c>
      <c r="C408" s="11" t="s">
        <v>1228</v>
      </c>
      <c r="D408" s="12"/>
      <c r="E408" s="12"/>
      <c r="F408" s="12" t="s">
        <v>59</v>
      </c>
      <c r="G408" s="13">
        <v>1</v>
      </c>
      <c r="H408" s="13"/>
      <c r="I408" s="13">
        <v>0</v>
      </c>
      <c r="J408" s="14">
        <v>0</v>
      </c>
      <c r="K408" s="15">
        <v>2983</v>
      </c>
      <c r="L408" s="14">
        <f>J408+ROUND(K408, 2)</f>
        <v>2983</v>
      </c>
      <c r="M408" s="14">
        <v>0</v>
      </c>
      <c r="N408" s="14">
        <v>0</v>
      </c>
      <c r="O408" s="14">
        <f>M408+N408</f>
        <v>0</v>
      </c>
      <c r="P408" s="14">
        <v>1253.43</v>
      </c>
      <c r="Q408" s="15">
        <v>2983</v>
      </c>
      <c r="R408" s="14">
        <f>P408+ROUND(Q408, 2)</f>
        <v>4236.43</v>
      </c>
      <c r="S408" s="14">
        <v>0</v>
      </c>
      <c r="T408" s="14">
        <v>0</v>
      </c>
      <c r="U408" s="14">
        <f>S408+T408</f>
        <v>0</v>
      </c>
      <c r="V408" s="9">
        <f>ROUND(P408 / 1.2, 2)</f>
        <v>1044.53</v>
      </c>
      <c r="W408" s="9">
        <f>ROUND(Q408 / 1.2, 2)</f>
        <v>2485.83</v>
      </c>
      <c r="X408" s="9">
        <f>ROUND(R408 / 1.2, 2)</f>
        <v>3530.36</v>
      </c>
      <c r="Y408" s="9">
        <f t="shared" si="17"/>
        <v>0</v>
      </c>
      <c r="Z408" s="9">
        <f>ROUND(T408 / 1.2, 2)</f>
        <v>0</v>
      </c>
      <c r="AA408" s="9">
        <f>Y408+Z408</f>
        <v>0</v>
      </c>
      <c r="AD408" s="4">
        <v>315890026</v>
      </c>
      <c r="AE408" s="4">
        <v>27245630</v>
      </c>
      <c r="AG408" s="4" t="s">
        <v>1229</v>
      </c>
      <c r="AH408" s="4" t="s">
        <v>1230</v>
      </c>
      <c r="AI408" s="4" t="s">
        <v>224</v>
      </c>
    </row>
    <row r="409" spans="1:35" ht="36" x14ac:dyDescent="0.3">
      <c r="A409" s="10" t="s">
        <v>1272</v>
      </c>
      <c r="B409" s="10"/>
      <c r="C409" s="16" t="s">
        <v>1144</v>
      </c>
      <c r="D409" s="12"/>
      <c r="E409" s="12"/>
      <c r="F409" s="17" t="s">
        <v>227</v>
      </c>
      <c r="G409" s="18">
        <v>0.15</v>
      </c>
      <c r="H409" s="18"/>
      <c r="I409" s="18">
        <v>0</v>
      </c>
      <c r="J409" s="19">
        <v>68.400000000000006</v>
      </c>
      <c r="M409" s="20">
        <f>ROUND(ROUND(J409, 2)*I409, 2)</f>
        <v>0</v>
      </c>
      <c r="P409" s="19">
        <v>68.400000000000006</v>
      </c>
      <c r="S409" s="20">
        <f>ROUND(ROUND(P409, 2)*I409, 2)</f>
        <v>0</v>
      </c>
      <c r="V409" s="9">
        <f>ROUND(ROUND(P409, 2)/1.2, 2)</f>
        <v>57</v>
      </c>
      <c r="Y409" s="9">
        <f t="shared" si="17"/>
        <v>0</v>
      </c>
      <c r="AD409" s="4" t="s">
        <v>1273</v>
      </c>
      <c r="AE409" s="4" t="s">
        <v>1274</v>
      </c>
      <c r="AF409" s="4" t="s">
        <v>1147</v>
      </c>
    </row>
    <row r="410" spans="1:35" ht="36" x14ac:dyDescent="0.3">
      <c r="A410" s="10" t="s">
        <v>1275</v>
      </c>
      <c r="B410" s="10"/>
      <c r="C410" s="16" t="s">
        <v>637</v>
      </c>
      <c r="D410" s="12"/>
      <c r="E410" s="12"/>
      <c r="F410" s="17" t="s">
        <v>227</v>
      </c>
      <c r="G410" s="18">
        <v>0.25</v>
      </c>
      <c r="H410" s="22"/>
      <c r="I410" s="22">
        <v>0</v>
      </c>
      <c r="J410" s="19">
        <v>40.270000000000003</v>
      </c>
      <c r="M410" s="20">
        <f>ROUND(ROUND(J410, 2)*I410, 2)</f>
        <v>0</v>
      </c>
      <c r="P410" s="19">
        <v>40.270000000000003</v>
      </c>
      <c r="S410" s="20">
        <f>ROUND(ROUND(P410, 2)*I410, 2)</f>
        <v>0</v>
      </c>
      <c r="V410" s="9">
        <f>ROUND(ROUND(P410, 2)/1.2, 2)</f>
        <v>33.56</v>
      </c>
      <c r="Y410" s="9">
        <f t="shared" si="17"/>
        <v>0</v>
      </c>
      <c r="AD410" s="4" t="s">
        <v>1276</v>
      </c>
      <c r="AE410" s="4" t="s">
        <v>1277</v>
      </c>
      <c r="AF410" s="4" t="s">
        <v>640</v>
      </c>
    </row>
    <row r="411" spans="1:35" ht="36" x14ac:dyDescent="0.3">
      <c r="A411" s="10" t="s">
        <v>1278</v>
      </c>
      <c r="B411" s="10"/>
      <c r="C411" s="21" t="s">
        <v>665</v>
      </c>
      <c r="D411" s="12"/>
      <c r="E411" s="12"/>
      <c r="F411" s="17" t="s">
        <v>227</v>
      </c>
      <c r="G411" s="18">
        <v>1.2</v>
      </c>
      <c r="H411" s="22"/>
      <c r="I411" s="22">
        <v>0</v>
      </c>
      <c r="J411" s="19">
        <v>16.96</v>
      </c>
      <c r="M411" s="20">
        <f>ROUND(ROUND(J411, 2)*I411, 2)</f>
        <v>0</v>
      </c>
      <c r="P411" s="19">
        <v>16.96</v>
      </c>
      <c r="S411" s="20">
        <f>ROUND(ROUND(P411, 2)*I411, 2)</f>
        <v>0</v>
      </c>
      <c r="V411" s="9">
        <f>ROUND(ROUND(P411, 2)/1.2, 2)</f>
        <v>14.13</v>
      </c>
      <c r="Y411" s="9">
        <f t="shared" si="17"/>
        <v>0</v>
      </c>
      <c r="AD411" s="4" t="s">
        <v>1279</v>
      </c>
      <c r="AE411" s="4" t="s">
        <v>1280</v>
      </c>
      <c r="AF411" s="4" t="s">
        <v>668</v>
      </c>
    </row>
    <row r="412" spans="1:35" ht="36" x14ac:dyDescent="0.3">
      <c r="A412" s="10" t="s">
        <v>1281</v>
      </c>
      <c r="B412" s="10"/>
      <c r="C412" s="21" t="s">
        <v>1232</v>
      </c>
      <c r="D412" s="12"/>
      <c r="E412" s="12"/>
      <c r="F412" s="17" t="s">
        <v>59</v>
      </c>
      <c r="G412" s="18">
        <v>1.1000000000000001</v>
      </c>
      <c r="H412" s="22"/>
      <c r="I412" s="22">
        <v>0</v>
      </c>
      <c r="J412" s="19">
        <v>2038.05</v>
      </c>
      <c r="M412" s="20">
        <f>ROUND(ROUND(J412, 2)*I412, 2)</f>
        <v>0</v>
      </c>
      <c r="P412" s="19">
        <v>1102.5</v>
      </c>
      <c r="S412" s="20">
        <f>ROUND(ROUND(P412, 2)*I412, 2)</f>
        <v>0</v>
      </c>
      <c r="V412" s="9">
        <f>ROUND(ROUND(P412, 2)/1.2, 2)</f>
        <v>918.75</v>
      </c>
      <c r="Y412" s="9">
        <f t="shared" si="17"/>
        <v>0</v>
      </c>
      <c r="AD412" s="4" t="s">
        <v>1282</v>
      </c>
      <c r="AE412" s="4" t="s">
        <v>1283</v>
      </c>
      <c r="AF412" s="4" t="s">
        <v>1235</v>
      </c>
    </row>
    <row r="413" spans="1:35" ht="54" x14ac:dyDescent="0.3">
      <c r="A413" s="10" t="s">
        <v>1284</v>
      </c>
      <c r="B413" s="10" t="s">
        <v>1227</v>
      </c>
      <c r="C413" s="11" t="s">
        <v>1228</v>
      </c>
      <c r="D413" s="12"/>
      <c r="E413" s="12" t="s">
        <v>1285</v>
      </c>
      <c r="F413" s="12" t="s">
        <v>59</v>
      </c>
      <c r="G413" s="13">
        <v>1</v>
      </c>
      <c r="H413" s="13"/>
      <c r="I413" s="13">
        <v>320.39999999999998</v>
      </c>
      <c r="J413" s="14">
        <v>2281.54</v>
      </c>
      <c r="K413" s="15">
        <v>2983</v>
      </c>
      <c r="L413" s="14">
        <f>J413+ROUND(K413, 2)</f>
        <v>5264.54</v>
      </c>
      <c r="M413" s="14">
        <v>731005.42</v>
      </c>
      <c r="N413" s="14">
        <v>955753.2</v>
      </c>
      <c r="O413" s="14">
        <f>M413+N413</f>
        <v>1686758.62</v>
      </c>
      <c r="P413" s="14">
        <v>1252.4100000000001</v>
      </c>
      <c r="Q413" s="15">
        <v>4474.5</v>
      </c>
      <c r="R413" s="14">
        <f>P413+ROUND(Q413, 2)</f>
        <v>5726.91</v>
      </c>
      <c r="S413" s="14">
        <v>401272.16</v>
      </c>
      <c r="T413" s="14">
        <v>1433629.8</v>
      </c>
      <c r="U413" s="14">
        <f>S413+T413</f>
        <v>1834901.96</v>
      </c>
      <c r="V413" s="9">
        <f>ROUND(P413 / 1.2, 2)</f>
        <v>1043.68</v>
      </c>
      <c r="W413" s="9">
        <f>ROUND(Q413 / 1.2, 2)</f>
        <v>3728.75</v>
      </c>
      <c r="X413" s="9">
        <f>ROUND(R413 / 1.2, 2)</f>
        <v>4772.43</v>
      </c>
      <c r="Y413" s="9">
        <f t="shared" si="17"/>
        <v>334393.46999999997</v>
      </c>
      <c r="Z413" s="9">
        <f>ROUND(T413 / 1.2, 2)</f>
        <v>1194691.5</v>
      </c>
      <c r="AA413" s="9">
        <f>Y413+Z413</f>
        <v>1529084.97</v>
      </c>
      <c r="AD413" s="4">
        <v>315890027</v>
      </c>
      <c r="AE413" s="4">
        <v>27245755</v>
      </c>
      <c r="AG413" s="4" t="s">
        <v>1229</v>
      </c>
      <c r="AH413" s="4" t="s">
        <v>1230</v>
      </c>
      <c r="AI413" s="4" t="s">
        <v>224</v>
      </c>
    </row>
    <row r="414" spans="1:35" ht="72" x14ac:dyDescent="0.3">
      <c r="A414" s="10" t="s">
        <v>1286</v>
      </c>
      <c r="B414" s="10"/>
      <c r="C414" s="21" t="s">
        <v>1232</v>
      </c>
      <c r="D414" s="12"/>
      <c r="E414" s="12" t="s">
        <v>1287</v>
      </c>
      <c r="F414" s="17" t="s">
        <v>59</v>
      </c>
      <c r="G414" s="18">
        <v>1.1000000000000001</v>
      </c>
      <c r="H414" s="22"/>
      <c r="I414" s="22">
        <v>352.44</v>
      </c>
      <c r="J414" s="19">
        <v>2038.06</v>
      </c>
      <c r="M414" s="20">
        <f>ROUND(ROUND(J414, 2)*I414, 2)</f>
        <v>718293.87</v>
      </c>
      <c r="P414" s="19">
        <v>1102.5</v>
      </c>
      <c r="S414" s="20">
        <f>ROUND(ROUND(P414, 2)*I414, 2)</f>
        <v>388565.1</v>
      </c>
      <c r="V414" s="9">
        <f>ROUND(ROUND(P414, 2)/1.2, 2)</f>
        <v>918.75</v>
      </c>
      <c r="Y414" s="9">
        <f t="shared" si="17"/>
        <v>323804.25</v>
      </c>
      <c r="AD414" s="4" t="s">
        <v>1288</v>
      </c>
      <c r="AE414" s="4" t="s">
        <v>1289</v>
      </c>
      <c r="AF414" s="4" t="s">
        <v>1235</v>
      </c>
    </row>
    <row r="415" spans="1:35" ht="36" x14ac:dyDescent="0.3">
      <c r="A415" s="10" t="s">
        <v>1290</v>
      </c>
      <c r="B415" s="10"/>
      <c r="C415" s="21" t="s">
        <v>665</v>
      </c>
      <c r="D415" s="12"/>
      <c r="E415" s="12"/>
      <c r="F415" s="17" t="s">
        <v>227</v>
      </c>
      <c r="G415" s="18">
        <v>1.2</v>
      </c>
      <c r="H415" s="22"/>
      <c r="I415" s="22">
        <v>384.48</v>
      </c>
      <c r="J415" s="19">
        <v>16.12</v>
      </c>
      <c r="M415" s="20">
        <f>ROUND(ROUND(J415, 2)*I415, 2)</f>
        <v>6197.82</v>
      </c>
      <c r="P415" s="19">
        <v>16.11</v>
      </c>
      <c r="S415" s="20">
        <f>ROUND(ROUND(P415, 2)*I415, 2)</f>
        <v>6193.97</v>
      </c>
      <c r="V415" s="9">
        <f>ROUND(ROUND(P415, 2)/1.2, 2)</f>
        <v>13.43</v>
      </c>
      <c r="Y415" s="9">
        <f t="shared" si="17"/>
        <v>5161.6400000000003</v>
      </c>
      <c r="AD415" s="4" t="s">
        <v>1291</v>
      </c>
      <c r="AE415" s="4" t="s">
        <v>1292</v>
      </c>
      <c r="AF415" s="4" t="s">
        <v>668</v>
      </c>
    </row>
    <row r="416" spans="1:35" ht="36" x14ac:dyDescent="0.3">
      <c r="A416" s="10" t="s">
        <v>1293</v>
      </c>
      <c r="B416" s="10"/>
      <c r="C416" s="16" t="s">
        <v>637</v>
      </c>
      <c r="D416" s="12"/>
      <c r="E416" s="12"/>
      <c r="F416" s="17" t="s">
        <v>227</v>
      </c>
      <c r="G416" s="18">
        <v>0.25</v>
      </c>
      <c r="H416" s="22"/>
      <c r="I416" s="22">
        <v>80.099999999999994</v>
      </c>
      <c r="J416" s="19">
        <v>40.270000000000003</v>
      </c>
      <c r="M416" s="20">
        <f>ROUND(ROUND(J416, 2)*I416, 2)</f>
        <v>3225.63</v>
      </c>
      <c r="P416" s="19">
        <v>40.270000000000003</v>
      </c>
      <c r="S416" s="20">
        <f>ROUND(ROUND(P416, 2)*I416, 2)</f>
        <v>3225.63</v>
      </c>
      <c r="V416" s="9">
        <f>ROUND(ROUND(P416, 2)/1.2, 2)</f>
        <v>33.56</v>
      </c>
      <c r="Y416" s="9">
        <f t="shared" si="17"/>
        <v>2688.03</v>
      </c>
      <c r="AD416" s="4" t="s">
        <v>1294</v>
      </c>
      <c r="AE416" s="4" t="s">
        <v>1295</v>
      </c>
      <c r="AF416" s="4" t="s">
        <v>640</v>
      </c>
    </row>
    <row r="417" spans="1:35" ht="36" x14ac:dyDescent="0.3">
      <c r="A417" s="10" t="s">
        <v>1296</v>
      </c>
      <c r="B417" s="10"/>
      <c r="C417" s="16" t="s">
        <v>1144</v>
      </c>
      <c r="D417" s="12"/>
      <c r="E417" s="12"/>
      <c r="F417" s="17" t="s">
        <v>227</v>
      </c>
      <c r="G417" s="18">
        <v>0.15</v>
      </c>
      <c r="H417" s="18"/>
      <c r="I417" s="18">
        <v>48.06</v>
      </c>
      <c r="J417" s="19">
        <v>68.400000000000006</v>
      </c>
      <c r="M417" s="20">
        <f>ROUND(ROUND(J417, 2)*I417, 2)</f>
        <v>3287.3</v>
      </c>
      <c r="P417" s="19">
        <v>68.400000000000006</v>
      </c>
      <c r="S417" s="20">
        <f>ROUND(ROUND(P417, 2)*I417, 2)</f>
        <v>3287.3</v>
      </c>
      <c r="V417" s="9">
        <f>ROUND(ROUND(P417, 2)/1.2, 2)</f>
        <v>57</v>
      </c>
      <c r="Y417" s="9">
        <f t="shared" si="17"/>
        <v>2739.42</v>
      </c>
      <c r="AD417" s="4" t="s">
        <v>1297</v>
      </c>
      <c r="AE417" s="4" t="s">
        <v>1298</v>
      </c>
      <c r="AF417" s="4" t="s">
        <v>1147</v>
      </c>
    </row>
    <row r="418" spans="1:35" ht="54" x14ac:dyDescent="0.3">
      <c r="A418" s="10" t="s">
        <v>1299</v>
      </c>
      <c r="B418" s="10" t="s">
        <v>1227</v>
      </c>
      <c r="C418" s="11" t="s">
        <v>1228</v>
      </c>
      <c r="D418" s="12"/>
      <c r="E418" s="12" t="s">
        <v>1300</v>
      </c>
      <c r="F418" s="12" t="s">
        <v>59</v>
      </c>
      <c r="G418" s="13">
        <v>1</v>
      </c>
      <c r="H418" s="13"/>
      <c r="I418" s="13">
        <v>249.1</v>
      </c>
      <c r="J418" s="14">
        <v>2281.54</v>
      </c>
      <c r="K418" s="15">
        <v>2983</v>
      </c>
      <c r="L418" s="14">
        <f>J418+ROUND(K418, 2)</f>
        <v>5264.54</v>
      </c>
      <c r="M418" s="14">
        <v>568331.61</v>
      </c>
      <c r="N418" s="14">
        <v>743065.3</v>
      </c>
      <c r="O418" s="14">
        <f>M418+N418</f>
        <v>1311396.9100000001</v>
      </c>
      <c r="P418" s="14">
        <v>1252.4100000000001</v>
      </c>
      <c r="Q418" s="15">
        <v>4474.5</v>
      </c>
      <c r="R418" s="14">
        <f>P418+ROUND(Q418, 2)</f>
        <v>5726.91</v>
      </c>
      <c r="S418" s="14">
        <v>311975.33</v>
      </c>
      <c r="T418" s="14">
        <v>1114597.95</v>
      </c>
      <c r="U418" s="14">
        <f>S418+T418</f>
        <v>1426573.28</v>
      </c>
      <c r="V418" s="9">
        <f>ROUND(P418 / 1.2, 2)</f>
        <v>1043.68</v>
      </c>
      <c r="W418" s="9">
        <f>ROUND(Q418 / 1.2, 2)</f>
        <v>3728.75</v>
      </c>
      <c r="X418" s="9">
        <f>ROUND(R418 / 1.2, 2)</f>
        <v>4772.43</v>
      </c>
      <c r="Y418" s="9">
        <f t="shared" si="17"/>
        <v>259979.44</v>
      </c>
      <c r="Z418" s="9">
        <f>ROUND(T418 / 1.2, 2)</f>
        <v>928831.63</v>
      </c>
      <c r="AA418" s="9">
        <f>Y418+Z418</f>
        <v>1188811.07</v>
      </c>
      <c r="AD418" s="4">
        <v>315890028</v>
      </c>
      <c r="AE418" s="4">
        <v>27245744</v>
      </c>
      <c r="AG418" s="4" t="s">
        <v>1229</v>
      </c>
      <c r="AH418" s="4" t="s">
        <v>1230</v>
      </c>
      <c r="AI418" s="4" t="s">
        <v>224</v>
      </c>
    </row>
    <row r="419" spans="1:35" ht="36" x14ac:dyDescent="0.3">
      <c r="A419" s="10" t="s">
        <v>1301</v>
      </c>
      <c r="B419" s="10"/>
      <c r="C419" s="16" t="s">
        <v>1144</v>
      </c>
      <c r="D419" s="12"/>
      <c r="E419" s="12"/>
      <c r="F419" s="17" t="s">
        <v>227</v>
      </c>
      <c r="G419" s="18">
        <v>0.15</v>
      </c>
      <c r="H419" s="18"/>
      <c r="I419" s="18">
        <v>37.365000000000002</v>
      </c>
      <c r="J419" s="19">
        <v>68.400000000000006</v>
      </c>
      <c r="M419" s="20">
        <f>ROUND(ROUND(J419, 2)*I419, 2)</f>
        <v>2555.77</v>
      </c>
      <c r="P419" s="19">
        <v>68.400000000000006</v>
      </c>
      <c r="S419" s="20">
        <f>ROUND(ROUND(P419, 2)*I419, 2)</f>
        <v>2555.77</v>
      </c>
      <c r="V419" s="9">
        <f>ROUND(ROUND(P419, 2)/1.2, 2)</f>
        <v>57</v>
      </c>
      <c r="Y419" s="9">
        <f t="shared" si="17"/>
        <v>2129.81</v>
      </c>
      <c r="AD419" s="4" t="s">
        <v>1302</v>
      </c>
      <c r="AE419" s="4" t="s">
        <v>1303</v>
      </c>
      <c r="AF419" s="4" t="s">
        <v>1147</v>
      </c>
    </row>
    <row r="420" spans="1:35" ht="36" x14ac:dyDescent="0.3">
      <c r="A420" s="10" t="s">
        <v>1304</v>
      </c>
      <c r="B420" s="10"/>
      <c r="C420" s="16" t="s">
        <v>637</v>
      </c>
      <c r="D420" s="12"/>
      <c r="E420" s="12"/>
      <c r="F420" s="17" t="s">
        <v>227</v>
      </c>
      <c r="G420" s="18">
        <v>0.25</v>
      </c>
      <c r="H420" s="22"/>
      <c r="I420" s="22">
        <v>62.274999999999999</v>
      </c>
      <c r="J420" s="19">
        <v>40.270000000000003</v>
      </c>
      <c r="M420" s="20">
        <f>ROUND(ROUND(J420, 2)*I420, 2)</f>
        <v>2507.81</v>
      </c>
      <c r="P420" s="19">
        <v>40.270000000000003</v>
      </c>
      <c r="S420" s="20">
        <f>ROUND(ROUND(P420, 2)*I420, 2)</f>
        <v>2507.81</v>
      </c>
      <c r="V420" s="9">
        <f>ROUND(ROUND(P420, 2)/1.2, 2)</f>
        <v>33.56</v>
      </c>
      <c r="Y420" s="9">
        <f t="shared" si="17"/>
        <v>2089.84</v>
      </c>
      <c r="AD420" s="4" t="s">
        <v>1305</v>
      </c>
      <c r="AE420" s="4" t="s">
        <v>1306</v>
      </c>
      <c r="AF420" s="4" t="s">
        <v>640</v>
      </c>
    </row>
    <row r="421" spans="1:35" ht="36" x14ac:dyDescent="0.3">
      <c r="A421" s="10" t="s">
        <v>1307</v>
      </c>
      <c r="B421" s="10"/>
      <c r="C421" s="21" t="s">
        <v>665</v>
      </c>
      <c r="D421" s="12"/>
      <c r="E421" s="12"/>
      <c r="F421" s="17" t="s">
        <v>227</v>
      </c>
      <c r="G421" s="18">
        <v>1.2</v>
      </c>
      <c r="H421" s="22"/>
      <c r="I421" s="22">
        <v>298.92</v>
      </c>
      <c r="J421" s="19">
        <v>16.12</v>
      </c>
      <c r="M421" s="20">
        <f>ROUND(ROUND(J421, 2)*I421, 2)</f>
        <v>4818.59</v>
      </c>
      <c r="P421" s="19">
        <v>16.11</v>
      </c>
      <c r="S421" s="20">
        <f>ROUND(ROUND(P421, 2)*I421, 2)</f>
        <v>4815.6000000000004</v>
      </c>
      <c r="V421" s="9">
        <f>ROUND(ROUND(P421, 2)/1.2, 2)</f>
        <v>13.43</v>
      </c>
      <c r="Y421" s="9">
        <f t="shared" si="17"/>
        <v>4013</v>
      </c>
      <c r="AD421" s="4" t="s">
        <v>1308</v>
      </c>
      <c r="AE421" s="4" t="s">
        <v>1309</v>
      </c>
      <c r="AF421" s="4" t="s">
        <v>668</v>
      </c>
    </row>
    <row r="422" spans="1:35" ht="90" x14ac:dyDescent="0.3">
      <c r="A422" s="10" t="s">
        <v>1310</v>
      </c>
      <c r="B422" s="10"/>
      <c r="C422" s="21" t="s">
        <v>1232</v>
      </c>
      <c r="D422" s="12"/>
      <c r="E422" s="12" t="s">
        <v>1311</v>
      </c>
      <c r="F422" s="17" t="s">
        <v>59</v>
      </c>
      <c r="G422" s="18">
        <v>1.1000000000000001</v>
      </c>
      <c r="H422" s="22"/>
      <c r="I422" s="22">
        <v>274.01</v>
      </c>
      <c r="J422" s="19">
        <v>2038.06</v>
      </c>
      <c r="M422" s="20">
        <f>ROUND(ROUND(J422, 2)*I422, 2)</f>
        <v>558448.81999999995</v>
      </c>
      <c r="P422" s="19">
        <v>1102.5</v>
      </c>
      <c r="S422" s="20">
        <f>ROUND(ROUND(P422, 2)*I422, 2)</f>
        <v>302096.03000000003</v>
      </c>
      <c r="V422" s="9">
        <f>ROUND(ROUND(P422, 2)/1.2, 2)</f>
        <v>918.75</v>
      </c>
      <c r="Y422" s="9">
        <f t="shared" si="17"/>
        <v>251746.69</v>
      </c>
      <c r="AD422" s="4" t="s">
        <v>1312</v>
      </c>
      <c r="AE422" s="4" t="s">
        <v>1313</v>
      </c>
      <c r="AF422" s="4" t="s">
        <v>1235</v>
      </c>
    </row>
    <row r="423" spans="1:35" ht="54" x14ac:dyDescent="0.3">
      <c r="A423" s="10" t="s">
        <v>1314</v>
      </c>
      <c r="B423" s="10" t="s">
        <v>1227</v>
      </c>
      <c r="C423" s="11" t="s">
        <v>1228</v>
      </c>
      <c r="D423" s="12"/>
      <c r="E423" s="12" t="s">
        <v>1315</v>
      </c>
      <c r="F423" s="12" t="s">
        <v>59</v>
      </c>
      <c r="G423" s="13">
        <v>1</v>
      </c>
      <c r="H423" s="13"/>
      <c r="I423" s="13">
        <v>238.4</v>
      </c>
      <c r="J423" s="14">
        <v>2281.54</v>
      </c>
      <c r="K423" s="15">
        <v>2983</v>
      </c>
      <c r="L423" s="14">
        <f>J423+ROUND(K423, 2)</f>
        <v>5264.54</v>
      </c>
      <c r="M423" s="14">
        <v>543919.14</v>
      </c>
      <c r="N423" s="14">
        <v>711147.2</v>
      </c>
      <c r="O423" s="14">
        <f>M423+N423</f>
        <v>1255066.3399999999</v>
      </c>
      <c r="P423" s="14">
        <v>1252.4100000000001</v>
      </c>
      <c r="Q423" s="15">
        <v>4474.5</v>
      </c>
      <c r="R423" s="14">
        <f>P423+ROUND(Q423, 2)</f>
        <v>5726.91</v>
      </c>
      <c r="S423" s="14">
        <v>298574.53999999998</v>
      </c>
      <c r="T423" s="14">
        <v>1066720.8</v>
      </c>
      <c r="U423" s="14">
        <f>S423+T423</f>
        <v>1365295.34</v>
      </c>
      <c r="V423" s="9">
        <f>ROUND(P423 / 1.2, 2)</f>
        <v>1043.68</v>
      </c>
      <c r="W423" s="9">
        <f>ROUND(Q423 / 1.2, 2)</f>
        <v>3728.75</v>
      </c>
      <c r="X423" s="9">
        <f>ROUND(R423 / 1.2, 2)</f>
        <v>4772.43</v>
      </c>
      <c r="Y423" s="9">
        <f t="shared" si="17"/>
        <v>248812.12</v>
      </c>
      <c r="Z423" s="9">
        <f>ROUND(T423 / 1.2, 2)</f>
        <v>888934</v>
      </c>
      <c r="AA423" s="9">
        <f>Y423+Z423</f>
        <v>1137746.1200000001</v>
      </c>
      <c r="AD423" s="4">
        <v>315890029</v>
      </c>
      <c r="AE423" s="4">
        <v>27245746</v>
      </c>
      <c r="AG423" s="4" t="s">
        <v>1229</v>
      </c>
      <c r="AH423" s="4" t="s">
        <v>1230</v>
      </c>
      <c r="AI423" s="4" t="s">
        <v>224</v>
      </c>
    </row>
    <row r="424" spans="1:35" ht="72" x14ac:dyDescent="0.3">
      <c r="A424" s="10" t="s">
        <v>1316</v>
      </c>
      <c r="B424" s="10"/>
      <c r="C424" s="21" t="s">
        <v>1232</v>
      </c>
      <c r="D424" s="12"/>
      <c r="E424" s="12" t="s">
        <v>799</v>
      </c>
      <c r="F424" s="17" t="s">
        <v>59</v>
      </c>
      <c r="G424" s="18">
        <v>1.1000000000000001</v>
      </c>
      <c r="H424" s="22"/>
      <c r="I424" s="22">
        <v>262.24</v>
      </c>
      <c r="J424" s="19">
        <v>2038.06</v>
      </c>
      <c r="M424" s="20">
        <f>ROUND(ROUND(J424, 2)*I424, 2)</f>
        <v>534460.85</v>
      </c>
      <c r="P424" s="19">
        <v>1102.5</v>
      </c>
      <c r="S424" s="20">
        <f>ROUND(ROUND(P424, 2)*I424, 2)</f>
        <v>289119.59999999998</v>
      </c>
      <c r="V424" s="9">
        <f>ROUND(ROUND(P424, 2)/1.2, 2)</f>
        <v>918.75</v>
      </c>
      <c r="Y424" s="9">
        <f t="shared" si="17"/>
        <v>240933</v>
      </c>
      <c r="AD424" s="4" t="s">
        <v>1317</v>
      </c>
      <c r="AE424" s="4" t="s">
        <v>1318</v>
      </c>
      <c r="AF424" s="4" t="s">
        <v>1235</v>
      </c>
    </row>
    <row r="425" spans="1:35" ht="36" x14ac:dyDescent="0.3">
      <c r="A425" s="10" t="s">
        <v>1319</v>
      </c>
      <c r="B425" s="10"/>
      <c r="C425" s="21" t="s">
        <v>665</v>
      </c>
      <c r="D425" s="12"/>
      <c r="E425" s="12"/>
      <c r="F425" s="17" t="s">
        <v>227</v>
      </c>
      <c r="G425" s="18">
        <v>1.2</v>
      </c>
      <c r="H425" s="22"/>
      <c r="I425" s="22">
        <v>286.08</v>
      </c>
      <c r="J425" s="19">
        <v>16.12</v>
      </c>
      <c r="M425" s="20">
        <f>ROUND(ROUND(J425, 2)*I425, 2)</f>
        <v>4611.6099999999997</v>
      </c>
      <c r="P425" s="19">
        <v>16.11</v>
      </c>
      <c r="S425" s="20">
        <f>ROUND(ROUND(P425, 2)*I425, 2)</f>
        <v>4608.75</v>
      </c>
      <c r="V425" s="9">
        <f>ROUND(ROUND(P425, 2)/1.2, 2)</f>
        <v>13.43</v>
      </c>
      <c r="Y425" s="9">
        <f t="shared" si="17"/>
        <v>3840.63</v>
      </c>
      <c r="AD425" s="4" t="s">
        <v>1320</v>
      </c>
      <c r="AE425" s="4" t="s">
        <v>1321</v>
      </c>
      <c r="AF425" s="4" t="s">
        <v>668</v>
      </c>
    </row>
    <row r="426" spans="1:35" ht="36" x14ac:dyDescent="0.3">
      <c r="A426" s="10" t="s">
        <v>1322</v>
      </c>
      <c r="B426" s="10"/>
      <c r="C426" s="16" t="s">
        <v>637</v>
      </c>
      <c r="D426" s="12"/>
      <c r="E426" s="12"/>
      <c r="F426" s="17" t="s">
        <v>227</v>
      </c>
      <c r="G426" s="18">
        <v>0.25</v>
      </c>
      <c r="H426" s="22"/>
      <c r="I426" s="22">
        <v>59.6</v>
      </c>
      <c r="J426" s="19">
        <v>40.270000000000003</v>
      </c>
      <c r="M426" s="20">
        <f>ROUND(ROUND(J426, 2)*I426, 2)</f>
        <v>2400.09</v>
      </c>
      <c r="P426" s="19">
        <v>40.270000000000003</v>
      </c>
      <c r="S426" s="20">
        <f>ROUND(ROUND(P426, 2)*I426, 2)</f>
        <v>2400.09</v>
      </c>
      <c r="V426" s="9">
        <f>ROUND(ROUND(P426, 2)/1.2, 2)</f>
        <v>33.56</v>
      </c>
      <c r="Y426" s="9">
        <f t="shared" si="17"/>
        <v>2000.08</v>
      </c>
      <c r="AD426" s="4" t="s">
        <v>1323</v>
      </c>
      <c r="AE426" s="4" t="s">
        <v>1324</v>
      </c>
      <c r="AF426" s="4" t="s">
        <v>640</v>
      </c>
    </row>
    <row r="427" spans="1:35" ht="36" x14ac:dyDescent="0.3">
      <c r="A427" s="10" t="s">
        <v>1325</v>
      </c>
      <c r="B427" s="10"/>
      <c r="C427" s="16" t="s">
        <v>1144</v>
      </c>
      <c r="D427" s="12"/>
      <c r="E427" s="12"/>
      <c r="F427" s="17" t="s">
        <v>227</v>
      </c>
      <c r="G427" s="18">
        <v>0.15</v>
      </c>
      <c r="H427" s="18"/>
      <c r="I427" s="18">
        <v>35.76</v>
      </c>
      <c r="J427" s="19">
        <v>68.400000000000006</v>
      </c>
      <c r="M427" s="20">
        <f>ROUND(ROUND(J427, 2)*I427, 2)</f>
        <v>2445.98</v>
      </c>
      <c r="P427" s="19">
        <v>68.400000000000006</v>
      </c>
      <c r="S427" s="20">
        <f>ROUND(ROUND(P427, 2)*I427, 2)</f>
        <v>2445.98</v>
      </c>
      <c r="V427" s="9">
        <f>ROUND(ROUND(P427, 2)/1.2, 2)</f>
        <v>57</v>
      </c>
      <c r="Y427" s="9">
        <f t="shared" si="17"/>
        <v>2038.32</v>
      </c>
      <c r="AD427" s="4" t="s">
        <v>1326</v>
      </c>
      <c r="AE427" s="4" t="s">
        <v>1327</v>
      </c>
      <c r="AF427" s="4" t="s">
        <v>1147</v>
      </c>
    </row>
    <row r="428" spans="1:35" ht="54" x14ac:dyDescent="0.3">
      <c r="A428" s="10" t="s">
        <v>1328</v>
      </c>
      <c r="B428" s="10" t="s">
        <v>1227</v>
      </c>
      <c r="C428" s="11" t="s">
        <v>1228</v>
      </c>
      <c r="D428" s="12"/>
      <c r="E428" s="12" t="s">
        <v>1329</v>
      </c>
      <c r="F428" s="12" t="s">
        <v>59</v>
      </c>
      <c r="G428" s="13">
        <v>1</v>
      </c>
      <c r="H428" s="13"/>
      <c r="I428" s="13">
        <v>6.1</v>
      </c>
      <c r="J428" s="14">
        <v>2281.54</v>
      </c>
      <c r="K428" s="15">
        <v>2983</v>
      </c>
      <c r="L428" s="14">
        <f>J428+ROUND(K428, 2)</f>
        <v>5264.54</v>
      </c>
      <c r="M428" s="14">
        <v>13917.39</v>
      </c>
      <c r="N428" s="14">
        <v>18196.3</v>
      </c>
      <c r="O428" s="14">
        <f>M428+N428</f>
        <v>32113.69</v>
      </c>
      <c r="P428" s="14">
        <v>1252.4100000000001</v>
      </c>
      <c r="Q428" s="15">
        <v>4474.5</v>
      </c>
      <c r="R428" s="14">
        <f>P428+ROUND(Q428, 2)</f>
        <v>5726.91</v>
      </c>
      <c r="S428" s="14">
        <v>7639.7</v>
      </c>
      <c r="T428" s="14">
        <v>27294.45</v>
      </c>
      <c r="U428" s="14">
        <f>S428+T428</f>
        <v>34934.15</v>
      </c>
      <c r="V428" s="9">
        <f>ROUND(P428 / 1.2, 2)</f>
        <v>1043.68</v>
      </c>
      <c r="W428" s="9">
        <f>ROUND(Q428 / 1.2, 2)</f>
        <v>3728.75</v>
      </c>
      <c r="X428" s="9">
        <f>ROUND(R428 / 1.2, 2)</f>
        <v>4772.43</v>
      </c>
      <c r="Y428" s="9">
        <f t="shared" si="17"/>
        <v>6366.42</v>
      </c>
      <c r="Z428" s="9">
        <f>ROUND(T428 / 1.2, 2)</f>
        <v>22745.38</v>
      </c>
      <c r="AA428" s="9">
        <f>Y428+Z428</f>
        <v>29111.800000000003</v>
      </c>
      <c r="AD428" s="4">
        <v>315890030</v>
      </c>
      <c r="AE428" s="4">
        <v>27245753</v>
      </c>
      <c r="AG428" s="4" t="s">
        <v>1229</v>
      </c>
      <c r="AH428" s="4" t="s">
        <v>1230</v>
      </c>
      <c r="AI428" s="4" t="s">
        <v>224</v>
      </c>
    </row>
    <row r="429" spans="1:35" ht="36" x14ac:dyDescent="0.3">
      <c r="A429" s="10" t="s">
        <v>1330</v>
      </c>
      <c r="B429" s="10"/>
      <c r="C429" s="16" t="s">
        <v>1144</v>
      </c>
      <c r="D429" s="12"/>
      <c r="E429" s="12"/>
      <c r="F429" s="17" t="s">
        <v>227</v>
      </c>
      <c r="G429" s="18">
        <v>0.15</v>
      </c>
      <c r="H429" s="18"/>
      <c r="I429" s="18">
        <v>0.91500000000000004</v>
      </c>
      <c r="J429" s="19">
        <v>68.400000000000006</v>
      </c>
      <c r="M429" s="20">
        <f>ROUND(ROUND(J429, 2)*I429, 2)</f>
        <v>62.59</v>
      </c>
      <c r="P429" s="19">
        <v>68.400000000000006</v>
      </c>
      <c r="S429" s="20">
        <f>ROUND(ROUND(P429, 2)*I429, 2)</f>
        <v>62.59</v>
      </c>
      <c r="V429" s="9">
        <f>ROUND(ROUND(P429, 2)/1.2, 2)</f>
        <v>57</v>
      </c>
      <c r="Y429" s="9">
        <f t="shared" si="17"/>
        <v>52.16</v>
      </c>
      <c r="AD429" s="4" t="s">
        <v>1331</v>
      </c>
      <c r="AE429" s="4" t="s">
        <v>1332</v>
      </c>
      <c r="AF429" s="4" t="s">
        <v>1147</v>
      </c>
    </row>
    <row r="430" spans="1:35" ht="36" x14ac:dyDescent="0.3">
      <c r="A430" s="10" t="s">
        <v>1333</v>
      </c>
      <c r="B430" s="10"/>
      <c r="C430" s="16" t="s">
        <v>637</v>
      </c>
      <c r="D430" s="12"/>
      <c r="E430" s="12"/>
      <c r="F430" s="17" t="s">
        <v>227</v>
      </c>
      <c r="G430" s="18">
        <v>0.25</v>
      </c>
      <c r="H430" s="22"/>
      <c r="I430" s="22">
        <v>1.5249999999999999</v>
      </c>
      <c r="J430" s="19">
        <v>40.270000000000003</v>
      </c>
      <c r="M430" s="20">
        <f>ROUND(ROUND(J430, 2)*I430, 2)</f>
        <v>61.41</v>
      </c>
      <c r="P430" s="19">
        <v>40.270000000000003</v>
      </c>
      <c r="S430" s="20">
        <f>ROUND(ROUND(P430, 2)*I430, 2)</f>
        <v>61.41</v>
      </c>
      <c r="V430" s="9">
        <f>ROUND(ROUND(P430, 2)/1.2, 2)</f>
        <v>33.56</v>
      </c>
      <c r="Y430" s="9">
        <f t="shared" si="17"/>
        <v>51.18</v>
      </c>
      <c r="AD430" s="4" t="s">
        <v>1334</v>
      </c>
      <c r="AE430" s="4" t="s">
        <v>1335</v>
      </c>
      <c r="AF430" s="4" t="s">
        <v>640</v>
      </c>
    </row>
    <row r="431" spans="1:35" ht="36" x14ac:dyDescent="0.3">
      <c r="A431" s="10" t="s">
        <v>1336</v>
      </c>
      <c r="B431" s="10"/>
      <c r="C431" s="21" t="s">
        <v>665</v>
      </c>
      <c r="D431" s="12"/>
      <c r="E431" s="12"/>
      <c r="F431" s="17" t="s">
        <v>227</v>
      </c>
      <c r="G431" s="18">
        <v>1.2</v>
      </c>
      <c r="H431" s="22"/>
      <c r="I431" s="22">
        <v>7.32</v>
      </c>
      <c r="J431" s="19">
        <v>16.12</v>
      </c>
      <c r="M431" s="20">
        <f>ROUND(ROUND(J431, 2)*I431, 2)</f>
        <v>118</v>
      </c>
      <c r="P431" s="19">
        <v>16.11</v>
      </c>
      <c r="S431" s="20">
        <f>ROUND(ROUND(P431, 2)*I431, 2)</f>
        <v>117.93</v>
      </c>
      <c r="V431" s="9">
        <f>ROUND(ROUND(P431, 2)/1.2, 2)</f>
        <v>13.43</v>
      </c>
      <c r="Y431" s="9">
        <f t="shared" si="17"/>
        <v>98.28</v>
      </c>
      <c r="AD431" s="4" t="s">
        <v>1337</v>
      </c>
      <c r="AE431" s="4" t="s">
        <v>1338</v>
      </c>
      <c r="AF431" s="4" t="s">
        <v>668</v>
      </c>
    </row>
    <row r="432" spans="1:35" ht="36" x14ac:dyDescent="0.3">
      <c r="A432" s="10" t="s">
        <v>1339</v>
      </c>
      <c r="B432" s="10"/>
      <c r="C432" s="21" t="s">
        <v>1232</v>
      </c>
      <c r="D432" s="12"/>
      <c r="E432" s="12"/>
      <c r="F432" s="17" t="s">
        <v>59</v>
      </c>
      <c r="G432" s="18">
        <v>1.1000000000000001</v>
      </c>
      <c r="H432" s="22"/>
      <c r="I432" s="22">
        <v>6.71</v>
      </c>
      <c r="J432" s="19">
        <v>2038.06</v>
      </c>
      <c r="M432" s="20">
        <f>ROUND(ROUND(J432, 2)*I432, 2)</f>
        <v>13675.38</v>
      </c>
      <c r="P432" s="19">
        <v>1102.5</v>
      </c>
      <c r="S432" s="20">
        <f>ROUND(ROUND(P432, 2)*I432, 2)</f>
        <v>7397.78</v>
      </c>
      <c r="V432" s="9">
        <f>ROUND(ROUND(P432, 2)/1.2, 2)</f>
        <v>918.75</v>
      </c>
      <c r="Y432" s="9">
        <f t="shared" si="17"/>
        <v>6164.82</v>
      </c>
      <c r="AD432" s="4" t="s">
        <v>1340</v>
      </c>
      <c r="AE432" s="4" t="s">
        <v>1341</v>
      </c>
      <c r="AF432" s="4" t="s">
        <v>1235</v>
      </c>
    </row>
    <row r="433" spans="1:35" ht="16.95" customHeight="1" x14ac:dyDescent="0.3">
      <c r="A433" s="10" t="s">
        <v>1342</v>
      </c>
      <c r="B433" s="10" t="s">
        <v>1343</v>
      </c>
      <c r="C433" s="47" t="s">
        <v>1344</v>
      </c>
      <c r="D433" s="48"/>
      <c r="E433" s="48"/>
      <c r="F433" s="48"/>
      <c r="G433" s="48"/>
      <c r="H433" s="48"/>
      <c r="I433" s="49"/>
      <c r="M433" s="6">
        <f>SUM(M434,M439,M444,M449)</f>
        <v>294158.3</v>
      </c>
      <c r="N433" s="6">
        <f>SUM(N434,N439,N444,N449)</f>
        <v>704676.7</v>
      </c>
      <c r="O433" s="6">
        <f>SUM(O434,O439,O444,O449)</f>
        <v>998835</v>
      </c>
      <c r="S433" s="6">
        <f>SUM(S434,S439,S444,S449)</f>
        <v>411347.02</v>
      </c>
      <c r="T433" s="6">
        <f>SUM(T434,T439,T444,T449)</f>
        <v>1057015.05</v>
      </c>
      <c r="U433" s="6">
        <f>SUM(U434,U439,U444,U449)</f>
        <v>1468362.0699999998</v>
      </c>
      <c r="Y433" s="9">
        <f>SUM(Y434,Y439,Y444,Y449)</f>
        <v>342789.19</v>
      </c>
      <c r="Z433" s="9">
        <f>SUM(Z434,Z439,Z444,Z449)</f>
        <v>880845.88</v>
      </c>
      <c r="AA433" s="9">
        <f>SUM(AA434,AA439,AA444,AA449)</f>
        <v>1223635.0699999998</v>
      </c>
      <c r="AD433" s="4">
        <v>315890031</v>
      </c>
      <c r="AE433" s="4">
        <v>27245639</v>
      </c>
    </row>
    <row r="434" spans="1:35" ht="36" x14ac:dyDescent="0.3">
      <c r="A434" s="10" t="s">
        <v>1345</v>
      </c>
      <c r="B434" s="10" t="s">
        <v>1346</v>
      </c>
      <c r="C434" s="11" t="s">
        <v>1347</v>
      </c>
      <c r="D434" s="12"/>
      <c r="E434" s="12"/>
      <c r="F434" s="12" t="s">
        <v>59</v>
      </c>
      <c r="G434" s="13">
        <v>1</v>
      </c>
      <c r="H434" s="13"/>
      <c r="I434" s="13">
        <v>0</v>
      </c>
      <c r="J434" s="14">
        <v>0</v>
      </c>
      <c r="K434" s="15">
        <v>1477</v>
      </c>
      <c r="L434" s="14">
        <f>J434+ROUND(K434, 2)</f>
        <v>1477</v>
      </c>
      <c r="M434" s="14">
        <v>0</v>
      </c>
      <c r="N434" s="14">
        <v>0</v>
      </c>
      <c r="O434" s="14">
        <f>M434+N434</f>
        <v>0</v>
      </c>
      <c r="P434" s="14">
        <v>2032.78</v>
      </c>
      <c r="Q434" s="15">
        <v>1477</v>
      </c>
      <c r="R434" s="14">
        <f>P434+ROUND(Q434, 2)</f>
        <v>3509.7799999999997</v>
      </c>
      <c r="S434" s="14">
        <v>0</v>
      </c>
      <c r="T434" s="14">
        <v>0</v>
      </c>
      <c r="U434" s="14">
        <f>S434+T434</f>
        <v>0</v>
      </c>
      <c r="V434" s="9">
        <f>ROUND(P434 / 1.2, 2)</f>
        <v>1693.98</v>
      </c>
      <c r="W434" s="9">
        <f>ROUND(Q434 / 1.2, 2)</f>
        <v>1230.83</v>
      </c>
      <c r="X434" s="9">
        <f>ROUND(R434 / 1.2, 2)</f>
        <v>2924.82</v>
      </c>
      <c r="Y434" s="9">
        <f>ROUND(S434 / 1.2, 2)</f>
        <v>0</v>
      </c>
      <c r="Z434" s="9">
        <f>ROUND(T434 / 1.2, 2)</f>
        <v>0</v>
      </c>
      <c r="AA434" s="9">
        <f>Y434+Z434</f>
        <v>0</v>
      </c>
      <c r="AD434" s="4">
        <v>315890033</v>
      </c>
      <c r="AE434" s="4">
        <v>27245600</v>
      </c>
      <c r="AG434" s="4" t="s">
        <v>1348</v>
      </c>
      <c r="AH434" s="4" t="s">
        <v>1349</v>
      </c>
      <c r="AI434" s="4" t="s">
        <v>224</v>
      </c>
    </row>
    <row r="435" spans="1:35" ht="18" x14ac:dyDescent="0.3">
      <c r="A435" s="10" t="s">
        <v>1350</v>
      </c>
      <c r="B435" s="10"/>
      <c r="C435" s="16" t="s">
        <v>1351</v>
      </c>
      <c r="D435" s="12"/>
      <c r="E435" s="12"/>
      <c r="F435" s="17" t="s">
        <v>308</v>
      </c>
      <c r="G435" s="18">
        <v>1</v>
      </c>
      <c r="H435" s="22"/>
      <c r="I435" s="22">
        <v>0</v>
      </c>
      <c r="J435" s="19">
        <v>80</v>
      </c>
      <c r="M435" s="20">
        <f>ROUND(ROUND(J435, 2)*I435, 2)</f>
        <v>0</v>
      </c>
      <c r="P435" s="19">
        <v>80</v>
      </c>
      <c r="S435" s="20">
        <f>ROUND(ROUND(P435, 2)*I435, 2)</f>
        <v>0</v>
      </c>
      <c r="V435" s="9">
        <f>ROUND(ROUND(P435, 2)/1.2, 2)</f>
        <v>66.67</v>
      </c>
      <c r="Y435" s="9">
        <f t="shared" ref="Y435:Y453" si="18">ROUND(S435 / 1.2, 2)</f>
        <v>0</v>
      </c>
      <c r="AD435" s="4" t="s">
        <v>1352</v>
      </c>
      <c r="AE435" s="4" t="s">
        <v>1353</v>
      </c>
      <c r="AF435" s="4" t="s">
        <v>1354</v>
      </c>
    </row>
    <row r="436" spans="1:35" ht="18" x14ac:dyDescent="0.3">
      <c r="A436" s="10" t="s">
        <v>1355</v>
      </c>
      <c r="B436" s="10"/>
      <c r="C436" s="16" t="s">
        <v>1356</v>
      </c>
      <c r="D436" s="12"/>
      <c r="E436" s="12"/>
      <c r="F436" s="17" t="s">
        <v>76</v>
      </c>
      <c r="G436" s="18">
        <v>1</v>
      </c>
      <c r="H436" s="22"/>
      <c r="I436" s="22">
        <v>0</v>
      </c>
      <c r="J436" s="19">
        <v>44.71</v>
      </c>
      <c r="M436" s="20">
        <f>ROUND(ROUND(J436, 2)*I436, 2)</f>
        <v>0</v>
      </c>
      <c r="P436" s="19">
        <v>44.71</v>
      </c>
      <c r="S436" s="20">
        <f>ROUND(ROUND(P436, 2)*I436, 2)</f>
        <v>0</v>
      </c>
      <c r="V436" s="9">
        <f>ROUND(ROUND(P436, 2)/1.2, 2)</f>
        <v>37.26</v>
      </c>
      <c r="Y436" s="9">
        <f t="shared" si="18"/>
        <v>0</v>
      </c>
      <c r="AD436" s="4" t="s">
        <v>1357</v>
      </c>
      <c r="AE436" s="4" t="s">
        <v>1358</v>
      </c>
      <c r="AF436" s="4" t="s">
        <v>1359</v>
      </c>
    </row>
    <row r="437" spans="1:35" ht="18" x14ac:dyDescent="0.3">
      <c r="A437" s="10" t="s">
        <v>1360</v>
      </c>
      <c r="B437" s="10"/>
      <c r="C437" s="16" t="s">
        <v>149</v>
      </c>
      <c r="D437" s="12"/>
      <c r="E437" s="12"/>
      <c r="F437" s="17" t="s">
        <v>76</v>
      </c>
      <c r="G437" s="18">
        <v>1</v>
      </c>
      <c r="H437" s="22"/>
      <c r="I437" s="22">
        <v>0</v>
      </c>
      <c r="J437" s="19">
        <v>35.76</v>
      </c>
      <c r="M437" s="20">
        <f>ROUND(ROUND(J437, 2)*I437, 2)</f>
        <v>0</v>
      </c>
      <c r="P437" s="19">
        <v>35.76</v>
      </c>
      <c r="S437" s="20">
        <f>ROUND(ROUND(P437, 2)*I437, 2)</f>
        <v>0</v>
      </c>
      <c r="V437" s="9">
        <f>ROUND(ROUND(P437, 2)/1.2, 2)</f>
        <v>29.8</v>
      </c>
      <c r="Y437" s="9">
        <f t="shared" si="18"/>
        <v>0</v>
      </c>
      <c r="AD437" s="4" t="s">
        <v>1361</v>
      </c>
      <c r="AE437" s="4" t="s">
        <v>1362</v>
      </c>
      <c r="AF437" s="4" t="s">
        <v>152</v>
      </c>
    </row>
    <row r="438" spans="1:35" ht="18" x14ac:dyDescent="0.3">
      <c r="A438" s="10" t="s">
        <v>1363</v>
      </c>
      <c r="B438" s="10"/>
      <c r="C438" s="16" t="s">
        <v>1364</v>
      </c>
      <c r="D438" s="12"/>
      <c r="E438" s="12"/>
      <c r="F438" s="17" t="s">
        <v>59</v>
      </c>
      <c r="G438" s="18">
        <v>1.1000000000000001</v>
      </c>
      <c r="H438" s="22"/>
      <c r="I438" s="22">
        <v>0</v>
      </c>
      <c r="J438" s="19">
        <v>0</v>
      </c>
      <c r="M438" s="20">
        <f>ROUND(ROUND(J438, 2)*I438, 2)</f>
        <v>0</v>
      </c>
      <c r="P438" s="19">
        <v>1520.33</v>
      </c>
      <c r="S438" s="20">
        <f>ROUND(ROUND(P438, 2)*I438, 2)</f>
        <v>0</v>
      </c>
      <c r="V438" s="9">
        <f>ROUND(ROUND(P438, 2)/1.2, 2)</f>
        <v>1266.94</v>
      </c>
      <c r="Y438" s="9">
        <f t="shared" si="18"/>
        <v>0</v>
      </c>
      <c r="AD438" s="4" t="s">
        <v>1365</v>
      </c>
      <c r="AE438" s="4" t="s">
        <v>1366</v>
      </c>
      <c r="AF438" s="4" t="s">
        <v>1367</v>
      </c>
    </row>
    <row r="439" spans="1:35" ht="36" x14ac:dyDescent="0.3">
      <c r="A439" s="10" t="s">
        <v>1368</v>
      </c>
      <c r="B439" s="10" t="s">
        <v>1346</v>
      </c>
      <c r="C439" s="11" t="s">
        <v>1347</v>
      </c>
      <c r="D439" s="12"/>
      <c r="E439" s="12"/>
      <c r="F439" s="12" t="s">
        <v>59</v>
      </c>
      <c r="G439" s="13">
        <v>1</v>
      </c>
      <c r="H439" s="13"/>
      <c r="I439" s="13">
        <v>0</v>
      </c>
      <c r="J439" s="14">
        <v>0</v>
      </c>
      <c r="K439" s="15">
        <v>1477</v>
      </c>
      <c r="L439" s="14">
        <f>J439+ROUND(K439, 2)</f>
        <v>1477</v>
      </c>
      <c r="M439" s="14">
        <v>0</v>
      </c>
      <c r="N439" s="14">
        <v>0</v>
      </c>
      <c r="O439" s="14">
        <f>M439+N439</f>
        <v>0</v>
      </c>
      <c r="P439" s="14">
        <v>475.79</v>
      </c>
      <c r="Q439" s="15">
        <v>1477</v>
      </c>
      <c r="R439" s="14">
        <f>P439+ROUND(Q439, 2)</f>
        <v>1952.79</v>
      </c>
      <c r="S439" s="14">
        <v>0</v>
      </c>
      <c r="T439" s="14">
        <v>0</v>
      </c>
      <c r="U439" s="14">
        <f>S439+T439</f>
        <v>0</v>
      </c>
      <c r="V439" s="9">
        <f>ROUND(P439 / 1.2, 2)</f>
        <v>396.49</v>
      </c>
      <c r="W439" s="9">
        <f>ROUND(Q439 / 1.2, 2)</f>
        <v>1230.83</v>
      </c>
      <c r="X439" s="9">
        <f>ROUND(R439 / 1.2, 2)</f>
        <v>1627.33</v>
      </c>
      <c r="Y439" s="9">
        <f t="shared" si="18"/>
        <v>0</v>
      </c>
      <c r="Z439" s="9">
        <f>ROUND(T439 / 1.2, 2)</f>
        <v>0</v>
      </c>
      <c r="AA439" s="9">
        <f>Y439+Z439</f>
        <v>0</v>
      </c>
      <c r="AD439" s="4">
        <v>315890034</v>
      </c>
      <c r="AE439" s="4">
        <v>27245601</v>
      </c>
      <c r="AG439" s="4" t="s">
        <v>1348</v>
      </c>
      <c r="AH439" s="4" t="s">
        <v>1349</v>
      </c>
      <c r="AI439" s="4" t="s">
        <v>224</v>
      </c>
    </row>
    <row r="440" spans="1:35" ht="18" x14ac:dyDescent="0.3">
      <c r="A440" s="10" t="s">
        <v>1369</v>
      </c>
      <c r="B440" s="10"/>
      <c r="C440" s="21" t="s">
        <v>162</v>
      </c>
      <c r="D440" s="12"/>
      <c r="E440" s="12"/>
      <c r="F440" s="17" t="s">
        <v>59</v>
      </c>
      <c r="G440" s="18">
        <v>1.1000000000000001</v>
      </c>
      <c r="H440" s="22"/>
      <c r="I440" s="22">
        <v>0</v>
      </c>
      <c r="J440" s="19">
        <v>309.39999999999998</v>
      </c>
      <c r="M440" s="20">
        <f>ROUND(ROUND(J440, 2)*I440, 2)</f>
        <v>0</v>
      </c>
      <c r="P440" s="19">
        <v>104.57</v>
      </c>
      <c r="S440" s="20">
        <f>ROUND(ROUND(P440, 2)*I440, 2)</f>
        <v>0</v>
      </c>
      <c r="V440" s="9">
        <f>ROUND(ROUND(P440, 2)/1.2, 2)</f>
        <v>87.14</v>
      </c>
      <c r="Y440" s="9">
        <f t="shared" si="18"/>
        <v>0</v>
      </c>
      <c r="AD440" s="4" t="s">
        <v>1370</v>
      </c>
      <c r="AE440" s="4" t="s">
        <v>1371</v>
      </c>
      <c r="AF440" s="4" t="s">
        <v>165</v>
      </c>
    </row>
    <row r="441" spans="1:35" ht="18" x14ac:dyDescent="0.3">
      <c r="A441" s="10" t="s">
        <v>1372</v>
      </c>
      <c r="B441" s="10"/>
      <c r="C441" s="16" t="s">
        <v>1356</v>
      </c>
      <c r="D441" s="12"/>
      <c r="E441" s="12"/>
      <c r="F441" s="17" t="s">
        <v>76</v>
      </c>
      <c r="G441" s="18">
        <v>1</v>
      </c>
      <c r="H441" s="22"/>
      <c r="I441" s="22">
        <v>0</v>
      </c>
      <c r="J441" s="19">
        <v>44.71</v>
      </c>
      <c r="M441" s="20">
        <f>ROUND(ROUND(J441, 2)*I441, 2)</f>
        <v>0</v>
      </c>
      <c r="P441" s="19">
        <v>44.71</v>
      </c>
      <c r="S441" s="20">
        <f>ROUND(ROUND(P441, 2)*I441, 2)</f>
        <v>0</v>
      </c>
      <c r="V441" s="9">
        <f>ROUND(ROUND(P441, 2)/1.2, 2)</f>
        <v>37.26</v>
      </c>
      <c r="Y441" s="9">
        <f t="shared" si="18"/>
        <v>0</v>
      </c>
      <c r="AD441" s="4" t="s">
        <v>1373</v>
      </c>
      <c r="AE441" s="4" t="s">
        <v>1374</v>
      </c>
      <c r="AF441" s="4" t="s">
        <v>1359</v>
      </c>
    </row>
    <row r="442" spans="1:35" ht="18" x14ac:dyDescent="0.3">
      <c r="A442" s="10" t="s">
        <v>1375</v>
      </c>
      <c r="B442" s="10"/>
      <c r="C442" s="16" t="s">
        <v>149</v>
      </c>
      <c r="D442" s="12"/>
      <c r="E442" s="12"/>
      <c r="F442" s="17" t="s">
        <v>76</v>
      </c>
      <c r="G442" s="18">
        <v>1</v>
      </c>
      <c r="H442" s="22"/>
      <c r="I442" s="22">
        <v>0</v>
      </c>
      <c r="J442" s="19">
        <v>35.76</v>
      </c>
      <c r="M442" s="20">
        <f>ROUND(ROUND(J442, 2)*I442, 2)</f>
        <v>0</v>
      </c>
      <c r="P442" s="19">
        <v>35.76</v>
      </c>
      <c r="S442" s="20">
        <f>ROUND(ROUND(P442, 2)*I442, 2)</f>
        <v>0</v>
      </c>
      <c r="V442" s="9">
        <f>ROUND(ROUND(P442, 2)/1.2, 2)</f>
        <v>29.8</v>
      </c>
      <c r="Y442" s="9">
        <f t="shared" si="18"/>
        <v>0</v>
      </c>
      <c r="AD442" s="4" t="s">
        <v>1376</v>
      </c>
      <c r="AE442" s="4" t="s">
        <v>1377</v>
      </c>
      <c r="AF442" s="4" t="s">
        <v>152</v>
      </c>
    </row>
    <row r="443" spans="1:35" ht="18" x14ac:dyDescent="0.3">
      <c r="A443" s="10" t="s">
        <v>1378</v>
      </c>
      <c r="B443" s="10"/>
      <c r="C443" s="16" t="s">
        <v>1351</v>
      </c>
      <c r="D443" s="12"/>
      <c r="E443" s="12"/>
      <c r="F443" s="17" t="s">
        <v>308</v>
      </c>
      <c r="G443" s="18">
        <v>1</v>
      </c>
      <c r="H443" s="22"/>
      <c r="I443" s="22">
        <v>0</v>
      </c>
      <c r="J443" s="19">
        <v>80</v>
      </c>
      <c r="M443" s="20">
        <f>ROUND(ROUND(J443, 2)*I443, 2)</f>
        <v>0</v>
      </c>
      <c r="P443" s="19">
        <v>80</v>
      </c>
      <c r="S443" s="20">
        <f>ROUND(ROUND(P443, 2)*I443, 2)</f>
        <v>0</v>
      </c>
      <c r="V443" s="9">
        <f>ROUND(ROUND(P443, 2)/1.2, 2)</f>
        <v>66.67</v>
      </c>
      <c r="Y443" s="9">
        <f t="shared" si="18"/>
        <v>0</v>
      </c>
      <c r="AD443" s="4" t="s">
        <v>1379</v>
      </c>
      <c r="AE443" s="4" t="s">
        <v>1380</v>
      </c>
      <c r="AF443" s="4" t="s">
        <v>1354</v>
      </c>
    </row>
    <row r="444" spans="1:35" ht="108" x14ac:dyDescent="0.3">
      <c r="A444" s="10" t="s">
        <v>1381</v>
      </c>
      <c r="B444" s="10" t="s">
        <v>1346</v>
      </c>
      <c r="C444" s="11" t="s">
        <v>1347</v>
      </c>
      <c r="D444" s="12"/>
      <c r="E444" s="12" t="s">
        <v>1382</v>
      </c>
      <c r="F444" s="12" t="s">
        <v>59</v>
      </c>
      <c r="G444" s="13">
        <v>1</v>
      </c>
      <c r="H444" s="13"/>
      <c r="I444" s="13">
        <v>118.4</v>
      </c>
      <c r="J444" s="14">
        <v>360.42</v>
      </c>
      <c r="K444" s="15">
        <v>1477</v>
      </c>
      <c r="L444" s="14">
        <f>J444+ROUND(K444, 2)</f>
        <v>1837.42</v>
      </c>
      <c r="M444" s="14">
        <v>42673.73</v>
      </c>
      <c r="N444" s="14">
        <v>174876.79999999999</v>
      </c>
      <c r="O444" s="14">
        <f>M444+N444</f>
        <v>217550.53</v>
      </c>
      <c r="P444" s="14">
        <v>2032.78</v>
      </c>
      <c r="Q444" s="15">
        <v>2215.5</v>
      </c>
      <c r="R444" s="14">
        <f>P444+ROUND(Q444, 2)</f>
        <v>4248.28</v>
      </c>
      <c r="S444" s="14">
        <v>240681.15</v>
      </c>
      <c r="T444" s="14">
        <v>262315.2</v>
      </c>
      <c r="U444" s="14">
        <f>S444+T444</f>
        <v>502996.35</v>
      </c>
      <c r="V444" s="9">
        <f>ROUND(P444 / 1.2, 2)</f>
        <v>1693.98</v>
      </c>
      <c r="W444" s="9">
        <f>ROUND(Q444 / 1.2, 2)</f>
        <v>1846.25</v>
      </c>
      <c r="X444" s="9">
        <f>ROUND(R444 / 1.2, 2)</f>
        <v>3540.23</v>
      </c>
      <c r="Y444" s="9">
        <f t="shared" si="18"/>
        <v>200567.63</v>
      </c>
      <c r="Z444" s="9">
        <f>ROUND(T444 / 1.2, 2)</f>
        <v>218596</v>
      </c>
      <c r="AA444" s="9">
        <f>Y444+Z444</f>
        <v>419163.63</v>
      </c>
      <c r="AD444" s="4">
        <v>315890035</v>
      </c>
      <c r="AE444" s="4">
        <v>27245791</v>
      </c>
      <c r="AG444" s="4" t="s">
        <v>1348</v>
      </c>
      <c r="AH444" s="4" t="s">
        <v>1349</v>
      </c>
      <c r="AI444" s="4" t="s">
        <v>224</v>
      </c>
    </row>
    <row r="445" spans="1:35" ht="18" x14ac:dyDescent="0.3">
      <c r="A445" s="10" t="s">
        <v>1383</v>
      </c>
      <c r="B445" s="10"/>
      <c r="C445" s="16" t="s">
        <v>1351</v>
      </c>
      <c r="D445" s="12"/>
      <c r="E445" s="12"/>
      <c r="F445" s="17" t="s">
        <v>308</v>
      </c>
      <c r="G445" s="18">
        <v>1</v>
      </c>
      <c r="H445" s="22"/>
      <c r="I445" s="22">
        <v>123</v>
      </c>
      <c r="J445" s="19">
        <v>80</v>
      </c>
      <c r="M445" s="20">
        <f>ROUND(ROUND(J445, 2)*I445, 2)</f>
        <v>9840</v>
      </c>
      <c r="P445" s="19">
        <v>80</v>
      </c>
      <c r="S445" s="20">
        <f>ROUND(ROUND(P445, 2)*I445, 2)</f>
        <v>9840</v>
      </c>
      <c r="V445" s="9">
        <f>ROUND(ROUND(P445, 2)/1.2, 2)</f>
        <v>66.67</v>
      </c>
      <c r="Y445" s="9">
        <f t="shared" si="18"/>
        <v>8200</v>
      </c>
      <c r="AD445" s="4" t="s">
        <v>1384</v>
      </c>
      <c r="AE445" s="4" t="s">
        <v>1385</v>
      </c>
      <c r="AF445" s="4" t="s">
        <v>1354</v>
      </c>
    </row>
    <row r="446" spans="1:35" ht="18" x14ac:dyDescent="0.3">
      <c r="A446" s="10" t="s">
        <v>1386</v>
      </c>
      <c r="B446" s="10"/>
      <c r="C446" s="16" t="s">
        <v>1356</v>
      </c>
      <c r="D446" s="12"/>
      <c r="E446" s="12"/>
      <c r="F446" s="17" t="s">
        <v>76</v>
      </c>
      <c r="G446" s="18">
        <v>1</v>
      </c>
      <c r="H446" s="22"/>
      <c r="I446" s="22">
        <v>592</v>
      </c>
      <c r="J446" s="19">
        <v>44.71</v>
      </c>
      <c r="M446" s="20">
        <f>ROUND(ROUND(J446, 2)*I446, 2)</f>
        <v>26468.32</v>
      </c>
      <c r="P446" s="19">
        <v>44.71</v>
      </c>
      <c r="S446" s="20">
        <f>ROUND(ROUND(P446, 2)*I446, 2)</f>
        <v>26468.32</v>
      </c>
      <c r="V446" s="9">
        <f>ROUND(ROUND(P446, 2)/1.2, 2)</f>
        <v>37.26</v>
      </c>
      <c r="Y446" s="9">
        <f t="shared" si="18"/>
        <v>22056.93</v>
      </c>
      <c r="AD446" s="4" t="s">
        <v>1387</v>
      </c>
      <c r="AE446" s="4" t="s">
        <v>1388</v>
      </c>
      <c r="AF446" s="4" t="s">
        <v>1359</v>
      </c>
    </row>
    <row r="447" spans="1:35" ht="18" x14ac:dyDescent="0.3">
      <c r="A447" s="10" t="s">
        <v>1389</v>
      </c>
      <c r="B447" s="10"/>
      <c r="C447" s="16" t="s">
        <v>149</v>
      </c>
      <c r="D447" s="12"/>
      <c r="E447" s="12"/>
      <c r="F447" s="17" t="s">
        <v>76</v>
      </c>
      <c r="G447" s="18">
        <v>1</v>
      </c>
      <c r="H447" s="22"/>
      <c r="I447" s="22">
        <v>178</v>
      </c>
      <c r="J447" s="19">
        <v>35.76</v>
      </c>
      <c r="M447" s="20">
        <f>ROUND(ROUND(J447, 2)*I447, 2)</f>
        <v>6365.28</v>
      </c>
      <c r="P447" s="19">
        <v>35.76</v>
      </c>
      <c r="S447" s="20">
        <f>ROUND(ROUND(P447, 2)*I447, 2)</f>
        <v>6365.28</v>
      </c>
      <c r="V447" s="9">
        <f>ROUND(ROUND(P447, 2)/1.2, 2)</f>
        <v>29.8</v>
      </c>
      <c r="Y447" s="9">
        <f t="shared" si="18"/>
        <v>5304.4</v>
      </c>
      <c r="AD447" s="4" t="s">
        <v>1390</v>
      </c>
      <c r="AE447" s="4" t="s">
        <v>1391</v>
      </c>
      <c r="AF447" s="4" t="s">
        <v>152</v>
      </c>
    </row>
    <row r="448" spans="1:35" ht="18" x14ac:dyDescent="0.3">
      <c r="A448" s="10" t="s">
        <v>1392</v>
      </c>
      <c r="B448" s="10"/>
      <c r="C448" s="16" t="s">
        <v>1364</v>
      </c>
      <c r="D448" s="12"/>
      <c r="E448" s="12"/>
      <c r="F448" s="17" t="s">
        <v>59</v>
      </c>
      <c r="G448" s="18">
        <v>1.1000000000000001</v>
      </c>
      <c r="H448" s="22"/>
      <c r="I448" s="22">
        <v>130.24</v>
      </c>
      <c r="J448" s="19">
        <v>0</v>
      </c>
      <c r="M448" s="20">
        <f>ROUND(ROUND(J448, 2)*I448, 2)</f>
        <v>0</v>
      </c>
      <c r="P448" s="19">
        <v>1520.33</v>
      </c>
      <c r="S448" s="20">
        <f>ROUND(ROUND(P448, 2)*I448, 2)</f>
        <v>198007.78</v>
      </c>
      <c r="V448" s="9">
        <f>ROUND(ROUND(P448, 2)/1.2, 2)</f>
        <v>1266.94</v>
      </c>
      <c r="Y448" s="9">
        <f t="shared" si="18"/>
        <v>165006.48000000001</v>
      </c>
      <c r="AD448" s="4" t="s">
        <v>1393</v>
      </c>
      <c r="AE448" s="4" t="s">
        <v>1394</v>
      </c>
      <c r="AF448" s="4" t="s">
        <v>1367</v>
      </c>
    </row>
    <row r="449" spans="1:35" ht="180" x14ac:dyDescent="0.3">
      <c r="A449" s="10" t="s">
        <v>1395</v>
      </c>
      <c r="B449" s="10" t="s">
        <v>1346</v>
      </c>
      <c r="C449" s="11" t="s">
        <v>1347</v>
      </c>
      <c r="D449" s="12"/>
      <c r="E449" s="12" t="s">
        <v>1396</v>
      </c>
      <c r="F449" s="12" t="s">
        <v>59</v>
      </c>
      <c r="G449" s="13">
        <v>1</v>
      </c>
      <c r="H449" s="13"/>
      <c r="I449" s="13">
        <v>358.7</v>
      </c>
      <c r="J449" s="14">
        <v>701.1</v>
      </c>
      <c r="K449" s="15">
        <v>1477</v>
      </c>
      <c r="L449" s="14">
        <f>J449+ROUND(K449, 2)</f>
        <v>2178.1</v>
      </c>
      <c r="M449" s="14">
        <v>251484.57</v>
      </c>
      <c r="N449" s="14">
        <v>529799.9</v>
      </c>
      <c r="O449" s="14">
        <f>M449+N449</f>
        <v>781284.47</v>
      </c>
      <c r="P449" s="14">
        <v>475.79</v>
      </c>
      <c r="Q449" s="15">
        <v>2215.5</v>
      </c>
      <c r="R449" s="14">
        <f>P449+ROUND(Q449, 2)</f>
        <v>2691.29</v>
      </c>
      <c r="S449" s="14">
        <v>170665.87</v>
      </c>
      <c r="T449" s="14">
        <v>794699.85</v>
      </c>
      <c r="U449" s="14">
        <f>S449+T449</f>
        <v>965365.72</v>
      </c>
      <c r="V449" s="9">
        <f>ROUND(P449 / 1.2, 2)</f>
        <v>396.49</v>
      </c>
      <c r="W449" s="9">
        <f>ROUND(Q449 / 1.2, 2)</f>
        <v>1846.25</v>
      </c>
      <c r="X449" s="9">
        <f>ROUND(R449 / 1.2, 2)</f>
        <v>2242.7399999999998</v>
      </c>
      <c r="Y449" s="9">
        <f t="shared" si="18"/>
        <v>142221.56</v>
      </c>
      <c r="Z449" s="9">
        <f>ROUND(T449 / 1.2, 2)</f>
        <v>662249.88</v>
      </c>
      <c r="AA449" s="9">
        <f>Y449+Z449</f>
        <v>804471.44</v>
      </c>
      <c r="AD449" s="4">
        <v>315890036</v>
      </c>
      <c r="AE449" s="4">
        <v>27245790</v>
      </c>
      <c r="AG449" s="4" t="s">
        <v>1348</v>
      </c>
      <c r="AH449" s="4" t="s">
        <v>1349</v>
      </c>
      <c r="AI449" s="4" t="s">
        <v>224</v>
      </c>
    </row>
    <row r="450" spans="1:35" ht="18" x14ac:dyDescent="0.3">
      <c r="A450" s="10" t="s">
        <v>1397</v>
      </c>
      <c r="B450" s="10"/>
      <c r="C450" s="21" t="s">
        <v>162</v>
      </c>
      <c r="D450" s="12"/>
      <c r="E450" s="12"/>
      <c r="F450" s="17" t="s">
        <v>59</v>
      </c>
      <c r="G450" s="18">
        <v>1.1000000000000001</v>
      </c>
      <c r="H450" s="22"/>
      <c r="I450" s="22">
        <v>394.57</v>
      </c>
      <c r="J450" s="19">
        <v>309.39999999999998</v>
      </c>
      <c r="M450" s="20">
        <f>ROUND(ROUND(J450, 2)*I450, 2)</f>
        <v>122079.96</v>
      </c>
      <c r="P450" s="19">
        <v>104.57</v>
      </c>
      <c r="S450" s="20">
        <f>ROUND(ROUND(P450, 2)*I450, 2)</f>
        <v>41260.18</v>
      </c>
      <c r="V450" s="9">
        <f>ROUND(ROUND(P450, 2)/1.2, 2)</f>
        <v>87.14</v>
      </c>
      <c r="Y450" s="9">
        <f t="shared" si="18"/>
        <v>34383.480000000003</v>
      </c>
      <c r="AD450" s="4" t="s">
        <v>1398</v>
      </c>
      <c r="AE450" s="4" t="s">
        <v>1399</v>
      </c>
      <c r="AF450" s="4" t="s">
        <v>165</v>
      </c>
    </row>
    <row r="451" spans="1:35" ht="18" x14ac:dyDescent="0.3">
      <c r="A451" s="10" t="s">
        <v>1400</v>
      </c>
      <c r="B451" s="10"/>
      <c r="C451" s="16" t="s">
        <v>1356</v>
      </c>
      <c r="D451" s="12"/>
      <c r="E451" s="12"/>
      <c r="F451" s="17" t="s">
        <v>76</v>
      </c>
      <c r="G451" s="18">
        <v>1</v>
      </c>
      <c r="H451" s="22"/>
      <c r="I451" s="22">
        <v>1794</v>
      </c>
      <c r="J451" s="19">
        <v>44.71</v>
      </c>
      <c r="M451" s="20">
        <f>ROUND(ROUND(J451, 2)*I451, 2)</f>
        <v>80209.740000000005</v>
      </c>
      <c r="P451" s="19">
        <v>44.71</v>
      </c>
      <c r="S451" s="20">
        <f>ROUND(ROUND(P451, 2)*I451, 2)</f>
        <v>80209.740000000005</v>
      </c>
      <c r="V451" s="9">
        <f>ROUND(ROUND(P451, 2)/1.2, 2)</f>
        <v>37.26</v>
      </c>
      <c r="Y451" s="9">
        <f t="shared" si="18"/>
        <v>66841.45</v>
      </c>
      <c r="AD451" s="4" t="s">
        <v>1401</v>
      </c>
      <c r="AE451" s="4" t="s">
        <v>1402</v>
      </c>
      <c r="AF451" s="4" t="s">
        <v>1359</v>
      </c>
    </row>
    <row r="452" spans="1:35" ht="18" x14ac:dyDescent="0.3">
      <c r="A452" s="10" t="s">
        <v>1403</v>
      </c>
      <c r="B452" s="10"/>
      <c r="C452" s="16" t="s">
        <v>149</v>
      </c>
      <c r="D452" s="12"/>
      <c r="E452" s="12"/>
      <c r="F452" s="17" t="s">
        <v>76</v>
      </c>
      <c r="G452" s="18">
        <v>1</v>
      </c>
      <c r="H452" s="22"/>
      <c r="I452" s="22">
        <v>539</v>
      </c>
      <c r="J452" s="19">
        <v>35.76</v>
      </c>
      <c r="M452" s="20">
        <f>ROUND(ROUND(J452, 2)*I452, 2)</f>
        <v>19274.64</v>
      </c>
      <c r="P452" s="19">
        <v>35.76</v>
      </c>
      <c r="S452" s="20">
        <f>ROUND(ROUND(P452, 2)*I452, 2)</f>
        <v>19274.64</v>
      </c>
      <c r="V452" s="9">
        <f>ROUND(ROUND(P452, 2)/1.2, 2)</f>
        <v>29.8</v>
      </c>
      <c r="Y452" s="9">
        <f t="shared" si="18"/>
        <v>16062.2</v>
      </c>
      <c r="AD452" s="4" t="s">
        <v>1404</v>
      </c>
      <c r="AE452" s="4" t="s">
        <v>1405</v>
      </c>
      <c r="AF452" s="4" t="s">
        <v>152</v>
      </c>
    </row>
    <row r="453" spans="1:35" ht="18" x14ac:dyDescent="0.3">
      <c r="A453" s="10" t="s">
        <v>1406</v>
      </c>
      <c r="B453" s="10"/>
      <c r="C453" s="16" t="s">
        <v>1351</v>
      </c>
      <c r="D453" s="12"/>
      <c r="E453" s="12"/>
      <c r="F453" s="17" t="s">
        <v>308</v>
      </c>
      <c r="G453" s="18">
        <v>1</v>
      </c>
      <c r="H453" s="22"/>
      <c r="I453" s="22">
        <v>374</v>
      </c>
      <c r="J453" s="19">
        <v>80</v>
      </c>
      <c r="M453" s="20">
        <f>ROUND(ROUND(J453, 2)*I453, 2)</f>
        <v>29920</v>
      </c>
      <c r="P453" s="19">
        <v>80</v>
      </c>
      <c r="S453" s="20">
        <f>ROUND(ROUND(P453, 2)*I453, 2)</f>
        <v>29920</v>
      </c>
      <c r="V453" s="9">
        <f>ROUND(ROUND(P453, 2)/1.2, 2)</f>
        <v>66.67</v>
      </c>
      <c r="Y453" s="9">
        <f t="shared" si="18"/>
        <v>24933.33</v>
      </c>
      <c r="AD453" s="4" t="s">
        <v>1407</v>
      </c>
      <c r="AE453" s="4" t="s">
        <v>1408</v>
      </c>
      <c r="AF453" s="4" t="s">
        <v>1354</v>
      </c>
    </row>
    <row r="454" spans="1:35" ht="16.95" customHeight="1" x14ac:dyDescent="0.3">
      <c r="A454" s="10" t="s">
        <v>1409</v>
      </c>
      <c r="B454" s="10" t="s">
        <v>1410</v>
      </c>
      <c r="C454" s="47" t="s">
        <v>1411</v>
      </c>
      <c r="D454" s="48"/>
      <c r="E454" s="48"/>
      <c r="F454" s="48"/>
      <c r="G454" s="48"/>
      <c r="H454" s="48"/>
      <c r="I454" s="49"/>
      <c r="M454" s="6">
        <f>SUM(M455,M468)</f>
        <v>2318400.8200000003</v>
      </c>
      <c r="N454" s="6">
        <f>SUM(N455,N468)</f>
        <v>6153445.0999999996</v>
      </c>
      <c r="O454" s="6">
        <f>SUM(O455,O468)</f>
        <v>8471845.9199999999</v>
      </c>
      <c r="S454" s="6">
        <f>SUM(S455,S468)</f>
        <v>1160733.4500000002</v>
      </c>
      <c r="T454" s="6">
        <f>SUM(T455,T468)</f>
        <v>9230167.6500000004</v>
      </c>
      <c r="U454" s="6">
        <f>SUM(U455,U468)</f>
        <v>10390901.1</v>
      </c>
      <c r="Y454" s="9">
        <f>SUM(Y455,Y468)</f>
        <v>967277.88000000012</v>
      </c>
      <c r="Z454" s="9">
        <f>SUM(Z455,Z468)</f>
        <v>7691806.3799999999</v>
      </c>
      <c r="AA454" s="9">
        <f>SUM(AA455,AA468)</f>
        <v>8659084.2599999998</v>
      </c>
      <c r="AD454" s="4">
        <v>315890037</v>
      </c>
      <c r="AE454" s="4">
        <v>27245631</v>
      </c>
    </row>
    <row r="455" spans="1:35" ht="16.95" customHeight="1" x14ac:dyDescent="0.3">
      <c r="A455" s="10" t="s">
        <v>1412</v>
      </c>
      <c r="B455" s="10" t="s">
        <v>1413</v>
      </c>
      <c r="C455" s="47" t="s">
        <v>1414</v>
      </c>
      <c r="D455" s="48"/>
      <c r="E455" s="48"/>
      <c r="F455" s="48"/>
      <c r="G455" s="48"/>
      <c r="H455" s="48"/>
      <c r="I455" s="49"/>
      <c r="M455" s="6">
        <f>SUM(M456,M459,M462,M465)</f>
        <v>292430.89</v>
      </c>
      <c r="N455" s="6">
        <f>SUM(N456,N459,N462,N465)</f>
        <v>3668446.7</v>
      </c>
      <c r="O455" s="6">
        <f>SUM(O456,O459,O462,O465)</f>
        <v>3960877.59</v>
      </c>
      <c r="S455" s="6">
        <f>SUM(S456,S459,S462,S465)</f>
        <v>292644.24000000005</v>
      </c>
      <c r="T455" s="6">
        <f>SUM(T456,T459,T462,T465)</f>
        <v>5502670.0499999998</v>
      </c>
      <c r="U455" s="6">
        <f>SUM(U456,U459,U462,U465)</f>
        <v>5795314.29</v>
      </c>
      <c r="Y455" s="9">
        <f>SUM(Y456,Y459,Y462,Y465)</f>
        <v>243870.2</v>
      </c>
      <c r="Z455" s="9">
        <f>SUM(Z456,Z459,Z462,Z465)</f>
        <v>4585558.38</v>
      </c>
      <c r="AA455" s="9">
        <f>SUM(AA456,AA459,AA462,AA465)</f>
        <v>4829428.58</v>
      </c>
      <c r="AD455" s="4">
        <v>315890038</v>
      </c>
      <c r="AE455" s="4">
        <v>27245690</v>
      </c>
    </row>
    <row r="456" spans="1:35" ht="36" x14ac:dyDescent="0.3">
      <c r="A456" s="10" t="s">
        <v>1415</v>
      </c>
      <c r="B456" s="10" t="s">
        <v>1416</v>
      </c>
      <c r="C456" s="11" t="s">
        <v>1417</v>
      </c>
      <c r="D456" s="12"/>
      <c r="E456" s="12"/>
      <c r="F456" s="12" t="s">
        <v>59</v>
      </c>
      <c r="G456" s="13">
        <v>1</v>
      </c>
      <c r="H456" s="13"/>
      <c r="I456" s="13">
        <v>0</v>
      </c>
      <c r="J456" s="14">
        <v>0</v>
      </c>
      <c r="K456" s="15">
        <v>790</v>
      </c>
      <c r="L456" s="14">
        <f>J456+ROUND(K456, 2)</f>
        <v>790</v>
      </c>
      <c r="M456" s="14">
        <v>0</v>
      </c>
      <c r="N456" s="14">
        <v>0</v>
      </c>
      <c r="O456" s="14">
        <f>M456+N456</f>
        <v>0</v>
      </c>
      <c r="P456" s="14">
        <v>70.47</v>
      </c>
      <c r="Q456" s="15">
        <v>790</v>
      </c>
      <c r="R456" s="14">
        <f>P456+ROUND(Q456, 2)</f>
        <v>860.47</v>
      </c>
      <c r="S456" s="14">
        <v>0</v>
      </c>
      <c r="T456" s="14">
        <v>0</v>
      </c>
      <c r="U456" s="14">
        <f>S456+T456</f>
        <v>0</v>
      </c>
      <c r="V456" s="9">
        <f>ROUND(P456 / 1.2, 2)</f>
        <v>58.73</v>
      </c>
      <c r="W456" s="9">
        <f>ROUND(Q456 / 1.2, 2)</f>
        <v>658.33</v>
      </c>
      <c r="X456" s="9">
        <f>ROUND(R456 / 1.2, 2)</f>
        <v>717.06</v>
      </c>
      <c r="Y456" s="9">
        <f>ROUND(S456 / 1.2, 2)</f>
        <v>0</v>
      </c>
      <c r="Z456" s="9">
        <f>ROUND(T456 / 1.2, 2)</f>
        <v>0</v>
      </c>
      <c r="AA456" s="9">
        <f>Y456+Z456</f>
        <v>0</v>
      </c>
      <c r="AD456" s="4">
        <v>315890040</v>
      </c>
      <c r="AE456" s="4">
        <v>27245705</v>
      </c>
      <c r="AG456" s="4" t="s">
        <v>1418</v>
      </c>
      <c r="AH456" s="4" t="s">
        <v>1419</v>
      </c>
      <c r="AI456" s="4" t="s">
        <v>224</v>
      </c>
    </row>
    <row r="457" spans="1:35" ht="36" x14ac:dyDescent="0.3">
      <c r="A457" s="10" t="s">
        <v>1420</v>
      </c>
      <c r="B457" s="10"/>
      <c r="C457" s="21" t="s">
        <v>1421</v>
      </c>
      <c r="D457" s="12"/>
      <c r="E457" s="12"/>
      <c r="F457" s="17" t="s">
        <v>227</v>
      </c>
      <c r="G457" s="18">
        <v>4.5</v>
      </c>
      <c r="H457" s="18"/>
      <c r="I457" s="18">
        <v>0</v>
      </c>
      <c r="J457" s="19">
        <v>12.7</v>
      </c>
      <c r="M457" s="20">
        <f>ROUND(ROUND(J457, 2)*I457, 2)</f>
        <v>0</v>
      </c>
      <c r="P457" s="19">
        <v>12.7</v>
      </c>
      <c r="S457" s="20">
        <f>ROUND(ROUND(P457, 2)*I457, 2)</f>
        <v>0</v>
      </c>
      <c r="V457" s="9">
        <f>ROUND(ROUND(P457, 2)/1.2, 2)</f>
        <v>10.58</v>
      </c>
      <c r="Y457" s="9">
        <f t="shared" ref="Y457:Y467" si="19">ROUND(S457 / 1.2, 2)</f>
        <v>0</v>
      </c>
      <c r="AD457" s="4" t="s">
        <v>1422</v>
      </c>
      <c r="AE457" s="4" t="s">
        <v>1423</v>
      </c>
      <c r="AF457" s="4" t="s">
        <v>1424</v>
      </c>
    </row>
    <row r="458" spans="1:35" ht="36" x14ac:dyDescent="0.3">
      <c r="A458" s="10" t="s">
        <v>1425</v>
      </c>
      <c r="B458" s="10"/>
      <c r="C458" s="16" t="s">
        <v>552</v>
      </c>
      <c r="D458" s="12"/>
      <c r="E458" s="12"/>
      <c r="F458" s="17" t="s">
        <v>227</v>
      </c>
      <c r="G458" s="18">
        <v>0.15</v>
      </c>
      <c r="H458" s="18"/>
      <c r="I458" s="18">
        <v>0</v>
      </c>
      <c r="J458" s="19">
        <v>88.8</v>
      </c>
      <c r="M458" s="20">
        <f>ROUND(ROUND(J458, 2)*I458, 2)</f>
        <v>0</v>
      </c>
      <c r="P458" s="19">
        <v>88.8</v>
      </c>
      <c r="S458" s="20">
        <f>ROUND(ROUND(P458, 2)*I458, 2)</f>
        <v>0</v>
      </c>
      <c r="V458" s="9">
        <f>ROUND(ROUND(P458, 2)/1.2, 2)</f>
        <v>74</v>
      </c>
      <c r="Y458" s="9">
        <f t="shared" si="19"/>
        <v>0</v>
      </c>
      <c r="AD458" s="4" t="s">
        <v>1426</v>
      </c>
      <c r="AE458" s="4" t="s">
        <v>1427</v>
      </c>
      <c r="AF458" s="4" t="s">
        <v>555</v>
      </c>
    </row>
    <row r="459" spans="1:35" ht="72" x14ac:dyDescent="0.3">
      <c r="A459" s="10" t="s">
        <v>1428</v>
      </c>
      <c r="B459" s="10" t="s">
        <v>1416</v>
      </c>
      <c r="C459" s="11" t="s">
        <v>1417</v>
      </c>
      <c r="D459" s="12"/>
      <c r="E459" s="12" t="s">
        <v>1429</v>
      </c>
      <c r="F459" s="12" t="s">
        <v>59</v>
      </c>
      <c r="G459" s="13">
        <v>1</v>
      </c>
      <c r="H459" s="13"/>
      <c r="I459" s="13">
        <v>3898.4</v>
      </c>
      <c r="J459" s="14">
        <v>67.59</v>
      </c>
      <c r="K459" s="15">
        <v>790</v>
      </c>
      <c r="L459" s="14">
        <f>J459+ROUND(K459, 2)</f>
        <v>857.59</v>
      </c>
      <c r="M459" s="14">
        <v>263492.86</v>
      </c>
      <c r="N459" s="14">
        <v>3079736</v>
      </c>
      <c r="O459" s="14">
        <f>M459+N459</f>
        <v>3343228.86</v>
      </c>
      <c r="P459" s="14">
        <v>67.64</v>
      </c>
      <c r="Q459" s="15">
        <v>1185</v>
      </c>
      <c r="R459" s="14">
        <f>P459+ROUND(Q459, 2)</f>
        <v>1252.6400000000001</v>
      </c>
      <c r="S459" s="14">
        <v>263687.78000000003</v>
      </c>
      <c r="T459" s="14">
        <v>4619604</v>
      </c>
      <c r="U459" s="14">
        <f>S459+T459</f>
        <v>4883291.78</v>
      </c>
      <c r="V459" s="9">
        <f>ROUND(P459 / 1.2, 2)</f>
        <v>56.37</v>
      </c>
      <c r="W459" s="9">
        <f>ROUND(Q459 / 1.2, 2)</f>
        <v>987.5</v>
      </c>
      <c r="X459" s="9">
        <f>ROUND(R459 / 1.2, 2)</f>
        <v>1043.8699999999999</v>
      </c>
      <c r="Y459" s="9">
        <f t="shared" si="19"/>
        <v>219739.82</v>
      </c>
      <c r="Z459" s="9">
        <f>ROUND(T459 / 1.2, 2)</f>
        <v>3849670</v>
      </c>
      <c r="AA459" s="9">
        <f>Y459+Z459</f>
        <v>4069409.82</v>
      </c>
      <c r="AD459" s="4">
        <v>315890041</v>
      </c>
      <c r="AE459" s="4">
        <v>27245792</v>
      </c>
      <c r="AG459" s="4" t="s">
        <v>1418</v>
      </c>
      <c r="AH459" s="4" t="s">
        <v>1419</v>
      </c>
      <c r="AI459" s="4" t="s">
        <v>224</v>
      </c>
    </row>
    <row r="460" spans="1:35" ht="36" x14ac:dyDescent="0.3">
      <c r="A460" s="10" t="s">
        <v>1430</v>
      </c>
      <c r="B460" s="10"/>
      <c r="C460" s="16" t="s">
        <v>552</v>
      </c>
      <c r="D460" s="12"/>
      <c r="E460" s="12"/>
      <c r="F460" s="17" t="s">
        <v>227</v>
      </c>
      <c r="G460" s="18">
        <v>0.15</v>
      </c>
      <c r="H460" s="18"/>
      <c r="I460" s="18">
        <v>584.76</v>
      </c>
      <c r="J460" s="19">
        <v>88.8</v>
      </c>
      <c r="M460" s="20">
        <f>ROUND(ROUND(J460, 2)*I460, 2)</f>
        <v>51926.69</v>
      </c>
      <c r="P460" s="19">
        <v>88.8</v>
      </c>
      <c r="S460" s="20">
        <f>ROUND(ROUND(P460, 2)*I460, 2)</f>
        <v>51926.69</v>
      </c>
      <c r="V460" s="9">
        <f>ROUND(ROUND(P460, 2)/1.2, 2)</f>
        <v>74</v>
      </c>
      <c r="Y460" s="9">
        <f t="shared" si="19"/>
        <v>43272.24</v>
      </c>
      <c r="AD460" s="4" t="s">
        <v>1431</v>
      </c>
      <c r="AE460" s="4" t="s">
        <v>1432</v>
      </c>
      <c r="AF460" s="4" t="s">
        <v>555</v>
      </c>
    </row>
    <row r="461" spans="1:35" ht="36" x14ac:dyDescent="0.3">
      <c r="A461" s="10" t="s">
        <v>1433</v>
      </c>
      <c r="B461" s="10"/>
      <c r="C461" s="21" t="s">
        <v>1421</v>
      </c>
      <c r="D461" s="12"/>
      <c r="E461" s="12"/>
      <c r="F461" s="17" t="s">
        <v>227</v>
      </c>
      <c r="G461" s="18">
        <v>4.5</v>
      </c>
      <c r="H461" s="18"/>
      <c r="I461" s="18">
        <v>17542.8</v>
      </c>
      <c r="J461" s="19">
        <v>12.06</v>
      </c>
      <c r="M461" s="20">
        <f>ROUND(ROUND(J461, 2)*I461, 2)</f>
        <v>211566.17</v>
      </c>
      <c r="P461" s="19">
        <v>12.07</v>
      </c>
      <c r="S461" s="20">
        <f>ROUND(ROUND(P461, 2)*I461, 2)</f>
        <v>211741.6</v>
      </c>
      <c r="V461" s="9">
        <f>ROUND(ROUND(P461, 2)/1.2, 2)</f>
        <v>10.06</v>
      </c>
      <c r="Y461" s="9">
        <f t="shared" si="19"/>
        <v>176451.33</v>
      </c>
      <c r="AD461" s="4" t="s">
        <v>1434</v>
      </c>
      <c r="AE461" s="4" t="s">
        <v>1435</v>
      </c>
      <c r="AF461" s="4" t="s">
        <v>1424</v>
      </c>
    </row>
    <row r="462" spans="1:35" ht="36" x14ac:dyDescent="0.3">
      <c r="A462" s="10" t="s">
        <v>1436</v>
      </c>
      <c r="B462" s="10" t="s">
        <v>1437</v>
      </c>
      <c r="C462" s="11" t="s">
        <v>1438</v>
      </c>
      <c r="D462" s="12"/>
      <c r="E462" s="12"/>
      <c r="F462" s="12" t="s">
        <v>59</v>
      </c>
      <c r="G462" s="13">
        <v>1</v>
      </c>
      <c r="H462" s="13"/>
      <c r="I462" s="13">
        <v>0</v>
      </c>
      <c r="J462" s="14">
        <v>0</v>
      </c>
      <c r="K462" s="15">
        <v>639</v>
      </c>
      <c r="L462" s="14">
        <f>J462+ROUND(K462, 2)</f>
        <v>639</v>
      </c>
      <c r="M462" s="14">
        <v>0</v>
      </c>
      <c r="N462" s="14">
        <v>0</v>
      </c>
      <c r="O462" s="14">
        <f>M462+N462</f>
        <v>0</v>
      </c>
      <c r="P462" s="14">
        <v>32.369999999999997</v>
      </c>
      <c r="Q462" s="15">
        <v>639</v>
      </c>
      <c r="R462" s="14">
        <f>P462+ROUND(Q462, 2)</f>
        <v>671.37</v>
      </c>
      <c r="S462" s="14">
        <v>0</v>
      </c>
      <c r="T462" s="14">
        <v>0</v>
      </c>
      <c r="U462" s="14">
        <f>S462+T462</f>
        <v>0</v>
      </c>
      <c r="V462" s="9">
        <f>ROUND(P462 / 1.2, 2)</f>
        <v>26.98</v>
      </c>
      <c r="W462" s="9">
        <f>ROUND(Q462 / 1.2, 2)</f>
        <v>532.5</v>
      </c>
      <c r="X462" s="9">
        <f>ROUND(R462 / 1.2, 2)</f>
        <v>559.48</v>
      </c>
      <c r="Y462" s="9">
        <f t="shared" si="19"/>
        <v>0</v>
      </c>
      <c r="Z462" s="9">
        <f>ROUND(T462 / 1.2, 2)</f>
        <v>0</v>
      </c>
      <c r="AA462" s="9">
        <f>Y462+Z462</f>
        <v>0</v>
      </c>
      <c r="AD462" s="4">
        <v>315890042</v>
      </c>
      <c r="AE462" s="4">
        <v>27245657</v>
      </c>
      <c r="AG462" s="4" t="s">
        <v>1439</v>
      </c>
      <c r="AH462" s="4" t="s">
        <v>1440</v>
      </c>
      <c r="AI462" s="4" t="s">
        <v>224</v>
      </c>
    </row>
    <row r="463" spans="1:35" ht="36" x14ac:dyDescent="0.3">
      <c r="A463" s="10" t="s">
        <v>1441</v>
      </c>
      <c r="B463" s="10"/>
      <c r="C463" s="21" t="s">
        <v>1421</v>
      </c>
      <c r="D463" s="12"/>
      <c r="E463" s="12"/>
      <c r="F463" s="17" t="s">
        <v>227</v>
      </c>
      <c r="G463" s="18">
        <v>1.5</v>
      </c>
      <c r="H463" s="18"/>
      <c r="I463" s="18">
        <v>0</v>
      </c>
      <c r="J463" s="19">
        <v>12.7</v>
      </c>
      <c r="M463" s="20">
        <f>ROUND(ROUND(J463, 2)*I463, 2)</f>
        <v>0</v>
      </c>
      <c r="P463" s="19">
        <v>12.7</v>
      </c>
      <c r="S463" s="20">
        <f>ROUND(ROUND(P463, 2)*I463, 2)</f>
        <v>0</v>
      </c>
      <c r="V463" s="9">
        <f>ROUND(ROUND(P463, 2)/1.2, 2)</f>
        <v>10.58</v>
      </c>
      <c r="Y463" s="9">
        <f t="shared" si="19"/>
        <v>0</v>
      </c>
      <c r="AD463" s="4" t="s">
        <v>1442</v>
      </c>
      <c r="AE463" s="4" t="s">
        <v>1443</v>
      </c>
      <c r="AF463" s="4" t="s">
        <v>1424</v>
      </c>
    </row>
    <row r="464" spans="1:35" ht="36" x14ac:dyDescent="0.3">
      <c r="A464" s="10" t="s">
        <v>1444</v>
      </c>
      <c r="B464" s="10"/>
      <c r="C464" s="16" t="s">
        <v>552</v>
      </c>
      <c r="D464" s="12"/>
      <c r="E464" s="12"/>
      <c r="F464" s="17" t="s">
        <v>227</v>
      </c>
      <c r="G464" s="18">
        <v>0.15</v>
      </c>
      <c r="H464" s="18"/>
      <c r="I464" s="18">
        <v>0</v>
      </c>
      <c r="J464" s="19">
        <v>88.8</v>
      </c>
      <c r="M464" s="20">
        <f>ROUND(ROUND(J464, 2)*I464, 2)</f>
        <v>0</v>
      </c>
      <c r="P464" s="19">
        <v>88.8</v>
      </c>
      <c r="S464" s="20">
        <f>ROUND(ROUND(P464, 2)*I464, 2)</f>
        <v>0</v>
      </c>
      <c r="V464" s="9">
        <f>ROUND(ROUND(P464, 2)/1.2, 2)</f>
        <v>74</v>
      </c>
      <c r="Y464" s="9">
        <f t="shared" si="19"/>
        <v>0</v>
      </c>
      <c r="AD464" s="4" t="s">
        <v>1445</v>
      </c>
      <c r="AE464" s="4" t="s">
        <v>1446</v>
      </c>
      <c r="AF464" s="4" t="s">
        <v>555</v>
      </c>
    </row>
    <row r="465" spans="1:35" ht="36" x14ac:dyDescent="0.3">
      <c r="A465" s="10" t="s">
        <v>1447</v>
      </c>
      <c r="B465" s="10" t="s">
        <v>1437</v>
      </c>
      <c r="C465" s="11" t="s">
        <v>1438</v>
      </c>
      <c r="D465" s="12"/>
      <c r="E465" s="12" t="s">
        <v>1448</v>
      </c>
      <c r="F465" s="12" t="s">
        <v>59</v>
      </c>
      <c r="G465" s="13">
        <v>1</v>
      </c>
      <c r="H465" s="13"/>
      <c r="I465" s="13">
        <v>921.3</v>
      </c>
      <c r="J465" s="14">
        <v>31.41</v>
      </c>
      <c r="K465" s="15">
        <v>639</v>
      </c>
      <c r="L465" s="14">
        <f>J465+ROUND(K465, 2)</f>
        <v>670.41</v>
      </c>
      <c r="M465" s="14">
        <v>28938.03</v>
      </c>
      <c r="N465" s="14">
        <v>588710.69999999995</v>
      </c>
      <c r="O465" s="14">
        <f>M465+N465</f>
        <v>617648.73</v>
      </c>
      <c r="P465" s="14">
        <v>31.43</v>
      </c>
      <c r="Q465" s="15">
        <v>958.5</v>
      </c>
      <c r="R465" s="14">
        <f>P465+ROUND(Q465, 2)</f>
        <v>989.93</v>
      </c>
      <c r="S465" s="14">
        <v>28956.46</v>
      </c>
      <c r="T465" s="14">
        <v>883066.05</v>
      </c>
      <c r="U465" s="14">
        <f>S465+T465</f>
        <v>912022.51</v>
      </c>
      <c r="V465" s="9">
        <f>ROUND(P465 / 1.2, 2)</f>
        <v>26.19</v>
      </c>
      <c r="W465" s="9">
        <f>ROUND(Q465 / 1.2, 2)</f>
        <v>798.75</v>
      </c>
      <c r="X465" s="9">
        <f>ROUND(R465 / 1.2, 2)</f>
        <v>824.94</v>
      </c>
      <c r="Y465" s="9">
        <f t="shared" si="19"/>
        <v>24130.38</v>
      </c>
      <c r="Z465" s="9">
        <f>ROUND(T465 / 1.2, 2)</f>
        <v>735888.38</v>
      </c>
      <c r="AA465" s="9">
        <f>Y465+Z465</f>
        <v>760018.76</v>
      </c>
      <c r="AD465" s="4">
        <v>315890043</v>
      </c>
      <c r="AE465" s="4">
        <v>27245793</v>
      </c>
      <c r="AG465" s="4" t="s">
        <v>1439</v>
      </c>
      <c r="AH465" s="4" t="s">
        <v>1440</v>
      </c>
      <c r="AI465" s="4" t="s">
        <v>224</v>
      </c>
    </row>
    <row r="466" spans="1:35" ht="36" x14ac:dyDescent="0.3">
      <c r="A466" s="10" t="s">
        <v>1449</v>
      </c>
      <c r="B466" s="10"/>
      <c r="C466" s="16" t="s">
        <v>552</v>
      </c>
      <c r="D466" s="12"/>
      <c r="E466" s="12"/>
      <c r="F466" s="17" t="s">
        <v>227</v>
      </c>
      <c r="G466" s="18">
        <v>0.15</v>
      </c>
      <c r="H466" s="18"/>
      <c r="I466" s="18">
        <v>138.19499999999999</v>
      </c>
      <c r="J466" s="19">
        <v>88.8</v>
      </c>
      <c r="M466" s="20">
        <f>ROUND(ROUND(J466, 2)*I466, 2)</f>
        <v>12271.72</v>
      </c>
      <c r="P466" s="19">
        <v>88.8</v>
      </c>
      <c r="S466" s="20">
        <f>ROUND(ROUND(P466, 2)*I466, 2)</f>
        <v>12271.72</v>
      </c>
      <c r="V466" s="9">
        <f>ROUND(ROUND(P466, 2)/1.2, 2)</f>
        <v>74</v>
      </c>
      <c r="Y466" s="9">
        <f t="shared" si="19"/>
        <v>10226.43</v>
      </c>
      <c r="AD466" s="4" t="s">
        <v>1450</v>
      </c>
      <c r="AE466" s="4" t="s">
        <v>1451</v>
      </c>
      <c r="AF466" s="4" t="s">
        <v>555</v>
      </c>
    </row>
    <row r="467" spans="1:35" ht="36" x14ac:dyDescent="0.3">
      <c r="A467" s="10" t="s">
        <v>1452</v>
      </c>
      <c r="B467" s="10"/>
      <c r="C467" s="21" t="s">
        <v>1421</v>
      </c>
      <c r="D467" s="12"/>
      <c r="E467" s="12"/>
      <c r="F467" s="17" t="s">
        <v>227</v>
      </c>
      <c r="G467" s="18">
        <v>1.5</v>
      </c>
      <c r="H467" s="18"/>
      <c r="I467" s="18">
        <v>1381.95</v>
      </c>
      <c r="J467" s="19">
        <v>12.06</v>
      </c>
      <c r="M467" s="20">
        <f>ROUND(ROUND(J467, 2)*I467, 2)</f>
        <v>16666.32</v>
      </c>
      <c r="P467" s="19">
        <v>12.07</v>
      </c>
      <c r="S467" s="20">
        <f>ROUND(ROUND(P467, 2)*I467, 2)</f>
        <v>16680.14</v>
      </c>
      <c r="V467" s="9">
        <f>ROUND(ROUND(P467, 2)/1.2, 2)</f>
        <v>10.06</v>
      </c>
      <c r="Y467" s="9">
        <f t="shared" si="19"/>
        <v>13900.12</v>
      </c>
      <c r="AD467" s="4" t="s">
        <v>1453</v>
      </c>
      <c r="AE467" s="4" t="s">
        <v>1454</v>
      </c>
      <c r="AF467" s="4" t="s">
        <v>1424</v>
      </c>
    </row>
    <row r="468" spans="1:35" ht="16.95" customHeight="1" x14ac:dyDescent="0.3">
      <c r="A468" s="10" t="s">
        <v>1455</v>
      </c>
      <c r="B468" s="10" t="s">
        <v>1456</v>
      </c>
      <c r="C468" s="47" t="s">
        <v>1457</v>
      </c>
      <c r="D468" s="48"/>
      <c r="E468" s="48"/>
      <c r="F468" s="48"/>
      <c r="G468" s="48"/>
      <c r="H468" s="48"/>
      <c r="I468" s="49"/>
      <c r="M468" s="6">
        <f>SUM(M469,M472,M475,M478,M481,M484,M487,M490,M493)</f>
        <v>2025969.9300000002</v>
      </c>
      <c r="N468" s="6">
        <f>SUM(N469,N472,N475,N478,N481,N484,N487,N490,N493)</f>
        <v>2484998.4</v>
      </c>
      <c r="O468" s="6">
        <f>SUM(O469,O472,O475,O478,O481,O484,O487,O490,O493)</f>
        <v>4510968.33</v>
      </c>
      <c r="S468" s="6">
        <f>SUM(S469,S472,S475,S478,S481,S484,S487,S490,S493)</f>
        <v>868089.21000000008</v>
      </c>
      <c r="T468" s="6">
        <f>SUM(T469,T472,T475,T478,T481,T484,T487,T490,T493)</f>
        <v>3727497.6000000006</v>
      </c>
      <c r="U468" s="6">
        <f>SUM(U469,U472,U475,U478,U481,U484,U487,U490,U493)</f>
        <v>4595586.8099999996</v>
      </c>
      <c r="Y468" s="9">
        <f>SUM(Y469,Y472,Y475,Y478,Y481,Y484,Y487,Y490,Y493)</f>
        <v>723407.68</v>
      </c>
      <c r="Z468" s="9">
        <f>SUM(Z469,Z472,Z475,Z478,Z481,Z484,Z487,Z490,Z493)</f>
        <v>3106248</v>
      </c>
      <c r="AA468" s="9">
        <f>SUM(AA469,AA472,AA475,AA478,AA481,AA484,AA487,AA490,AA493)</f>
        <v>3829655.6799999997</v>
      </c>
      <c r="AD468" s="4">
        <v>315890044</v>
      </c>
      <c r="AE468" s="4">
        <v>27245700</v>
      </c>
    </row>
    <row r="469" spans="1:35" ht="36" x14ac:dyDescent="0.3">
      <c r="A469" s="10" t="s">
        <v>1458</v>
      </c>
      <c r="B469" s="10" t="s">
        <v>1459</v>
      </c>
      <c r="C469" s="11" t="s">
        <v>1460</v>
      </c>
      <c r="D469" s="12"/>
      <c r="E469" s="12"/>
      <c r="F469" s="12" t="s">
        <v>59</v>
      </c>
      <c r="G469" s="13">
        <v>1</v>
      </c>
      <c r="H469" s="13"/>
      <c r="I469" s="13">
        <v>0</v>
      </c>
      <c r="J469" s="14">
        <v>0</v>
      </c>
      <c r="K469" s="15">
        <v>464</v>
      </c>
      <c r="L469" s="14">
        <f>J469+ROUND(K469, 2)</f>
        <v>464</v>
      </c>
      <c r="M469" s="14">
        <v>0</v>
      </c>
      <c r="N469" s="14">
        <v>0</v>
      </c>
      <c r="O469" s="14">
        <f>M469+N469</f>
        <v>0</v>
      </c>
      <c r="P469" s="14">
        <v>162.09</v>
      </c>
      <c r="Q469" s="15">
        <v>464</v>
      </c>
      <c r="R469" s="14">
        <f>P469+ROUND(Q469, 2)</f>
        <v>626.09</v>
      </c>
      <c r="S469" s="14">
        <v>0</v>
      </c>
      <c r="T469" s="14">
        <v>0</v>
      </c>
      <c r="U469" s="14">
        <f>S469+T469</f>
        <v>0</v>
      </c>
      <c r="V469" s="9">
        <f>ROUND(P469 / 1.2, 2)</f>
        <v>135.08000000000001</v>
      </c>
      <c r="W469" s="9">
        <f>ROUND(Q469 / 1.2, 2)</f>
        <v>386.67</v>
      </c>
      <c r="X469" s="9">
        <f>ROUND(R469 / 1.2, 2)</f>
        <v>521.74</v>
      </c>
      <c r="Y469" s="9">
        <f>ROUND(S469 / 1.2, 2)</f>
        <v>0</v>
      </c>
      <c r="Z469" s="9">
        <f>ROUND(T469 / 1.2, 2)</f>
        <v>0</v>
      </c>
      <c r="AA469" s="9">
        <f>Y469+Z469</f>
        <v>0</v>
      </c>
      <c r="AD469" s="4">
        <v>315890046</v>
      </c>
      <c r="AE469" s="4">
        <v>27245613</v>
      </c>
      <c r="AG469" s="4" t="s">
        <v>1461</v>
      </c>
      <c r="AH469" s="4" t="s">
        <v>1462</v>
      </c>
      <c r="AI469" s="4" t="s">
        <v>224</v>
      </c>
    </row>
    <row r="470" spans="1:35" ht="72" x14ac:dyDescent="0.3">
      <c r="A470" s="10" t="s">
        <v>1463</v>
      </c>
      <c r="B470" s="10"/>
      <c r="C470" s="16" t="s">
        <v>997</v>
      </c>
      <c r="D470" s="12"/>
      <c r="E470" s="12" t="s">
        <v>1464</v>
      </c>
      <c r="F470" s="17" t="s">
        <v>227</v>
      </c>
      <c r="G470" s="18">
        <v>0.3</v>
      </c>
      <c r="H470" s="18"/>
      <c r="I470" s="18">
        <v>0</v>
      </c>
      <c r="J470" s="19">
        <v>1216.56</v>
      </c>
      <c r="M470" s="20">
        <f>ROUND(ROUND(J470, 2)*I470, 2)</f>
        <v>0</v>
      </c>
      <c r="P470" s="19">
        <v>495.9</v>
      </c>
      <c r="S470" s="20">
        <f>ROUND(ROUND(P470, 2)*I470, 2)</f>
        <v>0</v>
      </c>
      <c r="V470" s="9">
        <f>ROUND(ROUND(P470, 2)/1.2, 2)</f>
        <v>413.25</v>
      </c>
      <c r="Y470" s="9">
        <f t="shared" ref="Y470:Y495" si="20">ROUND(S470 / 1.2, 2)</f>
        <v>0</v>
      </c>
      <c r="AD470" s="4" t="s">
        <v>1465</v>
      </c>
      <c r="AE470" s="4" t="s">
        <v>1466</v>
      </c>
      <c r="AF470" s="4" t="s">
        <v>1000</v>
      </c>
    </row>
    <row r="471" spans="1:35" ht="36" x14ac:dyDescent="0.3">
      <c r="A471" s="10" t="s">
        <v>1467</v>
      </c>
      <c r="B471" s="10"/>
      <c r="C471" s="16" t="s">
        <v>552</v>
      </c>
      <c r="D471" s="12"/>
      <c r="E471" s="12"/>
      <c r="F471" s="17" t="s">
        <v>227</v>
      </c>
      <c r="G471" s="18">
        <v>0.15</v>
      </c>
      <c r="H471" s="18"/>
      <c r="I471" s="18">
        <v>0</v>
      </c>
      <c r="J471" s="19">
        <v>88.8</v>
      </c>
      <c r="M471" s="20">
        <f>ROUND(ROUND(J471, 2)*I471, 2)</f>
        <v>0</v>
      </c>
      <c r="P471" s="19">
        <v>88.8</v>
      </c>
      <c r="S471" s="20">
        <f>ROUND(ROUND(P471, 2)*I471, 2)</f>
        <v>0</v>
      </c>
      <c r="V471" s="9">
        <f>ROUND(ROUND(P471, 2)/1.2, 2)</f>
        <v>74</v>
      </c>
      <c r="Y471" s="9">
        <f t="shared" si="20"/>
        <v>0</v>
      </c>
      <c r="AD471" s="4" t="s">
        <v>1468</v>
      </c>
      <c r="AE471" s="4" t="s">
        <v>1469</v>
      </c>
      <c r="AF471" s="4" t="s">
        <v>555</v>
      </c>
    </row>
    <row r="472" spans="1:35" ht="36" x14ac:dyDescent="0.3">
      <c r="A472" s="10" t="s">
        <v>1470</v>
      </c>
      <c r="B472" s="10" t="s">
        <v>1459</v>
      </c>
      <c r="C472" s="11" t="s">
        <v>1460</v>
      </c>
      <c r="D472" s="12"/>
      <c r="E472" s="12"/>
      <c r="F472" s="12" t="s">
        <v>59</v>
      </c>
      <c r="G472" s="13">
        <v>1</v>
      </c>
      <c r="H472" s="13"/>
      <c r="I472" s="13">
        <v>0</v>
      </c>
      <c r="J472" s="14">
        <v>0</v>
      </c>
      <c r="K472" s="15">
        <v>464</v>
      </c>
      <c r="L472" s="14">
        <f>J472+ROUND(K472, 2)</f>
        <v>464</v>
      </c>
      <c r="M472" s="14">
        <v>0</v>
      </c>
      <c r="N472" s="14">
        <v>0</v>
      </c>
      <c r="O472" s="14">
        <f>M472+N472</f>
        <v>0</v>
      </c>
      <c r="P472" s="14">
        <v>162.09</v>
      </c>
      <c r="Q472" s="15">
        <v>464</v>
      </c>
      <c r="R472" s="14">
        <f>P472+ROUND(Q472, 2)</f>
        <v>626.09</v>
      </c>
      <c r="S472" s="14">
        <v>0</v>
      </c>
      <c r="T472" s="14">
        <v>0</v>
      </c>
      <c r="U472" s="14">
        <f>S472+T472</f>
        <v>0</v>
      </c>
      <c r="V472" s="9">
        <f>ROUND(P472 / 1.2, 2)</f>
        <v>135.08000000000001</v>
      </c>
      <c r="W472" s="9">
        <f>ROUND(Q472 / 1.2, 2)</f>
        <v>386.67</v>
      </c>
      <c r="X472" s="9">
        <f>ROUND(R472 / 1.2, 2)</f>
        <v>521.74</v>
      </c>
      <c r="Y472" s="9">
        <f t="shared" si="20"/>
        <v>0</v>
      </c>
      <c r="Z472" s="9">
        <f>ROUND(T472 / 1.2, 2)</f>
        <v>0</v>
      </c>
      <c r="AA472" s="9">
        <f>Y472+Z472</f>
        <v>0</v>
      </c>
      <c r="AD472" s="4">
        <v>315890047</v>
      </c>
      <c r="AE472" s="4">
        <v>27245614</v>
      </c>
      <c r="AG472" s="4" t="s">
        <v>1461</v>
      </c>
      <c r="AH472" s="4" t="s">
        <v>1462</v>
      </c>
      <c r="AI472" s="4" t="s">
        <v>224</v>
      </c>
    </row>
    <row r="473" spans="1:35" ht="36" x14ac:dyDescent="0.3">
      <c r="A473" s="10" t="s">
        <v>1471</v>
      </c>
      <c r="B473" s="10"/>
      <c r="C473" s="16" t="s">
        <v>552</v>
      </c>
      <c r="D473" s="12"/>
      <c r="E473" s="12"/>
      <c r="F473" s="17" t="s">
        <v>227</v>
      </c>
      <c r="G473" s="18">
        <v>0.15</v>
      </c>
      <c r="H473" s="18"/>
      <c r="I473" s="18">
        <v>0</v>
      </c>
      <c r="J473" s="19">
        <v>88.8</v>
      </c>
      <c r="M473" s="20">
        <f>ROUND(ROUND(J473, 2)*I473, 2)</f>
        <v>0</v>
      </c>
      <c r="P473" s="19">
        <v>88.8</v>
      </c>
      <c r="S473" s="20">
        <f>ROUND(ROUND(P473, 2)*I473, 2)</f>
        <v>0</v>
      </c>
      <c r="V473" s="9">
        <f>ROUND(ROUND(P473, 2)/1.2, 2)</f>
        <v>74</v>
      </c>
      <c r="Y473" s="9">
        <f t="shared" si="20"/>
        <v>0</v>
      </c>
      <c r="AD473" s="4" t="s">
        <v>1472</v>
      </c>
      <c r="AE473" s="4" t="s">
        <v>1473</v>
      </c>
      <c r="AF473" s="4" t="s">
        <v>555</v>
      </c>
    </row>
    <row r="474" spans="1:35" ht="36" x14ac:dyDescent="0.3">
      <c r="A474" s="10" t="s">
        <v>1474</v>
      </c>
      <c r="B474" s="10"/>
      <c r="C474" s="16" t="s">
        <v>997</v>
      </c>
      <c r="D474" s="12"/>
      <c r="E474" s="12"/>
      <c r="F474" s="17" t="s">
        <v>227</v>
      </c>
      <c r="G474" s="18">
        <v>0.3</v>
      </c>
      <c r="H474" s="18"/>
      <c r="I474" s="18">
        <v>0</v>
      </c>
      <c r="J474" s="19">
        <v>1216.56</v>
      </c>
      <c r="M474" s="20">
        <f>ROUND(ROUND(J474, 2)*I474, 2)</f>
        <v>0</v>
      </c>
      <c r="P474" s="19">
        <v>495.9</v>
      </c>
      <c r="S474" s="20">
        <f>ROUND(ROUND(P474, 2)*I474, 2)</f>
        <v>0</v>
      </c>
      <c r="V474" s="9">
        <f>ROUND(ROUND(P474, 2)/1.2, 2)</f>
        <v>413.25</v>
      </c>
      <c r="Y474" s="9">
        <f t="shared" si="20"/>
        <v>0</v>
      </c>
      <c r="AD474" s="4" t="s">
        <v>1475</v>
      </c>
      <c r="AE474" s="4" t="s">
        <v>1476</v>
      </c>
      <c r="AF474" s="4" t="s">
        <v>1000</v>
      </c>
    </row>
    <row r="475" spans="1:35" ht="36" x14ac:dyDescent="0.3">
      <c r="A475" s="10" t="s">
        <v>1477</v>
      </c>
      <c r="B475" s="10" t="s">
        <v>1459</v>
      </c>
      <c r="C475" s="11" t="s">
        <v>1460</v>
      </c>
      <c r="D475" s="12"/>
      <c r="E475" s="12"/>
      <c r="F475" s="12" t="s">
        <v>59</v>
      </c>
      <c r="G475" s="13">
        <v>1</v>
      </c>
      <c r="H475" s="13"/>
      <c r="I475" s="13">
        <v>0</v>
      </c>
      <c r="J475" s="14">
        <v>0</v>
      </c>
      <c r="K475" s="15">
        <v>464</v>
      </c>
      <c r="L475" s="14">
        <f>J475+ROUND(K475, 2)</f>
        <v>464</v>
      </c>
      <c r="M475" s="14">
        <v>0</v>
      </c>
      <c r="N475" s="14">
        <v>0</v>
      </c>
      <c r="O475" s="14">
        <f>M475+N475</f>
        <v>0</v>
      </c>
      <c r="P475" s="14">
        <v>162.09</v>
      </c>
      <c r="Q475" s="15">
        <v>464</v>
      </c>
      <c r="R475" s="14">
        <f>P475+ROUND(Q475, 2)</f>
        <v>626.09</v>
      </c>
      <c r="S475" s="14">
        <v>0</v>
      </c>
      <c r="T475" s="14">
        <v>0</v>
      </c>
      <c r="U475" s="14">
        <f>S475+T475</f>
        <v>0</v>
      </c>
      <c r="V475" s="9">
        <f>ROUND(P475 / 1.2, 2)</f>
        <v>135.08000000000001</v>
      </c>
      <c r="W475" s="9">
        <f>ROUND(Q475 / 1.2, 2)</f>
        <v>386.67</v>
      </c>
      <c r="X475" s="9">
        <f>ROUND(R475 / 1.2, 2)</f>
        <v>521.74</v>
      </c>
      <c r="Y475" s="9">
        <f t="shared" si="20"/>
        <v>0</v>
      </c>
      <c r="Z475" s="9">
        <f>ROUND(T475 / 1.2, 2)</f>
        <v>0</v>
      </c>
      <c r="AA475" s="9">
        <f>Y475+Z475</f>
        <v>0</v>
      </c>
      <c r="AD475" s="4">
        <v>315890048</v>
      </c>
      <c r="AE475" s="4">
        <v>27245615</v>
      </c>
      <c r="AG475" s="4" t="s">
        <v>1461</v>
      </c>
      <c r="AH475" s="4" t="s">
        <v>1462</v>
      </c>
      <c r="AI475" s="4" t="s">
        <v>224</v>
      </c>
    </row>
    <row r="476" spans="1:35" ht="36" x14ac:dyDescent="0.3">
      <c r="A476" s="10" t="s">
        <v>1478</v>
      </c>
      <c r="B476" s="10"/>
      <c r="C476" s="16" t="s">
        <v>997</v>
      </c>
      <c r="D476" s="12"/>
      <c r="E476" s="12"/>
      <c r="F476" s="17" t="s">
        <v>227</v>
      </c>
      <c r="G476" s="18">
        <v>0.3</v>
      </c>
      <c r="H476" s="18"/>
      <c r="I476" s="18">
        <v>0</v>
      </c>
      <c r="J476" s="19">
        <v>1216.56</v>
      </c>
      <c r="M476" s="20">
        <f>ROUND(ROUND(J476, 2)*I476, 2)</f>
        <v>0</v>
      </c>
      <c r="P476" s="19">
        <v>495.9</v>
      </c>
      <c r="S476" s="20">
        <f>ROUND(ROUND(P476, 2)*I476, 2)</f>
        <v>0</v>
      </c>
      <c r="V476" s="9">
        <f>ROUND(ROUND(P476, 2)/1.2, 2)</f>
        <v>413.25</v>
      </c>
      <c r="Y476" s="9">
        <f t="shared" si="20"/>
        <v>0</v>
      </c>
      <c r="AD476" s="4" t="s">
        <v>1479</v>
      </c>
      <c r="AE476" s="4" t="s">
        <v>1480</v>
      </c>
      <c r="AF476" s="4" t="s">
        <v>1000</v>
      </c>
    </row>
    <row r="477" spans="1:35" ht="36" x14ac:dyDescent="0.3">
      <c r="A477" s="10" t="s">
        <v>1481</v>
      </c>
      <c r="B477" s="10"/>
      <c r="C477" s="16" t="s">
        <v>552</v>
      </c>
      <c r="D477" s="12"/>
      <c r="E477" s="12"/>
      <c r="F477" s="17" t="s">
        <v>227</v>
      </c>
      <c r="G477" s="18">
        <v>0.15</v>
      </c>
      <c r="H477" s="18"/>
      <c r="I477" s="18">
        <v>0</v>
      </c>
      <c r="J477" s="19">
        <v>88.8</v>
      </c>
      <c r="M477" s="20">
        <f>ROUND(ROUND(J477, 2)*I477, 2)</f>
        <v>0</v>
      </c>
      <c r="P477" s="19">
        <v>88.8</v>
      </c>
      <c r="S477" s="20">
        <f>ROUND(ROUND(P477, 2)*I477, 2)</f>
        <v>0</v>
      </c>
      <c r="V477" s="9">
        <f>ROUND(ROUND(P477, 2)/1.2, 2)</f>
        <v>74</v>
      </c>
      <c r="Y477" s="9">
        <f t="shared" si="20"/>
        <v>0</v>
      </c>
      <c r="AD477" s="4" t="s">
        <v>1482</v>
      </c>
      <c r="AE477" s="4" t="s">
        <v>1483</v>
      </c>
      <c r="AF477" s="4" t="s">
        <v>555</v>
      </c>
    </row>
    <row r="478" spans="1:35" ht="36" x14ac:dyDescent="0.3">
      <c r="A478" s="10" t="s">
        <v>1484</v>
      </c>
      <c r="B478" s="10" t="s">
        <v>1459</v>
      </c>
      <c r="C478" s="11" t="s">
        <v>1460</v>
      </c>
      <c r="D478" s="12"/>
      <c r="E478" s="12"/>
      <c r="F478" s="12" t="s">
        <v>59</v>
      </c>
      <c r="G478" s="13">
        <v>1</v>
      </c>
      <c r="H478" s="13"/>
      <c r="I478" s="13">
        <v>0</v>
      </c>
      <c r="J478" s="14">
        <v>0</v>
      </c>
      <c r="K478" s="15">
        <v>464</v>
      </c>
      <c r="L478" s="14">
        <f>J478+ROUND(K478, 2)</f>
        <v>464</v>
      </c>
      <c r="M478" s="14">
        <v>0</v>
      </c>
      <c r="N478" s="14">
        <v>0</v>
      </c>
      <c r="O478" s="14">
        <f>M478+N478</f>
        <v>0</v>
      </c>
      <c r="P478" s="14">
        <v>162.09</v>
      </c>
      <c r="Q478" s="15">
        <v>464</v>
      </c>
      <c r="R478" s="14">
        <f>P478+ROUND(Q478, 2)</f>
        <v>626.09</v>
      </c>
      <c r="S478" s="14">
        <v>0</v>
      </c>
      <c r="T478" s="14">
        <v>0</v>
      </c>
      <c r="U478" s="14">
        <f>S478+T478</f>
        <v>0</v>
      </c>
      <c r="V478" s="9">
        <f>ROUND(P478 / 1.2, 2)</f>
        <v>135.08000000000001</v>
      </c>
      <c r="W478" s="9">
        <f>ROUND(Q478 / 1.2, 2)</f>
        <v>386.67</v>
      </c>
      <c r="X478" s="9">
        <f>ROUND(R478 / 1.2, 2)</f>
        <v>521.74</v>
      </c>
      <c r="Y478" s="9">
        <f t="shared" si="20"/>
        <v>0</v>
      </c>
      <c r="Z478" s="9">
        <f>ROUND(T478 / 1.2, 2)</f>
        <v>0</v>
      </c>
      <c r="AA478" s="9">
        <f>Y478+Z478</f>
        <v>0</v>
      </c>
      <c r="AD478" s="4">
        <v>315890049</v>
      </c>
      <c r="AE478" s="4">
        <v>27245616</v>
      </c>
      <c r="AG478" s="4" t="s">
        <v>1461</v>
      </c>
      <c r="AH478" s="4" t="s">
        <v>1462</v>
      </c>
      <c r="AI478" s="4" t="s">
        <v>224</v>
      </c>
    </row>
    <row r="479" spans="1:35" ht="36" x14ac:dyDescent="0.3">
      <c r="A479" s="10" t="s">
        <v>1485</v>
      </c>
      <c r="B479" s="10"/>
      <c r="C479" s="16" t="s">
        <v>552</v>
      </c>
      <c r="D479" s="12"/>
      <c r="E479" s="12"/>
      <c r="F479" s="17" t="s">
        <v>227</v>
      </c>
      <c r="G479" s="18">
        <v>0.15</v>
      </c>
      <c r="H479" s="18"/>
      <c r="I479" s="18">
        <v>0</v>
      </c>
      <c r="J479" s="19">
        <v>88.8</v>
      </c>
      <c r="M479" s="20">
        <f>ROUND(ROUND(J479, 2)*I479, 2)</f>
        <v>0</v>
      </c>
      <c r="P479" s="19">
        <v>88.8</v>
      </c>
      <c r="S479" s="20">
        <f>ROUND(ROUND(P479, 2)*I479, 2)</f>
        <v>0</v>
      </c>
      <c r="V479" s="9">
        <f>ROUND(ROUND(P479, 2)/1.2, 2)</f>
        <v>74</v>
      </c>
      <c r="Y479" s="9">
        <f t="shared" si="20"/>
        <v>0</v>
      </c>
      <c r="AD479" s="4" t="s">
        <v>1486</v>
      </c>
      <c r="AE479" s="4" t="s">
        <v>1487</v>
      </c>
      <c r="AF479" s="4" t="s">
        <v>555</v>
      </c>
    </row>
    <row r="480" spans="1:35" ht="36" x14ac:dyDescent="0.3">
      <c r="A480" s="10" t="s">
        <v>1488</v>
      </c>
      <c r="B480" s="10"/>
      <c r="C480" s="16" t="s">
        <v>997</v>
      </c>
      <c r="D480" s="12"/>
      <c r="E480" s="12"/>
      <c r="F480" s="17" t="s">
        <v>227</v>
      </c>
      <c r="G480" s="18">
        <v>0.3</v>
      </c>
      <c r="H480" s="18"/>
      <c r="I480" s="18">
        <v>0</v>
      </c>
      <c r="J480" s="19">
        <v>1216.56</v>
      </c>
      <c r="M480" s="20">
        <f>ROUND(ROUND(J480, 2)*I480, 2)</f>
        <v>0</v>
      </c>
      <c r="P480" s="19">
        <v>495.9</v>
      </c>
      <c r="S480" s="20">
        <f>ROUND(ROUND(P480, 2)*I480, 2)</f>
        <v>0</v>
      </c>
      <c r="V480" s="9">
        <f>ROUND(ROUND(P480, 2)/1.2, 2)</f>
        <v>413.25</v>
      </c>
      <c r="Y480" s="9">
        <f t="shared" si="20"/>
        <v>0</v>
      </c>
      <c r="AD480" s="4" t="s">
        <v>1489</v>
      </c>
      <c r="AE480" s="4" t="s">
        <v>1490</v>
      </c>
      <c r="AF480" s="4" t="s">
        <v>1000</v>
      </c>
    </row>
    <row r="481" spans="1:35" ht="180" x14ac:dyDescent="0.3">
      <c r="A481" s="10" t="s">
        <v>1491</v>
      </c>
      <c r="B481" s="10" t="s">
        <v>1459</v>
      </c>
      <c r="C481" s="11" t="s">
        <v>1460</v>
      </c>
      <c r="D481" s="12"/>
      <c r="E481" s="12" t="s">
        <v>1492</v>
      </c>
      <c r="F481" s="12" t="s">
        <v>59</v>
      </c>
      <c r="G481" s="13">
        <v>1</v>
      </c>
      <c r="H481" s="13"/>
      <c r="I481" s="13">
        <v>3898.4</v>
      </c>
      <c r="J481" s="14">
        <v>378.29</v>
      </c>
      <c r="K481" s="15">
        <v>464</v>
      </c>
      <c r="L481" s="14">
        <f>J481+ROUND(K481, 2)</f>
        <v>842.29</v>
      </c>
      <c r="M481" s="14">
        <v>1474725.74</v>
      </c>
      <c r="N481" s="14">
        <v>1808857.6</v>
      </c>
      <c r="O481" s="14">
        <f>M481+N481</f>
        <v>3283583.34</v>
      </c>
      <c r="P481" s="14">
        <v>162.09</v>
      </c>
      <c r="Q481" s="15">
        <v>696</v>
      </c>
      <c r="R481" s="14">
        <f>P481+ROUND(Q481, 2)</f>
        <v>858.09</v>
      </c>
      <c r="S481" s="14">
        <v>631891.66</v>
      </c>
      <c r="T481" s="14">
        <v>2713286.4</v>
      </c>
      <c r="U481" s="14">
        <f>S481+T481</f>
        <v>3345178.06</v>
      </c>
      <c r="V481" s="9">
        <f>ROUND(P481 / 1.2, 2)</f>
        <v>135.08000000000001</v>
      </c>
      <c r="W481" s="9">
        <f>ROUND(Q481 / 1.2, 2)</f>
        <v>580</v>
      </c>
      <c r="X481" s="9">
        <f>ROUND(R481 / 1.2, 2)</f>
        <v>715.08</v>
      </c>
      <c r="Y481" s="9">
        <f t="shared" si="20"/>
        <v>526576.38</v>
      </c>
      <c r="Z481" s="9">
        <f>ROUND(T481 / 1.2, 2)</f>
        <v>2261072</v>
      </c>
      <c r="AA481" s="9">
        <f>Y481+Z481</f>
        <v>2787648.38</v>
      </c>
      <c r="AD481" s="4">
        <v>315890050</v>
      </c>
      <c r="AE481" s="4">
        <v>27245729</v>
      </c>
      <c r="AG481" s="4" t="s">
        <v>1461</v>
      </c>
      <c r="AH481" s="4" t="s">
        <v>1462</v>
      </c>
      <c r="AI481" s="4" t="s">
        <v>224</v>
      </c>
    </row>
    <row r="482" spans="1:35" ht="36" x14ac:dyDescent="0.3">
      <c r="A482" s="10" t="s">
        <v>1493</v>
      </c>
      <c r="B482" s="10"/>
      <c r="C482" s="16" t="s">
        <v>997</v>
      </c>
      <c r="D482" s="12"/>
      <c r="E482" s="12"/>
      <c r="F482" s="17" t="s">
        <v>227</v>
      </c>
      <c r="G482" s="18">
        <v>0.3</v>
      </c>
      <c r="H482" s="18"/>
      <c r="I482" s="18">
        <v>1169.52</v>
      </c>
      <c r="J482" s="19">
        <v>1216.56</v>
      </c>
      <c r="M482" s="20">
        <f>ROUND(ROUND(J482, 2)*I482, 2)</f>
        <v>1422791.25</v>
      </c>
      <c r="P482" s="19">
        <v>495.9</v>
      </c>
      <c r="S482" s="20">
        <f>ROUND(ROUND(P482, 2)*I482, 2)</f>
        <v>579964.97</v>
      </c>
      <c r="V482" s="9">
        <f>ROUND(ROUND(P482, 2)/1.2, 2)</f>
        <v>413.25</v>
      </c>
      <c r="Y482" s="9">
        <f t="shared" si="20"/>
        <v>483304.14</v>
      </c>
      <c r="AD482" s="4" t="s">
        <v>1494</v>
      </c>
      <c r="AE482" s="4" t="s">
        <v>1495</v>
      </c>
      <c r="AF482" s="4" t="s">
        <v>1000</v>
      </c>
    </row>
    <row r="483" spans="1:35" ht="36" x14ac:dyDescent="0.3">
      <c r="A483" s="10" t="s">
        <v>1496</v>
      </c>
      <c r="B483" s="10"/>
      <c r="C483" s="16" t="s">
        <v>552</v>
      </c>
      <c r="D483" s="12"/>
      <c r="E483" s="12"/>
      <c r="F483" s="17" t="s">
        <v>227</v>
      </c>
      <c r="G483" s="18">
        <v>0.15</v>
      </c>
      <c r="H483" s="18"/>
      <c r="I483" s="18">
        <v>584.76</v>
      </c>
      <c r="J483" s="19">
        <v>88.8</v>
      </c>
      <c r="M483" s="20">
        <f>ROUND(ROUND(J483, 2)*I483, 2)</f>
        <v>51926.69</v>
      </c>
      <c r="P483" s="19">
        <v>88.8</v>
      </c>
      <c r="S483" s="20">
        <f>ROUND(ROUND(P483, 2)*I483, 2)</f>
        <v>51926.69</v>
      </c>
      <c r="V483" s="9">
        <f>ROUND(ROUND(P483, 2)/1.2, 2)</f>
        <v>74</v>
      </c>
      <c r="Y483" s="9">
        <f t="shared" si="20"/>
        <v>43272.24</v>
      </c>
      <c r="AD483" s="4" t="s">
        <v>1497</v>
      </c>
      <c r="AE483" s="4" t="s">
        <v>1498</v>
      </c>
      <c r="AF483" s="4" t="s">
        <v>555</v>
      </c>
    </row>
    <row r="484" spans="1:35" ht="54" x14ac:dyDescent="0.3">
      <c r="A484" s="10" t="s">
        <v>1499</v>
      </c>
      <c r="B484" s="10" t="s">
        <v>1459</v>
      </c>
      <c r="C484" s="11" t="s">
        <v>1460</v>
      </c>
      <c r="D484" s="12"/>
      <c r="E484" s="12" t="s">
        <v>1500</v>
      </c>
      <c r="F484" s="12" t="s">
        <v>59</v>
      </c>
      <c r="G484" s="13">
        <v>1</v>
      </c>
      <c r="H484" s="13"/>
      <c r="I484" s="13">
        <v>921.3</v>
      </c>
      <c r="J484" s="14">
        <v>378.29</v>
      </c>
      <c r="K484" s="15">
        <v>464</v>
      </c>
      <c r="L484" s="14">
        <f>J484+ROUND(K484, 2)</f>
        <v>842.29</v>
      </c>
      <c r="M484" s="14">
        <v>348518.58</v>
      </c>
      <c r="N484" s="14">
        <v>427483.2</v>
      </c>
      <c r="O484" s="14">
        <f>M484+N484</f>
        <v>776001.78</v>
      </c>
      <c r="P484" s="14">
        <v>162.09</v>
      </c>
      <c r="Q484" s="15">
        <v>696</v>
      </c>
      <c r="R484" s="14">
        <f>P484+ROUND(Q484, 2)</f>
        <v>858.09</v>
      </c>
      <c r="S484" s="14">
        <v>149333.51999999999</v>
      </c>
      <c r="T484" s="14">
        <v>641224.80000000005</v>
      </c>
      <c r="U484" s="14">
        <f>S484+T484</f>
        <v>790558.32000000007</v>
      </c>
      <c r="V484" s="9">
        <f>ROUND(P484 / 1.2, 2)</f>
        <v>135.08000000000001</v>
      </c>
      <c r="W484" s="9">
        <f>ROUND(Q484 / 1.2, 2)</f>
        <v>580</v>
      </c>
      <c r="X484" s="9">
        <f>ROUND(R484 / 1.2, 2)</f>
        <v>715.08</v>
      </c>
      <c r="Y484" s="9">
        <f t="shared" si="20"/>
        <v>124444.6</v>
      </c>
      <c r="Z484" s="9">
        <f>ROUND(T484 / 1.2, 2)</f>
        <v>534354</v>
      </c>
      <c r="AA484" s="9">
        <f>Y484+Z484</f>
        <v>658798.6</v>
      </c>
      <c r="AD484" s="4">
        <v>315890051</v>
      </c>
      <c r="AE484" s="4">
        <v>27245736</v>
      </c>
      <c r="AG484" s="4" t="s">
        <v>1461</v>
      </c>
      <c r="AH484" s="4" t="s">
        <v>1462</v>
      </c>
      <c r="AI484" s="4" t="s">
        <v>224</v>
      </c>
    </row>
    <row r="485" spans="1:35" ht="36" x14ac:dyDescent="0.3">
      <c r="A485" s="10" t="s">
        <v>1501</v>
      </c>
      <c r="B485" s="10"/>
      <c r="C485" s="16" t="s">
        <v>552</v>
      </c>
      <c r="D485" s="12"/>
      <c r="E485" s="12"/>
      <c r="F485" s="17" t="s">
        <v>227</v>
      </c>
      <c r="G485" s="18">
        <v>0.15</v>
      </c>
      <c r="H485" s="18"/>
      <c r="I485" s="18">
        <v>138.19499999999999</v>
      </c>
      <c r="J485" s="19">
        <v>88.8</v>
      </c>
      <c r="M485" s="20">
        <f>ROUND(ROUND(J485, 2)*I485, 2)</f>
        <v>12271.72</v>
      </c>
      <c r="P485" s="19">
        <v>88.8</v>
      </c>
      <c r="S485" s="20">
        <f>ROUND(ROUND(P485, 2)*I485, 2)</f>
        <v>12271.72</v>
      </c>
      <c r="V485" s="9">
        <f>ROUND(ROUND(P485, 2)/1.2, 2)</f>
        <v>74</v>
      </c>
      <c r="Y485" s="9">
        <f t="shared" si="20"/>
        <v>10226.43</v>
      </c>
      <c r="AD485" s="4" t="s">
        <v>1502</v>
      </c>
      <c r="AE485" s="4" t="s">
        <v>1503</v>
      </c>
      <c r="AF485" s="4" t="s">
        <v>555</v>
      </c>
    </row>
    <row r="486" spans="1:35" ht="36" x14ac:dyDescent="0.3">
      <c r="A486" s="10" t="s">
        <v>1504</v>
      </c>
      <c r="B486" s="10"/>
      <c r="C486" s="16" t="s">
        <v>997</v>
      </c>
      <c r="D486" s="12"/>
      <c r="E486" s="12"/>
      <c r="F486" s="17" t="s">
        <v>227</v>
      </c>
      <c r="G486" s="18">
        <v>0.3</v>
      </c>
      <c r="H486" s="18"/>
      <c r="I486" s="18">
        <v>276.39</v>
      </c>
      <c r="J486" s="19">
        <v>1216.56</v>
      </c>
      <c r="M486" s="20">
        <f>ROUND(ROUND(J486, 2)*I486, 2)</f>
        <v>336245.02</v>
      </c>
      <c r="P486" s="19">
        <v>495.9</v>
      </c>
      <c r="S486" s="20">
        <f>ROUND(ROUND(P486, 2)*I486, 2)</f>
        <v>137061.79999999999</v>
      </c>
      <c r="V486" s="9">
        <f>ROUND(ROUND(P486, 2)/1.2, 2)</f>
        <v>413.25</v>
      </c>
      <c r="Y486" s="9">
        <f t="shared" si="20"/>
        <v>114218.17</v>
      </c>
      <c r="AD486" s="4" t="s">
        <v>1505</v>
      </c>
      <c r="AE486" s="4" t="s">
        <v>1506</v>
      </c>
      <c r="AF486" s="4" t="s">
        <v>1000</v>
      </c>
    </row>
    <row r="487" spans="1:35" ht="36" x14ac:dyDescent="0.3">
      <c r="A487" s="10" t="s">
        <v>1507</v>
      </c>
      <c r="B487" s="10" t="s">
        <v>1459</v>
      </c>
      <c r="C487" s="11" t="s">
        <v>1460</v>
      </c>
      <c r="D487" s="12"/>
      <c r="E487" s="12"/>
      <c r="F487" s="12" t="s">
        <v>59</v>
      </c>
      <c r="G487" s="13">
        <v>1</v>
      </c>
      <c r="H487" s="13"/>
      <c r="I487" s="13">
        <v>0</v>
      </c>
      <c r="J487" s="14">
        <v>0</v>
      </c>
      <c r="K487" s="15">
        <v>464</v>
      </c>
      <c r="L487" s="14">
        <f>J487+ROUND(K487, 2)</f>
        <v>464</v>
      </c>
      <c r="M487" s="14">
        <v>0</v>
      </c>
      <c r="N487" s="14">
        <v>0</v>
      </c>
      <c r="O487" s="14">
        <f>M487+N487</f>
        <v>0</v>
      </c>
      <c r="P487" s="14">
        <v>0</v>
      </c>
      <c r="Q487" s="15">
        <v>696</v>
      </c>
      <c r="R487" s="14">
        <f>P487+ROUND(Q487, 2)</f>
        <v>696</v>
      </c>
      <c r="S487" s="14">
        <v>0</v>
      </c>
      <c r="T487" s="14">
        <v>0</v>
      </c>
      <c r="U487" s="14">
        <f>S487+T487</f>
        <v>0</v>
      </c>
      <c r="V487" s="9">
        <f>ROUND(P487 / 1.2, 2)</f>
        <v>0</v>
      </c>
      <c r="W487" s="9">
        <f>ROUND(Q487 / 1.2, 2)</f>
        <v>580</v>
      </c>
      <c r="X487" s="9">
        <f>ROUND(R487 / 1.2, 2)</f>
        <v>580</v>
      </c>
      <c r="Y487" s="9">
        <f t="shared" si="20"/>
        <v>0</v>
      </c>
      <c r="Z487" s="9">
        <f>ROUND(T487 / 1.2, 2)</f>
        <v>0</v>
      </c>
      <c r="AA487" s="9">
        <f>Y487+Z487</f>
        <v>0</v>
      </c>
      <c r="AD487" s="4">
        <v>315890052</v>
      </c>
      <c r="AE487" s="4">
        <v>27245617</v>
      </c>
      <c r="AG487" s="4" t="s">
        <v>1461</v>
      </c>
      <c r="AH487" s="4" t="s">
        <v>1462</v>
      </c>
      <c r="AI487" s="4" t="s">
        <v>224</v>
      </c>
    </row>
    <row r="488" spans="1:35" ht="36" x14ac:dyDescent="0.3">
      <c r="A488" s="10" t="s">
        <v>1508</v>
      </c>
      <c r="B488" s="10"/>
      <c r="C488" s="16" t="s">
        <v>997</v>
      </c>
      <c r="D488" s="12"/>
      <c r="E488" s="12"/>
      <c r="F488" s="17" t="s">
        <v>227</v>
      </c>
      <c r="G488" s="18">
        <v>0.3</v>
      </c>
      <c r="H488" s="18"/>
      <c r="I488" s="18">
        <v>0</v>
      </c>
      <c r="J488" s="19">
        <v>1216.56</v>
      </c>
      <c r="M488" s="20">
        <f>ROUND(ROUND(J488, 2)*I488, 2)</f>
        <v>0</v>
      </c>
      <c r="P488" s="19">
        <v>495.9</v>
      </c>
      <c r="S488" s="20">
        <f>ROUND(ROUND(P488, 2)*I488, 2)</f>
        <v>0</v>
      </c>
      <c r="V488" s="9">
        <f>ROUND(ROUND(P488, 2)/1.2, 2)</f>
        <v>413.25</v>
      </c>
      <c r="Y488" s="9">
        <f t="shared" si="20"/>
        <v>0</v>
      </c>
      <c r="AD488" s="4" t="s">
        <v>1509</v>
      </c>
      <c r="AE488" s="4" t="s">
        <v>1510</v>
      </c>
      <c r="AF488" s="4" t="s">
        <v>1000</v>
      </c>
    </row>
    <row r="489" spans="1:35" ht="36" x14ac:dyDescent="0.3">
      <c r="A489" s="10" t="s">
        <v>1511</v>
      </c>
      <c r="B489" s="10"/>
      <c r="C489" s="16" t="s">
        <v>552</v>
      </c>
      <c r="D489" s="12"/>
      <c r="E489" s="12"/>
      <c r="F489" s="17" t="s">
        <v>227</v>
      </c>
      <c r="G489" s="18">
        <v>0.15</v>
      </c>
      <c r="H489" s="18"/>
      <c r="I489" s="18">
        <v>0</v>
      </c>
      <c r="J489" s="19">
        <v>88.8</v>
      </c>
      <c r="M489" s="20">
        <f>ROUND(ROUND(J489, 2)*I489, 2)</f>
        <v>0</v>
      </c>
      <c r="P489" s="19">
        <v>88.8</v>
      </c>
      <c r="S489" s="20">
        <f>ROUND(ROUND(P489, 2)*I489, 2)</f>
        <v>0</v>
      </c>
      <c r="V489" s="9">
        <f>ROUND(ROUND(P489, 2)/1.2, 2)</f>
        <v>74</v>
      </c>
      <c r="Y489" s="9">
        <f t="shared" si="20"/>
        <v>0</v>
      </c>
      <c r="AD489" s="4" t="s">
        <v>1512</v>
      </c>
      <c r="AE489" s="4" t="s">
        <v>1513</v>
      </c>
      <c r="AF489" s="4" t="s">
        <v>555</v>
      </c>
    </row>
    <row r="490" spans="1:35" ht="180" x14ac:dyDescent="0.3">
      <c r="A490" s="10" t="s">
        <v>1514</v>
      </c>
      <c r="B490" s="10" t="s">
        <v>1459</v>
      </c>
      <c r="C490" s="11" t="s">
        <v>1460</v>
      </c>
      <c r="D490" s="12"/>
      <c r="E490" s="12" t="s">
        <v>1515</v>
      </c>
      <c r="F490" s="12" t="s">
        <v>59</v>
      </c>
      <c r="G490" s="13">
        <v>1</v>
      </c>
      <c r="H490" s="13"/>
      <c r="I490" s="13">
        <v>272.2</v>
      </c>
      <c r="J490" s="14">
        <v>378.29</v>
      </c>
      <c r="K490" s="15">
        <v>464</v>
      </c>
      <c r="L490" s="14">
        <f>J490+ROUND(K490, 2)</f>
        <v>842.29</v>
      </c>
      <c r="M490" s="14">
        <v>102970.54</v>
      </c>
      <c r="N490" s="14">
        <v>126300.8</v>
      </c>
      <c r="O490" s="14">
        <f>M490+N490</f>
        <v>229271.34</v>
      </c>
      <c r="P490" s="14">
        <v>162.09</v>
      </c>
      <c r="Q490" s="15">
        <v>696</v>
      </c>
      <c r="R490" s="14">
        <f>P490+ROUND(Q490, 2)</f>
        <v>858.09</v>
      </c>
      <c r="S490" s="14">
        <v>44120.9</v>
      </c>
      <c r="T490" s="14">
        <v>189451.2</v>
      </c>
      <c r="U490" s="14">
        <f>S490+T490</f>
        <v>233572.1</v>
      </c>
      <c r="V490" s="9">
        <f>ROUND(P490 / 1.2, 2)</f>
        <v>135.08000000000001</v>
      </c>
      <c r="W490" s="9">
        <f>ROUND(Q490 / 1.2, 2)</f>
        <v>580</v>
      </c>
      <c r="X490" s="9">
        <f>ROUND(R490 / 1.2, 2)</f>
        <v>715.08</v>
      </c>
      <c r="Y490" s="9">
        <f t="shared" si="20"/>
        <v>36767.42</v>
      </c>
      <c r="Z490" s="9">
        <f>ROUND(T490 / 1.2, 2)</f>
        <v>157876</v>
      </c>
      <c r="AA490" s="9">
        <f>Y490+Z490</f>
        <v>194643.41999999998</v>
      </c>
      <c r="AD490" s="4">
        <v>315890053</v>
      </c>
      <c r="AE490" s="4">
        <v>27245731</v>
      </c>
      <c r="AG490" s="4" t="s">
        <v>1461</v>
      </c>
      <c r="AH490" s="4" t="s">
        <v>1462</v>
      </c>
      <c r="AI490" s="4" t="s">
        <v>224</v>
      </c>
    </row>
    <row r="491" spans="1:35" ht="36" x14ac:dyDescent="0.3">
      <c r="A491" s="10" t="s">
        <v>1516</v>
      </c>
      <c r="B491" s="10"/>
      <c r="C491" s="16" t="s">
        <v>552</v>
      </c>
      <c r="D491" s="12"/>
      <c r="E491" s="12"/>
      <c r="F491" s="17" t="s">
        <v>227</v>
      </c>
      <c r="G491" s="18">
        <v>0.15</v>
      </c>
      <c r="H491" s="18"/>
      <c r="I491" s="18">
        <v>40.83</v>
      </c>
      <c r="J491" s="19">
        <v>88.8</v>
      </c>
      <c r="M491" s="20">
        <f>ROUND(ROUND(J491, 2)*I491, 2)</f>
        <v>3625.7</v>
      </c>
      <c r="P491" s="19">
        <v>88.8</v>
      </c>
      <c r="S491" s="20">
        <f>ROUND(ROUND(P491, 2)*I491, 2)</f>
        <v>3625.7</v>
      </c>
      <c r="V491" s="9">
        <f>ROUND(ROUND(P491, 2)/1.2, 2)</f>
        <v>74</v>
      </c>
      <c r="Y491" s="9">
        <f t="shared" si="20"/>
        <v>3021.42</v>
      </c>
      <c r="AD491" s="4" t="s">
        <v>1517</v>
      </c>
      <c r="AE491" s="4" t="s">
        <v>1518</v>
      </c>
      <c r="AF491" s="4" t="s">
        <v>555</v>
      </c>
    </row>
    <row r="492" spans="1:35" ht="54" x14ac:dyDescent="0.3">
      <c r="A492" s="10" t="s">
        <v>1519</v>
      </c>
      <c r="B492" s="10"/>
      <c r="C492" s="16" t="s">
        <v>997</v>
      </c>
      <c r="D492" s="12"/>
      <c r="E492" s="12" t="s">
        <v>1520</v>
      </c>
      <c r="F492" s="17" t="s">
        <v>227</v>
      </c>
      <c r="G492" s="18">
        <v>0.3</v>
      </c>
      <c r="H492" s="18"/>
      <c r="I492" s="18">
        <v>81.66</v>
      </c>
      <c r="J492" s="19">
        <v>1216.56</v>
      </c>
      <c r="M492" s="20">
        <f>ROUND(ROUND(J492, 2)*I492, 2)</f>
        <v>99344.29</v>
      </c>
      <c r="P492" s="19">
        <v>495.9</v>
      </c>
      <c r="S492" s="20">
        <f>ROUND(ROUND(P492, 2)*I492, 2)</f>
        <v>40495.19</v>
      </c>
      <c r="V492" s="9">
        <f>ROUND(ROUND(P492, 2)/1.2, 2)</f>
        <v>413.25</v>
      </c>
      <c r="Y492" s="9">
        <f t="shared" si="20"/>
        <v>33745.99</v>
      </c>
      <c r="AD492" s="4" t="s">
        <v>1521</v>
      </c>
      <c r="AE492" s="4" t="s">
        <v>1522</v>
      </c>
      <c r="AF492" s="4" t="s">
        <v>1000</v>
      </c>
    </row>
    <row r="493" spans="1:35" ht="180" x14ac:dyDescent="0.3">
      <c r="A493" s="10" t="s">
        <v>1523</v>
      </c>
      <c r="B493" s="10" t="s">
        <v>1459</v>
      </c>
      <c r="C493" s="11" t="s">
        <v>1460</v>
      </c>
      <c r="D493" s="12"/>
      <c r="E493" s="12" t="s">
        <v>1524</v>
      </c>
      <c r="F493" s="12" t="s">
        <v>59</v>
      </c>
      <c r="G493" s="13">
        <v>1</v>
      </c>
      <c r="H493" s="13"/>
      <c r="I493" s="13">
        <v>263.7</v>
      </c>
      <c r="J493" s="14">
        <v>378.29</v>
      </c>
      <c r="K493" s="15">
        <v>464</v>
      </c>
      <c r="L493" s="14">
        <f>J493+ROUND(K493, 2)</f>
        <v>842.29</v>
      </c>
      <c r="M493" s="14">
        <v>99755.07</v>
      </c>
      <c r="N493" s="14">
        <v>122356.8</v>
      </c>
      <c r="O493" s="14">
        <f>M493+N493</f>
        <v>222111.87</v>
      </c>
      <c r="P493" s="14">
        <v>162.09</v>
      </c>
      <c r="Q493" s="15">
        <v>696</v>
      </c>
      <c r="R493" s="14">
        <f>P493+ROUND(Q493, 2)</f>
        <v>858.09</v>
      </c>
      <c r="S493" s="14">
        <v>42743.13</v>
      </c>
      <c r="T493" s="14">
        <v>183535.2</v>
      </c>
      <c r="U493" s="14">
        <f>S493+T493</f>
        <v>226278.33000000002</v>
      </c>
      <c r="V493" s="9">
        <f>ROUND(P493 / 1.2, 2)</f>
        <v>135.08000000000001</v>
      </c>
      <c r="W493" s="9">
        <f>ROUND(Q493 / 1.2, 2)</f>
        <v>580</v>
      </c>
      <c r="X493" s="9">
        <f>ROUND(R493 / 1.2, 2)</f>
        <v>715.08</v>
      </c>
      <c r="Y493" s="9">
        <f t="shared" si="20"/>
        <v>35619.279999999999</v>
      </c>
      <c r="Z493" s="9">
        <f>ROUND(T493 / 1.2, 2)</f>
        <v>152946</v>
      </c>
      <c r="AA493" s="9">
        <f>Y493+Z493</f>
        <v>188565.28</v>
      </c>
      <c r="AD493" s="4">
        <v>315890054</v>
      </c>
      <c r="AE493" s="4">
        <v>27245732</v>
      </c>
      <c r="AG493" s="4" t="s">
        <v>1461</v>
      </c>
      <c r="AH493" s="4" t="s">
        <v>1462</v>
      </c>
      <c r="AI493" s="4" t="s">
        <v>224</v>
      </c>
    </row>
    <row r="494" spans="1:35" ht="72" x14ac:dyDescent="0.3">
      <c r="A494" s="10" t="s">
        <v>1525</v>
      </c>
      <c r="B494" s="10"/>
      <c r="C494" s="16" t="s">
        <v>997</v>
      </c>
      <c r="D494" s="12"/>
      <c r="E494" s="12" t="s">
        <v>1526</v>
      </c>
      <c r="F494" s="17" t="s">
        <v>227</v>
      </c>
      <c r="G494" s="18">
        <v>0.3</v>
      </c>
      <c r="H494" s="18"/>
      <c r="I494" s="18">
        <v>79.11</v>
      </c>
      <c r="J494" s="19">
        <v>1216.56</v>
      </c>
      <c r="M494" s="20">
        <f>ROUND(ROUND(J494, 2)*I494, 2)</f>
        <v>96242.06</v>
      </c>
      <c r="P494" s="19">
        <v>495.9</v>
      </c>
      <c r="S494" s="20">
        <f>ROUND(ROUND(P494, 2)*I494, 2)</f>
        <v>39230.65</v>
      </c>
      <c r="V494" s="9">
        <f>ROUND(ROUND(P494, 2)/1.2, 2)</f>
        <v>413.25</v>
      </c>
      <c r="Y494" s="9">
        <f t="shared" si="20"/>
        <v>32692.21</v>
      </c>
      <c r="AD494" s="4" t="s">
        <v>1527</v>
      </c>
      <c r="AE494" s="4" t="s">
        <v>1528</v>
      </c>
      <c r="AF494" s="4" t="s">
        <v>1000</v>
      </c>
    </row>
    <row r="495" spans="1:35" ht="36" x14ac:dyDescent="0.3">
      <c r="A495" s="10" t="s">
        <v>1529</v>
      </c>
      <c r="B495" s="10"/>
      <c r="C495" s="16" t="s">
        <v>552</v>
      </c>
      <c r="D495" s="12"/>
      <c r="E495" s="12"/>
      <c r="F495" s="17" t="s">
        <v>227</v>
      </c>
      <c r="G495" s="18">
        <v>0.15</v>
      </c>
      <c r="H495" s="18"/>
      <c r="I495" s="18">
        <v>39.555</v>
      </c>
      <c r="J495" s="19">
        <v>88.8</v>
      </c>
      <c r="M495" s="20">
        <f>ROUND(ROUND(J495, 2)*I495, 2)</f>
        <v>3512.48</v>
      </c>
      <c r="P495" s="19">
        <v>88.8</v>
      </c>
      <c r="S495" s="20">
        <f>ROUND(ROUND(P495, 2)*I495, 2)</f>
        <v>3512.48</v>
      </c>
      <c r="V495" s="9">
        <f>ROUND(ROUND(P495, 2)/1.2, 2)</f>
        <v>74</v>
      </c>
      <c r="Y495" s="9">
        <f t="shared" si="20"/>
        <v>2927.07</v>
      </c>
      <c r="AD495" s="4" t="s">
        <v>1530</v>
      </c>
      <c r="AE495" s="4" t="s">
        <v>1531</v>
      </c>
      <c r="AF495" s="4" t="s">
        <v>555</v>
      </c>
    </row>
    <row r="496" spans="1:35" ht="16.95" customHeight="1" x14ac:dyDescent="0.3">
      <c r="A496" s="10" t="s">
        <v>1532</v>
      </c>
      <c r="B496" s="10" t="s">
        <v>1533</v>
      </c>
      <c r="C496" s="47" t="s">
        <v>1534</v>
      </c>
      <c r="D496" s="48"/>
      <c r="E496" s="48"/>
      <c r="F496" s="48"/>
      <c r="G496" s="48"/>
      <c r="H496" s="48"/>
      <c r="I496" s="49"/>
      <c r="M496" s="6">
        <f>SUM(M497,M501,M504,M506,M508,M510,M512,M514,M516,M517,M518,M520,M522,M536,M550,M552,M554,M556,M558,M560,M562,M564)</f>
        <v>4445051.75</v>
      </c>
      <c r="N496" s="6">
        <f>SUM(N497,N501,N504,N506,N508,N510,N512,N514,N516,N517,N518,N520,N522,N536,N550,N552,N554,N556,N558,N560,N562,N564)</f>
        <v>4990440.8</v>
      </c>
      <c r="O496" s="6">
        <f>SUM(O497,O501,O504,O506,O508,O510,O512,O514,O516,O517,O518,O520,O522,O536,O550,O552,O554,O556,O558,O560,O562,O564)</f>
        <v>9435492.5500000007</v>
      </c>
      <c r="S496" s="6">
        <f>SUM(S497,S501,S504,S506,S508,S510,S512,S514,S516,S517,S518,S520,S522,S536,S550,S552,S554,S556,S558,S560,S562,S564)</f>
        <v>5996135.4499999993</v>
      </c>
      <c r="T496" s="6">
        <f>SUM(T497,T501,T504,T506,T508,T510,T512,T514,T516,T517,T518,T520,T522,T536,T550,T552,T554,T556,T558,T560,T562,T564)</f>
        <v>7485661.2000000002</v>
      </c>
      <c r="U496" s="6">
        <f>SUM(U497,U501,U504,U506,U508,U510,U512,U514,U516,U517,U518,U520,U522,U536,U550,U552,U554,U556,U558,U560,U562,U564)</f>
        <v>13481796.65</v>
      </c>
      <c r="Y496" s="9">
        <f>SUM(Y497,Y501,Y504,Y506,Y508,Y510,Y512,Y514,Y516,Y517,Y518,Y520,Y522,Y536,Y550,Y552,Y554,Y556,Y558,Y560,Y562,Y564)</f>
        <v>4996779.55</v>
      </c>
      <c r="Z496" s="9">
        <f>SUM(Z497,Z501,Z504,Z506,Z508,Z510,Z512,Z514,Z516,Z517,Z518,Z520,Z522,Z536,Z550,Z552,Z554,Z556,Z558,Z560,Z562,Z564)</f>
        <v>6238051.0199999996</v>
      </c>
      <c r="AA496" s="9">
        <f>SUM(AA497,AA501,AA504,AA506,AA508,AA510,AA512,AA514,AA516,AA517,AA518,AA520,AA522,AA536,AA550,AA552,AA554,AA556,AA558,AA560,AA562,AA564)</f>
        <v>11234830.570000002</v>
      </c>
      <c r="AD496" s="4">
        <v>315890055</v>
      </c>
      <c r="AE496" s="4">
        <v>27245701</v>
      </c>
    </row>
    <row r="497" spans="1:35" ht="18" x14ac:dyDescent="0.3">
      <c r="A497" s="10" t="s">
        <v>1535</v>
      </c>
      <c r="B497" s="10" t="s">
        <v>1536</v>
      </c>
      <c r="C497" s="11" t="s">
        <v>1537</v>
      </c>
      <c r="D497" s="12"/>
      <c r="E497" s="12"/>
      <c r="F497" s="12" t="s">
        <v>59</v>
      </c>
      <c r="G497" s="13">
        <v>1</v>
      </c>
      <c r="H497" s="13"/>
      <c r="I497" s="13">
        <v>0</v>
      </c>
      <c r="J497" s="14">
        <v>0</v>
      </c>
      <c r="K497" s="15">
        <v>1359</v>
      </c>
      <c r="L497" s="14">
        <f>J497+ROUND(K497, 2)</f>
        <v>1359</v>
      </c>
      <c r="M497" s="14">
        <v>0</v>
      </c>
      <c r="N497" s="14">
        <v>0</v>
      </c>
      <c r="O497" s="14">
        <f>M497+N497</f>
        <v>0</v>
      </c>
      <c r="P497" s="14">
        <v>1231.99</v>
      </c>
      <c r="Q497" s="15">
        <v>1359</v>
      </c>
      <c r="R497" s="14">
        <f>P497+ROUND(Q497, 2)</f>
        <v>2590.9899999999998</v>
      </c>
      <c r="S497" s="14">
        <v>0</v>
      </c>
      <c r="T497" s="14">
        <v>0</v>
      </c>
      <c r="U497" s="14">
        <f>S497+T497</f>
        <v>0</v>
      </c>
      <c r="V497" s="9">
        <f>ROUND(P497 / 1.2, 2)</f>
        <v>1026.6600000000001</v>
      </c>
      <c r="W497" s="9">
        <f>ROUND(Q497 / 1.2, 2)</f>
        <v>1132.5</v>
      </c>
      <c r="X497" s="9">
        <f>ROUND(R497 / 1.2, 2)</f>
        <v>2159.16</v>
      </c>
      <c r="Y497" s="9">
        <f>ROUND(S497 / 1.2, 2)</f>
        <v>0</v>
      </c>
      <c r="Z497" s="9">
        <f>ROUND(T497 / 1.2, 2)</f>
        <v>0</v>
      </c>
      <c r="AA497" s="9">
        <f>Y497+Z497</f>
        <v>0</v>
      </c>
      <c r="AD497" s="4">
        <v>315890057</v>
      </c>
      <c r="AE497" s="4">
        <v>27245636</v>
      </c>
      <c r="AG497" s="4" t="s">
        <v>1538</v>
      </c>
      <c r="AH497" s="4" t="s">
        <v>1539</v>
      </c>
      <c r="AI497" s="4" t="s">
        <v>224</v>
      </c>
    </row>
    <row r="498" spans="1:35" ht="18" x14ac:dyDescent="0.3">
      <c r="A498" s="10" t="s">
        <v>1540</v>
      </c>
      <c r="B498" s="10"/>
      <c r="C498" s="16" t="s">
        <v>1541</v>
      </c>
      <c r="D498" s="12"/>
      <c r="E498" s="12"/>
      <c r="F498" s="17" t="s">
        <v>65</v>
      </c>
      <c r="G498" s="18">
        <v>1</v>
      </c>
      <c r="H498" s="18"/>
      <c r="I498" s="18">
        <v>0</v>
      </c>
      <c r="J498" s="19">
        <v>109</v>
      </c>
      <c r="M498" s="20">
        <f>ROUND(ROUND(J498, 2)*I498, 2)</f>
        <v>0</v>
      </c>
      <c r="P498" s="19">
        <v>109</v>
      </c>
      <c r="S498" s="20">
        <f>ROUND(ROUND(P498, 2)*I498, 2)</f>
        <v>0</v>
      </c>
      <c r="V498" s="9">
        <f>ROUND(ROUND(P498, 2)/1.2, 2)</f>
        <v>90.83</v>
      </c>
      <c r="Y498" s="9">
        <f t="shared" ref="Y498:Y515" si="21">ROUND(S498 / 1.2, 2)</f>
        <v>0</v>
      </c>
      <c r="AD498" s="4" t="s">
        <v>1542</v>
      </c>
      <c r="AE498" s="4" t="s">
        <v>1543</v>
      </c>
      <c r="AF498" s="4" t="s">
        <v>1544</v>
      </c>
    </row>
    <row r="499" spans="1:35" ht="18" x14ac:dyDescent="0.3">
      <c r="A499" s="10" t="s">
        <v>1545</v>
      </c>
      <c r="B499" s="10"/>
      <c r="C499" s="16" t="s">
        <v>1546</v>
      </c>
      <c r="D499" s="12"/>
      <c r="E499" s="12"/>
      <c r="F499" s="17" t="s">
        <v>59</v>
      </c>
      <c r="G499" s="18">
        <v>1.05</v>
      </c>
      <c r="H499" s="18"/>
      <c r="I499" s="18">
        <v>0</v>
      </c>
      <c r="J499" s="19">
        <v>838.09</v>
      </c>
      <c r="M499" s="20">
        <f>ROUND(ROUND(J499, 2)*I499, 2)</f>
        <v>0</v>
      </c>
      <c r="P499" s="19">
        <v>838.09</v>
      </c>
      <c r="S499" s="20">
        <f>ROUND(ROUND(P499, 2)*I499, 2)</f>
        <v>0</v>
      </c>
      <c r="V499" s="9">
        <f>ROUND(ROUND(P499, 2)/1.2, 2)</f>
        <v>698.41</v>
      </c>
      <c r="Y499" s="9">
        <f t="shared" si="21"/>
        <v>0</v>
      </c>
      <c r="AD499" s="4" t="s">
        <v>1547</v>
      </c>
      <c r="AE499" s="4" t="s">
        <v>1548</v>
      </c>
      <c r="AF499" s="4" t="s">
        <v>1549</v>
      </c>
    </row>
    <row r="500" spans="1:35" ht="18" x14ac:dyDescent="0.3">
      <c r="A500" s="10" t="s">
        <v>1550</v>
      </c>
      <c r="B500" s="10"/>
      <c r="C500" s="16" t="s">
        <v>1551</v>
      </c>
      <c r="D500" s="12"/>
      <c r="E500" s="12"/>
      <c r="F500" s="17" t="s">
        <v>65</v>
      </c>
      <c r="G500" s="18">
        <v>1</v>
      </c>
      <c r="H500" s="18"/>
      <c r="I500" s="18">
        <v>0</v>
      </c>
      <c r="J500" s="19">
        <v>0</v>
      </c>
      <c r="M500" s="20">
        <f>ROUND(ROUND(J500, 2)*I500, 2)</f>
        <v>0</v>
      </c>
      <c r="P500" s="19">
        <v>243</v>
      </c>
      <c r="S500" s="20">
        <f>ROUND(ROUND(P500, 2)*I500, 2)</f>
        <v>0</v>
      </c>
      <c r="V500" s="9">
        <f>ROUND(ROUND(P500, 2)/1.2, 2)</f>
        <v>202.5</v>
      </c>
      <c r="Y500" s="9">
        <f t="shared" si="21"/>
        <v>0</v>
      </c>
      <c r="AD500" s="4" t="s">
        <v>1552</v>
      </c>
      <c r="AE500" s="4" t="s">
        <v>1553</v>
      </c>
      <c r="AF500" s="4" t="s">
        <v>1554</v>
      </c>
    </row>
    <row r="501" spans="1:35" ht="216" x14ac:dyDescent="0.3">
      <c r="A501" s="10" t="s">
        <v>1555</v>
      </c>
      <c r="B501" s="10" t="s">
        <v>1536</v>
      </c>
      <c r="C501" s="11" t="s">
        <v>1537</v>
      </c>
      <c r="D501" s="12"/>
      <c r="E501" s="12" t="s">
        <v>1556</v>
      </c>
      <c r="F501" s="12" t="s">
        <v>59</v>
      </c>
      <c r="G501" s="13">
        <v>1</v>
      </c>
      <c r="H501" s="13"/>
      <c r="I501" s="13">
        <v>34.200000000000003</v>
      </c>
      <c r="J501" s="14">
        <v>879.99</v>
      </c>
      <c r="K501" s="15">
        <v>1359</v>
      </c>
      <c r="L501" s="14">
        <f>J501+ROUND(K501, 2)</f>
        <v>2238.9899999999998</v>
      </c>
      <c r="M501" s="14">
        <v>30095.66</v>
      </c>
      <c r="N501" s="14">
        <v>46477.8</v>
      </c>
      <c r="O501" s="14">
        <f>M501+N501</f>
        <v>76573.460000000006</v>
      </c>
      <c r="P501" s="14">
        <v>1122.99</v>
      </c>
      <c r="Q501" s="15">
        <v>2038.5</v>
      </c>
      <c r="R501" s="14">
        <f>P501+ROUND(Q501, 2)</f>
        <v>3161.49</v>
      </c>
      <c r="S501" s="14">
        <v>38406.26</v>
      </c>
      <c r="T501" s="14">
        <v>69716.7</v>
      </c>
      <c r="U501" s="14">
        <f>S501+T501</f>
        <v>108122.95999999999</v>
      </c>
      <c r="V501" s="9">
        <f>ROUND(P501 / 1.2, 2)</f>
        <v>935.83</v>
      </c>
      <c r="W501" s="9">
        <f>ROUND(Q501 / 1.2, 2)</f>
        <v>1698.75</v>
      </c>
      <c r="X501" s="9">
        <f>ROUND(R501 / 1.2, 2)</f>
        <v>2634.58</v>
      </c>
      <c r="Y501" s="9">
        <f t="shared" si="21"/>
        <v>32005.22</v>
      </c>
      <c r="Z501" s="9">
        <f>ROUND(T501 / 1.2, 2)</f>
        <v>58097.25</v>
      </c>
      <c r="AA501" s="9">
        <f>Y501+Z501</f>
        <v>90102.47</v>
      </c>
      <c r="AD501" s="4">
        <v>315890058</v>
      </c>
      <c r="AE501" s="4">
        <v>27245742</v>
      </c>
      <c r="AG501" s="4" t="s">
        <v>1538</v>
      </c>
      <c r="AH501" s="4" t="s">
        <v>1539</v>
      </c>
      <c r="AI501" s="4" t="s">
        <v>224</v>
      </c>
    </row>
    <row r="502" spans="1:35" ht="18" x14ac:dyDescent="0.3">
      <c r="A502" s="10" t="s">
        <v>1557</v>
      </c>
      <c r="B502" s="10"/>
      <c r="C502" s="16" t="s">
        <v>1551</v>
      </c>
      <c r="D502" s="12"/>
      <c r="E502" s="12"/>
      <c r="F502" s="17" t="s">
        <v>65</v>
      </c>
      <c r="G502" s="18">
        <v>1</v>
      </c>
      <c r="H502" s="18"/>
      <c r="I502" s="18">
        <v>34.200000000000003</v>
      </c>
      <c r="J502" s="19">
        <v>0</v>
      </c>
      <c r="M502" s="20">
        <f>ROUND(ROUND(J502, 2)*I502, 2)</f>
        <v>0</v>
      </c>
      <c r="P502" s="19">
        <v>243</v>
      </c>
      <c r="S502" s="20">
        <f>ROUND(ROUND(P502, 2)*I502, 2)</f>
        <v>8310.6</v>
      </c>
      <c r="V502" s="9">
        <f>ROUND(ROUND(P502, 2)/1.2, 2)</f>
        <v>202.5</v>
      </c>
      <c r="Y502" s="9">
        <f t="shared" si="21"/>
        <v>6925.5</v>
      </c>
      <c r="AD502" s="4" t="s">
        <v>1558</v>
      </c>
      <c r="AE502" s="4" t="s">
        <v>1559</v>
      </c>
      <c r="AF502" s="4" t="s">
        <v>1554</v>
      </c>
    </row>
    <row r="503" spans="1:35" ht="18" x14ac:dyDescent="0.3">
      <c r="A503" s="10" t="s">
        <v>1560</v>
      </c>
      <c r="B503" s="10"/>
      <c r="C503" s="16" t="s">
        <v>1546</v>
      </c>
      <c r="D503" s="12"/>
      <c r="E503" s="12"/>
      <c r="F503" s="17" t="s">
        <v>59</v>
      </c>
      <c r="G503" s="18">
        <v>1.05</v>
      </c>
      <c r="H503" s="18"/>
      <c r="I503" s="18">
        <v>35.909999999999997</v>
      </c>
      <c r="J503" s="19">
        <v>838.09</v>
      </c>
      <c r="M503" s="20">
        <f>ROUND(ROUND(J503, 2)*I503, 2)</f>
        <v>30095.81</v>
      </c>
      <c r="P503" s="19">
        <v>838.09</v>
      </c>
      <c r="S503" s="20">
        <f>ROUND(ROUND(P503, 2)*I503, 2)</f>
        <v>30095.81</v>
      </c>
      <c r="V503" s="9">
        <f>ROUND(ROUND(P503, 2)/1.2, 2)</f>
        <v>698.41</v>
      </c>
      <c r="Y503" s="9">
        <f t="shared" si="21"/>
        <v>25079.84</v>
      </c>
      <c r="AD503" s="4" t="s">
        <v>1561</v>
      </c>
      <c r="AE503" s="4" t="s">
        <v>1562</v>
      </c>
      <c r="AF503" s="4" t="s">
        <v>1549</v>
      </c>
    </row>
    <row r="504" spans="1:35" ht="36" x14ac:dyDescent="0.3">
      <c r="A504" s="10" t="s">
        <v>1563</v>
      </c>
      <c r="B504" s="10" t="s">
        <v>1564</v>
      </c>
      <c r="C504" s="11" t="s">
        <v>1565</v>
      </c>
      <c r="D504" s="12"/>
      <c r="E504" s="12"/>
      <c r="F504" s="12" t="s">
        <v>59</v>
      </c>
      <c r="G504" s="13">
        <v>1</v>
      </c>
      <c r="H504" s="13"/>
      <c r="I504" s="13">
        <v>0</v>
      </c>
      <c r="J504" s="14">
        <v>0</v>
      </c>
      <c r="K504" s="15">
        <v>837</v>
      </c>
      <c r="L504" s="14">
        <f>J504+ROUND(K504, 2)</f>
        <v>837</v>
      </c>
      <c r="M504" s="14">
        <v>0</v>
      </c>
      <c r="N504" s="14">
        <v>0</v>
      </c>
      <c r="O504" s="14">
        <f>M504+N504</f>
        <v>0</v>
      </c>
      <c r="P504" s="14">
        <v>1280.4000000000001</v>
      </c>
      <c r="Q504" s="15">
        <v>837</v>
      </c>
      <c r="R504" s="14">
        <f>P504+ROUND(Q504, 2)</f>
        <v>2117.4</v>
      </c>
      <c r="S504" s="14">
        <v>0</v>
      </c>
      <c r="T504" s="14">
        <v>0</v>
      </c>
      <c r="U504" s="14">
        <f>S504+T504</f>
        <v>0</v>
      </c>
      <c r="V504" s="9">
        <f>ROUND(P504 / 1.2, 2)</f>
        <v>1067</v>
      </c>
      <c r="W504" s="9">
        <f>ROUND(Q504 / 1.2, 2)</f>
        <v>697.5</v>
      </c>
      <c r="X504" s="9">
        <f>ROUND(R504 / 1.2, 2)</f>
        <v>1764.5</v>
      </c>
      <c r="Y504" s="9">
        <f t="shared" si="21"/>
        <v>0</v>
      </c>
      <c r="Z504" s="9">
        <f>ROUND(T504 / 1.2, 2)</f>
        <v>0</v>
      </c>
      <c r="AA504" s="9">
        <f>Y504+Z504</f>
        <v>0</v>
      </c>
      <c r="AD504" s="4">
        <v>315890059</v>
      </c>
      <c r="AE504" s="4">
        <v>27245723</v>
      </c>
      <c r="AG504" s="4" t="s">
        <v>1566</v>
      </c>
      <c r="AH504" s="4" t="s">
        <v>1567</v>
      </c>
      <c r="AI504" s="4" t="s">
        <v>224</v>
      </c>
    </row>
    <row r="505" spans="1:35" ht="18" x14ac:dyDescent="0.3">
      <c r="A505" s="10" t="s">
        <v>1568</v>
      </c>
      <c r="B505" s="10"/>
      <c r="C505" s="16" t="s">
        <v>1569</v>
      </c>
      <c r="D505" s="12"/>
      <c r="E505" s="12"/>
      <c r="F505" s="17" t="s">
        <v>59</v>
      </c>
      <c r="G505" s="18">
        <v>1.1000000000000001</v>
      </c>
      <c r="H505" s="22"/>
      <c r="I505" s="22">
        <v>0</v>
      </c>
      <c r="J505" s="19">
        <v>1164</v>
      </c>
      <c r="M505" s="20">
        <f>ROUND(ROUND(J505, 2)*I505, 2)</f>
        <v>0</v>
      </c>
      <c r="P505" s="19">
        <v>1164</v>
      </c>
      <c r="S505" s="20">
        <f>ROUND(ROUND(P505, 2)*I505, 2)</f>
        <v>0</v>
      </c>
      <c r="V505" s="9">
        <f>ROUND(ROUND(P505, 2)/1.2, 2)</f>
        <v>970</v>
      </c>
      <c r="Y505" s="9">
        <f t="shared" si="21"/>
        <v>0</v>
      </c>
      <c r="AD505" s="4" t="s">
        <v>1570</v>
      </c>
      <c r="AE505" s="4" t="s">
        <v>1571</v>
      </c>
      <c r="AF505" s="4" t="s">
        <v>1572</v>
      </c>
    </row>
    <row r="506" spans="1:35" ht="36" x14ac:dyDescent="0.3">
      <c r="A506" s="10" t="s">
        <v>1573</v>
      </c>
      <c r="B506" s="10" t="s">
        <v>1564</v>
      </c>
      <c r="C506" s="11" t="s">
        <v>1565</v>
      </c>
      <c r="D506" s="12"/>
      <c r="E506" s="12"/>
      <c r="F506" s="12" t="s">
        <v>59</v>
      </c>
      <c r="G506" s="13">
        <v>1</v>
      </c>
      <c r="H506" s="13"/>
      <c r="I506" s="13">
        <v>0</v>
      </c>
      <c r="J506" s="14">
        <v>0</v>
      </c>
      <c r="K506" s="15">
        <v>837</v>
      </c>
      <c r="L506" s="14">
        <f>J506+ROUND(K506, 2)</f>
        <v>837</v>
      </c>
      <c r="M506" s="14">
        <v>0</v>
      </c>
      <c r="N506" s="14">
        <v>0</v>
      </c>
      <c r="O506" s="14">
        <f>M506+N506</f>
        <v>0</v>
      </c>
      <c r="P506" s="14">
        <v>1280.4000000000001</v>
      </c>
      <c r="Q506" s="15">
        <v>837</v>
      </c>
      <c r="R506" s="14">
        <f>P506+ROUND(Q506, 2)</f>
        <v>2117.4</v>
      </c>
      <c r="S506" s="14">
        <v>0</v>
      </c>
      <c r="T506" s="14">
        <v>0</v>
      </c>
      <c r="U506" s="14">
        <f>S506+T506</f>
        <v>0</v>
      </c>
      <c r="V506" s="9">
        <f>ROUND(P506 / 1.2, 2)</f>
        <v>1067</v>
      </c>
      <c r="W506" s="9">
        <f>ROUND(Q506 / 1.2, 2)</f>
        <v>697.5</v>
      </c>
      <c r="X506" s="9">
        <f>ROUND(R506 / 1.2, 2)</f>
        <v>1764.5</v>
      </c>
      <c r="Y506" s="9">
        <f t="shared" si="21"/>
        <v>0</v>
      </c>
      <c r="Z506" s="9">
        <f>ROUND(T506 / 1.2, 2)</f>
        <v>0</v>
      </c>
      <c r="AA506" s="9">
        <f>Y506+Z506</f>
        <v>0</v>
      </c>
      <c r="AD506" s="4">
        <v>315890060</v>
      </c>
      <c r="AE506" s="4">
        <v>27245724</v>
      </c>
      <c r="AG506" s="4" t="s">
        <v>1566</v>
      </c>
      <c r="AH506" s="4" t="s">
        <v>1567</v>
      </c>
      <c r="AI506" s="4" t="s">
        <v>224</v>
      </c>
    </row>
    <row r="507" spans="1:35" ht="18" x14ac:dyDescent="0.3">
      <c r="A507" s="10" t="s">
        <v>1574</v>
      </c>
      <c r="B507" s="10"/>
      <c r="C507" s="16" t="s">
        <v>1569</v>
      </c>
      <c r="D507" s="12"/>
      <c r="E507" s="12"/>
      <c r="F507" s="17" t="s">
        <v>59</v>
      </c>
      <c r="G507" s="18">
        <v>1.1000000000000001</v>
      </c>
      <c r="H507" s="22"/>
      <c r="I507" s="22">
        <v>0</v>
      </c>
      <c r="J507" s="19">
        <v>1164</v>
      </c>
      <c r="M507" s="20">
        <f>ROUND(ROUND(J507, 2)*I507, 2)</f>
        <v>0</v>
      </c>
      <c r="P507" s="19">
        <v>1164</v>
      </c>
      <c r="S507" s="20">
        <f>ROUND(ROUND(P507, 2)*I507, 2)</f>
        <v>0</v>
      </c>
      <c r="V507" s="9">
        <f>ROUND(ROUND(P507, 2)/1.2, 2)</f>
        <v>970</v>
      </c>
      <c r="Y507" s="9">
        <f t="shared" si="21"/>
        <v>0</v>
      </c>
      <c r="AD507" s="4" t="s">
        <v>1575</v>
      </c>
      <c r="AE507" s="4" t="s">
        <v>1576</v>
      </c>
      <c r="AF507" s="4" t="s">
        <v>1572</v>
      </c>
    </row>
    <row r="508" spans="1:35" ht="36" x14ac:dyDescent="0.3">
      <c r="A508" s="10" t="s">
        <v>1577</v>
      </c>
      <c r="B508" s="10" t="s">
        <v>1564</v>
      </c>
      <c r="C508" s="11" t="s">
        <v>1565</v>
      </c>
      <c r="D508" s="12"/>
      <c r="E508" s="12"/>
      <c r="F508" s="12" t="s">
        <v>59</v>
      </c>
      <c r="G508" s="13">
        <v>1</v>
      </c>
      <c r="H508" s="13"/>
      <c r="I508" s="13">
        <v>0</v>
      </c>
      <c r="J508" s="14">
        <v>0</v>
      </c>
      <c r="K508" s="15">
        <v>837</v>
      </c>
      <c r="L508" s="14">
        <f>J508+ROUND(K508, 2)</f>
        <v>837</v>
      </c>
      <c r="M508" s="14">
        <v>0</v>
      </c>
      <c r="N508" s="14">
        <v>0</v>
      </c>
      <c r="O508" s="14">
        <f>M508+N508</f>
        <v>0</v>
      </c>
      <c r="P508" s="14">
        <v>1280.4000000000001</v>
      </c>
      <c r="Q508" s="15">
        <v>837</v>
      </c>
      <c r="R508" s="14">
        <f>P508+ROUND(Q508, 2)</f>
        <v>2117.4</v>
      </c>
      <c r="S508" s="14">
        <v>0</v>
      </c>
      <c r="T508" s="14">
        <v>0</v>
      </c>
      <c r="U508" s="14">
        <f>S508+T508</f>
        <v>0</v>
      </c>
      <c r="V508" s="9">
        <f>ROUND(P508 / 1.2, 2)</f>
        <v>1067</v>
      </c>
      <c r="W508" s="9">
        <f>ROUND(Q508 / 1.2, 2)</f>
        <v>697.5</v>
      </c>
      <c r="X508" s="9">
        <f>ROUND(R508 / 1.2, 2)</f>
        <v>1764.5</v>
      </c>
      <c r="Y508" s="9">
        <f t="shared" si="21"/>
        <v>0</v>
      </c>
      <c r="Z508" s="9">
        <f>ROUND(T508 / 1.2, 2)</f>
        <v>0</v>
      </c>
      <c r="AA508" s="9">
        <f>Y508+Z508</f>
        <v>0</v>
      </c>
      <c r="AD508" s="4">
        <v>315890061</v>
      </c>
      <c r="AE508" s="4">
        <v>27245725</v>
      </c>
      <c r="AG508" s="4" t="s">
        <v>1566</v>
      </c>
      <c r="AH508" s="4" t="s">
        <v>1567</v>
      </c>
      <c r="AI508" s="4" t="s">
        <v>224</v>
      </c>
    </row>
    <row r="509" spans="1:35" ht="18" x14ac:dyDescent="0.3">
      <c r="A509" s="10" t="s">
        <v>1578</v>
      </c>
      <c r="B509" s="10"/>
      <c r="C509" s="16" t="s">
        <v>1569</v>
      </c>
      <c r="D509" s="12"/>
      <c r="E509" s="12"/>
      <c r="F509" s="17" t="s">
        <v>59</v>
      </c>
      <c r="G509" s="18">
        <v>1.1000000000000001</v>
      </c>
      <c r="H509" s="22"/>
      <c r="I509" s="22">
        <v>0</v>
      </c>
      <c r="J509" s="19">
        <v>1164</v>
      </c>
      <c r="M509" s="20">
        <f>ROUND(ROUND(J509, 2)*I509, 2)</f>
        <v>0</v>
      </c>
      <c r="P509" s="19">
        <v>1164</v>
      </c>
      <c r="S509" s="20">
        <f>ROUND(ROUND(P509, 2)*I509, 2)</f>
        <v>0</v>
      </c>
      <c r="V509" s="9">
        <f>ROUND(ROUND(P509, 2)/1.2, 2)</f>
        <v>970</v>
      </c>
      <c r="Y509" s="9">
        <f t="shared" si="21"/>
        <v>0</v>
      </c>
      <c r="AD509" s="4" t="s">
        <v>1579</v>
      </c>
      <c r="AE509" s="4" t="s">
        <v>1580</v>
      </c>
      <c r="AF509" s="4" t="s">
        <v>1572</v>
      </c>
    </row>
    <row r="510" spans="1:35" ht="108" x14ac:dyDescent="0.3">
      <c r="A510" s="10" t="s">
        <v>1581</v>
      </c>
      <c r="B510" s="10" t="s">
        <v>1564</v>
      </c>
      <c r="C510" s="11" t="s">
        <v>1565</v>
      </c>
      <c r="D510" s="12"/>
      <c r="E510" s="12" t="s">
        <v>1582</v>
      </c>
      <c r="F510" s="12" t="s">
        <v>59</v>
      </c>
      <c r="G510" s="13">
        <v>1</v>
      </c>
      <c r="H510" s="13"/>
      <c r="I510" s="13">
        <v>6</v>
      </c>
      <c r="J510" s="14">
        <v>1280.4000000000001</v>
      </c>
      <c r="K510" s="15">
        <v>837</v>
      </c>
      <c r="L510" s="14">
        <f>J510+ROUND(K510, 2)</f>
        <v>2117.4</v>
      </c>
      <c r="M510" s="14">
        <v>7682.4</v>
      </c>
      <c r="N510" s="14">
        <v>5022</v>
      </c>
      <c r="O510" s="14">
        <f>M510+N510</f>
        <v>12704.4</v>
      </c>
      <c r="P510" s="14">
        <v>1280.4000000000001</v>
      </c>
      <c r="Q510" s="15">
        <v>1255.5</v>
      </c>
      <c r="R510" s="14">
        <f>P510+ROUND(Q510, 2)</f>
        <v>2535.9</v>
      </c>
      <c r="S510" s="14">
        <v>7682.4</v>
      </c>
      <c r="T510" s="14">
        <v>7533</v>
      </c>
      <c r="U510" s="14">
        <f>S510+T510</f>
        <v>15215.4</v>
      </c>
      <c r="V510" s="9">
        <f>ROUND(P510 / 1.2, 2)</f>
        <v>1067</v>
      </c>
      <c r="W510" s="9">
        <f>ROUND(Q510 / 1.2, 2)</f>
        <v>1046.25</v>
      </c>
      <c r="X510" s="9">
        <f>ROUND(R510 / 1.2, 2)</f>
        <v>2113.25</v>
      </c>
      <c r="Y510" s="9">
        <f t="shared" si="21"/>
        <v>6402</v>
      </c>
      <c r="Z510" s="9">
        <f>ROUND(T510 / 1.2, 2)</f>
        <v>6277.5</v>
      </c>
      <c r="AA510" s="9">
        <f>Y510+Z510</f>
        <v>12679.5</v>
      </c>
      <c r="AD510" s="4">
        <v>315890062</v>
      </c>
      <c r="AE510" s="4">
        <v>27245740</v>
      </c>
      <c r="AG510" s="4" t="s">
        <v>1566</v>
      </c>
      <c r="AH510" s="4" t="s">
        <v>1567</v>
      </c>
      <c r="AI510" s="4" t="s">
        <v>224</v>
      </c>
    </row>
    <row r="511" spans="1:35" ht="18" x14ac:dyDescent="0.3">
      <c r="A511" s="10" t="s">
        <v>1583</v>
      </c>
      <c r="B511" s="10"/>
      <c r="C511" s="16" t="s">
        <v>1569</v>
      </c>
      <c r="D511" s="12"/>
      <c r="E511" s="12"/>
      <c r="F511" s="17" t="s">
        <v>59</v>
      </c>
      <c r="G511" s="18">
        <v>1.1000000000000001</v>
      </c>
      <c r="H511" s="22"/>
      <c r="I511" s="22">
        <v>6.6</v>
      </c>
      <c r="J511" s="19">
        <v>1164</v>
      </c>
      <c r="M511" s="20">
        <f>ROUND(ROUND(J511, 2)*I511, 2)</f>
        <v>7682.4</v>
      </c>
      <c r="P511" s="19">
        <v>1164</v>
      </c>
      <c r="S511" s="20">
        <f>ROUND(ROUND(P511, 2)*I511, 2)</f>
        <v>7682.4</v>
      </c>
      <c r="V511" s="9">
        <f>ROUND(ROUND(P511, 2)/1.2, 2)</f>
        <v>970</v>
      </c>
      <c r="Y511" s="9">
        <f t="shared" si="21"/>
        <v>6402</v>
      </c>
      <c r="AD511" s="4" t="s">
        <v>1584</v>
      </c>
      <c r="AE511" s="4" t="s">
        <v>1585</v>
      </c>
      <c r="AF511" s="4" t="s">
        <v>1572</v>
      </c>
    </row>
    <row r="512" spans="1:35" ht="108" x14ac:dyDescent="0.3">
      <c r="A512" s="10" t="s">
        <v>1586</v>
      </c>
      <c r="B512" s="10" t="s">
        <v>1564</v>
      </c>
      <c r="C512" s="11" t="s">
        <v>1565</v>
      </c>
      <c r="D512" s="12"/>
      <c r="E512" s="12" t="s">
        <v>1587</v>
      </c>
      <c r="F512" s="12" t="s">
        <v>59</v>
      </c>
      <c r="G512" s="13">
        <v>1</v>
      </c>
      <c r="H512" s="13"/>
      <c r="I512" s="13">
        <v>1549.1</v>
      </c>
      <c r="J512" s="14">
        <v>1280.4000000000001</v>
      </c>
      <c r="K512" s="15">
        <v>837</v>
      </c>
      <c r="L512" s="14">
        <f>J512+ROUND(K512, 2)</f>
        <v>2117.4</v>
      </c>
      <c r="M512" s="14">
        <v>1983467.64</v>
      </c>
      <c r="N512" s="14">
        <v>1296596.7</v>
      </c>
      <c r="O512" s="14">
        <f>M512+N512</f>
        <v>3280064.34</v>
      </c>
      <c r="P512" s="14">
        <v>1280.4000000000001</v>
      </c>
      <c r="Q512" s="15">
        <v>1255.5</v>
      </c>
      <c r="R512" s="14">
        <f>P512+ROUND(Q512, 2)</f>
        <v>2535.9</v>
      </c>
      <c r="S512" s="14">
        <v>1983467.64</v>
      </c>
      <c r="T512" s="14">
        <v>1944895.05</v>
      </c>
      <c r="U512" s="14">
        <f>S512+T512</f>
        <v>3928362.69</v>
      </c>
      <c r="V512" s="9">
        <f>ROUND(P512 / 1.2, 2)</f>
        <v>1067</v>
      </c>
      <c r="W512" s="9">
        <f>ROUND(Q512 / 1.2, 2)</f>
        <v>1046.25</v>
      </c>
      <c r="X512" s="9">
        <f>ROUND(R512 / 1.2, 2)</f>
        <v>2113.25</v>
      </c>
      <c r="Y512" s="9">
        <f t="shared" si="21"/>
        <v>1652889.7</v>
      </c>
      <c r="Z512" s="9">
        <f>ROUND(T512 / 1.2, 2)</f>
        <v>1620745.88</v>
      </c>
      <c r="AA512" s="9">
        <f>Y512+Z512</f>
        <v>3273635.58</v>
      </c>
      <c r="AD512" s="4">
        <v>315890063</v>
      </c>
      <c r="AE512" s="4">
        <v>27245741</v>
      </c>
      <c r="AG512" s="4" t="s">
        <v>1566</v>
      </c>
      <c r="AH512" s="4" t="s">
        <v>1567</v>
      </c>
      <c r="AI512" s="4" t="s">
        <v>224</v>
      </c>
    </row>
    <row r="513" spans="1:35" ht="18" x14ac:dyDescent="0.3">
      <c r="A513" s="10" t="s">
        <v>1588</v>
      </c>
      <c r="B513" s="10"/>
      <c r="C513" s="16" t="s">
        <v>1569</v>
      </c>
      <c r="D513" s="12"/>
      <c r="E513" s="12" t="s">
        <v>1589</v>
      </c>
      <c r="F513" s="17" t="s">
        <v>59</v>
      </c>
      <c r="G513" s="18">
        <v>1.1000000000000001</v>
      </c>
      <c r="H513" s="22"/>
      <c r="I513" s="22">
        <v>1704.01</v>
      </c>
      <c r="J513" s="19">
        <v>1164</v>
      </c>
      <c r="M513" s="20">
        <f>ROUND(ROUND(J513, 2)*I513, 2)</f>
        <v>1983467.64</v>
      </c>
      <c r="P513" s="19">
        <v>1164</v>
      </c>
      <c r="S513" s="20">
        <f>ROUND(ROUND(P513, 2)*I513, 2)</f>
        <v>1983467.64</v>
      </c>
      <c r="V513" s="9">
        <f>ROUND(ROUND(P513, 2)/1.2, 2)</f>
        <v>970</v>
      </c>
      <c r="Y513" s="9">
        <f t="shared" si="21"/>
        <v>1652889.7</v>
      </c>
      <c r="AD513" s="4" t="s">
        <v>1590</v>
      </c>
      <c r="AE513" s="4" t="s">
        <v>1591</v>
      </c>
      <c r="AF513" s="4" t="s">
        <v>1572</v>
      </c>
    </row>
    <row r="514" spans="1:35" ht="108" x14ac:dyDescent="0.3">
      <c r="A514" s="10" t="s">
        <v>1592</v>
      </c>
      <c r="B514" s="10" t="s">
        <v>1564</v>
      </c>
      <c r="C514" s="11" t="s">
        <v>1565</v>
      </c>
      <c r="D514" s="12"/>
      <c r="E514" s="12" t="s">
        <v>1593</v>
      </c>
      <c r="F514" s="12" t="s">
        <v>59</v>
      </c>
      <c r="G514" s="13">
        <v>1</v>
      </c>
      <c r="H514" s="13"/>
      <c r="I514" s="13">
        <v>242</v>
      </c>
      <c r="J514" s="14">
        <v>1280.4000000000001</v>
      </c>
      <c r="K514" s="15">
        <v>837</v>
      </c>
      <c r="L514" s="14">
        <f>J514+ROUND(K514, 2)</f>
        <v>2117.4</v>
      </c>
      <c r="M514" s="14">
        <v>309856.8</v>
      </c>
      <c r="N514" s="14">
        <v>202554</v>
      </c>
      <c r="O514" s="14">
        <f>M514+N514</f>
        <v>512410.8</v>
      </c>
      <c r="P514" s="14">
        <v>1280.4000000000001</v>
      </c>
      <c r="Q514" s="15">
        <v>1255.5</v>
      </c>
      <c r="R514" s="14">
        <f>P514+ROUND(Q514, 2)</f>
        <v>2535.9</v>
      </c>
      <c r="S514" s="14">
        <v>309856.8</v>
      </c>
      <c r="T514" s="14">
        <v>303831</v>
      </c>
      <c r="U514" s="14">
        <f>S514+T514</f>
        <v>613687.80000000005</v>
      </c>
      <c r="V514" s="9">
        <f>ROUND(P514 / 1.2, 2)</f>
        <v>1067</v>
      </c>
      <c r="W514" s="9">
        <f>ROUND(Q514 / 1.2, 2)</f>
        <v>1046.25</v>
      </c>
      <c r="X514" s="9">
        <f>ROUND(R514 / 1.2, 2)</f>
        <v>2113.25</v>
      </c>
      <c r="Y514" s="9">
        <f t="shared" si="21"/>
        <v>258214</v>
      </c>
      <c r="Z514" s="9">
        <f>ROUND(T514 / 1.2, 2)</f>
        <v>253192.5</v>
      </c>
      <c r="AA514" s="9">
        <f>Y514+Z514</f>
        <v>511406.5</v>
      </c>
      <c r="AD514" s="4">
        <v>315890064</v>
      </c>
      <c r="AE514" s="4">
        <v>27245733</v>
      </c>
      <c r="AG514" s="4" t="s">
        <v>1566</v>
      </c>
      <c r="AH514" s="4" t="s">
        <v>1567</v>
      </c>
      <c r="AI514" s="4" t="s">
        <v>224</v>
      </c>
    </row>
    <row r="515" spans="1:35" ht="18" x14ac:dyDescent="0.3">
      <c r="A515" s="10" t="s">
        <v>1594</v>
      </c>
      <c r="B515" s="10"/>
      <c r="C515" s="16" t="s">
        <v>1569</v>
      </c>
      <c r="D515" s="12"/>
      <c r="E515" s="12"/>
      <c r="F515" s="17" t="s">
        <v>59</v>
      </c>
      <c r="G515" s="18">
        <v>1.1000000000000001</v>
      </c>
      <c r="H515" s="22"/>
      <c r="I515" s="22">
        <v>266.2</v>
      </c>
      <c r="J515" s="19">
        <v>1164</v>
      </c>
      <c r="M515" s="20">
        <f>ROUND(ROUND(J515, 2)*I515, 2)</f>
        <v>309856.8</v>
      </c>
      <c r="P515" s="19">
        <v>1164</v>
      </c>
      <c r="S515" s="20">
        <f>ROUND(ROUND(P515, 2)*I515, 2)</f>
        <v>309856.8</v>
      </c>
      <c r="V515" s="9">
        <f>ROUND(ROUND(P515, 2)/1.2, 2)</f>
        <v>970</v>
      </c>
      <c r="Y515" s="9">
        <f t="shared" si="21"/>
        <v>258214</v>
      </c>
      <c r="AD515" s="4" t="s">
        <v>1595</v>
      </c>
      <c r="AE515" s="4" t="s">
        <v>1596</v>
      </c>
      <c r="AF515" s="4" t="s">
        <v>1572</v>
      </c>
    </row>
    <row r="516" spans="1:35" ht="54" x14ac:dyDescent="0.3">
      <c r="A516" s="10" t="s">
        <v>1597</v>
      </c>
      <c r="B516" s="10" t="s">
        <v>1598</v>
      </c>
      <c r="C516" s="11" t="s">
        <v>1599</v>
      </c>
      <c r="D516" s="12"/>
      <c r="E516" s="12"/>
      <c r="F516" s="12" t="s">
        <v>59</v>
      </c>
      <c r="G516" s="13">
        <v>1</v>
      </c>
      <c r="H516" s="13"/>
      <c r="I516" s="13">
        <v>0</v>
      </c>
      <c r="J516" s="14">
        <v>0</v>
      </c>
      <c r="K516" s="15">
        <v>121</v>
      </c>
      <c r="L516" s="14">
        <f>J516+ROUND(K516, 2)</f>
        <v>121</v>
      </c>
      <c r="M516" s="14">
        <v>0</v>
      </c>
      <c r="N516" s="14">
        <v>0</v>
      </c>
      <c r="O516" s="14">
        <f>M516+N516</f>
        <v>0</v>
      </c>
      <c r="P516" s="14">
        <v>0</v>
      </c>
      <c r="Q516" s="15">
        <v>121</v>
      </c>
      <c r="R516" s="14">
        <f>P516+ROUND(Q516, 2)</f>
        <v>121</v>
      </c>
      <c r="S516" s="14">
        <v>0</v>
      </c>
      <c r="T516" s="14">
        <v>0</v>
      </c>
      <c r="U516" s="14">
        <f>S516+T516</f>
        <v>0</v>
      </c>
      <c r="V516" s="9"/>
      <c r="W516" s="9">
        <f t="shared" ref="W516:X518" si="22">ROUND(Q516 / 1.2, 2)</f>
        <v>100.83</v>
      </c>
      <c r="X516" s="9">
        <f t="shared" si="22"/>
        <v>100.83</v>
      </c>
      <c r="Y516" s="9"/>
      <c r="Z516" s="9">
        <f>ROUND(T516 / 1.2, 2)</f>
        <v>0</v>
      </c>
      <c r="AA516" s="9">
        <f>Y516+Z516</f>
        <v>0</v>
      </c>
      <c r="AD516" s="4">
        <v>315890066</v>
      </c>
      <c r="AE516" s="4">
        <v>27245659</v>
      </c>
      <c r="AG516" s="4" t="s">
        <v>1600</v>
      </c>
      <c r="AH516" s="4" t="s">
        <v>1601</v>
      </c>
      <c r="AI516" s="4" t="s">
        <v>224</v>
      </c>
    </row>
    <row r="517" spans="1:35" ht="54" x14ac:dyDescent="0.3">
      <c r="A517" s="10" t="s">
        <v>1602</v>
      </c>
      <c r="B517" s="10" t="s">
        <v>1598</v>
      </c>
      <c r="C517" s="11" t="s">
        <v>1599</v>
      </c>
      <c r="D517" s="12"/>
      <c r="E517" s="12"/>
      <c r="F517" s="12" t="s">
        <v>59</v>
      </c>
      <c r="G517" s="13">
        <v>1</v>
      </c>
      <c r="H517" s="13"/>
      <c r="I517" s="13">
        <v>2000</v>
      </c>
      <c r="J517" s="14">
        <v>0</v>
      </c>
      <c r="K517" s="15">
        <v>121</v>
      </c>
      <c r="L517" s="14">
        <f>J517+ROUND(K517, 2)</f>
        <v>121</v>
      </c>
      <c r="M517" s="14">
        <v>0</v>
      </c>
      <c r="N517" s="14">
        <v>242000</v>
      </c>
      <c r="O517" s="14">
        <f>M517+N517</f>
        <v>242000</v>
      </c>
      <c r="P517" s="14">
        <v>0</v>
      </c>
      <c r="Q517" s="15">
        <v>181.5</v>
      </c>
      <c r="R517" s="14">
        <f>P517+ROUND(Q517, 2)</f>
        <v>181.5</v>
      </c>
      <c r="S517" s="14">
        <v>0</v>
      </c>
      <c r="T517" s="14">
        <v>363000</v>
      </c>
      <c r="U517" s="14">
        <f>S517+T517</f>
        <v>363000</v>
      </c>
      <c r="V517" s="9"/>
      <c r="W517" s="9">
        <f t="shared" si="22"/>
        <v>151.25</v>
      </c>
      <c r="X517" s="9">
        <f t="shared" si="22"/>
        <v>151.25</v>
      </c>
      <c r="Y517" s="9"/>
      <c r="Z517" s="9">
        <f>ROUND(T517 / 1.2, 2)</f>
        <v>302500</v>
      </c>
      <c r="AA517" s="9">
        <f>Y517+Z517</f>
        <v>302500</v>
      </c>
      <c r="AD517" s="4">
        <v>315890067</v>
      </c>
      <c r="AE517" s="4">
        <v>27245660</v>
      </c>
      <c r="AG517" s="4" t="s">
        <v>1600</v>
      </c>
      <c r="AH517" s="4" t="s">
        <v>1601</v>
      </c>
      <c r="AI517" s="4" t="s">
        <v>224</v>
      </c>
    </row>
    <row r="518" spans="1:35" ht="36" x14ac:dyDescent="0.3">
      <c r="A518" s="10" t="s">
        <v>1603</v>
      </c>
      <c r="B518" s="10" t="s">
        <v>1604</v>
      </c>
      <c r="C518" s="11" t="s">
        <v>1605</v>
      </c>
      <c r="D518" s="12"/>
      <c r="E518" s="12"/>
      <c r="F518" s="12" t="s">
        <v>59</v>
      </c>
      <c r="G518" s="13">
        <v>1</v>
      </c>
      <c r="H518" s="13"/>
      <c r="I518" s="13">
        <v>0</v>
      </c>
      <c r="J518" s="14">
        <v>0</v>
      </c>
      <c r="K518" s="15">
        <v>1724</v>
      </c>
      <c r="L518" s="14">
        <f>J518+ROUND(K518, 2)</f>
        <v>1724</v>
      </c>
      <c r="M518" s="14">
        <v>0</v>
      </c>
      <c r="N518" s="14">
        <v>0</v>
      </c>
      <c r="O518" s="14">
        <f>M518+N518</f>
        <v>0</v>
      </c>
      <c r="P518" s="14">
        <v>1310</v>
      </c>
      <c r="Q518" s="15">
        <v>1724</v>
      </c>
      <c r="R518" s="14">
        <f>P518+ROUND(Q518, 2)</f>
        <v>3034</v>
      </c>
      <c r="S518" s="14">
        <v>0</v>
      </c>
      <c r="T518" s="14">
        <v>0</v>
      </c>
      <c r="U518" s="14">
        <f>S518+T518</f>
        <v>0</v>
      </c>
      <c r="V518" s="9">
        <f>ROUND(P518 / 1.2, 2)</f>
        <v>1091.67</v>
      </c>
      <c r="W518" s="9">
        <f t="shared" si="22"/>
        <v>1436.67</v>
      </c>
      <c r="X518" s="9">
        <f t="shared" si="22"/>
        <v>2528.33</v>
      </c>
      <c r="Y518" s="9">
        <f t="shared" ref="Y518:Y565" si="23">ROUND(S518 / 1.2, 2)</f>
        <v>0</v>
      </c>
      <c r="Z518" s="9">
        <f>ROUND(T518 / 1.2, 2)</f>
        <v>0</v>
      </c>
      <c r="AA518" s="9">
        <f>Y518+Z518</f>
        <v>0</v>
      </c>
      <c r="AD518" s="4">
        <v>315890069</v>
      </c>
      <c r="AE518" s="4">
        <v>27245626</v>
      </c>
      <c r="AG518" s="4" t="s">
        <v>1606</v>
      </c>
      <c r="AH518" s="4" t="s">
        <v>1607</v>
      </c>
      <c r="AI518" s="4" t="s">
        <v>224</v>
      </c>
    </row>
    <row r="519" spans="1:35" ht="36" x14ac:dyDescent="0.3">
      <c r="A519" s="10" t="s">
        <v>1608</v>
      </c>
      <c r="B519" s="10"/>
      <c r="C519" s="16" t="s">
        <v>1609</v>
      </c>
      <c r="D519" s="12"/>
      <c r="E519" s="12"/>
      <c r="F519" s="17" t="s">
        <v>59</v>
      </c>
      <c r="G519" s="18">
        <v>1</v>
      </c>
      <c r="H519" s="18"/>
      <c r="I519" s="18">
        <v>0</v>
      </c>
      <c r="J519" s="19">
        <v>0</v>
      </c>
      <c r="M519" s="20">
        <f>ROUND(ROUND(J519, 2)*I519, 2)</f>
        <v>0</v>
      </c>
      <c r="P519" s="19">
        <v>1310</v>
      </c>
      <c r="S519" s="20">
        <f>ROUND(ROUND(P519, 2)*I519, 2)</f>
        <v>0</v>
      </c>
      <c r="V519" s="9">
        <f>ROUND(ROUND(P519, 2)/1.2, 2)</f>
        <v>1091.67</v>
      </c>
      <c r="Y519" s="9">
        <f t="shared" si="23"/>
        <v>0</v>
      </c>
      <c r="AD519" s="4" t="s">
        <v>1610</v>
      </c>
      <c r="AE519" s="4" t="s">
        <v>1611</v>
      </c>
      <c r="AF519" s="4" t="s">
        <v>1612</v>
      </c>
    </row>
    <row r="520" spans="1:35" ht="108" x14ac:dyDescent="0.3">
      <c r="A520" s="10" t="s">
        <v>1613</v>
      </c>
      <c r="B520" s="10" t="s">
        <v>1604</v>
      </c>
      <c r="C520" s="11" t="s">
        <v>1605</v>
      </c>
      <c r="D520" s="12"/>
      <c r="E520" s="12" t="s">
        <v>1614</v>
      </c>
      <c r="F520" s="12" t="s">
        <v>59</v>
      </c>
      <c r="G520" s="13">
        <v>1</v>
      </c>
      <c r="H520" s="13"/>
      <c r="I520" s="13">
        <v>13.5</v>
      </c>
      <c r="J520" s="14">
        <v>0</v>
      </c>
      <c r="K520" s="15">
        <v>1724</v>
      </c>
      <c r="L520" s="14">
        <f>J520+ROUND(K520, 2)</f>
        <v>1724</v>
      </c>
      <c r="M520" s="14">
        <v>0</v>
      </c>
      <c r="N520" s="14">
        <v>23274</v>
      </c>
      <c r="O520" s="14">
        <f>M520+N520</f>
        <v>23274</v>
      </c>
      <c r="P520" s="14">
        <v>1310</v>
      </c>
      <c r="Q520" s="15">
        <v>2586</v>
      </c>
      <c r="R520" s="14">
        <f>P520+ROUND(Q520, 2)</f>
        <v>3896</v>
      </c>
      <c r="S520" s="14">
        <v>17685</v>
      </c>
      <c r="T520" s="14">
        <v>34911</v>
      </c>
      <c r="U520" s="14">
        <f>S520+T520</f>
        <v>52596</v>
      </c>
      <c r="V520" s="9">
        <f>ROUND(P520 / 1.2, 2)</f>
        <v>1091.67</v>
      </c>
      <c r="W520" s="9">
        <f>ROUND(Q520 / 1.2, 2)</f>
        <v>2155</v>
      </c>
      <c r="X520" s="9">
        <f>ROUND(R520 / 1.2, 2)</f>
        <v>3246.67</v>
      </c>
      <c r="Y520" s="9">
        <f t="shared" si="23"/>
        <v>14737.5</v>
      </c>
      <c r="Z520" s="9">
        <f>ROUND(T520 / 1.2, 2)</f>
        <v>29092.5</v>
      </c>
      <c r="AA520" s="9">
        <f>Y520+Z520</f>
        <v>43830</v>
      </c>
      <c r="AD520" s="4">
        <v>315890070</v>
      </c>
      <c r="AE520" s="4">
        <v>27245735</v>
      </c>
      <c r="AG520" s="4" t="s">
        <v>1606</v>
      </c>
      <c r="AH520" s="4" t="s">
        <v>1607</v>
      </c>
      <c r="AI520" s="4" t="s">
        <v>224</v>
      </c>
    </row>
    <row r="521" spans="1:35" ht="36" x14ac:dyDescent="0.3">
      <c r="A521" s="10" t="s">
        <v>1615</v>
      </c>
      <c r="B521" s="10"/>
      <c r="C521" s="16" t="s">
        <v>1609</v>
      </c>
      <c r="D521" s="12"/>
      <c r="E521" s="12"/>
      <c r="F521" s="17" t="s">
        <v>59</v>
      </c>
      <c r="G521" s="18">
        <v>1</v>
      </c>
      <c r="H521" s="18"/>
      <c r="I521" s="18">
        <v>13.5</v>
      </c>
      <c r="J521" s="19">
        <v>0</v>
      </c>
      <c r="M521" s="20">
        <f>ROUND(ROUND(J521, 2)*I521, 2)</f>
        <v>0</v>
      </c>
      <c r="P521" s="19">
        <v>1310</v>
      </c>
      <c r="S521" s="20">
        <f>ROUND(ROUND(P521, 2)*I521, 2)</f>
        <v>17685</v>
      </c>
      <c r="V521" s="9">
        <f>ROUND(ROUND(P521, 2)/1.2, 2)</f>
        <v>1091.67</v>
      </c>
      <c r="Y521" s="9">
        <f t="shared" si="23"/>
        <v>14737.5</v>
      </c>
      <c r="AD521" s="4" t="s">
        <v>1616</v>
      </c>
      <c r="AE521" s="4" t="s">
        <v>1617</v>
      </c>
      <c r="AF521" s="4" t="s">
        <v>1612</v>
      </c>
    </row>
    <row r="522" spans="1:35" ht="36" x14ac:dyDescent="0.3">
      <c r="A522" s="10" t="s">
        <v>1618</v>
      </c>
      <c r="B522" s="10" t="s">
        <v>1619</v>
      </c>
      <c r="C522" s="11" t="s">
        <v>1620</v>
      </c>
      <c r="D522" s="12"/>
      <c r="E522" s="12"/>
      <c r="F522" s="12" t="s">
        <v>59</v>
      </c>
      <c r="G522" s="13">
        <v>1</v>
      </c>
      <c r="H522" s="13"/>
      <c r="I522" s="13">
        <v>0</v>
      </c>
      <c r="J522" s="14">
        <v>0</v>
      </c>
      <c r="K522" s="15">
        <v>1379</v>
      </c>
      <c r="L522" s="14">
        <f>J522+ROUND(K522, 2)</f>
        <v>1379</v>
      </c>
      <c r="M522" s="14">
        <v>0</v>
      </c>
      <c r="N522" s="14">
        <v>0</v>
      </c>
      <c r="O522" s="14">
        <f>M522+N522</f>
        <v>0</v>
      </c>
      <c r="P522" s="14">
        <v>2076.5300000000002</v>
      </c>
      <c r="Q522" s="15">
        <v>1379</v>
      </c>
      <c r="R522" s="14">
        <f>P522+ROUND(Q522, 2)</f>
        <v>3455.53</v>
      </c>
      <c r="S522" s="14">
        <v>0</v>
      </c>
      <c r="T522" s="14">
        <v>0</v>
      </c>
      <c r="U522" s="14">
        <f>S522+T522</f>
        <v>0</v>
      </c>
      <c r="V522" s="9">
        <f>ROUND(P522 / 1.2, 2)</f>
        <v>1730.44</v>
      </c>
      <c r="W522" s="9">
        <f>ROUND(Q522 / 1.2, 2)</f>
        <v>1149.17</v>
      </c>
      <c r="X522" s="9">
        <f>ROUND(R522 / 1.2, 2)</f>
        <v>2879.61</v>
      </c>
      <c r="Y522" s="9">
        <f t="shared" si="23"/>
        <v>0</v>
      </c>
      <c r="Z522" s="9">
        <f>ROUND(T522 / 1.2, 2)</f>
        <v>0</v>
      </c>
      <c r="AA522" s="9">
        <f>Y522+Z522</f>
        <v>0</v>
      </c>
      <c r="AD522" s="4">
        <v>315890071</v>
      </c>
      <c r="AE522" s="4">
        <v>27245620</v>
      </c>
      <c r="AG522" s="4" t="s">
        <v>1621</v>
      </c>
      <c r="AH522" s="4" t="s">
        <v>1622</v>
      </c>
      <c r="AI522" s="4" t="s">
        <v>224</v>
      </c>
    </row>
    <row r="523" spans="1:35" ht="18" x14ac:dyDescent="0.3">
      <c r="A523" s="10" t="s">
        <v>1623</v>
      </c>
      <c r="B523" s="10"/>
      <c r="C523" s="16" t="s">
        <v>1624</v>
      </c>
      <c r="D523" s="12"/>
      <c r="E523" s="12"/>
      <c r="F523" s="17" t="s">
        <v>308</v>
      </c>
      <c r="G523" s="18">
        <v>15</v>
      </c>
      <c r="H523" s="18"/>
      <c r="I523" s="18">
        <v>0</v>
      </c>
      <c r="J523" s="19">
        <v>0.95</v>
      </c>
      <c r="M523" s="20">
        <f t="shared" ref="M523:M535" si="24">ROUND(ROUND(J523, 2)*I523, 2)</f>
        <v>0</v>
      </c>
      <c r="P523" s="19">
        <v>0.95</v>
      </c>
      <c r="S523" s="20">
        <f t="shared" ref="S523:S535" si="25">ROUND(ROUND(P523, 2)*I523, 2)</f>
        <v>0</v>
      </c>
      <c r="V523" s="9">
        <f t="shared" ref="V523:V535" si="26">ROUND(ROUND(P523, 2)/1.2, 2)</f>
        <v>0.79</v>
      </c>
      <c r="Y523" s="9">
        <f t="shared" si="23"/>
        <v>0</v>
      </c>
      <c r="AD523" s="4" t="s">
        <v>1625</v>
      </c>
      <c r="AE523" s="4" t="s">
        <v>1626</v>
      </c>
      <c r="AF523" s="4" t="s">
        <v>1627</v>
      </c>
    </row>
    <row r="524" spans="1:35" ht="18" x14ac:dyDescent="0.3">
      <c r="A524" s="10" t="s">
        <v>1628</v>
      </c>
      <c r="B524" s="10"/>
      <c r="C524" s="16" t="s">
        <v>1629</v>
      </c>
      <c r="D524" s="12"/>
      <c r="E524" s="12"/>
      <c r="F524" s="17" t="s">
        <v>308</v>
      </c>
      <c r="G524" s="18">
        <v>30</v>
      </c>
      <c r="H524" s="18"/>
      <c r="I524" s="18">
        <v>0</v>
      </c>
      <c r="J524" s="19">
        <v>0.28000000000000003</v>
      </c>
      <c r="M524" s="20">
        <f t="shared" si="24"/>
        <v>0</v>
      </c>
      <c r="P524" s="19">
        <v>0.28000000000000003</v>
      </c>
      <c r="S524" s="20">
        <f t="shared" si="25"/>
        <v>0</v>
      </c>
      <c r="V524" s="9">
        <f t="shared" si="26"/>
        <v>0.23</v>
      </c>
      <c r="Y524" s="9">
        <f t="shared" si="23"/>
        <v>0</v>
      </c>
      <c r="AD524" s="4" t="s">
        <v>1630</v>
      </c>
      <c r="AE524" s="4" t="s">
        <v>1631</v>
      </c>
      <c r="AF524" s="4" t="s">
        <v>1632</v>
      </c>
    </row>
    <row r="525" spans="1:35" ht="18" x14ac:dyDescent="0.3">
      <c r="A525" s="10" t="s">
        <v>1633</v>
      </c>
      <c r="B525" s="10"/>
      <c r="C525" s="16" t="s">
        <v>1634</v>
      </c>
      <c r="D525" s="12"/>
      <c r="E525" s="12"/>
      <c r="F525" s="17" t="s">
        <v>227</v>
      </c>
      <c r="G525" s="18">
        <v>0.35</v>
      </c>
      <c r="H525" s="18"/>
      <c r="I525" s="18">
        <v>0</v>
      </c>
      <c r="J525" s="19">
        <v>55</v>
      </c>
      <c r="M525" s="20">
        <f t="shared" si="24"/>
        <v>0</v>
      </c>
      <c r="P525" s="19">
        <v>55</v>
      </c>
      <c r="S525" s="20">
        <f t="shared" si="25"/>
        <v>0</v>
      </c>
      <c r="V525" s="9">
        <f t="shared" si="26"/>
        <v>45.83</v>
      </c>
      <c r="Y525" s="9">
        <f t="shared" si="23"/>
        <v>0</v>
      </c>
      <c r="AD525" s="4" t="s">
        <v>1635</v>
      </c>
      <c r="AE525" s="4" t="s">
        <v>1636</v>
      </c>
      <c r="AF525" s="4" t="s">
        <v>1637</v>
      </c>
    </row>
    <row r="526" spans="1:35" ht="18" x14ac:dyDescent="0.3">
      <c r="A526" s="10" t="s">
        <v>1638</v>
      </c>
      <c r="B526" s="10"/>
      <c r="C526" s="16" t="s">
        <v>1639</v>
      </c>
      <c r="D526" s="12"/>
      <c r="E526" s="12"/>
      <c r="F526" s="17" t="s">
        <v>308</v>
      </c>
      <c r="G526" s="18">
        <v>0.3</v>
      </c>
      <c r="H526" s="18"/>
      <c r="I526" s="18">
        <v>0</v>
      </c>
      <c r="J526" s="19">
        <v>5.6</v>
      </c>
      <c r="M526" s="20">
        <f t="shared" si="24"/>
        <v>0</v>
      </c>
      <c r="P526" s="19">
        <v>5.6</v>
      </c>
      <c r="S526" s="20">
        <f t="shared" si="25"/>
        <v>0</v>
      </c>
      <c r="V526" s="9">
        <f t="shared" si="26"/>
        <v>4.67</v>
      </c>
      <c r="Y526" s="9">
        <f t="shared" si="23"/>
        <v>0</v>
      </c>
      <c r="AD526" s="4" t="s">
        <v>1640</v>
      </c>
      <c r="AE526" s="4" t="s">
        <v>1641</v>
      </c>
      <c r="AF526" s="4" t="s">
        <v>1642</v>
      </c>
    </row>
    <row r="527" spans="1:35" ht="36" x14ac:dyDescent="0.3">
      <c r="A527" s="10" t="s">
        <v>1643</v>
      </c>
      <c r="B527" s="10"/>
      <c r="C527" s="21" t="s">
        <v>1644</v>
      </c>
      <c r="D527" s="12"/>
      <c r="E527" s="12"/>
      <c r="F527" s="17" t="s">
        <v>308</v>
      </c>
      <c r="G527" s="18">
        <v>3.6</v>
      </c>
      <c r="H527" s="18"/>
      <c r="I527" s="18">
        <v>0</v>
      </c>
      <c r="J527" s="19">
        <v>15.9</v>
      </c>
      <c r="M527" s="20">
        <f t="shared" si="24"/>
        <v>0</v>
      </c>
      <c r="P527" s="19">
        <v>15.9</v>
      </c>
      <c r="S527" s="20">
        <f t="shared" si="25"/>
        <v>0</v>
      </c>
      <c r="V527" s="9">
        <f t="shared" si="26"/>
        <v>13.25</v>
      </c>
      <c r="Y527" s="9">
        <f t="shared" si="23"/>
        <v>0</v>
      </c>
      <c r="AD527" s="4" t="s">
        <v>1645</v>
      </c>
      <c r="AE527" s="4" t="s">
        <v>1646</v>
      </c>
      <c r="AF527" s="4" t="s">
        <v>1647</v>
      </c>
    </row>
    <row r="528" spans="1:35" ht="18" x14ac:dyDescent="0.3">
      <c r="A528" s="10" t="s">
        <v>1648</v>
      </c>
      <c r="B528" s="10"/>
      <c r="C528" s="16" t="s">
        <v>1649</v>
      </c>
      <c r="D528" s="12"/>
      <c r="E528" s="12"/>
      <c r="F528" s="17" t="s">
        <v>76</v>
      </c>
      <c r="G528" s="18">
        <v>1.2</v>
      </c>
      <c r="H528" s="18"/>
      <c r="I528" s="18">
        <v>0</v>
      </c>
      <c r="J528" s="19">
        <v>22.82</v>
      </c>
      <c r="M528" s="20">
        <f t="shared" si="24"/>
        <v>0</v>
      </c>
      <c r="P528" s="19">
        <v>22.82</v>
      </c>
      <c r="S528" s="20">
        <f t="shared" si="25"/>
        <v>0</v>
      </c>
      <c r="V528" s="9">
        <f t="shared" si="26"/>
        <v>19.02</v>
      </c>
      <c r="Y528" s="9">
        <f t="shared" si="23"/>
        <v>0</v>
      </c>
      <c r="AD528" s="4" t="s">
        <v>1650</v>
      </c>
      <c r="AE528" s="4" t="s">
        <v>1651</v>
      </c>
      <c r="AF528" s="4" t="s">
        <v>1652</v>
      </c>
    </row>
    <row r="529" spans="1:35" ht="18" x14ac:dyDescent="0.3">
      <c r="A529" s="10" t="s">
        <v>1653</v>
      </c>
      <c r="B529" s="10"/>
      <c r="C529" s="16" t="s">
        <v>1654</v>
      </c>
      <c r="D529" s="12"/>
      <c r="E529" s="12"/>
      <c r="F529" s="17" t="s">
        <v>76</v>
      </c>
      <c r="G529" s="18">
        <v>4.7</v>
      </c>
      <c r="H529" s="18"/>
      <c r="I529" s="18">
        <v>0</v>
      </c>
      <c r="J529" s="19">
        <v>66.98</v>
      </c>
      <c r="M529" s="20">
        <f t="shared" si="24"/>
        <v>0</v>
      </c>
      <c r="P529" s="19">
        <v>66.98</v>
      </c>
      <c r="S529" s="20">
        <f t="shared" si="25"/>
        <v>0</v>
      </c>
      <c r="V529" s="9">
        <f t="shared" si="26"/>
        <v>55.82</v>
      </c>
      <c r="Y529" s="9">
        <f t="shared" si="23"/>
        <v>0</v>
      </c>
      <c r="AD529" s="4" t="s">
        <v>1655</v>
      </c>
      <c r="AE529" s="4" t="s">
        <v>1656</v>
      </c>
      <c r="AF529" s="4" t="s">
        <v>1657</v>
      </c>
    </row>
    <row r="530" spans="1:35" ht="18" x14ac:dyDescent="0.3">
      <c r="A530" s="10" t="s">
        <v>1658</v>
      </c>
      <c r="B530" s="10"/>
      <c r="C530" s="21" t="s">
        <v>1659</v>
      </c>
      <c r="D530" s="12"/>
      <c r="E530" s="12"/>
      <c r="F530" s="17" t="s">
        <v>308</v>
      </c>
      <c r="G530" s="18">
        <v>4.2</v>
      </c>
      <c r="H530" s="18"/>
      <c r="I530" s="18">
        <v>0</v>
      </c>
      <c r="J530" s="19">
        <v>4.92</v>
      </c>
      <c r="M530" s="20">
        <f t="shared" si="24"/>
        <v>0</v>
      </c>
      <c r="P530" s="19">
        <v>4.92</v>
      </c>
      <c r="S530" s="20">
        <f t="shared" si="25"/>
        <v>0</v>
      </c>
      <c r="V530" s="9">
        <f t="shared" si="26"/>
        <v>4.0999999999999996</v>
      </c>
      <c r="Y530" s="9">
        <f t="shared" si="23"/>
        <v>0</v>
      </c>
      <c r="AD530" s="4" t="s">
        <v>1660</v>
      </c>
      <c r="AE530" s="4" t="s">
        <v>1661</v>
      </c>
      <c r="AF530" s="4" t="s">
        <v>1662</v>
      </c>
    </row>
    <row r="531" spans="1:35" ht="18" x14ac:dyDescent="0.3">
      <c r="A531" s="10" t="s">
        <v>1663</v>
      </c>
      <c r="B531" s="10"/>
      <c r="C531" s="16" t="s">
        <v>1364</v>
      </c>
      <c r="D531" s="12"/>
      <c r="E531" s="12"/>
      <c r="F531" s="17" t="s">
        <v>59</v>
      </c>
      <c r="G531" s="18">
        <v>1.05</v>
      </c>
      <c r="H531" s="18"/>
      <c r="I531" s="18">
        <v>0</v>
      </c>
      <c r="J531" s="19">
        <v>0</v>
      </c>
      <c r="M531" s="20">
        <f t="shared" si="24"/>
        <v>0</v>
      </c>
      <c r="P531" s="19">
        <v>1520.33</v>
      </c>
      <c r="S531" s="20">
        <f t="shared" si="25"/>
        <v>0</v>
      </c>
      <c r="V531" s="9">
        <f t="shared" si="26"/>
        <v>1266.94</v>
      </c>
      <c r="Y531" s="9">
        <f t="shared" si="23"/>
        <v>0</v>
      </c>
      <c r="AD531" s="4" t="s">
        <v>1664</v>
      </c>
      <c r="AE531" s="4" t="s">
        <v>1665</v>
      </c>
      <c r="AF531" s="4" t="s">
        <v>1367</v>
      </c>
    </row>
    <row r="532" spans="1:35" ht="18" x14ac:dyDescent="0.3">
      <c r="A532" s="10" t="s">
        <v>1666</v>
      </c>
      <c r="B532" s="10"/>
      <c r="C532" s="16" t="s">
        <v>1667</v>
      </c>
      <c r="D532" s="12"/>
      <c r="E532" s="12"/>
      <c r="F532" s="17" t="s">
        <v>76</v>
      </c>
      <c r="G532" s="18">
        <v>1.05</v>
      </c>
      <c r="H532" s="18"/>
      <c r="I532" s="18">
        <v>0</v>
      </c>
      <c r="J532" s="19">
        <v>4.5999999999999996</v>
      </c>
      <c r="M532" s="20">
        <f t="shared" si="24"/>
        <v>0</v>
      </c>
      <c r="P532" s="19">
        <v>4.5999999999999996</v>
      </c>
      <c r="S532" s="20">
        <f t="shared" si="25"/>
        <v>0</v>
      </c>
      <c r="V532" s="9">
        <f t="shared" si="26"/>
        <v>3.83</v>
      </c>
      <c r="Y532" s="9">
        <f t="shared" si="23"/>
        <v>0</v>
      </c>
      <c r="AD532" s="4" t="s">
        <v>1668</v>
      </c>
      <c r="AE532" s="4" t="s">
        <v>1669</v>
      </c>
      <c r="AF532" s="4" t="s">
        <v>1670</v>
      </c>
    </row>
    <row r="533" spans="1:35" ht="18" x14ac:dyDescent="0.3">
      <c r="A533" s="10" t="s">
        <v>1671</v>
      </c>
      <c r="B533" s="10"/>
      <c r="C533" s="16" t="s">
        <v>1672</v>
      </c>
      <c r="D533" s="12"/>
      <c r="E533" s="12"/>
      <c r="F533" s="17" t="s">
        <v>76</v>
      </c>
      <c r="G533" s="18">
        <v>0.25</v>
      </c>
      <c r="H533" s="18"/>
      <c r="I533" s="18">
        <v>0</v>
      </c>
      <c r="J533" s="19">
        <v>2.8</v>
      </c>
      <c r="M533" s="20">
        <f t="shared" si="24"/>
        <v>0</v>
      </c>
      <c r="P533" s="19">
        <v>2.8</v>
      </c>
      <c r="S533" s="20">
        <f t="shared" si="25"/>
        <v>0</v>
      </c>
      <c r="V533" s="9">
        <f t="shared" si="26"/>
        <v>2.33</v>
      </c>
      <c r="Y533" s="9">
        <f t="shared" si="23"/>
        <v>0</v>
      </c>
      <c r="AD533" s="4" t="s">
        <v>1673</v>
      </c>
      <c r="AE533" s="4" t="s">
        <v>1674</v>
      </c>
      <c r="AF533" s="4" t="s">
        <v>1675</v>
      </c>
    </row>
    <row r="534" spans="1:35" ht="36" x14ac:dyDescent="0.3">
      <c r="A534" s="10" t="s">
        <v>1676</v>
      </c>
      <c r="B534" s="10"/>
      <c r="C534" s="16" t="s">
        <v>454</v>
      </c>
      <c r="D534" s="12"/>
      <c r="E534" s="12"/>
      <c r="F534" s="17" t="s">
        <v>227</v>
      </c>
      <c r="G534" s="18">
        <v>0.1</v>
      </c>
      <c r="H534" s="18"/>
      <c r="I534" s="18">
        <v>0</v>
      </c>
      <c r="J534" s="19">
        <v>88.8</v>
      </c>
      <c r="M534" s="20">
        <f t="shared" si="24"/>
        <v>0</v>
      </c>
      <c r="P534" s="19">
        <v>88.8</v>
      </c>
      <c r="S534" s="20">
        <f t="shared" si="25"/>
        <v>0</v>
      </c>
      <c r="V534" s="9">
        <f t="shared" si="26"/>
        <v>74</v>
      </c>
      <c r="Y534" s="9">
        <f t="shared" si="23"/>
        <v>0</v>
      </c>
      <c r="AD534" s="4" t="s">
        <v>1677</v>
      </c>
      <c r="AE534" s="4" t="s">
        <v>1678</v>
      </c>
      <c r="AF534" s="4" t="s">
        <v>457</v>
      </c>
    </row>
    <row r="535" spans="1:35" ht="18" x14ac:dyDescent="0.3">
      <c r="A535" s="10" t="s">
        <v>1679</v>
      </c>
      <c r="B535" s="10"/>
      <c r="C535" s="16" t="s">
        <v>1680</v>
      </c>
      <c r="D535" s="12"/>
      <c r="E535" s="12"/>
      <c r="F535" s="17" t="s">
        <v>308</v>
      </c>
      <c r="G535" s="18">
        <v>0.75</v>
      </c>
      <c r="H535" s="18"/>
      <c r="I535" s="18">
        <v>0</v>
      </c>
      <c r="J535" s="19">
        <v>2.8</v>
      </c>
      <c r="M535" s="20">
        <f t="shared" si="24"/>
        <v>0</v>
      </c>
      <c r="P535" s="19">
        <v>2.8</v>
      </c>
      <c r="S535" s="20">
        <f t="shared" si="25"/>
        <v>0</v>
      </c>
      <c r="V535" s="9">
        <f t="shared" si="26"/>
        <v>2.33</v>
      </c>
      <c r="Y535" s="9">
        <f t="shared" si="23"/>
        <v>0</v>
      </c>
      <c r="AD535" s="4" t="s">
        <v>1681</v>
      </c>
      <c r="AE535" s="4" t="s">
        <v>1682</v>
      </c>
      <c r="AF535" s="4" t="s">
        <v>1683</v>
      </c>
    </row>
    <row r="536" spans="1:35" ht="270" x14ac:dyDescent="0.3">
      <c r="A536" s="10" t="s">
        <v>1684</v>
      </c>
      <c r="B536" s="10" t="s">
        <v>1619</v>
      </c>
      <c r="C536" s="11" t="s">
        <v>1620</v>
      </c>
      <c r="D536" s="12"/>
      <c r="E536" s="12" t="s">
        <v>1685</v>
      </c>
      <c r="F536" s="12" t="s">
        <v>59</v>
      </c>
      <c r="G536" s="13">
        <v>1</v>
      </c>
      <c r="H536" s="13"/>
      <c r="I536" s="13">
        <v>921.3</v>
      </c>
      <c r="J536" s="14">
        <v>480.18</v>
      </c>
      <c r="K536" s="15">
        <v>1379</v>
      </c>
      <c r="L536" s="14">
        <f>J536+ROUND(K536, 2)</f>
        <v>1859.18</v>
      </c>
      <c r="M536" s="14">
        <v>442389.83</v>
      </c>
      <c r="N536" s="14">
        <v>1270472.7</v>
      </c>
      <c r="O536" s="14">
        <f>M536+N536</f>
        <v>1712862.53</v>
      </c>
      <c r="P536" s="14">
        <v>2076.5300000000002</v>
      </c>
      <c r="Q536" s="15">
        <v>2068.5</v>
      </c>
      <c r="R536" s="14">
        <f>P536+ROUND(Q536, 2)</f>
        <v>4145.0300000000007</v>
      </c>
      <c r="S536" s="14">
        <v>1913107.09</v>
      </c>
      <c r="T536" s="14">
        <v>1905709.05</v>
      </c>
      <c r="U536" s="14">
        <f>S536+T536</f>
        <v>3818816.14</v>
      </c>
      <c r="V536" s="9">
        <f>ROUND(P536 / 1.2, 2)</f>
        <v>1730.44</v>
      </c>
      <c r="W536" s="9">
        <f>ROUND(Q536 / 1.2, 2)</f>
        <v>1723.75</v>
      </c>
      <c r="X536" s="9">
        <f>ROUND(R536 / 1.2, 2)</f>
        <v>3454.19</v>
      </c>
      <c r="Y536" s="9">
        <f t="shared" si="23"/>
        <v>1594255.91</v>
      </c>
      <c r="Z536" s="9">
        <f>ROUND(T536 / 1.2, 2)</f>
        <v>1588090.8799999999</v>
      </c>
      <c r="AA536" s="9">
        <f>Y536+Z536</f>
        <v>3182346.79</v>
      </c>
      <c r="AD536" s="4">
        <v>315890072</v>
      </c>
      <c r="AE536" s="4">
        <v>27245737</v>
      </c>
      <c r="AG536" s="4" t="s">
        <v>1621</v>
      </c>
      <c r="AH536" s="4" t="s">
        <v>1622</v>
      </c>
      <c r="AI536" s="4" t="s">
        <v>224</v>
      </c>
    </row>
    <row r="537" spans="1:35" ht="18" x14ac:dyDescent="0.3">
      <c r="A537" s="10" t="s">
        <v>1686</v>
      </c>
      <c r="B537" s="10"/>
      <c r="C537" s="16" t="s">
        <v>1680</v>
      </c>
      <c r="D537" s="12"/>
      <c r="E537" s="12"/>
      <c r="F537" s="17" t="s">
        <v>308</v>
      </c>
      <c r="G537" s="18">
        <v>0.75</v>
      </c>
      <c r="H537" s="18"/>
      <c r="I537" s="18">
        <v>690.97500000000002</v>
      </c>
      <c r="J537" s="19">
        <v>2.8</v>
      </c>
      <c r="M537" s="20">
        <f t="shared" ref="M537:M549" si="27">ROUND(ROUND(J537, 2)*I537, 2)</f>
        <v>1934.73</v>
      </c>
      <c r="P537" s="19">
        <v>2.8</v>
      </c>
      <c r="S537" s="20">
        <f t="shared" ref="S537:S549" si="28">ROUND(ROUND(P537, 2)*I537, 2)</f>
        <v>1934.73</v>
      </c>
      <c r="V537" s="9">
        <f t="shared" ref="V537:V549" si="29">ROUND(ROUND(P537, 2)/1.2, 2)</f>
        <v>2.33</v>
      </c>
      <c r="Y537" s="9">
        <f t="shared" si="23"/>
        <v>1612.28</v>
      </c>
      <c r="AD537" s="4" t="s">
        <v>1687</v>
      </c>
      <c r="AE537" s="4" t="s">
        <v>1688</v>
      </c>
      <c r="AF537" s="4" t="s">
        <v>1683</v>
      </c>
    </row>
    <row r="538" spans="1:35" ht="36" x14ac:dyDescent="0.3">
      <c r="A538" s="10" t="s">
        <v>1689</v>
      </c>
      <c r="B538" s="10"/>
      <c r="C538" s="16" t="s">
        <v>454</v>
      </c>
      <c r="D538" s="12"/>
      <c r="E538" s="12"/>
      <c r="F538" s="17" t="s">
        <v>227</v>
      </c>
      <c r="G538" s="18">
        <v>0.1</v>
      </c>
      <c r="H538" s="18"/>
      <c r="I538" s="18">
        <v>92.13</v>
      </c>
      <c r="J538" s="19">
        <v>88.8</v>
      </c>
      <c r="M538" s="20">
        <f t="shared" si="27"/>
        <v>8181.14</v>
      </c>
      <c r="P538" s="19">
        <v>88.8</v>
      </c>
      <c r="S538" s="20">
        <f t="shared" si="28"/>
        <v>8181.14</v>
      </c>
      <c r="V538" s="9">
        <f t="shared" si="29"/>
        <v>74</v>
      </c>
      <c r="Y538" s="9">
        <f t="shared" si="23"/>
        <v>6817.62</v>
      </c>
      <c r="AD538" s="4" t="s">
        <v>1690</v>
      </c>
      <c r="AE538" s="4" t="s">
        <v>1691</v>
      </c>
      <c r="AF538" s="4" t="s">
        <v>457</v>
      </c>
    </row>
    <row r="539" spans="1:35" ht="18" x14ac:dyDescent="0.3">
      <c r="A539" s="10" t="s">
        <v>1692</v>
      </c>
      <c r="B539" s="10"/>
      <c r="C539" s="16" t="s">
        <v>1672</v>
      </c>
      <c r="D539" s="12"/>
      <c r="E539" s="12"/>
      <c r="F539" s="17" t="s">
        <v>76</v>
      </c>
      <c r="G539" s="18">
        <v>0.25</v>
      </c>
      <c r="H539" s="18"/>
      <c r="I539" s="18">
        <v>230.32499999999999</v>
      </c>
      <c r="J539" s="19">
        <v>2.8</v>
      </c>
      <c r="M539" s="20">
        <f t="shared" si="27"/>
        <v>644.91</v>
      </c>
      <c r="P539" s="19">
        <v>2.8</v>
      </c>
      <c r="S539" s="20">
        <f t="shared" si="28"/>
        <v>644.91</v>
      </c>
      <c r="V539" s="9">
        <f t="shared" si="29"/>
        <v>2.33</v>
      </c>
      <c r="Y539" s="9">
        <f t="shared" si="23"/>
        <v>537.42999999999995</v>
      </c>
      <c r="AD539" s="4" t="s">
        <v>1693</v>
      </c>
      <c r="AE539" s="4" t="s">
        <v>1694</v>
      </c>
      <c r="AF539" s="4" t="s">
        <v>1675</v>
      </c>
    </row>
    <row r="540" spans="1:35" ht="18" x14ac:dyDescent="0.3">
      <c r="A540" s="10" t="s">
        <v>1695</v>
      </c>
      <c r="B540" s="10"/>
      <c r="C540" s="16" t="s">
        <v>1667</v>
      </c>
      <c r="D540" s="12"/>
      <c r="E540" s="12"/>
      <c r="F540" s="17" t="s">
        <v>76</v>
      </c>
      <c r="G540" s="18">
        <v>1.05</v>
      </c>
      <c r="H540" s="18"/>
      <c r="I540" s="18">
        <v>967.36500000000001</v>
      </c>
      <c r="J540" s="19">
        <v>4.5999999999999996</v>
      </c>
      <c r="M540" s="20">
        <f t="shared" si="27"/>
        <v>4449.88</v>
      </c>
      <c r="P540" s="19">
        <v>4.5999999999999996</v>
      </c>
      <c r="S540" s="20">
        <f t="shared" si="28"/>
        <v>4449.88</v>
      </c>
      <c r="V540" s="9">
        <f t="shared" si="29"/>
        <v>3.83</v>
      </c>
      <c r="Y540" s="9">
        <f t="shared" si="23"/>
        <v>3708.23</v>
      </c>
      <c r="AD540" s="4" t="s">
        <v>1696</v>
      </c>
      <c r="AE540" s="4" t="s">
        <v>1697</v>
      </c>
      <c r="AF540" s="4" t="s">
        <v>1670</v>
      </c>
    </row>
    <row r="541" spans="1:35" ht="18" x14ac:dyDescent="0.3">
      <c r="A541" s="10" t="s">
        <v>1698</v>
      </c>
      <c r="B541" s="10"/>
      <c r="C541" s="16" t="s">
        <v>1364</v>
      </c>
      <c r="D541" s="12"/>
      <c r="E541" s="12"/>
      <c r="F541" s="17" t="s">
        <v>59</v>
      </c>
      <c r="G541" s="18">
        <v>1.05</v>
      </c>
      <c r="H541" s="18"/>
      <c r="I541" s="18">
        <v>967.36500000000001</v>
      </c>
      <c r="J541" s="19">
        <v>0</v>
      </c>
      <c r="M541" s="20">
        <f t="shared" si="27"/>
        <v>0</v>
      </c>
      <c r="P541" s="19">
        <v>1520.33</v>
      </c>
      <c r="S541" s="20">
        <f t="shared" si="28"/>
        <v>1470714.03</v>
      </c>
      <c r="V541" s="9">
        <f t="shared" si="29"/>
        <v>1266.94</v>
      </c>
      <c r="Y541" s="9">
        <f t="shared" si="23"/>
        <v>1225595.03</v>
      </c>
      <c r="AD541" s="4" t="s">
        <v>1699</v>
      </c>
      <c r="AE541" s="4" t="s">
        <v>1700</v>
      </c>
      <c r="AF541" s="4" t="s">
        <v>1367</v>
      </c>
    </row>
    <row r="542" spans="1:35" ht="18" x14ac:dyDescent="0.3">
      <c r="A542" s="10" t="s">
        <v>1701</v>
      </c>
      <c r="B542" s="10"/>
      <c r="C542" s="21" t="s">
        <v>1659</v>
      </c>
      <c r="D542" s="12"/>
      <c r="E542" s="12"/>
      <c r="F542" s="17" t="s">
        <v>308</v>
      </c>
      <c r="G542" s="18">
        <v>4.2</v>
      </c>
      <c r="H542" s="18"/>
      <c r="I542" s="18">
        <v>3869.46</v>
      </c>
      <c r="J542" s="19">
        <v>4.92</v>
      </c>
      <c r="M542" s="20">
        <f t="shared" si="27"/>
        <v>19037.740000000002</v>
      </c>
      <c r="P542" s="19">
        <v>4.92</v>
      </c>
      <c r="S542" s="20">
        <f t="shared" si="28"/>
        <v>19037.740000000002</v>
      </c>
      <c r="V542" s="9">
        <f t="shared" si="29"/>
        <v>4.0999999999999996</v>
      </c>
      <c r="Y542" s="9">
        <f t="shared" si="23"/>
        <v>15864.78</v>
      </c>
      <c r="AD542" s="4" t="s">
        <v>1702</v>
      </c>
      <c r="AE542" s="4" t="s">
        <v>1703</v>
      </c>
      <c r="AF542" s="4" t="s">
        <v>1662</v>
      </c>
    </row>
    <row r="543" spans="1:35" ht="18" x14ac:dyDescent="0.3">
      <c r="A543" s="10" t="s">
        <v>1704</v>
      </c>
      <c r="B543" s="10"/>
      <c r="C543" s="16" t="s">
        <v>1649</v>
      </c>
      <c r="D543" s="12"/>
      <c r="E543" s="12"/>
      <c r="F543" s="17" t="s">
        <v>76</v>
      </c>
      <c r="G543" s="18">
        <v>1.2</v>
      </c>
      <c r="H543" s="18"/>
      <c r="I543" s="18">
        <v>1105.56</v>
      </c>
      <c r="J543" s="19">
        <v>22.82</v>
      </c>
      <c r="M543" s="20">
        <f t="shared" si="27"/>
        <v>25228.880000000001</v>
      </c>
      <c r="P543" s="19">
        <v>22.82</v>
      </c>
      <c r="S543" s="20">
        <f t="shared" si="28"/>
        <v>25228.880000000001</v>
      </c>
      <c r="V543" s="9">
        <f t="shared" si="29"/>
        <v>19.02</v>
      </c>
      <c r="Y543" s="9">
        <f t="shared" si="23"/>
        <v>21024.07</v>
      </c>
      <c r="AD543" s="4" t="s">
        <v>1705</v>
      </c>
      <c r="AE543" s="4" t="s">
        <v>1706</v>
      </c>
      <c r="AF543" s="4" t="s">
        <v>1652</v>
      </c>
    </row>
    <row r="544" spans="1:35" ht="18" x14ac:dyDescent="0.3">
      <c r="A544" s="10" t="s">
        <v>1707</v>
      </c>
      <c r="B544" s="10"/>
      <c r="C544" s="16" t="s">
        <v>1654</v>
      </c>
      <c r="D544" s="12"/>
      <c r="E544" s="12"/>
      <c r="F544" s="17" t="s">
        <v>76</v>
      </c>
      <c r="G544" s="18">
        <v>4.7</v>
      </c>
      <c r="H544" s="18"/>
      <c r="I544" s="18">
        <v>4330.1099999999997</v>
      </c>
      <c r="J544" s="19">
        <v>66.98</v>
      </c>
      <c r="M544" s="20">
        <f t="shared" si="27"/>
        <v>290030.77</v>
      </c>
      <c r="P544" s="19">
        <v>66.98</v>
      </c>
      <c r="S544" s="20">
        <f t="shared" si="28"/>
        <v>290030.77</v>
      </c>
      <c r="V544" s="9">
        <f t="shared" si="29"/>
        <v>55.82</v>
      </c>
      <c r="Y544" s="9">
        <f t="shared" si="23"/>
        <v>241692.31</v>
      </c>
      <c r="AD544" s="4" t="s">
        <v>1708</v>
      </c>
      <c r="AE544" s="4" t="s">
        <v>1709</v>
      </c>
      <c r="AF544" s="4" t="s">
        <v>1657</v>
      </c>
    </row>
    <row r="545" spans="1:35" ht="36" x14ac:dyDescent="0.3">
      <c r="A545" s="10" t="s">
        <v>1710</v>
      </c>
      <c r="B545" s="10"/>
      <c r="C545" s="21" t="s">
        <v>1644</v>
      </c>
      <c r="D545" s="12"/>
      <c r="E545" s="12"/>
      <c r="F545" s="17" t="s">
        <v>308</v>
      </c>
      <c r="G545" s="18">
        <v>3.6</v>
      </c>
      <c r="H545" s="18"/>
      <c r="I545" s="18">
        <v>3316.68</v>
      </c>
      <c r="J545" s="19">
        <v>15.9</v>
      </c>
      <c r="M545" s="20">
        <f t="shared" si="27"/>
        <v>52735.21</v>
      </c>
      <c r="P545" s="19">
        <v>15.9</v>
      </c>
      <c r="S545" s="20">
        <f t="shared" si="28"/>
        <v>52735.21</v>
      </c>
      <c r="V545" s="9">
        <f t="shared" si="29"/>
        <v>13.25</v>
      </c>
      <c r="Y545" s="9">
        <f t="shared" si="23"/>
        <v>43946.01</v>
      </c>
      <c r="AD545" s="4" t="s">
        <v>1711</v>
      </c>
      <c r="AE545" s="4" t="s">
        <v>1712</v>
      </c>
      <c r="AF545" s="4" t="s">
        <v>1647</v>
      </c>
    </row>
    <row r="546" spans="1:35" ht="18" x14ac:dyDescent="0.3">
      <c r="A546" s="10" t="s">
        <v>1713</v>
      </c>
      <c r="B546" s="10"/>
      <c r="C546" s="16" t="s">
        <v>1639</v>
      </c>
      <c r="D546" s="12"/>
      <c r="E546" s="12"/>
      <c r="F546" s="17" t="s">
        <v>308</v>
      </c>
      <c r="G546" s="18">
        <v>0.3</v>
      </c>
      <c r="H546" s="18"/>
      <c r="I546" s="18">
        <v>276.39</v>
      </c>
      <c r="J546" s="19">
        <v>5.6</v>
      </c>
      <c r="M546" s="20">
        <f t="shared" si="27"/>
        <v>1547.78</v>
      </c>
      <c r="P546" s="19">
        <v>5.6</v>
      </c>
      <c r="S546" s="20">
        <f t="shared" si="28"/>
        <v>1547.78</v>
      </c>
      <c r="V546" s="9">
        <f t="shared" si="29"/>
        <v>4.67</v>
      </c>
      <c r="Y546" s="9">
        <f t="shared" si="23"/>
        <v>1289.82</v>
      </c>
      <c r="AD546" s="4" t="s">
        <v>1714</v>
      </c>
      <c r="AE546" s="4" t="s">
        <v>1715</v>
      </c>
      <c r="AF546" s="4" t="s">
        <v>1642</v>
      </c>
    </row>
    <row r="547" spans="1:35" ht="18" x14ac:dyDescent="0.3">
      <c r="A547" s="10" t="s">
        <v>1716</v>
      </c>
      <c r="B547" s="10"/>
      <c r="C547" s="16" t="s">
        <v>1634</v>
      </c>
      <c r="D547" s="12"/>
      <c r="E547" s="12"/>
      <c r="F547" s="17" t="s">
        <v>227</v>
      </c>
      <c r="G547" s="18">
        <v>0.35</v>
      </c>
      <c r="H547" s="18"/>
      <c r="I547" s="18">
        <v>322.45499999999998</v>
      </c>
      <c r="J547" s="19">
        <v>55</v>
      </c>
      <c r="M547" s="20">
        <f t="shared" si="27"/>
        <v>17735.03</v>
      </c>
      <c r="P547" s="19">
        <v>55</v>
      </c>
      <c r="S547" s="20">
        <f t="shared" si="28"/>
        <v>17735.03</v>
      </c>
      <c r="V547" s="9">
        <f t="shared" si="29"/>
        <v>45.83</v>
      </c>
      <c r="Y547" s="9">
        <f t="shared" si="23"/>
        <v>14779.19</v>
      </c>
      <c r="AD547" s="4" t="s">
        <v>1717</v>
      </c>
      <c r="AE547" s="4" t="s">
        <v>1718</v>
      </c>
      <c r="AF547" s="4" t="s">
        <v>1637</v>
      </c>
    </row>
    <row r="548" spans="1:35" ht="18" x14ac:dyDescent="0.3">
      <c r="A548" s="10" t="s">
        <v>1719</v>
      </c>
      <c r="B548" s="10"/>
      <c r="C548" s="16" t="s">
        <v>1629</v>
      </c>
      <c r="D548" s="12"/>
      <c r="E548" s="12"/>
      <c r="F548" s="17" t="s">
        <v>308</v>
      </c>
      <c r="G548" s="18">
        <v>30</v>
      </c>
      <c r="H548" s="18"/>
      <c r="I548" s="18">
        <v>27639</v>
      </c>
      <c r="J548" s="19">
        <v>0.28000000000000003</v>
      </c>
      <c r="M548" s="20">
        <f t="shared" si="27"/>
        <v>7738.92</v>
      </c>
      <c r="P548" s="19">
        <v>0.28000000000000003</v>
      </c>
      <c r="S548" s="20">
        <f t="shared" si="28"/>
        <v>7738.92</v>
      </c>
      <c r="V548" s="9">
        <f t="shared" si="29"/>
        <v>0.23</v>
      </c>
      <c r="Y548" s="9">
        <f t="shared" si="23"/>
        <v>6449.1</v>
      </c>
      <c r="AD548" s="4" t="s">
        <v>1720</v>
      </c>
      <c r="AE548" s="4" t="s">
        <v>1721</v>
      </c>
      <c r="AF548" s="4" t="s">
        <v>1632</v>
      </c>
    </row>
    <row r="549" spans="1:35" ht="18" x14ac:dyDescent="0.3">
      <c r="A549" s="10" t="s">
        <v>1722</v>
      </c>
      <c r="B549" s="10"/>
      <c r="C549" s="16" t="s">
        <v>1624</v>
      </c>
      <c r="D549" s="12"/>
      <c r="E549" s="12"/>
      <c r="F549" s="17" t="s">
        <v>308</v>
      </c>
      <c r="G549" s="18">
        <v>15</v>
      </c>
      <c r="H549" s="18"/>
      <c r="I549" s="18">
        <v>13819.5</v>
      </c>
      <c r="J549" s="19">
        <v>0.95</v>
      </c>
      <c r="M549" s="20">
        <f t="shared" si="27"/>
        <v>13128.53</v>
      </c>
      <c r="P549" s="19">
        <v>0.95</v>
      </c>
      <c r="S549" s="20">
        <f t="shared" si="28"/>
        <v>13128.53</v>
      </c>
      <c r="V549" s="9">
        <f t="shared" si="29"/>
        <v>0.79</v>
      </c>
      <c r="Y549" s="9">
        <f t="shared" si="23"/>
        <v>10940.44</v>
      </c>
      <c r="AD549" s="4" t="s">
        <v>1723</v>
      </c>
      <c r="AE549" s="4" t="s">
        <v>1724</v>
      </c>
      <c r="AF549" s="4" t="s">
        <v>1627</v>
      </c>
    </row>
    <row r="550" spans="1:35" ht="36" x14ac:dyDescent="0.3">
      <c r="A550" s="10" t="s">
        <v>1725</v>
      </c>
      <c r="B550" s="10" t="s">
        <v>1726</v>
      </c>
      <c r="C550" s="11" t="s">
        <v>1727</v>
      </c>
      <c r="D550" s="12"/>
      <c r="E550" s="12"/>
      <c r="F550" s="12" t="s">
        <v>59</v>
      </c>
      <c r="G550" s="13">
        <v>1</v>
      </c>
      <c r="H550" s="13"/>
      <c r="I550" s="13">
        <v>0</v>
      </c>
      <c r="J550" s="14">
        <v>0</v>
      </c>
      <c r="K550" s="15">
        <v>963</v>
      </c>
      <c r="L550" s="14">
        <f>J550+ROUND(K550, 2)</f>
        <v>963</v>
      </c>
      <c r="M550" s="14">
        <v>0</v>
      </c>
      <c r="N550" s="14">
        <v>0</v>
      </c>
      <c r="O550" s="14">
        <f>M550+N550</f>
        <v>0</v>
      </c>
      <c r="P550" s="14">
        <v>902.98</v>
      </c>
      <c r="Q550" s="15">
        <v>963</v>
      </c>
      <c r="R550" s="14">
        <f>P550+ROUND(Q550, 2)</f>
        <v>1865.98</v>
      </c>
      <c r="S550" s="14">
        <v>0</v>
      </c>
      <c r="T550" s="14">
        <v>0</v>
      </c>
      <c r="U550" s="14">
        <f>S550+T550</f>
        <v>0</v>
      </c>
      <c r="V550" s="9">
        <f>ROUND(P550 / 1.2, 2)</f>
        <v>752.48</v>
      </c>
      <c r="W550" s="9">
        <f>ROUND(Q550 / 1.2, 2)</f>
        <v>802.5</v>
      </c>
      <c r="X550" s="9">
        <f>ROUND(R550 / 1.2, 2)</f>
        <v>1554.98</v>
      </c>
      <c r="Y550" s="9">
        <f t="shared" si="23"/>
        <v>0</v>
      </c>
      <c r="Z550" s="9">
        <f>ROUND(T550 / 1.2, 2)</f>
        <v>0</v>
      </c>
      <c r="AA550" s="9">
        <f>Y550+Z550</f>
        <v>0</v>
      </c>
      <c r="AD550" s="4">
        <v>315890073</v>
      </c>
      <c r="AE550" s="4">
        <v>27245621</v>
      </c>
      <c r="AG550" s="4" t="s">
        <v>1728</v>
      </c>
      <c r="AH550" s="4" t="s">
        <v>1729</v>
      </c>
      <c r="AI550" s="4" t="s">
        <v>224</v>
      </c>
    </row>
    <row r="551" spans="1:35" ht="36" x14ac:dyDescent="0.3">
      <c r="A551" s="10" t="s">
        <v>1730</v>
      </c>
      <c r="B551" s="10"/>
      <c r="C551" s="21" t="s">
        <v>1731</v>
      </c>
      <c r="D551" s="12"/>
      <c r="E551" s="12"/>
      <c r="F551" s="17" t="s">
        <v>59</v>
      </c>
      <c r="G551" s="18">
        <v>1.1000000000000001</v>
      </c>
      <c r="H551" s="22"/>
      <c r="I551" s="22">
        <v>0</v>
      </c>
      <c r="J551" s="19">
        <v>820.89</v>
      </c>
      <c r="M551" s="20">
        <f>ROUND(ROUND(J551, 2)*I551, 2)</f>
        <v>0</v>
      </c>
      <c r="P551" s="19">
        <v>820.89</v>
      </c>
      <c r="S551" s="20">
        <f>ROUND(ROUND(P551, 2)*I551, 2)</f>
        <v>0</v>
      </c>
      <c r="V551" s="9">
        <f>ROUND(ROUND(P551, 2)/1.2, 2)</f>
        <v>684.08</v>
      </c>
      <c r="Y551" s="9">
        <f t="shared" si="23"/>
        <v>0</v>
      </c>
      <c r="AD551" s="4" t="s">
        <v>1732</v>
      </c>
      <c r="AE551" s="4" t="s">
        <v>1733</v>
      </c>
      <c r="AF551" s="4" t="s">
        <v>1734</v>
      </c>
    </row>
    <row r="552" spans="1:35" ht="36" x14ac:dyDescent="0.3">
      <c r="A552" s="10" t="s">
        <v>1735</v>
      </c>
      <c r="B552" s="10" t="s">
        <v>1726</v>
      </c>
      <c r="C552" s="11" t="s">
        <v>1727</v>
      </c>
      <c r="D552" s="12"/>
      <c r="E552" s="12"/>
      <c r="F552" s="12" t="s">
        <v>59</v>
      </c>
      <c r="G552" s="13">
        <v>1</v>
      </c>
      <c r="H552" s="13"/>
      <c r="I552" s="13">
        <v>0</v>
      </c>
      <c r="J552" s="14">
        <v>0</v>
      </c>
      <c r="K552" s="15">
        <v>963</v>
      </c>
      <c r="L552" s="14">
        <f>J552+ROUND(K552, 2)</f>
        <v>963</v>
      </c>
      <c r="M552" s="14">
        <v>0</v>
      </c>
      <c r="N552" s="14">
        <v>0</v>
      </c>
      <c r="O552" s="14">
        <f>M552+N552</f>
        <v>0</v>
      </c>
      <c r="P552" s="14">
        <v>855.89</v>
      </c>
      <c r="Q552" s="15">
        <v>963</v>
      </c>
      <c r="R552" s="14">
        <f>P552+ROUND(Q552, 2)</f>
        <v>1818.8899999999999</v>
      </c>
      <c r="S552" s="14">
        <v>0</v>
      </c>
      <c r="T552" s="14">
        <v>0</v>
      </c>
      <c r="U552" s="14">
        <f>S552+T552</f>
        <v>0</v>
      </c>
      <c r="V552" s="9">
        <f>ROUND(P552 / 1.2, 2)</f>
        <v>713.24</v>
      </c>
      <c r="W552" s="9">
        <f>ROUND(Q552 / 1.2, 2)</f>
        <v>802.5</v>
      </c>
      <c r="X552" s="9">
        <f>ROUND(R552 / 1.2, 2)</f>
        <v>1515.74</v>
      </c>
      <c r="Y552" s="9">
        <f t="shared" si="23"/>
        <v>0</v>
      </c>
      <c r="Z552" s="9">
        <f>ROUND(T552 / 1.2, 2)</f>
        <v>0</v>
      </c>
      <c r="AA552" s="9">
        <f>Y552+Z552</f>
        <v>0</v>
      </c>
      <c r="AD552" s="4">
        <v>315890074</v>
      </c>
      <c r="AE552" s="4">
        <v>27245622</v>
      </c>
      <c r="AG552" s="4" t="s">
        <v>1728</v>
      </c>
      <c r="AH552" s="4" t="s">
        <v>1729</v>
      </c>
      <c r="AI552" s="4" t="s">
        <v>224</v>
      </c>
    </row>
    <row r="553" spans="1:35" ht="18" x14ac:dyDescent="0.3">
      <c r="A553" s="10" t="s">
        <v>1736</v>
      </c>
      <c r="B553" s="10"/>
      <c r="C553" s="21" t="s">
        <v>1737</v>
      </c>
      <c r="D553" s="12"/>
      <c r="E553" s="12"/>
      <c r="F553" s="17" t="s">
        <v>59</v>
      </c>
      <c r="G553" s="18">
        <v>1.1000000000000001</v>
      </c>
      <c r="H553" s="22"/>
      <c r="I553" s="22">
        <v>0</v>
      </c>
      <c r="J553" s="19">
        <v>778.08</v>
      </c>
      <c r="M553" s="20">
        <f>ROUND(ROUND(J553, 2)*I553, 2)</f>
        <v>0</v>
      </c>
      <c r="P553" s="19">
        <v>778.08</v>
      </c>
      <c r="S553" s="20">
        <f>ROUND(ROUND(P553, 2)*I553, 2)</f>
        <v>0</v>
      </c>
      <c r="V553" s="9">
        <f>ROUND(ROUND(P553, 2)/1.2, 2)</f>
        <v>648.4</v>
      </c>
      <c r="Y553" s="9">
        <f t="shared" si="23"/>
        <v>0</v>
      </c>
      <c r="AD553" s="4" t="s">
        <v>1738</v>
      </c>
      <c r="AE553" s="4" t="s">
        <v>1739</v>
      </c>
      <c r="AF553" s="4" t="s">
        <v>1740</v>
      </c>
    </row>
    <row r="554" spans="1:35" ht="36" x14ac:dyDescent="0.3">
      <c r="A554" s="10" t="s">
        <v>1741</v>
      </c>
      <c r="B554" s="10" t="s">
        <v>1726</v>
      </c>
      <c r="C554" s="11" t="s">
        <v>1727</v>
      </c>
      <c r="D554" s="12"/>
      <c r="E554" s="12"/>
      <c r="F554" s="12" t="s">
        <v>59</v>
      </c>
      <c r="G554" s="13">
        <v>1</v>
      </c>
      <c r="H554" s="13"/>
      <c r="I554" s="13">
        <v>0</v>
      </c>
      <c r="J554" s="14">
        <v>0</v>
      </c>
      <c r="K554" s="15">
        <v>963</v>
      </c>
      <c r="L554" s="14">
        <f>J554+ROUND(K554, 2)</f>
        <v>963</v>
      </c>
      <c r="M554" s="14">
        <v>0</v>
      </c>
      <c r="N554" s="14">
        <v>0</v>
      </c>
      <c r="O554" s="14">
        <f>M554+N554</f>
        <v>0</v>
      </c>
      <c r="P554" s="14">
        <v>855.89</v>
      </c>
      <c r="Q554" s="15">
        <v>963</v>
      </c>
      <c r="R554" s="14">
        <f>P554+ROUND(Q554, 2)</f>
        <v>1818.8899999999999</v>
      </c>
      <c r="S554" s="14">
        <v>0</v>
      </c>
      <c r="T554" s="14">
        <v>0</v>
      </c>
      <c r="U554" s="14">
        <f>S554+T554</f>
        <v>0</v>
      </c>
      <c r="V554" s="9">
        <f>ROUND(P554 / 1.2, 2)</f>
        <v>713.24</v>
      </c>
      <c r="W554" s="9">
        <f>ROUND(Q554 / 1.2, 2)</f>
        <v>802.5</v>
      </c>
      <c r="X554" s="9">
        <f>ROUND(R554 / 1.2, 2)</f>
        <v>1515.74</v>
      </c>
      <c r="Y554" s="9">
        <f t="shared" si="23"/>
        <v>0</v>
      </c>
      <c r="Z554" s="9">
        <f>ROUND(T554 / 1.2, 2)</f>
        <v>0</v>
      </c>
      <c r="AA554" s="9">
        <f>Y554+Z554</f>
        <v>0</v>
      </c>
      <c r="AD554" s="4">
        <v>315890075</v>
      </c>
      <c r="AE554" s="4">
        <v>27245623</v>
      </c>
      <c r="AG554" s="4" t="s">
        <v>1728</v>
      </c>
      <c r="AH554" s="4" t="s">
        <v>1729</v>
      </c>
      <c r="AI554" s="4" t="s">
        <v>224</v>
      </c>
    </row>
    <row r="555" spans="1:35" ht="18" x14ac:dyDescent="0.3">
      <c r="A555" s="10" t="s">
        <v>1742</v>
      </c>
      <c r="B555" s="10"/>
      <c r="C555" s="21" t="s">
        <v>1737</v>
      </c>
      <c r="D555" s="12"/>
      <c r="E555" s="12"/>
      <c r="F555" s="17" t="s">
        <v>59</v>
      </c>
      <c r="G555" s="18">
        <v>1.1000000000000001</v>
      </c>
      <c r="H555" s="22"/>
      <c r="I555" s="22">
        <v>0</v>
      </c>
      <c r="J555" s="19">
        <v>778.08</v>
      </c>
      <c r="M555" s="20">
        <f>ROUND(ROUND(J555, 2)*I555, 2)</f>
        <v>0</v>
      </c>
      <c r="P555" s="19">
        <v>778.08</v>
      </c>
      <c r="S555" s="20">
        <f>ROUND(ROUND(P555, 2)*I555, 2)</f>
        <v>0</v>
      </c>
      <c r="V555" s="9">
        <f>ROUND(ROUND(P555, 2)/1.2, 2)</f>
        <v>648.4</v>
      </c>
      <c r="Y555" s="9">
        <f t="shared" si="23"/>
        <v>0</v>
      </c>
      <c r="AD555" s="4" t="s">
        <v>1743</v>
      </c>
      <c r="AE555" s="4" t="s">
        <v>1744</v>
      </c>
      <c r="AF555" s="4" t="s">
        <v>1740</v>
      </c>
    </row>
    <row r="556" spans="1:35" ht="36" x14ac:dyDescent="0.3">
      <c r="A556" s="10" t="s">
        <v>1745</v>
      </c>
      <c r="B556" s="10" t="s">
        <v>1726</v>
      </c>
      <c r="C556" s="11" t="s">
        <v>1727</v>
      </c>
      <c r="D556" s="12"/>
      <c r="E556" s="12"/>
      <c r="F556" s="12" t="s">
        <v>59</v>
      </c>
      <c r="G556" s="13">
        <v>1</v>
      </c>
      <c r="H556" s="13"/>
      <c r="I556" s="13">
        <v>0</v>
      </c>
      <c r="J556" s="14">
        <v>0</v>
      </c>
      <c r="K556" s="15">
        <v>963</v>
      </c>
      <c r="L556" s="14">
        <f>J556+ROUND(K556, 2)</f>
        <v>963</v>
      </c>
      <c r="M556" s="14">
        <v>0</v>
      </c>
      <c r="N556" s="14">
        <v>0</v>
      </c>
      <c r="O556" s="14">
        <f>M556+N556</f>
        <v>0</v>
      </c>
      <c r="P556" s="14">
        <v>855</v>
      </c>
      <c r="Q556" s="15">
        <v>963</v>
      </c>
      <c r="R556" s="14">
        <f>P556+ROUND(Q556, 2)</f>
        <v>1818</v>
      </c>
      <c r="S556" s="14">
        <v>0</v>
      </c>
      <c r="T556" s="14">
        <v>0</v>
      </c>
      <c r="U556" s="14">
        <f>S556+T556</f>
        <v>0</v>
      </c>
      <c r="V556" s="9">
        <f>ROUND(P556 / 1.2, 2)</f>
        <v>712.5</v>
      </c>
      <c r="W556" s="9">
        <f>ROUND(Q556 / 1.2, 2)</f>
        <v>802.5</v>
      </c>
      <c r="X556" s="9">
        <f>ROUND(R556 / 1.2, 2)</f>
        <v>1515</v>
      </c>
      <c r="Y556" s="9">
        <f t="shared" si="23"/>
        <v>0</v>
      </c>
      <c r="Z556" s="9">
        <f>ROUND(T556 / 1.2, 2)</f>
        <v>0</v>
      </c>
      <c r="AA556" s="9">
        <f>Y556+Z556</f>
        <v>0</v>
      </c>
      <c r="AD556" s="4">
        <v>315890076</v>
      </c>
      <c r="AE556" s="4">
        <v>27245624</v>
      </c>
      <c r="AG556" s="4" t="s">
        <v>1728</v>
      </c>
      <c r="AH556" s="4" t="s">
        <v>1729</v>
      </c>
      <c r="AI556" s="4" t="s">
        <v>224</v>
      </c>
    </row>
    <row r="557" spans="1:35" ht="18" x14ac:dyDescent="0.3">
      <c r="A557" s="10" t="s">
        <v>1746</v>
      </c>
      <c r="B557" s="10"/>
      <c r="C557" s="16" t="s">
        <v>1747</v>
      </c>
      <c r="D557" s="12"/>
      <c r="E557" s="12"/>
      <c r="F557" s="17" t="s">
        <v>59</v>
      </c>
      <c r="G557" s="18">
        <v>1</v>
      </c>
      <c r="H557" s="22"/>
      <c r="I557" s="22">
        <v>0</v>
      </c>
      <c r="J557" s="19">
        <v>0</v>
      </c>
      <c r="M557" s="20">
        <f>ROUND(ROUND(J557, 2)*I557, 2)</f>
        <v>0</v>
      </c>
      <c r="P557" s="19">
        <v>855</v>
      </c>
      <c r="S557" s="20">
        <f>ROUND(ROUND(P557, 2)*I557, 2)</f>
        <v>0</v>
      </c>
      <c r="V557" s="9">
        <f>ROUND(ROUND(P557, 2)/1.2, 2)</f>
        <v>712.5</v>
      </c>
      <c r="Y557" s="9">
        <f t="shared" si="23"/>
        <v>0</v>
      </c>
      <c r="AD557" s="4" t="s">
        <v>1748</v>
      </c>
      <c r="AE557" s="4" t="s">
        <v>1749</v>
      </c>
      <c r="AF557" s="4" t="s">
        <v>1750</v>
      </c>
    </row>
    <row r="558" spans="1:35" ht="54" x14ac:dyDescent="0.3">
      <c r="A558" s="10" t="s">
        <v>1751</v>
      </c>
      <c r="B558" s="10" t="s">
        <v>1726</v>
      </c>
      <c r="C558" s="11" t="s">
        <v>1727</v>
      </c>
      <c r="D558" s="12"/>
      <c r="E558" s="12" t="s">
        <v>1752</v>
      </c>
      <c r="F558" s="12" t="s">
        <v>59</v>
      </c>
      <c r="G558" s="13">
        <v>1</v>
      </c>
      <c r="H558" s="13"/>
      <c r="I558" s="13">
        <v>716.1</v>
      </c>
      <c r="J558" s="14">
        <v>902.99</v>
      </c>
      <c r="K558" s="15">
        <v>963</v>
      </c>
      <c r="L558" s="14">
        <f>J558+ROUND(K558, 2)</f>
        <v>1865.99</v>
      </c>
      <c r="M558" s="14">
        <v>646631.14</v>
      </c>
      <c r="N558" s="14">
        <v>689604.3</v>
      </c>
      <c r="O558" s="14">
        <f>M558+N558</f>
        <v>1336235.44</v>
      </c>
      <c r="P558" s="14">
        <v>902.98</v>
      </c>
      <c r="Q558" s="15">
        <v>1444.5</v>
      </c>
      <c r="R558" s="14">
        <f>P558+ROUND(Q558, 2)</f>
        <v>2347.48</v>
      </c>
      <c r="S558" s="14">
        <v>646623.98</v>
      </c>
      <c r="T558" s="14">
        <v>1034406.45</v>
      </c>
      <c r="U558" s="14">
        <f>S558+T558</f>
        <v>1681030.43</v>
      </c>
      <c r="V558" s="9">
        <f>ROUND(P558 / 1.2, 2)</f>
        <v>752.48</v>
      </c>
      <c r="W558" s="9">
        <f>ROUND(Q558 / 1.2, 2)</f>
        <v>1203.75</v>
      </c>
      <c r="X558" s="9">
        <f>ROUND(R558 / 1.2, 2)</f>
        <v>1956.23</v>
      </c>
      <c r="Y558" s="9">
        <f t="shared" si="23"/>
        <v>538853.31999999995</v>
      </c>
      <c r="Z558" s="9">
        <f>ROUND(T558 / 1.2, 2)</f>
        <v>862005.38</v>
      </c>
      <c r="AA558" s="9">
        <f>Y558+Z558</f>
        <v>1400858.7</v>
      </c>
      <c r="AD558" s="4">
        <v>315890077</v>
      </c>
      <c r="AE558" s="4">
        <v>27245738</v>
      </c>
      <c r="AG558" s="4" t="s">
        <v>1728</v>
      </c>
      <c r="AH558" s="4" t="s">
        <v>1729</v>
      </c>
      <c r="AI558" s="4" t="s">
        <v>224</v>
      </c>
    </row>
    <row r="559" spans="1:35" ht="36" x14ac:dyDescent="0.3">
      <c r="A559" s="10" t="s">
        <v>1753</v>
      </c>
      <c r="B559" s="10"/>
      <c r="C559" s="21" t="s">
        <v>1731</v>
      </c>
      <c r="D559" s="12"/>
      <c r="E559" s="12"/>
      <c r="F559" s="17" t="s">
        <v>59</v>
      </c>
      <c r="G559" s="18">
        <v>1.1000000000000001</v>
      </c>
      <c r="H559" s="22"/>
      <c r="I559" s="22">
        <v>787.71</v>
      </c>
      <c r="J559" s="19">
        <v>820.9</v>
      </c>
      <c r="M559" s="20">
        <f>ROUND(ROUND(J559, 2)*I559, 2)</f>
        <v>646631.14</v>
      </c>
      <c r="P559" s="19">
        <v>820.89</v>
      </c>
      <c r="S559" s="20">
        <f>ROUND(ROUND(P559, 2)*I559, 2)</f>
        <v>646623.26</v>
      </c>
      <c r="V559" s="9">
        <f>ROUND(ROUND(P559, 2)/1.2, 2)</f>
        <v>684.08</v>
      </c>
      <c r="Y559" s="9">
        <f t="shared" si="23"/>
        <v>538852.72</v>
      </c>
      <c r="AD559" s="4" t="s">
        <v>1754</v>
      </c>
      <c r="AE559" s="4" t="s">
        <v>1755</v>
      </c>
      <c r="AF559" s="4" t="s">
        <v>1734</v>
      </c>
    </row>
    <row r="560" spans="1:35" ht="72" x14ac:dyDescent="0.3">
      <c r="A560" s="10" t="s">
        <v>1756</v>
      </c>
      <c r="B560" s="10" t="s">
        <v>1726</v>
      </c>
      <c r="C560" s="11" t="s">
        <v>1727</v>
      </c>
      <c r="D560" s="12"/>
      <c r="E560" s="12" t="s">
        <v>1757</v>
      </c>
      <c r="F560" s="12" t="s">
        <v>59</v>
      </c>
      <c r="G560" s="13">
        <v>1</v>
      </c>
      <c r="H560" s="13"/>
      <c r="I560" s="13">
        <v>1176</v>
      </c>
      <c r="J560" s="14">
        <v>855.89</v>
      </c>
      <c r="K560" s="15">
        <v>963</v>
      </c>
      <c r="L560" s="14">
        <f>J560+ROUND(K560, 2)</f>
        <v>1818.8899999999999</v>
      </c>
      <c r="M560" s="14">
        <v>1006526.64</v>
      </c>
      <c r="N560" s="14">
        <v>1132488</v>
      </c>
      <c r="O560" s="14">
        <f>M560+N560</f>
        <v>2139014.64</v>
      </c>
      <c r="P560" s="14">
        <v>855.89</v>
      </c>
      <c r="Q560" s="15">
        <v>1444.5</v>
      </c>
      <c r="R560" s="14">
        <f>P560+ROUND(Q560, 2)</f>
        <v>2300.39</v>
      </c>
      <c r="S560" s="14">
        <v>1006526.64</v>
      </c>
      <c r="T560" s="14">
        <v>1698732</v>
      </c>
      <c r="U560" s="14">
        <f>S560+T560</f>
        <v>2705258.64</v>
      </c>
      <c r="V560" s="9">
        <f>ROUND(P560 / 1.2, 2)</f>
        <v>713.24</v>
      </c>
      <c r="W560" s="9">
        <f>ROUND(Q560 / 1.2, 2)</f>
        <v>1203.75</v>
      </c>
      <c r="X560" s="9">
        <f>ROUND(R560 / 1.2, 2)</f>
        <v>1916.99</v>
      </c>
      <c r="Y560" s="9">
        <f t="shared" si="23"/>
        <v>838772.2</v>
      </c>
      <c r="Z560" s="9">
        <f>ROUND(T560 / 1.2, 2)</f>
        <v>1415610</v>
      </c>
      <c r="AA560" s="9">
        <f>Y560+Z560</f>
        <v>2254382.2000000002</v>
      </c>
      <c r="AD560" s="4">
        <v>315890078</v>
      </c>
      <c r="AE560" s="4">
        <v>27245739</v>
      </c>
      <c r="AG560" s="4" t="s">
        <v>1728</v>
      </c>
      <c r="AH560" s="4" t="s">
        <v>1729</v>
      </c>
      <c r="AI560" s="4" t="s">
        <v>224</v>
      </c>
    </row>
    <row r="561" spans="1:35" ht="18" x14ac:dyDescent="0.3">
      <c r="A561" s="10" t="s">
        <v>1758</v>
      </c>
      <c r="B561" s="10"/>
      <c r="C561" s="21" t="s">
        <v>1737</v>
      </c>
      <c r="D561" s="12"/>
      <c r="E561" s="12"/>
      <c r="F561" s="17" t="s">
        <v>59</v>
      </c>
      <c r="G561" s="18">
        <v>1.1000000000000001</v>
      </c>
      <c r="H561" s="22"/>
      <c r="I561" s="22">
        <v>1293.5999999999999</v>
      </c>
      <c r="J561" s="19">
        <v>778.08</v>
      </c>
      <c r="M561" s="20">
        <f>ROUND(ROUND(J561, 2)*I561, 2)</f>
        <v>1006524.29</v>
      </c>
      <c r="P561" s="19">
        <v>778.08</v>
      </c>
      <c r="S561" s="20">
        <f>ROUND(ROUND(P561, 2)*I561, 2)</f>
        <v>1006524.29</v>
      </c>
      <c r="V561" s="9">
        <f>ROUND(ROUND(P561, 2)/1.2, 2)</f>
        <v>648.4</v>
      </c>
      <c r="Y561" s="9">
        <f t="shared" si="23"/>
        <v>838770.24</v>
      </c>
      <c r="AD561" s="4" t="s">
        <v>1759</v>
      </c>
      <c r="AE561" s="4" t="s">
        <v>1760</v>
      </c>
      <c r="AF561" s="4" t="s">
        <v>1740</v>
      </c>
    </row>
    <row r="562" spans="1:35" ht="90" x14ac:dyDescent="0.3">
      <c r="A562" s="10" t="s">
        <v>1761</v>
      </c>
      <c r="B562" s="10" t="s">
        <v>1726</v>
      </c>
      <c r="C562" s="11" t="s">
        <v>1727</v>
      </c>
      <c r="D562" s="12"/>
      <c r="E562" s="12" t="s">
        <v>1762</v>
      </c>
      <c r="F562" s="12" t="s">
        <v>59</v>
      </c>
      <c r="G562" s="13">
        <v>1</v>
      </c>
      <c r="H562" s="13"/>
      <c r="I562" s="13">
        <v>21.5</v>
      </c>
      <c r="J562" s="14">
        <v>855.89</v>
      </c>
      <c r="K562" s="15">
        <v>963</v>
      </c>
      <c r="L562" s="14">
        <f>J562+ROUND(K562, 2)</f>
        <v>1818.8899999999999</v>
      </c>
      <c r="M562" s="14">
        <v>18401.64</v>
      </c>
      <c r="N562" s="14">
        <v>20704.5</v>
      </c>
      <c r="O562" s="14">
        <f>M562+N562</f>
        <v>39106.14</v>
      </c>
      <c r="P562" s="14">
        <v>855.89</v>
      </c>
      <c r="Q562" s="15">
        <v>1444.5</v>
      </c>
      <c r="R562" s="14">
        <f>P562+ROUND(Q562, 2)</f>
        <v>2300.39</v>
      </c>
      <c r="S562" s="14">
        <v>18401.64</v>
      </c>
      <c r="T562" s="14">
        <v>31056.75</v>
      </c>
      <c r="U562" s="14">
        <f>S562+T562</f>
        <v>49458.39</v>
      </c>
      <c r="V562" s="9">
        <f>ROUND(P562 / 1.2, 2)</f>
        <v>713.24</v>
      </c>
      <c r="W562" s="9">
        <f>ROUND(Q562 / 1.2, 2)</f>
        <v>1203.75</v>
      </c>
      <c r="X562" s="9">
        <f>ROUND(R562 / 1.2, 2)</f>
        <v>1916.99</v>
      </c>
      <c r="Y562" s="9">
        <f t="shared" si="23"/>
        <v>15334.7</v>
      </c>
      <c r="Z562" s="9">
        <f>ROUND(T562 / 1.2, 2)</f>
        <v>25880.63</v>
      </c>
      <c r="AA562" s="9">
        <f>Y562+Z562</f>
        <v>41215.33</v>
      </c>
      <c r="AD562" s="4">
        <v>315890079</v>
      </c>
      <c r="AE562" s="4">
        <v>27245734</v>
      </c>
      <c r="AG562" s="4" t="s">
        <v>1728</v>
      </c>
      <c r="AH562" s="4" t="s">
        <v>1729</v>
      </c>
      <c r="AI562" s="4" t="s">
        <v>224</v>
      </c>
    </row>
    <row r="563" spans="1:35" ht="18" x14ac:dyDescent="0.3">
      <c r="A563" s="10" t="s">
        <v>1763</v>
      </c>
      <c r="B563" s="10"/>
      <c r="C563" s="21" t="s">
        <v>1737</v>
      </c>
      <c r="D563" s="12"/>
      <c r="E563" s="12"/>
      <c r="F563" s="17" t="s">
        <v>59</v>
      </c>
      <c r="G563" s="18">
        <v>1.1000000000000001</v>
      </c>
      <c r="H563" s="22"/>
      <c r="I563" s="22">
        <v>23.65</v>
      </c>
      <c r="J563" s="19">
        <v>778.08</v>
      </c>
      <c r="M563" s="20">
        <f>ROUND(ROUND(J563, 2)*I563, 2)</f>
        <v>18401.59</v>
      </c>
      <c r="P563" s="19">
        <v>778.08</v>
      </c>
      <c r="S563" s="20">
        <f>ROUND(ROUND(P563, 2)*I563, 2)</f>
        <v>18401.59</v>
      </c>
      <c r="V563" s="9">
        <f>ROUND(ROUND(P563, 2)/1.2, 2)</f>
        <v>648.4</v>
      </c>
      <c r="Y563" s="9">
        <f t="shared" si="23"/>
        <v>15334.66</v>
      </c>
      <c r="AD563" s="4" t="s">
        <v>1764</v>
      </c>
      <c r="AE563" s="4" t="s">
        <v>1765</v>
      </c>
      <c r="AF563" s="4" t="s">
        <v>1740</v>
      </c>
    </row>
    <row r="564" spans="1:35" ht="198" x14ac:dyDescent="0.3">
      <c r="A564" s="10" t="s">
        <v>1766</v>
      </c>
      <c r="B564" s="10" t="s">
        <v>1726</v>
      </c>
      <c r="C564" s="11" t="s">
        <v>1727</v>
      </c>
      <c r="D564" s="12"/>
      <c r="E564" s="12" t="s">
        <v>1767</v>
      </c>
      <c r="F564" s="12" t="s">
        <v>59</v>
      </c>
      <c r="G564" s="13">
        <v>1</v>
      </c>
      <c r="H564" s="13"/>
      <c r="I564" s="13">
        <v>63.6</v>
      </c>
      <c r="J564" s="14">
        <v>0</v>
      </c>
      <c r="K564" s="15">
        <v>963</v>
      </c>
      <c r="L564" s="14">
        <f>J564+ROUND(K564, 2)</f>
        <v>963</v>
      </c>
      <c r="M564" s="14">
        <v>0</v>
      </c>
      <c r="N564" s="14">
        <v>61246.8</v>
      </c>
      <c r="O564" s="14">
        <f>M564+N564</f>
        <v>61246.8</v>
      </c>
      <c r="P564" s="14">
        <v>855</v>
      </c>
      <c r="Q564" s="15">
        <v>1444.5</v>
      </c>
      <c r="R564" s="14">
        <f>P564+ROUND(Q564, 2)</f>
        <v>2299.5</v>
      </c>
      <c r="S564" s="14">
        <v>54378</v>
      </c>
      <c r="T564" s="14">
        <v>91870.2</v>
      </c>
      <c r="U564" s="14">
        <f>S564+T564</f>
        <v>146248.20000000001</v>
      </c>
      <c r="V564" s="9">
        <f>ROUND(P564 / 1.2, 2)</f>
        <v>712.5</v>
      </c>
      <c r="W564" s="9">
        <f>ROUND(Q564 / 1.2, 2)</f>
        <v>1203.75</v>
      </c>
      <c r="X564" s="9">
        <f>ROUND(R564 / 1.2, 2)</f>
        <v>1916.25</v>
      </c>
      <c r="Y564" s="9">
        <f t="shared" si="23"/>
        <v>45315</v>
      </c>
      <c r="Z564" s="9">
        <f>ROUND(T564 / 1.2, 2)</f>
        <v>76558.5</v>
      </c>
      <c r="AA564" s="9">
        <f>Y564+Z564</f>
        <v>121873.5</v>
      </c>
      <c r="AD564" s="4">
        <v>315890080</v>
      </c>
      <c r="AE564" s="4">
        <v>27245730</v>
      </c>
      <c r="AG564" s="4" t="s">
        <v>1728</v>
      </c>
      <c r="AH564" s="4" t="s">
        <v>1729</v>
      </c>
      <c r="AI564" s="4" t="s">
        <v>224</v>
      </c>
    </row>
    <row r="565" spans="1:35" ht="18" x14ac:dyDescent="0.3">
      <c r="A565" s="10" t="s">
        <v>1768</v>
      </c>
      <c r="B565" s="10"/>
      <c r="C565" s="16" t="s">
        <v>1747</v>
      </c>
      <c r="D565" s="12"/>
      <c r="E565" s="12"/>
      <c r="F565" s="17" t="s">
        <v>59</v>
      </c>
      <c r="G565" s="18">
        <v>1</v>
      </c>
      <c r="H565" s="22"/>
      <c r="I565" s="22">
        <v>63.6</v>
      </c>
      <c r="J565" s="19">
        <v>0</v>
      </c>
      <c r="M565" s="20">
        <f>ROUND(ROUND(J565, 2)*I565, 2)</f>
        <v>0</v>
      </c>
      <c r="P565" s="19">
        <v>855</v>
      </c>
      <c r="S565" s="20">
        <f>ROUND(ROUND(P565, 2)*I565, 2)</f>
        <v>54378</v>
      </c>
      <c r="V565" s="9">
        <f>ROUND(ROUND(P565, 2)/1.2, 2)</f>
        <v>712.5</v>
      </c>
      <c r="Y565" s="9">
        <f t="shared" si="23"/>
        <v>45315</v>
      </c>
      <c r="AD565" s="4" t="s">
        <v>1769</v>
      </c>
      <c r="AE565" s="4" t="s">
        <v>1770</v>
      </c>
      <c r="AF565" s="4" t="s">
        <v>1750</v>
      </c>
    </row>
    <row r="566" spans="1:35" ht="24" customHeight="1" x14ac:dyDescent="0.3">
      <c r="A566" s="24"/>
      <c r="B566" s="24"/>
      <c r="C566" s="24"/>
      <c r="D566" s="25" t="s">
        <v>1771</v>
      </c>
      <c r="E566" s="24"/>
      <c r="F566" s="24"/>
      <c r="G566" s="24"/>
      <c r="H566" s="24"/>
      <c r="I566" s="24"/>
      <c r="J566" s="24"/>
      <c r="K566" s="24"/>
      <c r="L566" s="24"/>
      <c r="M566" s="26">
        <f>SUM(M8)</f>
        <v>23958071.490000002</v>
      </c>
      <c r="N566" s="26">
        <f>SUM(N8)</f>
        <v>31630464.810000002</v>
      </c>
      <c r="O566" s="26">
        <f>M566+N566</f>
        <v>55588536.300000004</v>
      </c>
      <c r="P566" s="24"/>
      <c r="Q566" s="24"/>
      <c r="R566" s="24"/>
      <c r="S566" s="26">
        <f>SUM(S8)</f>
        <v>22896107.140000001</v>
      </c>
      <c r="T566" s="26">
        <f>SUM(T8)</f>
        <v>47445697.219999999</v>
      </c>
      <c r="U566" s="26">
        <f>S566+T566</f>
        <v>70341804.359999999</v>
      </c>
      <c r="Y566" s="9">
        <f>SUM(Y8)</f>
        <v>19080089.32</v>
      </c>
      <c r="Z566" s="9">
        <f>SUM(Z8)</f>
        <v>39538081.100000001</v>
      </c>
      <c r="AA566" s="9">
        <f>Y566+Z566</f>
        <v>58618170.420000002</v>
      </c>
    </row>
    <row r="567" spans="1:35" ht="22.8" x14ac:dyDescent="0.3">
      <c r="A567" s="44" t="s">
        <v>1772</v>
      </c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6"/>
    </row>
    <row r="568" spans="1:35" ht="31.2" x14ac:dyDescent="0.3">
      <c r="A568" s="28"/>
      <c r="B568" s="5" t="s">
        <v>1773</v>
      </c>
      <c r="C568" s="27" t="s">
        <v>1774</v>
      </c>
      <c r="D568" s="27" t="s">
        <v>1775</v>
      </c>
      <c r="E568" s="29"/>
      <c r="F568" s="29"/>
      <c r="G568" s="29"/>
      <c r="H568" s="42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43"/>
    </row>
    <row r="569" spans="1:35" ht="31.2" x14ac:dyDescent="0.3">
      <c r="A569" s="28"/>
      <c r="B569" s="5" t="s">
        <v>1776</v>
      </c>
      <c r="C569" s="27" t="s">
        <v>1777</v>
      </c>
      <c r="D569" s="27" t="s">
        <v>1778</v>
      </c>
      <c r="E569" s="29"/>
      <c r="F569" s="29"/>
      <c r="G569" s="29"/>
      <c r="H569" s="42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43"/>
    </row>
    <row r="570" spans="1:35" ht="46.8" x14ac:dyDescent="0.3">
      <c r="A570" s="28"/>
      <c r="B570" s="5" t="s">
        <v>1779</v>
      </c>
      <c r="C570" s="27" t="s">
        <v>1780</v>
      </c>
      <c r="D570" s="27" t="s">
        <v>1781</v>
      </c>
      <c r="E570" s="29"/>
      <c r="F570" s="29"/>
      <c r="G570" s="29"/>
      <c r="H570" s="42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43"/>
    </row>
    <row r="571" spans="1:35" ht="15.6" x14ac:dyDescent="0.3">
      <c r="A571" s="28"/>
      <c r="B571" s="5" t="s">
        <v>1782</v>
      </c>
      <c r="C571" s="27" t="s">
        <v>1783</v>
      </c>
      <c r="D571" s="27" t="s">
        <v>1784</v>
      </c>
      <c r="E571" s="29"/>
      <c r="F571" s="29"/>
      <c r="G571" s="29"/>
      <c r="H571" s="42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43"/>
    </row>
    <row r="572" spans="1:35" ht="31.2" x14ac:dyDescent="0.3">
      <c r="A572" s="28"/>
      <c r="B572" s="5" t="s">
        <v>1785</v>
      </c>
      <c r="C572" s="27" t="s">
        <v>1786</v>
      </c>
      <c r="D572" s="27" t="s">
        <v>1778</v>
      </c>
      <c r="E572" s="29"/>
      <c r="F572" s="29"/>
      <c r="G572" s="29"/>
      <c r="H572" s="42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43"/>
    </row>
    <row r="573" spans="1:35" ht="62.4" x14ac:dyDescent="0.3">
      <c r="A573" s="28"/>
      <c r="B573" s="5" t="s">
        <v>1787</v>
      </c>
      <c r="C573" s="27" t="s">
        <v>1788</v>
      </c>
      <c r="D573" s="27" t="s">
        <v>1789</v>
      </c>
      <c r="E573" s="29"/>
      <c r="F573" s="29"/>
      <c r="G573" s="29"/>
      <c r="H573" s="42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43"/>
    </row>
    <row r="574" spans="1:35" ht="78" x14ac:dyDescent="0.3">
      <c r="A574" s="28"/>
      <c r="B574" s="5" t="s">
        <v>1790</v>
      </c>
      <c r="C574" s="27" t="s">
        <v>1791</v>
      </c>
      <c r="D574" s="27" t="s">
        <v>1792</v>
      </c>
      <c r="E574" s="29"/>
      <c r="F574" s="29"/>
      <c r="G574" s="29"/>
      <c r="H574" s="42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43"/>
    </row>
    <row r="575" spans="1:35" ht="15.6" x14ac:dyDescent="0.3">
      <c r="A575" s="28"/>
      <c r="B575" s="5" t="s">
        <v>1793</v>
      </c>
      <c r="C575" s="27" t="s">
        <v>1794</v>
      </c>
      <c r="D575" s="27" t="s">
        <v>1795</v>
      </c>
      <c r="E575" s="29"/>
      <c r="F575" s="29"/>
      <c r="G575" s="29"/>
      <c r="H575" s="42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43"/>
    </row>
    <row r="576" spans="1:35" ht="62.4" x14ac:dyDescent="0.3">
      <c r="A576" s="28"/>
      <c r="B576" s="5" t="s">
        <v>1796</v>
      </c>
      <c r="C576" s="27" t="s">
        <v>1797</v>
      </c>
      <c r="D576" s="27" t="s">
        <v>1798</v>
      </c>
      <c r="E576" s="29"/>
      <c r="F576" s="29"/>
      <c r="G576" s="29"/>
      <c r="H576" s="42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43"/>
    </row>
    <row r="577" spans="1:21" ht="93.6" x14ac:dyDescent="0.3">
      <c r="A577" s="28"/>
      <c r="B577" s="5" t="s">
        <v>1799</v>
      </c>
      <c r="C577" s="27" t="s">
        <v>1800</v>
      </c>
      <c r="D577" s="27" t="s">
        <v>1801</v>
      </c>
      <c r="E577" s="29"/>
      <c r="F577" s="29"/>
      <c r="G577" s="29"/>
      <c r="H577" s="42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43"/>
    </row>
    <row r="578" spans="1:21" ht="62.4" x14ac:dyDescent="0.3">
      <c r="A578" s="28"/>
      <c r="B578" s="5" t="s">
        <v>1802</v>
      </c>
      <c r="C578" s="27" t="s">
        <v>1803</v>
      </c>
      <c r="D578" s="27" t="s">
        <v>1804</v>
      </c>
      <c r="E578" s="29"/>
      <c r="F578" s="29"/>
      <c r="G578" s="29"/>
      <c r="H578" s="42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43"/>
    </row>
    <row r="579" spans="1:21" ht="46.8" x14ac:dyDescent="0.3">
      <c r="A579" s="28"/>
      <c r="B579" s="5" t="s">
        <v>1805</v>
      </c>
      <c r="C579" s="27" t="s">
        <v>1806</v>
      </c>
      <c r="D579" s="27" t="s">
        <v>1807</v>
      </c>
      <c r="E579" s="29"/>
      <c r="F579" s="29"/>
      <c r="G579" s="29"/>
      <c r="H579" s="42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43"/>
    </row>
    <row r="580" spans="1:21" ht="31.2" x14ac:dyDescent="0.3">
      <c r="A580" s="28"/>
      <c r="B580" s="5" t="s">
        <v>1808</v>
      </c>
      <c r="C580" s="27" t="s">
        <v>1809</v>
      </c>
      <c r="D580" s="27" t="s">
        <v>1810</v>
      </c>
      <c r="E580" s="29"/>
      <c r="F580" s="29"/>
      <c r="G580" s="29"/>
      <c r="H580" s="42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43"/>
    </row>
    <row r="581" spans="1:21" ht="48" customHeight="1" x14ac:dyDescent="0.3">
      <c r="A581" s="28"/>
      <c r="B581" s="5" t="s">
        <v>1811</v>
      </c>
      <c r="C581" s="27" t="s">
        <v>1812</v>
      </c>
      <c r="D581" s="27" t="s">
        <v>1813</v>
      </c>
      <c r="E581" s="29"/>
      <c r="F581" s="29"/>
      <c r="G581" s="29"/>
      <c r="H581" s="42" t="s">
        <v>1814</v>
      </c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43"/>
    </row>
    <row r="582" spans="1:21" ht="31.2" x14ac:dyDescent="0.3">
      <c r="A582" s="28"/>
      <c r="B582" s="5" t="s">
        <v>1815</v>
      </c>
      <c r="C582" s="27" t="s">
        <v>1816</v>
      </c>
      <c r="D582" s="27" t="s">
        <v>1817</v>
      </c>
      <c r="E582" s="29"/>
      <c r="F582" s="29"/>
      <c r="G582" s="29"/>
      <c r="H582" s="42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43"/>
    </row>
    <row r="583" spans="1:21" ht="31.2" x14ac:dyDescent="0.3">
      <c r="A583" s="28"/>
      <c r="B583" s="5" t="s">
        <v>1818</v>
      </c>
      <c r="C583" s="27" t="s">
        <v>1819</v>
      </c>
      <c r="D583" s="29"/>
      <c r="E583" s="29"/>
      <c r="F583" s="29"/>
      <c r="G583" s="29"/>
      <c r="H583" s="42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43"/>
    </row>
    <row r="584" spans="1:21" ht="15.6" x14ac:dyDescent="0.3">
      <c r="A584" s="28"/>
      <c r="B584" s="5" t="s">
        <v>1820</v>
      </c>
      <c r="C584" s="27" t="s">
        <v>1821</v>
      </c>
      <c r="D584" s="29"/>
      <c r="E584" s="29"/>
      <c r="F584" s="29"/>
      <c r="G584" s="29"/>
      <c r="H584" s="42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43"/>
    </row>
    <row r="585" spans="1:21" ht="15.6" x14ac:dyDescent="0.3">
      <c r="A585" s="28"/>
      <c r="B585" s="5" t="s">
        <v>1822</v>
      </c>
      <c r="C585" s="27" t="s">
        <v>1823</v>
      </c>
      <c r="D585" s="29"/>
      <c r="E585" s="29"/>
      <c r="F585" s="29"/>
      <c r="G585" s="29"/>
      <c r="H585" s="42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43"/>
    </row>
  </sheetData>
  <sheetProtection password="C644" sheet="1" formatColumns="0" autoFilter="0"/>
  <autoFilter ref="A7:U7"/>
  <mergeCells count="63">
    <mergeCell ref="H584:U584"/>
    <mergeCell ref="H585:U585"/>
    <mergeCell ref="H579:U579"/>
    <mergeCell ref="H580:U580"/>
    <mergeCell ref="H581:U581"/>
    <mergeCell ref="H582:U582"/>
    <mergeCell ref="H583:U583"/>
    <mergeCell ref="H574:U574"/>
    <mergeCell ref="H575:U575"/>
    <mergeCell ref="H576:U576"/>
    <mergeCell ref="H577:U577"/>
    <mergeCell ref="H578:U578"/>
    <mergeCell ref="H569:U569"/>
    <mergeCell ref="H570:U570"/>
    <mergeCell ref="H571:U571"/>
    <mergeCell ref="H572:U572"/>
    <mergeCell ref="H573:U573"/>
    <mergeCell ref="C455:I455"/>
    <mergeCell ref="C468:I468"/>
    <mergeCell ref="C496:I496"/>
    <mergeCell ref="A567:U567"/>
    <mergeCell ref="H568:U568"/>
    <mergeCell ref="C260:I260"/>
    <mergeCell ref="C261:I261"/>
    <mergeCell ref="C268:I268"/>
    <mergeCell ref="C433:I433"/>
    <mergeCell ref="C454:I454"/>
    <mergeCell ref="C56:I56"/>
    <mergeCell ref="C57:I57"/>
    <mergeCell ref="C58:I58"/>
    <mergeCell ref="C59:I59"/>
    <mergeCell ref="C255:I255"/>
    <mergeCell ref="C11:I11"/>
    <mergeCell ref="C12:I12"/>
    <mergeCell ref="C13:I13"/>
    <mergeCell ref="C14:I14"/>
    <mergeCell ref="C55:I55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85"/>
  <sheetViews>
    <sheetView tabSelected="1" topLeftCell="A202" zoomScale="55" zoomScaleNormal="55" workbookViewId="0">
      <selection activeCell="C258" sqref="C258:C259"/>
    </sheetView>
  </sheetViews>
  <sheetFormatPr defaultRowHeight="14.4" x14ac:dyDescent="0.3"/>
  <cols>
    <col min="1" max="1" width="20" customWidth="1"/>
    <col min="2" max="2" width="15.5546875" customWidth="1"/>
    <col min="3" max="3" width="55.6640625" customWidth="1"/>
    <col min="4" max="4" width="7.109375" customWidth="1"/>
    <col min="5" max="5" width="46.5546875" customWidth="1"/>
    <col min="6" max="7" width="16.44140625" customWidth="1"/>
    <col min="8" max="8" width="4.6640625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3"/>
      <c r="N1" s="3"/>
      <c r="O1" s="3"/>
      <c r="P1" s="3"/>
      <c r="Q1" s="3"/>
      <c r="R1" s="3"/>
      <c r="S1" s="3"/>
      <c r="T1" s="3"/>
      <c r="U1" s="3"/>
      <c r="AC1" s="4" t="s">
        <v>16</v>
      </c>
      <c r="AD1" s="4" t="s">
        <v>17</v>
      </c>
      <c r="AE1" s="4" t="s">
        <v>18</v>
      </c>
      <c r="AF1" s="4" t="s">
        <v>19</v>
      </c>
      <c r="AG1" s="4" t="s">
        <v>20</v>
      </c>
      <c r="AH1" s="4" t="s">
        <v>21</v>
      </c>
      <c r="AI1" s="4" t="s">
        <v>22</v>
      </c>
    </row>
    <row r="2" spans="1:35" ht="30.75" customHeight="1" x14ac:dyDescent="0.3">
      <c r="A2" s="30" t="s">
        <v>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</row>
    <row r="3" spans="1:35" ht="15" customHeight="1" x14ac:dyDescent="0.3">
      <c r="A3" s="31" t="s">
        <v>5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35" ht="15" customHeight="1" x14ac:dyDescent="0.3">
      <c r="A4" s="32" t="s">
        <v>6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spans="1:35" ht="40.799999999999997" customHeight="1" x14ac:dyDescent="0.3">
      <c r="A5" s="39" t="s">
        <v>23</v>
      </c>
      <c r="B5" s="39" t="s">
        <v>24</v>
      </c>
      <c r="C5" s="39" t="s">
        <v>25</v>
      </c>
      <c r="D5" s="39" t="s">
        <v>26</v>
      </c>
      <c r="E5" s="39" t="s">
        <v>27</v>
      </c>
      <c r="F5" s="39" t="s">
        <v>28</v>
      </c>
      <c r="G5" s="39" t="s">
        <v>29</v>
      </c>
      <c r="H5" s="39" t="s">
        <v>30</v>
      </c>
      <c r="I5" s="39" t="s">
        <v>31</v>
      </c>
      <c r="J5" s="33" t="s">
        <v>7</v>
      </c>
      <c r="K5" s="34"/>
      <c r="L5" s="34"/>
      <c r="M5" s="34"/>
      <c r="N5" s="34"/>
      <c r="O5" s="35"/>
      <c r="P5" s="36" t="s">
        <v>8</v>
      </c>
      <c r="Q5" s="37"/>
      <c r="R5" s="38"/>
      <c r="S5" s="36" t="s">
        <v>9</v>
      </c>
      <c r="T5" s="37"/>
      <c r="U5" s="38"/>
    </row>
    <row r="6" spans="1:35" ht="15.75" customHeight="1" x14ac:dyDescent="0.3">
      <c r="A6" s="40"/>
      <c r="B6" s="40"/>
      <c r="C6" s="40"/>
      <c r="D6" s="40"/>
      <c r="E6" s="40"/>
      <c r="F6" s="40"/>
      <c r="G6" s="40"/>
      <c r="H6" s="40"/>
      <c r="I6" s="40"/>
      <c r="J6" s="42" t="s">
        <v>32</v>
      </c>
      <c r="K6" s="43"/>
      <c r="L6" s="39" t="s">
        <v>32</v>
      </c>
      <c r="M6" s="42" t="s">
        <v>35</v>
      </c>
      <c r="N6" s="43"/>
      <c r="O6" s="39" t="s">
        <v>36</v>
      </c>
      <c r="P6" s="42" t="s">
        <v>32</v>
      </c>
      <c r="Q6" s="43"/>
      <c r="R6" s="39" t="s">
        <v>32</v>
      </c>
      <c r="S6" s="42" t="s">
        <v>35</v>
      </c>
      <c r="T6" s="43"/>
      <c r="U6" s="39" t="s">
        <v>36</v>
      </c>
    </row>
    <row r="7" spans="1:35" ht="31.2" customHeight="1" x14ac:dyDescent="0.3">
      <c r="A7" s="41"/>
      <c r="B7" s="41"/>
      <c r="C7" s="41"/>
      <c r="D7" s="41"/>
      <c r="E7" s="41"/>
      <c r="F7" s="41"/>
      <c r="G7" s="41"/>
      <c r="H7" s="41"/>
      <c r="I7" s="41"/>
      <c r="J7" s="5" t="s">
        <v>33</v>
      </c>
      <c r="K7" s="5" t="s">
        <v>34</v>
      </c>
      <c r="L7" s="41"/>
      <c r="M7" s="5" t="s">
        <v>33</v>
      </c>
      <c r="N7" s="5" t="s">
        <v>34</v>
      </c>
      <c r="O7" s="41"/>
      <c r="P7" s="5" t="s">
        <v>33</v>
      </c>
      <c r="Q7" s="5" t="s">
        <v>34</v>
      </c>
      <c r="R7" s="41"/>
      <c r="S7" s="5" t="s">
        <v>33</v>
      </c>
      <c r="T7" s="5" t="s">
        <v>34</v>
      </c>
      <c r="U7" s="41"/>
    </row>
    <row r="8" spans="1:35" ht="30" customHeight="1" x14ac:dyDescent="0.3">
      <c r="A8" s="44" t="s">
        <v>37</v>
      </c>
      <c r="B8" s="45"/>
      <c r="C8" s="45"/>
      <c r="D8" s="45"/>
      <c r="E8" s="45"/>
      <c r="F8" s="45"/>
      <c r="G8" s="45"/>
      <c r="H8" s="45"/>
      <c r="I8" s="46"/>
      <c r="J8" s="7"/>
      <c r="K8" s="7"/>
      <c r="L8" s="7"/>
      <c r="M8" s="8">
        <f>SUM(M9)</f>
        <v>23958071.490000002</v>
      </c>
      <c r="N8" s="8">
        <f>SUM(N9)</f>
        <v>31630464.810000002</v>
      </c>
      <c r="O8" s="8">
        <f>SUM(O9)</f>
        <v>55588536.29999999</v>
      </c>
      <c r="P8" s="7"/>
      <c r="Q8" s="7"/>
      <c r="R8" s="7"/>
      <c r="S8" s="8">
        <f>SUM(S9)</f>
        <v>22896107.140000001</v>
      </c>
      <c r="T8" s="8">
        <f>SUM(T9)</f>
        <v>47445697.219999999</v>
      </c>
      <c r="U8" s="8">
        <f>SUM(U9)</f>
        <v>70341804.359999999</v>
      </c>
      <c r="Y8" s="9">
        <f>SUM(Y9)</f>
        <v>19080089.32</v>
      </c>
      <c r="Z8" s="9">
        <f>SUM(Z9)</f>
        <v>39538081.100000001</v>
      </c>
      <c r="AA8" s="9">
        <f>SUM(AA9)</f>
        <v>58618170.420000002</v>
      </c>
      <c r="AC8" s="4" t="s">
        <v>38</v>
      </c>
    </row>
    <row r="9" spans="1:35" ht="16.95" customHeight="1" x14ac:dyDescent="0.3">
      <c r="A9" s="10" t="s">
        <v>39</v>
      </c>
      <c r="B9" s="10" t="s">
        <v>2</v>
      </c>
      <c r="C9" s="47" t="s">
        <v>40</v>
      </c>
      <c r="D9" s="48"/>
      <c r="E9" s="48"/>
      <c r="F9" s="48"/>
      <c r="G9" s="48"/>
      <c r="H9" s="48"/>
      <c r="I9" s="49"/>
      <c r="M9" s="6">
        <f>SUM(M10,M55)</f>
        <v>23958071.490000002</v>
      </c>
      <c r="N9" s="6">
        <f>SUM(N10,N55)</f>
        <v>31630464.810000002</v>
      </c>
      <c r="O9" s="6">
        <f>SUM(O10,O55)</f>
        <v>55588536.29999999</v>
      </c>
      <c r="S9" s="6">
        <f>SUM(S10,S55)</f>
        <v>22896107.140000001</v>
      </c>
      <c r="T9" s="6">
        <f>SUM(T10,T55)</f>
        <v>47445697.219999999</v>
      </c>
      <c r="U9" s="6">
        <f>SUM(U10,U55)</f>
        <v>70341804.359999999</v>
      </c>
      <c r="Y9" s="9">
        <f>SUM(Y10,Y55)</f>
        <v>19080089.32</v>
      </c>
      <c r="Z9" s="9">
        <f>SUM(Z10,Z55)</f>
        <v>39538081.100000001</v>
      </c>
      <c r="AA9" s="9">
        <f>SUM(AA10,AA55)</f>
        <v>58618170.420000002</v>
      </c>
      <c r="AD9" s="4">
        <v>315889890</v>
      </c>
      <c r="AE9" s="4">
        <v>27245612</v>
      </c>
    </row>
    <row r="10" spans="1:35" ht="16.95" customHeight="1" x14ac:dyDescent="0.3">
      <c r="A10" s="10" t="s">
        <v>41</v>
      </c>
      <c r="B10" s="10" t="s">
        <v>42</v>
      </c>
      <c r="C10" s="47" t="s">
        <v>43</v>
      </c>
      <c r="D10" s="48"/>
      <c r="E10" s="48"/>
      <c r="F10" s="48"/>
      <c r="G10" s="48"/>
      <c r="H10" s="48"/>
      <c r="I10" s="49"/>
      <c r="M10" s="6">
        <f t="shared" ref="M10:O13" si="0">SUM(M11)</f>
        <v>49224.53</v>
      </c>
      <c r="N10" s="6">
        <f t="shared" si="0"/>
        <v>128833.69999999998</v>
      </c>
      <c r="O10" s="6">
        <f t="shared" si="0"/>
        <v>178058.23</v>
      </c>
      <c r="S10" s="6">
        <f t="shared" ref="S10:U13" si="1">SUM(S11)</f>
        <v>123088.61</v>
      </c>
      <c r="T10" s="6">
        <f t="shared" si="1"/>
        <v>193250.55</v>
      </c>
      <c r="U10" s="6">
        <f t="shared" si="1"/>
        <v>316339.16000000003</v>
      </c>
      <c r="Y10" s="9">
        <f t="shared" ref="Y10:AA13" si="2">SUM(Y11)</f>
        <v>102573.83999999998</v>
      </c>
      <c r="Z10" s="9">
        <f t="shared" si="2"/>
        <v>161042.13</v>
      </c>
      <c r="AA10" s="9">
        <f t="shared" si="2"/>
        <v>263615.97000000003</v>
      </c>
      <c r="AD10" s="4">
        <v>315889891</v>
      </c>
      <c r="AE10" s="4">
        <v>27245716</v>
      </c>
    </row>
    <row r="11" spans="1:35" ht="16.95" customHeight="1" x14ac:dyDescent="0.3">
      <c r="A11" s="10" t="s">
        <v>44</v>
      </c>
      <c r="B11" s="10" t="s">
        <v>45</v>
      </c>
      <c r="C11" s="47" t="s">
        <v>46</v>
      </c>
      <c r="D11" s="48"/>
      <c r="E11" s="48"/>
      <c r="F11" s="48"/>
      <c r="G11" s="48"/>
      <c r="H11" s="48"/>
      <c r="I11" s="49"/>
      <c r="M11" s="6">
        <f t="shared" si="0"/>
        <v>49224.53</v>
      </c>
      <c r="N11" s="6">
        <f t="shared" si="0"/>
        <v>128833.69999999998</v>
      </c>
      <c r="O11" s="6">
        <f t="shared" si="0"/>
        <v>178058.23</v>
      </c>
      <c r="S11" s="6">
        <f t="shared" si="1"/>
        <v>123088.61</v>
      </c>
      <c r="T11" s="6">
        <f t="shared" si="1"/>
        <v>193250.55</v>
      </c>
      <c r="U11" s="6">
        <f t="shared" si="1"/>
        <v>316339.16000000003</v>
      </c>
      <c r="Y11" s="9">
        <f t="shared" si="2"/>
        <v>102573.83999999998</v>
      </c>
      <c r="Z11" s="9">
        <f t="shared" si="2"/>
        <v>161042.13</v>
      </c>
      <c r="AA11" s="9">
        <f t="shared" si="2"/>
        <v>263615.97000000003</v>
      </c>
      <c r="AD11" s="4">
        <v>315889892</v>
      </c>
      <c r="AE11" s="4">
        <v>27245640</v>
      </c>
    </row>
    <row r="12" spans="1:35" ht="16.95" customHeight="1" x14ac:dyDescent="0.3">
      <c r="A12" s="10" t="s">
        <v>47</v>
      </c>
      <c r="B12" s="10" t="s">
        <v>48</v>
      </c>
      <c r="C12" s="47" t="s">
        <v>49</v>
      </c>
      <c r="D12" s="48"/>
      <c r="E12" s="48"/>
      <c r="F12" s="48"/>
      <c r="G12" s="48"/>
      <c r="H12" s="48"/>
      <c r="I12" s="49"/>
      <c r="M12" s="6">
        <f t="shared" si="0"/>
        <v>49224.53</v>
      </c>
      <c r="N12" s="6">
        <f t="shared" si="0"/>
        <v>128833.69999999998</v>
      </c>
      <c r="O12" s="6">
        <f t="shared" si="0"/>
        <v>178058.23</v>
      </c>
      <c r="S12" s="6">
        <f t="shared" si="1"/>
        <v>123088.61</v>
      </c>
      <c r="T12" s="6">
        <f t="shared" si="1"/>
        <v>193250.55</v>
      </c>
      <c r="U12" s="6">
        <f t="shared" si="1"/>
        <v>316339.16000000003</v>
      </c>
      <c r="Y12" s="9">
        <f t="shared" si="2"/>
        <v>102573.83999999998</v>
      </c>
      <c r="Z12" s="9">
        <f t="shared" si="2"/>
        <v>161042.13</v>
      </c>
      <c r="AA12" s="9">
        <f t="shared" si="2"/>
        <v>263615.97000000003</v>
      </c>
      <c r="AD12" s="4">
        <v>315889893</v>
      </c>
      <c r="AE12" s="4">
        <v>27245618</v>
      </c>
    </row>
    <row r="13" spans="1:35" ht="16.95" customHeight="1" x14ac:dyDescent="0.3">
      <c r="A13" s="10" t="s">
        <v>50</v>
      </c>
      <c r="B13" s="10" t="s">
        <v>51</v>
      </c>
      <c r="C13" s="47" t="s">
        <v>52</v>
      </c>
      <c r="D13" s="48"/>
      <c r="E13" s="48"/>
      <c r="F13" s="48"/>
      <c r="G13" s="48"/>
      <c r="H13" s="48"/>
      <c r="I13" s="49"/>
      <c r="M13" s="6">
        <f t="shared" si="0"/>
        <v>49224.53</v>
      </c>
      <c r="N13" s="6">
        <f t="shared" si="0"/>
        <v>128833.69999999998</v>
      </c>
      <c r="O13" s="6">
        <f t="shared" si="0"/>
        <v>178058.23</v>
      </c>
      <c r="S13" s="6">
        <f t="shared" si="1"/>
        <v>123088.61</v>
      </c>
      <c r="T13" s="6">
        <f t="shared" si="1"/>
        <v>193250.55</v>
      </c>
      <c r="U13" s="6">
        <f t="shared" si="1"/>
        <v>316339.16000000003</v>
      </c>
      <c r="Y13" s="9">
        <f t="shared" si="2"/>
        <v>102573.83999999998</v>
      </c>
      <c r="Z13" s="9">
        <f t="shared" si="2"/>
        <v>161042.13</v>
      </c>
      <c r="AA13" s="9">
        <f t="shared" si="2"/>
        <v>263615.97000000003</v>
      </c>
      <c r="AD13" s="4">
        <v>315889894</v>
      </c>
      <c r="AE13" s="4">
        <v>27245643</v>
      </c>
    </row>
    <row r="14" spans="1:35" ht="16.95" customHeight="1" x14ac:dyDescent="0.3">
      <c r="A14" s="10" t="s">
        <v>53</v>
      </c>
      <c r="B14" s="10" t="s">
        <v>54</v>
      </c>
      <c r="C14" s="47" t="s">
        <v>55</v>
      </c>
      <c r="D14" s="48"/>
      <c r="E14" s="48"/>
      <c r="F14" s="48"/>
      <c r="G14" s="48"/>
      <c r="H14" s="48"/>
      <c r="I14" s="49"/>
      <c r="M14" s="6">
        <f>SUM(M15,M20,M25,M30,M35,M40,M45,M50)</f>
        <v>49224.53</v>
      </c>
      <c r="N14" s="6">
        <f>SUM(N15,N20,N25,N30,N35,N40,N45,N50)</f>
        <v>128833.69999999998</v>
      </c>
      <c r="O14" s="6">
        <f>SUM(O15,O20,O25,O30,O35,O40,O45,O50)</f>
        <v>178058.23</v>
      </c>
      <c r="S14" s="6">
        <f>SUM(S15,S20,S25,S30,S35,S40,S45,S50)</f>
        <v>123088.61</v>
      </c>
      <c r="T14" s="6">
        <f>SUM(T15,T20,T25,T30,T35,T40,T45,T50)</f>
        <v>193250.55</v>
      </c>
      <c r="U14" s="6">
        <f>SUM(U15,U20,U25,U30,U35,U40,U45,U50)</f>
        <v>316339.16000000003</v>
      </c>
      <c r="Y14" s="9">
        <f>SUM(Y15,Y20,Y25,Y30,Y35,Y40,Y45,Y50)</f>
        <v>102573.83999999998</v>
      </c>
      <c r="Z14" s="9">
        <f>SUM(Z15,Z20,Z25,Z30,Z35,Z40,Z45,Z50)</f>
        <v>161042.13</v>
      </c>
      <c r="AA14" s="9">
        <f>SUM(AA15,AA20,AA25,AA30,AA35,AA40,AA45,AA50)</f>
        <v>263615.97000000003</v>
      </c>
      <c r="AD14" s="4">
        <v>315889895</v>
      </c>
      <c r="AE14" s="4">
        <v>27245619</v>
      </c>
    </row>
    <row r="15" spans="1:35" ht="36" x14ac:dyDescent="0.3">
      <c r="A15" s="10" t="s">
        <v>56</v>
      </c>
      <c r="B15" s="10" t="s">
        <v>57</v>
      </c>
      <c r="C15" s="11" t="s">
        <v>58</v>
      </c>
      <c r="D15" s="12"/>
      <c r="E15" s="12"/>
      <c r="F15" s="12" t="s">
        <v>59</v>
      </c>
      <c r="G15" s="13">
        <v>1</v>
      </c>
      <c r="H15" s="13"/>
      <c r="I15" s="13">
        <v>0</v>
      </c>
      <c r="J15" s="14">
        <v>0</v>
      </c>
      <c r="K15" s="15">
        <v>2293</v>
      </c>
      <c r="L15" s="14">
        <f>J15+ROUND(K15, 2)</f>
        <v>2293</v>
      </c>
      <c r="M15" s="14">
        <v>0</v>
      </c>
      <c r="N15" s="14">
        <v>0</v>
      </c>
      <c r="O15" s="14">
        <f>M15+N15</f>
        <v>0</v>
      </c>
      <c r="P15" s="14">
        <v>877.6</v>
      </c>
      <c r="Q15" s="15">
        <v>2293</v>
      </c>
      <c r="R15" s="14">
        <f>P15+ROUND(Q15, 2)</f>
        <v>3170.6</v>
      </c>
      <c r="S15" s="14">
        <v>0</v>
      </c>
      <c r="T15" s="14">
        <v>0</v>
      </c>
      <c r="U15" s="14">
        <f>S15+T15</f>
        <v>0</v>
      </c>
      <c r="V15" s="9">
        <f>ROUND(P15 / 1.2, 2)</f>
        <v>731.33</v>
      </c>
      <c r="W15" s="9">
        <f>ROUND(Q15 / 1.2, 2)</f>
        <v>1910.83</v>
      </c>
      <c r="X15" s="9">
        <f>ROUND(R15 / 1.2, 2)</f>
        <v>2642.17</v>
      </c>
      <c r="Y15" s="9">
        <f>ROUND(S15 / 1.2, 2)</f>
        <v>0</v>
      </c>
      <c r="Z15" s="9">
        <f>ROUND(T15 / 1.2, 2)</f>
        <v>0</v>
      </c>
      <c r="AA15" s="9">
        <f>Y15+Z15</f>
        <v>0</v>
      </c>
      <c r="AD15" s="4">
        <v>315889897</v>
      </c>
      <c r="AE15" s="4">
        <v>27245632</v>
      </c>
      <c r="AG15" s="4" t="s">
        <v>60</v>
      </c>
      <c r="AH15" s="4" t="s">
        <v>61</v>
      </c>
      <c r="AI15" s="4" t="s">
        <v>62</v>
      </c>
    </row>
    <row r="16" spans="1:35" ht="54" x14ac:dyDescent="0.3">
      <c r="A16" s="10" t="s">
        <v>63</v>
      </c>
      <c r="B16" s="10"/>
      <c r="C16" s="16" t="s">
        <v>64</v>
      </c>
      <c r="D16" s="12"/>
      <c r="E16" s="12"/>
      <c r="F16" s="17" t="s">
        <v>65</v>
      </c>
      <c r="G16" s="18">
        <v>1</v>
      </c>
      <c r="H16" s="18"/>
      <c r="I16" s="18">
        <v>0</v>
      </c>
      <c r="J16" s="19">
        <v>102.33</v>
      </c>
      <c r="M16" s="20">
        <f>ROUND(ROUND(J16, 2)*I16, 2)</f>
        <v>0</v>
      </c>
      <c r="P16" s="19">
        <v>102.33</v>
      </c>
      <c r="S16" s="20">
        <f>ROUND(ROUND(P16, 2)*I16, 2)</f>
        <v>0</v>
      </c>
      <c r="V16" s="9">
        <f>ROUND(ROUND(P16, 2)/1.2, 2)</f>
        <v>85.28</v>
      </c>
      <c r="Y16" s="9">
        <f t="shared" ref="Y16:Y54" si="3">ROUND(S16 / 1.2, 2)</f>
        <v>0</v>
      </c>
      <c r="AD16" s="4" t="s">
        <v>66</v>
      </c>
      <c r="AE16" s="4" t="s">
        <v>67</v>
      </c>
      <c r="AF16" s="4" t="s">
        <v>68</v>
      </c>
    </row>
    <row r="17" spans="1:35" ht="36" x14ac:dyDescent="0.3">
      <c r="A17" s="10" t="s">
        <v>69</v>
      </c>
      <c r="B17" s="10"/>
      <c r="C17" s="21" t="s">
        <v>70</v>
      </c>
      <c r="D17" s="12"/>
      <c r="E17" s="12"/>
      <c r="F17" s="17" t="s">
        <v>59</v>
      </c>
      <c r="G17" s="18">
        <v>4.2</v>
      </c>
      <c r="H17" s="18"/>
      <c r="I17" s="18">
        <v>0</v>
      </c>
      <c r="J17" s="19">
        <v>104.57</v>
      </c>
      <c r="M17" s="20">
        <f>ROUND(ROUND(J17, 2)*I17, 2)</f>
        <v>0</v>
      </c>
      <c r="P17" s="19">
        <v>104.57</v>
      </c>
      <c r="S17" s="20">
        <f>ROUND(ROUND(P17, 2)*I17, 2)</f>
        <v>0</v>
      </c>
      <c r="V17" s="9">
        <f>ROUND(ROUND(P17, 2)/1.2, 2)</f>
        <v>87.14</v>
      </c>
      <c r="Y17" s="9">
        <f t="shared" si="3"/>
        <v>0</v>
      </c>
      <c r="AD17" s="4" t="s">
        <v>71</v>
      </c>
      <c r="AE17" s="4" t="s">
        <v>72</v>
      </c>
      <c r="AF17" s="4" t="s">
        <v>73</v>
      </c>
    </row>
    <row r="18" spans="1:35" ht="18" x14ac:dyDescent="0.3">
      <c r="A18" s="10" t="s">
        <v>74</v>
      </c>
      <c r="B18" s="10"/>
      <c r="C18" s="21" t="s">
        <v>75</v>
      </c>
      <c r="D18" s="12"/>
      <c r="E18" s="12"/>
      <c r="F18" s="17" t="s">
        <v>76</v>
      </c>
      <c r="G18" s="18">
        <v>4.07</v>
      </c>
      <c r="H18" s="22"/>
      <c r="I18" s="22">
        <v>0</v>
      </c>
      <c r="J18" s="19">
        <v>64.56</v>
      </c>
      <c r="M18" s="20">
        <f>ROUND(ROUND(J18, 2)*I18, 2)</f>
        <v>0</v>
      </c>
      <c r="P18" s="19">
        <v>64.56</v>
      </c>
      <c r="S18" s="20">
        <f>ROUND(ROUND(P18, 2)*I18, 2)</f>
        <v>0</v>
      </c>
      <c r="V18" s="9">
        <f>ROUND(ROUND(P18, 2)/1.2, 2)</f>
        <v>53.8</v>
      </c>
      <c r="Y18" s="9">
        <f t="shared" si="3"/>
        <v>0</v>
      </c>
      <c r="AD18" s="4" t="s">
        <v>77</v>
      </c>
      <c r="AE18" s="4" t="s">
        <v>78</v>
      </c>
      <c r="AF18" s="4" t="s">
        <v>79</v>
      </c>
    </row>
    <row r="19" spans="1:35" ht="18" x14ac:dyDescent="0.3">
      <c r="A19" s="10" t="s">
        <v>80</v>
      </c>
      <c r="B19" s="10"/>
      <c r="C19" s="21" t="s">
        <v>81</v>
      </c>
      <c r="D19" s="12"/>
      <c r="E19" s="12"/>
      <c r="F19" s="17" t="s">
        <v>76</v>
      </c>
      <c r="G19" s="18">
        <v>1.42</v>
      </c>
      <c r="H19" s="22"/>
      <c r="I19" s="22">
        <v>0</v>
      </c>
      <c r="J19" s="19">
        <v>51.63</v>
      </c>
      <c r="M19" s="20">
        <f>ROUND(ROUND(J19, 2)*I19, 2)</f>
        <v>0</v>
      </c>
      <c r="P19" s="19">
        <v>51.63</v>
      </c>
      <c r="S19" s="20">
        <f>ROUND(ROUND(P19, 2)*I19, 2)</f>
        <v>0</v>
      </c>
      <c r="V19" s="9">
        <f>ROUND(ROUND(P19, 2)/1.2, 2)</f>
        <v>43.03</v>
      </c>
      <c r="Y19" s="9">
        <f t="shared" si="3"/>
        <v>0</v>
      </c>
      <c r="AD19" s="4" t="s">
        <v>82</v>
      </c>
      <c r="AE19" s="4" t="s">
        <v>83</v>
      </c>
      <c r="AF19" s="4" t="s">
        <v>84</v>
      </c>
    </row>
    <row r="20" spans="1:35" ht="36" x14ac:dyDescent="0.3">
      <c r="A20" s="10" t="s">
        <v>85</v>
      </c>
      <c r="B20" s="10" t="s">
        <v>57</v>
      </c>
      <c r="C20" s="11" t="s">
        <v>58</v>
      </c>
      <c r="D20" s="12"/>
      <c r="E20" s="12"/>
      <c r="F20" s="12" t="s">
        <v>59</v>
      </c>
      <c r="G20" s="13">
        <v>1</v>
      </c>
      <c r="H20" s="13"/>
      <c r="I20" s="13">
        <v>0</v>
      </c>
      <c r="J20" s="14">
        <v>0</v>
      </c>
      <c r="K20" s="15">
        <v>2293</v>
      </c>
      <c r="L20" s="14">
        <f>J20+ROUND(K20, 2)</f>
        <v>2293</v>
      </c>
      <c r="M20" s="14">
        <v>0</v>
      </c>
      <c r="N20" s="14">
        <v>0</v>
      </c>
      <c r="O20" s="14">
        <f>M20+N20</f>
        <v>0</v>
      </c>
      <c r="P20" s="14">
        <v>3631.1</v>
      </c>
      <c r="Q20" s="15">
        <v>2293</v>
      </c>
      <c r="R20" s="14">
        <f>P20+ROUND(Q20, 2)</f>
        <v>5924.1</v>
      </c>
      <c r="S20" s="14">
        <v>0</v>
      </c>
      <c r="T20" s="14">
        <v>0</v>
      </c>
      <c r="U20" s="14">
        <f>S20+T20</f>
        <v>0</v>
      </c>
      <c r="V20" s="9">
        <f>ROUND(P20 / 1.2, 2)</f>
        <v>3025.92</v>
      </c>
      <c r="W20" s="9">
        <f>ROUND(Q20 / 1.2, 2)</f>
        <v>1910.83</v>
      </c>
      <c r="X20" s="9">
        <f>ROUND(R20 / 1.2, 2)</f>
        <v>4936.75</v>
      </c>
      <c r="Y20" s="9">
        <f t="shared" si="3"/>
        <v>0</v>
      </c>
      <c r="Z20" s="9">
        <f>ROUND(T20 / 1.2, 2)</f>
        <v>0</v>
      </c>
      <c r="AA20" s="9">
        <f>Y20+Z20</f>
        <v>0</v>
      </c>
      <c r="AD20" s="4">
        <v>315889898</v>
      </c>
      <c r="AE20" s="4">
        <v>27245633</v>
      </c>
      <c r="AG20" s="4" t="s">
        <v>60</v>
      </c>
      <c r="AH20" s="4" t="s">
        <v>61</v>
      </c>
      <c r="AI20" s="4" t="s">
        <v>62</v>
      </c>
    </row>
    <row r="21" spans="1:35" ht="18" x14ac:dyDescent="0.3">
      <c r="A21" s="10" t="s">
        <v>86</v>
      </c>
      <c r="B21" s="10"/>
      <c r="C21" s="21" t="s">
        <v>75</v>
      </c>
      <c r="D21" s="12"/>
      <c r="E21" s="12"/>
      <c r="F21" s="17" t="s">
        <v>76</v>
      </c>
      <c r="G21" s="18">
        <v>4.07</v>
      </c>
      <c r="H21" s="22"/>
      <c r="I21" s="22">
        <v>0</v>
      </c>
      <c r="J21" s="19">
        <v>64.56</v>
      </c>
      <c r="M21" s="20">
        <f>ROUND(ROUND(J21, 2)*I21, 2)</f>
        <v>0</v>
      </c>
      <c r="P21" s="19">
        <v>64.56</v>
      </c>
      <c r="S21" s="20">
        <f>ROUND(ROUND(P21, 2)*I21, 2)</f>
        <v>0</v>
      </c>
      <c r="V21" s="9">
        <f>ROUND(ROUND(P21, 2)/1.2, 2)</f>
        <v>53.8</v>
      </c>
      <c r="Y21" s="9">
        <f t="shared" si="3"/>
        <v>0</v>
      </c>
      <c r="AD21" s="4" t="s">
        <v>87</v>
      </c>
      <c r="AE21" s="4" t="s">
        <v>88</v>
      </c>
      <c r="AF21" s="4" t="s">
        <v>79</v>
      </c>
    </row>
    <row r="22" spans="1:35" ht="18" x14ac:dyDescent="0.3">
      <c r="A22" s="10" t="s">
        <v>89</v>
      </c>
      <c r="B22" s="10"/>
      <c r="C22" s="21" t="s">
        <v>81</v>
      </c>
      <c r="D22" s="12"/>
      <c r="E22" s="12"/>
      <c r="F22" s="17" t="s">
        <v>76</v>
      </c>
      <c r="G22" s="18">
        <v>1.42</v>
      </c>
      <c r="H22" s="22"/>
      <c r="I22" s="22">
        <v>0</v>
      </c>
      <c r="J22" s="19">
        <v>51.63</v>
      </c>
      <c r="M22" s="20">
        <f>ROUND(ROUND(J22, 2)*I22, 2)</f>
        <v>0</v>
      </c>
      <c r="P22" s="19">
        <v>51.63</v>
      </c>
      <c r="S22" s="20">
        <f>ROUND(ROUND(P22, 2)*I22, 2)</f>
        <v>0</v>
      </c>
      <c r="V22" s="9">
        <f>ROUND(ROUND(P22, 2)/1.2, 2)</f>
        <v>43.03</v>
      </c>
      <c r="Y22" s="9">
        <f t="shared" si="3"/>
        <v>0</v>
      </c>
      <c r="AD22" s="4" t="s">
        <v>90</v>
      </c>
      <c r="AE22" s="4" t="s">
        <v>91</v>
      </c>
      <c r="AF22" s="4" t="s">
        <v>84</v>
      </c>
    </row>
    <row r="23" spans="1:35" ht="36" x14ac:dyDescent="0.3">
      <c r="A23" s="10" t="s">
        <v>92</v>
      </c>
      <c r="B23" s="10"/>
      <c r="C23" s="16" t="s">
        <v>93</v>
      </c>
      <c r="D23" s="12"/>
      <c r="E23" s="12"/>
      <c r="F23" s="17" t="s">
        <v>59</v>
      </c>
      <c r="G23" s="18">
        <v>2.1</v>
      </c>
      <c r="H23" s="18"/>
      <c r="I23" s="18">
        <v>0</v>
      </c>
      <c r="J23" s="19">
        <v>135.53</v>
      </c>
      <c r="M23" s="20">
        <f>ROUND(ROUND(J23, 2)*I23, 2)</f>
        <v>0</v>
      </c>
      <c r="P23" s="19">
        <v>1520.33</v>
      </c>
      <c r="S23" s="20">
        <f>ROUND(ROUND(P23, 2)*I23, 2)</f>
        <v>0</v>
      </c>
      <c r="V23" s="9">
        <f>ROUND(ROUND(P23, 2)/1.2, 2)</f>
        <v>1266.94</v>
      </c>
      <c r="Y23" s="9">
        <f t="shared" si="3"/>
        <v>0</v>
      </c>
      <c r="AD23" s="4" t="s">
        <v>94</v>
      </c>
      <c r="AE23" s="4" t="s">
        <v>95</v>
      </c>
      <c r="AF23" s="4" t="s">
        <v>96</v>
      </c>
    </row>
    <row r="24" spans="1:35" ht="54" x14ac:dyDescent="0.3">
      <c r="A24" s="10" t="s">
        <v>97</v>
      </c>
      <c r="B24" s="10"/>
      <c r="C24" s="16" t="s">
        <v>64</v>
      </c>
      <c r="D24" s="12"/>
      <c r="E24" s="12"/>
      <c r="F24" s="17" t="s">
        <v>65</v>
      </c>
      <c r="G24" s="18">
        <v>1</v>
      </c>
      <c r="H24" s="18"/>
      <c r="I24" s="18">
        <v>0</v>
      </c>
      <c r="J24" s="19">
        <v>102.33</v>
      </c>
      <c r="M24" s="20">
        <f>ROUND(ROUND(J24, 2)*I24, 2)</f>
        <v>0</v>
      </c>
      <c r="P24" s="19">
        <v>102.33</v>
      </c>
      <c r="S24" s="20">
        <f>ROUND(ROUND(P24, 2)*I24, 2)</f>
        <v>0</v>
      </c>
      <c r="V24" s="9">
        <f>ROUND(ROUND(P24, 2)/1.2, 2)</f>
        <v>85.28</v>
      </c>
      <c r="Y24" s="9">
        <f t="shared" si="3"/>
        <v>0</v>
      </c>
      <c r="AD24" s="4" t="s">
        <v>98</v>
      </c>
      <c r="AE24" s="4" t="s">
        <v>99</v>
      </c>
      <c r="AF24" s="4" t="s">
        <v>68</v>
      </c>
    </row>
    <row r="25" spans="1:35" ht="126" x14ac:dyDescent="0.3">
      <c r="A25" s="10" t="s">
        <v>100</v>
      </c>
      <c r="B25" s="10" t="s">
        <v>57</v>
      </c>
      <c r="C25" s="11" t="s">
        <v>58</v>
      </c>
      <c r="D25" s="12"/>
      <c r="E25" s="12" t="s">
        <v>101</v>
      </c>
      <c r="F25" s="12" t="s">
        <v>59</v>
      </c>
      <c r="G25" s="13">
        <v>1</v>
      </c>
      <c r="H25" s="13"/>
      <c r="I25" s="13">
        <v>6.3</v>
      </c>
      <c r="J25" s="14">
        <v>877.62</v>
      </c>
      <c r="K25" s="15">
        <v>2293</v>
      </c>
      <c r="L25" s="14">
        <f>J25+ROUND(K25, 2)</f>
        <v>3170.62</v>
      </c>
      <c r="M25" s="14">
        <v>5529.01</v>
      </c>
      <c r="N25" s="14">
        <v>14445.9</v>
      </c>
      <c r="O25" s="14">
        <f>M25+N25</f>
        <v>19974.91</v>
      </c>
      <c r="P25" s="14">
        <v>877.6</v>
      </c>
      <c r="Q25" s="15">
        <v>3439.5</v>
      </c>
      <c r="R25" s="14">
        <f>P25+ROUND(Q25, 2)</f>
        <v>4317.1000000000004</v>
      </c>
      <c r="S25" s="14">
        <v>5528.88</v>
      </c>
      <c r="T25" s="14">
        <v>21668.85</v>
      </c>
      <c r="U25" s="14">
        <f>S25+T25</f>
        <v>27197.73</v>
      </c>
      <c r="V25" s="9">
        <f>ROUND(P25 / 1.2, 2)</f>
        <v>731.33</v>
      </c>
      <c r="W25" s="9">
        <f>ROUND(Q25 / 1.2, 2)</f>
        <v>2866.25</v>
      </c>
      <c r="X25" s="9">
        <f>ROUND(R25 / 1.2, 2)</f>
        <v>3597.58</v>
      </c>
      <c r="Y25" s="9">
        <f t="shared" si="3"/>
        <v>4607.3999999999996</v>
      </c>
      <c r="Z25" s="9">
        <f>ROUND(T25 / 1.2, 2)</f>
        <v>18057.38</v>
      </c>
      <c r="AA25" s="9">
        <f>Y25+Z25</f>
        <v>22664.78</v>
      </c>
      <c r="AD25" s="4">
        <v>315889899</v>
      </c>
      <c r="AE25" s="4">
        <v>27245768</v>
      </c>
      <c r="AG25" s="4" t="s">
        <v>60</v>
      </c>
      <c r="AH25" s="4" t="s">
        <v>61</v>
      </c>
      <c r="AI25" s="4" t="s">
        <v>62</v>
      </c>
    </row>
    <row r="26" spans="1:35" ht="54" x14ac:dyDescent="0.3">
      <c r="A26" s="10" t="s">
        <v>102</v>
      </c>
      <c r="B26" s="10"/>
      <c r="C26" s="16" t="s">
        <v>64</v>
      </c>
      <c r="D26" s="12"/>
      <c r="E26" s="12"/>
      <c r="F26" s="17" t="s">
        <v>65</v>
      </c>
      <c r="G26" s="18">
        <v>1</v>
      </c>
      <c r="H26" s="18"/>
      <c r="I26" s="18">
        <v>6.3</v>
      </c>
      <c r="J26" s="19">
        <v>102.34</v>
      </c>
      <c r="M26" s="20">
        <f>ROUND(ROUND(J26, 2)*I26, 2)</f>
        <v>644.74</v>
      </c>
      <c r="P26" s="19">
        <v>102.33</v>
      </c>
      <c r="S26" s="20">
        <f>ROUND(ROUND(P26, 2)*I26, 2)</f>
        <v>644.67999999999995</v>
      </c>
      <c r="V26" s="9">
        <f>ROUND(ROUND(P26, 2)/1.2, 2)</f>
        <v>85.28</v>
      </c>
      <c r="Y26" s="9">
        <f t="shared" si="3"/>
        <v>537.23</v>
      </c>
      <c r="AD26" s="4" t="s">
        <v>103</v>
      </c>
      <c r="AE26" s="4" t="s">
        <v>104</v>
      </c>
      <c r="AF26" s="4" t="s">
        <v>68</v>
      </c>
    </row>
    <row r="27" spans="1:35" ht="36" x14ac:dyDescent="0.3">
      <c r="A27" s="10" t="s">
        <v>105</v>
      </c>
      <c r="B27" s="10"/>
      <c r="C27" s="21" t="s">
        <v>70</v>
      </c>
      <c r="D27" s="12"/>
      <c r="E27" s="12"/>
      <c r="F27" s="17" t="s">
        <v>59</v>
      </c>
      <c r="G27" s="18">
        <v>4.2</v>
      </c>
      <c r="H27" s="18"/>
      <c r="I27" s="18">
        <v>26.46</v>
      </c>
      <c r="J27" s="19">
        <v>104.57</v>
      </c>
      <c r="M27" s="20">
        <f>ROUND(ROUND(J27, 2)*I27, 2)</f>
        <v>2766.92</v>
      </c>
      <c r="P27" s="19">
        <v>104.57</v>
      </c>
      <c r="S27" s="20">
        <f>ROUND(ROUND(P27, 2)*I27, 2)</f>
        <v>2766.92</v>
      </c>
      <c r="V27" s="9">
        <f>ROUND(ROUND(P27, 2)/1.2, 2)</f>
        <v>87.14</v>
      </c>
      <c r="Y27" s="9">
        <f t="shared" si="3"/>
        <v>2305.77</v>
      </c>
      <c r="AD27" s="4" t="s">
        <v>106</v>
      </c>
      <c r="AE27" s="4" t="s">
        <v>107</v>
      </c>
      <c r="AF27" s="4" t="s">
        <v>73</v>
      </c>
    </row>
    <row r="28" spans="1:35" ht="18" x14ac:dyDescent="0.3">
      <c r="A28" s="10" t="s">
        <v>108</v>
      </c>
      <c r="B28" s="10"/>
      <c r="C28" s="21" t="s">
        <v>75</v>
      </c>
      <c r="D28" s="12"/>
      <c r="E28" s="12"/>
      <c r="F28" s="17" t="s">
        <v>76</v>
      </c>
      <c r="G28" s="18">
        <v>4.07</v>
      </c>
      <c r="H28" s="22"/>
      <c r="I28" s="22">
        <v>25.640999999999998</v>
      </c>
      <c r="J28" s="19">
        <v>64.56</v>
      </c>
      <c r="M28" s="20">
        <f>ROUND(ROUND(J28, 2)*I28, 2)</f>
        <v>1655.38</v>
      </c>
      <c r="P28" s="19">
        <v>64.56</v>
      </c>
      <c r="S28" s="20">
        <f>ROUND(ROUND(P28, 2)*I28, 2)</f>
        <v>1655.38</v>
      </c>
      <c r="V28" s="9">
        <f>ROUND(ROUND(P28, 2)/1.2, 2)</f>
        <v>53.8</v>
      </c>
      <c r="Y28" s="9">
        <f t="shared" si="3"/>
        <v>1379.48</v>
      </c>
      <c r="AD28" s="4" t="s">
        <v>109</v>
      </c>
      <c r="AE28" s="4" t="s">
        <v>110</v>
      </c>
      <c r="AF28" s="4" t="s">
        <v>79</v>
      </c>
    </row>
    <row r="29" spans="1:35" ht="18" x14ac:dyDescent="0.3">
      <c r="A29" s="10" t="s">
        <v>111</v>
      </c>
      <c r="B29" s="10"/>
      <c r="C29" s="21" t="s">
        <v>81</v>
      </c>
      <c r="D29" s="12"/>
      <c r="E29" s="12"/>
      <c r="F29" s="17" t="s">
        <v>76</v>
      </c>
      <c r="G29" s="18">
        <v>1.42</v>
      </c>
      <c r="H29" s="22"/>
      <c r="I29" s="22">
        <v>8.9459999999999997</v>
      </c>
      <c r="J29" s="19">
        <v>51.64</v>
      </c>
      <c r="M29" s="20">
        <f>ROUND(ROUND(J29, 2)*I29, 2)</f>
        <v>461.97</v>
      </c>
      <c r="P29" s="19">
        <v>51.63</v>
      </c>
      <c r="S29" s="20">
        <f>ROUND(ROUND(P29, 2)*I29, 2)</f>
        <v>461.88</v>
      </c>
      <c r="V29" s="9">
        <f>ROUND(ROUND(P29, 2)/1.2, 2)</f>
        <v>43.03</v>
      </c>
      <c r="Y29" s="9">
        <f t="shared" si="3"/>
        <v>384.9</v>
      </c>
      <c r="AD29" s="4" t="s">
        <v>112</v>
      </c>
      <c r="AE29" s="4" t="s">
        <v>113</v>
      </c>
      <c r="AF29" s="4" t="s">
        <v>84</v>
      </c>
    </row>
    <row r="30" spans="1:35" ht="162" x14ac:dyDescent="0.3">
      <c r="A30" s="10" t="s">
        <v>114</v>
      </c>
      <c r="B30" s="10" t="s">
        <v>57</v>
      </c>
      <c r="C30" s="11" t="s">
        <v>58</v>
      </c>
      <c r="D30" s="12"/>
      <c r="E30" s="12" t="s">
        <v>115</v>
      </c>
      <c r="F30" s="12" t="s">
        <v>59</v>
      </c>
      <c r="G30" s="13">
        <v>1</v>
      </c>
      <c r="H30" s="13"/>
      <c r="I30" s="13">
        <v>25.4</v>
      </c>
      <c r="J30" s="14">
        <v>723.04</v>
      </c>
      <c r="K30" s="15">
        <v>2293</v>
      </c>
      <c r="L30" s="14">
        <f>J30+ROUND(K30, 2)</f>
        <v>3016.04</v>
      </c>
      <c r="M30" s="14">
        <v>18365.22</v>
      </c>
      <c r="N30" s="14">
        <v>58242.2</v>
      </c>
      <c r="O30" s="14">
        <f>M30+N30</f>
        <v>76607.42</v>
      </c>
      <c r="P30" s="14">
        <v>3631.1</v>
      </c>
      <c r="Q30" s="15">
        <v>3439.5</v>
      </c>
      <c r="R30" s="14">
        <f>P30+ROUND(Q30, 2)</f>
        <v>7070.6</v>
      </c>
      <c r="S30" s="14">
        <v>92229.94</v>
      </c>
      <c r="T30" s="14">
        <v>87363.3</v>
      </c>
      <c r="U30" s="14">
        <f>S30+T30</f>
        <v>179593.24</v>
      </c>
      <c r="V30" s="9">
        <f>ROUND(P30 / 1.2, 2)</f>
        <v>3025.92</v>
      </c>
      <c r="W30" s="9">
        <f>ROUND(Q30 / 1.2, 2)</f>
        <v>2866.25</v>
      </c>
      <c r="X30" s="9">
        <f>ROUND(R30 / 1.2, 2)</f>
        <v>5892.17</v>
      </c>
      <c r="Y30" s="9">
        <f t="shared" si="3"/>
        <v>76858.28</v>
      </c>
      <c r="Z30" s="9">
        <f>ROUND(T30 / 1.2, 2)</f>
        <v>72802.75</v>
      </c>
      <c r="AA30" s="9">
        <f>Y30+Z30</f>
        <v>149661.03</v>
      </c>
      <c r="AD30" s="4">
        <v>315889900</v>
      </c>
      <c r="AE30" s="4">
        <v>27245765</v>
      </c>
      <c r="AG30" s="4" t="s">
        <v>60</v>
      </c>
      <c r="AH30" s="4" t="s">
        <v>61</v>
      </c>
      <c r="AI30" s="4" t="s">
        <v>62</v>
      </c>
    </row>
    <row r="31" spans="1:35" ht="18" x14ac:dyDescent="0.3">
      <c r="A31" s="10" t="s">
        <v>116</v>
      </c>
      <c r="B31" s="10"/>
      <c r="C31" s="21" t="s">
        <v>75</v>
      </c>
      <c r="D31" s="12"/>
      <c r="E31" s="12"/>
      <c r="F31" s="17" t="s">
        <v>76</v>
      </c>
      <c r="G31" s="18">
        <v>4.07</v>
      </c>
      <c r="H31" s="22"/>
      <c r="I31" s="22">
        <v>103.378</v>
      </c>
      <c r="J31" s="19">
        <v>64.56</v>
      </c>
      <c r="M31" s="20">
        <f>ROUND(ROUND(J31, 2)*I31, 2)</f>
        <v>6674.08</v>
      </c>
      <c r="P31" s="19">
        <v>64.56</v>
      </c>
      <c r="S31" s="20">
        <f>ROUND(ROUND(P31, 2)*I31, 2)</f>
        <v>6674.08</v>
      </c>
      <c r="V31" s="9">
        <f>ROUND(ROUND(P31, 2)/1.2, 2)</f>
        <v>53.8</v>
      </c>
      <c r="Y31" s="9">
        <f t="shared" si="3"/>
        <v>5561.73</v>
      </c>
      <c r="AD31" s="4" t="s">
        <v>117</v>
      </c>
      <c r="AE31" s="4" t="s">
        <v>118</v>
      </c>
      <c r="AF31" s="4" t="s">
        <v>79</v>
      </c>
    </row>
    <row r="32" spans="1:35" ht="18" x14ac:dyDescent="0.3">
      <c r="A32" s="10" t="s">
        <v>119</v>
      </c>
      <c r="B32" s="10"/>
      <c r="C32" s="21" t="s">
        <v>81</v>
      </c>
      <c r="D32" s="12"/>
      <c r="E32" s="12"/>
      <c r="F32" s="17" t="s">
        <v>76</v>
      </c>
      <c r="G32" s="18">
        <v>1.42</v>
      </c>
      <c r="H32" s="22"/>
      <c r="I32" s="22">
        <v>36.067999999999998</v>
      </c>
      <c r="J32" s="19">
        <v>51.64</v>
      </c>
      <c r="M32" s="20">
        <f>ROUND(ROUND(J32, 2)*I32, 2)</f>
        <v>1862.55</v>
      </c>
      <c r="P32" s="19">
        <v>51.63</v>
      </c>
      <c r="S32" s="20">
        <f>ROUND(ROUND(P32, 2)*I32, 2)</f>
        <v>1862.19</v>
      </c>
      <c r="V32" s="9">
        <f>ROUND(ROUND(P32, 2)/1.2, 2)</f>
        <v>43.03</v>
      </c>
      <c r="Y32" s="9">
        <f t="shared" si="3"/>
        <v>1551.83</v>
      </c>
      <c r="AD32" s="4" t="s">
        <v>120</v>
      </c>
      <c r="AE32" s="4" t="s">
        <v>121</v>
      </c>
      <c r="AF32" s="4" t="s">
        <v>84</v>
      </c>
    </row>
    <row r="33" spans="1:35" ht="36" x14ac:dyDescent="0.3">
      <c r="A33" s="10" t="s">
        <v>122</v>
      </c>
      <c r="B33" s="10"/>
      <c r="C33" s="16" t="s">
        <v>93</v>
      </c>
      <c r="D33" s="12"/>
      <c r="E33" s="12" t="s">
        <v>123</v>
      </c>
      <c r="F33" s="17" t="s">
        <v>59</v>
      </c>
      <c r="G33" s="18">
        <v>2.1</v>
      </c>
      <c r="H33" s="18"/>
      <c r="I33" s="18">
        <v>53.34</v>
      </c>
      <c r="J33" s="19">
        <v>135.53</v>
      </c>
      <c r="M33" s="20">
        <f>ROUND(ROUND(J33, 2)*I33, 2)</f>
        <v>7229.17</v>
      </c>
      <c r="P33" s="19">
        <v>1520.33</v>
      </c>
      <c r="S33" s="20">
        <f>ROUND(ROUND(P33, 2)*I33, 2)</f>
        <v>81094.399999999994</v>
      </c>
      <c r="V33" s="9">
        <f>ROUND(ROUND(P33, 2)/1.2, 2)</f>
        <v>1266.94</v>
      </c>
      <c r="Y33" s="9">
        <f t="shared" si="3"/>
        <v>67578.67</v>
      </c>
      <c r="AD33" s="4" t="s">
        <v>124</v>
      </c>
      <c r="AE33" s="4" t="s">
        <v>125</v>
      </c>
      <c r="AF33" s="4" t="s">
        <v>96</v>
      </c>
    </row>
    <row r="34" spans="1:35" ht="54" x14ac:dyDescent="0.3">
      <c r="A34" s="10" t="s">
        <v>126</v>
      </c>
      <c r="B34" s="10"/>
      <c r="C34" s="16" t="s">
        <v>64</v>
      </c>
      <c r="D34" s="12"/>
      <c r="E34" s="12"/>
      <c r="F34" s="17" t="s">
        <v>65</v>
      </c>
      <c r="G34" s="18">
        <v>1</v>
      </c>
      <c r="H34" s="18"/>
      <c r="I34" s="18">
        <v>25.4</v>
      </c>
      <c r="J34" s="19">
        <v>102.34</v>
      </c>
      <c r="M34" s="20">
        <f>ROUND(ROUND(J34, 2)*I34, 2)</f>
        <v>2599.44</v>
      </c>
      <c r="P34" s="19">
        <v>102.33</v>
      </c>
      <c r="S34" s="20">
        <f>ROUND(ROUND(P34, 2)*I34, 2)</f>
        <v>2599.1799999999998</v>
      </c>
      <c r="V34" s="9">
        <f>ROUND(ROUND(P34, 2)/1.2, 2)</f>
        <v>85.28</v>
      </c>
      <c r="Y34" s="9">
        <f t="shared" si="3"/>
        <v>2165.98</v>
      </c>
      <c r="AD34" s="4" t="s">
        <v>127</v>
      </c>
      <c r="AE34" s="4" t="s">
        <v>128</v>
      </c>
      <c r="AF34" s="4" t="s">
        <v>68</v>
      </c>
    </row>
    <row r="35" spans="1:35" ht="180" x14ac:dyDescent="0.3">
      <c r="A35" s="10" t="s">
        <v>129</v>
      </c>
      <c r="B35" s="10" t="s">
        <v>130</v>
      </c>
      <c r="C35" s="11" t="s">
        <v>131</v>
      </c>
      <c r="D35" s="12" t="s">
        <v>132</v>
      </c>
      <c r="E35" s="12"/>
      <c r="F35" s="12" t="s">
        <v>59</v>
      </c>
      <c r="G35" s="13">
        <v>1</v>
      </c>
      <c r="H35" s="13"/>
      <c r="I35" s="13">
        <v>0</v>
      </c>
      <c r="J35" s="14">
        <v>0</v>
      </c>
      <c r="K35" s="15">
        <v>1064</v>
      </c>
      <c r="L35" s="14">
        <f>J35+ROUND(K35, 2)</f>
        <v>1064</v>
      </c>
      <c r="M35" s="14">
        <v>0</v>
      </c>
      <c r="N35" s="14">
        <v>0</v>
      </c>
      <c r="O35" s="14">
        <f>M35+N35</f>
        <v>0</v>
      </c>
      <c r="P35" s="14">
        <v>333.37</v>
      </c>
      <c r="Q35" s="15">
        <v>1064</v>
      </c>
      <c r="R35" s="14">
        <f>P35+ROUND(Q35, 2)</f>
        <v>1397.37</v>
      </c>
      <c r="S35" s="14">
        <v>0</v>
      </c>
      <c r="T35" s="14">
        <v>0</v>
      </c>
      <c r="U35" s="14">
        <f>S35+T35</f>
        <v>0</v>
      </c>
      <c r="V35" s="9">
        <f>ROUND(P35 / 1.2, 2)</f>
        <v>277.81</v>
      </c>
      <c r="W35" s="9">
        <f>ROUND(Q35 / 1.2, 2)</f>
        <v>886.67</v>
      </c>
      <c r="X35" s="9">
        <f>ROUND(R35 / 1.2, 2)</f>
        <v>1164.48</v>
      </c>
      <c r="Y35" s="9">
        <f t="shared" si="3"/>
        <v>0</v>
      </c>
      <c r="Z35" s="9">
        <f>ROUND(T35 / 1.2, 2)</f>
        <v>0</v>
      </c>
      <c r="AA35" s="9">
        <f>Y35+Z35</f>
        <v>0</v>
      </c>
      <c r="AD35" s="4">
        <v>315889902</v>
      </c>
      <c r="AE35" s="4">
        <v>27245691</v>
      </c>
      <c r="AG35" s="4" t="s">
        <v>133</v>
      </c>
      <c r="AH35" s="4" t="s">
        <v>134</v>
      </c>
      <c r="AI35" s="4" t="s">
        <v>62</v>
      </c>
    </row>
    <row r="36" spans="1:35" ht="72" x14ac:dyDescent="0.3">
      <c r="A36" s="10" t="s">
        <v>135</v>
      </c>
      <c r="B36" s="10"/>
      <c r="C36" s="16" t="s">
        <v>136</v>
      </c>
      <c r="D36" s="12"/>
      <c r="E36" s="12"/>
      <c r="F36" s="17" t="s">
        <v>65</v>
      </c>
      <c r="G36" s="18">
        <v>1</v>
      </c>
      <c r="H36" s="18"/>
      <c r="I36" s="18">
        <v>0</v>
      </c>
      <c r="J36" s="19">
        <v>43.7</v>
      </c>
      <c r="M36" s="20">
        <f>ROUND(ROUND(J36, 2)*I36, 2)</f>
        <v>0</v>
      </c>
      <c r="P36" s="19">
        <v>43.7</v>
      </c>
      <c r="S36" s="20">
        <f>ROUND(ROUND(P36, 2)*I36, 2)</f>
        <v>0</v>
      </c>
      <c r="V36" s="9">
        <f>ROUND(ROUND(P36, 2)/1.2, 2)</f>
        <v>36.42</v>
      </c>
      <c r="Y36" s="9">
        <f t="shared" si="3"/>
        <v>0</v>
      </c>
      <c r="AD36" s="4" t="s">
        <v>137</v>
      </c>
      <c r="AE36" s="4" t="s">
        <v>138</v>
      </c>
      <c r="AF36" s="4" t="s">
        <v>139</v>
      </c>
    </row>
    <row r="37" spans="1:35" ht="36" x14ac:dyDescent="0.3">
      <c r="A37" s="10" t="s">
        <v>140</v>
      </c>
      <c r="B37" s="10"/>
      <c r="C37" s="21" t="s">
        <v>141</v>
      </c>
      <c r="D37" s="12"/>
      <c r="E37" s="12"/>
      <c r="F37" s="17" t="s">
        <v>59</v>
      </c>
      <c r="G37" s="18">
        <v>1.2</v>
      </c>
      <c r="H37" s="18"/>
      <c r="I37" s="18">
        <v>0</v>
      </c>
      <c r="J37" s="19">
        <v>104.57</v>
      </c>
      <c r="M37" s="20">
        <f>ROUND(ROUND(J37, 2)*I37, 2)</f>
        <v>0</v>
      </c>
      <c r="P37" s="19">
        <v>104.57</v>
      </c>
      <c r="S37" s="20">
        <f>ROUND(ROUND(P37, 2)*I37, 2)</f>
        <v>0</v>
      </c>
      <c r="V37" s="9">
        <f>ROUND(ROUND(P37, 2)/1.2, 2)</f>
        <v>87.14</v>
      </c>
      <c r="Y37" s="9">
        <f t="shared" si="3"/>
        <v>0</v>
      </c>
      <c r="AD37" s="4" t="s">
        <v>142</v>
      </c>
      <c r="AE37" s="4" t="s">
        <v>143</v>
      </c>
      <c r="AF37" s="4" t="s">
        <v>144</v>
      </c>
    </row>
    <row r="38" spans="1:35" ht="18" x14ac:dyDescent="0.3">
      <c r="A38" s="10" t="s">
        <v>145</v>
      </c>
      <c r="B38" s="10"/>
      <c r="C38" s="21" t="s">
        <v>75</v>
      </c>
      <c r="D38" s="12"/>
      <c r="E38" s="12"/>
      <c r="F38" s="17" t="s">
        <v>76</v>
      </c>
      <c r="G38" s="18">
        <v>2.1</v>
      </c>
      <c r="H38" s="18"/>
      <c r="I38" s="18">
        <v>0</v>
      </c>
      <c r="J38" s="19">
        <v>64.56</v>
      </c>
      <c r="M38" s="20">
        <f>ROUND(ROUND(J38, 2)*I38, 2)</f>
        <v>0</v>
      </c>
      <c r="P38" s="19">
        <v>64.56</v>
      </c>
      <c r="S38" s="20">
        <f>ROUND(ROUND(P38, 2)*I38, 2)</f>
        <v>0</v>
      </c>
      <c r="V38" s="9">
        <f>ROUND(ROUND(P38, 2)/1.2, 2)</f>
        <v>53.8</v>
      </c>
      <c r="Y38" s="9">
        <f t="shared" si="3"/>
        <v>0</v>
      </c>
      <c r="AD38" s="4" t="s">
        <v>146</v>
      </c>
      <c r="AE38" s="4" t="s">
        <v>147</v>
      </c>
      <c r="AF38" s="4" t="s">
        <v>79</v>
      </c>
    </row>
    <row r="39" spans="1:35" ht="18" x14ac:dyDescent="0.3">
      <c r="A39" s="10" t="s">
        <v>148</v>
      </c>
      <c r="B39" s="10"/>
      <c r="C39" s="16" t="s">
        <v>149</v>
      </c>
      <c r="D39" s="12"/>
      <c r="E39" s="12"/>
      <c r="F39" s="17" t="s">
        <v>76</v>
      </c>
      <c r="G39" s="18">
        <v>0.8</v>
      </c>
      <c r="H39" s="18"/>
      <c r="I39" s="18">
        <v>0</v>
      </c>
      <c r="J39" s="19">
        <v>35.76</v>
      </c>
      <c r="M39" s="20">
        <f>ROUND(ROUND(J39, 2)*I39, 2)</f>
        <v>0</v>
      </c>
      <c r="P39" s="19">
        <v>35.76</v>
      </c>
      <c r="S39" s="20">
        <f>ROUND(ROUND(P39, 2)*I39, 2)</f>
        <v>0</v>
      </c>
      <c r="V39" s="9">
        <f>ROUND(ROUND(P39, 2)/1.2, 2)</f>
        <v>29.8</v>
      </c>
      <c r="Y39" s="9">
        <f t="shared" si="3"/>
        <v>0</v>
      </c>
      <c r="AD39" s="4" t="s">
        <v>150</v>
      </c>
      <c r="AE39" s="4" t="s">
        <v>151</v>
      </c>
      <c r="AF39" s="4" t="s">
        <v>152</v>
      </c>
    </row>
    <row r="40" spans="1:35" ht="180" x14ac:dyDescent="0.3">
      <c r="A40" s="10" t="s">
        <v>153</v>
      </c>
      <c r="B40" s="10" t="s">
        <v>130</v>
      </c>
      <c r="C40" s="11" t="s">
        <v>131</v>
      </c>
      <c r="D40" s="12" t="s">
        <v>132</v>
      </c>
      <c r="E40" s="12" t="s">
        <v>154</v>
      </c>
      <c r="F40" s="12" t="s">
        <v>59</v>
      </c>
      <c r="G40" s="13">
        <v>1</v>
      </c>
      <c r="H40" s="13"/>
      <c r="I40" s="13">
        <v>45.4</v>
      </c>
      <c r="J40" s="14">
        <v>484.9</v>
      </c>
      <c r="K40" s="15">
        <v>1064</v>
      </c>
      <c r="L40" s="14">
        <f>J40+ROUND(K40, 2)</f>
        <v>1548.9</v>
      </c>
      <c r="M40" s="14">
        <v>22014.46</v>
      </c>
      <c r="N40" s="14">
        <v>48305.599999999999</v>
      </c>
      <c r="O40" s="14">
        <f>M40+N40</f>
        <v>70320.06</v>
      </c>
      <c r="P40" s="14">
        <v>484.89</v>
      </c>
      <c r="Q40" s="15">
        <v>1596</v>
      </c>
      <c r="R40" s="14">
        <f>P40+ROUND(Q40, 2)</f>
        <v>2080.89</v>
      </c>
      <c r="S40" s="14">
        <v>22014.01</v>
      </c>
      <c r="T40" s="14">
        <v>72458.399999999994</v>
      </c>
      <c r="U40" s="14">
        <f>S40+T40</f>
        <v>94472.409999999989</v>
      </c>
      <c r="V40" s="9">
        <f>ROUND(P40 / 1.2, 2)</f>
        <v>404.08</v>
      </c>
      <c r="W40" s="9">
        <f>ROUND(Q40 / 1.2, 2)</f>
        <v>1330</v>
      </c>
      <c r="X40" s="9">
        <f>ROUND(R40 / 1.2, 2)</f>
        <v>1734.08</v>
      </c>
      <c r="Y40" s="9">
        <f t="shared" si="3"/>
        <v>18345.009999999998</v>
      </c>
      <c r="Z40" s="9">
        <f>ROUND(T40 / 1.2, 2)</f>
        <v>60382</v>
      </c>
      <c r="AA40" s="9">
        <f>Y40+Z40</f>
        <v>78727.009999999995</v>
      </c>
      <c r="AD40" s="4">
        <v>315889903</v>
      </c>
      <c r="AE40" s="4">
        <v>27245766</v>
      </c>
      <c r="AG40" s="4" t="s">
        <v>133</v>
      </c>
      <c r="AH40" s="4" t="s">
        <v>134</v>
      </c>
      <c r="AI40" s="4" t="s">
        <v>62</v>
      </c>
    </row>
    <row r="41" spans="1:35" ht="18" x14ac:dyDescent="0.3">
      <c r="A41" s="10" t="s">
        <v>155</v>
      </c>
      <c r="B41" s="10"/>
      <c r="C41" s="16" t="s">
        <v>149</v>
      </c>
      <c r="D41" s="12"/>
      <c r="E41" s="12"/>
      <c r="F41" s="17" t="s">
        <v>76</v>
      </c>
      <c r="G41" s="18">
        <v>0.8</v>
      </c>
      <c r="H41" s="18"/>
      <c r="I41" s="18">
        <v>36.32</v>
      </c>
      <c r="J41" s="19">
        <v>35.76</v>
      </c>
      <c r="M41" s="20">
        <f>ROUND(ROUND(J41, 2)*I41, 2)</f>
        <v>1298.8</v>
      </c>
      <c r="P41" s="19">
        <v>35.76</v>
      </c>
      <c r="S41" s="20">
        <f>ROUND(ROUND(P41, 2)*I41, 2)</f>
        <v>1298.8</v>
      </c>
      <c r="V41" s="9">
        <f>ROUND(ROUND(P41, 2)/1.2, 2)</f>
        <v>29.8</v>
      </c>
      <c r="Y41" s="9">
        <f t="shared" si="3"/>
        <v>1082.33</v>
      </c>
      <c r="AD41" s="4" t="s">
        <v>156</v>
      </c>
      <c r="AE41" s="4" t="s">
        <v>157</v>
      </c>
      <c r="AF41" s="4" t="s">
        <v>152</v>
      </c>
    </row>
    <row r="42" spans="1:35" ht="18" x14ac:dyDescent="0.3">
      <c r="A42" s="10" t="s">
        <v>158</v>
      </c>
      <c r="B42" s="10"/>
      <c r="C42" s="21" t="s">
        <v>81</v>
      </c>
      <c r="D42" s="12"/>
      <c r="E42" s="12"/>
      <c r="F42" s="17" t="s">
        <v>76</v>
      </c>
      <c r="G42" s="18">
        <v>0.8</v>
      </c>
      <c r="H42" s="18"/>
      <c r="I42" s="18">
        <v>36.32</v>
      </c>
      <c r="J42" s="19">
        <v>51.64</v>
      </c>
      <c r="M42" s="20">
        <f>ROUND(ROUND(J42, 2)*I42, 2)</f>
        <v>1875.56</v>
      </c>
      <c r="P42" s="19">
        <v>51.63</v>
      </c>
      <c r="S42" s="20">
        <f>ROUND(ROUND(P42, 2)*I42, 2)</f>
        <v>1875.2</v>
      </c>
      <c r="V42" s="9">
        <f>ROUND(ROUND(P42, 2)/1.2, 2)</f>
        <v>43.03</v>
      </c>
      <c r="Y42" s="9">
        <f t="shared" si="3"/>
        <v>1562.67</v>
      </c>
      <c r="AD42" s="4" t="s">
        <v>159</v>
      </c>
      <c r="AE42" s="4" t="s">
        <v>160</v>
      </c>
      <c r="AF42" s="4" t="s">
        <v>84</v>
      </c>
    </row>
    <row r="43" spans="1:35" ht="18" x14ac:dyDescent="0.3">
      <c r="A43" s="10" t="s">
        <v>161</v>
      </c>
      <c r="B43" s="10"/>
      <c r="C43" s="21" t="s">
        <v>162</v>
      </c>
      <c r="D43" s="12"/>
      <c r="E43" s="12"/>
      <c r="F43" s="17" t="s">
        <v>59</v>
      </c>
      <c r="G43" s="18">
        <v>1.2</v>
      </c>
      <c r="H43" s="18"/>
      <c r="I43" s="18">
        <v>54.48</v>
      </c>
      <c r="J43" s="19">
        <v>309.39999999999998</v>
      </c>
      <c r="M43" s="20">
        <f>ROUND(ROUND(J43, 2)*I43, 2)</f>
        <v>16856.11</v>
      </c>
      <c r="P43" s="19">
        <v>309.39999999999998</v>
      </c>
      <c r="S43" s="20">
        <f>ROUND(ROUND(P43, 2)*I43, 2)</f>
        <v>16856.11</v>
      </c>
      <c r="V43" s="9">
        <f>ROUND(ROUND(P43, 2)/1.2, 2)</f>
        <v>257.83</v>
      </c>
      <c r="Y43" s="9">
        <f t="shared" si="3"/>
        <v>14046.76</v>
      </c>
      <c r="AD43" s="4" t="s">
        <v>163</v>
      </c>
      <c r="AE43" s="4" t="s">
        <v>164</v>
      </c>
      <c r="AF43" s="4" t="s">
        <v>165</v>
      </c>
    </row>
    <row r="44" spans="1:35" ht="72" x14ac:dyDescent="0.3">
      <c r="A44" s="10" t="s">
        <v>166</v>
      </c>
      <c r="B44" s="10"/>
      <c r="C44" s="16" t="s">
        <v>136</v>
      </c>
      <c r="D44" s="12"/>
      <c r="E44" s="12"/>
      <c r="F44" s="17" t="s">
        <v>65</v>
      </c>
      <c r="G44" s="18">
        <v>1</v>
      </c>
      <c r="H44" s="18"/>
      <c r="I44" s="18">
        <v>45.4</v>
      </c>
      <c r="J44" s="19">
        <v>43.7</v>
      </c>
      <c r="M44" s="20">
        <f>ROUND(ROUND(J44, 2)*I44, 2)</f>
        <v>1983.98</v>
      </c>
      <c r="P44" s="19">
        <v>43.7</v>
      </c>
      <c r="S44" s="20">
        <f>ROUND(ROUND(P44, 2)*I44, 2)</f>
        <v>1983.98</v>
      </c>
      <c r="V44" s="9">
        <f>ROUND(ROUND(P44, 2)/1.2, 2)</f>
        <v>36.42</v>
      </c>
      <c r="Y44" s="9">
        <f t="shared" si="3"/>
        <v>1653.32</v>
      </c>
      <c r="AD44" s="4" t="s">
        <v>167</v>
      </c>
      <c r="AE44" s="4" t="s">
        <v>168</v>
      </c>
      <c r="AF44" s="4" t="s">
        <v>139</v>
      </c>
    </row>
    <row r="45" spans="1:35" ht="180" x14ac:dyDescent="0.3">
      <c r="A45" s="10" t="s">
        <v>169</v>
      </c>
      <c r="B45" s="10" t="s">
        <v>170</v>
      </c>
      <c r="C45" s="11" t="s">
        <v>171</v>
      </c>
      <c r="D45" s="12" t="s">
        <v>132</v>
      </c>
      <c r="E45" s="12"/>
      <c r="F45" s="12" t="s">
        <v>59</v>
      </c>
      <c r="G45" s="13">
        <v>1</v>
      </c>
      <c r="H45" s="13"/>
      <c r="I45" s="13">
        <v>0</v>
      </c>
      <c r="J45" s="14">
        <v>0</v>
      </c>
      <c r="K45" s="15">
        <v>1225</v>
      </c>
      <c r="L45" s="14">
        <f>J45+ROUND(K45, 2)</f>
        <v>1225</v>
      </c>
      <c r="M45" s="14">
        <v>0</v>
      </c>
      <c r="N45" s="14">
        <v>0</v>
      </c>
      <c r="O45" s="14">
        <f>M45+N45</f>
        <v>0</v>
      </c>
      <c r="P45" s="14">
        <v>518.09</v>
      </c>
      <c r="Q45" s="15">
        <v>1225</v>
      </c>
      <c r="R45" s="14">
        <f>P45+ROUND(Q45, 2)</f>
        <v>1743.0900000000001</v>
      </c>
      <c r="S45" s="14">
        <v>0</v>
      </c>
      <c r="T45" s="14">
        <v>0</v>
      </c>
      <c r="U45" s="14">
        <f>S45+T45</f>
        <v>0</v>
      </c>
      <c r="V45" s="9">
        <f>ROUND(P45 / 1.2, 2)</f>
        <v>431.74</v>
      </c>
      <c r="W45" s="9">
        <f>ROUND(Q45 / 1.2, 2)</f>
        <v>1020.83</v>
      </c>
      <c r="X45" s="9">
        <f>ROUND(R45 / 1.2, 2)</f>
        <v>1452.58</v>
      </c>
      <c r="Y45" s="9">
        <f t="shared" si="3"/>
        <v>0</v>
      </c>
      <c r="Z45" s="9">
        <f>ROUND(T45 / 1.2, 2)</f>
        <v>0</v>
      </c>
      <c r="AA45" s="9">
        <f>Y45+Z45</f>
        <v>0</v>
      </c>
      <c r="AD45" s="4">
        <v>315889904</v>
      </c>
      <c r="AE45" s="4">
        <v>27245718</v>
      </c>
      <c r="AG45" s="4" t="s">
        <v>172</v>
      </c>
      <c r="AH45" s="4" t="s">
        <v>173</v>
      </c>
      <c r="AI45" s="4" t="s">
        <v>62</v>
      </c>
    </row>
    <row r="46" spans="1:35" ht="72" x14ac:dyDescent="0.3">
      <c r="A46" s="10" t="s">
        <v>174</v>
      </c>
      <c r="B46" s="10"/>
      <c r="C46" s="16" t="s">
        <v>175</v>
      </c>
      <c r="D46" s="12"/>
      <c r="E46" s="12"/>
      <c r="F46" s="17" t="s">
        <v>65</v>
      </c>
      <c r="G46" s="18">
        <v>1</v>
      </c>
      <c r="H46" s="18"/>
      <c r="I46" s="18">
        <v>0</v>
      </c>
      <c r="J46" s="19">
        <v>111.15</v>
      </c>
      <c r="M46" s="20">
        <f>ROUND(ROUND(J46, 2)*I46, 2)</f>
        <v>0</v>
      </c>
      <c r="P46" s="19">
        <v>111.15</v>
      </c>
      <c r="S46" s="20">
        <f>ROUND(ROUND(P46, 2)*I46, 2)</f>
        <v>0</v>
      </c>
      <c r="V46" s="9">
        <f>ROUND(ROUND(P46, 2)/1.2, 2)</f>
        <v>92.63</v>
      </c>
      <c r="Y46" s="9">
        <f t="shared" si="3"/>
        <v>0</v>
      </c>
      <c r="AD46" s="4" t="s">
        <v>176</v>
      </c>
      <c r="AE46" s="4" t="s">
        <v>177</v>
      </c>
      <c r="AF46" s="4" t="s">
        <v>178</v>
      </c>
    </row>
    <row r="47" spans="1:35" ht="18" x14ac:dyDescent="0.3">
      <c r="A47" s="10" t="s">
        <v>179</v>
      </c>
      <c r="B47" s="10"/>
      <c r="C47" s="21" t="s">
        <v>75</v>
      </c>
      <c r="D47" s="12"/>
      <c r="E47" s="12"/>
      <c r="F47" s="17" t="s">
        <v>76</v>
      </c>
      <c r="G47" s="18">
        <v>2.1</v>
      </c>
      <c r="H47" s="18"/>
      <c r="I47" s="18">
        <v>0</v>
      </c>
      <c r="J47" s="19">
        <v>64.56</v>
      </c>
      <c r="M47" s="20">
        <f>ROUND(ROUND(J47, 2)*I47, 2)</f>
        <v>0</v>
      </c>
      <c r="P47" s="19">
        <v>64.56</v>
      </c>
      <c r="S47" s="20">
        <f>ROUND(ROUND(P47, 2)*I47, 2)</f>
        <v>0</v>
      </c>
      <c r="V47" s="9">
        <f>ROUND(ROUND(P47, 2)/1.2, 2)</f>
        <v>53.8</v>
      </c>
      <c r="Y47" s="9">
        <f t="shared" si="3"/>
        <v>0</v>
      </c>
      <c r="AD47" s="4" t="s">
        <v>180</v>
      </c>
      <c r="AE47" s="4" t="s">
        <v>181</v>
      </c>
      <c r="AF47" s="4" t="s">
        <v>79</v>
      </c>
    </row>
    <row r="48" spans="1:35" ht="18" x14ac:dyDescent="0.3">
      <c r="A48" s="10" t="s">
        <v>182</v>
      </c>
      <c r="B48" s="10"/>
      <c r="C48" s="21" t="s">
        <v>81</v>
      </c>
      <c r="D48" s="12"/>
      <c r="E48" s="12"/>
      <c r="F48" s="17" t="s">
        <v>76</v>
      </c>
      <c r="G48" s="18">
        <v>0.8</v>
      </c>
      <c r="H48" s="18"/>
      <c r="I48" s="18">
        <v>0</v>
      </c>
      <c r="J48" s="19">
        <v>51.63</v>
      </c>
      <c r="M48" s="20">
        <f>ROUND(ROUND(J48, 2)*I48, 2)</f>
        <v>0</v>
      </c>
      <c r="P48" s="19">
        <v>51.63</v>
      </c>
      <c r="S48" s="20">
        <f>ROUND(ROUND(P48, 2)*I48, 2)</f>
        <v>0</v>
      </c>
      <c r="V48" s="9">
        <f>ROUND(ROUND(P48, 2)/1.2, 2)</f>
        <v>43.03</v>
      </c>
      <c r="Y48" s="9">
        <f t="shared" si="3"/>
        <v>0</v>
      </c>
      <c r="AD48" s="4" t="s">
        <v>183</v>
      </c>
      <c r="AE48" s="4" t="s">
        <v>184</v>
      </c>
      <c r="AF48" s="4" t="s">
        <v>84</v>
      </c>
    </row>
    <row r="49" spans="1:35" ht="36" x14ac:dyDescent="0.3">
      <c r="A49" s="10" t="s">
        <v>185</v>
      </c>
      <c r="B49" s="10"/>
      <c r="C49" s="21" t="s">
        <v>70</v>
      </c>
      <c r="D49" s="12"/>
      <c r="E49" s="12"/>
      <c r="F49" s="17" t="s">
        <v>59</v>
      </c>
      <c r="G49" s="18">
        <v>2.2000000000000002</v>
      </c>
      <c r="H49" s="18"/>
      <c r="I49" s="18">
        <v>0</v>
      </c>
      <c r="J49" s="19">
        <v>104.57</v>
      </c>
      <c r="M49" s="20">
        <f>ROUND(ROUND(J49, 2)*I49, 2)</f>
        <v>0</v>
      </c>
      <c r="P49" s="19">
        <v>104.57</v>
      </c>
      <c r="S49" s="20">
        <f>ROUND(ROUND(P49, 2)*I49, 2)</f>
        <v>0</v>
      </c>
      <c r="V49" s="9">
        <f>ROUND(ROUND(P49, 2)/1.2, 2)</f>
        <v>87.14</v>
      </c>
      <c r="Y49" s="9">
        <f t="shared" si="3"/>
        <v>0</v>
      </c>
      <c r="AD49" s="4" t="s">
        <v>186</v>
      </c>
      <c r="AE49" s="4" t="s">
        <v>187</v>
      </c>
      <c r="AF49" s="4" t="s">
        <v>188</v>
      </c>
    </row>
    <row r="50" spans="1:35" ht="180" x14ac:dyDescent="0.3">
      <c r="A50" s="10" t="s">
        <v>189</v>
      </c>
      <c r="B50" s="10" t="s">
        <v>170</v>
      </c>
      <c r="C50" s="11" t="s">
        <v>171</v>
      </c>
      <c r="D50" s="12" t="s">
        <v>132</v>
      </c>
      <c r="E50" s="12" t="s">
        <v>190</v>
      </c>
      <c r="F50" s="12" t="s">
        <v>59</v>
      </c>
      <c r="G50" s="13">
        <v>1</v>
      </c>
      <c r="H50" s="13"/>
      <c r="I50" s="13">
        <v>6.4</v>
      </c>
      <c r="J50" s="14">
        <v>518.1</v>
      </c>
      <c r="K50" s="15">
        <v>1225</v>
      </c>
      <c r="L50" s="14">
        <f>J50+ROUND(K50, 2)</f>
        <v>1743.1</v>
      </c>
      <c r="M50" s="14">
        <v>3315.84</v>
      </c>
      <c r="N50" s="14">
        <v>7840</v>
      </c>
      <c r="O50" s="14">
        <f>M50+N50</f>
        <v>11155.84</v>
      </c>
      <c r="P50" s="14">
        <v>518.09</v>
      </c>
      <c r="Q50" s="15">
        <v>1837.5</v>
      </c>
      <c r="R50" s="14">
        <f>P50+ROUND(Q50, 2)</f>
        <v>2355.59</v>
      </c>
      <c r="S50" s="14">
        <v>3315.78</v>
      </c>
      <c r="T50" s="14">
        <v>11760</v>
      </c>
      <c r="U50" s="14">
        <f>S50+T50</f>
        <v>15075.78</v>
      </c>
      <c r="V50" s="9">
        <f>ROUND(P50 / 1.2, 2)</f>
        <v>431.74</v>
      </c>
      <c r="W50" s="9">
        <f>ROUND(Q50 / 1.2, 2)</f>
        <v>1531.25</v>
      </c>
      <c r="X50" s="9">
        <f>ROUND(R50 / 1.2, 2)</f>
        <v>1962.99</v>
      </c>
      <c r="Y50" s="9">
        <f t="shared" si="3"/>
        <v>2763.15</v>
      </c>
      <c r="Z50" s="9">
        <f>ROUND(T50 / 1.2, 2)</f>
        <v>9800</v>
      </c>
      <c r="AA50" s="9">
        <f>Y50+Z50</f>
        <v>12563.15</v>
      </c>
      <c r="AD50" s="4">
        <v>315889905</v>
      </c>
      <c r="AE50" s="4">
        <v>27245767</v>
      </c>
      <c r="AG50" s="4" t="s">
        <v>172</v>
      </c>
      <c r="AH50" s="4" t="s">
        <v>173</v>
      </c>
      <c r="AI50" s="4" t="s">
        <v>62</v>
      </c>
    </row>
    <row r="51" spans="1:35" ht="36" x14ac:dyDescent="0.3">
      <c r="A51" s="10" t="s">
        <v>191</v>
      </c>
      <c r="B51" s="10"/>
      <c r="C51" s="21" t="s">
        <v>70</v>
      </c>
      <c r="D51" s="12"/>
      <c r="E51" s="12"/>
      <c r="F51" s="17" t="s">
        <v>59</v>
      </c>
      <c r="G51" s="18">
        <v>2.2000000000000002</v>
      </c>
      <c r="H51" s="18"/>
      <c r="I51" s="18">
        <v>14.08</v>
      </c>
      <c r="J51" s="19">
        <v>104.57</v>
      </c>
      <c r="M51" s="20">
        <f>ROUND(ROUND(J51, 2)*I51, 2)</f>
        <v>1472.35</v>
      </c>
      <c r="P51" s="19">
        <v>104.57</v>
      </c>
      <c r="S51" s="20">
        <f>ROUND(ROUND(P51, 2)*I51, 2)</f>
        <v>1472.35</v>
      </c>
      <c r="V51" s="9">
        <f>ROUND(ROUND(P51, 2)/1.2, 2)</f>
        <v>87.14</v>
      </c>
      <c r="Y51" s="9">
        <f t="shared" si="3"/>
        <v>1226.96</v>
      </c>
      <c r="AD51" s="4" t="s">
        <v>192</v>
      </c>
      <c r="AE51" s="4" t="s">
        <v>193</v>
      </c>
      <c r="AF51" s="4" t="s">
        <v>188</v>
      </c>
    </row>
    <row r="52" spans="1:35" ht="18" x14ac:dyDescent="0.3">
      <c r="A52" s="10" t="s">
        <v>194</v>
      </c>
      <c r="B52" s="10"/>
      <c r="C52" s="21" t="s">
        <v>75</v>
      </c>
      <c r="D52" s="12"/>
      <c r="E52" s="12"/>
      <c r="F52" s="17" t="s">
        <v>76</v>
      </c>
      <c r="G52" s="18">
        <v>2.1</v>
      </c>
      <c r="H52" s="18"/>
      <c r="I52" s="18">
        <v>13.44</v>
      </c>
      <c r="J52" s="19">
        <v>64.56</v>
      </c>
      <c r="M52" s="20">
        <f>ROUND(ROUND(J52, 2)*I52, 2)</f>
        <v>867.69</v>
      </c>
      <c r="P52" s="19">
        <v>64.56</v>
      </c>
      <c r="S52" s="20">
        <f>ROUND(ROUND(P52, 2)*I52, 2)</f>
        <v>867.69</v>
      </c>
      <c r="V52" s="9">
        <f>ROUND(ROUND(P52, 2)/1.2, 2)</f>
        <v>53.8</v>
      </c>
      <c r="Y52" s="9">
        <f t="shared" si="3"/>
        <v>723.08</v>
      </c>
      <c r="AD52" s="4" t="s">
        <v>195</v>
      </c>
      <c r="AE52" s="4" t="s">
        <v>196</v>
      </c>
      <c r="AF52" s="4" t="s">
        <v>79</v>
      </c>
    </row>
    <row r="53" spans="1:35" ht="18" x14ac:dyDescent="0.3">
      <c r="A53" s="10" t="s">
        <v>197</v>
      </c>
      <c r="B53" s="10"/>
      <c r="C53" s="21" t="s">
        <v>81</v>
      </c>
      <c r="D53" s="12"/>
      <c r="E53" s="12"/>
      <c r="F53" s="17" t="s">
        <v>76</v>
      </c>
      <c r="G53" s="18">
        <v>0.8</v>
      </c>
      <c r="H53" s="18"/>
      <c r="I53" s="18">
        <v>5.12</v>
      </c>
      <c r="J53" s="19">
        <v>51.64</v>
      </c>
      <c r="M53" s="20">
        <f>ROUND(ROUND(J53, 2)*I53, 2)</f>
        <v>264.39999999999998</v>
      </c>
      <c r="P53" s="19">
        <v>51.63</v>
      </c>
      <c r="S53" s="20">
        <f>ROUND(ROUND(P53, 2)*I53, 2)</f>
        <v>264.35000000000002</v>
      </c>
      <c r="V53" s="9">
        <f>ROUND(ROUND(P53, 2)/1.2, 2)</f>
        <v>43.03</v>
      </c>
      <c r="Y53" s="9">
        <f t="shared" si="3"/>
        <v>220.29</v>
      </c>
      <c r="AD53" s="4" t="s">
        <v>198</v>
      </c>
      <c r="AE53" s="4" t="s">
        <v>199</v>
      </c>
      <c r="AF53" s="4" t="s">
        <v>84</v>
      </c>
    </row>
    <row r="54" spans="1:35" ht="72" x14ac:dyDescent="0.3">
      <c r="A54" s="10" t="s">
        <v>200</v>
      </c>
      <c r="B54" s="10"/>
      <c r="C54" s="16" t="s">
        <v>175</v>
      </c>
      <c r="D54" s="12"/>
      <c r="E54" s="12"/>
      <c r="F54" s="17" t="s">
        <v>65</v>
      </c>
      <c r="G54" s="18">
        <v>1</v>
      </c>
      <c r="H54" s="18"/>
      <c r="I54" s="18">
        <v>6.4</v>
      </c>
      <c r="J54" s="19">
        <v>111.16</v>
      </c>
      <c r="M54" s="20">
        <f>ROUND(ROUND(J54, 2)*I54, 2)</f>
        <v>711.42</v>
      </c>
      <c r="P54" s="19">
        <v>111.15</v>
      </c>
      <c r="S54" s="20">
        <f>ROUND(ROUND(P54, 2)*I54, 2)</f>
        <v>711.36</v>
      </c>
      <c r="V54" s="9">
        <f>ROUND(ROUND(P54, 2)/1.2, 2)</f>
        <v>92.63</v>
      </c>
      <c r="Y54" s="9">
        <f t="shared" si="3"/>
        <v>592.79999999999995</v>
      </c>
      <c r="AD54" s="4" t="s">
        <v>201</v>
      </c>
      <c r="AE54" s="4" t="s">
        <v>202</v>
      </c>
      <c r="AF54" s="4" t="s">
        <v>178</v>
      </c>
    </row>
    <row r="55" spans="1:35" ht="16.95" customHeight="1" x14ac:dyDescent="0.3">
      <c r="A55" s="10" t="s">
        <v>203</v>
      </c>
      <c r="B55" s="10" t="s">
        <v>204</v>
      </c>
      <c r="C55" s="47" t="s">
        <v>205</v>
      </c>
      <c r="D55" s="48"/>
      <c r="E55" s="48"/>
      <c r="F55" s="48"/>
      <c r="G55" s="48"/>
      <c r="H55" s="48"/>
      <c r="I55" s="49"/>
      <c r="M55" s="6">
        <f t="shared" ref="M55:O56" si="4">SUM(M56)</f>
        <v>23908846.960000001</v>
      </c>
      <c r="N55" s="6">
        <f t="shared" si="4"/>
        <v>31501631.110000003</v>
      </c>
      <c r="O55" s="6">
        <f t="shared" si="4"/>
        <v>55410478.069999993</v>
      </c>
      <c r="S55" s="6">
        <f t="shared" ref="S55:U56" si="5">SUM(S56)</f>
        <v>22773018.530000001</v>
      </c>
      <c r="T55" s="6">
        <f t="shared" si="5"/>
        <v>47252446.670000002</v>
      </c>
      <c r="U55" s="6">
        <f t="shared" si="5"/>
        <v>70025465.200000003</v>
      </c>
      <c r="Y55" s="9">
        <f t="shared" ref="Y55:AA56" si="6">SUM(Y56)</f>
        <v>18977515.48</v>
      </c>
      <c r="Z55" s="9">
        <f t="shared" si="6"/>
        <v>39377038.969999999</v>
      </c>
      <c r="AA55" s="9">
        <f t="shared" si="6"/>
        <v>58354554.450000003</v>
      </c>
      <c r="AD55" s="4">
        <v>315889906</v>
      </c>
      <c r="AE55" s="4">
        <v>27245637</v>
      </c>
    </row>
    <row r="56" spans="1:35" ht="16.95" customHeight="1" x14ac:dyDescent="0.3">
      <c r="A56" s="10" t="s">
        <v>206</v>
      </c>
      <c r="B56" s="10" t="s">
        <v>207</v>
      </c>
      <c r="C56" s="47" t="s">
        <v>208</v>
      </c>
      <c r="D56" s="48"/>
      <c r="E56" s="48"/>
      <c r="F56" s="48"/>
      <c r="G56" s="48"/>
      <c r="H56" s="48"/>
      <c r="I56" s="49"/>
      <c r="M56" s="6">
        <f t="shared" si="4"/>
        <v>23908846.960000001</v>
      </c>
      <c r="N56" s="6">
        <f t="shared" si="4"/>
        <v>31501631.110000003</v>
      </c>
      <c r="O56" s="6">
        <f t="shared" si="4"/>
        <v>55410478.069999993</v>
      </c>
      <c r="S56" s="6">
        <f t="shared" si="5"/>
        <v>22773018.530000001</v>
      </c>
      <c r="T56" s="6">
        <f t="shared" si="5"/>
        <v>47252446.670000002</v>
      </c>
      <c r="U56" s="6">
        <f t="shared" si="5"/>
        <v>70025465.200000003</v>
      </c>
      <c r="Y56" s="9">
        <f t="shared" si="6"/>
        <v>18977515.48</v>
      </c>
      <c r="Z56" s="9">
        <f t="shared" si="6"/>
        <v>39377038.969999999</v>
      </c>
      <c r="AA56" s="9">
        <f t="shared" si="6"/>
        <v>58354554.450000003</v>
      </c>
      <c r="AD56" s="4">
        <v>315889907</v>
      </c>
      <c r="AE56" s="4">
        <v>27245644</v>
      </c>
    </row>
    <row r="57" spans="1:35" ht="16.95" customHeight="1" x14ac:dyDescent="0.3">
      <c r="A57" s="10" t="s">
        <v>209</v>
      </c>
      <c r="B57" s="10" t="s">
        <v>210</v>
      </c>
      <c r="C57" s="47" t="s">
        <v>211</v>
      </c>
      <c r="D57" s="48"/>
      <c r="E57" s="48"/>
      <c r="F57" s="48"/>
      <c r="G57" s="48"/>
      <c r="H57" s="48"/>
      <c r="I57" s="49"/>
      <c r="M57" s="6">
        <f>SUM(M58,M260,M454,M496)</f>
        <v>23908846.960000001</v>
      </c>
      <c r="N57" s="6">
        <f>SUM(N58,N260,N454,N496)</f>
        <v>31501631.110000003</v>
      </c>
      <c r="O57" s="6">
        <f>SUM(O58,O260,O454,O496)</f>
        <v>55410478.069999993</v>
      </c>
      <c r="S57" s="6">
        <f>SUM(S58,S260,S454,S496)</f>
        <v>22773018.530000001</v>
      </c>
      <c r="T57" s="6">
        <f>SUM(T58,T260,T454,T496)</f>
        <v>47252446.670000002</v>
      </c>
      <c r="U57" s="6">
        <f>SUM(U58,U260,U454,U496)</f>
        <v>70025465.200000003</v>
      </c>
      <c r="Y57" s="9">
        <f>SUM(Y58,Y260,Y454,Y496)</f>
        <v>18977515.48</v>
      </c>
      <c r="Z57" s="9">
        <f>SUM(Z58,Z260,Z454,Z496)</f>
        <v>39377038.969999999</v>
      </c>
      <c r="AA57" s="9">
        <f>SUM(AA58,AA260,AA454,AA496)</f>
        <v>58354554.450000003</v>
      </c>
      <c r="AD57" s="4">
        <v>315889908</v>
      </c>
      <c r="AE57" s="4">
        <v>27245702</v>
      </c>
    </row>
    <row r="58" spans="1:35" ht="16.95" customHeight="1" x14ac:dyDescent="0.3">
      <c r="A58" s="10" t="s">
        <v>212</v>
      </c>
      <c r="B58" s="10" t="s">
        <v>213</v>
      </c>
      <c r="C58" s="47" t="s">
        <v>214</v>
      </c>
      <c r="D58" s="48"/>
      <c r="E58" s="48"/>
      <c r="F58" s="48"/>
      <c r="G58" s="48"/>
      <c r="H58" s="48"/>
      <c r="I58" s="49"/>
      <c r="M58" s="6">
        <f>SUM(M59,M255)</f>
        <v>11342871.83</v>
      </c>
      <c r="N58" s="6">
        <f>SUM(N59,N255)</f>
        <v>11179170.51</v>
      </c>
      <c r="O58" s="6">
        <f>SUM(O59,O255)</f>
        <v>22522042.339999996</v>
      </c>
      <c r="S58" s="6">
        <f>SUM(S59,S255)</f>
        <v>12112476.130000001</v>
      </c>
      <c r="T58" s="6">
        <f>SUM(T59,T255)</f>
        <v>16768755.77</v>
      </c>
      <c r="U58" s="6">
        <f>SUM(U59,U255)</f>
        <v>28881231.900000002</v>
      </c>
      <c r="Y58" s="9">
        <f>SUM(Y59,Y255)</f>
        <v>10093730.100000001</v>
      </c>
      <c r="Z58" s="9">
        <f>SUM(Z59,Z255)</f>
        <v>13973963.180000002</v>
      </c>
      <c r="AA58" s="9">
        <f>SUM(AA59,AA255)</f>
        <v>24067693.280000005</v>
      </c>
      <c r="AD58" s="4">
        <v>315889909</v>
      </c>
      <c r="AE58" s="4">
        <v>27245715</v>
      </c>
    </row>
    <row r="59" spans="1:35" ht="16.95" customHeight="1" x14ac:dyDescent="0.3">
      <c r="A59" s="10" t="s">
        <v>215</v>
      </c>
      <c r="B59" s="10" t="s">
        <v>216</v>
      </c>
      <c r="C59" s="47" t="s">
        <v>217</v>
      </c>
      <c r="D59" s="48"/>
      <c r="E59" s="48"/>
      <c r="F59" s="48"/>
      <c r="G59" s="48"/>
      <c r="H59" s="48"/>
      <c r="I59" s="49"/>
      <c r="M59" s="6">
        <f>SUM(M60,M64,M68,M72,M76,M80,M83,M86,M89,M92,M95,M98,M101,M104,M107,M110,M113,M116,M119,M121,M123,M125,M127,M132,M137,M142,M147,M152,M157,M162,M167,M171,M175,M180,M185,M190,M195,M200,M205,M210,M215,M220,M225,M230,M235,M240,M245,M250)</f>
        <v>11013221.83</v>
      </c>
      <c r="N59" s="6">
        <f>SUM(N60,N64,N68,N72,N76,N80,N83,N86,N89,N92,N95,N98,N101,N104,N107,N110,N113,N116,N119,N121,N123,N125,N127,N132,N137,N142,N147,N152,N157,N162,N167,N171,N175,N180,N185,N190,N195,N200,N205,N210,N215,N220,N225,N230,N235,N240,N245,N250)</f>
        <v>11150161.310000001</v>
      </c>
      <c r="O59" s="6">
        <f>SUM(O60,O64,O68,O72,O76,O80,O83,O86,O89,O92,O95,O98,O101,O104,O107,O110,O113,O116,O119,O121,O123,O125,O127,O132,O137,O142,O147,O152,O157,O162,O167,O171,O175,O180,O185,O190,O195,O200,O205,O210,O215,O220,O225,O230,O235,O240,O245,O250)</f>
        <v>22163383.139999997</v>
      </c>
      <c r="S59" s="6">
        <f>SUM(S60,S64,S68,S72,S76,S80,S83,S86,S89,S92,S95,S98,S101,S104,S107,S110,S113,S116,S119,S121,S123,S125,S127,S132,S137,S142,S147,S152,S157,S162,S167,S171,S175,S180,S185,S190,S195,S200,S205,S210,S215,S220,S225,S230,S235,S240,S245,S250)</f>
        <v>11782826.130000001</v>
      </c>
      <c r="T59" s="6">
        <f>SUM(T60,T64,T68,T72,T76,T80,T83,T86,T89,T92,T95,T98,T101,T104,T107,T110,T113,T116,T119,T121,T123,T125,T127,T132,T137,T142,T147,T152,T157,T162,T167,T171,T175,T180,T185,T190,T195,T200,T205,T210,T215,T220,T225,T230,T235,T240,T245,T250)</f>
        <v>16725241.969999999</v>
      </c>
      <c r="U59" s="6">
        <f>SUM(U60,U64,U68,U72,U76,U80,U83,U86,U89,U92,U95,U98,U101,U104,U107,U110,U113,U116,U119,U121,U123,U125,U127,U132,U137,U142,U147,U152,U157,U162,U167,U171,U175,U180,U185,U190,U195,U200,U205,U210,U215,U220,U225,U230,U235,U240,U245,U250)</f>
        <v>28508068.100000001</v>
      </c>
      <c r="Y59" s="9">
        <f>SUM(Y60,Y64,Y68,Y72,Y76,Y80,Y83,Y86,Y89,Y92,Y95,Y98,Y101,Y104,Y107,Y110,Y113,Y116,Y119,Y121,Y123,Y125,Y127,Y132,Y137,Y142,Y147,Y152,Y157,Y162,Y167,Y171,Y175,Y180,Y185,Y190,Y195,Y200,Y205,Y210,Y215,Y220,Y225,Y230,Y235,Y240,Y245,Y250)</f>
        <v>9819021.7700000014</v>
      </c>
      <c r="Z59" s="9">
        <f>SUM(Z60,Z64,Z68,Z72,Z76,Z80,Z83,Z86,Z89,Z92,Z95,Z98,Z101,Z104,Z107,Z110,Z113,Z116,Z119,Z121,Z123,Z125,Z127,Z132,Z137,Z142,Z147,Z152,Z157,Z162,Z167,Z171,Z175,Z180,Z185,Z190,Z195,Z200,Z205,Z210,Z215,Z220,Z225,Z230,Z235,Z240,Z245,Z250)</f>
        <v>13937701.680000002</v>
      </c>
      <c r="AA59" s="9">
        <f>SUM(AA60,AA64,AA68,AA72,AA76,AA80,AA83,AA86,AA89,AA92,AA95,AA98,AA101,AA104,AA107,AA110,AA113,AA116,AA119,AA121,AA123,AA125,AA127,AA132,AA137,AA142,AA147,AA152,AA157,AA162,AA167,AA171,AA175,AA180,AA185,AA190,AA195,AA200,AA205,AA210,AA215,AA220,AA225,AA230,AA235,AA240,AA245,AA250)</f>
        <v>23756723.450000007</v>
      </c>
      <c r="AD59" s="4">
        <v>315889910</v>
      </c>
      <c r="AE59" s="4">
        <v>27245611</v>
      </c>
    </row>
    <row r="60" spans="1:35" ht="90" x14ac:dyDescent="0.3">
      <c r="A60" s="10" t="s">
        <v>218</v>
      </c>
      <c r="B60" s="10" t="s">
        <v>219</v>
      </c>
      <c r="C60" s="11" t="s">
        <v>220</v>
      </c>
      <c r="D60" s="12" t="s">
        <v>221</v>
      </c>
      <c r="E60" s="12"/>
      <c r="F60" s="12" t="s">
        <v>59</v>
      </c>
      <c r="G60" s="13">
        <v>1</v>
      </c>
      <c r="H60" s="13"/>
      <c r="I60" s="13">
        <v>0</v>
      </c>
      <c r="J60" s="14">
        <v>0</v>
      </c>
      <c r="K60" s="15">
        <v>556</v>
      </c>
      <c r="L60" s="14">
        <f>J60+ROUND(K60, 2)</f>
        <v>556</v>
      </c>
      <c r="M60" s="14">
        <v>0</v>
      </c>
      <c r="N60" s="14">
        <v>0</v>
      </c>
      <c r="O60" s="14">
        <f>M60+N60</f>
        <v>0</v>
      </c>
      <c r="P60" s="14">
        <v>1580.6</v>
      </c>
      <c r="Q60" s="15">
        <v>556</v>
      </c>
      <c r="R60" s="14">
        <f>P60+ROUND(Q60, 2)</f>
        <v>2136.6</v>
      </c>
      <c r="S60" s="14">
        <v>0</v>
      </c>
      <c r="T60" s="14">
        <v>0</v>
      </c>
      <c r="U60" s="14">
        <f>S60+T60</f>
        <v>0</v>
      </c>
      <c r="V60" s="9">
        <f>ROUND(P60 / 1.2, 2)</f>
        <v>1317.17</v>
      </c>
      <c r="W60" s="9">
        <f>ROUND(Q60 / 1.2, 2)</f>
        <v>463.33</v>
      </c>
      <c r="X60" s="9">
        <f>ROUND(R60 / 1.2, 2)</f>
        <v>1780.5</v>
      </c>
      <c r="Y60" s="9">
        <f>ROUND(S60 / 1.2, 2)</f>
        <v>0</v>
      </c>
      <c r="Z60" s="9">
        <f>ROUND(T60 / 1.2, 2)</f>
        <v>0</v>
      </c>
      <c r="AA60" s="9">
        <f>Y60+Z60</f>
        <v>0</v>
      </c>
      <c r="AD60" s="4">
        <v>315889912</v>
      </c>
      <c r="AE60" s="4">
        <v>27245671</v>
      </c>
      <c r="AG60" s="4" t="s">
        <v>222</v>
      </c>
      <c r="AH60" s="4" t="s">
        <v>223</v>
      </c>
      <c r="AI60" s="4" t="s">
        <v>224</v>
      </c>
    </row>
    <row r="61" spans="1:35" ht="18" x14ac:dyDescent="0.3">
      <c r="A61" s="10" t="s">
        <v>225</v>
      </c>
      <c r="B61" s="10"/>
      <c r="C61" s="16" t="s">
        <v>226</v>
      </c>
      <c r="D61" s="12"/>
      <c r="E61" s="12"/>
      <c r="F61" s="17" t="s">
        <v>227</v>
      </c>
      <c r="G61" s="18">
        <v>0.3</v>
      </c>
      <c r="H61" s="18"/>
      <c r="I61" s="18">
        <v>0</v>
      </c>
      <c r="J61" s="19">
        <v>220</v>
      </c>
      <c r="M61" s="20">
        <f>ROUND(ROUND(J61, 2)*I61, 2)</f>
        <v>0</v>
      </c>
      <c r="P61" s="19">
        <v>220</v>
      </c>
      <c r="S61" s="20">
        <f>ROUND(ROUND(P61, 2)*I61, 2)</f>
        <v>0</v>
      </c>
      <c r="V61" s="9">
        <f>ROUND(ROUND(P61, 2)/1.2, 2)</f>
        <v>183.33</v>
      </c>
      <c r="Y61" s="9">
        <f t="shared" ref="Y61:Y124" si="7">ROUND(S61 / 1.2, 2)</f>
        <v>0</v>
      </c>
      <c r="AD61" s="4" t="s">
        <v>228</v>
      </c>
      <c r="AE61" s="4" t="s">
        <v>229</v>
      </c>
      <c r="AF61" s="4" t="s">
        <v>230</v>
      </c>
    </row>
    <row r="62" spans="1:35" ht="72" x14ac:dyDescent="0.3">
      <c r="A62" s="10" t="s">
        <v>231</v>
      </c>
      <c r="B62" s="10"/>
      <c r="C62" s="21" t="s">
        <v>232</v>
      </c>
      <c r="D62" s="12"/>
      <c r="E62" s="12"/>
      <c r="F62" s="17" t="s">
        <v>76</v>
      </c>
      <c r="G62" s="18">
        <v>1</v>
      </c>
      <c r="H62" s="22"/>
      <c r="I62" s="22">
        <v>0</v>
      </c>
      <c r="J62" s="19">
        <v>51</v>
      </c>
      <c r="M62" s="20">
        <f>ROUND(ROUND(J62, 2)*I62, 2)</f>
        <v>0</v>
      </c>
      <c r="P62" s="19">
        <v>51</v>
      </c>
      <c r="S62" s="20">
        <f>ROUND(ROUND(P62, 2)*I62, 2)</f>
        <v>0</v>
      </c>
      <c r="V62" s="9">
        <f>ROUND(ROUND(P62, 2)/1.2, 2)</f>
        <v>42.5</v>
      </c>
      <c r="Y62" s="9">
        <f t="shared" si="7"/>
        <v>0</v>
      </c>
      <c r="AD62" s="4" t="s">
        <v>233</v>
      </c>
      <c r="AE62" s="4" t="s">
        <v>234</v>
      </c>
      <c r="AF62" s="4" t="s">
        <v>235</v>
      </c>
    </row>
    <row r="63" spans="1:35" ht="72" x14ac:dyDescent="0.3">
      <c r="A63" s="10" t="s">
        <v>236</v>
      </c>
      <c r="B63" s="10"/>
      <c r="C63" s="21" t="s">
        <v>237</v>
      </c>
      <c r="D63" s="12"/>
      <c r="E63" s="12"/>
      <c r="F63" s="17" t="s">
        <v>59</v>
      </c>
      <c r="G63" s="18">
        <v>1.1000000000000001</v>
      </c>
      <c r="H63" s="22"/>
      <c r="I63" s="22">
        <v>0</v>
      </c>
      <c r="J63" s="19">
        <v>1339</v>
      </c>
      <c r="M63" s="20">
        <f>ROUND(ROUND(J63, 2)*I63, 2)</f>
        <v>0</v>
      </c>
      <c r="P63" s="19">
        <v>1339</v>
      </c>
      <c r="S63" s="20">
        <f>ROUND(ROUND(P63, 2)*I63, 2)</f>
        <v>0</v>
      </c>
      <c r="V63" s="9">
        <f>ROUND(ROUND(P63, 2)/1.2, 2)</f>
        <v>1115.83</v>
      </c>
      <c r="Y63" s="9">
        <f t="shared" si="7"/>
        <v>0</v>
      </c>
      <c r="AD63" s="4" t="s">
        <v>238</v>
      </c>
      <c r="AE63" s="4" t="s">
        <v>239</v>
      </c>
      <c r="AF63" s="4" t="s">
        <v>240</v>
      </c>
    </row>
    <row r="64" spans="1:35" ht="90" x14ac:dyDescent="0.3">
      <c r="A64" s="10" t="s">
        <v>241</v>
      </c>
      <c r="B64" s="10" t="s">
        <v>219</v>
      </c>
      <c r="C64" s="11" t="s">
        <v>220</v>
      </c>
      <c r="D64" s="12" t="s">
        <v>221</v>
      </c>
      <c r="E64" s="12"/>
      <c r="F64" s="12" t="s">
        <v>59</v>
      </c>
      <c r="G64" s="13">
        <v>1</v>
      </c>
      <c r="H64" s="13"/>
      <c r="I64" s="13">
        <v>0</v>
      </c>
      <c r="J64" s="14">
        <v>0</v>
      </c>
      <c r="K64" s="15">
        <v>556</v>
      </c>
      <c r="L64" s="14">
        <f>J64+ROUND(K64, 2)</f>
        <v>556</v>
      </c>
      <c r="M64" s="14">
        <v>0</v>
      </c>
      <c r="N64" s="14">
        <v>0</v>
      </c>
      <c r="O64" s="14">
        <f>M64+N64</f>
        <v>0</v>
      </c>
      <c r="P64" s="14">
        <v>1562.05</v>
      </c>
      <c r="Q64" s="15">
        <v>556</v>
      </c>
      <c r="R64" s="14">
        <f>P64+ROUND(Q64, 2)</f>
        <v>2118.0500000000002</v>
      </c>
      <c r="S64" s="14">
        <v>0</v>
      </c>
      <c r="T64" s="14">
        <v>0</v>
      </c>
      <c r="U64" s="14">
        <f>S64+T64</f>
        <v>0</v>
      </c>
      <c r="V64" s="9">
        <f>ROUND(P64 / 1.2, 2)</f>
        <v>1301.71</v>
      </c>
      <c r="W64" s="9">
        <f>ROUND(Q64 / 1.2, 2)</f>
        <v>463.33</v>
      </c>
      <c r="X64" s="9">
        <f>ROUND(R64 / 1.2, 2)</f>
        <v>1765.04</v>
      </c>
      <c r="Y64" s="9">
        <f t="shared" si="7"/>
        <v>0</v>
      </c>
      <c r="Z64" s="9">
        <f>ROUND(T64 / 1.2, 2)</f>
        <v>0</v>
      </c>
      <c r="AA64" s="9">
        <f>Y64+Z64</f>
        <v>0</v>
      </c>
      <c r="AD64" s="4">
        <v>315889913</v>
      </c>
      <c r="AE64" s="4">
        <v>27245672</v>
      </c>
      <c r="AG64" s="4" t="s">
        <v>222</v>
      </c>
      <c r="AH64" s="4" t="s">
        <v>223</v>
      </c>
      <c r="AI64" s="4" t="s">
        <v>224</v>
      </c>
    </row>
    <row r="65" spans="1:35" ht="54" x14ac:dyDescent="0.3">
      <c r="A65" s="10" t="s">
        <v>242</v>
      </c>
      <c r="B65" s="10"/>
      <c r="C65" s="21" t="s">
        <v>243</v>
      </c>
      <c r="D65" s="12"/>
      <c r="E65" s="12"/>
      <c r="F65" s="17" t="s">
        <v>59</v>
      </c>
      <c r="G65" s="18">
        <v>1.1000000000000001</v>
      </c>
      <c r="H65" s="22"/>
      <c r="I65" s="22">
        <v>0</v>
      </c>
      <c r="J65" s="19">
        <v>1339</v>
      </c>
      <c r="M65" s="20">
        <f>ROUND(ROUND(J65, 2)*I65, 2)</f>
        <v>0</v>
      </c>
      <c r="P65" s="19">
        <v>1339</v>
      </c>
      <c r="S65" s="20">
        <f>ROUND(ROUND(P65, 2)*I65, 2)</f>
        <v>0</v>
      </c>
      <c r="V65" s="9">
        <f>ROUND(ROUND(P65, 2)/1.2, 2)</f>
        <v>1115.83</v>
      </c>
      <c r="Y65" s="9">
        <f t="shared" si="7"/>
        <v>0</v>
      </c>
      <c r="AD65" s="4" t="s">
        <v>244</v>
      </c>
      <c r="AE65" s="4" t="s">
        <v>245</v>
      </c>
      <c r="AF65" s="4" t="s">
        <v>246</v>
      </c>
    </row>
    <row r="66" spans="1:35" ht="72" x14ac:dyDescent="0.3">
      <c r="A66" s="10" t="s">
        <v>247</v>
      </c>
      <c r="B66" s="10"/>
      <c r="C66" s="21" t="s">
        <v>248</v>
      </c>
      <c r="D66" s="12"/>
      <c r="E66" s="12"/>
      <c r="F66" s="17" t="s">
        <v>76</v>
      </c>
      <c r="G66" s="18">
        <v>1</v>
      </c>
      <c r="H66" s="22"/>
      <c r="I66" s="22">
        <v>0</v>
      </c>
      <c r="J66" s="19">
        <v>51</v>
      </c>
      <c r="M66" s="20">
        <f>ROUND(ROUND(J66, 2)*I66, 2)</f>
        <v>0</v>
      </c>
      <c r="P66" s="19">
        <v>51</v>
      </c>
      <c r="S66" s="20">
        <f>ROUND(ROUND(P66, 2)*I66, 2)</f>
        <v>0</v>
      </c>
      <c r="V66" s="9">
        <f>ROUND(ROUND(P66, 2)/1.2, 2)</f>
        <v>42.5</v>
      </c>
      <c r="Y66" s="9">
        <f t="shared" si="7"/>
        <v>0</v>
      </c>
      <c r="AD66" s="4" t="s">
        <v>249</v>
      </c>
      <c r="AE66" s="4" t="s">
        <v>250</v>
      </c>
      <c r="AF66" s="4" t="s">
        <v>251</v>
      </c>
    </row>
    <row r="67" spans="1:35" ht="18" x14ac:dyDescent="0.3">
      <c r="A67" s="10" t="s">
        <v>252</v>
      </c>
      <c r="B67" s="10"/>
      <c r="C67" s="16" t="s">
        <v>226</v>
      </c>
      <c r="D67" s="12"/>
      <c r="E67" s="12"/>
      <c r="F67" s="17" t="s">
        <v>227</v>
      </c>
      <c r="G67" s="18">
        <v>0.3</v>
      </c>
      <c r="H67" s="18"/>
      <c r="I67" s="18">
        <v>0</v>
      </c>
      <c r="J67" s="19">
        <v>220</v>
      </c>
      <c r="M67" s="20">
        <f>ROUND(ROUND(J67, 2)*I67, 2)</f>
        <v>0</v>
      </c>
      <c r="P67" s="19">
        <v>220</v>
      </c>
      <c r="S67" s="20">
        <f>ROUND(ROUND(P67, 2)*I67, 2)</f>
        <v>0</v>
      </c>
      <c r="V67" s="9">
        <f>ROUND(ROUND(P67, 2)/1.2, 2)</f>
        <v>183.33</v>
      </c>
      <c r="Y67" s="9">
        <f t="shared" si="7"/>
        <v>0</v>
      </c>
      <c r="AD67" s="4" t="s">
        <v>253</v>
      </c>
      <c r="AE67" s="4" t="s">
        <v>254</v>
      </c>
      <c r="AF67" s="4" t="s">
        <v>230</v>
      </c>
    </row>
    <row r="68" spans="1:35" ht="90" x14ac:dyDescent="0.3">
      <c r="A68" s="10" t="s">
        <v>255</v>
      </c>
      <c r="B68" s="10" t="s">
        <v>219</v>
      </c>
      <c r="C68" s="11" t="s">
        <v>220</v>
      </c>
      <c r="D68" s="12" t="s">
        <v>221</v>
      </c>
      <c r="E68" s="12" t="s">
        <v>256</v>
      </c>
      <c r="F68" s="12" t="s">
        <v>59</v>
      </c>
      <c r="G68" s="13">
        <v>1</v>
      </c>
      <c r="H68" s="13"/>
      <c r="I68" s="13">
        <v>0</v>
      </c>
      <c r="J68" s="14">
        <v>0</v>
      </c>
      <c r="K68" s="15">
        <v>556</v>
      </c>
      <c r="L68" s="14">
        <f>J68+ROUND(K68, 2)</f>
        <v>556</v>
      </c>
      <c r="M68" s="14">
        <v>0</v>
      </c>
      <c r="N68" s="14">
        <v>0</v>
      </c>
      <c r="O68" s="14">
        <f>M68+N68</f>
        <v>0</v>
      </c>
      <c r="P68" s="14">
        <v>1562.05</v>
      </c>
      <c r="Q68" s="15">
        <v>556</v>
      </c>
      <c r="R68" s="14">
        <f>P68+ROUND(Q68, 2)</f>
        <v>2118.0500000000002</v>
      </c>
      <c r="S68" s="14">
        <v>0</v>
      </c>
      <c r="T68" s="14">
        <v>0</v>
      </c>
      <c r="U68" s="14">
        <f>S68+T68</f>
        <v>0</v>
      </c>
      <c r="V68" s="9">
        <f>ROUND(P68 / 1.2, 2)</f>
        <v>1301.71</v>
      </c>
      <c r="W68" s="9">
        <f>ROUND(Q68 / 1.2, 2)</f>
        <v>463.33</v>
      </c>
      <c r="X68" s="9">
        <f>ROUND(R68 / 1.2, 2)</f>
        <v>1765.04</v>
      </c>
      <c r="Y68" s="9">
        <f t="shared" si="7"/>
        <v>0</v>
      </c>
      <c r="Z68" s="9">
        <f>ROUND(T68 / 1.2, 2)</f>
        <v>0</v>
      </c>
      <c r="AA68" s="9">
        <f>Y68+Z68</f>
        <v>0</v>
      </c>
      <c r="AD68" s="4">
        <v>315889914</v>
      </c>
      <c r="AE68" s="4">
        <v>27245781</v>
      </c>
      <c r="AG68" s="4" t="s">
        <v>222</v>
      </c>
      <c r="AH68" s="4" t="s">
        <v>223</v>
      </c>
      <c r="AI68" s="4" t="s">
        <v>224</v>
      </c>
    </row>
    <row r="69" spans="1:35" ht="18" x14ac:dyDescent="0.3">
      <c r="A69" s="10" t="s">
        <v>257</v>
      </c>
      <c r="B69" s="10"/>
      <c r="C69" s="16" t="s">
        <v>226</v>
      </c>
      <c r="D69" s="12"/>
      <c r="E69" s="12"/>
      <c r="F69" s="17" t="s">
        <v>227</v>
      </c>
      <c r="G69" s="18">
        <v>0.3</v>
      </c>
      <c r="H69" s="18"/>
      <c r="I69" s="18">
        <v>0</v>
      </c>
      <c r="J69" s="19">
        <v>220</v>
      </c>
      <c r="M69" s="20">
        <f>ROUND(ROUND(J69, 2)*I69, 2)</f>
        <v>0</v>
      </c>
      <c r="P69" s="19">
        <v>220</v>
      </c>
      <c r="S69" s="20">
        <f>ROUND(ROUND(P69, 2)*I69, 2)</f>
        <v>0</v>
      </c>
      <c r="V69" s="9">
        <f>ROUND(ROUND(P69, 2)/1.2, 2)</f>
        <v>183.33</v>
      </c>
      <c r="Y69" s="9">
        <f t="shared" si="7"/>
        <v>0</v>
      </c>
      <c r="AD69" s="4" t="s">
        <v>258</v>
      </c>
      <c r="AE69" s="4" t="s">
        <v>259</v>
      </c>
      <c r="AF69" s="4" t="s">
        <v>230</v>
      </c>
    </row>
    <row r="70" spans="1:35" ht="72" x14ac:dyDescent="0.3">
      <c r="A70" s="10" t="s">
        <v>260</v>
      </c>
      <c r="B70" s="10"/>
      <c r="C70" s="21" t="s">
        <v>248</v>
      </c>
      <c r="D70" s="12"/>
      <c r="E70" s="12"/>
      <c r="F70" s="17" t="s">
        <v>76</v>
      </c>
      <c r="G70" s="18">
        <v>1</v>
      </c>
      <c r="H70" s="22"/>
      <c r="I70" s="22">
        <v>0</v>
      </c>
      <c r="J70" s="19">
        <v>51</v>
      </c>
      <c r="M70" s="20">
        <f>ROUND(ROUND(J70, 2)*I70, 2)</f>
        <v>0</v>
      </c>
      <c r="P70" s="19">
        <v>51</v>
      </c>
      <c r="S70" s="20">
        <f>ROUND(ROUND(P70, 2)*I70, 2)</f>
        <v>0</v>
      </c>
      <c r="V70" s="9">
        <f>ROUND(ROUND(P70, 2)/1.2, 2)</f>
        <v>42.5</v>
      </c>
      <c r="Y70" s="9">
        <f t="shared" si="7"/>
        <v>0</v>
      </c>
      <c r="AD70" s="4" t="s">
        <v>261</v>
      </c>
      <c r="AE70" s="4" t="s">
        <v>262</v>
      </c>
      <c r="AF70" s="4" t="s">
        <v>251</v>
      </c>
    </row>
    <row r="71" spans="1:35" ht="54" x14ac:dyDescent="0.3">
      <c r="A71" s="10" t="s">
        <v>263</v>
      </c>
      <c r="B71" s="10"/>
      <c r="C71" s="21" t="s">
        <v>243</v>
      </c>
      <c r="D71" s="12"/>
      <c r="E71" s="12"/>
      <c r="F71" s="17" t="s">
        <v>59</v>
      </c>
      <c r="G71" s="18">
        <v>1.1000000000000001</v>
      </c>
      <c r="H71" s="22"/>
      <c r="I71" s="22">
        <v>0</v>
      </c>
      <c r="J71" s="19">
        <v>1339</v>
      </c>
      <c r="M71" s="20">
        <f>ROUND(ROUND(J71, 2)*I71, 2)</f>
        <v>0</v>
      </c>
      <c r="P71" s="19">
        <v>1339</v>
      </c>
      <c r="S71" s="20">
        <f>ROUND(ROUND(P71, 2)*I71, 2)</f>
        <v>0</v>
      </c>
      <c r="V71" s="9">
        <f>ROUND(ROUND(P71, 2)/1.2, 2)</f>
        <v>1115.83</v>
      </c>
      <c r="Y71" s="9">
        <f t="shared" si="7"/>
        <v>0</v>
      </c>
      <c r="AD71" s="4" t="s">
        <v>264</v>
      </c>
      <c r="AE71" s="4" t="s">
        <v>265</v>
      </c>
      <c r="AF71" s="4" t="s">
        <v>246</v>
      </c>
    </row>
    <row r="72" spans="1:35" ht="90" x14ac:dyDescent="0.3">
      <c r="A72" s="10" t="s">
        <v>266</v>
      </c>
      <c r="B72" s="10" t="s">
        <v>219</v>
      </c>
      <c r="C72" s="11" t="s">
        <v>220</v>
      </c>
      <c r="D72" s="12" t="s">
        <v>221</v>
      </c>
      <c r="E72" s="12" t="s">
        <v>267</v>
      </c>
      <c r="F72" s="12" t="s">
        <v>59</v>
      </c>
      <c r="G72" s="13">
        <v>1</v>
      </c>
      <c r="H72" s="13"/>
      <c r="I72" s="13">
        <v>435.4</v>
      </c>
      <c r="J72" s="14">
        <v>1580.6</v>
      </c>
      <c r="K72" s="15">
        <v>556</v>
      </c>
      <c r="L72" s="14">
        <f>J72+ROUND(K72, 2)</f>
        <v>2136.6</v>
      </c>
      <c r="M72" s="14">
        <v>688193.24</v>
      </c>
      <c r="N72" s="14">
        <v>242082.4</v>
      </c>
      <c r="O72" s="14">
        <f>M72+N72</f>
        <v>930275.64</v>
      </c>
      <c r="P72" s="14">
        <v>1580.6</v>
      </c>
      <c r="Q72" s="15">
        <v>834</v>
      </c>
      <c r="R72" s="14">
        <f>P72+ROUND(Q72, 2)</f>
        <v>2414.6</v>
      </c>
      <c r="S72" s="14">
        <v>688193.24</v>
      </c>
      <c r="T72" s="14">
        <v>363123.6</v>
      </c>
      <c r="U72" s="14">
        <f>S72+T72</f>
        <v>1051316.8399999999</v>
      </c>
      <c r="V72" s="9">
        <f>ROUND(P72 / 1.2, 2)</f>
        <v>1317.17</v>
      </c>
      <c r="W72" s="9">
        <f>ROUND(Q72 / 1.2, 2)</f>
        <v>695</v>
      </c>
      <c r="X72" s="9">
        <f>ROUND(R72 / 1.2, 2)</f>
        <v>2012.17</v>
      </c>
      <c r="Y72" s="9">
        <f t="shared" si="7"/>
        <v>573494.37</v>
      </c>
      <c r="Z72" s="9">
        <f>ROUND(T72 / 1.2, 2)</f>
        <v>302603</v>
      </c>
      <c r="AA72" s="9">
        <f>Y72+Z72</f>
        <v>876097.37</v>
      </c>
      <c r="AD72" s="4">
        <v>315889915</v>
      </c>
      <c r="AE72" s="4">
        <v>27245780</v>
      </c>
      <c r="AG72" s="4" t="s">
        <v>222</v>
      </c>
      <c r="AH72" s="4" t="s">
        <v>223</v>
      </c>
      <c r="AI72" s="4" t="s">
        <v>224</v>
      </c>
    </row>
    <row r="73" spans="1:35" ht="72" x14ac:dyDescent="0.3">
      <c r="A73" s="10" t="s">
        <v>268</v>
      </c>
      <c r="B73" s="10"/>
      <c r="C73" s="21" t="s">
        <v>237</v>
      </c>
      <c r="D73" s="12"/>
      <c r="E73" s="12" t="s">
        <v>269</v>
      </c>
      <c r="F73" s="17" t="s">
        <v>59</v>
      </c>
      <c r="G73" s="18">
        <v>1.1000000000000001</v>
      </c>
      <c r="H73" s="22"/>
      <c r="I73" s="22">
        <v>478.94</v>
      </c>
      <c r="J73" s="19">
        <v>1339</v>
      </c>
      <c r="M73" s="20">
        <f>ROUND(ROUND(J73, 2)*I73, 2)</f>
        <v>641300.66</v>
      </c>
      <c r="P73" s="19">
        <v>1339</v>
      </c>
      <c r="S73" s="20">
        <f>ROUND(ROUND(P73, 2)*I73, 2)</f>
        <v>641300.66</v>
      </c>
      <c r="V73" s="9">
        <f>ROUND(ROUND(P73, 2)/1.2, 2)</f>
        <v>1115.83</v>
      </c>
      <c r="Y73" s="9">
        <f t="shared" si="7"/>
        <v>534417.22</v>
      </c>
      <c r="AD73" s="4" t="s">
        <v>270</v>
      </c>
      <c r="AE73" s="4" t="s">
        <v>271</v>
      </c>
      <c r="AF73" s="4" t="s">
        <v>240</v>
      </c>
    </row>
    <row r="74" spans="1:35" ht="72" x14ac:dyDescent="0.3">
      <c r="A74" s="10" t="s">
        <v>272</v>
      </c>
      <c r="B74" s="10"/>
      <c r="C74" s="21" t="s">
        <v>232</v>
      </c>
      <c r="D74" s="12"/>
      <c r="E74" s="12"/>
      <c r="F74" s="17" t="s">
        <v>76</v>
      </c>
      <c r="G74" s="18">
        <v>1</v>
      </c>
      <c r="H74" s="22"/>
      <c r="I74" s="22">
        <v>356</v>
      </c>
      <c r="J74" s="19">
        <v>51</v>
      </c>
      <c r="M74" s="20">
        <f>ROUND(ROUND(J74, 2)*I74, 2)</f>
        <v>18156</v>
      </c>
      <c r="P74" s="19">
        <v>51</v>
      </c>
      <c r="S74" s="20">
        <f>ROUND(ROUND(P74, 2)*I74, 2)</f>
        <v>18156</v>
      </c>
      <c r="V74" s="9">
        <f>ROUND(ROUND(P74, 2)/1.2, 2)</f>
        <v>42.5</v>
      </c>
      <c r="Y74" s="9">
        <f t="shared" si="7"/>
        <v>15130</v>
      </c>
      <c r="AD74" s="4" t="s">
        <v>273</v>
      </c>
      <c r="AE74" s="4" t="s">
        <v>274</v>
      </c>
      <c r="AF74" s="4" t="s">
        <v>235</v>
      </c>
    </row>
    <row r="75" spans="1:35" ht="18" x14ac:dyDescent="0.3">
      <c r="A75" s="10" t="s">
        <v>275</v>
      </c>
      <c r="B75" s="10"/>
      <c r="C75" s="16" t="s">
        <v>226</v>
      </c>
      <c r="D75" s="12"/>
      <c r="E75" s="12"/>
      <c r="F75" s="17" t="s">
        <v>227</v>
      </c>
      <c r="G75" s="18">
        <v>0.3</v>
      </c>
      <c r="H75" s="18"/>
      <c r="I75" s="18">
        <v>130.62</v>
      </c>
      <c r="J75" s="19">
        <v>220</v>
      </c>
      <c r="M75" s="20">
        <f>ROUND(ROUND(J75, 2)*I75, 2)</f>
        <v>28736.400000000001</v>
      </c>
      <c r="P75" s="19">
        <v>220</v>
      </c>
      <c r="S75" s="20">
        <f>ROUND(ROUND(P75, 2)*I75, 2)</f>
        <v>28736.400000000001</v>
      </c>
      <c r="V75" s="9">
        <f>ROUND(ROUND(P75, 2)/1.2, 2)</f>
        <v>183.33</v>
      </c>
      <c r="Y75" s="9">
        <f t="shared" si="7"/>
        <v>23947</v>
      </c>
      <c r="AD75" s="4" t="s">
        <v>276</v>
      </c>
      <c r="AE75" s="4" t="s">
        <v>277</v>
      </c>
      <c r="AF75" s="4" t="s">
        <v>230</v>
      </c>
    </row>
    <row r="76" spans="1:35" ht="90" x14ac:dyDescent="0.3">
      <c r="A76" s="10" t="s">
        <v>278</v>
      </c>
      <c r="B76" s="10" t="s">
        <v>219</v>
      </c>
      <c r="C76" s="11" t="s">
        <v>220</v>
      </c>
      <c r="D76" s="12" t="s">
        <v>221</v>
      </c>
      <c r="E76" s="12" t="s">
        <v>279</v>
      </c>
      <c r="F76" s="12" t="s">
        <v>59</v>
      </c>
      <c r="G76" s="13">
        <v>1</v>
      </c>
      <c r="H76" s="13"/>
      <c r="I76" s="13">
        <v>1236</v>
      </c>
      <c r="J76" s="14">
        <v>1562.05</v>
      </c>
      <c r="K76" s="15">
        <v>556</v>
      </c>
      <c r="L76" s="14">
        <f>J76+ROUND(K76, 2)</f>
        <v>2118.0500000000002</v>
      </c>
      <c r="M76" s="14">
        <v>1930693.8</v>
      </c>
      <c r="N76" s="14">
        <v>687216</v>
      </c>
      <c r="O76" s="14">
        <f>M76+N76</f>
        <v>2617909.7999999998</v>
      </c>
      <c r="P76" s="14">
        <v>1562.05</v>
      </c>
      <c r="Q76" s="15">
        <v>834</v>
      </c>
      <c r="R76" s="14">
        <f>P76+ROUND(Q76, 2)</f>
        <v>2396.0500000000002</v>
      </c>
      <c r="S76" s="14">
        <v>1930693.8</v>
      </c>
      <c r="T76" s="14">
        <v>1030824</v>
      </c>
      <c r="U76" s="14">
        <f>S76+T76</f>
        <v>2961517.8</v>
      </c>
      <c r="V76" s="9">
        <f>ROUND(P76 / 1.2, 2)</f>
        <v>1301.71</v>
      </c>
      <c r="W76" s="9">
        <f>ROUND(Q76 / 1.2, 2)</f>
        <v>695</v>
      </c>
      <c r="X76" s="9">
        <f>ROUND(R76 / 1.2, 2)</f>
        <v>1996.71</v>
      </c>
      <c r="Y76" s="9">
        <f t="shared" si="7"/>
        <v>1608911.5</v>
      </c>
      <c r="Z76" s="9">
        <f>ROUND(T76 / 1.2, 2)</f>
        <v>859020</v>
      </c>
      <c r="AA76" s="9">
        <f>Y76+Z76</f>
        <v>2467931.5</v>
      </c>
      <c r="AD76" s="4">
        <v>315889916</v>
      </c>
      <c r="AE76" s="4">
        <v>27245779</v>
      </c>
      <c r="AG76" s="4" t="s">
        <v>222</v>
      </c>
      <c r="AH76" s="4" t="s">
        <v>223</v>
      </c>
      <c r="AI76" s="4" t="s">
        <v>224</v>
      </c>
    </row>
    <row r="77" spans="1:35" ht="18" x14ac:dyDescent="0.3">
      <c r="A77" s="10" t="s">
        <v>280</v>
      </c>
      <c r="B77" s="10"/>
      <c r="C77" s="16" t="s">
        <v>226</v>
      </c>
      <c r="D77" s="12"/>
      <c r="E77" s="12"/>
      <c r="F77" s="17" t="s">
        <v>227</v>
      </c>
      <c r="G77" s="18">
        <v>0.3</v>
      </c>
      <c r="H77" s="18"/>
      <c r="I77" s="18">
        <v>370.8</v>
      </c>
      <c r="J77" s="19">
        <v>220</v>
      </c>
      <c r="M77" s="20">
        <f>ROUND(ROUND(J77, 2)*I77, 2)</f>
        <v>81576</v>
      </c>
      <c r="P77" s="19">
        <v>220</v>
      </c>
      <c r="S77" s="20">
        <f>ROUND(ROUND(P77, 2)*I77, 2)</f>
        <v>81576</v>
      </c>
      <c r="V77" s="9">
        <f>ROUND(ROUND(P77, 2)/1.2, 2)</f>
        <v>183.33</v>
      </c>
      <c r="Y77" s="9">
        <f t="shared" si="7"/>
        <v>67980</v>
      </c>
      <c r="AD77" s="4" t="s">
        <v>281</v>
      </c>
      <c r="AE77" s="4" t="s">
        <v>282</v>
      </c>
      <c r="AF77" s="4" t="s">
        <v>230</v>
      </c>
    </row>
    <row r="78" spans="1:35" ht="72" x14ac:dyDescent="0.3">
      <c r="A78" s="10" t="s">
        <v>283</v>
      </c>
      <c r="B78" s="10"/>
      <c r="C78" s="21" t="s">
        <v>248</v>
      </c>
      <c r="D78" s="12"/>
      <c r="E78" s="12"/>
      <c r="F78" s="17" t="s">
        <v>76</v>
      </c>
      <c r="G78" s="18">
        <v>1</v>
      </c>
      <c r="H78" s="22"/>
      <c r="I78" s="22">
        <v>561</v>
      </c>
      <c r="J78" s="19">
        <v>51</v>
      </c>
      <c r="M78" s="20">
        <f>ROUND(ROUND(J78, 2)*I78, 2)</f>
        <v>28611</v>
      </c>
      <c r="P78" s="19">
        <v>51</v>
      </c>
      <c r="S78" s="20">
        <f>ROUND(ROUND(P78, 2)*I78, 2)</f>
        <v>28611</v>
      </c>
      <c r="V78" s="9">
        <f>ROUND(ROUND(P78, 2)/1.2, 2)</f>
        <v>42.5</v>
      </c>
      <c r="Y78" s="9">
        <f t="shared" si="7"/>
        <v>23842.5</v>
      </c>
      <c r="AD78" s="4" t="s">
        <v>284</v>
      </c>
      <c r="AE78" s="4" t="s">
        <v>285</v>
      </c>
      <c r="AF78" s="4" t="s">
        <v>251</v>
      </c>
    </row>
    <row r="79" spans="1:35" ht="54" x14ac:dyDescent="0.3">
      <c r="A79" s="10" t="s">
        <v>286</v>
      </c>
      <c r="B79" s="10"/>
      <c r="C79" s="21" t="s">
        <v>243</v>
      </c>
      <c r="D79" s="12"/>
      <c r="E79" s="12"/>
      <c r="F79" s="17" t="s">
        <v>59</v>
      </c>
      <c r="G79" s="18">
        <v>1.1000000000000001</v>
      </c>
      <c r="H79" s="22"/>
      <c r="I79" s="22">
        <v>1359.6</v>
      </c>
      <c r="J79" s="19">
        <v>1339</v>
      </c>
      <c r="M79" s="20">
        <f>ROUND(ROUND(J79, 2)*I79, 2)</f>
        <v>1820504.4</v>
      </c>
      <c r="P79" s="19">
        <v>1339</v>
      </c>
      <c r="S79" s="20">
        <f>ROUND(ROUND(P79, 2)*I79, 2)</f>
        <v>1820504.4</v>
      </c>
      <c r="V79" s="9">
        <f>ROUND(ROUND(P79, 2)/1.2, 2)</f>
        <v>1115.83</v>
      </c>
      <c r="Y79" s="9">
        <f t="shared" si="7"/>
        <v>1517087</v>
      </c>
      <c r="AD79" s="4" t="s">
        <v>287</v>
      </c>
      <c r="AE79" s="4" t="s">
        <v>288</v>
      </c>
      <c r="AF79" s="4" t="s">
        <v>246</v>
      </c>
    </row>
    <row r="80" spans="1:35" ht="90" x14ac:dyDescent="0.3">
      <c r="A80" s="10" t="s">
        <v>289</v>
      </c>
      <c r="B80" s="10" t="s">
        <v>219</v>
      </c>
      <c r="C80" s="11" t="s">
        <v>220</v>
      </c>
      <c r="D80" s="12" t="s">
        <v>221</v>
      </c>
      <c r="E80" s="12" t="s">
        <v>256</v>
      </c>
      <c r="F80" s="12" t="s">
        <v>59</v>
      </c>
      <c r="G80" s="13">
        <v>1</v>
      </c>
      <c r="H80" s="13"/>
      <c r="I80" s="13">
        <v>2276</v>
      </c>
      <c r="J80" s="14">
        <v>89.15</v>
      </c>
      <c r="K80" s="15">
        <v>556</v>
      </c>
      <c r="L80" s="14">
        <f>J80+ROUND(K80, 2)</f>
        <v>645.15</v>
      </c>
      <c r="M80" s="14">
        <v>202905.4</v>
      </c>
      <c r="N80" s="14">
        <v>1265456</v>
      </c>
      <c r="O80" s="14">
        <f>M80+N80</f>
        <v>1468361.4</v>
      </c>
      <c r="P80" s="14">
        <v>89.15</v>
      </c>
      <c r="Q80" s="15">
        <v>834</v>
      </c>
      <c r="R80" s="14">
        <f>P80+ROUND(Q80, 2)</f>
        <v>923.15</v>
      </c>
      <c r="S80" s="14">
        <v>202905.4</v>
      </c>
      <c r="T80" s="14">
        <v>1898184</v>
      </c>
      <c r="U80" s="14">
        <f>S80+T80</f>
        <v>2101089.4</v>
      </c>
      <c r="V80" s="9">
        <f>ROUND(P80 / 1.2, 2)</f>
        <v>74.290000000000006</v>
      </c>
      <c r="W80" s="9">
        <f>ROUND(Q80 / 1.2, 2)</f>
        <v>695</v>
      </c>
      <c r="X80" s="9">
        <f>ROUND(R80 / 1.2, 2)</f>
        <v>769.29</v>
      </c>
      <c r="Y80" s="9">
        <f t="shared" si="7"/>
        <v>169087.83</v>
      </c>
      <c r="Z80" s="9">
        <f>ROUND(T80 / 1.2, 2)</f>
        <v>1581820</v>
      </c>
      <c r="AA80" s="9">
        <f>Y80+Z80</f>
        <v>1750907.83</v>
      </c>
      <c r="AD80" s="4">
        <v>315889917</v>
      </c>
      <c r="AE80" s="4">
        <v>27245782</v>
      </c>
      <c r="AG80" s="4" t="s">
        <v>222</v>
      </c>
      <c r="AH80" s="4" t="s">
        <v>223</v>
      </c>
      <c r="AI80" s="4" t="s">
        <v>224</v>
      </c>
    </row>
    <row r="81" spans="1:35" ht="72" x14ac:dyDescent="0.3">
      <c r="A81" s="10" t="s">
        <v>290</v>
      </c>
      <c r="B81" s="10"/>
      <c r="C81" s="21" t="s">
        <v>248</v>
      </c>
      <c r="D81" s="12"/>
      <c r="E81" s="12"/>
      <c r="F81" s="17" t="s">
        <v>76</v>
      </c>
      <c r="G81" s="18">
        <v>1</v>
      </c>
      <c r="H81" s="22"/>
      <c r="I81" s="22">
        <v>1033</v>
      </c>
      <c r="J81" s="19">
        <v>51</v>
      </c>
      <c r="M81" s="20">
        <f>ROUND(ROUND(J81, 2)*I81, 2)</f>
        <v>52683</v>
      </c>
      <c r="P81" s="19">
        <v>51</v>
      </c>
      <c r="S81" s="20">
        <f>ROUND(ROUND(P81, 2)*I81, 2)</f>
        <v>52683</v>
      </c>
      <c r="V81" s="9">
        <f>ROUND(ROUND(P81, 2)/1.2, 2)</f>
        <v>42.5</v>
      </c>
      <c r="Y81" s="9">
        <f t="shared" si="7"/>
        <v>43902.5</v>
      </c>
      <c r="AD81" s="4" t="s">
        <v>291</v>
      </c>
      <c r="AE81" s="4" t="s">
        <v>292</v>
      </c>
      <c r="AF81" s="4" t="s">
        <v>251</v>
      </c>
    </row>
    <row r="82" spans="1:35" ht="18" x14ac:dyDescent="0.3">
      <c r="A82" s="10" t="s">
        <v>293</v>
      </c>
      <c r="B82" s="10"/>
      <c r="C82" s="16" t="s">
        <v>226</v>
      </c>
      <c r="D82" s="12"/>
      <c r="E82" s="12"/>
      <c r="F82" s="17" t="s">
        <v>227</v>
      </c>
      <c r="G82" s="18">
        <v>0.3</v>
      </c>
      <c r="H82" s="18"/>
      <c r="I82" s="18">
        <v>682.8</v>
      </c>
      <c r="J82" s="19">
        <v>220</v>
      </c>
      <c r="M82" s="20">
        <f>ROUND(ROUND(J82, 2)*I82, 2)</f>
        <v>150216</v>
      </c>
      <c r="P82" s="19">
        <v>220</v>
      </c>
      <c r="S82" s="20">
        <f>ROUND(ROUND(P82, 2)*I82, 2)</f>
        <v>150216</v>
      </c>
      <c r="V82" s="9">
        <f>ROUND(ROUND(P82, 2)/1.2, 2)</f>
        <v>183.33</v>
      </c>
      <c r="Y82" s="9">
        <f t="shared" si="7"/>
        <v>125180</v>
      </c>
      <c r="AD82" s="4" t="s">
        <v>294</v>
      </c>
      <c r="AE82" s="4" t="s">
        <v>295</v>
      </c>
      <c r="AF82" s="4" t="s">
        <v>230</v>
      </c>
    </row>
    <row r="83" spans="1:35" ht="18" x14ac:dyDescent="0.3">
      <c r="A83" s="10" t="s">
        <v>296</v>
      </c>
      <c r="B83" s="10" t="s">
        <v>297</v>
      </c>
      <c r="C83" s="11" t="s">
        <v>298</v>
      </c>
      <c r="D83" s="12"/>
      <c r="E83" s="12"/>
      <c r="F83" s="12" t="s">
        <v>76</v>
      </c>
      <c r="G83" s="13">
        <v>1</v>
      </c>
      <c r="H83" s="13"/>
      <c r="I83" s="13">
        <v>0</v>
      </c>
      <c r="J83" s="14">
        <v>0</v>
      </c>
      <c r="K83" s="15">
        <v>200</v>
      </c>
      <c r="L83" s="14">
        <f>J83+ROUND(K83, 2)</f>
        <v>200</v>
      </c>
      <c r="M83" s="14">
        <v>0</v>
      </c>
      <c r="N83" s="14">
        <v>0</v>
      </c>
      <c r="O83" s="14">
        <f>M83+N83</f>
        <v>0</v>
      </c>
      <c r="P83" s="14">
        <v>577.48</v>
      </c>
      <c r="Q83" s="15">
        <v>200</v>
      </c>
      <c r="R83" s="14">
        <f>P83+ROUND(Q83, 2)</f>
        <v>777.48</v>
      </c>
      <c r="S83" s="14">
        <v>0</v>
      </c>
      <c r="T83" s="14">
        <v>0</v>
      </c>
      <c r="U83" s="14">
        <f>S83+T83</f>
        <v>0</v>
      </c>
      <c r="V83" s="9">
        <f>ROUND(P83 / 1.2, 2)</f>
        <v>481.23</v>
      </c>
      <c r="W83" s="9">
        <f>ROUND(Q83 / 1.2, 2)</f>
        <v>166.67</v>
      </c>
      <c r="X83" s="9">
        <f>ROUND(R83 / 1.2, 2)</f>
        <v>647.9</v>
      </c>
      <c r="Y83" s="9">
        <f t="shared" si="7"/>
        <v>0</v>
      </c>
      <c r="Z83" s="9">
        <f>ROUND(T83 / 1.2, 2)</f>
        <v>0</v>
      </c>
      <c r="AA83" s="9">
        <f>Y83+Z83</f>
        <v>0</v>
      </c>
      <c r="AD83" s="4">
        <v>315889919</v>
      </c>
      <c r="AE83" s="4">
        <v>27245706</v>
      </c>
      <c r="AG83" s="4" t="s">
        <v>299</v>
      </c>
      <c r="AH83" s="4" t="s">
        <v>300</v>
      </c>
      <c r="AI83" s="4" t="s">
        <v>224</v>
      </c>
    </row>
    <row r="84" spans="1:35" ht="36" x14ac:dyDescent="0.3">
      <c r="A84" s="10" t="s">
        <v>301</v>
      </c>
      <c r="B84" s="10"/>
      <c r="C84" s="16" t="s">
        <v>302</v>
      </c>
      <c r="D84" s="12"/>
      <c r="E84" s="12"/>
      <c r="F84" s="17" t="s">
        <v>76</v>
      </c>
      <c r="G84" s="18">
        <v>1.1000000000000001</v>
      </c>
      <c r="H84" s="22"/>
      <c r="I84" s="22">
        <v>0</v>
      </c>
      <c r="J84" s="19">
        <v>0</v>
      </c>
      <c r="M84" s="20">
        <f>ROUND(ROUND(J84, 2)*I84, 2)</f>
        <v>0</v>
      </c>
      <c r="P84" s="19">
        <v>516.79999999999995</v>
      </c>
      <c r="S84" s="20">
        <f>ROUND(ROUND(P84, 2)*I84, 2)</f>
        <v>0</v>
      </c>
      <c r="V84" s="9">
        <f>ROUND(ROUND(P84, 2)/1.2, 2)</f>
        <v>430.67</v>
      </c>
      <c r="Y84" s="9">
        <f t="shared" si="7"/>
        <v>0</v>
      </c>
      <c r="AD84" s="4" t="s">
        <v>303</v>
      </c>
      <c r="AE84" s="4" t="s">
        <v>304</v>
      </c>
      <c r="AF84" s="4" t="s">
        <v>305</v>
      </c>
    </row>
    <row r="85" spans="1:35" ht="18" x14ac:dyDescent="0.3">
      <c r="A85" s="10" t="s">
        <v>306</v>
      </c>
      <c r="B85" s="10"/>
      <c r="C85" s="16" t="s">
        <v>307</v>
      </c>
      <c r="D85" s="12"/>
      <c r="E85" s="12"/>
      <c r="F85" s="17" t="s">
        <v>308</v>
      </c>
      <c r="G85" s="23">
        <v>0.09</v>
      </c>
      <c r="H85" s="18"/>
      <c r="I85" s="18">
        <v>0</v>
      </c>
      <c r="J85" s="19">
        <v>100</v>
      </c>
      <c r="M85" s="20">
        <f>ROUND(ROUND(J85, 2)*I85, 2)</f>
        <v>0</v>
      </c>
      <c r="P85" s="19">
        <v>100</v>
      </c>
      <c r="S85" s="20">
        <f>ROUND(ROUND(P85, 2)*I85, 2)</f>
        <v>0</v>
      </c>
      <c r="V85" s="9">
        <f>ROUND(ROUND(P85, 2)/1.2, 2)</f>
        <v>83.33</v>
      </c>
      <c r="Y85" s="9">
        <f t="shared" si="7"/>
        <v>0</v>
      </c>
      <c r="AD85" s="4" t="s">
        <v>309</v>
      </c>
      <c r="AE85" s="4" t="s">
        <v>310</v>
      </c>
      <c r="AF85" s="4" t="s">
        <v>311</v>
      </c>
    </row>
    <row r="86" spans="1:35" ht="18" x14ac:dyDescent="0.3">
      <c r="A86" s="10" t="s">
        <v>312</v>
      </c>
      <c r="B86" s="10" t="s">
        <v>297</v>
      </c>
      <c r="C86" s="11" t="s">
        <v>298</v>
      </c>
      <c r="D86" s="12"/>
      <c r="E86" s="12"/>
      <c r="F86" s="12" t="s">
        <v>76</v>
      </c>
      <c r="G86" s="13">
        <v>1</v>
      </c>
      <c r="H86" s="13"/>
      <c r="I86" s="13">
        <v>0</v>
      </c>
      <c r="J86" s="14">
        <v>0</v>
      </c>
      <c r="K86" s="15">
        <v>200</v>
      </c>
      <c r="L86" s="14">
        <f>J86+ROUND(K86, 2)</f>
        <v>200</v>
      </c>
      <c r="M86" s="14">
        <v>0</v>
      </c>
      <c r="N86" s="14">
        <v>0</v>
      </c>
      <c r="O86" s="14">
        <f>M86+N86</f>
        <v>0</v>
      </c>
      <c r="P86" s="14">
        <v>577.48</v>
      </c>
      <c r="Q86" s="15">
        <v>200</v>
      </c>
      <c r="R86" s="14">
        <f>P86+ROUND(Q86, 2)</f>
        <v>777.48</v>
      </c>
      <c r="S86" s="14">
        <v>0</v>
      </c>
      <c r="T86" s="14">
        <v>0</v>
      </c>
      <c r="U86" s="14">
        <f>S86+T86</f>
        <v>0</v>
      </c>
      <c r="V86" s="9">
        <f>ROUND(P86 / 1.2, 2)</f>
        <v>481.23</v>
      </c>
      <c r="W86" s="9">
        <f>ROUND(Q86 / 1.2, 2)</f>
        <v>166.67</v>
      </c>
      <c r="X86" s="9">
        <f>ROUND(R86 / 1.2, 2)</f>
        <v>647.9</v>
      </c>
      <c r="Y86" s="9">
        <f t="shared" si="7"/>
        <v>0</v>
      </c>
      <c r="Z86" s="9">
        <f>ROUND(T86 / 1.2, 2)</f>
        <v>0</v>
      </c>
      <c r="AA86" s="9">
        <f>Y86+Z86</f>
        <v>0</v>
      </c>
      <c r="AD86" s="4">
        <v>315889920</v>
      </c>
      <c r="AE86" s="4">
        <v>27245707</v>
      </c>
      <c r="AG86" s="4" t="s">
        <v>299</v>
      </c>
      <c r="AH86" s="4" t="s">
        <v>300</v>
      </c>
      <c r="AI86" s="4" t="s">
        <v>224</v>
      </c>
    </row>
    <row r="87" spans="1:35" ht="18" x14ac:dyDescent="0.3">
      <c r="A87" s="10" t="s">
        <v>313</v>
      </c>
      <c r="B87" s="10"/>
      <c r="C87" s="16" t="s">
        <v>307</v>
      </c>
      <c r="D87" s="12"/>
      <c r="E87" s="12"/>
      <c r="F87" s="17" t="s">
        <v>308</v>
      </c>
      <c r="G87" s="23">
        <v>0.09</v>
      </c>
      <c r="H87" s="18"/>
      <c r="I87" s="18">
        <v>0</v>
      </c>
      <c r="J87" s="19">
        <v>100</v>
      </c>
      <c r="M87" s="20">
        <f>ROUND(ROUND(J87, 2)*I87, 2)</f>
        <v>0</v>
      </c>
      <c r="P87" s="19">
        <v>100</v>
      </c>
      <c r="S87" s="20">
        <f>ROUND(ROUND(P87, 2)*I87, 2)</f>
        <v>0</v>
      </c>
      <c r="V87" s="9">
        <f>ROUND(ROUND(P87, 2)/1.2, 2)</f>
        <v>83.33</v>
      </c>
      <c r="Y87" s="9">
        <f t="shared" si="7"/>
        <v>0</v>
      </c>
      <c r="AD87" s="4" t="s">
        <v>314</v>
      </c>
      <c r="AE87" s="4" t="s">
        <v>315</v>
      </c>
      <c r="AF87" s="4" t="s">
        <v>311</v>
      </c>
    </row>
    <row r="88" spans="1:35" ht="36" x14ac:dyDescent="0.3">
      <c r="A88" s="10" t="s">
        <v>316</v>
      </c>
      <c r="B88" s="10"/>
      <c r="C88" s="16" t="s">
        <v>302</v>
      </c>
      <c r="D88" s="12"/>
      <c r="E88" s="12"/>
      <c r="F88" s="17" t="s">
        <v>76</v>
      </c>
      <c r="G88" s="18">
        <v>1.1000000000000001</v>
      </c>
      <c r="H88" s="22"/>
      <c r="I88" s="22">
        <v>0</v>
      </c>
      <c r="J88" s="19">
        <v>0</v>
      </c>
      <c r="M88" s="20">
        <f>ROUND(ROUND(J88, 2)*I88, 2)</f>
        <v>0</v>
      </c>
      <c r="P88" s="19">
        <v>516.79999999999995</v>
      </c>
      <c r="S88" s="20">
        <f>ROUND(ROUND(P88, 2)*I88, 2)</f>
        <v>0</v>
      </c>
      <c r="V88" s="9">
        <f>ROUND(ROUND(P88, 2)/1.2, 2)</f>
        <v>430.67</v>
      </c>
      <c r="Y88" s="9">
        <f t="shared" si="7"/>
        <v>0</v>
      </c>
      <c r="AD88" s="4" t="s">
        <v>317</v>
      </c>
      <c r="AE88" s="4" t="s">
        <v>318</v>
      </c>
      <c r="AF88" s="4" t="s">
        <v>305</v>
      </c>
    </row>
    <row r="89" spans="1:35" ht="18" x14ac:dyDescent="0.3">
      <c r="A89" s="10" t="s">
        <v>319</v>
      </c>
      <c r="B89" s="10" t="s">
        <v>297</v>
      </c>
      <c r="C89" s="11" t="s">
        <v>298</v>
      </c>
      <c r="D89" s="12"/>
      <c r="E89" s="12"/>
      <c r="F89" s="12" t="s">
        <v>76</v>
      </c>
      <c r="G89" s="13">
        <v>1</v>
      </c>
      <c r="H89" s="13"/>
      <c r="I89" s="13">
        <v>0</v>
      </c>
      <c r="J89" s="14">
        <v>0</v>
      </c>
      <c r="K89" s="15">
        <v>200</v>
      </c>
      <c r="L89" s="14">
        <f>J89+ROUND(K89, 2)</f>
        <v>200</v>
      </c>
      <c r="M89" s="14">
        <v>0</v>
      </c>
      <c r="N89" s="14">
        <v>0</v>
      </c>
      <c r="O89" s="14">
        <f>M89+N89</f>
        <v>0</v>
      </c>
      <c r="P89" s="14">
        <v>577.48</v>
      </c>
      <c r="Q89" s="15">
        <v>200</v>
      </c>
      <c r="R89" s="14">
        <f>P89+ROUND(Q89, 2)</f>
        <v>777.48</v>
      </c>
      <c r="S89" s="14">
        <v>0</v>
      </c>
      <c r="T89" s="14">
        <v>0</v>
      </c>
      <c r="U89" s="14">
        <f>S89+T89</f>
        <v>0</v>
      </c>
      <c r="V89" s="9">
        <f>ROUND(P89 / 1.2, 2)</f>
        <v>481.23</v>
      </c>
      <c r="W89" s="9">
        <f>ROUND(Q89 / 1.2, 2)</f>
        <v>166.67</v>
      </c>
      <c r="X89" s="9">
        <f>ROUND(R89 / 1.2, 2)</f>
        <v>647.9</v>
      </c>
      <c r="Y89" s="9">
        <f t="shared" si="7"/>
        <v>0</v>
      </c>
      <c r="Z89" s="9">
        <f>ROUND(T89 / 1.2, 2)</f>
        <v>0</v>
      </c>
      <c r="AA89" s="9">
        <f>Y89+Z89</f>
        <v>0</v>
      </c>
      <c r="AD89" s="4">
        <v>315889921</v>
      </c>
      <c r="AE89" s="4">
        <v>27245708</v>
      </c>
      <c r="AG89" s="4" t="s">
        <v>299</v>
      </c>
      <c r="AH89" s="4" t="s">
        <v>300</v>
      </c>
      <c r="AI89" s="4" t="s">
        <v>224</v>
      </c>
    </row>
    <row r="90" spans="1:35" ht="36" x14ac:dyDescent="0.3">
      <c r="A90" s="10" t="s">
        <v>320</v>
      </c>
      <c r="B90" s="10"/>
      <c r="C90" s="16" t="s">
        <v>302</v>
      </c>
      <c r="D90" s="12"/>
      <c r="E90" s="12"/>
      <c r="F90" s="17" t="s">
        <v>76</v>
      </c>
      <c r="G90" s="18">
        <v>1.1000000000000001</v>
      </c>
      <c r="H90" s="22"/>
      <c r="I90" s="22">
        <v>0</v>
      </c>
      <c r="J90" s="19">
        <v>0</v>
      </c>
      <c r="M90" s="20">
        <f>ROUND(ROUND(J90, 2)*I90, 2)</f>
        <v>0</v>
      </c>
      <c r="P90" s="19">
        <v>516.79999999999995</v>
      </c>
      <c r="S90" s="20">
        <f>ROUND(ROUND(P90, 2)*I90, 2)</f>
        <v>0</v>
      </c>
      <c r="V90" s="9">
        <f>ROUND(ROUND(P90, 2)/1.2, 2)</f>
        <v>430.67</v>
      </c>
      <c r="Y90" s="9">
        <f t="shared" si="7"/>
        <v>0</v>
      </c>
      <c r="AD90" s="4" t="s">
        <v>321</v>
      </c>
      <c r="AE90" s="4" t="s">
        <v>322</v>
      </c>
      <c r="AF90" s="4" t="s">
        <v>305</v>
      </c>
    </row>
    <row r="91" spans="1:35" ht="18" x14ac:dyDescent="0.3">
      <c r="A91" s="10" t="s">
        <v>323</v>
      </c>
      <c r="B91" s="10"/>
      <c r="C91" s="16" t="s">
        <v>307</v>
      </c>
      <c r="D91" s="12"/>
      <c r="E91" s="12"/>
      <c r="F91" s="17" t="s">
        <v>308</v>
      </c>
      <c r="G91" s="23">
        <v>0.09</v>
      </c>
      <c r="H91" s="18"/>
      <c r="I91" s="18">
        <v>0</v>
      </c>
      <c r="J91" s="19">
        <v>100</v>
      </c>
      <c r="M91" s="20">
        <f>ROUND(ROUND(J91, 2)*I91, 2)</f>
        <v>0</v>
      </c>
      <c r="P91" s="19">
        <v>100</v>
      </c>
      <c r="S91" s="20">
        <f>ROUND(ROUND(P91, 2)*I91, 2)</f>
        <v>0</v>
      </c>
      <c r="V91" s="9">
        <f>ROUND(ROUND(P91, 2)/1.2, 2)</f>
        <v>83.33</v>
      </c>
      <c r="Y91" s="9">
        <f t="shared" si="7"/>
        <v>0</v>
      </c>
      <c r="AD91" s="4" t="s">
        <v>324</v>
      </c>
      <c r="AE91" s="4" t="s">
        <v>325</v>
      </c>
      <c r="AF91" s="4" t="s">
        <v>311</v>
      </c>
    </row>
    <row r="92" spans="1:35" ht="18" x14ac:dyDescent="0.3">
      <c r="A92" s="10" t="s">
        <v>326</v>
      </c>
      <c r="B92" s="10" t="s">
        <v>297</v>
      </c>
      <c r="C92" s="11" t="s">
        <v>298</v>
      </c>
      <c r="D92" s="12"/>
      <c r="E92" s="12"/>
      <c r="F92" s="12" t="s">
        <v>76</v>
      </c>
      <c r="G92" s="13">
        <v>1</v>
      </c>
      <c r="H92" s="13"/>
      <c r="I92" s="13">
        <v>0</v>
      </c>
      <c r="J92" s="14">
        <v>0</v>
      </c>
      <c r="K92" s="15">
        <v>200</v>
      </c>
      <c r="L92" s="14">
        <f>J92+ROUND(K92, 2)</f>
        <v>200</v>
      </c>
      <c r="M92" s="14">
        <v>0</v>
      </c>
      <c r="N92" s="14">
        <v>0</v>
      </c>
      <c r="O92" s="14">
        <f>M92+N92</f>
        <v>0</v>
      </c>
      <c r="P92" s="14">
        <v>99.86</v>
      </c>
      <c r="Q92" s="15">
        <v>200</v>
      </c>
      <c r="R92" s="14">
        <f>P92+ROUND(Q92, 2)</f>
        <v>299.86</v>
      </c>
      <c r="S92" s="14">
        <v>0</v>
      </c>
      <c r="T92" s="14">
        <v>0</v>
      </c>
      <c r="U92" s="14">
        <f>S92+T92</f>
        <v>0</v>
      </c>
      <c r="V92" s="9">
        <f>ROUND(P92 / 1.2, 2)</f>
        <v>83.22</v>
      </c>
      <c r="W92" s="9">
        <f>ROUND(Q92 / 1.2, 2)</f>
        <v>166.67</v>
      </c>
      <c r="X92" s="9">
        <f>ROUND(R92 / 1.2, 2)</f>
        <v>249.88</v>
      </c>
      <c r="Y92" s="9">
        <f t="shared" si="7"/>
        <v>0</v>
      </c>
      <c r="Z92" s="9">
        <f>ROUND(T92 / 1.2, 2)</f>
        <v>0</v>
      </c>
      <c r="AA92" s="9">
        <f>Y92+Z92</f>
        <v>0</v>
      </c>
      <c r="AD92" s="4">
        <v>315889922</v>
      </c>
      <c r="AE92" s="4">
        <v>27245709</v>
      </c>
      <c r="AG92" s="4" t="s">
        <v>299</v>
      </c>
      <c r="AH92" s="4" t="s">
        <v>300</v>
      </c>
      <c r="AI92" s="4" t="s">
        <v>224</v>
      </c>
    </row>
    <row r="93" spans="1:35" ht="18" x14ac:dyDescent="0.3">
      <c r="A93" s="10" t="s">
        <v>327</v>
      </c>
      <c r="B93" s="10"/>
      <c r="C93" s="21" t="s">
        <v>328</v>
      </c>
      <c r="D93" s="12"/>
      <c r="E93" s="12"/>
      <c r="F93" s="17" t="s">
        <v>76</v>
      </c>
      <c r="G93" s="18">
        <v>1.05</v>
      </c>
      <c r="H93" s="22"/>
      <c r="I93" s="22">
        <v>0</v>
      </c>
      <c r="J93" s="19">
        <v>140.54</v>
      </c>
      <c r="M93" s="20">
        <f>ROUND(ROUND(J93, 2)*I93, 2)</f>
        <v>0</v>
      </c>
      <c r="P93" s="19">
        <v>140.54</v>
      </c>
      <c r="S93" s="20">
        <f>ROUND(ROUND(P93, 2)*I93, 2)</f>
        <v>0</v>
      </c>
      <c r="V93" s="9">
        <f>ROUND(ROUND(P93, 2)/1.2, 2)</f>
        <v>117.12</v>
      </c>
      <c r="Y93" s="9">
        <f t="shared" si="7"/>
        <v>0</v>
      </c>
      <c r="AD93" s="4" t="s">
        <v>329</v>
      </c>
      <c r="AE93" s="4" t="s">
        <v>330</v>
      </c>
      <c r="AF93" s="4" t="s">
        <v>331</v>
      </c>
    </row>
    <row r="94" spans="1:35" ht="18" x14ac:dyDescent="0.3">
      <c r="A94" s="10" t="s">
        <v>332</v>
      </c>
      <c r="B94" s="10"/>
      <c r="C94" s="16" t="s">
        <v>307</v>
      </c>
      <c r="D94" s="12"/>
      <c r="E94" s="12"/>
      <c r="F94" s="17" t="s">
        <v>308</v>
      </c>
      <c r="G94" s="23">
        <v>0.09</v>
      </c>
      <c r="H94" s="18"/>
      <c r="I94" s="18">
        <v>0</v>
      </c>
      <c r="J94" s="19">
        <v>100</v>
      </c>
      <c r="M94" s="20">
        <f>ROUND(ROUND(J94, 2)*I94, 2)</f>
        <v>0</v>
      </c>
      <c r="P94" s="19">
        <v>100</v>
      </c>
      <c r="S94" s="20">
        <f>ROUND(ROUND(P94, 2)*I94, 2)</f>
        <v>0</v>
      </c>
      <c r="V94" s="9">
        <f>ROUND(ROUND(P94, 2)/1.2, 2)</f>
        <v>83.33</v>
      </c>
      <c r="Y94" s="9">
        <f t="shared" si="7"/>
        <v>0</v>
      </c>
      <c r="AD94" s="4" t="s">
        <v>333</v>
      </c>
      <c r="AE94" s="4" t="s">
        <v>334</v>
      </c>
      <c r="AF94" s="4" t="s">
        <v>311</v>
      </c>
    </row>
    <row r="95" spans="1:35" ht="54" x14ac:dyDescent="0.3">
      <c r="A95" s="10" t="s">
        <v>335</v>
      </c>
      <c r="B95" s="10" t="s">
        <v>297</v>
      </c>
      <c r="C95" s="11" t="s">
        <v>298</v>
      </c>
      <c r="D95" s="12"/>
      <c r="E95" s="12" t="s">
        <v>336</v>
      </c>
      <c r="F95" s="12" t="s">
        <v>76</v>
      </c>
      <c r="G95" s="13">
        <v>1</v>
      </c>
      <c r="H95" s="13"/>
      <c r="I95" s="13">
        <v>25</v>
      </c>
      <c r="J95" s="14">
        <v>9</v>
      </c>
      <c r="K95" s="15">
        <v>200</v>
      </c>
      <c r="L95" s="14">
        <f>J95+ROUND(K95, 2)</f>
        <v>209</v>
      </c>
      <c r="M95" s="14">
        <v>225</v>
      </c>
      <c r="N95" s="14">
        <v>5000</v>
      </c>
      <c r="O95" s="14">
        <f>M95+N95</f>
        <v>5225</v>
      </c>
      <c r="P95" s="14">
        <v>9</v>
      </c>
      <c r="Q95" s="15">
        <v>300</v>
      </c>
      <c r="R95" s="14">
        <f>P95+ROUND(Q95, 2)</f>
        <v>309</v>
      </c>
      <c r="S95" s="14">
        <v>225</v>
      </c>
      <c r="T95" s="14">
        <v>7500</v>
      </c>
      <c r="U95" s="14">
        <f>S95+T95</f>
        <v>7725</v>
      </c>
      <c r="V95" s="9">
        <f>ROUND(P95 / 1.2, 2)</f>
        <v>7.5</v>
      </c>
      <c r="W95" s="9">
        <f>ROUND(Q95 / 1.2, 2)</f>
        <v>250</v>
      </c>
      <c r="X95" s="9">
        <f>ROUND(R95 / 1.2, 2)</f>
        <v>257.5</v>
      </c>
      <c r="Y95" s="9">
        <f t="shared" si="7"/>
        <v>187.5</v>
      </c>
      <c r="Z95" s="9">
        <f>ROUND(T95 / 1.2, 2)</f>
        <v>6250</v>
      </c>
      <c r="AA95" s="9">
        <f>Y95+Z95</f>
        <v>6437.5</v>
      </c>
      <c r="AD95" s="4">
        <v>315889923</v>
      </c>
      <c r="AE95" s="4">
        <v>27245762</v>
      </c>
      <c r="AG95" s="4" t="s">
        <v>299</v>
      </c>
      <c r="AH95" s="4" t="s">
        <v>300</v>
      </c>
      <c r="AI95" s="4" t="s">
        <v>224</v>
      </c>
    </row>
    <row r="96" spans="1:35" ht="36" x14ac:dyDescent="0.3">
      <c r="A96" s="10" t="s">
        <v>337</v>
      </c>
      <c r="B96" s="10"/>
      <c r="C96" s="16" t="s">
        <v>302</v>
      </c>
      <c r="D96" s="12"/>
      <c r="E96" s="12"/>
      <c r="F96" s="17" t="s">
        <v>76</v>
      </c>
      <c r="G96" s="18">
        <v>1.1000000000000001</v>
      </c>
      <c r="H96" s="22"/>
      <c r="I96" s="22">
        <v>27.5</v>
      </c>
      <c r="J96" s="19">
        <v>0</v>
      </c>
      <c r="M96" s="20">
        <f>ROUND(ROUND(J96, 2)*I96, 2)</f>
        <v>0</v>
      </c>
      <c r="P96" s="19">
        <v>0</v>
      </c>
      <c r="S96" s="20">
        <f>ROUND(ROUND(P96, 2)*I96, 2)</f>
        <v>0</v>
      </c>
      <c r="V96" s="9">
        <f>ROUND(ROUND(P96, 2)/1.2, 2)</f>
        <v>0</v>
      </c>
      <c r="Y96" s="9">
        <f t="shared" si="7"/>
        <v>0</v>
      </c>
      <c r="AD96" s="4" t="s">
        <v>338</v>
      </c>
      <c r="AE96" s="4" t="s">
        <v>339</v>
      </c>
      <c r="AF96" s="4" t="s">
        <v>305</v>
      </c>
    </row>
    <row r="97" spans="1:35" ht="18" x14ac:dyDescent="0.3">
      <c r="A97" s="10" t="s">
        <v>340</v>
      </c>
      <c r="B97" s="10"/>
      <c r="C97" s="16" t="s">
        <v>307</v>
      </c>
      <c r="D97" s="12"/>
      <c r="E97" s="12"/>
      <c r="F97" s="17" t="s">
        <v>308</v>
      </c>
      <c r="G97" s="23">
        <v>0.09</v>
      </c>
      <c r="H97" s="18"/>
      <c r="I97" s="18">
        <v>2.25</v>
      </c>
      <c r="J97" s="19">
        <v>100</v>
      </c>
      <c r="M97" s="20">
        <f>ROUND(ROUND(J97, 2)*I97, 2)</f>
        <v>225</v>
      </c>
      <c r="P97" s="19">
        <v>100</v>
      </c>
      <c r="S97" s="20">
        <f>ROUND(ROUND(P97, 2)*I97, 2)</f>
        <v>225</v>
      </c>
      <c r="V97" s="9">
        <f>ROUND(ROUND(P97, 2)/1.2, 2)</f>
        <v>83.33</v>
      </c>
      <c r="Y97" s="9">
        <f t="shared" si="7"/>
        <v>187.5</v>
      </c>
      <c r="AD97" s="4" t="s">
        <v>341</v>
      </c>
      <c r="AE97" s="4" t="s">
        <v>342</v>
      </c>
      <c r="AF97" s="4" t="s">
        <v>311</v>
      </c>
    </row>
    <row r="98" spans="1:35" ht="54" x14ac:dyDescent="0.3">
      <c r="A98" s="10" t="s">
        <v>343</v>
      </c>
      <c r="B98" s="10" t="s">
        <v>297</v>
      </c>
      <c r="C98" s="11" t="s">
        <v>298</v>
      </c>
      <c r="D98" s="12"/>
      <c r="E98" s="12" t="s">
        <v>344</v>
      </c>
      <c r="F98" s="12" t="s">
        <v>76</v>
      </c>
      <c r="G98" s="13">
        <v>1</v>
      </c>
      <c r="H98" s="13"/>
      <c r="I98" s="13">
        <v>8.1</v>
      </c>
      <c r="J98" s="14">
        <v>9</v>
      </c>
      <c r="K98" s="15">
        <v>200</v>
      </c>
      <c r="L98" s="14">
        <f>J98+ROUND(K98, 2)</f>
        <v>209</v>
      </c>
      <c r="M98" s="14">
        <v>72.900000000000006</v>
      </c>
      <c r="N98" s="14">
        <v>1620</v>
      </c>
      <c r="O98" s="14">
        <f>M98+N98</f>
        <v>1692.9</v>
      </c>
      <c r="P98" s="14">
        <v>9</v>
      </c>
      <c r="Q98" s="15">
        <v>300</v>
      </c>
      <c r="R98" s="14">
        <f>P98+ROUND(Q98, 2)</f>
        <v>309</v>
      </c>
      <c r="S98" s="14">
        <v>72.900000000000006</v>
      </c>
      <c r="T98" s="14">
        <v>2430</v>
      </c>
      <c r="U98" s="14">
        <f>S98+T98</f>
        <v>2502.9</v>
      </c>
      <c r="V98" s="9">
        <f>ROUND(P98 / 1.2, 2)</f>
        <v>7.5</v>
      </c>
      <c r="W98" s="9">
        <f>ROUND(Q98 / 1.2, 2)</f>
        <v>250</v>
      </c>
      <c r="X98" s="9">
        <f>ROUND(R98 / 1.2, 2)</f>
        <v>257.5</v>
      </c>
      <c r="Y98" s="9">
        <f t="shared" si="7"/>
        <v>60.75</v>
      </c>
      <c r="Z98" s="9">
        <f>ROUND(T98 / 1.2, 2)</f>
        <v>2025</v>
      </c>
      <c r="AA98" s="9">
        <f>Y98+Z98</f>
        <v>2085.75</v>
      </c>
      <c r="AD98" s="4">
        <v>315889924</v>
      </c>
      <c r="AE98" s="4">
        <v>27245763</v>
      </c>
      <c r="AG98" s="4" t="s">
        <v>299</v>
      </c>
      <c r="AH98" s="4" t="s">
        <v>300</v>
      </c>
      <c r="AI98" s="4" t="s">
        <v>224</v>
      </c>
    </row>
    <row r="99" spans="1:35" ht="18" x14ac:dyDescent="0.3">
      <c r="A99" s="10" t="s">
        <v>345</v>
      </c>
      <c r="B99" s="10"/>
      <c r="C99" s="16" t="s">
        <v>307</v>
      </c>
      <c r="D99" s="12"/>
      <c r="E99" s="12"/>
      <c r="F99" s="17" t="s">
        <v>308</v>
      </c>
      <c r="G99" s="23">
        <v>0.09</v>
      </c>
      <c r="H99" s="18"/>
      <c r="I99" s="18">
        <v>0.72899999999999998</v>
      </c>
      <c r="J99" s="19">
        <v>100</v>
      </c>
      <c r="M99" s="20">
        <f>ROUND(ROUND(J99, 2)*I99, 2)</f>
        <v>72.900000000000006</v>
      </c>
      <c r="P99" s="19">
        <v>100</v>
      </c>
      <c r="S99" s="20">
        <f>ROUND(ROUND(P99, 2)*I99, 2)</f>
        <v>72.900000000000006</v>
      </c>
      <c r="V99" s="9">
        <f>ROUND(ROUND(P99, 2)/1.2, 2)</f>
        <v>83.33</v>
      </c>
      <c r="Y99" s="9">
        <f t="shared" si="7"/>
        <v>60.75</v>
      </c>
      <c r="AD99" s="4" t="s">
        <v>346</v>
      </c>
      <c r="AE99" s="4" t="s">
        <v>347</v>
      </c>
      <c r="AF99" s="4" t="s">
        <v>311</v>
      </c>
    </row>
    <row r="100" spans="1:35" ht="36" x14ac:dyDescent="0.3">
      <c r="A100" s="10" t="s">
        <v>348</v>
      </c>
      <c r="B100" s="10"/>
      <c r="C100" s="16" t="s">
        <v>302</v>
      </c>
      <c r="D100" s="12"/>
      <c r="E100" s="12"/>
      <c r="F100" s="17" t="s">
        <v>76</v>
      </c>
      <c r="G100" s="18">
        <v>1.1000000000000001</v>
      </c>
      <c r="H100" s="22"/>
      <c r="I100" s="22">
        <v>8.91</v>
      </c>
      <c r="J100" s="19">
        <v>0</v>
      </c>
      <c r="M100" s="20">
        <f>ROUND(ROUND(J100, 2)*I100, 2)</f>
        <v>0</v>
      </c>
      <c r="P100" s="19">
        <v>0</v>
      </c>
      <c r="S100" s="20">
        <f>ROUND(ROUND(P100, 2)*I100, 2)</f>
        <v>0</v>
      </c>
      <c r="V100" s="9">
        <f>ROUND(ROUND(P100, 2)/1.2, 2)</f>
        <v>0</v>
      </c>
      <c r="Y100" s="9">
        <f t="shared" si="7"/>
        <v>0</v>
      </c>
      <c r="AD100" s="4" t="s">
        <v>349</v>
      </c>
      <c r="AE100" s="4" t="s">
        <v>350</v>
      </c>
      <c r="AF100" s="4" t="s">
        <v>305</v>
      </c>
    </row>
    <row r="101" spans="1:35" ht="54" x14ac:dyDescent="0.3">
      <c r="A101" s="10" t="s">
        <v>351</v>
      </c>
      <c r="B101" s="10" t="s">
        <v>297</v>
      </c>
      <c r="C101" s="11" t="s">
        <v>298</v>
      </c>
      <c r="D101" s="12"/>
      <c r="E101" s="12" t="s">
        <v>352</v>
      </c>
      <c r="F101" s="12" t="s">
        <v>76</v>
      </c>
      <c r="G101" s="13">
        <v>1</v>
      </c>
      <c r="H101" s="13"/>
      <c r="I101" s="13">
        <v>11</v>
      </c>
      <c r="J101" s="14">
        <v>9</v>
      </c>
      <c r="K101" s="15">
        <v>200</v>
      </c>
      <c r="L101" s="14">
        <f>J101+ROUND(K101, 2)</f>
        <v>209</v>
      </c>
      <c r="M101" s="14">
        <v>99</v>
      </c>
      <c r="N101" s="14">
        <v>2200</v>
      </c>
      <c r="O101" s="14">
        <f>M101+N101</f>
        <v>2299</v>
      </c>
      <c r="P101" s="14">
        <v>9</v>
      </c>
      <c r="Q101" s="15">
        <v>300</v>
      </c>
      <c r="R101" s="14">
        <f>P101+ROUND(Q101, 2)</f>
        <v>309</v>
      </c>
      <c r="S101" s="14">
        <v>99</v>
      </c>
      <c r="T101" s="14">
        <v>3300</v>
      </c>
      <c r="U101" s="14">
        <f>S101+T101</f>
        <v>3399</v>
      </c>
      <c r="V101" s="9">
        <f>ROUND(P101 / 1.2, 2)</f>
        <v>7.5</v>
      </c>
      <c r="W101" s="9">
        <f>ROUND(Q101 / 1.2, 2)</f>
        <v>250</v>
      </c>
      <c r="X101" s="9">
        <f>ROUND(R101 / 1.2, 2)</f>
        <v>257.5</v>
      </c>
      <c r="Y101" s="9">
        <f t="shared" si="7"/>
        <v>82.5</v>
      </c>
      <c r="Z101" s="9">
        <f>ROUND(T101 / 1.2, 2)</f>
        <v>2750</v>
      </c>
      <c r="AA101" s="9">
        <f>Y101+Z101</f>
        <v>2832.5</v>
      </c>
      <c r="AD101" s="4">
        <v>315889925</v>
      </c>
      <c r="AE101" s="4">
        <v>27245789</v>
      </c>
      <c r="AG101" s="4" t="s">
        <v>299</v>
      </c>
      <c r="AH101" s="4" t="s">
        <v>300</v>
      </c>
      <c r="AI101" s="4" t="s">
        <v>224</v>
      </c>
    </row>
    <row r="102" spans="1:35" ht="36" x14ac:dyDescent="0.3">
      <c r="A102" s="10" t="s">
        <v>353</v>
      </c>
      <c r="B102" s="10"/>
      <c r="C102" s="16" t="s">
        <v>302</v>
      </c>
      <c r="D102" s="12"/>
      <c r="E102" s="12"/>
      <c r="F102" s="17" t="s">
        <v>76</v>
      </c>
      <c r="G102" s="18">
        <v>1.1000000000000001</v>
      </c>
      <c r="H102" s="22"/>
      <c r="I102" s="22">
        <v>12.1</v>
      </c>
      <c r="J102" s="19">
        <v>0</v>
      </c>
      <c r="M102" s="20">
        <f>ROUND(ROUND(J102, 2)*I102, 2)</f>
        <v>0</v>
      </c>
      <c r="P102" s="19">
        <v>0</v>
      </c>
      <c r="S102" s="20">
        <f>ROUND(ROUND(P102, 2)*I102, 2)</f>
        <v>0</v>
      </c>
      <c r="V102" s="9">
        <f>ROUND(ROUND(P102, 2)/1.2, 2)</f>
        <v>0</v>
      </c>
      <c r="Y102" s="9">
        <f t="shared" si="7"/>
        <v>0</v>
      </c>
      <c r="AD102" s="4" t="s">
        <v>354</v>
      </c>
      <c r="AE102" s="4" t="s">
        <v>355</v>
      </c>
      <c r="AF102" s="4" t="s">
        <v>305</v>
      </c>
    </row>
    <row r="103" spans="1:35" ht="18" x14ac:dyDescent="0.3">
      <c r="A103" s="10" t="s">
        <v>356</v>
      </c>
      <c r="B103" s="10"/>
      <c r="C103" s="16" t="s">
        <v>307</v>
      </c>
      <c r="D103" s="12"/>
      <c r="E103" s="12"/>
      <c r="F103" s="17" t="s">
        <v>308</v>
      </c>
      <c r="G103" s="23">
        <v>0.09</v>
      </c>
      <c r="H103" s="18"/>
      <c r="I103" s="18">
        <v>0.99</v>
      </c>
      <c r="J103" s="19">
        <v>100</v>
      </c>
      <c r="M103" s="20">
        <f>ROUND(ROUND(J103, 2)*I103, 2)</f>
        <v>99</v>
      </c>
      <c r="P103" s="19">
        <v>100</v>
      </c>
      <c r="S103" s="20">
        <f>ROUND(ROUND(P103, 2)*I103, 2)</f>
        <v>99</v>
      </c>
      <c r="V103" s="9">
        <f>ROUND(ROUND(P103, 2)/1.2, 2)</f>
        <v>83.33</v>
      </c>
      <c r="Y103" s="9">
        <f t="shared" si="7"/>
        <v>82.5</v>
      </c>
      <c r="AD103" s="4" t="s">
        <v>357</v>
      </c>
      <c r="AE103" s="4" t="s">
        <v>358</v>
      </c>
      <c r="AF103" s="4" t="s">
        <v>311</v>
      </c>
    </row>
    <row r="104" spans="1:35" ht="18" x14ac:dyDescent="0.3">
      <c r="A104" s="10" t="s">
        <v>359</v>
      </c>
      <c r="B104" s="10" t="s">
        <v>297</v>
      </c>
      <c r="C104" s="11" t="s">
        <v>298</v>
      </c>
      <c r="D104" s="12"/>
      <c r="E104" s="12" t="s">
        <v>360</v>
      </c>
      <c r="F104" s="12" t="s">
        <v>76</v>
      </c>
      <c r="G104" s="13">
        <v>1</v>
      </c>
      <c r="H104" s="13"/>
      <c r="I104" s="13">
        <v>106.7</v>
      </c>
      <c r="J104" s="14">
        <v>99.86</v>
      </c>
      <c r="K104" s="15">
        <v>200</v>
      </c>
      <c r="L104" s="14">
        <f>J104+ROUND(K104, 2)</f>
        <v>299.86</v>
      </c>
      <c r="M104" s="14">
        <v>10655.06</v>
      </c>
      <c r="N104" s="14">
        <v>21340</v>
      </c>
      <c r="O104" s="14">
        <f>M104+N104</f>
        <v>31995.059999999998</v>
      </c>
      <c r="P104" s="14">
        <v>99.86</v>
      </c>
      <c r="Q104" s="15">
        <v>300</v>
      </c>
      <c r="R104" s="14">
        <f>P104+ROUND(Q104, 2)</f>
        <v>399.86</v>
      </c>
      <c r="S104" s="14">
        <v>10655.06</v>
      </c>
      <c r="T104" s="14">
        <v>32010</v>
      </c>
      <c r="U104" s="14">
        <f>S104+T104</f>
        <v>42665.06</v>
      </c>
      <c r="V104" s="9">
        <f>ROUND(P104 / 1.2, 2)</f>
        <v>83.22</v>
      </c>
      <c r="W104" s="9">
        <f>ROUND(Q104 / 1.2, 2)</f>
        <v>250</v>
      </c>
      <c r="X104" s="9">
        <f>ROUND(R104 / 1.2, 2)</f>
        <v>333.22</v>
      </c>
      <c r="Y104" s="9">
        <f t="shared" si="7"/>
        <v>8879.2199999999993</v>
      </c>
      <c r="Z104" s="9">
        <f>ROUND(T104 / 1.2, 2)</f>
        <v>26675</v>
      </c>
      <c r="AA104" s="9">
        <f>Y104+Z104</f>
        <v>35554.22</v>
      </c>
      <c r="AD104" s="4">
        <v>315889926</v>
      </c>
      <c r="AE104" s="4">
        <v>27245761</v>
      </c>
      <c r="AG104" s="4" t="s">
        <v>299</v>
      </c>
      <c r="AH104" s="4" t="s">
        <v>300</v>
      </c>
      <c r="AI104" s="4" t="s">
        <v>224</v>
      </c>
    </row>
    <row r="105" spans="1:35" ht="18" x14ac:dyDescent="0.3">
      <c r="A105" s="10" t="s">
        <v>361</v>
      </c>
      <c r="B105" s="10"/>
      <c r="C105" s="21" t="s">
        <v>328</v>
      </c>
      <c r="D105" s="12"/>
      <c r="E105" s="12"/>
      <c r="F105" s="17" t="s">
        <v>76</v>
      </c>
      <c r="G105" s="18">
        <v>1.05</v>
      </c>
      <c r="H105" s="22"/>
      <c r="I105" s="22">
        <v>68.984999999999999</v>
      </c>
      <c r="J105" s="19">
        <v>140.54</v>
      </c>
      <c r="M105" s="20">
        <f>ROUND(ROUND(J105, 2)*I105, 2)</f>
        <v>9695.15</v>
      </c>
      <c r="P105" s="19">
        <v>140.54</v>
      </c>
      <c r="S105" s="20">
        <f>ROUND(ROUND(P105, 2)*I105, 2)</f>
        <v>9695.15</v>
      </c>
      <c r="V105" s="9">
        <f>ROUND(ROUND(P105, 2)/1.2, 2)</f>
        <v>117.12</v>
      </c>
      <c r="Y105" s="9">
        <f t="shared" si="7"/>
        <v>8079.29</v>
      </c>
      <c r="AD105" s="4" t="s">
        <v>362</v>
      </c>
      <c r="AE105" s="4" t="s">
        <v>363</v>
      </c>
      <c r="AF105" s="4" t="s">
        <v>331</v>
      </c>
    </row>
    <row r="106" spans="1:35" ht="18" x14ac:dyDescent="0.3">
      <c r="A106" s="10" t="s">
        <v>364</v>
      </c>
      <c r="B106" s="10"/>
      <c r="C106" s="16" t="s">
        <v>307</v>
      </c>
      <c r="D106" s="12"/>
      <c r="E106" s="12"/>
      <c r="F106" s="17" t="s">
        <v>308</v>
      </c>
      <c r="G106" s="23">
        <v>0.09</v>
      </c>
      <c r="H106" s="18"/>
      <c r="I106" s="18">
        <v>9.6029999999999998</v>
      </c>
      <c r="J106" s="19">
        <v>100</v>
      </c>
      <c r="M106" s="20">
        <f>ROUND(ROUND(J106, 2)*I106, 2)</f>
        <v>960.3</v>
      </c>
      <c r="P106" s="19">
        <v>100</v>
      </c>
      <c r="S106" s="20">
        <f>ROUND(ROUND(P106, 2)*I106, 2)</f>
        <v>960.3</v>
      </c>
      <c r="V106" s="9">
        <f>ROUND(ROUND(P106, 2)/1.2, 2)</f>
        <v>83.33</v>
      </c>
      <c r="Y106" s="9">
        <f t="shared" si="7"/>
        <v>800.25</v>
      </c>
      <c r="AD106" s="4" t="s">
        <v>365</v>
      </c>
      <c r="AE106" s="4" t="s">
        <v>366</v>
      </c>
      <c r="AF106" s="4" t="s">
        <v>311</v>
      </c>
    </row>
    <row r="107" spans="1:35" ht="36" x14ac:dyDescent="0.3">
      <c r="A107" s="10" t="s">
        <v>367</v>
      </c>
      <c r="B107" s="10" t="s">
        <v>368</v>
      </c>
      <c r="C107" s="11" t="s">
        <v>369</v>
      </c>
      <c r="D107" s="12"/>
      <c r="E107" s="12"/>
      <c r="F107" s="12" t="s">
        <v>59</v>
      </c>
      <c r="G107" s="13">
        <v>1</v>
      </c>
      <c r="H107" s="13"/>
      <c r="I107" s="13">
        <v>0</v>
      </c>
      <c r="J107" s="14">
        <v>0</v>
      </c>
      <c r="K107" s="15">
        <v>661</v>
      </c>
      <c r="L107" s="14">
        <f>J107+ROUND(K107, 2)</f>
        <v>661</v>
      </c>
      <c r="M107" s="14">
        <v>0</v>
      </c>
      <c r="N107" s="14">
        <v>0</v>
      </c>
      <c r="O107" s="14">
        <f>M107+N107</f>
        <v>0</v>
      </c>
      <c r="P107" s="14">
        <v>2510.19</v>
      </c>
      <c r="Q107" s="15">
        <v>661</v>
      </c>
      <c r="R107" s="14">
        <f>P107+ROUND(Q107, 2)</f>
        <v>3171.19</v>
      </c>
      <c r="S107" s="14">
        <v>0</v>
      </c>
      <c r="T107" s="14">
        <v>0</v>
      </c>
      <c r="U107" s="14">
        <f>S107+T107</f>
        <v>0</v>
      </c>
      <c r="V107" s="9">
        <f>ROUND(P107 / 1.2, 2)</f>
        <v>2091.83</v>
      </c>
      <c r="W107" s="9">
        <f>ROUND(Q107 / 1.2, 2)</f>
        <v>550.83000000000004</v>
      </c>
      <c r="X107" s="9">
        <f>ROUND(R107 / 1.2, 2)</f>
        <v>2642.66</v>
      </c>
      <c r="Y107" s="9">
        <f t="shared" si="7"/>
        <v>0</v>
      </c>
      <c r="Z107" s="9">
        <f>ROUND(T107 / 1.2, 2)</f>
        <v>0</v>
      </c>
      <c r="AA107" s="9">
        <f>Y107+Z107</f>
        <v>0</v>
      </c>
      <c r="AD107" s="4">
        <v>315889928</v>
      </c>
      <c r="AE107" s="4">
        <v>27245602</v>
      </c>
      <c r="AG107" s="4" t="s">
        <v>370</v>
      </c>
      <c r="AH107" s="4" t="s">
        <v>371</v>
      </c>
      <c r="AI107" s="4" t="s">
        <v>224</v>
      </c>
    </row>
    <row r="108" spans="1:35" ht="90" x14ac:dyDescent="0.3">
      <c r="A108" s="10" t="s">
        <v>372</v>
      </c>
      <c r="B108" s="10"/>
      <c r="C108" s="16" t="s">
        <v>373</v>
      </c>
      <c r="D108" s="12"/>
      <c r="E108" s="12"/>
      <c r="F108" s="17" t="s">
        <v>308</v>
      </c>
      <c r="G108" s="18">
        <v>1</v>
      </c>
      <c r="H108" s="22"/>
      <c r="I108" s="22">
        <v>0</v>
      </c>
      <c r="J108" s="19">
        <v>0</v>
      </c>
      <c r="M108" s="20">
        <f>ROUND(ROUND(J108, 2)*I108, 2)</f>
        <v>0</v>
      </c>
      <c r="P108" s="19">
        <v>3880</v>
      </c>
      <c r="S108" s="20">
        <f>ROUND(ROUND(P108, 2)*I108, 2)</f>
        <v>0</v>
      </c>
      <c r="V108" s="9">
        <f>ROUND(ROUND(P108, 2)/1.2, 2)</f>
        <v>3233.33</v>
      </c>
      <c r="Y108" s="9">
        <f t="shared" si="7"/>
        <v>0</v>
      </c>
      <c r="AD108" s="4" t="s">
        <v>374</v>
      </c>
      <c r="AE108" s="4" t="s">
        <v>375</v>
      </c>
      <c r="AF108" s="4" t="s">
        <v>376</v>
      </c>
    </row>
    <row r="109" spans="1:35" ht="36" x14ac:dyDescent="0.3">
      <c r="A109" s="10" t="s">
        <v>377</v>
      </c>
      <c r="B109" s="10"/>
      <c r="C109" s="16" t="s">
        <v>378</v>
      </c>
      <c r="D109" s="12"/>
      <c r="E109" s="12"/>
      <c r="F109" s="17" t="s">
        <v>59</v>
      </c>
      <c r="G109" s="18">
        <v>1.03</v>
      </c>
      <c r="H109" s="22"/>
      <c r="I109" s="22">
        <v>0</v>
      </c>
      <c r="J109" s="19">
        <v>0</v>
      </c>
      <c r="M109" s="20">
        <f>ROUND(ROUND(J109, 2)*I109, 2)</f>
        <v>0</v>
      </c>
      <c r="P109" s="19">
        <v>2000</v>
      </c>
      <c r="S109" s="20">
        <f>ROUND(ROUND(P109, 2)*I109, 2)</f>
        <v>0</v>
      </c>
      <c r="V109" s="9">
        <f>ROUND(ROUND(P109, 2)/1.2, 2)</f>
        <v>1666.67</v>
      </c>
      <c r="Y109" s="9">
        <f t="shared" si="7"/>
        <v>0</v>
      </c>
      <c r="AD109" s="4" t="s">
        <v>379</v>
      </c>
      <c r="AE109" s="4" t="s">
        <v>380</v>
      </c>
      <c r="AF109" s="4" t="s">
        <v>381</v>
      </c>
    </row>
    <row r="110" spans="1:35" ht="36" x14ac:dyDescent="0.3">
      <c r="A110" s="10" t="s">
        <v>382</v>
      </c>
      <c r="B110" s="10" t="s">
        <v>368</v>
      </c>
      <c r="C110" s="11" t="s">
        <v>369</v>
      </c>
      <c r="D110" s="12"/>
      <c r="E110" s="12"/>
      <c r="F110" s="12" t="s">
        <v>59</v>
      </c>
      <c r="G110" s="13">
        <v>1</v>
      </c>
      <c r="H110" s="13"/>
      <c r="I110" s="13">
        <v>0</v>
      </c>
      <c r="J110" s="14">
        <v>0</v>
      </c>
      <c r="K110" s="15">
        <v>661</v>
      </c>
      <c r="L110" s="14">
        <f>J110+ROUND(K110, 2)</f>
        <v>661</v>
      </c>
      <c r="M110" s="14">
        <v>0</v>
      </c>
      <c r="N110" s="14">
        <v>0</v>
      </c>
      <c r="O110" s="14">
        <f>M110+N110</f>
        <v>0</v>
      </c>
      <c r="P110" s="14">
        <v>2509.98</v>
      </c>
      <c r="Q110" s="15">
        <v>661</v>
      </c>
      <c r="R110" s="14">
        <f>P110+ROUND(Q110, 2)</f>
        <v>3170.98</v>
      </c>
      <c r="S110" s="14">
        <v>0</v>
      </c>
      <c r="T110" s="14">
        <v>0</v>
      </c>
      <c r="U110" s="14">
        <f>S110+T110</f>
        <v>0</v>
      </c>
      <c r="V110" s="9">
        <f>ROUND(P110 / 1.2, 2)</f>
        <v>2091.65</v>
      </c>
      <c r="W110" s="9">
        <f>ROUND(Q110 / 1.2, 2)</f>
        <v>550.83000000000004</v>
      </c>
      <c r="X110" s="9">
        <f>ROUND(R110 / 1.2, 2)</f>
        <v>2642.48</v>
      </c>
      <c r="Y110" s="9">
        <f t="shared" si="7"/>
        <v>0</v>
      </c>
      <c r="Z110" s="9">
        <f>ROUND(T110 / 1.2, 2)</f>
        <v>0</v>
      </c>
      <c r="AA110" s="9">
        <f>Y110+Z110</f>
        <v>0</v>
      </c>
      <c r="AD110" s="4">
        <v>315889929</v>
      </c>
      <c r="AE110" s="4">
        <v>27245603</v>
      </c>
      <c r="AG110" s="4" t="s">
        <v>370</v>
      </c>
      <c r="AH110" s="4" t="s">
        <v>371</v>
      </c>
      <c r="AI110" s="4" t="s">
        <v>224</v>
      </c>
    </row>
    <row r="111" spans="1:35" ht="36" x14ac:dyDescent="0.3">
      <c r="A111" s="10" t="s">
        <v>383</v>
      </c>
      <c r="B111" s="10"/>
      <c r="C111" s="16" t="s">
        <v>378</v>
      </c>
      <c r="D111" s="12"/>
      <c r="E111" s="12"/>
      <c r="F111" s="17" t="s">
        <v>59</v>
      </c>
      <c r="G111" s="18">
        <v>1.03</v>
      </c>
      <c r="H111" s="22"/>
      <c r="I111" s="22">
        <v>0</v>
      </c>
      <c r="J111" s="19">
        <v>0</v>
      </c>
      <c r="M111" s="20">
        <f>ROUND(ROUND(J111, 2)*I111, 2)</f>
        <v>0</v>
      </c>
      <c r="P111" s="19">
        <v>2000</v>
      </c>
      <c r="S111" s="20">
        <f>ROUND(ROUND(P111, 2)*I111, 2)</f>
        <v>0</v>
      </c>
      <c r="V111" s="9">
        <f>ROUND(ROUND(P111, 2)/1.2, 2)</f>
        <v>1666.67</v>
      </c>
      <c r="Y111" s="9">
        <f t="shared" si="7"/>
        <v>0</v>
      </c>
      <c r="AD111" s="4" t="s">
        <v>384</v>
      </c>
      <c r="AE111" s="4" t="s">
        <v>385</v>
      </c>
      <c r="AF111" s="4" t="s">
        <v>381</v>
      </c>
    </row>
    <row r="112" spans="1:35" ht="90" x14ac:dyDescent="0.3">
      <c r="A112" s="10" t="s">
        <v>386</v>
      </c>
      <c r="B112" s="10"/>
      <c r="C112" s="16" t="s">
        <v>373</v>
      </c>
      <c r="D112" s="12"/>
      <c r="E112" s="12"/>
      <c r="F112" s="17" t="s">
        <v>308</v>
      </c>
      <c r="G112" s="18">
        <v>1</v>
      </c>
      <c r="H112" s="22"/>
      <c r="I112" s="22">
        <v>0</v>
      </c>
      <c r="J112" s="19">
        <v>0</v>
      </c>
      <c r="M112" s="20">
        <f>ROUND(ROUND(J112, 2)*I112, 2)</f>
        <v>0</v>
      </c>
      <c r="P112" s="19">
        <v>3880</v>
      </c>
      <c r="S112" s="20">
        <f>ROUND(ROUND(P112, 2)*I112, 2)</f>
        <v>0</v>
      </c>
      <c r="V112" s="9">
        <f>ROUND(ROUND(P112, 2)/1.2, 2)</f>
        <v>3233.33</v>
      </c>
      <c r="Y112" s="9">
        <f t="shared" si="7"/>
        <v>0</v>
      </c>
      <c r="AD112" s="4" t="s">
        <v>387</v>
      </c>
      <c r="AE112" s="4" t="s">
        <v>388</v>
      </c>
      <c r="AF112" s="4" t="s">
        <v>376</v>
      </c>
    </row>
    <row r="113" spans="1:35" ht="72" x14ac:dyDescent="0.3">
      <c r="A113" s="10" t="s">
        <v>389</v>
      </c>
      <c r="B113" s="10" t="s">
        <v>368</v>
      </c>
      <c r="C113" s="11" t="s">
        <v>369</v>
      </c>
      <c r="D113" s="12"/>
      <c r="E113" s="12" t="s">
        <v>390</v>
      </c>
      <c r="F113" s="12" t="s">
        <v>59</v>
      </c>
      <c r="G113" s="13">
        <v>1</v>
      </c>
      <c r="H113" s="13"/>
      <c r="I113" s="13">
        <v>245.2</v>
      </c>
      <c r="J113" s="14">
        <v>0</v>
      </c>
      <c r="K113" s="15">
        <v>661</v>
      </c>
      <c r="L113" s="14">
        <f>J113+ROUND(K113, 2)</f>
        <v>661</v>
      </c>
      <c r="M113" s="14">
        <v>0</v>
      </c>
      <c r="N113" s="14">
        <v>162077.20000000001</v>
      </c>
      <c r="O113" s="14">
        <f>M113+N113</f>
        <v>162077.20000000001</v>
      </c>
      <c r="P113" s="14">
        <v>4146.0600000000004</v>
      </c>
      <c r="Q113" s="15">
        <v>991.5</v>
      </c>
      <c r="R113" s="14">
        <f>P113+ROUND(Q113, 2)</f>
        <v>5137.5600000000004</v>
      </c>
      <c r="S113" s="14">
        <v>1016613.91</v>
      </c>
      <c r="T113" s="14">
        <v>243115.8</v>
      </c>
      <c r="U113" s="14">
        <f>S113+T113</f>
        <v>1259729.71</v>
      </c>
      <c r="V113" s="9">
        <f>ROUND(P113 / 1.2, 2)</f>
        <v>3455.05</v>
      </c>
      <c r="W113" s="9">
        <f>ROUND(Q113 / 1.2, 2)</f>
        <v>826.25</v>
      </c>
      <c r="X113" s="9">
        <f>ROUND(R113 / 1.2, 2)</f>
        <v>4281.3</v>
      </c>
      <c r="Y113" s="9">
        <f t="shared" si="7"/>
        <v>847178.26</v>
      </c>
      <c r="Z113" s="9">
        <f>ROUND(T113 / 1.2, 2)</f>
        <v>202596.5</v>
      </c>
      <c r="AA113" s="9">
        <f>Y113+Z113</f>
        <v>1049774.76</v>
      </c>
      <c r="AD113" s="4">
        <v>315889930</v>
      </c>
      <c r="AE113" s="4">
        <v>27245796</v>
      </c>
      <c r="AG113" s="4" t="s">
        <v>370</v>
      </c>
      <c r="AH113" s="4" t="s">
        <v>371</v>
      </c>
      <c r="AI113" s="4" t="s">
        <v>224</v>
      </c>
    </row>
    <row r="114" spans="1:35" ht="90" x14ac:dyDescent="0.3">
      <c r="A114" s="10" t="s">
        <v>391</v>
      </c>
      <c r="B114" s="10"/>
      <c r="C114" s="16" t="s">
        <v>373</v>
      </c>
      <c r="D114" s="12"/>
      <c r="E114" s="12" t="s">
        <v>392</v>
      </c>
      <c r="F114" s="17" t="s">
        <v>308</v>
      </c>
      <c r="G114" s="18">
        <v>1</v>
      </c>
      <c r="H114" s="22"/>
      <c r="I114" s="22">
        <v>28.45</v>
      </c>
      <c r="J114" s="19">
        <v>0</v>
      </c>
      <c r="M114" s="20">
        <f>ROUND(ROUND(J114, 2)*I114, 2)</f>
        <v>0</v>
      </c>
      <c r="P114" s="19">
        <v>2000</v>
      </c>
      <c r="S114" s="20">
        <f>ROUND(ROUND(P114, 2)*I114, 2)</f>
        <v>56900</v>
      </c>
      <c r="V114" s="9">
        <f>ROUND(ROUND(P114, 2)/1.2, 2)</f>
        <v>1666.67</v>
      </c>
      <c r="Y114" s="9">
        <f t="shared" si="7"/>
        <v>47416.67</v>
      </c>
      <c r="AD114" s="4" t="s">
        <v>393</v>
      </c>
      <c r="AE114" s="4" t="s">
        <v>394</v>
      </c>
      <c r="AF114" s="4" t="s">
        <v>376</v>
      </c>
    </row>
    <row r="115" spans="1:35" ht="36" x14ac:dyDescent="0.3">
      <c r="A115" s="10" t="s">
        <v>395</v>
      </c>
      <c r="B115" s="10"/>
      <c r="C115" s="16" t="s">
        <v>378</v>
      </c>
      <c r="D115" s="12"/>
      <c r="E115" s="12" t="s">
        <v>396</v>
      </c>
      <c r="F115" s="17" t="s">
        <v>59</v>
      </c>
      <c r="G115" s="18">
        <v>1.03</v>
      </c>
      <c r="H115" s="22"/>
      <c r="I115" s="22">
        <v>252.55600000000001</v>
      </c>
      <c r="J115" s="19">
        <v>0</v>
      </c>
      <c r="M115" s="20">
        <f>ROUND(ROUND(J115, 2)*I115, 2)</f>
        <v>0</v>
      </c>
      <c r="P115" s="19">
        <v>3800</v>
      </c>
      <c r="S115" s="20">
        <f>ROUND(ROUND(P115, 2)*I115, 2)</f>
        <v>959712.8</v>
      </c>
      <c r="V115" s="9">
        <f>ROUND(ROUND(P115, 2)/1.2, 2)</f>
        <v>3166.67</v>
      </c>
      <c r="Y115" s="9">
        <f t="shared" si="7"/>
        <v>799760.67</v>
      </c>
      <c r="AD115" s="4" t="s">
        <v>397</v>
      </c>
      <c r="AE115" s="4" t="s">
        <v>398</v>
      </c>
      <c r="AF115" s="4" t="s">
        <v>381</v>
      </c>
    </row>
    <row r="116" spans="1:35" ht="72" x14ac:dyDescent="0.3">
      <c r="A116" s="10" t="s">
        <v>399</v>
      </c>
      <c r="B116" s="10" t="s">
        <v>368</v>
      </c>
      <c r="C116" s="11" t="s">
        <v>369</v>
      </c>
      <c r="D116" s="12"/>
      <c r="E116" s="12" t="s">
        <v>400</v>
      </c>
      <c r="F116" s="12" t="s">
        <v>59</v>
      </c>
      <c r="G116" s="13">
        <v>1</v>
      </c>
      <c r="H116" s="13"/>
      <c r="I116" s="13">
        <v>45.7</v>
      </c>
      <c r="J116" s="14">
        <v>0</v>
      </c>
      <c r="K116" s="15">
        <v>661</v>
      </c>
      <c r="L116" s="14">
        <f>J116+ROUND(K116, 2)</f>
        <v>661</v>
      </c>
      <c r="M116" s="14">
        <v>0</v>
      </c>
      <c r="N116" s="14">
        <v>30207.7</v>
      </c>
      <c r="O116" s="14">
        <f>M116+N116</f>
        <v>30207.7</v>
      </c>
      <c r="P116" s="14">
        <v>2509.98</v>
      </c>
      <c r="Q116" s="15">
        <v>991.5</v>
      </c>
      <c r="R116" s="14">
        <f>P116+ROUND(Q116, 2)</f>
        <v>3501.48</v>
      </c>
      <c r="S116" s="14">
        <v>114706.09</v>
      </c>
      <c r="T116" s="14">
        <v>45311.55</v>
      </c>
      <c r="U116" s="14">
        <f>S116+T116</f>
        <v>160017.64000000001</v>
      </c>
      <c r="V116" s="9">
        <f>ROUND(P116 / 1.2, 2)</f>
        <v>2091.65</v>
      </c>
      <c r="W116" s="9">
        <f>ROUND(Q116 / 1.2, 2)</f>
        <v>826.25</v>
      </c>
      <c r="X116" s="9">
        <f>ROUND(R116 / 1.2, 2)</f>
        <v>2917.9</v>
      </c>
      <c r="Y116" s="9">
        <f t="shared" si="7"/>
        <v>95588.41</v>
      </c>
      <c r="Z116" s="9">
        <f>ROUND(T116 / 1.2, 2)</f>
        <v>37759.629999999997</v>
      </c>
      <c r="AA116" s="9">
        <f>Y116+Z116</f>
        <v>133348.04</v>
      </c>
      <c r="AD116" s="4">
        <v>315889931</v>
      </c>
      <c r="AE116" s="4">
        <v>27245798</v>
      </c>
      <c r="AG116" s="4" t="s">
        <v>370</v>
      </c>
      <c r="AH116" s="4" t="s">
        <v>371</v>
      </c>
      <c r="AI116" s="4" t="s">
        <v>224</v>
      </c>
    </row>
    <row r="117" spans="1:35" ht="36" x14ac:dyDescent="0.3">
      <c r="A117" s="10" t="s">
        <v>401</v>
      </c>
      <c r="B117" s="10"/>
      <c r="C117" s="16" t="s">
        <v>378</v>
      </c>
      <c r="D117" s="12"/>
      <c r="E117" s="12"/>
      <c r="F117" s="17" t="s">
        <v>59</v>
      </c>
      <c r="G117" s="18">
        <v>1.03</v>
      </c>
      <c r="H117" s="22"/>
      <c r="I117" s="22">
        <v>47.070999999999998</v>
      </c>
      <c r="J117" s="19">
        <v>0</v>
      </c>
      <c r="M117" s="20">
        <f>ROUND(ROUND(J117, 2)*I117, 2)</f>
        <v>0</v>
      </c>
      <c r="P117" s="19">
        <v>2000</v>
      </c>
      <c r="S117" s="20">
        <f>ROUND(ROUND(P117, 2)*I117, 2)</f>
        <v>94142</v>
      </c>
      <c r="V117" s="9">
        <f>ROUND(ROUND(P117, 2)/1.2, 2)</f>
        <v>1666.67</v>
      </c>
      <c r="Y117" s="9">
        <f t="shared" si="7"/>
        <v>78451.67</v>
      </c>
      <c r="AD117" s="4" t="s">
        <v>402</v>
      </c>
      <c r="AE117" s="4" t="s">
        <v>403</v>
      </c>
      <c r="AF117" s="4" t="s">
        <v>381</v>
      </c>
    </row>
    <row r="118" spans="1:35" ht="90" x14ac:dyDescent="0.3">
      <c r="A118" s="10" t="s">
        <v>404</v>
      </c>
      <c r="B118" s="10"/>
      <c r="C118" s="16" t="s">
        <v>373</v>
      </c>
      <c r="D118" s="12"/>
      <c r="E118" s="12"/>
      <c r="F118" s="17" t="s">
        <v>308</v>
      </c>
      <c r="G118" s="18">
        <v>1</v>
      </c>
      <c r="H118" s="22"/>
      <c r="I118" s="22">
        <v>5.3</v>
      </c>
      <c r="J118" s="19">
        <v>0</v>
      </c>
      <c r="M118" s="20">
        <f>ROUND(ROUND(J118, 2)*I118, 2)</f>
        <v>0</v>
      </c>
      <c r="P118" s="19">
        <v>3880</v>
      </c>
      <c r="S118" s="20">
        <f>ROUND(ROUND(P118, 2)*I118, 2)</f>
        <v>20564</v>
      </c>
      <c r="V118" s="9">
        <f>ROUND(ROUND(P118, 2)/1.2, 2)</f>
        <v>3233.33</v>
      </c>
      <c r="Y118" s="9">
        <f t="shared" si="7"/>
        <v>17136.669999999998</v>
      </c>
      <c r="AD118" s="4" t="s">
        <v>405</v>
      </c>
      <c r="AE118" s="4" t="s">
        <v>406</v>
      </c>
      <c r="AF118" s="4" t="s">
        <v>376</v>
      </c>
    </row>
    <row r="119" spans="1:35" ht="36" x14ac:dyDescent="0.3">
      <c r="A119" s="10" t="s">
        <v>407</v>
      </c>
      <c r="B119" s="10" t="s">
        <v>408</v>
      </c>
      <c r="C119" s="11" t="s">
        <v>409</v>
      </c>
      <c r="D119" s="12"/>
      <c r="E119" s="12"/>
      <c r="F119" s="12" t="s">
        <v>76</v>
      </c>
      <c r="G119" s="13">
        <v>1</v>
      </c>
      <c r="H119" s="13"/>
      <c r="I119" s="13">
        <v>0</v>
      </c>
      <c r="J119" s="14">
        <v>0</v>
      </c>
      <c r="K119" s="15">
        <v>210</v>
      </c>
      <c r="L119" s="14">
        <f>J119+ROUND(K119, 2)</f>
        <v>210</v>
      </c>
      <c r="M119" s="14">
        <v>0</v>
      </c>
      <c r="N119" s="14">
        <v>0</v>
      </c>
      <c r="O119" s="14">
        <f>M119+N119</f>
        <v>0</v>
      </c>
      <c r="P119" s="14">
        <v>409.64</v>
      </c>
      <c r="Q119" s="15">
        <v>210</v>
      </c>
      <c r="R119" s="14">
        <f>P119+ROUND(Q119, 2)</f>
        <v>619.64</v>
      </c>
      <c r="S119" s="14">
        <v>0</v>
      </c>
      <c r="T119" s="14">
        <v>0</v>
      </c>
      <c r="U119" s="14">
        <f>S119+T119</f>
        <v>0</v>
      </c>
      <c r="V119" s="9">
        <f>ROUND(P119 / 1.2, 2)</f>
        <v>341.37</v>
      </c>
      <c r="W119" s="9">
        <f>ROUND(Q119 / 1.2, 2)</f>
        <v>175</v>
      </c>
      <c r="X119" s="9">
        <f>ROUND(R119 / 1.2, 2)</f>
        <v>516.37</v>
      </c>
      <c r="Y119" s="9">
        <f t="shared" si="7"/>
        <v>0</v>
      </c>
      <c r="Z119" s="9">
        <f>ROUND(T119 / 1.2, 2)</f>
        <v>0</v>
      </c>
      <c r="AA119" s="9">
        <f>Y119+Z119</f>
        <v>0</v>
      </c>
      <c r="AD119" s="4">
        <v>315889933</v>
      </c>
      <c r="AE119" s="4">
        <v>27245607</v>
      </c>
      <c r="AG119" s="4" t="s">
        <v>410</v>
      </c>
      <c r="AH119" s="4" t="s">
        <v>411</v>
      </c>
      <c r="AI119" s="4" t="s">
        <v>224</v>
      </c>
    </row>
    <row r="120" spans="1:35" ht="72" x14ac:dyDescent="0.3">
      <c r="A120" s="10" t="s">
        <v>412</v>
      </c>
      <c r="B120" s="10"/>
      <c r="C120" s="16" t="s">
        <v>413</v>
      </c>
      <c r="D120" s="12"/>
      <c r="E120" s="12"/>
      <c r="F120" s="17" t="s">
        <v>76</v>
      </c>
      <c r="G120" s="18">
        <v>1.1000000000000001</v>
      </c>
      <c r="H120" s="22"/>
      <c r="I120" s="22">
        <v>0</v>
      </c>
      <c r="J120" s="19">
        <v>0</v>
      </c>
      <c r="M120" s="20">
        <f>ROUND(ROUND(J120, 2)*I120, 2)</f>
        <v>0</v>
      </c>
      <c r="P120" s="19">
        <v>372.4</v>
      </c>
      <c r="S120" s="20">
        <f>ROUND(ROUND(P120, 2)*I120, 2)</f>
        <v>0</v>
      </c>
      <c r="V120" s="9">
        <f>ROUND(ROUND(P120, 2)/1.2, 2)</f>
        <v>310.33</v>
      </c>
      <c r="Y120" s="9">
        <f t="shared" si="7"/>
        <v>0</v>
      </c>
      <c r="AD120" s="4" t="s">
        <v>414</v>
      </c>
      <c r="AE120" s="4" t="s">
        <v>415</v>
      </c>
      <c r="AF120" s="4" t="s">
        <v>416</v>
      </c>
    </row>
    <row r="121" spans="1:35" ht="36" x14ac:dyDescent="0.3">
      <c r="A121" s="10" t="s">
        <v>417</v>
      </c>
      <c r="B121" s="10" t="s">
        <v>408</v>
      </c>
      <c r="C121" s="11" t="s">
        <v>409</v>
      </c>
      <c r="D121" s="12"/>
      <c r="E121" s="12"/>
      <c r="F121" s="12" t="s">
        <v>76</v>
      </c>
      <c r="G121" s="13">
        <v>1</v>
      </c>
      <c r="H121" s="13"/>
      <c r="I121" s="13">
        <v>0</v>
      </c>
      <c r="J121" s="14">
        <v>0</v>
      </c>
      <c r="K121" s="15">
        <v>210</v>
      </c>
      <c r="L121" s="14">
        <f>J121+ROUND(K121, 2)</f>
        <v>210</v>
      </c>
      <c r="M121" s="14">
        <v>0</v>
      </c>
      <c r="N121" s="14">
        <v>0</v>
      </c>
      <c r="O121" s="14">
        <f>M121+N121</f>
        <v>0</v>
      </c>
      <c r="P121" s="14">
        <v>409.64</v>
      </c>
      <c r="Q121" s="15">
        <v>210</v>
      </c>
      <c r="R121" s="14">
        <f>P121+ROUND(Q121, 2)</f>
        <v>619.64</v>
      </c>
      <c r="S121" s="14">
        <v>0</v>
      </c>
      <c r="T121" s="14">
        <v>0</v>
      </c>
      <c r="U121" s="14">
        <f>S121+T121</f>
        <v>0</v>
      </c>
      <c r="V121" s="9">
        <f>ROUND(P121 / 1.2, 2)</f>
        <v>341.37</v>
      </c>
      <c r="W121" s="9">
        <f>ROUND(Q121 / 1.2, 2)</f>
        <v>175</v>
      </c>
      <c r="X121" s="9">
        <f>ROUND(R121 / 1.2, 2)</f>
        <v>516.37</v>
      </c>
      <c r="Y121" s="9">
        <f t="shared" si="7"/>
        <v>0</v>
      </c>
      <c r="Z121" s="9">
        <f>ROUND(T121 / 1.2, 2)</f>
        <v>0</v>
      </c>
      <c r="AA121" s="9">
        <f>Y121+Z121</f>
        <v>0</v>
      </c>
      <c r="AD121" s="4">
        <v>315889934</v>
      </c>
      <c r="AE121" s="4">
        <v>27245608</v>
      </c>
      <c r="AG121" s="4" t="s">
        <v>410</v>
      </c>
      <c r="AH121" s="4" t="s">
        <v>411</v>
      </c>
      <c r="AI121" s="4" t="s">
        <v>224</v>
      </c>
    </row>
    <row r="122" spans="1:35" ht="72" x14ac:dyDescent="0.3">
      <c r="A122" s="10" t="s">
        <v>418</v>
      </c>
      <c r="B122" s="10"/>
      <c r="C122" s="16" t="s">
        <v>413</v>
      </c>
      <c r="D122" s="12"/>
      <c r="E122" s="12"/>
      <c r="F122" s="17" t="s">
        <v>76</v>
      </c>
      <c r="G122" s="18">
        <v>1.1000000000000001</v>
      </c>
      <c r="H122" s="22"/>
      <c r="I122" s="22">
        <v>0</v>
      </c>
      <c r="J122" s="19">
        <v>0</v>
      </c>
      <c r="M122" s="20">
        <f>ROUND(ROUND(J122, 2)*I122, 2)</f>
        <v>0</v>
      </c>
      <c r="P122" s="19">
        <v>372.4</v>
      </c>
      <c r="S122" s="20">
        <f>ROUND(ROUND(P122, 2)*I122, 2)</f>
        <v>0</v>
      </c>
      <c r="V122" s="9">
        <f>ROUND(ROUND(P122, 2)/1.2, 2)</f>
        <v>310.33</v>
      </c>
      <c r="Y122" s="9">
        <f t="shared" si="7"/>
        <v>0</v>
      </c>
      <c r="AD122" s="4" t="s">
        <v>419</v>
      </c>
      <c r="AE122" s="4" t="s">
        <v>420</v>
      </c>
      <c r="AF122" s="4" t="s">
        <v>416</v>
      </c>
    </row>
    <row r="123" spans="1:35" ht="36" x14ac:dyDescent="0.3">
      <c r="A123" s="10" t="s">
        <v>421</v>
      </c>
      <c r="B123" s="10" t="s">
        <v>408</v>
      </c>
      <c r="C123" s="11" t="s">
        <v>409</v>
      </c>
      <c r="D123" s="12"/>
      <c r="E123" s="12" t="s">
        <v>422</v>
      </c>
      <c r="F123" s="12" t="s">
        <v>76</v>
      </c>
      <c r="G123" s="13">
        <v>1</v>
      </c>
      <c r="H123" s="13"/>
      <c r="I123" s="13">
        <v>1012.89</v>
      </c>
      <c r="J123" s="14">
        <v>0</v>
      </c>
      <c r="K123" s="15">
        <v>210</v>
      </c>
      <c r="L123" s="14">
        <f>J123+ROUND(K123, 2)</f>
        <v>210</v>
      </c>
      <c r="M123" s="14">
        <v>0</v>
      </c>
      <c r="N123" s="14">
        <v>212706.9</v>
      </c>
      <c r="O123" s="14">
        <f>M123+N123</f>
        <v>212706.9</v>
      </c>
      <c r="P123" s="14">
        <v>409.64</v>
      </c>
      <c r="Q123" s="15">
        <v>315</v>
      </c>
      <c r="R123" s="14">
        <f>P123+ROUND(Q123, 2)</f>
        <v>724.64</v>
      </c>
      <c r="S123" s="14">
        <v>414920.26</v>
      </c>
      <c r="T123" s="14">
        <v>319060.34999999998</v>
      </c>
      <c r="U123" s="14">
        <f>S123+T123</f>
        <v>733980.61</v>
      </c>
      <c r="V123" s="9">
        <f>ROUND(P123 / 1.2, 2)</f>
        <v>341.37</v>
      </c>
      <c r="W123" s="9">
        <f>ROUND(Q123 / 1.2, 2)</f>
        <v>262.5</v>
      </c>
      <c r="X123" s="9">
        <f>ROUND(R123 / 1.2, 2)</f>
        <v>603.87</v>
      </c>
      <c r="Y123" s="9">
        <f t="shared" si="7"/>
        <v>345766.88</v>
      </c>
      <c r="Z123" s="9">
        <f>ROUND(T123 / 1.2, 2)</f>
        <v>265883.63</v>
      </c>
      <c r="AA123" s="9">
        <f>Y123+Z123</f>
        <v>611650.51</v>
      </c>
      <c r="AD123" s="4">
        <v>315889935</v>
      </c>
      <c r="AE123" s="4">
        <v>27245787</v>
      </c>
      <c r="AG123" s="4" t="s">
        <v>410</v>
      </c>
      <c r="AH123" s="4" t="s">
        <v>411</v>
      </c>
      <c r="AI123" s="4" t="s">
        <v>224</v>
      </c>
    </row>
    <row r="124" spans="1:35" ht="72" x14ac:dyDescent="0.3">
      <c r="A124" s="10" t="s">
        <v>423</v>
      </c>
      <c r="B124" s="10"/>
      <c r="C124" s="16" t="s">
        <v>413</v>
      </c>
      <c r="D124" s="12"/>
      <c r="E124" s="12" t="s">
        <v>424</v>
      </c>
      <c r="F124" s="17" t="s">
        <v>76</v>
      </c>
      <c r="G124" s="18">
        <v>1.1000000000000001</v>
      </c>
      <c r="H124" s="22"/>
      <c r="I124" s="22">
        <v>1114.1790000000001</v>
      </c>
      <c r="J124" s="19">
        <v>0</v>
      </c>
      <c r="M124" s="20">
        <f>ROUND(ROUND(J124, 2)*I124, 2)</f>
        <v>0</v>
      </c>
      <c r="P124" s="19">
        <v>372.4</v>
      </c>
      <c r="S124" s="20">
        <f>ROUND(ROUND(P124, 2)*I124, 2)</f>
        <v>414920.26</v>
      </c>
      <c r="V124" s="9">
        <f>ROUND(ROUND(P124, 2)/1.2, 2)</f>
        <v>310.33</v>
      </c>
      <c r="Y124" s="9">
        <f t="shared" si="7"/>
        <v>345766.88</v>
      </c>
      <c r="AD124" s="4" t="s">
        <v>425</v>
      </c>
      <c r="AE124" s="4" t="s">
        <v>426</v>
      </c>
      <c r="AF124" s="4" t="s">
        <v>416</v>
      </c>
    </row>
    <row r="125" spans="1:35" ht="36" x14ac:dyDescent="0.3">
      <c r="A125" s="10" t="s">
        <v>427</v>
      </c>
      <c r="B125" s="10" t="s">
        <v>408</v>
      </c>
      <c r="C125" s="11" t="s">
        <v>409</v>
      </c>
      <c r="D125" s="12"/>
      <c r="E125" s="12" t="s">
        <v>428</v>
      </c>
      <c r="F125" s="12" t="s">
        <v>76</v>
      </c>
      <c r="G125" s="13">
        <v>1</v>
      </c>
      <c r="H125" s="13"/>
      <c r="I125" s="13">
        <v>409.31</v>
      </c>
      <c r="J125" s="14">
        <v>0</v>
      </c>
      <c r="K125" s="15">
        <v>210</v>
      </c>
      <c r="L125" s="14">
        <f>J125+ROUND(K125, 2)</f>
        <v>210</v>
      </c>
      <c r="M125" s="14">
        <v>0</v>
      </c>
      <c r="N125" s="14">
        <v>85955.1</v>
      </c>
      <c r="O125" s="14">
        <f>M125+N125</f>
        <v>85955.1</v>
      </c>
      <c r="P125" s="14">
        <v>409.64</v>
      </c>
      <c r="Q125" s="15">
        <v>315</v>
      </c>
      <c r="R125" s="14">
        <f>P125+ROUND(Q125, 2)</f>
        <v>724.64</v>
      </c>
      <c r="S125" s="14">
        <v>167669.75</v>
      </c>
      <c r="T125" s="14">
        <v>128932.65</v>
      </c>
      <c r="U125" s="14">
        <f>S125+T125</f>
        <v>296602.40000000002</v>
      </c>
      <c r="V125" s="9">
        <f>ROUND(P125 / 1.2, 2)</f>
        <v>341.37</v>
      </c>
      <c r="W125" s="9">
        <f>ROUND(Q125 / 1.2, 2)</f>
        <v>262.5</v>
      </c>
      <c r="X125" s="9">
        <f>ROUND(R125 / 1.2, 2)</f>
        <v>603.87</v>
      </c>
      <c r="Y125" s="9">
        <f t="shared" ref="Y125:Y188" si="8">ROUND(S125 / 1.2, 2)</f>
        <v>139724.79</v>
      </c>
      <c r="Z125" s="9">
        <f>ROUND(T125 / 1.2, 2)</f>
        <v>107443.88</v>
      </c>
      <c r="AA125" s="9">
        <f>Y125+Z125</f>
        <v>247168.67</v>
      </c>
      <c r="AD125" s="4">
        <v>315889936</v>
      </c>
      <c r="AE125" s="4">
        <v>27245788</v>
      </c>
      <c r="AG125" s="4" t="s">
        <v>410</v>
      </c>
      <c r="AH125" s="4" t="s">
        <v>411</v>
      </c>
      <c r="AI125" s="4" t="s">
        <v>224</v>
      </c>
    </row>
    <row r="126" spans="1:35" ht="72" x14ac:dyDescent="0.3">
      <c r="A126" s="10" t="s">
        <v>429</v>
      </c>
      <c r="B126" s="10"/>
      <c r="C126" s="16" t="s">
        <v>413</v>
      </c>
      <c r="D126" s="12"/>
      <c r="E126" s="12" t="s">
        <v>430</v>
      </c>
      <c r="F126" s="17" t="s">
        <v>76</v>
      </c>
      <c r="G126" s="18">
        <v>1.1000000000000001</v>
      </c>
      <c r="H126" s="22"/>
      <c r="I126" s="22">
        <v>450.24099999999999</v>
      </c>
      <c r="J126" s="19">
        <v>0</v>
      </c>
      <c r="M126" s="20">
        <f>ROUND(ROUND(J126, 2)*I126, 2)</f>
        <v>0</v>
      </c>
      <c r="P126" s="19">
        <v>372.4</v>
      </c>
      <c r="S126" s="20">
        <f>ROUND(ROUND(P126, 2)*I126, 2)</f>
        <v>167669.75</v>
      </c>
      <c r="V126" s="9">
        <f>ROUND(ROUND(P126, 2)/1.2, 2)</f>
        <v>310.33</v>
      </c>
      <c r="Y126" s="9">
        <f t="shared" si="8"/>
        <v>139724.79</v>
      </c>
      <c r="AD126" s="4" t="s">
        <v>431</v>
      </c>
      <c r="AE126" s="4" t="s">
        <v>432</v>
      </c>
      <c r="AF126" s="4" t="s">
        <v>416</v>
      </c>
    </row>
    <row r="127" spans="1:35" ht="36" x14ac:dyDescent="0.3">
      <c r="A127" s="10" t="s">
        <v>433</v>
      </c>
      <c r="B127" s="10" t="s">
        <v>434</v>
      </c>
      <c r="C127" s="11" t="s">
        <v>435</v>
      </c>
      <c r="D127" s="12"/>
      <c r="E127" s="12"/>
      <c r="F127" s="12" t="s">
        <v>59</v>
      </c>
      <c r="G127" s="13">
        <v>1</v>
      </c>
      <c r="H127" s="13"/>
      <c r="I127" s="13">
        <v>0</v>
      </c>
      <c r="J127" s="14">
        <v>0</v>
      </c>
      <c r="K127" s="15">
        <v>2310</v>
      </c>
      <c r="L127" s="14">
        <f>J127+ROUND(K127, 2)</f>
        <v>2310</v>
      </c>
      <c r="M127" s="14">
        <v>0</v>
      </c>
      <c r="N127" s="14">
        <v>0</v>
      </c>
      <c r="O127" s="14">
        <f>M127+N127</f>
        <v>0</v>
      </c>
      <c r="P127" s="14">
        <v>1629.53</v>
      </c>
      <c r="Q127" s="15">
        <v>2310</v>
      </c>
      <c r="R127" s="14">
        <f>P127+ROUND(Q127, 2)</f>
        <v>3939.5299999999997</v>
      </c>
      <c r="S127" s="14">
        <v>0</v>
      </c>
      <c r="T127" s="14">
        <v>0</v>
      </c>
      <c r="U127" s="14">
        <f>S127+T127</f>
        <v>0</v>
      </c>
      <c r="V127" s="9">
        <f>ROUND(P127 / 1.2, 2)</f>
        <v>1357.94</v>
      </c>
      <c r="W127" s="9">
        <f>ROUND(Q127 / 1.2, 2)</f>
        <v>1925</v>
      </c>
      <c r="X127" s="9">
        <f>ROUND(R127 / 1.2, 2)</f>
        <v>3282.94</v>
      </c>
      <c r="Y127" s="9">
        <f t="shared" si="8"/>
        <v>0</v>
      </c>
      <c r="Z127" s="9">
        <f>ROUND(T127 / 1.2, 2)</f>
        <v>0</v>
      </c>
      <c r="AA127" s="9">
        <f>Y127+Z127</f>
        <v>0</v>
      </c>
      <c r="AD127" s="4">
        <v>315889938</v>
      </c>
      <c r="AE127" s="4">
        <v>27245720</v>
      </c>
      <c r="AG127" s="4" t="s">
        <v>436</v>
      </c>
      <c r="AH127" s="4" t="s">
        <v>437</v>
      </c>
      <c r="AI127" s="4" t="s">
        <v>224</v>
      </c>
    </row>
    <row r="128" spans="1:35" ht="54" x14ac:dyDescent="0.3">
      <c r="A128" s="10" t="s">
        <v>438</v>
      </c>
      <c r="B128" s="10"/>
      <c r="C128" s="21" t="s">
        <v>439</v>
      </c>
      <c r="D128" s="12"/>
      <c r="E128" s="12"/>
      <c r="F128" s="17" t="s">
        <v>308</v>
      </c>
      <c r="G128" s="18">
        <v>4</v>
      </c>
      <c r="H128" s="18"/>
      <c r="I128" s="18">
        <v>0</v>
      </c>
      <c r="J128" s="19">
        <v>396</v>
      </c>
      <c r="M128" s="20">
        <f>ROUND(ROUND(J128, 2)*I128, 2)</f>
        <v>0</v>
      </c>
      <c r="P128" s="19">
        <v>396</v>
      </c>
      <c r="S128" s="20">
        <f>ROUND(ROUND(P128, 2)*I128, 2)</f>
        <v>0</v>
      </c>
      <c r="V128" s="9">
        <f>ROUND(ROUND(P128, 2)/1.2, 2)</f>
        <v>330</v>
      </c>
      <c r="Y128" s="9">
        <f t="shared" si="8"/>
        <v>0</v>
      </c>
      <c r="AD128" s="4" t="s">
        <v>440</v>
      </c>
      <c r="AE128" s="4" t="s">
        <v>441</v>
      </c>
      <c r="AF128" s="4" t="s">
        <v>442</v>
      </c>
    </row>
    <row r="129" spans="1:35" ht="36" x14ac:dyDescent="0.3">
      <c r="A129" s="10" t="s">
        <v>443</v>
      </c>
      <c r="B129" s="10"/>
      <c r="C129" s="21" t="s">
        <v>444</v>
      </c>
      <c r="D129" s="12"/>
      <c r="E129" s="12"/>
      <c r="F129" s="17" t="s">
        <v>227</v>
      </c>
      <c r="G129" s="18">
        <v>1.2</v>
      </c>
      <c r="H129" s="22"/>
      <c r="I129" s="22">
        <v>0</v>
      </c>
      <c r="J129" s="19">
        <v>16.96</v>
      </c>
      <c r="M129" s="20">
        <f>ROUND(ROUND(J129, 2)*I129, 2)</f>
        <v>0</v>
      </c>
      <c r="P129" s="19">
        <v>16.96</v>
      </c>
      <c r="S129" s="20">
        <f>ROUND(ROUND(P129, 2)*I129, 2)</f>
        <v>0</v>
      </c>
      <c r="V129" s="9">
        <f>ROUND(ROUND(P129, 2)/1.2, 2)</f>
        <v>14.13</v>
      </c>
      <c r="Y129" s="9">
        <f t="shared" si="8"/>
        <v>0</v>
      </c>
      <c r="AD129" s="4" t="s">
        <v>445</v>
      </c>
      <c r="AE129" s="4" t="s">
        <v>446</v>
      </c>
      <c r="AF129" s="4" t="s">
        <v>447</v>
      </c>
    </row>
    <row r="130" spans="1:35" ht="18" x14ac:dyDescent="0.3">
      <c r="A130" s="10" t="s">
        <v>448</v>
      </c>
      <c r="B130" s="10"/>
      <c r="C130" s="16" t="s">
        <v>449</v>
      </c>
      <c r="D130" s="12"/>
      <c r="E130" s="12"/>
      <c r="F130" s="17" t="s">
        <v>227</v>
      </c>
      <c r="G130" s="18">
        <v>0.25</v>
      </c>
      <c r="H130" s="18"/>
      <c r="I130" s="18">
        <v>0</v>
      </c>
      <c r="J130" s="19">
        <v>47.44</v>
      </c>
      <c r="M130" s="20">
        <f>ROUND(ROUND(J130, 2)*I130, 2)</f>
        <v>0</v>
      </c>
      <c r="P130" s="19">
        <v>47.44</v>
      </c>
      <c r="S130" s="20">
        <f>ROUND(ROUND(P130, 2)*I130, 2)</f>
        <v>0</v>
      </c>
      <c r="V130" s="9">
        <f>ROUND(ROUND(P130, 2)/1.2, 2)</f>
        <v>39.53</v>
      </c>
      <c r="Y130" s="9">
        <f t="shared" si="8"/>
        <v>0</v>
      </c>
      <c r="AD130" s="4" t="s">
        <v>450</v>
      </c>
      <c r="AE130" s="4" t="s">
        <v>451</v>
      </c>
      <c r="AF130" s="4" t="s">
        <v>452</v>
      </c>
    </row>
    <row r="131" spans="1:35" ht="36" x14ac:dyDescent="0.3">
      <c r="A131" s="10" t="s">
        <v>453</v>
      </c>
      <c r="B131" s="10"/>
      <c r="C131" s="16" t="s">
        <v>454</v>
      </c>
      <c r="D131" s="12"/>
      <c r="E131" s="12"/>
      <c r="F131" s="17" t="s">
        <v>227</v>
      </c>
      <c r="G131" s="18">
        <v>0.15</v>
      </c>
      <c r="H131" s="18"/>
      <c r="I131" s="18">
        <v>0</v>
      </c>
      <c r="J131" s="19">
        <v>88.8</v>
      </c>
      <c r="M131" s="20">
        <f>ROUND(ROUND(J131, 2)*I131, 2)</f>
        <v>0</v>
      </c>
      <c r="P131" s="19">
        <v>88.8</v>
      </c>
      <c r="S131" s="20">
        <f>ROUND(ROUND(P131, 2)*I131, 2)</f>
        <v>0</v>
      </c>
      <c r="V131" s="9">
        <f>ROUND(ROUND(P131, 2)/1.2, 2)</f>
        <v>74</v>
      </c>
      <c r="Y131" s="9">
        <f t="shared" si="8"/>
        <v>0</v>
      </c>
      <c r="AD131" s="4" t="s">
        <v>455</v>
      </c>
      <c r="AE131" s="4" t="s">
        <v>456</v>
      </c>
      <c r="AF131" s="4" t="s">
        <v>457</v>
      </c>
    </row>
    <row r="132" spans="1:35" ht="36" x14ac:dyDescent="0.3">
      <c r="A132" s="10" t="s">
        <v>458</v>
      </c>
      <c r="B132" s="10" t="s">
        <v>434</v>
      </c>
      <c r="C132" s="11" t="s">
        <v>435</v>
      </c>
      <c r="D132" s="12"/>
      <c r="E132" s="12"/>
      <c r="F132" s="12" t="s">
        <v>59</v>
      </c>
      <c r="G132" s="13">
        <v>1</v>
      </c>
      <c r="H132" s="13"/>
      <c r="I132" s="13">
        <v>0</v>
      </c>
      <c r="J132" s="14">
        <v>0</v>
      </c>
      <c r="K132" s="15">
        <v>2310</v>
      </c>
      <c r="L132" s="14">
        <f>J132+ROUND(K132, 2)</f>
        <v>2310</v>
      </c>
      <c r="M132" s="14">
        <v>0</v>
      </c>
      <c r="N132" s="14">
        <v>0</v>
      </c>
      <c r="O132" s="14">
        <f>M132+N132</f>
        <v>0</v>
      </c>
      <c r="P132" s="14">
        <v>1469.97</v>
      </c>
      <c r="Q132" s="15">
        <v>2310</v>
      </c>
      <c r="R132" s="14">
        <f>P132+ROUND(Q132, 2)</f>
        <v>3779.9700000000003</v>
      </c>
      <c r="S132" s="14">
        <v>0</v>
      </c>
      <c r="T132" s="14">
        <v>0</v>
      </c>
      <c r="U132" s="14">
        <f>S132+T132</f>
        <v>0</v>
      </c>
      <c r="V132" s="9">
        <f>ROUND(P132 / 1.2, 2)</f>
        <v>1224.98</v>
      </c>
      <c r="W132" s="9">
        <f>ROUND(Q132 / 1.2, 2)</f>
        <v>1925</v>
      </c>
      <c r="X132" s="9">
        <f>ROUND(R132 / 1.2, 2)</f>
        <v>3149.98</v>
      </c>
      <c r="Y132" s="9">
        <f t="shared" si="8"/>
        <v>0</v>
      </c>
      <c r="Z132" s="9">
        <f>ROUND(T132 / 1.2, 2)</f>
        <v>0</v>
      </c>
      <c r="AA132" s="9">
        <f>Y132+Z132</f>
        <v>0</v>
      </c>
      <c r="AD132" s="4">
        <v>315889939</v>
      </c>
      <c r="AE132" s="4">
        <v>27245721</v>
      </c>
      <c r="AG132" s="4" t="s">
        <v>436</v>
      </c>
      <c r="AH132" s="4" t="s">
        <v>437</v>
      </c>
      <c r="AI132" s="4" t="s">
        <v>224</v>
      </c>
    </row>
    <row r="133" spans="1:35" ht="36" x14ac:dyDescent="0.3">
      <c r="A133" s="10" t="s">
        <v>459</v>
      </c>
      <c r="B133" s="10"/>
      <c r="C133" s="16" t="s">
        <v>454</v>
      </c>
      <c r="D133" s="12"/>
      <c r="E133" s="12"/>
      <c r="F133" s="17" t="s">
        <v>227</v>
      </c>
      <c r="G133" s="18">
        <v>0.15</v>
      </c>
      <c r="H133" s="18"/>
      <c r="I133" s="18">
        <v>0</v>
      </c>
      <c r="J133" s="19">
        <v>88.8</v>
      </c>
      <c r="M133" s="20">
        <f>ROUND(ROUND(J133, 2)*I133, 2)</f>
        <v>0</v>
      </c>
      <c r="P133" s="19">
        <v>88.8</v>
      </c>
      <c r="S133" s="20">
        <f>ROUND(ROUND(P133, 2)*I133, 2)</f>
        <v>0</v>
      </c>
      <c r="V133" s="9">
        <f>ROUND(ROUND(P133, 2)/1.2, 2)</f>
        <v>74</v>
      </c>
      <c r="Y133" s="9">
        <f t="shared" si="8"/>
        <v>0</v>
      </c>
      <c r="AD133" s="4" t="s">
        <v>460</v>
      </c>
      <c r="AE133" s="4" t="s">
        <v>461</v>
      </c>
      <c r="AF133" s="4" t="s">
        <v>457</v>
      </c>
    </row>
    <row r="134" spans="1:35" ht="18" x14ac:dyDescent="0.3">
      <c r="A134" s="10" t="s">
        <v>462</v>
      </c>
      <c r="B134" s="10"/>
      <c r="C134" s="16" t="s">
        <v>449</v>
      </c>
      <c r="D134" s="12"/>
      <c r="E134" s="12"/>
      <c r="F134" s="17" t="s">
        <v>227</v>
      </c>
      <c r="G134" s="18">
        <v>0.25</v>
      </c>
      <c r="H134" s="18"/>
      <c r="I134" s="18">
        <v>0</v>
      </c>
      <c r="J134" s="19">
        <v>47.44</v>
      </c>
      <c r="M134" s="20">
        <f>ROUND(ROUND(J134, 2)*I134, 2)</f>
        <v>0</v>
      </c>
      <c r="P134" s="19">
        <v>47.44</v>
      </c>
      <c r="S134" s="20">
        <f>ROUND(ROUND(P134, 2)*I134, 2)</f>
        <v>0</v>
      </c>
      <c r="V134" s="9">
        <f>ROUND(ROUND(P134, 2)/1.2, 2)</f>
        <v>39.53</v>
      </c>
      <c r="Y134" s="9">
        <f t="shared" si="8"/>
        <v>0</v>
      </c>
      <c r="AD134" s="4" t="s">
        <v>463</v>
      </c>
      <c r="AE134" s="4" t="s">
        <v>464</v>
      </c>
      <c r="AF134" s="4" t="s">
        <v>452</v>
      </c>
    </row>
    <row r="135" spans="1:35" ht="36" x14ac:dyDescent="0.3">
      <c r="A135" s="10" t="s">
        <v>465</v>
      </c>
      <c r="B135" s="10"/>
      <c r="C135" s="21" t="s">
        <v>444</v>
      </c>
      <c r="D135" s="12"/>
      <c r="E135" s="12"/>
      <c r="F135" s="17" t="s">
        <v>227</v>
      </c>
      <c r="G135" s="18">
        <v>1.2</v>
      </c>
      <c r="H135" s="22"/>
      <c r="I135" s="22">
        <v>0</v>
      </c>
      <c r="J135" s="19">
        <v>16.96</v>
      </c>
      <c r="M135" s="20">
        <f>ROUND(ROUND(J135, 2)*I135, 2)</f>
        <v>0</v>
      </c>
      <c r="P135" s="19">
        <v>16.96</v>
      </c>
      <c r="S135" s="20">
        <f>ROUND(ROUND(P135, 2)*I135, 2)</f>
        <v>0</v>
      </c>
      <c r="V135" s="9">
        <f>ROUND(ROUND(P135, 2)/1.2, 2)</f>
        <v>14.13</v>
      </c>
      <c r="Y135" s="9">
        <f t="shared" si="8"/>
        <v>0</v>
      </c>
      <c r="AD135" s="4" t="s">
        <v>466</v>
      </c>
      <c r="AE135" s="4" t="s">
        <v>467</v>
      </c>
      <c r="AF135" s="4" t="s">
        <v>447</v>
      </c>
    </row>
    <row r="136" spans="1:35" ht="36" x14ac:dyDescent="0.3">
      <c r="A136" s="10" t="s">
        <v>468</v>
      </c>
      <c r="B136" s="10"/>
      <c r="C136" s="16" t="s">
        <v>469</v>
      </c>
      <c r="D136" s="12"/>
      <c r="E136" s="12"/>
      <c r="F136" s="17" t="s">
        <v>308</v>
      </c>
      <c r="G136" s="18">
        <v>4</v>
      </c>
      <c r="H136" s="18"/>
      <c r="I136" s="18">
        <v>0</v>
      </c>
      <c r="J136" s="19">
        <v>356.11</v>
      </c>
      <c r="M136" s="20">
        <f>ROUND(ROUND(J136, 2)*I136, 2)</f>
        <v>0</v>
      </c>
      <c r="P136" s="19">
        <v>356.11</v>
      </c>
      <c r="S136" s="20">
        <f>ROUND(ROUND(P136, 2)*I136, 2)</f>
        <v>0</v>
      </c>
      <c r="V136" s="9">
        <f>ROUND(ROUND(P136, 2)/1.2, 2)</f>
        <v>296.76</v>
      </c>
      <c r="Y136" s="9">
        <f t="shared" si="8"/>
        <v>0</v>
      </c>
      <c r="AD136" s="4" t="s">
        <v>470</v>
      </c>
      <c r="AE136" s="4" t="s">
        <v>471</v>
      </c>
      <c r="AF136" s="4" t="s">
        <v>472</v>
      </c>
    </row>
    <row r="137" spans="1:35" ht="36" x14ac:dyDescent="0.3">
      <c r="A137" s="10" t="s">
        <v>473</v>
      </c>
      <c r="B137" s="10" t="s">
        <v>434</v>
      </c>
      <c r="C137" s="11" t="s">
        <v>435</v>
      </c>
      <c r="D137" s="12"/>
      <c r="E137" s="12"/>
      <c r="F137" s="12" t="s">
        <v>59</v>
      </c>
      <c r="G137" s="13">
        <v>1</v>
      </c>
      <c r="H137" s="13"/>
      <c r="I137" s="13">
        <v>0</v>
      </c>
      <c r="J137" s="14">
        <v>0</v>
      </c>
      <c r="K137" s="15">
        <v>2310</v>
      </c>
      <c r="L137" s="14">
        <f>J137+ROUND(K137, 2)</f>
        <v>2310</v>
      </c>
      <c r="M137" s="14">
        <v>0</v>
      </c>
      <c r="N137" s="14">
        <v>0</v>
      </c>
      <c r="O137" s="14">
        <f>M137+N137</f>
        <v>0</v>
      </c>
      <c r="P137" s="14">
        <v>4447.13</v>
      </c>
      <c r="Q137" s="15">
        <v>2310</v>
      </c>
      <c r="R137" s="14">
        <f>P137+ROUND(Q137, 2)</f>
        <v>6757.13</v>
      </c>
      <c r="S137" s="14">
        <v>0</v>
      </c>
      <c r="T137" s="14">
        <v>0</v>
      </c>
      <c r="U137" s="14">
        <f>S137+T137</f>
        <v>0</v>
      </c>
      <c r="V137" s="9">
        <f>ROUND(P137 / 1.2, 2)</f>
        <v>3705.94</v>
      </c>
      <c r="W137" s="9">
        <f>ROUND(Q137 / 1.2, 2)</f>
        <v>1925</v>
      </c>
      <c r="X137" s="9">
        <f>ROUND(R137 / 1.2, 2)</f>
        <v>5630.94</v>
      </c>
      <c r="Y137" s="9">
        <f t="shared" si="8"/>
        <v>0</v>
      </c>
      <c r="Z137" s="9">
        <f>ROUND(T137 / 1.2, 2)</f>
        <v>0</v>
      </c>
      <c r="AA137" s="9">
        <f>Y137+Z137</f>
        <v>0</v>
      </c>
      <c r="AD137" s="4">
        <v>315889940</v>
      </c>
      <c r="AE137" s="4">
        <v>27245722</v>
      </c>
      <c r="AG137" s="4" t="s">
        <v>436</v>
      </c>
      <c r="AH137" s="4" t="s">
        <v>437</v>
      </c>
      <c r="AI137" s="4" t="s">
        <v>224</v>
      </c>
    </row>
    <row r="138" spans="1:35" ht="54" x14ac:dyDescent="0.3">
      <c r="A138" s="10" t="s">
        <v>474</v>
      </c>
      <c r="B138" s="10"/>
      <c r="C138" s="21" t="s">
        <v>475</v>
      </c>
      <c r="D138" s="12"/>
      <c r="E138" s="12"/>
      <c r="F138" s="17" t="s">
        <v>308</v>
      </c>
      <c r="G138" s="18">
        <v>4</v>
      </c>
      <c r="H138" s="18"/>
      <c r="I138" s="18">
        <v>0</v>
      </c>
      <c r="J138" s="19">
        <v>1100.4000000000001</v>
      </c>
      <c r="M138" s="20">
        <f>ROUND(ROUND(J138, 2)*I138, 2)</f>
        <v>0</v>
      </c>
      <c r="P138" s="19">
        <v>1100.4000000000001</v>
      </c>
      <c r="S138" s="20">
        <f>ROUND(ROUND(P138, 2)*I138, 2)</f>
        <v>0</v>
      </c>
      <c r="V138" s="9">
        <f>ROUND(ROUND(P138, 2)/1.2, 2)</f>
        <v>917</v>
      </c>
      <c r="Y138" s="9">
        <f t="shared" si="8"/>
        <v>0</v>
      </c>
      <c r="AD138" s="4" t="s">
        <v>476</v>
      </c>
      <c r="AE138" s="4" t="s">
        <v>477</v>
      </c>
      <c r="AF138" s="4" t="s">
        <v>478</v>
      </c>
    </row>
    <row r="139" spans="1:35" ht="36" x14ac:dyDescent="0.3">
      <c r="A139" s="10" t="s">
        <v>479</v>
      </c>
      <c r="B139" s="10"/>
      <c r="C139" s="21" t="s">
        <v>444</v>
      </c>
      <c r="D139" s="12"/>
      <c r="E139" s="12"/>
      <c r="F139" s="17" t="s">
        <v>227</v>
      </c>
      <c r="G139" s="18">
        <v>1.2</v>
      </c>
      <c r="H139" s="22"/>
      <c r="I139" s="22">
        <v>0</v>
      </c>
      <c r="J139" s="19">
        <v>16.96</v>
      </c>
      <c r="M139" s="20">
        <f>ROUND(ROUND(J139, 2)*I139, 2)</f>
        <v>0</v>
      </c>
      <c r="P139" s="19">
        <v>16.96</v>
      </c>
      <c r="S139" s="20">
        <f>ROUND(ROUND(P139, 2)*I139, 2)</f>
        <v>0</v>
      </c>
      <c r="V139" s="9">
        <f>ROUND(ROUND(P139, 2)/1.2, 2)</f>
        <v>14.13</v>
      </c>
      <c r="Y139" s="9">
        <f t="shared" si="8"/>
        <v>0</v>
      </c>
      <c r="AD139" s="4" t="s">
        <v>480</v>
      </c>
      <c r="AE139" s="4" t="s">
        <v>481</v>
      </c>
      <c r="AF139" s="4" t="s">
        <v>447</v>
      </c>
    </row>
    <row r="140" spans="1:35" ht="18" x14ac:dyDescent="0.3">
      <c r="A140" s="10" t="s">
        <v>482</v>
      </c>
      <c r="B140" s="10"/>
      <c r="C140" s="16" t="s">
        <v>449</v>
      </c>
      <c r="D140" s="12"/>
      <c r="E140" s="12"/>
      <c r="F140" s="17" t="s">
        <v>227</v>
      </c>
      <c r="G140" s="18">
        <v>0.25</v>
      </c>
      <c r="H140" s="18"/>
      <c r="I140" s="18">
        <v>0</v>
      </c>
      <c r="J140" s="19">
        <v>47.44</v>
      </c>
      <c r="M140" s="20">
        <f>ROUND(ROUND(J140, 2)*I140, 2)</f>
        <v>0</v>
      </c>
      <c r="P140" s="19">
        <v>47.44</v>
      </c>
      <c r="S140" s="20">
        <f>ROUND(ROUND(P140, 2)*I140, 2)</f>
        <v>0</v>
      </c>
      <c r="V140" s="9">
        <f>ROUND(ROUND(P140, 2)/1.2, 2)</f>
        <v>39.53</v>
      </c>
      <c r="Y140" s="9">
        <f t="shared" si="8"/>
        <v>0</v>
      </c>
      <c r="AD140" s="4" t="s">
        <v>483</v>
      </c>
      <c r="AE140" s="4" t="s">
        <v>484</v>
      </c>
      <c r="AF140" s="4" t="s">
        <v>452</v>
      </c>
    </row>
    <row r="141" spans="1:35" ht="36" x14ac:dyDescent="0.3">
      <c r="A141" s="10" t="s">
        <v>485</v>
      </c>
      <c r="B141" s="10"/>
      <c r="C141" s="16" t="s">
        <v>454</v>
      </c>
      <c r="D141" s="12"/>
      <c r="E141" s="12"/>
      <c r="F141" s="17" t="s">
        <v>227</v>
      </c>
      <c r="G141" s="18">
        <v>0.15</v>
      </c>
      <c r="H141" s="18"/>
      <c r="I141" s="18">
        <v>0</v>
      </c>
      <c r="J141" s="19">
        <v>88.8</v>
      </c>
      <c r="M141" s="20">
        <f>ROUND(ROUND(J141, 2)*I141, 2)</f>
        <v>0</v>
      </c>
      <c r="P141" s="19">
        <v>88.8</v>
      </c>
      <c r="S141" s="20">
        <f>ROUND(ROUND(P141, 2)*I141, 2)</f>
        <v>0</v>
      </c>
      <c r="V141" s="9">
        <f>ROUND(ROUND(P141, 2)/1.2, 2)</f>
        <v>74</v>
      </c>
      <c r="Y141" s="9">
        <f t="shared" si="8"/>
        <v>0</v>
      </c>
      <c r="AD141" s="4" t="s">
        <v>486</v>
      </c>
      <c r="AE141" s="4" t="s">
        <v>487</v>
      </c>
      <c r="AF141" s="4" t="s">
        <v>457</v>
      </c>
    </row>
    <row r="142" spans="1:35" ht="36" x14ac:dyDescent="0.3">
      <c r="A142" s="10" t="s">
        <v>488</v>
      </c>
      <c r="B142" s="10" t="s">
        <v>434</v>
      </c>
      <c r="C142" s="11" t="s">
        <v>435</v>
      </c>
      <c r="D142" s="12"/>
      <c r="E142" s="12" t="s">
        <v>489</v>
      </c>
      <c r="F142" s="12" t="s">
        <v>59</v>
      </c>
      <c r="G142" s="13">
        <v>1</v>
      </c>
      <c r="H142" s="13"/>
      <c r="I142" s="13">
        <v>338.3</v>
      </c>
      <c r="J142" s="14">
        <v>1628.52</v>
      </c>
      <c r="K142" s="15">
        <v>2310</v>
      </c>
      <c r="L142" s="14">
        <f>J142+ROUND(K142, 2)</f>
        <v>3938.52</v>
      </c>
      <c r="M142" s="14">
        <v>550928.31999999995</v>
      </c>
      <c r="N142" s="14">
        <v>781473</v>
      </c>
      <c r="O142" s="14">
        <f>M142+N142</f>
        <v>1332401.3199999998</v>
      </c>
      <c r="P142" s="14">
        <v>1628.51</v>
      </c>
      <c r="Q142" s="15">
        <v>3465</v>
      </c>
      <c r="R142" s="14">
        <f>P142+ROUND(Q142, 2)</f>
        <v>5093.51</v>
      </c>
      <c r="S142" s="14">
        <v>550924.93000000005</v>
      </c>
      <c r="T142" s="14">
        <v>1172209.5</v>
      </c>
      <c r="U142" s="14">
        <f>S142+T142</f>
        <v>1723134.4300000002</v>
      </c>
      <c r="V142" s="9">
        <f>ROUND(P142 / 1.2, 2)</f>
        <v>1357.09</v>
      </c>
      <c r="W142" s="9">
        <f>ROUND(Q142 / 1.2, 2)</f>
        <v>2887.5</v>
      </c>
      <c r="X142" s="9">
        <f>ROUND(R142 / 1.2, 2)</f>
        <v>4244.59</v>
      </c>
      <c r="Y142" s="9">
        <f t="shared" si="8"/>
        <v>459104.11</v>
      </c>
      <c r="Z142" s="9">
        <f>ROUND(T142 / 1.2, 2)</f>
        <v>976841.25</v>
      </c>
      <c r="AA142" s="9">
        <f>Y142+Z142</f>
        <v>1435945.3599999999</v>
      </c>
      <c r="AD142" s="4">
        <v>315889941</v>
      </c>
      <c r="AE142" s="4">
        <v>27245771</v>
      </c>
      <c r="AG142" s="4" t="s">
        <v>436</v>
      </c>
      <c r="AH142" s="4" t="s">
        <v>437</v>
      </c>
      <c r="AI142" s="4" t="s">
        <v>224</v>
      </c>
    </row>
    <row r="143" spans="1:35" ht="36" x14ac:dyDescent="0.3">
      <c r="A143" s="10" t="s">
        <v>490</v>
      </c>
      <c r="B143" s="10"/>
      <c r="C143" s="16" t="s">
        <v>454</v>
      </c>
      <c r="D143" s="12"/>
      <c r="E143" s="12"/>
      <c r="F143" s="17" t="s">
        <v>227</v>
      </c>
      <c r="G143" s="18">
        <v>0.15</v>
      </c>
      <c r="H143" s="18"/>
      <c r="I143" s="18">
        <v>50.744999999999997</v>
      </c>
      <c r="J143" s="19">
        <v>88.8</v>
      </c>
      <c r="M143" s="20">
        <f>ROUND(ROUND(J143, 2)*I143, 2)</f>
        <v>4506.16</v>
      </c>
      <c r="P143" s="19">
        <v>88.8</v>
      </c>
      <c r="S143" s="20">
        <f>ROUND(ROUND(P143, 2)*I143, 2)</f>
        <v>4506.16</v>
      </c>
      <c r="V143" s="9">
        <f>ROUND(ROUND(P143, 2)/1.2, 2)</f>
        <v>74</v>
      </c>
      <c r="Y143" s="9">
        <f t="shared" si="8"/>
        <v>3755.13</v>
      </c>
      <c r="AD143" s="4" t="s">
        <v>491</v>
      </c>
      <c r="AE143" s="4" t="s">
        <v>492</v>
      </c>
      <c r="AF143" s="4" t="s">
        <v>457</v>
      </c>
    </row>
    <row r="144" spans="1:35" ht="18" x14ac:dyDescent="0.3">
      <c r="A144" s="10" t="s">
        <v>493</v>
      </c>
      <c r="B144" s="10"/>
      <c r="C144" s="16" t="s">
        <v>449</v>
      </c>
      <c r="D144" s="12"/>
      <c r="E144" s="12"/>
      <c r="F144" s="17" t="s">
        <v>227</v>
      </c>
      <c r="G144" s="18">
        <v>0.25</v>
      </c>
      <c r="H144" s="18"/>
      <c r="I144" s="18">
        <v>84.575000000000003</v>
      </c>
      <c r="J144" s="19">
        <v>47.44</v>
      </c>
      <c r="M144" s="20">
        <f>ROUND(ROUND(J144, 2)*I144, 2)</f>
        <v>4012.24</v>
      </c>
      <c r="P144" s="19">
        <v>47.44</v>
      </c>
      <c r="S144" s="20">
        <f>ROUND(ROUND(P144, 2)*I144, 2)</f>
        <v>4012.24</v>
      </c>
      <c r="V144" s="9">
        <f>ROUND(ROUND(P144, 2)/1.2, 2)</f>
        <v>39.53</v>
      </c>
      <c r="Y144" s="9">
        <f t="shared" si="8"/>
        <v>3343.53</v>
      </c>
      <c r="AD144" s="4" t="s">
        <v>494</v>
      </c>
      <c r="AE144" s="4" t="s">
        <v>495</v>
      </c>
      <c r="AF144" s="4" t="s">
        <v>452</v>
      </c>
    </row>
    <row r="145" spans="1:35" ht="36" x14ac:dyDescent="0.3">
      <c r="A145" s="10" t="s">
        <v>496</v>
      </c>
      <c r="B145" s="10"/>
      <c r="C145" s="21" t="s">
        <v>444</v>
      </c>
      <c r="D145" s="12"/>
      <c r="E145" s="12"/>
      <c r="F145" s="17" t="s">
        <v>227</v>
      </c>
      <c r="G145" s="18">
        <v>1.2</v>
      </c>
      <c r="H145" s="22"/>
      <c r="I145" s="22">
        <v>405.96</v>
      </c>
      <c r="J145" s="19">
        <v>16.12</v>
      </c>
      <c r="M145" s="20">
        <f>ROUND(ROUND(J145, 2)*I145, 2)</f>
        <v>6544.08</v>
      </c>
      <c r="P145" s="19">
        <v>16.11</v>
      </c>
      <c r="S145" s="20">
        <f>ROUND(ROUND(P145, 2)*I145, 2)</f>
        <v>6540.02</v>
      </c>
      <c r="V145" s="9">
        <f>ROUND(ROUND(P145, 2)/1.2, 2)</f>
        <v>13.43</v>
      </c>
      <c r="Y145" s="9">
        <f t="shared" si="8"/>
        <v>5450.02</v>
      </c>
      <c r="AD145" s="4" t="s">
        <v>497</v>
      </c>
      <c r="AE145" s="4" t="s">
        <v>498</v>
      </c>
      <c r="AF145" s="4" t="s">
        <v>447</v>
      </c>
    </row>
    <row r="146" spans="1:35" ht="72" x14ac:dyDescent="0.3">
      <c r="A146" s="10" t="s">
        <v>499</v>
      </c>
      <c r="B146" s="10"/>
      <c r="C146" s="21" t="s">
        <v>439</v>
      </c>
      <c r="D146" s="12"/>
      <c r="E146" s="12" t="s">
        <v>500</v>
      </c>
      <c r="F146" s="17" t="s">
        <v>308</v>
      </c>
      <c r="G146" s="18">
        <v>4</v>
      </c>
      <c r="H146" s="18"/>
      <c r="I146" s="18">
        <v>1353.2</v>
      </c>
      <c r="J146" s="19">
        <v>396</v>
      </c>
      <c r="M146" s="20">
        <f>ROUND(ROUND(J146, 2)*I146, 2)</f>
        <v>535867.19999999995</v>
      </c>
      <c r="P146" s="19">
        <v>396</v>
      </c>
      <c r="S146" s="20">
        <f>ROUND(ROUND(P146, 2)*I146, 2)</f>
        <v>535867.19999999995</v>
      </c>
      <c r="V146" s="9">
        <f>ROUND(ROUND(P146, 2)/1.2, 2)</f>
        <v>330</v>
      </c>
      <c r="Y146" s="9">
        <f t="shared" si="8"/>
        <v>446556</v>
      </c>
      <c r="AD146" s="4" t="s">
        <v>501</v>
      </c>
      <c r="AE146" s="4" t="s">
        <v>502</v>
      </c>
      <c r="AF146" s="4" t="s">
        <v>442</v>
      </c>
    </row>
    <row r="147" spans="1:35" ht="36" x14ac:dyDescent="0.3">
      <c r="A147" s="10" t="s">
        <v>503</v>
      </c>
      <c r="B147" s="10" t="s">
        <v>434</v>
      </c>
      <c r="C147" s="11" t="s">
        <v>435</v>
      </c>
      <c r="D147" s="12"/>
      <c r="E147" s="12" t="s">
        <v>504</v>
      </c>
      <c r="F147" s="12" t="s">
        <v>59</v>
      </c>
      <c r="G147" s="13">
        <v>1</v>
      </c>
      <c r="H147" s="13"/>
      <c r="I147" s="13">
        <v>190.6</v>
      </c>
      <c r="J147" s="14">
        <v>4446.12</v>
      </c>
      <c r="K147" s="15">
        <v>2310</v>
      </c>
      <c r="L147" s="14">
        <f>J147+ROUND(K147, 2)</f>
        <v>6756.12</v>
      </c>
      <c r="M147" s="14">
        <v>847430.47</v>
      </c>
      <c r="N147" s="14">
        <v>440286</v>
      </c>
      <c r="O147" s="14">
        <f>M147+N147</f>
        <v>1287716.47</v>
      </c>
      <c r="P147" s="14">
        <v>4446.1099999999997</v>
      </c>
      <c r="Q147" s="15">
        <v>3465</v>
      </c>
      <c r="R147" s="14">
        <f>P147+ROUND(Q147, 2)</f>
        <v>7911.11</v>
      </c>
      <c r="S147" s="14">
        <v>847428.57</v>
      </c>
      <c r="T147" s="14">
        <v>660429</v>
      </c>
      <c r="U147" s="14">
        <f>S147+T147</f>
        <v>1507857.5699999998</v>
      </c>
      <c r="V147" s="9">
        <f>ROUND(P147 / 1.2, 2)</f>
        <v>3705.09</v>
      </c>
      <c r="W147" s="9">
        <f>ROUND(Q147 / 1.2, 2)</f>
        <v>2887.5</v>
      </c>
      <c r="X147" s="9">
        <f>ROUND(R147 / 1.2, 2)</f>
        <v>6592.59</v>
      </c>
      <c r="Y147" s="9">
        <f t="shared" si="8"/>
        <v>706190.48</v>
      </c>
      <c r="Z147" s="9">
        <f>ROUND(T147 / 1.2, 2)</f>
        <v>550357.5</v>
      </c>
      <c r="AA147" s="9">
        <f>Y147+Z147</f>
        <v>1256547.98</v>
      </c>
      <c r="AD147" s="4">
        <v>315889942</v>
      </c>
      <c r="AE147" s="4">
        <v>27245772</v>
      </c>
      <c r="AG147" s="4" t="s">
        <v>436</v>
      </c>
      <c r="AH147" s="4" t="s">
        <v>437</v>
      </c>
      <c r="AI147" s="4" t="s">
        <v>224</v>
      </c>
    </row>
    <row r="148" spans="1:35" ht="72" x14ac:dyDescent="0.3">
      <c r="A148" s="10" t="s">
        <v>505</v>
      </c>
      <c r="B148" s="10"/>
      <c r="C148" s="21" t="s">
        <v>475</v>
      </c>
      <c r="D148" s="12"/>
      <c r="E148" s="12" t="s">
        <v>506</v>
      </c>
      <c r="F148" s="17" t="s">
        <v>308</v>
      </c>
      <c r="G148" s="18">
        <v>4</v>
      </c>
      <c r="H148" s="18"/>
      <c r="I148" s="18">
        <v>762.4</v>
      </c>
      <c r="J148" s="19">
        <v>1100.4000000000001</v>
      </c>
      <c r="M148" s="20">
        <f>ROUND(ROUND(J148, 2)*I148, 2)</f>
        <v>838944.96</v>
      </c>
      <c r="P148" s="19">
        <v>1100.4000000000001</v>
      </c>
      <c r="S148" s="20">
        <f>ROUND(ROUND(P148, 2)*I148, 2)</f>
        <v>838944.96</v>
      </c>
      <c r="V148" s="9">
        <f>ROUND(ROUND(P148, 2)/1.2, 2)</f>
        <v>917</v>
      </c>
      <c r="Y148" s="9">
        <f t="shared" si="8"/>
        <v>699120.8</v>
      </c>
      <c r="AD148" s="4" t="s">
        <v>507</v>
      </c>
      <c r="AE148" s="4" t="s">
        <v>508</v>
      </c>
      <c r="AF148" s="4" t="s">
        <v>478</v>
      </c>
    </row>
    <row r="149" spans="1:35" ht="36" x14ac:dyDescent="0.3">
      <c r="A149" s="10" t="s">
        <v>509</v>
      </c>
      <c r="B149" s="10"/>
      <c r="C149" s="21" t="s">
        <v>444</v>
      </c>
      <c r="D149" s="12"/>
      <c r="E149" s="12"/>
      <c r="F149" s="17" t="s">
        <v>227</v>
      </c>
      <c r="G149" s="18">
        <v>1.2</v>
      </c>
      <c r="H149" s="22"/>
      <c r="I149" s="22">
        <v>228.72</v>
      </c>
      <c r="J149" s="19">
        <v>16.12</v>
      </c>
      <c r="M149" s="20">
        <f>ROUND(ROUND(J149, 2)*I149, 2)</f>
        <v>3686.97</v>
      </c>
      <c r="P149" s="19">
        <v>16.11</v>
      </c>
      <c r="S149" s="20">
        <f>ROUND(ROUND(P149, 2)*I149, 2)</f>
        <v>3684.68</v>
      </c>
      <c r="V149" s="9">
        <f>ROUND(ROUND(P149, 2)/1.2, 2)</f>
        <v>13.43</v>
      </c>
      <c r="Y149" s="9">
        <f t="shared" si="8"/>
        <v>3070.57</v>
      </c>
      <c r="AD149" s="4" t="s">
        <v>510</v>
      </c>
      <c r="AE149" s="4" t="s">
        <v>511</v>
      </c>
      <c r="AF149" s="4" t="s">
        <v>447</v>
      </c>
    </row>
    <row r="150" spans="1:35" ht="18" x14ac:dyDescent="0.3">
      <c r="A150" s="10" t="s">
        <v>512</v>
      </c>
      <c r="B150" s="10"/>
      <c r="C150" s="16" t="s">
        <v>449</v>
      </c>
      <c r="D150" s="12"/>
      <c r="E150" s="12"/>
      <c r="F150" s="17" t="s">
        <v>227</v>
      </c>
      <c r="G150" s="18">
        <v>0.25</v>
      </c>
      <c r="H150" s="18"/>
      <c r="I150" s="18">
        <v>47.65</v>
      </c>
      <c r="J150" s="19">
        <v>47.44</v>
      </c>
      <c r="M150" s="20">
        <f>ROUND(ROUND(J150, 2)*I150, 2)</f>
        <v>2260.52</v>
      </c>
      <c r="P150" s="19">
        <v>47.44</v>
      </c>
      <c r="S150" s="20">
        <f>ROUND(ROUND(P150, 2)*I150, 2)</f>
        <v>2260.52</v>
      </c>
      <c r="V150" s="9">
        <f>ROUND(ROUND(P150, 2)/1.2, 2)</f>
        <v>39.53</v>
      </c>
      <c r="Y150" s="9">
        <f t="shared" si="8"/>
        <v>1883.77</v>
      </c>
      <c r="AD150" s="4" t="s">
        <v>513</v>
      </c>
      <c r="AE150" s="4" t="s">
        <v>514</v>
      </c>
      <c r="AF150" s="4" t="s">
        <v>452</v>
      </c>
    </row>
    <row r="151" spans="1:35" ht="36" x14ac:dyDescent="0.3">
      <c r="A151" s="10" t="s">
        <v>515</v>
      </c>
      <c r="B151" s="10"/>
      <c r="C151" s="16" t="s">
        <v>454</v>
      </c>
      <c r="D151" s="12"/>
      <c r="E151" s="12"/>
      <c r="F151" s="17" t="s">
        <v>227</v>
      </c>
      <c r="G151" s="18">
        <v>0.15</v>
      </c>
      <c r="H151" s="18"/>
      <c r="I151" s="18">
        <v>28.59</v>
      </c>
      <c r="J151" s="19">
        <v>88.8</v>
      </c>
      <c r="M151" s="20">
        <f>ROUND(ROUND(J151, 2)*I151, 2)</f>
        <v>2538.79</v>
      </c>
      <c r="P151" s="19">
        <v>88.8</v>
      </c>
      <c r="S151" s="20">
        <f>ROUND(ROUND(P151, 2)*I151, 2)</f>
        <v>2538.79</v>
      </c>
      <c r="V151" s="9">
        <f>ROUND(ROUND(P151, 2)/1.2, 2)</f>
        <v>74</v>
      </c>
      <c r="Y151" s="9">
        <f t="shared" si="8"/>
        <v>2115.66</v>
      </c>
      <c r="AD151" s="4" t="s">
        <v>516</v>
      </c>
      <c r="AE151" s="4" t="s">
        <v>517</v>
      </c>
      <c r="AF151" s="4" t="s">
        <v>457</v>
      </c>
    </row>
    <row r="152" spans="1:35" ht="36" x14ac:dyDescent="0.3">
      <c r="A152" s="10" t="s">
        <v>518</v>
      </c>
      <c r="B152" s="10" t="s">
        <v>434</v>
      </c>
      <c r="C152" s="11" t="s">
        <v>435</v>
      </c>
      <c r="D152" s="12"/>
      <c r="E152" s="12" t="s">
        <v>519</v>
      </c>
      <c r="F152" s="12" t="s">
        <v>59</v>
      </c>
      <c r="G152" s="13">
        <v>1</v>
      </c>
      <c r="H152" s="13"/>
      <c r="I152" s="13">
        <v>129.4</v>
      </c>
      <c r="J152" s="14">
        <v>4446.12</v>
      </c>
      <c r="K152" s="15">
        <v>2310</v>
      </c>
      <c r="L152" s="14">
        <f>J152+ROUND(K152, 2)</f>
        <v>6756.12</v>
      </c>
      <c r="M152" s="14">
        <v>575327.93000000005</v>
      </c>
      <c r="N152" s="14">
        <v>298914</v>
      </c>
      <c r="O152" s="14">
        <f>M152+N152</f>
        <v>874241.93</v>
      </c>
      <c r="P152" s="14">
        <v>4446.1099999999997</v>
      </c>
      <c r="Q152" s="15">
        <v>3465</v>
      </c>
      <c r="R152" s="14">
        <f>P152+ROUND(Q152, 2)</f>
        <v>7911.11</v>
      </c>
      <c r="S152" s="14">
        <v>575326.63</v>
      </c>
      <c r="T152" s="14">
        <v>448371</v>
      </c>
      <c r="U152" s="14">
        <f>S152+T152</f>
        <v>1023697.63</v>
      </c>
      <c r="V152" s="9">
        <f>ROUND(P152 / 1.2, 2)</f>
        <v>3705.09</v>
      </c>
      <c r="W152" s="9">
        <f>ROUND(Q152 / 1.2, 2)</f>
        <v>2887.5</v>
      </c>
      <c r="X152" s="9">
        <f>ROUND(R152 / 1.2, 2)</f>
        <v>6592.59</v>
      </c>
      <c r="Y152" s="9">
        <f t="shared" si="8"/>
        <v>479438.86</v>
      </c>
      <c r="Z152" s="9">
        <f>ROUND(T152 / 1.2, 2)</f>
        <v>373642.5</v>
      </c>
      <c r="AA152" s="9">
        <f>Y152+Z152</f>
        <v>853081.36</v>
      </c>
      <c r="AD152" s="4">
        <v>315889943</v>
      </c>
      <c r="AE152" s="4">
        <v>27245778</v>
      </c>
      <c r="AG152" s="4" t="s">
        <v>436</v>
      </c>
      <c r="AH152" s="4" t="s">
        <v>437</v>
      </c>
      <c r="AI152" s="4" t="s">
        <v>224</v>
      </c>
    </row>
    <row r="153" spans="1:35" ht="36" x14ac:dyDescent="0.3">
      <c r="A153" s="10" t="s">
        <v>520</v>
      </c>
      <c r="B153" s="10"/>
      <c r="C153" s="16" t="s">
        <v>454</v>
      </c>
      <c r="D153" s="12"/>
      <c r="E153" s="12"/>
      <c r="F153" s="17" t="s">
        <v>227</v>
      </c>
      <c r="G153" s="18">
        <v>0.15</v>
      </c>
      <c r="H153" s="18"/>
      <c r="I153" s="18">
        <v>19.41</v>
      </c>
      <c r="J153" s="19">
        <v>88.8</v>
      </c>
      <c r="M153" s="20">
        <f>ROUND(ROUND(J153, 2)*I153, 2)</f>
        <v>1723.61</v>
      </c>
      <c r="P153" s="19">
        <v>88.8</v>
      </c>
      <c r="S153" s="20">
        <f>ROUND(ROUND(P153, 2)*I153, 2)</f>
        <v>1723.61</v>
      </c>
      <c r="V153" s="9">
        <f>ROUND(ROUND(P153, 2)/1.2, 2)</f>
        <v>74</v>
      </c>
      <c r="Y153" s="9">
        <f t="shared" si="8"/>
        <v>1436.34</v>
      </c>
      <c r="AD153" s="4" t="s">
        <v>521</v>
      </c>
      <c r="AE153" s="4" t="s">
        <v>522</v>
      </c>
      <c r="AF153" s="4" t="s">
        <v>457</v>
      </c>
    </row>
    <row r="154" spans="1:35" ht="18" x14ac:dyDescent="0.3">
      <c r="A154" s="10" t="s">
        <v>523</v>
      </c>
      <c r="B154" s="10"/>
      <c r="C154" s="16" t="s">
        <v>449</v>
      </c>
      <c r="D154" s="12"/>
      <c r="E154" s="12"/>
      <c r="F154" s="17" t="s">
        <v>227</v>
      </c>
      <c r="G154" s="18">
        <v>0.25</v>
      </c>
      <c r="H154" s="18"/>
      <c r="I154" s="18">
        <v>32.35</v>
      </c>
      <c r="J154" s="19">
        <v>47.44</v>
      </c>
      <c r="M154" s="20">
        <f>ROUND(ROUND(J154, 2)*I154, 2)</f>
        <v>1534.68</v>
      </c>
      <c r="P154" s="19">
        <v>47.44</v>
      </c>
      <c r="S154" s="20">
        <f>ROUND(ROUND(P154, 2)*I154, 2)</f>
        <v>1534.68</v>
      </c>
      <c r="V154" s="9">
        <f>ROUND(ROUND(P154, 2)/1.2, 2)</f>
        <v>39.53</v>
      </c>
      <c r="Y154" s="9">
        <f t="shared" si="8"/>
        <v>1278.9000000000001</v>
      </c>
      <c r="AD154" s="4" t="s">
        <v>524</v>
      </c>
      <c r="AE154" s="4" t="s">
        <v>525</v>
      </c>
      <c r="AF154" s="4" t="s">
        <v>452</v>
      </c>
    </row>
    <row r="155" spans="1:35" ht="36" x14ac:dyDescent="0.3">
      <c r="A155" s="10" t="s">
        <v>526</v>
      </c>
      <c r="B155" s="10"/>
      <c r="C155" s="21" t="s">
        <v>444</v>
      </c>
      <c r="D155" s="12"/>
      <c r="E155" s="12"/>
      <c r="F155" s="17" t="s">
        <v>227</v>
      </c>
      <c r="G155" s="18">
        <v>1.2</v>
      </c>
      <c r="H155" s="22"/>
      <c r="I155" s="22">
        <v>155.28</v>
      </c>
      <c r="J155" s="19">
        <v>16.12</v>
      </c>
      <c r="M155" s="20">
        <f>ROUND(ROUND(J155, 2)*I155, 2)</f>
        <v>2503.11</v>
      </c>
      <c r="P155" s="19">
        <v>16.11</v>
      </c>
      <c r="S155" s="20">
        <f>ROUND(ROUND(P155, 2)*I155, 2)</f>
        <v>2501.56</v>
      </c>
      <c r="V155" s="9">
        <f>ROUND(ROUND(P155, 2)/1.2, 2)</f>
        <v>13.43</v>
      </c>
      <c r="Y155" s="9">
        <f t="shared" si="8"/>
        <v>2084.63</v>
      </c>
      <c r="AD155" s="4" t="s">
        <v>527</v>
      </c>
      <c r="AE155" s="4" t="s">
        <v>528</v>
      </c>
      <c r="AF155" s="4" t="s">
        <v>447</v>
      </c>
    </row>
    <row r="156" spans="1:35" ht="72" x14ac:dyDescent="0.3">
      <c r="A156" s="10" t="s">
        <v>529</v>
      </c>
      <c r="B156" s="10"/>
      <c r="C156" s="21" t="s">
        <v>475</v>
      </c>
      <c r="D156" s="12"/>
      <c r="E156" s="12" t="s">
        <v>530</v>
      </c>
      <c r="F156" s="17" t="s">
        <v>308</v>
      </c>
      <c r="G156" s="18">
        <v>4</v>
      </c>
      <c r="H156" s="18"/>
      <c r="I156" s="18">
        <v>517.6</v>
      </c>
      <c r="J156" s="19">
        <v>1100.4000000000001</v>
      </c>
      <c r="M156" s="20">
        <f>ROUND(ROUND(J156, 2)*I156, 2)</f>
        <v>569567.04</v>
      </c>
      <c r="P156" s="19">
        <v>1100.4000000000001</v>
      </c>
      <c r="S156" s="20">
        <f>ROUND(ROUND(P156, 2)*I156, 2)</f>
        <v>569567.04</v>
      </c>
      <c r="V156" s="9">
        <f>ROUND(ROUND(P156, 2)/1.2, 2)</f>
        <v>917</v>
      </c>
      <c r="Y156" s="9">
        <f t="shared" si="8"/>
        <v>474639.2</v>
      </c>
      <c r="AD156" s="4" t="s">
        <v>531</v>
      </c>
      <c r="AE156" s="4" t="s">
        <v>532</v>
      </c>
      <c r="AF156" s="4" t="s">
        <v>478</v>
      </c>
    </row>
    <row r="157" spans="1:35" ht="36" x14ac:dyDescent="0.3">
      <c r="A157" s="10" t="s">
        <v>533</v>
      </c>
      <c r="B157" s="10" t="s">
        <v>534</v>
      </c>
      <c r="C157" s="11" t="s">
        <v>535</v>
      </c>
      <c r="D157" s="12"/>
      <c r="E157" s="12"/>
      <c r="F157" s="12" t="s">
        <v>76</v>
      </c>
      <c r="G157" s="13">
        <v>1</v>
      </c>
      <c r="H157" s="13"/>
      <c r="I157" s="13">
        <v>0</v>
      </c>
      <c r="J157" s="14">
        <v>0</v>
      </c>
      <c r="K157" s="15">
        <v>473</v>
      </c>
      <c r="L157" s="14">
        <f>J157+ROUND(K157, 2)</f>
        <v>473</v>
      </c>
      <c r="M157" s="14">
        <v>0</v>
      </c>
      <c r="N157" s="14">
        <v>0</v>
      </c>
      <c r="O157" s="14">
        <f>M157+N157</f>
        <v>0</v>
      </c>
      <c r="P157" s="14">
        <v>844.85</v>
      </c>
      <c r="Q157" s="15">
        <v>473</v>
      </c>
      <c r="R157" s="14">
        <f>P157+ROUND(Q157, 2)</f>
        <v>1317.85</v>
      </c>
      <c r="S157" s="14">
        <v>0</v>
      </c>
      <c r="T157" s="14">
        <v>0</v>
      </c>
      <c r="U157" s="14">
        <f>S157+T157</f>
        <v>0</v>
      </c>
      <c r="V157" s="9">
        <f>ROUND(P157 / 1.2, 2)</f>
        <v>704.04</v>
      </c>
      <c r="W157" s="9">
        <f>ROUND(Q157 / 1.2, 2)</f>
        <v>394.17</v>
      </c>
      <c r="X157" s="9">
        <f>ROUND(R157 / 1.2, 2)</f>
        <v>1098.21</v>
      </c>
      <c r="Y157" s="9">
        <f t="shared" si="8"/>
        <v>0</v>
      </c>
      <c r="Z157" s="9">
        <f>ROUND(T157 / 1.2, 2)</f>
        <v>0</v>
      </c>
      <c r="AA157" s="9">
        <f>Y157+Z157</f>
        <v>0</v>
      </c>
      <c r="AD157" s="4">
        <v>315889945</v>
      </c>
      <c r="AE157" s="4">
        <v>27245655</v>
      </c>
      <c r="AG157" s="4" t="s">
        <v>536</v>
      </c>
      <c r="AH157" s="4" t="s">
        <v>537</v>
      </c>
      <c r="AI157" s="4" t="s">
        <v>224</v>
      </c>
    </row>
    <row r="158" spans="1:35" ht="36" x14ac:dyDescent="0.3">
      <c r="A158" s="10" t="s">
        <v>538</v>
      </c>
      <c r="B158" s="10"/>
      <c r="C158" s="21" t="s">
        <v>539</v>
      </c>
      <c r="D158" s="12"/>
      <c r="E158" s="12"/>
      <c r="F158" s="17" t="s">
        <v>227</v>
      </c>
      <c r="G158" s="18">
        <v>0.7</v>
      </c>
      <c r="H158" s="22"/>
      <c r="I158" s="22">
        <v>0</v>
      </c>
      <c r="J158" s="19">
        <v>16.96</v>
      </c>
      <c r="M158" s="20">
        <f>ROUND(ROUND(J158, 2)*I158, 2)</f>
        <v>0</v>
      </c>
      <c r="P158" s="19">
        <v>16.96</v>
      </c>
      <c r="S158" s="20">
        <f>ROUND(ROUND(P158, 2)*I158, 2)</f>
        <v>0</v>
      </c>
      <c r="V158" s="9">
        <f>ROUND(ROUND(P158, 2)/1.2, 2)</f>
        <v>14.13</v>
      </c>
      <c r="Y158" s="9">
        <f t="shared" si="8"/>
        <v>0</v>
      </c>
      <c r="AD158" s="4" t="s">
        <v>540</v>
      </c>
      <c r="AE158" s="4" t="s">
        <v>541</v>
      </c>
      <c r="AF158" s="4" t="s">
        <v>542</v>
      </c>
    </row>
    <row r="159" spans="1:35" ht="36" x14ac:dyDescent="0.3">
      <c r="A159" s="10" t="s">
        <v>543</v>
      </c>
      <c r="B159" s="10"/>
      <c r="C159" s="16" t="s">
        <v>544</v>
      </c>
      <c r="D159" s="12"/>
      <c r="E159" s="12"/>
      <c r="F159" s="17" t="s">
        <v>308</v>
      </c>
      <c r="G159" s="18">
        <v>1.84</v>
      </c>
      <c r="H159" s="22"/>
      <c r="I159" s="22">
        <v>0</v>
      </c>
      <c r="J159" s="19">
        <v>450.95</v>
      </c>
      <c r="M159" s="20">
        <f>ROUND(ROUND(J159, 2)*I159, 2)</f>
        <v>0</v>
      </c>
      <c r="P159" s="19">
        <v>450.95</v>
      </c>
      <c r="S159" s="20">
        <f>ROUND(ROUND(P159, 2)*I159, 2)</f>
        <v>0</v>
      </c>
      <c r="V159" s="9">
        <f>ROUND(ROUND(P159, 2)/1.2, 2)</f>
        <v>375.79</v>
      </c>
      <c r="Y159" s="9">
        <f t="shared" si="8"/>
        <v>0</v>
      </c>
      <c r="AD159" s="4" t="s">
        <v>545</v>
      </c>
      <c r="AE159" s="4" t="s">
        <v>546</v>
      </c>
      <c r="AF159" s="4" t="s">
        <v>547</v>
      </c>
    </row>
    <row r="160" spans="1:35" ht="18" x14ac:dyDescent="0.3">
      <c r="A160" s="10" t="s">
        <v>548</v>
      </c>
      <c r="B160" s="10"/>
      <c r="C160" s="16" t="s">
        <v>449</v>
      </c>
      <c r="D160" s="12"/>
      <c r="E160" s="12"/>
      <c r="F160" s="17" t="s">
        <v>227</v>
      </c>
      <c r="G160" s="18">
        <v>0.04</v>
      </c>
      <c r="H160" s="18"/>
      <c r="I160" s="18">
        <v>0</v>
      </c>
      <c r="J160" s="19">
        <v>47.44</v>
      </c>
      <c r="M160" s="20">
        <f>ROUND(ROUND(J160, 2)*I160, 2)</f>
        <v>0</v>
      </c>
      <c r="P160" s="19">
        <v>47.44</v>
      </c>
      <c r="S160" s="20">
        <f>ROUND(ROUND(P160, 2)*I160, 2)</f>
        <v>0</v>
      </c>
      <c r="V160" s="9">
        <f>ROUND(ROUND(P160, 2)/1.2, 2)</f>
        <v>39.53</v>
      </c>
      <c r="Y160" s="9">
        <f t="shared" si="8"/>
        <v>0</v>
      </c>
      <c r="AD160" s="4" t="s">
        <v>549</v>
      </c>
      <c r="AE160" s="4" t="s">
        <v>550</v>
      </c>
      <c r="AF160" s="4" t="s">
        <v>452</v>
      </c>
    </row>
    <row r="161" spans="1:35" ht="36" x14ac:dyDescent="0.3">
      <c r="A161" s="10" t="s">
        <v>551</v>
      </c>
      <c r="B161" s="10"/>
      <c r="C161" s="16" t="s">
        <v>552</v>
      </c>
      <c r="D161" s="12"/>
      <c r="E161" s="12"/>
      <c r="F161" s="17" t="s">
        <v>227</v>
      </c>
      <c r="G161" s="18">
        <v>1.4999999999999999E-2</v>
      </c>
      <c r="H161" s="18"/>
      <c r="I161" s="18">
        <v>0</v>
      </c>
      <c r="J161" s="19">
        <v>88.8</v>
      </c>
      <c r="M161" s="20">
        <f>ROUND(ROUND(J161, 2)*I161, 2)</f>
        <v>0</v>
      </c>
      <c r="P161" s="19">
        <v>88.8</v>
      </c>
      <c r="S161" s="20">
        <f>ROUND(ROUND(P161, 2)*I161, 2)</f>
        <v>0</v>
      </c>
      <c r="V161" s="9">
        <f>ROUND(ROUND(P161, 2)/1.2, 2)</f>
        <v>74</v>
      </c>
      <c r="Y161" s="9">
        <f t="shared" si="8"/>
        <v>0</v>
      </c>
      <c r="AD161" s="4" t="s">
        <v>553</v>
      </c>
      <c r="AE161" s="4" t="s">
        <v>554</v>
      </c>
      <c r="AF161" s="4" t="s">
        <v>555</v>
      </c>
    </row>
    <row r="162" spans="1:35" ht="36" x14ac:dyDescent="0.3">
      <c r="A162" s="10" t="s">
        <v>556</v>
      </c>
      <c r="B162" s="10" t="s">
        <v>534</v>
      </c>
      <c r="C162" s="11" t="s">
        <v>535</v>
      </c>
      <c r="D162" s="12"/>
      <c r="E162" s="12"/>
      <c r="F162" s="12" t="s">
        <v>76</v>
      </c>
      <c r="G162" s="13">
        <v>1</v>
      </c>
      <c r="H162" s="13"/>
      <c r="I162" s="13">
        <v>0</v>
      </c>
      <c r="J162" s="14">
        <v>0</v>
      </c>
      <c r="K162" s="15">
        <v>473</v>
      </c>
      <c r="L162" s="14">
        <f>J162+ROUND(K162, 2)</f>
        <v>473</v>
      </c>
      <c r="M162" s="14">
        <v>0</v>
      </c>
      <c r="N162" s="14">
        <v>0</v>
      </c>
      <c r="O162" s="14">
        <f>M162+N162</f>
        <v>0</v>
      </c>
      <c r="P162" s="14">
        <v>844.85</v>
      </c>
      <c r="Q162" s="15">
        <v>473</v>
      </c>
      <c r="R162" s="14">
        <f>P162+ROUND(Q162, 2)</f>
        <v>1317.85</v>
      </c>
      <c r="S162" s="14">
        <v>0</v>
      </c>
      <c r="T162" s="14">
        <v>0</v>
      </c>
      <c r="U162" s="14">
        <f>S162+T162</f>
        <v>0</v>
      </c>
      <c r="V162" s="9">
        <f>ROUND(P162 / 1.2, 2)</f>
        <v>704.04</v>
      </c>
      <c r="W162" s="9">
        <f>ROUND(Q162 / 1.2, 2)</f>
        <v>394.17</v>
      </c>
      <c r="X162" s="9">
        <f>ROUND(R162 / 1.2, 2)</f>
        <v>1098.21</v>
      </c>
      <c r="Y162" s="9">
        <f t="shared" si="8"/>
        <v>0</v>
      </c>
      <c r="Z162" s="9">
        <f>ROUND(T162 / 1.2, 2)</f>
        <v>0</v>
      </c>
      <c r="AA162" s="9">
        <f>Y162+Z162</f>
        <v>0</v>
      </c>
      <c r="AD162" s="4">
        <v>315889946</v>
      </c>
      <c r="AE162" s="4">
        <v>27245656</v>
      </c>
      <c r="AG162" s="4" t="s">
        <v>536</v>
      </c>
      <c r="AH162" s="4" t="s">
        <v>537</v>
      </c>
      <c r="AI162" s="4" t="s">
        <v>224</v>
      </c>
    </row>
    <row r="163" spans="1:35" ht="36" x14ac:dyDescent="0.3">
      <c r="A163" s="10" t="s">
        <v>557</v>
      </c>
      <c r="B163" s="10"/>
      <c r="C163" s="16" t="s">
        <v>552</v>
      </c>
      <c r="D163" s="12"/>
      <c r="E163" s="12"/>
      <c r="F163" s="17" t="s">
        <v>227</v>
      </c>
      <c r="G163" s="18">
        <v>1.4999999999999999E-2</v>
      </c>
      <c r="H163" s="18"/>
      <c r="I163" s="18">
        <v>0</v>
      </c>
      <c r="J163" s="19">
        <v>88.8</v>
      </c>
      <c r="M163" s="20">
        <f>ROUND(ROUND(J163, 2)*I163, 2)</f>
        <v>0</v>
      </c>
      <c r="P163" s="19">
        <v>88.8</v>
      </c>
      <c r="S163" s="20">
        <f>ROUND(ROUND(P163, 2)*I163, 2)</f>
        <v>0</v>
      </c>
      <c r="V163" s="9">
        <f>ROUND(ROUND(P163, 2)/1.2, 2)</f>
        <v>74</v>
      </c>
      <c r="Y163" s="9">
        <f t="shared" si="8"/>
        <v>0</v>
      </c>
      <c r="AD163" s="4" t="s">
        <v>558</v>
      </c>
      <c r="AE163" s="4" t="s">
        <v>559</v>
      </c>
      <c r="AF163" s="4" t="s">
        <v>555</v>
      </c>
    </row>
    <row r="164" spans="1:35" ht="18" x14ac:dyDescent="0.3">
      <c r="A164" s="10" t="s">
        <v>560</v>
      </c>
      <c r="B164" s="10"/>
      <c r="C164" s="16" t="s">
        <v>449</v>
      </c>
      <c r="D164" s="12"/>
      <c r="E164" s="12"/>
      <c r="F164" s="17" t="s">
        <v>227</v>
      </c>
      <c r="G164" s="18">
        <v>0.04</v>
      </c>
      <c r="H164" s="18"/>
      <c r="I164" s="18">
        <v>0</v>
      </c>
      <c r="J164" s="19">
        <v>47.44</v>
      </c>
      <c r="M164" s="20">
        <f>ROUND(ROUND(J164, 2)*I164, 2)</f>
        <v>0</v>
      </c>
      <c r="P164" s="19">
        <v>47.44</v>
      </c>
      <c r="S164" s="20">
        <f>ROUND(ROUND(P164, 2)*I164, 2)</f>
        <v>0</v>
      </c>
      <c r="V164" s="9">
        <f>ROUND(ROUND(P164, 2)/1.2, 2)</f>
        <v>39.53</v>
      </c>
      <c r="Y164" s="9">
        <f t="shared" si="8"/>
        <v>0</v>
      </c>
      <c r="AD164" s="4" t="s">
        <v>561</v>
      </c>
      <c r="AE164" s="4" t="s">
        <v>562</v>
      </c>
      <c r="AF164" s="4" t="s">
        <v>452</v>
      </c>
    </row>
    <row r="165" spans="1:35" ht="36" x14ac:dyDescent="0.3">
      <c r="A165" s="10" t="s">
        <v>563</v>
      </c>
      <c r="B165" s="10"/>
      <c r="C165" s="16" t="s">
        <v>544</v>
      </c>
      <c r="D165" s="12"/>
      <c r="E165" s="12"/>
      <c r="F165" s="17" t="s">
        <v>308</v>
      </c>
      <c r="G165" s="18">
        <v>1.84</v>
      </c>
      <c r="H165" s="22"/>
      <c r="I165" s="22">
        <v>0</v>
      </c>
      <c r="J165" s="19">
        <v>450.95</v>
      </c>
      <c r="M165" s="20">
        <f>ROUND(ROUND(J165, 2)*I165, 2)</f>
        <v>0</v>
      </c>
      <c r="P165" s="19">
        <v>450.95</v>
      </c>
      <c r="S165" s="20">
        <f>ROUND(ROUND(P165, 2)*I165, 2)</f>
        <v>0</v>
      </c>
      <c r="V165" s="9">
        <f>ROUND(ROUND(P165, 2)/1.2, 2)</f>
        <v>375.79</v>
      </c>
      <c r="Y165" s="9">
        <f t="shared" si="8"/>
        <v>0</v>
      </c>
      <c r="AD165" s="4" t="s">
        <v>564</v>
      </c>
      <c r="AE165" s="4" t="s">
        <v>565</v>
      </c>
      <c r="AF165" s="4" t="s">
        <v>547</v>
      </c>
    </row>
    <row r="166" spans="1:35" ht="36" x14ac:dyDescent="0.3">
      <c r="A166" s="10" t="s">
        <v>566</v>
      </c>
      <c r="B166" s="10"/>
      <c r="C166" s="21" t="s">
        <v>539</v>
      </c>
      <c r="D166" s="12"/>
      <c r="E166" s="12"/>
      <c r="F166" s="17" t="s">
        <v>227</v>
      </c>
      <c r="G166" s="18">
        <v>0.7</v>
      </c>
      <c r="H166" s="22"/>
      <c r="I166" s="22">
        <v>0</v>
      </c>
      <c r="J166" s="19">
        <v>16.96</v>
      </c>
      <c r="M166" s="20">
        <f>ROUND(ROUND(J166, 2)*I166, 2)</f>
        <v>0</v>
      </c>
      <c r="P166" s="19">
        <v>16.96</v>
      </c>
      <c r="S166" s="20">
        <f>ROUND(ROUND(P166, 2)*I166, 2)</f>
        <v>0</v>
      </c>
      <c r="V166" s="9">
        <f>ROUND(ROUND(P166, 2)/1.2, 2)</f>
        <v>14.13</v>
      </c>
      <c r="Y166" s="9">
        <f t="shared" si="8"/>
        <v>0</v>
      </c>
      <c r="AD166" s="4" t="s">
        <v>567</v>
      </c>
      <c r="AE166" s="4" t="s">
        <v>568</v>
      </c>
      <c r="AF166" s="4" t="s">
        <v>542</v>
      </c>
    </row>
    <row r="167" spans="1:35" ht="36" x14ac:dyDescent="0.3">
      <c r="A167" s="10" t="s">
        <v>569</v>
      </c>
      <c r="B167" s="10" t="s">
        <v>534</v>
      </c>
      <c r="C167" s="11" t="s">
        <v>535</v>
      </c>
      <c r="D167" s="12"/>
      <c r="E167" s="12" t="s">
        <v>570</v>
      </c>
      <c r="F167" s="12" t="s">
        <v>76</v>
      </c>
      <c r="G167" s="13">
        <v>1</v>
      </c>
      <c r="H167" s="13"/>
      <c r="I167" s="13">
        <v>0</v>
      </c>
      <c r="J167" s="14">
        <v>0</v>
      </c>
      <c r="K167" s="15">
        <v>473</v>
      </c>
      <c r="L167" s="14">
        <f>J167+ROUND(K167, 2)</f>
        <v>473</v>
      </c>
      <c r="M167" s="14">
        <v>0</v>
      </c>
      <c r="N167" s="14">
        <v>0</v>
      </c>
      <c r="O167" s="14">
        <f>M167+N167</f>
        <v>0</v>
      </c>
      <c r="P167" s="14">
        <v>842.95</v>
      </c>
      <c r="Q167" s="15">
        <v>473</v>
      </c>
      <c r="R167" s="14">
        <f>P167+ROUND(Q167, 2)</f>
        <v>1315.95</v>
      </c>
      <c r="S167" s="14">
        <v>0</v>
      </c>
      <c r="T167" s="14">
        <v>0</v>
      </c>
      <c r="U167" s="14">
        <f>S167+T167</f>
        <v>0</v>
      </c>
      <c r="V167" s="9">
        <f>ROUND(P167 / 1.2, 2)</f>
        <v>702.46</v>
      </c>
      <c r="W167" s="9">
        <f>ROUND(Q167 / 1.2, 2)</f>
        <v>394.17</v>
      </c>
      <c r="X167" s="9">
        <f>ROUND(R167 / 1.2, 2)</f>
        <v>1096.6300000000001</v>
      </c>
      <c r="Y167" s="9">
        <f t="shared" si="8"/>
        <v>0</v>
      </c>
      <c r="Z167" s="9">
        <f>ROUND(T167 / 1.2, 2)</f>
        <v>0</v>
      </c>
      <c r="AA167" s="9">
        <f>Y167+Z167</f>
        <v>0</v>
      </c>
      <c r="AD167" s="4">
        <v>315889947</v>
      </c>
      <c r="AE167" s="4">
        <v>27245783</v>
      </c>
      <c r="AG167" s="4" t="s">
        <v>536</v>
      </c>
      <c r="AH167" s="4" t="s">
        <v>537</v>
      </c>
      <c r="AI167" s="4" t="s">
        <v>224</v>
      </c>
    </row>
    <row r="168" spans="1:35" ht="36" x14ac:dyDescent="0.3">
      <c r="A168" s="10" t="s">
        <v>571</v>
      </c>
      <c r="B168" s="10"/>
      <c r="C168" s="21" t="s">
        <v>539</v>
      </c>
      <c r="D168" s="12"/>
      <c r="E168" s="12"/>
      <c r="F168" s="17" t="s">
        <v>227</v>
      </c>
      <c r="G168" s="18">
        <v>0.7</v>
      </c>
      <c r="H168" s="22"/>
      <c r="I168" s="22">
        <v>0</v>
      </c>
      <c r="J168" s="19">
        <v>16.96</v>
      </c>
      <c r="M168" s="20">
        <f>ROUND(ROUND(J168, 2)*I168, 2)</f>
        <v>0</v>
      </c>
      <c r="P168" s="19">
        <v>16.96</v>
      </c>
      <c r="S168" s="20">
        <f>ROUND(ROUND(P168, 2)*I168, 2)</f>
        <v>0</v>
      </c>
      <c r="V168" s="9">
        <f>ROUND(ROUND(P168, 2)/1.2, 2)</f>
        <v>14.13</v>
      </c>
      <c r="Y168" s="9">
        <f t="shared" si="8"/>
        <v>0</v>
      </c>
      <c r="AD168" s="4" t="s">
        <v>572</v>
      </c>
      <c r="AE168" s="4" t="s">
        <v>573</v>
      </c>
      <c r="AF168" s="4" t="s">
        <v>542</v>
      </c>
    </row>
    <row r="169" spans="1:35" ht="36" x14ac:dyDescent="0.3">
      <c r="A169" s="10" t="s">
        <v>574</v>
      </c>
      <c r="B169" s="10"/>
      <c r="C169" s="16" t="s">
        <v>544</v>
      </c>
      <c r="D169" s="12"/>
      <c r="E169" s="12"/>
      <c r="F169" s="17" t="s">
        <v>308</v>
      </c>
      <c r="G169" s="18">
        <v>1.84</v>
      </c>
      <c r="H169" s="22"/>
      <c r="I169" s="22">
        <v>0</v>
      </c>
      <c r="J169" s="19">
        <v>450.95</v>
      </c>
      <c r="M169" s="20">
        <f>ROUND(ROUND(J169, 2)*I169, 2)</f>
        <v>0</v>
      </c>
      <c r="P169" s="19">
        <v>450.95</v>
      </c>
      <c r="S169" s="20">
        <f>ROUND(ROUND(P169, 2)*I169, 2)</f>
        <v>0</v>
      </c>
      <c r="V169" s="9">
        <f>ROUND(ROUND(P169, 2)/1.2, 2)</f>
        <v>375.79</v>
      </c>
      <c r="Y169" s="9">
        <f t="shared" si="8"/>
        <v>0</v>
      </c>
      <c r="AD169" s="4" t="s">
        <v>575</v>
      </c>
      <c r="AE169" s="4" t="s">
        <v>576</v>
      </c>
      <c r="AF169" s="4" t="s">
        <v>547</v>
      </c>
    </row>
    <row r="170" spans="1:35" ht="36" x14ac:dyDescent="0.3">
      <c r="A170" s="10" t="s">
        <v>577</v>
      </c>
      <c r="B170" s="10"/>
      <c r="C170" s="16" t="s">
        <v>552</v>
      </c>
      <c r="D170" s="12"/>
      <c r="E170" s="12"/>
      <c r="F170" s="17" t="s">
        <v>227</v>
      </c>
      <c r="G170" s="18">
        <v>1.4999999999999999E-2</v>
      </c>
      <c r="H170" s="18"/>
      <c r="I170" s="18">
        <v>0</v>
      </c>
      <c r="J170" s="19">
        <v>88.8</v>
      </c>
      <c r="M170" s="20">
        <f>ROUND(ROUND(J170, 2)*I170, 2)</f>
        <v>0</v>
      </c>
      <c r="P170" s="19">
        <v>88.8</v>
      </c>
      <c r="S170" s="20">
        <f>ROUND(ROUND(P170, 2)*I170, 2)</f>
        <v>0</v>
      </c>
      <c r="V170" s="9">
        <f>ROUND(ROUND(P170, 2)/1.2, 2)</f>
        <v>74</v>
      </c>
      <c r="Y170" s="9">
        <f t="shared" si="8"/>
        <v>0</v>
      </c>
      <c r="AD170" s="4" t="s">
        <v>578</v>
      </c>
      <c r="AE170" s="4" t="s">
        <v>579</v>
      </c>
      <c r="AF170" s="4" t="s">
        <v>555</v>
      </c>
    </row>
    <row r="171" spans="1:35" ht="36" x14ac:dyDescent="0.3">
      <c r="A171" s="10" t="s">
        <v>580</v>
      </c>
      <c r="B171" s="10" t="s">
        <v>534</v>
      </c>
      <c r="C171" s="11" t="s">
        <v>535</v>
      </c>
      <c r="D171" s="12"/>
      <c r="E171" s="12" t="s">
        <v>581</v>
      </c>
      <c r="F171" s="12" t="s">
        <v>76</v>
      </c>
      <c r="G171" s="13">
        <v>1</v>
      </c>
      <c r="H171" s="13"/>
      <c r="I171" s="13">
        <v>103.54</v>
      </c>
      <c r="J171" s="14">
        <v>832.98</v>
      </c>
      <c r="K171" s="15">
        <v>473</v>
      </c>
      <c r="L171" s="14">
        <f>J171+ROUND(K171, 2)</f>
        <v>1305.98</v>
      </c>
      <c r="M171" s="14">
        <v>86246.75</v>
      </c>
      <c r="N171" s="14">
        <v>48974.42</v>
      </c>
      <c r="O171" s="14">
        <f>M171+N171</f>
        <v>135221.16999999998</v>
      </c>
      <c r="P171" s="14">
        <v>832.98</v>
      </c>
      <c r="Q171" s="15">
        <v>709.5</v>
      </c>
      <c r="R171" s="14">
        <f>P171+ROUND(Q171, 2)</f>
        <v>1542.48</v>
      </c>
      <c r="S171" s="14">
        <v>86246.75</v>
      </c>
      <c r="T171" s="14">
        <v>73461.63</v>
      </c>
      <c r="U171" s="14">
        <f>S171+T171</f>
        <v>159708.38</v>
      </c>
      <c r="V171" s="9">
        <f>ROUND(P171 / 1.2, 2)</f>
        <v>694.15</v>
      </c>
      <c r="W171" s="9">
        <f>ROUND(Q171 / 1.2, 2)</f>
        <v>591.25</v>
      </c>
      <c r="X171" s="9">
        <f>ROUND(R171 / 1.2, 2)</f>
        <v>1285.4000000000001</v>
      </c>
      <c r="Y171" s="9">
        <f t="shared" si="8"/>
        <v>71872.289999999994</v>
      </c>
      <c r="Z171" s="9">
        <f>ROUND(T171 / 1.2, 2)</f>
        <v>61218.03</v>
      </c>
      <c r="AA171" s="9">
        <f>Y171+Z171</f>
        <v>133090.32</v>
      </c>
      <c r="AD171" s="4">
        <v>315889948</v>
      </c>
      <c r="AE171" s="4">
        <v>27245785</v>
      </c>
      <c r="AG171" s="4" t="s">
        <v>536</v>
      </c>
      <c r="AH171" s="4" t="s">
        <v>537</v>
      </c>
      <c r="AI171" s="4" t="s">
        <v>224</v>
      </c>
    </row>
    <row r="172" spans="1:35" ht="36" x14ac:dyDescent="0.3">
      <c r="A172" s="10" t="s">
        <v>582</v>
      </c>
      <c r="B172" s="10"/>
      <c r="C172" s="16" t="s">
        <v>552</v>
      </c>
      <c r="D172" s="12"/>
      <c r="E172" s="12"/>
      <c r="F172" s="17" t="s">
        <v>227</v>
      </c>
      <c r="G172" s="18">
        <v>1.4999999999999999E-2</v>
      </c>
      <c r="H172" s="18"/>
      <c r="I172" s="18">
        <v>1.5529999999999999</v>
      </c>
      <c r="J172" s="19">
        <v>88.8</v>
      </c>
      <c r="M172" s="20">
        <f>ROUND(ROUND(J172, 2)*I172, 2)</f>
        <v>137.91</v>
      </c>
      <c r="P172" s="19">
        <v>88.8</v>
      </c>
      <c r="S172" s="20">
        <f>ROUND(ROUND(P172, 2)*I172, 2)</f>
        <v>137.91</v>
      </c>
      <c r="V172" s="9">
        <f>ROUND(ROUND(P172, 2)/1.2, 2)</f>
        <v>74</v>
      </c>
      <c r="Y172" s="9">
        <f t="shared" si="8"/>
        <v>114.93</v>
      </c>
      <c r="AD172" s="4" t="s">
        <v>583</v>
      </c>
      <c r="AE172" s="4" t="s">
        <v>584</v>
      </c>
      <c r="AF172" s="4" t="s">
        <v>555</v>
      </c>
    </row>
    <row r="173" spans="1:35" ht="18" x14ac:dyDescent="0.3">
      <c r="A173" s="10" t="s">
        <v>585</v>
      </c>
      <c r="B173" s="10"/>
      <c r="C173" s="16" t="s">
        <v>449</v>
      </c>
      <c r="D173" s="12"/>
      <c r="E173" s="12"/>
      <c r="F173" s="17" t="s">
        <v>227</v>
      </c>
      <c r="G173" s="18">
        <v>0.04</v>
      </c>
      <c r="H173" s="18"/>
      <c r="I173" s="18">
        <v>4.1420000000000003</v>
      </c>
      <c r="J173" s="19">
        <v>47.44</v>
      </c>
      <c r="M173" s="20">
        <f>ROUND(ROUND(J173, 2)*I173, 2)</f>
        <v>196.5</v>
      </c>
      <c r="P173" s="19">
        <v>47.44</v>
      </c>
      <c r="S173" s="20">
        <f>ROUND(ROUND(P173, 2)*I173, 2)</f>
        <v>196.5</v>
      </c>
      <c r="V173" s="9">
        <f>ROUND(ROUND(P173, 2)/1.2, 2)</f>
        <v>39.53</v>
      </c>
      <c r="Y173" s="9">
        <f t="shared" si="8"/>
        <v>163.75</v>
      </c>
      <c r="AD173" s="4" t="s">
        <v>586</v>
      </c>
      <c r="AE173" s="4" t="s">
        <v>587</v>
      </c>
      <c r="AF173" s="4" t="s">
        <v>452</v>
      </c>
    </row>
    <row r="174" spans="1:35" ht="72" x14ac:dyDescent="0.3">
      <c r="A174" s="10" t="s">
        <v>588</v>
      </c>
      <c r="B174" s="10"/>
      <c r="C174" s="16" t="s">
        <v>544</v>
      </c>
      <c r="D174" s="12"/>
      <c r="E174" s="12" t="s">
        <v>589</v>
      </c>
      <c r="F174" s="17" t="s">
        <v>308</v>
      </c>
      <c r="G174" s="18">
        <v>1.84</v>
      </c>
      <c r="H174" s="22"/>
      <c r="I174" s="22">
        <v>190.51400000000001</v>
      </c>
      <c r="J174" s="19">
        <v>450.95</v>
      </c>
      <c r="M174" s="20">
        <f>ROUND(ROUND(J174, 2)*I174, 2)</f>
        <v>85912.29</v>
      </c>
      <c r="P174" s="19">
        <v>450.95</v>
      </c>
      <c r="S174" s="20">
        <f>ROUND(ROUND(P174, 2)*I174, 2)</f>
        <v>85912.29</v>
      </c>
      <c r="V174" s="9">
        <f>ROUND(ROUND(P174, 2)/1.2, 2)</f>
        <v>375.79</v>
      </c>
      <c r="Y174" s="9">
        <f t="shared" si="8"/>
        <v>71593.58</v>
      </c>
      <c r="AD174" s="4" t="s">
        <v>590</v>
      </c>
      <c r="AE174" s="4" t="s">
        <v>591</v>
      </c>
      <c r="AF174" s="4" t="s">
        <v>547</v>
      </c>
    </row>
    <row r="175" spans="1:35" ht="36" x14ac:dyDescent="0.3">
      <c r="A175" s="10" t="s">
        <v>592</v>
      </c>
      <c r="B175" s="10" t="s">
        <v>534</v>
      </c>
      <c r="C175" s="11" t="s">
        <v>535</v>
      </c>
      <c r="D175" s="12"/>
      <c r="E175" s="12" t="s">
        <v>593</v>
      </c>
      <c r="F175" s="12" t="s">
        <v>76</v>
      </c>
      <c r="G175" s="13">
        <v>1</v>
      </c>
      <c r="H175" s="13"/>
      <c r="I175" s="13">
        <v>379.83</v>
      </c>
      <c r="J175" s="14">
        <v>844.26</v>
      </c>
      <c r="K175" s="15">
        <v>473</v>
      </c>
      <c r="L175" s="14">
        <f>J175+ROUND(K175, 2)</f>
        <v>1317.26</v>
      </c>
      <c r="M175" s="14">
        <v>320675.28000000003</v>
      </c>
      <c r="N175" s="14">
        <v>179659.59</v>
      </c>
      <c r="O175" s="14">
        <f>M175+N175</f>
        <v>500334.87</v>
      </c>
      <c r="P175" s="14">
        <v>844.25</v>
      </c>
      <c r="Q175" s="15">
        <v>709.5</v>
      </c>
      <c r="R175" s="14">
        <f>P175+ROUND(Q175, 2)</f>
        <v>1553.75</v>
      </c>
      <c r="S175" s="14">
        <v>320671.48</v>
      </c>
      <c r="T175" s="14">
        <v>269489.39</v>
      </c>
      <c r="U175" s="14">
        <f>S175+T175</f>
        <v>590160.87</v>
      </c>
      <c r="V175" s="9">
        <f>ROUND(P175 / 1.2, 2)</f>
        <v>703.54</v>
      </c>
      <c r="W175" s="9">
        <f>ROUND(Q175 / 1.2, 2)</f>
        <v>591.25</v>
      </c>
      <c r="X175" s="9">
        <f>ROUND(R175 / 1.2, 2)</f>
        <v>1294.79</v>
      </c>
      <c r="Y175" s="9">
        <f t="shared" si="8"/>
        <v>267226.23</v>
      </c>
      <c r="Z175" s="9">
        <f>ROUND(T175 / 1.2, 2)</f>
        <v>224574.49</v>
      </c>
      <c r="AA175" s="9">
        <f>Y175+Z175</f>
        <v>491800.72</v>
      </c>
      <c r="AD175" s="4">
        <v>315889949</v>
      </c>
      <c r="AE175" s="4">
        <v>27245786</v>
      </c>
      <c r="AG175" s="4" t="s">
        <v>536</v>
      </c>
      <c r="AH175" s="4" t="s">
        <v>537</v>
      </c>
      <c r="AI175" s="4" t="s">
        <v>224</v>
      </c>
    </row>
    <row r="176" spans="1:35" ht="36" x14ac:dyDescent="0.3">
      <c r="A176" s="10" t="s">
        <v>594</v>
      </c>
      <c r="B176" s="10"/>
      <c r="C176" s="21" t="s">
        <v>539</v>
      </c>
      <c r="D176" s="12"/>
      <c r="E176" s="12"/>
      <c r="F176" s="17" t="s">
        <v>227</v>
      </c>
      <c r="G176" s="18">
        <v>0.7</v>
      </c>
      <c r="H176" s="22"/>
      <c r="I176" s="22">
        <v>265.88099999999997</v>
      </c>
      <c r="J176" s="19">
        <v>16.12</v>
      </c>
      <c r="M176" s="20">
        <f>ROUND(ROUND(J176, 2)*I176, 2)</f>
        <v>4286</v>
      </c>
      <c r="P176" s="19">
        <v>16.11</v>
      </c>
      <c r="S176" s="20">
        <f>ROUND(ROUND(P176, 2)*I176, 2)</f>
        <v>4283.34</v>
      </c>
      <c r="V176" s="9">
        <f>ROUND(ROUND(P176, 2)/1.2, 2)</f>
        <v>13.43</v>
      </c>
      <c r="Y176" s="9">
        <f t="shared" si="8"/>
        <v>3569.45</v>
      </c>
      <c r="AD176" s="4" t="s">
        <v>595</v>
      </c>
      <c r="AE176" s="4" t="s">
        <v>596</v>
      </c>
      <c r="AF176" s="4" t="s">
        <v>542</v>
      </c>
    </row>
    <row r="177" spans="1:35" ht="54" x14ac:dyDescent="0.3">
      <c r="A177" s="10" t="s">
        <v>597</v>
      </c>
      <c r="B177" s="10"/>
      <c r="C177" s="16" t="s">
        <v>544</v>
      </c>
      <c r="D177" s="12"/>
      <c r="E177" s="12" t="s">
        <v>598</v>
      </c>
      <c r="F177" s="17" t="s">
        <v>308</v>
      </c>
      <c r="G177" s="18">
        <v>1.84</v>
      </c>
      <c r="H177" s="22"/>
      <c r="I177" s="22">
        <v>698.88699999999994</v>
      </c>
      <c r="J177" s="19">
        <v>450.95</v>
      </c>
      <c r="M177" s="20">
        <f>ROUND(ROUND(J177, 2)*I177, 2)</f>
        <v>315163.09000000003</v>
      </c>
      <c r="P177" s="19">
        <v>450.95</v>
      </c>
      <c r="S177" s="20">
        <f>ROUND(ROUND(P177, 2)*I177, 2)</f>
        <v>315163.09000000003</v>
      </c>
      <c r="V177" s="9">
        <f>ROUND(ROUND(P177, 2)/1.2, 2)</f>
        <v>375.79</v>
      </c>
      <c r="Y177" s="9">
        <f t="shared" si="8"/>
        <v>262635.90999999997</v>
      </c>
      <c r="AD177" s="4" t="s">
        <v>599</v>
      </c>
      <c r="AE177" s="4" t="s">
        <v>600</v>
      </c>
      <c r="AF177" s="4" t="s">
        <v>547</v>
      </c>
    </row>
    <row r="178" spans="1:35" ht="18" x14ac:dyDescent="0.3">
      <c r="A178" s="10" t="s">
        <v>601</v>
      </c>
      <c r="B178" s="10"/>
      <c r="C178" s="16" t="s">
        <v>449</v>
      </c>
      <c r="D178" s="12"/>
      <c r="E178" s="12"/>
      <c r="F178" s="17" t="s">
        <v>227</v>
      </c>
      <c r="G178" s="18">
        <v>0.04</v>
      </c>
      <c r="H178" s="18"/>
      <c r="I178" s="18">
        <v>15.193</v>
      </c>
      <c r="J178" s="19">
        <v>47.44</v>
      </c>
      <c r="M178" s="20">
        <f>ROUND(ROUND(J178, 2)*I178, 2)</f>
        <v>720.76</v>
      </c>
      <c r="P178" s="19">
        <v>47.44</v>
      </c>
      <c r="S178" s="20">
        <f>ROUND(ROUND(P178, 2)*I178, 2)</f>
        <v>720.76</v>
      </c>
      <c r="V178" s="9">
        <f>ROUND(ROUND(P178, 2)/1.2, 2)</f>
        <v>39.53</v>
      </c>
      <c r="Y178" s="9">
        <f t="shared" si="8"/>
        <v>600.63</v>
      </c>
      <c r="AD178" s="4" t="s">
        <v>602</v>
      </c>
      <c r="AE178" s="4" t="s">
        <v>603</v>
      </c>
      <c r="AF178" s="4" t="s">
        <v>452</v>
      </c>
    </row>
    <row r="179" spans="1:35" ht="36" x14ac:dyDescent="0.3">
      <c r="A179" s="10" t="s">
        <v>604</v>
      </c>
      <c r="B179" s="10"/>
      <c r="C179" s="16" t="s">
        <v>552</v>
      </c>
      <c r="D179" s="12"/>
      <c r="E179" s="12"/>
      <c r="F179" s="17" t="s">
        <v>227</v>
      </c>
      <c r="G179" s="18">
        <v>1.4999999999999999E-2</v>
      </c>
      <c r="H179" s="18"/>
      <c r="I179" s="18">
        <v>5.6970000000000001</v>
      </c>
      <c r="J179" s="19">
        <v>88.8</v>
      </c>
      <c r="M179" s="20">
        <f>ROUND(ROUND(J179, 2)*I179, 2)</f>
        <v>505.89</v>
      </c>
      <c r="P179" s="19">
        <v>88.8</v>
      </c>
      <c r="S179" s="20">
        <f>ROUND(ROUND(P179, 2)*I179, 2)</f>
        <v>505.89</v>
      </c>
      <c r="V179" s="9">
        <f>ROUND(ROUND(P179, 2)/1.2, 2)</f>
        <v>74</v>
      </c>
      <c r="Y179" s="9">
        <f t="shared" si="8"/>
        <v>421.58</v>
      </c>
      <c r="AD179" s="4" t="s">
        <v>605</v>
      </c>
      <c r="AE179" s="4" t="s">
        <v>606</v>
      </c>
      <c r="AF179" s="4" t="s">
        <v>555</v>
      </c>
    </row>
    <row r="180" spans="1:35" ht="36" x14ac:dyDescent="0.3">
      <c r="A180" s="10" t="s">
        <v>607</v>
      </c>
      <c r="B180" s="10" t="s">
        <v>534</v>
      </c>
      <c r="C180" s="11" t="s">
        <v>535</v>
      </c>
      <c r="D180" s="12"/>
      <c r="E180" s="12" t="s">
        <v>570</v>
      </c>
      <c r="F180" s="12" t="s">
        <v>76</v>
      </c>
      <c r="G180" s="13">
        <v>1</v>
      </c>
      <c r="H180" s="13"/>
      <c r="I180" s="13">
        <v>78</v>
      </c>
      <c r="J180" s="14">
        <v>844.26</v>
      </c>
      <c r="K180" s="15">
        <v>473</v>
      </c>
      <c r="L180" s="14">
        <f>J180+ROUND(K180, 2)</f>
        <v>1317.26</v>
      </c>
      <c r="M180" s="14">
        <v>65852.28</v>
      </c>
      <c r="N180" s="14">
        <v>36894</v>
      </c>
      <c r="O180" s="14">
        <f>M180+N180</f>
        <v>102746.28</v>
      </c>
      <c r="P180" s="14">
        <v>844.25</v>
      </c>
      <c r="Q180" s="15">
        <v>709.5</v>
      </c>
      <c r="R180" s="14">
        <f>P180+ROUND(Q180, 2)</f>
        <v>1553.75</v>
      </c>
      <c r="S180" s="14">
        <v>65851.5</v>
      </c>
      <c r="T180" s="14">
        <v>55341</v>
      </c>
      <c r="U180" s="14">
        <f>S180+T180</f>
        <v>121192.5</v>
      </c>
      <c r="V180" s="9">
        <f>ROUND(P180 / 1.2, 2)</f>
        <v>703.54</v>
      </c>
      <c r="W180" s="9">
        <f>ROUND(Q180 / 1.2, 2)</f>
        <v>591.25</v>
      </c>
      <c r="X180" s="9">
        <f>ROUND(R180 / 1.2, 2)</f>
        <v>1294.79</v>
      </c>
      <c r="Y180" s="9">
        <f t="shared" si="8"/>
        <v>54876.25</v>
      </c>
      <c r="Z180" s="9">
        <f>ROUND(T180 / 1.2, 2)</f>
        <v>46117.5</v>
      </c>
      <c r="AA180" s="9">
        <f>Y180+Z180</f>
        <v>100993.75</v>
      </c>
      <c r="AD180" s="4">
        <v>315889950</v>
      </c>
      <c r="AE180" s="4">
        <v>27245784</v>
      </c>
      <c r="AG180" s="4" t="s">
        <v>536</v>
      </c>
      <c r="AH180" s="4" t="s">
        <v>537</v>
      </c>
      <c r="AI180" s="4" t="s">
        <v>224</v>
      </c>
    </row>
    <row r="181" spans="1:35" ht="36" x14ac:dyDescent="0.3">
      <c r="A181" s="10" t="s">
        <v>608</v>
      </c>
      <c r="B181" s="10"/>
      <c r="C181" s="16" t="s">
        <v>552</v>
      </c>
      <c r="D181" s="12"/>
      <c r="E181" s="12"/>
      <c r="F181" s="17" t="s">
        <v>227</v>
      </c>
      <c r="G181" s="18">
        <v>1.4999999999999999E-2</v>
      </c>
      <c r="H181" s="18"/>
      <c r="I181" s="18">
        <v>1.17</v>
      </c>
      <c r="J181" s="19">
        <v>88.8</v>
      </c>
      <c r="M181" s="20">
        <f>ROUND(ROUND(J181, 2)*I181, 2)</f>
        <v>103.9</v>
      </c>
      <c r="P181" s="19">
        <v>88.8</v>
      </c>
      <c r="S181" s="20">
        <f>ROUND(ROUND(P181, 2)*I181, 2)</f>
        <v>103.9</v>
      </c>
      <c r="V181" s="9">
        <f>ROUND(ROUND(P181, 2)/1.2, 2)</f>
        <v>74</v>
      </c>
      <c r="Y181" s="9">
        <f t="shared" si="8"/>
        <v>86.58</v>
      </c>
      <c r="AD181" s="4" t="s">
        <v>609</v>
      </c>
      <c r="AE181" s="4" t="s">
        <v>610</v>
      </c>
      <c r="AF181" s="4" t="s">
        <v>555</v>
      </c>
    </row>
    <row r="182" spans="1:35" ht="18" x14ac:dyDescent="0.3">
      <c r="A182" s="10" t="s">
        <v>611</v>
      </c>
      <c r="B182" s="10"/>
      <c r="C182" s="16" t="s">
        <v>449</v>
      </c>
      <c r="D182" s="12"/>
      <c r="E182" s="12"/>
      <c r="F182" s="17" t="s">
        <v>227</v>
      </c>
      <c r="G182" s="18">
        <v>0.04</v>
      </c>
      <c r="H182" s="18"/>
      <c r="I182" s="18">
        <v>3.12</v>
      </c>
      <c r="J182" s="19">
        <v>47.44</v>
      </c>
      <c r="M182" s="20">
        <f>ROUND(ROUND(J182, 2)*I182, 2)</f>
        <v>148.01</v>
      </c>
      <c r="P182" s="19">
        <v>47.44</v>
      </c>
      <c r="S182" s="20">
        <f>ROUND(ROUND(P182, 2)*I182, 2)</f>
        <v>148.01</v>
      </c>
      <c r="V182" s="9">
        <f>ROUND(ROUND(P182, 2)/1.2, 2)</f>
        <v>39.53</v>
      </c>
      <c r="Y182" s="9">
        <f t="shared" si="8"/>
        <v>123.34</v>
      </c>
      <c r="AD182" s="4" t="s">
        <v>612</v>
      </c>
      <c r="AE182" s="4" t="s">
        <v>613</v>
      </c>
      <c r="AF182" s="4" t="s">
        <v>452</v>
      </c>
    </row>
    <row r="183" spans="1:35" ht="36" x14ac:dyDescent="0.3">
      <c r="A183" s="10" t="s">
        <v>614</v>
      </c>
      <c r="B183" s="10"/>
      <c r="C183" s="16" t="s">
        <v>544</v>
      </c>
      <c r="D183" s="12"/>
      <c r="E183" s="12" t="s">
        <v>615</v>
      </c>
      <c r="F183" s="17" t="s">
        <v>308</v>
      </c>
      <c r="G183" s="18">
        <v>1.84</v>
      </c>
      <c r="H183" s="22"/>
      <c r="I183" s="22">
        <v>143.52000000000001</v>
      </c>
      <c r="J183" s="19">
        <v>450.95</v>
      </c>
      <c r="M183" s="20">
        <f>ROUND(ROUND(J183, 2)*I183, 2)</f>
        <v>64720.34</v>
      </c>
      <c r="P183" s="19">
        <v>450.95</v>
      </c>
      <c r="S183" s="20">
        <f>ROUND(ROUND(P183, 2)*I183, 2)</f>
        <v>64720.34</v>
      </c>
      <c r="V183" s="9">
        <f>ROUND(ROUND(P183, 2)/1.2, 2)</f>
        <v>375.79</v>
      </c>
      <c r="Y183" s="9">
        <f t="shared" si="8"/>
        <v>53933.62</v>
      </c>
      <c r="AD183" s="4" t="s">
        <v>616</v>
      </c>
      <c r="AE183" s="4" t="s">
        <v>617</v>
      </c>
      <c r="AF183" s="4" t="s">
        <v>547</v>
      </c>
    </row>
    <row r="184" spans="1:35" ht="36" x14ac:dyDescent="0.3">
      <c r="A184" s="10" t="s">
        <v>618</v>
      </c>
      <c r="B184" s="10"/>
      <c r="C184" s="21" t="s">
        <v>539</v>
      </c>
      <c r="D184" s="12"/>
      <c r="E184" s="12"/>
      <c r="F184" s="17" t="s">
        <v>227</v>
      </c>
      <c r="G184" s="18">
        <v>0.7</v>
      </c>
      <c r="H184" s="22"/>
      <c r="I184" s="22">
        <v>54.6</v>
      </c>
      <c r="J184" s="19">
        <v>16.12</v>
      </c>
      <c r="M184" s="20">
        <f>ROUND(ROUND(J184, 2)*I184, 2)</f>
        <v>880.15</v>
      </c>
      <c r="P184" s="19">
        <v>16.11</v>
      </c>
      <c r="S184" s="20">
        <f>ROUND(ROUND(P184, 2)*I184, 2)</f>
        <v>879.61</v>
      </c>
      <c r="V184" s="9">
        <f>ROUND(ROUND(P184, 2)/1.2, 2)</f>
        <v>13.43</v>
      </c>
      <c r="Y184" s="9">
        <f t="shared" si="8"/>
        <v>733.01</v>
      </c>
      <c r="AD184" s="4" t="s">
        <v>619</v>
      </c>
      <c r="AE184" s="4" t="s">
        <v>620</v>
      </c>
      <c r="AF184" s="4" t="s">
        <v>542</v>
      </c>
    </row>
    <row r="185" spans="1:35" ht="54" x14ac:dyDescent="0.3">
      <c r="A185" s="10" t="s">
        <v>621</v>
      </c>
      <c r="B185" s="10" t="s">
        <v>622</v>
      </c>
      <c r="C185" s="11" t="s">
        <v>623</v>
      </c>
      <c r="D185" s="12"/>
      <c r="E185" s="12"/>
      <c r="F185" s="12" t="s">
        <v>59</v>
      </c>
      <c r="G185" s="13">
        <v>1</v>
      </c>
      <c r="H185" s="13"/>
      <c r="I185" s="13">
        <v>0</v>
      </c>
      <c r="J185" s="14">
        <v>0</v>
      </c>
      <c r="K185" s="15">
        <v>1655</v>
      </c>
      <c r="L185" s="14">
        <f>J185+ROUND(K185, 2)</f>
        <v>1655</v>
      </c>
      <c r="M185" s="14">
        <v>0</v>
      </c>
      <c r="N185" s="14">
        <v>0</v>
      </c>
      <c r="O185" s="14">
        <f>M185+N185</f>
        <v>0</v>
      </c>
      <c r="P185" s="14">
        <v>1046.53</v>
      </c>
      <c r="Q185" s="15">
        <v>1655</v>
      </c>
      <c r="R185" s="14">
        <f>P185+ROUND(Q185, 2)</f>
        <v>2701.5299999999997</v>
      </c>
      <c r="S185" s="14">
        <v>0</v>
      </c>
      <c r="T185" s="14">
        <v>0</v>
      </c>
      <c r="U185" s="14">
        <f>S185+T185</f>
        <v>0</v>
      </c>
      <c r="V185" s="9">
        <f>ROUND(P185 / 1.2, 2)</f>
        <v>872.11</v>
      </c>
      <c r="W185" s="9">
        <f>ROUND(Q185 / 1.2, 2)</f>
        <v>1379.17</v>
      </c>
      <c r="X185" s="9">
        <f>ROUND(R185 / 1.2, 2)</f>
        <v>2251.2800000000002</v>
      </c>
      <c r="Y185" s="9">
        <f t="shared" si="8"/>
        <v>0</v>
      </c>
      <c r="Z185" s="9">
        <f>ROUND(T185 / 1.2, 2)</f>
        <v>0</v>
      </c>
      <c r="AA185" s="9">
        <f>Y185+Z185</f>
        <v>0</v>
      </c>
      <c r="AD185" s="4">
        <v>315889952</v>
      </c>
      <c r="AE185" s="4">
        <v>27245634</v>
      </c>
      <c r="AG185" s="4" t="s">
        <v>624</v>
      </c>
      <c r="AH185" s="4" t="s">
        <v>625</v>
      </c>
      <c r="AI185" s="4" t="s">
        <v>224</v>
      </c>
    </row>
    <row r="186" spans="1:35" ht="36" x14ac:dyDescent="0.3">
      <c r="A186" s="10" t="s">
        <v>626</v>
      </c>
      <c r="B186" s="10"/>
      <c r="C186" s="21" t="s">
        <v>627</v>
      </c>
      <c r="D186" s="12"/>
      <c r="E186" s="12"/>
      <c r="F186" s="17" t="s">
        <v>227</v>
      </c>
      <c r="G186" s="18">
        <v>7</v>
      </c>
      <c r="H186" s="18"/>
      <c r="I186" s="18">
        <v>0</v>
      </c>
      <c r="J186" s="19">
        <v>16.96</v>
      </c>
      <c r="M186" s="20">
        <f>ROUND(ROUND(J186, 2)*I186, 2)</f>
        <v>0</v>
      </c>
      <c r="P186" s="19">
        <v>16.96</v>
      </c>
      <c r="S186" s="20">
        <f>ROUND(ROUND(P186, 2)*I186, 2)</f>
        <v>0</v>
      </c>
      <c r="V186" s="9">
        <f>ROUND(ROUND(P186, 2)/1.2, 2)</f>
        <v>14.13</v>
      </c>
      <c r="Y186" s="9">
        <f t="shared" si="8"/>
        <v>0</v>
      </c>
      <c r="AD186" s="4" t="s">
        <v>628</v>
      </c>
      <c r="AE186" s="4" t="s">
        <v>629</v>
      </c>
      <c r="AF186" s="4" t="s">
        <v>630</v>
      </c>
    </row>
    <row r="187" spans="1:35" ht="36" x14ac:dyDescent="0.3">
      <c r="A187" s="10" t="s">
        <v>631</v>
      </c>
      <c r="B187" s="10"/>
      <c r="C187" s="16" t="s">
        <v>632</v>
      </c>
      <c r="D187" s="12"/>
      <c r="E187" s="12"/>
      <c r="F187" s="17" t="s">
        <v>59</v>
      </c>
      <c r="G187" s="18">
        <v>1.07</v>
      </c>
      <c r="H187" s="22"/>
      <c r="I187" s="22">
        <v>0</v>
      </c>
      <c r="J187" s="19">
        <v>845.25</v>
      </c>
      <c r="M187" s="20">
        <f>ROUND(ROUND(J187, 2)*I187, 2)</f>
        <v>0</v>
      </c>
      <c r="P187" s="19">
        <v>845.25</v>
      </c>
      <c r="S187" s="20">
        <f>ROUND(ROUND(P187, 2)*I187, 2)</f>
        <v>0</v>
      </c>
      <c r="V187" s="9">
        <f>ROUND(ROUND(P187, 2)/1.2, 2)</f>
        <v>704.38</v>
      </c>
      <c r="Y187" s="9">
        <f t="shared" si="8"/>
        <v>0</v>
      </c>
      <c r="AD187" s="4" t="s">
        <v>633</v>
      </c>
      <c r="AE187" s="4" t="s">
        <v>634</v>
      </c>
      <c r="AF187" s="4" t="s">
        <v>635</v>
      </c>
    </row>
    <row r="188" spans="1:35" ht="36" x14ac:dyDescent="0.3">
      <c r="A188" s="10" t="s">
        <v>636</v>
      </c>
      <c r="B188" s="10"/>
      <c r="C188" s="16" t="s">
        <v>637</v>
      </c>
      <c r="D188" s="12"/>
      <c r="E188" s="12"/>
      <c r="F188" s="17" t="s">
        <v>227</v>
      </c>
      <c r="G188" s="18">
        <v>0.25</v>
      </c>
      <c r="H188" s="22"/>
      <c r="I188" s="22">
        <v>0</v>
      </c>
      <c r="J188" s="19">
        <v>40.270000000000003</v>
      </c>
      <c r="M188" s="20">
        <f>ROUND(ROUND(J188, 2)*I188, 2)</f>
        <v>0</v>
      </c>
      <c r="P188" s="19">
        <v>40.270000000000003</v>
      </c>
      <c r="S188" s="20">
        <f>ROUND(ROUND(P188, 2)*I188, 2)</f>
        <v>0</v>
      </c>
      <c r="V188" s="9">
        <f>ROUND(ROUND(P188, 2)/1.2, 2)</f>
        <v>33.56</v>
      </c>
      <c r="Y188" s="9">
        <f t="shared" si="8"/>
        <v>0</v>
      </c>
      <c r="AD188" s="4" t="s">
        <v>638</v>
      </c>
      <c r="AE188" s="4" t="s">
        <v>639</v>
      </c>
      <c r="AF188" s="4" t="s">
        <v>640</v>
      </c>
    </row>
    <row r="189" spans="1:35" ht="36" x14ac:dyDescent="0.3">
      <c r="A189" s="10" t="s">
        <v>641</v>
      </c>
      <c r="B189" s="10"/>
      <c r="C189" s="16" t="s">
        <v>552</v>
      </c>
      <c r="D189" s="12"/>
      <c r="E189" s="12"/>
      <c r="F189" s="17" t="s">
        <v>227</v>
      </c>
      <c r="G189" s="18">
        <v>0.15</v>
      </c>
      <c r="H189" s="18"/>
      <c r="I189" s="18">
        <v>0</v>
      </c>
      <c r="J189" s="19">
        <v>88.8</v>
      </c>
      <c r="M189" s="20">
        <f>ROUND(ROUND(J189, 2)*I189, 2)</f>
        <v>0</v>
      </c>
      <c r="P189" s="19">
        <v>88.8</v>
      </c>
      <c r="S189" s="20">
        <f>ROUND(ROUND(P189, 2)*I189, 2)</f>
        <v>0</v>
      </c>
      <c r="V189" s="9">
        <f>ROUND(ROUND(P189, 2)/1.2, 2)</f>
        <v>74</v>
      </c>
      <c r="Y189" s="9">
        <f t="shared" ref="Y189:Y252" si="9">ROUND(S189 / 1.2, 2)</f>
        <v>0</v>
      </c>
      <c r="AD189" s="4" t="s">
        <v>642</v>
      </c>
      <c r="AE189" s="4" t="s">
        <v>643</v>
      </c>
      <c r="AF189" s="4" t="s">
        <v>555</v>
      </c>
    </row>
    <row r="190" spans="1:35" ht="54" x14ac:dyDescent="0.3">
      <c r="A190" s="10" t="s">
        <v>644</v>
      </c>
      <c r="B190" s="10" t="s">
        <v>622</v>
      </c>
      <c r="C190" s="11" t="s">
        <v>623</v>
      </c>
      <c r="D190" s="12"/>
      <c r="E190" s="12" t="s">
        <v>645</v>
      </c>
      <c r="F190" s="12" t="s">
        <v>59</v>
      </c>
      <c r="G190" s="13">
        <v>1</v>
      </c>
      <c r="H190" s="13"/>
      <c r="I190" s="13">
        <v>370.9</v>
      </c>
      <c r="J190" s="14">
        <v>1040.6600000000001</v>
      </c>
      <c r="K190" s="15">
        <v>1655</v>
      </c>
      <c r="L190" s="14">
        <f>J190+ROUND(K190, 2)</f>
        <v>2695.66</v>
      </c>
      <c r="M190" s="14">
        <v>385980.79</v>
      </c>
      <c r="N190" s="14">
        <v>613839.5</v>
      </c>
      <c r="O190" s="14">
        <f>M190+N190</f>
        <v>999820.29</v>
      </c>
      <c r="P190" s="14">
        <v>1040.58</v>
      </c>
      <c r="Q190" s="15">
        <v>2482.5</v>
      </c>
      <c r="R190" s="14">
        <f>P190+ROUND(Q190, 2)</f>
        <v>3523.08</v>
      </c>
      <c r="S190" s="14">
        <v>385951.12</v>
      </c>
      <c r="T190" s="14">
        <v>920759.25</v>
      </c>
      <c r="U190" s="14">
        <f>S190+T190</f>
        <v>1306710.3700000001</v>
      </c>
      <c r="V190" s="9">
        <f>ROUND(P190 / 1.2, 2)</f>
        <v>867.15</v>
      </c>
      <c r="W190" s="9">
        <f>ROUND(Q190 / 1.2, 2)</f>
        <v>2068.75</v>
      </c>
      <c r="X190" s="9">
        <f>ROUND(R190 / 1.2, 2)</f>
        <v>2935.9</v>
      </c>
      <c r="Y190" s="9">
        <f t="shared" si="9"/>
        <v>321625.93</v>
      </c>
      <c r="Z190" s="9">
        <f>ROUND(T190 / 1.2, 2)</f>
        <v>767299.38</v>
      </c>
      <c r="AA190" s="9">
        <f>Y190+Z190</f>
        <v>1088925.31</v>
      </c>
      <c r="AD190" s="4">
        <v>315889953</v>
      </c>
      <c r="AE190" s="4">
        <v>27245777</v>
      </c>
      <c r="AG190" s="4" t="s">
        <v>624</v>
      </c>
      <c r="AH190" s="4" t="s">
        <v>625</v>
      </c>
      <c r="AI190" s="4" t="s">
        <v>224</v>
      </c>
    </row>
    <row r="191" spans="1:35" ht="36" x14ac:dyDescent="0.3">
      <c r="A191" s="10" t="s">
        <v>646</v>
      </c>
      <c r="B191" s="10"/>
      <c r="C191" s="16" t="s">
        <v>552</v>
      </c>
      <c r="D191" s="12"/>
      <c r="E191" s="12"/>
      <c r="F191" s="17" t="s">
        <v>227</v>
      </c>
      <c r="G191" s="18">
        <v>0.15</v>
      </c>
      <c r="H191" s="18"/>
      <c r="I191" s="18">
        <v>55.634999999999998</v>
      </c>
      <c r="J191" s="19">
        <v>88.8</v>
      </c>
      <c r="M191" s="20">
        <f>ROUND(ROUND(J191, 2)*I191, 2)</f>
        <v>4940.3900000000003</v>
      </c>
      <c r="P191" s="19">
        <v>88.8</v>
      </c>
      <c r="S191" s="20">
        <f>ROUND(ROUND(P191, 2)*I191, 2)</f>
        <v>4940.3900000000003</v>
      </c>
      <c r="V191" s="9">
        <f>ROUND(ROUND(P191, 2)/1.2, 2)</f>
        <v>74</v>
      </c>
      <c r="Y191" s="9">
        <f t="shared" si="9"/>
        <v>4116.99</v>
      </c>
      <c r="AD191" s="4" t="s">
        <v>647</v>
      </c>
      <c r="AE191" s="4" t="s">
        <v>648</v>
      </c>
      <c r="AF191" s="4" t="s">
        <v>555</v>
      </c>
    </row>
    <row r="192" spans="1:35" ht="36" x14ac:dyDescent="0.3">
      <c r="A192" s="10" t="s">
        <v>649</v>
      </c>
      <c r="B192" s="10"/>
      <c r="C192" s="16" t="s">
        <v>637</v>
      </c>
      <c r="D192" s="12"/>
      <c r="E192" s="12"/>
      <c r="F192" s="17" t="s">
        <v>227</v>
      </c>
      <c r="G192" s="18">
        <v>0.25</v>
      </c>
      <c r="H192" s="22"/>
      <c r="I192" s="22">
        <v>92.724999999999994</v>
      </c>
      <c r="J192" s="19">
        <v>40.270000000000003</v>
      </c>
      <c r="M192" s="20">
        <f>ROUND(ROUND(J192, 2)*I192, 2)</f>
        <v>3734.04</v>
      </c>
      <c r="P192" s="19">
        <v>40.270000000000003</v>
      </c>
      <c r="S192" s="20">
        <f>ROUND(ROUND(P192, 2)*I192, 2)</f>
        <v>3734.04</v>
      </c>
      <c r="V192" s="9">
        <f>ROUND(ROUND(P192, 2)/1.2, 2)</f>
        <v>33.56</v>
      </c>
      <c r="Y192" s="9">
        <f t="shared" si="9"/>
        <v>3111.7</v>
      </c>
      <c r="AD192" s="4" t="s">
        <v>650</v>
      </c>
      <c r="AE192" s="4" t="s">
        <v>651</v>
      </c>
      <c r="AF192" s="4" t="s">
        <v>640</v>
      </c>
    </row>
    <row r="193" spans="1:35" ht="72" x14ac:dyDescent="0.3">
      <c r="A193" s="10" t="s">
        <v>652</v>
      </c>
      <c r="B193" s="10"/>
      <c r="C193" s="16" t="s">
        <v>632</v>
      </c>
      <c r="D193" s="12"/>
      <c r="E193" s="12" t="s">
        <v>653</v>
      </c>
      <c r="F193" s="17" t="s">
        <v>59</v>
      </c>
      <c r="G193" s="18">
        <v>1.07</v>
      </c>
      <c r="H193" s="22"/>
      <c r="I193" s="22">
        <v>396.863</v>
      </c>
      <c r="J193" s="19">
        <v>845.26</v>
      </c>
      <c r="M193" s="20">
        <f>ROUND(ROUND(J193, 2)*I193, 2)</f>
        <v>335452.42</v>
      </c>
      <c r="P193" s="19">
        <v>845.25</v>
      </c>
      <c r="S193" s="20">
        <f>ROUND(ROUND(P193, 2)*I193, 2)</f>
        <v>335448.45</v>
      </c>
      <c r="V193" s="9">
        <f>ROUND(ROUND(P193, 2)/1.2, 2)</f>
        <v>704.38</v>
      </c>
      <c r="Y193" s="9">
        <f t="shared" si="9"/>
        <v>279540.38</v>
      </c>
      <c r="AD193" s="4" t="s">
        <v>654</v>
      </c>
      <c r="AE193" s="4" t="s">
        <v>655</v>
      </c>
      <c r="AF193" s="4" t="s">
        <v>635</v>
      </c>
    </row>
    <row r="194" spans="1:35" ht="36" x14ac:dyDescent="0.3">
      <c r="A194" s="10" t="s">
        <v>656</v>
      </c>
      <c r="B194" s="10"/>
      <c r="C194" s="21" t="s">
        <v>627</v>
      </c>
      <c r="D194" s="12"/>
      <c r="E194" s="12"/>
      <c r="F194" s="17" t="s">
        <v>227</v>
      </c>
      <c r="G194" s="18">
        <v>7</v>
      </c>
      <c r="H194" s="18"/>
      <c r="I194" s="18">
        <v>2596.3000000000002</v>
      </c>
      <c r="J194" s="19">
        <v>16.12</v>
      </c>
      <c r="M194" s="20">
        <f>ROUND(ROUND(J194, 2)*I194, 2)</f>
        <v>41852.36</v>
      </c>
      <c r="P194" s="19">
        <v>16.11</v>
      </c>
      <c r="S194" s="20">
        <f>ROUND(ROUND(P194, 2)*I194, 2)</f>
        <v>41826.39</v>
      </c>
      <c r="V194" s="9">
        <f>ROUND(ROUND(P194, 2)/1.2, 2)</f>
        <v>13.43</v>
      </c>
      <c r="Y194" s="9">
        <f t="shared" si="9"/>
        <v>34855.33</v>
      </c>
      <c r="AD194" s="4" t="s">
        <v>657</v>
      </c>
      <c r="AE194" s="4" t="s">
        <v>658</v>
      </c>
      <c r="AF194" s="4" t="s">
        <v>630</v>
      </c>
    </row>
    <row r="195" spans="1:35" ht="54" x14ac:dyDescent="0.3">
      <c r="A195" s="10" t="s">
        <v>659</v>
      </c>
      <c r="B195" s="10" t="s">
        <v>660</v>
      </c>
      <c r="C195" s="11" t="s">
        <v>661</v>
      </c>
      <c r="D195" s="12"/>
      <c r="E195" s="12"/>
      <c r="F195" s="12" t="s">
        <v>59</v>
      </c>
      <c r="G195" s="13">
        <v>1</v>
      </c>
      <c r="H195" s="13"/>
      <c r="I195" s="13">
        <v>0</v>
      </c>
      <c r="J195" s="14">
        <v>0</v>
      </c>
      <c r="K195" s="15">
        <v>2785</v>
      </c>
      <c r="L195" s="14">
        <f>J195+ROUND(K195, 2)</f>
        <v>2785</v>
      </c>
      <c r="M195" s="14">
        <v>0</v>
      </c>
      <c r="N195" s="14">
        <v>0</v>
      </c>
      <c r="O195" s="14">
        <f>M195+N195</f>
        <v>0</v>
      </c>
      <c r="P195" s="14">
        <v>2064.9</v>
      </c>
      <c r="Q195" s="15">
        <v>2785</v>
      </c>
      <c r="R195" s="14">
        <f>P195+ROUND(Q195, 2)</f>
        <v>4849.8999999999996</v>
      </c>
      <c r="S195" s="14">
        <v>0</v>
      </c>
      <c r="T195" s="14">
        <v>0</v>
      </c>
      <c r="U195" s="14">
        <f>S195+T195</f>
        <v>0</v>
      </c>
      <c r="V195" s="9">
        <f>ROUND(P195 / 1.2, 2)</f>
        <v>1720.75</v>
      </c>
      <c r="W195" s="9">
        <f>ROUND(Q195 / 1.2, 2)</f>
        <v>2320.83</v>
      </c>
      <c r="X195" s="9">
        <f>ROUND(R195 / 1.2, 2)</f>
        <v>4041.58</v>
      </c>
      <c r="Y195" s="9">
        <f t="shared" si="9"/>
        <v>0</v>
      </c>
      <c r="Z195" s="9">
        <f>ROUND(T195 / 1.2, 2)</f>
        <v>0</v>
      </c>
      <c r="AA195" s="9">
        <f>Y195+Z195</f>
        <v>0</v>
      </c>
      <c r="AD195" s="4">
        <v>315889954</v>
      </c>
      <c r="AE195" s="4">
        <v>27245665</v>
      </c>
      <c r="AG195" s="4" t="s">
        <v>662</v>
      </c>
      <c r="AH195" s="4" t="s">
        <v>663</v>
      </c>
      <c r="AI195" s="4" t="s">
        <v>224</v>
      </c>
    </row>
    <row r="196" spans="1:35" ht="36" x14ac:dyDescent="0.3">
      <c r="A196" s="10" t="s">
        <v>664</v>
      </c>
      <c r="B196" s="10"/>
      <c r="C196" s="21" t="s">
        <v>665</v>
      </c>
      <c r="D196" s="12"/>
      <c r="E196" s="12"/>
      <c r="F196" s="17" t="s">
        <v>227</v>
      </c>
      <c r="G196" s="18">
        <v>1.2</v>
      </c>
      <c r="H196" s="22"/>
      <c r="I196" s="22">
        <v>0</v>
      </c>
      <c r="J196" s="19">
        <v>16.96</v>
      </c>
      <c r="M196" s="20">
        <f>ROUND(ROUND(J196, 2)*I196, 2)</f>
        <v>0</v>
      </c>
      <c r="P196" s="19">
        <v>16.96</v>
      </c>
      <c r="S196" s="20">
        <f>ROUND(ROUND(P196, 2)*I196, 2)</f>
        <v>0</v>
      </c>
      <c r="V196" s="9">
        <f>ROUND(ROUND(P196, 2)/1.2, 2)</f>
        <v>14.13</v>
      </c>
      <c r="Y196" s="9">
        <f t="shared" si="9"/>
        <v>0</v>
      </c>
      <c r="AD196" s="4" t="s">
        <v>666</v>
      </c>
      <c r="AE196" s="4" t="s">
        <v>667</v>
      </c>
      <c r="AF196" s="4" t="s">
        <v>668</v>
      </c>
    </row>
    <row r="197" spans="1:35" ht="36" x14ac:dyDescent="0.3">
      <c r="A197" s="10" t="s">
        <v>669</v>
      </c>
      <c r="B197" s="10"/>
      <c r="C197" s="16" t="s">
        <v>670</v>
      </c>
      <c r="D197" s="12"/>
      <c r="E197" s="12"/>
      <c r="F197" s="17" t="s">
        <v>59</v>
      </c>
      <c r="G197" s="18">
        <v>1.2</v>
      </c>
      <c r="H197" s="22"/>
      <c r="I197" s="22">
        <v>0</v>
      </c>
      <c r="J197" s="19">
        <v>2021.25</v>
      </c>
      <c r="M197" s="20">
        <f>ROUND(ROUND(J197, 2)*I197, 2)</f>
        <v>0</v>
      </c>
      <c r="P197" s="19">
        <v>1684.3</v>
      </c>
      <c r="S197" s="20">
        <f>ROUND(ROUND(P197, 2)*I197, 2)</f>
        <v>0</v>
      </c>
      <c r="V197" s="9">
        <f>ROUND(ROUND(P197, 2)/1.2, 2)</f>
        <v>1403.58</v>
      </c>
      <c r="Y197" s="9">
        <f t="shared" si="9"/>
        <v>0</v>
      </c>
      <c r="AD197" s="4" t="s">
        <v>671</v>
      </c>
      <c r="AE197" s="4" t="s">
        <v>672</v>
      </c>
      <c r="AF197" s="4" t="s">
        <v>673</v>
      </c>
    </row>
    <row r="198" spans="1:35" ht="36" x14ac:dyDescent="0.3">
      <c r="A198" s="10" t="s">
        <v>674</v>
      </c>
      <c r="B198" s="10"/>
      <c r="C198" s="16" t="s">
        <v>637</v>
      </c>
      <c r="D198" s="12"/>
      <c r="E198" s="12"/>
      <c r="F198" s="17" t="s">
        <v>227</v>
      </c>
      <c r="G198" s="18">
        <v>0.25</v>
      </c>
      <c r="H198" s="22"/>
      <c r="I198" s="22">
        <v>0</v>
      </c>
      <c r="J198" s="19">
        <v>40.270000000000003</v>
      </c>
      <c r="M198" s="20">
        <f>ROUND(ROUND(J198, 2)*I198, 2)</f>
        <v>0</v>
      </c>
      <c r="P198" s="19">
        <v>40.270000000000003</v>
      </c>
      <c r="S198" s="20">
        <f>ROUND(ROUND(P198, 2)*I198, 2)</f>
        <v>0</v>
      </c>
      <c r="V198" s="9">
        <f>ROUND(ROUND(P198, 2)/1.2, 2)</f>
        <v>33.56</v>
      </c>
      <c r="Y198" s="9">
        <f t="shared" si="9"/>
        <v>0</v>
      </c>
      <c r="AD198" s="4" t="s">
        <v>675</v>
      </c>
      <c r="AE198" s="4" t="s">
        <v>676</v>
      </c>
      <c r="AF198" s="4" t="s">
        <v>640</v>
      </c>
    </row>
    <row r="199" spans="1:35" ht="36" x14ac:dyDescent="0.3">
      <c r="A199" s="10" t="s">
        <v>677</v>
      </c>
      <c r="B199" s="10"/>
      <c r="C199" s="16" t="s">
        <v>552</v>
      </c>
      <c r="D199" s="12"/>
      <c r="E199" s="12"/>
      <c r="F199" s="17" t="s">
        <v>227</v>
      </c>
      <c r="G199" s="18">
        <v>0.15</v>
      </c>
      <c r="H199" s="18"/>
      <c r="I199" s="18">
        <v>0</v>
      </c>
      <c r="J199" s="19">
        <v>88.8</v>
      </c>
      <c r="M199" s="20">
        <f>ROUND(ROUND(J199, 2)*I199, 2)</f>
        <v>0</v>
      </c>
      <c r="P199" s="19">
        <v>88.8</v>
      </c>
      <c r="S199" s="20">
        <f>ROUND(ROUND(P199, 2)*I199, 2)</f>
        <v>0</v>
      </c>
      <c r="V199" s="9">
        <f>ROUND(ROUND(P199, 2)/1.2, 2)</f>
        <v>74</v>
      </c>
      <c r="Y199" s="9">
        <f t="shared" si="9"/>
        <v>0</v>
      </c>
      <c r="AD199" s="4" t="s">
        <v>678</v>
      </c>
      <c r="AE199" s="4" t="s">
        <v>679</v>
      </c>
      <c r="AF199" s="4" t="s">
        <v>555</v>
      </c>
    </row>
    <row r="200" spans="1:35" ht="54" x14ac:dyDescent="0.3">
      <c r="A200" s="10" t="s">
        <v>680</v>
      </c>
      <c r="B200" s="10" t="s">
        <v>660</v>
      </c>
      <c r="C200" s="11" t="s">
        <v>661</v>
      </c>
      <c r="D200" s="12"/>
      <c r="E200" s="12"/>
      <c r="F200" s="12" t="s">
        <v>59</v>
      </c>
      <c r="G200" s="13">
        <v>1</v>
      </c>
      <c r="H200" s="13"/>
      <c r="I200" s="13">
        <v>0</v>
      </c>
      <c r="J200" s="14">
        <v>0</v>
      </c>
      <c r="K200" s="15">
        <v>2785</v>
      </c>
      <c r="L200" s="14">
        <f>J200+ROUND(K200, 2)</f>
        <v>2785</v>
      </c>
      <c r="M200" s="14">
        <v>0</v>
      </c>
      <c r="N200" s="14">
        <v>0</v>
      </c>
      <c r="O200" s="14">
        <f>M200+N200</f>
        <v>0</v>
      </c>
      <c r="P200" s="14">
        <v>2054.6999999999998</v>
      </c>
      <c r="Q200" s="15">
        <v>2785</v>
      </c>
      <c r="R200" s="14">
        <f>P200+ROUND(Q200, 2)</f>
        <v>4839.7</v>
      </c>
      <c r="S200" s="14">
        <v>0</v>
      </c>
      <c r="T200" s="14">
        <v>0</v>
      </c>
      <c r="U200" s="14">
        <f>S200+T200</f>
        <v>0</v>
      </c>
      <c r="V200" s="9">
        <f>ROUND(P200 / 1.2, 2)</f>
        <v>1712.25</v>
      </c>
      <c r="W200" s="9">
        <f>ROUND(Q200 / 1.2, 2)</f>
        <v>2320.83</v>
      </c>
      <c r="X200" s="9">
        <f>ROUND(R200 / 1.2, 2)</f>
        <v>4033.08</v>
      </c>
      <c r="Y200" s="9">
        <f t="shared" si="9"/>
        <v>0</v>
      </c>
      <c r="Z200" s="9">
        <f>ROUND(T200 / 1.2, 2)</f>
        <v>0</v>
      </c>
      <c r="AA200" s="9">
        <f>Y200+Z200</f>
        <v>0</v>
      </c>
      <c r="AD200" s="4">
        <v>315889955</v>
      </c>
      <c r="AE200" s="4">
        <v>27245666</v>
      </c>
      <c r="AG200" s="4" t="s">
        <v>662</v>
      </c>
      <c r="AH200" s="4" t="s">
        <v>663</v>
      </c>
      <c r="AI200" s="4" t="s">
        <v>224</v>
      </c>
    </row>
    <row r="201" spans="1:35" ht="36" x14ac:dyDescent="0.3">
      <c r="A201" s="10" t="s">
        <v>681</v>
      </c>
      <c r="B201" s="10"/>
      <c r="C201" s="16" t="s">
        <v>552</v>
      </c>
      <c r="D201" s="12"/>
      <c r="E201" s="12"/>
      <c r="F201" s="17" t="s">
        <v>227</v>
      </c>
      <c r="G201" s="18">
        <v>0.15</v>
      </c>
      <c r="H201" s="18"/>
      <c r="I201" s="18">
        <v>0</v>
      </c>
      <c r="J201" s="19">
        <v>88.8</v>
      </c>
      <c r="M201" s="20">
        <f>ROUND(ROUND(J201, 2)*I201, 2)</f>
        <v>0</v>
      </c>
      <c r="P201" s="19">
        <v>88.8</v>
      </c>
      <c r="S201" s="20">
        <f>ROUND(ROUND(P201, 2)*I201, 2)</f>
        <v>0</v>
      </c>
      <c r="V201" s="9">
        <f>ROUND(ROUND(P201, 2)/1.2, 2)</f>
        <v>74</v>
      </c>
      <c r="Y201" s="9">
        <f t="shared" si="9"/>
        <v>0</v>
      </c>
      <c r="AD201" s="4" t="s">
        <v>682</v>
      </c>
      <c r="AE201" s="4" t="s">
        <v>683</v>
      </c>
      <c r="AF201" s="4" t="s">
        <v>555</v>
      </c>
    </row>
    <row r="202" spans="1:35" ht="36" x14ac:dyDescent="0.3">
      <c r="A202" s="10" t="s">
        <v>684</v>
      </c>
      <c r="B202" s="10"/>
      <c r="C202" s="16" t="s">
        <v>637</v>
      </c>
      <c r="D202" s="12"/>
      <c r="E202" s="12"/>
      <c r="F202" s="17" t="s">
        <v>227</v>
      </c>
      <c r="G202" s="18">
        <v>0.25</v>
      </c>
      <c r="H202" s="22"/>
      <c r="I202" s="22">
        <v>0</v>
      </c>
      <c r="J202" s="19">
        <v>40.270000000000003</v>
      </c>
      <c r="M202" s="20">
        <f>ROUND(ROUND(J202, 2)*I202, 2)</f>
        <v>0</v>
      </c>
      <c r="P202" s="19">
        <v>40.270000000000003</v>
      </c>
      <c r="S202" s="20">
        <f>ROUND(ROUND(P202, 2)*I202, 2)</f>
        <v>0</v>
      </c>
      <c r="V202" s="9">
        <f>ROUND(ROUND(P202, 2)/1.2, 2)</f>
        <v>33.56</v>
      </c>
      <c r="Y202" s="9">
        <f t="shared" si="9"/>
        <v>0</v>
      </c>
      <c r="AD202" s="4" t="s">
        <v>685</v>
      </c>
      <c r="AE202" s="4" t="s">
        <v>686</v>
      </c>
      <c r="AF202" s="4" t="s">
        <v>640</v>
      </c>
    </row>
    <row r="203" spans="1:35" ht="36" x14ac:dyDescent="0.3">
      <c r="A203" s="10" t="s">
        <v>687</v>
      </c>
      <c r="B203" s="10"/>
      <c r="C203" s="16" t="s">
        <v>670</v>
      </c>
      <c r="D203" s="12"/>
      <c r="E203" s="12"/>
      <c r="F203" s="17" t="s">
        <v>59</v>
      </c>
      <c r="G203" s="18">
        <v>1.2</v>
      </c>
      <c r="H203" s="22"/>
      <c r="I203" s="22">
        <v>0</v>
      </c>
      <c r="J203" s="19">
        <v>2021.25</v>
      </c>
      <c r="M203" s="20">
        <f>ROUND(ROUND(J203, 2)*I203, 2)</f>
        <v>0</v>
      </c>
      <c r="P203" s="19">
        <v>1675.8</v>
      </c>
      <c r="S203" s="20">
        <f>ROUND(ROUND(P203, 2)*I203, 2)</f>
        <v>0</v>
      </c>
      <c r="V203" s="9">
        <f>ROUND(ROUND(P203, 2)/1.2, 2)</f>
        <v>1396.5</v>
      </c>
      <c r="Y203" s="9">
        <f t="shared" si="9"/>
        <v>0</v>
      </c>
      <c r="AD203" s="4" t="s">
        <v>688</v>
      </c>
      <c r="AE203" s="4" t="s">
        <v>689</v>
      </c>
      <c r="AF203" s="4" t="s">
        <v>673</v>
      </c>
    </row>
    <row r="204" spans="1:35" ht="36" x14ac:dyDescent="0.3">
      <c r="A204" s="10" t="s">
        <v>690</v>
      </c>
      <c r="B204" s="10"/>
      <c r="C204" s="21" t="s">
        <v>665</v>
      </c>
      <c r="D204" s="12"/>
      <c r="E204" s="12"/>
      <c r="F204" s="17" t="s">
        <v>227</v>
      </c>
      <c r="G204" s="18">
        <v>1.2</v>
      </c>
      <c r="H204" s="22"/>
      <c r="I204" s="22">
        <v>0</v>
      </c>
      <c r="J204" s="19">
        <v>16.96</v>
      </c>
      <c r="M204" s="20">
        <f>ROUND(ROUND(J204, 2)*I204, 2)</f>
        <v>0</v>
      </c>
      <c r="P204" s="19">
        <v>16.96</v>
      </c>
      <c r="S204" s="20">
        <f>ROUND(ROUND(P204, 2)*I204, 2)</f>
        <v>0</v>
      </c>
      <c r="V204" s="9">
        <f>ROUND(ROUND(P204, 2)/1.2, 2)</f>
        <v>14.13</v>
      </c>
      <c r="Y204" s="9">
        <f t="shared" si="9"/>
        <v>0</v>
      </c>
      <c r="AD204" s="4" t="s">
        <v>691</v>
      </c>
      <c r="AE204" s="4" t="s">
        <v>692</v>
      </c>
      <c r="AF204" s="4" t="s">
        <v>668</v>
      </c>
    </row>
    <row r="205" spans="1:35" ht="54" x14ac:dyDescent="0.3">
      <c r="A205" s="10" t="s">
        <v>693</v>
      </c>
      <c r="B205" s="10" t="s">
        <v>660</v>
      </c>
      <c r="C205" s="11" t="s">
        <v>661</v>
      </c>
      <c r="D205" s="12"/>
      <c r="E205" s="12"/>
      <c r="F205" s="12" t="s">
        <v>59</v>
      </c>
      <c r="G205" s="13">
        <v>1</v>
      </c>
      <c r="H205" s="13"/>
      <c r="I205" s="13">
        <v>0</v>
      </c>
      <c r="J205" s="14">
        <v>0</v>
      </c>
      <c r="K205" s="15">
        <v>2785</v>
      </c>
      <c r="L205" s="14">
        <f>J205+ROUND(K205, 2)</f>
        <v>2785</v>
      </c>
      <c r="M205" s="14">
        <v>0</v>
      </c>
      <c r="N205" s="14">
        <v>0</v>
      </c>
      <c r="O205" s="14">
        <f>M205+N205</f>
        <v>0</v>
      </c>
      <c r="P205" s="14">
        <v>1990.74</v>
      </c>
      <c r="Q205" s="15">
        <v>2785</v>
      </c>
      <c r="R205" s="14">
        <f>P205+ROUND(Q205, 2)</f>
        <v>4775.74</v>
      </c>
      <c r="S205" s="14">
        <v>0</v>
      </c>
      <c r="T205" s="14">
        <v>0</v>
      </c>
      <c r="U205" s="14">
        <f>S205+T205</f>
        <v>0</v>
      </c>
      <c r="V205" s="9">
        <f>ROUND(P205 / 1.2, 2)</f>
        <v>1658.95</v>
      </c>
      <c r="W205" s="9">
        <f>ROUND(Q205 / 1.2, 2)</f>
        <v>2320.83</v>
      </c>
      <c r="X205" s="9">
        <f>ROUND(R205 / 1.2, 2)</f>
        <v>3979.78</v>
      </c>
      <c r="Y205" s="9">
        <f t="shared" si="9"/>
        <v>0</v>
      </c>
      <c r="Z205" s="9">
        <f>ROUND(T205 / 1.2, 2)</f>
        <v>0</v>
      </c>
      <c r="AA205" s="9">
        <f>Y205+Z205</f>
        <v>0</v>
      </c>
      <c r="AD205" s="4">
        <v>315889956</v>
      </c>
      <c r="AE205" s="4">
        <v>27245667</v>
      </c>
      <c r="AG205" s="4" t="s">
        <v>662</v>
      </c>
      <c r="AH205" s="4" t="s">
        <v>663</v>
      </c>
      <c r="AI205" s="4" t="s">
        <v>224</v>
      </c>
    </row>
    <row r="206" spans="1:35" ht="36" x14ac:dyDescent="0.3">
      <c r="A206" s="10" t="s">
        <v>694</v>
      </c>
      <c r="B206" s="10"/>
      <c r="C206" s="21" t="s">
        <v>665</v>
      </c>
      <c r="D206" s="12"/>
      <c r="E206" s="12"/>
      <c r="F206" s="17" t="s">
        <v>227</v>
      </c>
      <c r="G206" s="18">
        <v>1.2</v>
      </c>
      <c r="H206" s="22"/>
      <c r="I206" s="22">
        <v>0</v>
      </c>
      <c r="J206" s="19">
        <v>16.96</v>
      </c>
      <c r="M206" s="20">
        <f>ROUND(ROUND(J206, 2)*I206, 2)</f>
        <v>0</v>
      </c>
      <c r="P206" s="19">
        <v>16.96</v>
      </c>
      <c r="S206" s="20">
        <f>ROUND(ROUND(P206, 2)*I206, 2)</f>
        <v>0</v>
      </c>
      <c r="V206" s="9">
        <f>ROUND(ROUND(P206, 2)/1.2, 2)</f>
        <v>14.13</v>
      </c>
      <c r="Y206" s="9">
        <f t="shared" si="9"/>
        <v>0</v>
      </c>
      <c r="AD206" s="4" t="s">
        <v>695</v>
      </c>
      <c r="AE206" s="4" t="s">
        <v>696</v>
      </c>
      <c r="AF206" s="4" t="s">
        <v>668</v>
      </c>
    </row>
    <row r="207" spans="1:35" ht="36" x14ac:dyDescent="0.3">
      <c r="A207" s="10" t="s">
        <v>697</v>
      </c>
      <c r="B207" s="10"/>
      <c r="C207" s="16" t="s">
        <v>670</v>
      </c>
      <c r="D207" s="12"/>
      <c r="E207" s="12"/>
      <c r="F207" s="17" t="s">
        <v>59</v>
      </c>
      <c r="G207" s="18">
        <v>1.2</v>
      </c>
      <c r="H207" s="22"/>
      <c r="I207" s="22">
        <v>0</v>
      </c>
      <c r="J207" s="19">
        <v>2021.25</v>
      </c>
      <c r="M207" s="20">
        <f>ROUND(ROUND(J207, 2)*I207, 2)</f>
        <v>0</v>
      </c>
      <c r="P207" s="19">
        <v>1622.5</v>
      </c>
      <c r="S207" s="20">
        <f>ROUND(ROUND(P207, 2)*I207, 2)</f>
        <v>0</v>
      </c>
      <c r="V207" s="9">
        <f>ROUND(ROUND(P207, 2)/1.2, 2)</f>
        <v>1352.08</v>
      </c>
      <c r="Y207" s="9">
        <f t="shared" si="9"/>
        <v>0</v>
      </c>
      <c r="AD207" s="4" t="s">
        <v>698</v>
      </c>
      <c r="AE207" s="4" t="s">
        <v>699</v>
      </c>
      <c r="AF207" s="4" t="s">
        <v>673</v>
      </c>
    </row>
    <row r="208" spans="1:35" ht="36" x14ac:dyDescent="0.3">
      <c r="A208" s="10" t="s">
        <v>700</v>
      </c>
      <c r="B208" s="10"/>
      <c r="C208" s="16" t="s">
        <v>637</v>
      </c>
      <c r="D208" s="12"/>
      <c r="E208" s="12"/>
      <c r="F208" s="17" t="s">
        <v>227</v>
      </c>
      <c r="G208" s="18">
        <v>0.25</v>
      </c>
      <c r="H208" s="22"/>
      <c r="I208" s="22">
        <v>0</v>
      </c>
      <c r="J208" s="19">
        <v>40.270000000000003</v>
      </c>
      <c r="M208" s="20">
        <f>ROUND(ROUND(J208, 2)*I208, 2)</f>
        <v>0</v>
      </c>
      <c r="P208" s="19">
        <v>40.270000000000003</v>
      </c>
      <c r="S208" s="20">
        <f>ROUND(ROUND(P208, 2)*I208, 2)</f>
        <v>0</v>
      </c>
      <c r="V208" s="9">
        <f>ROUND(ROUND(P208, 2)/1.2, 2)</f>
        <v>33.56</v>
      </c>
      <c r="Y208" s="9">
        <f t="shared" si="9"/>
        <v>0</v>
      </c>
      <c r="AD208" s="4" t="s">
        <v>701</v>
      </c>
      <c r="AE208" s="4" t="s">
        <v>702</v>
      </c>
      <c r="AF208" s="4" t="s">
        <v>640</v>
      </c>
    </row>
    <row r="209" spans="1:35" ht="36" x14ac:dyDescent="0.3">
      <c r="A209" s="10" t="s">
        <v>703</v>
      </c>
      <c r="B209" s="10"/>
      <c r="C209" s="16" t="s">
        <v>552</v>
      </c>
      <c r="D209" s="12"/>
      <c r="E209" s="12"/>
      <c r="F209" s="17" t="s">
        <v>227</v>
      </c>
      <c r="G209" s="18">
        <v>0.15</v>
      </c>
      <c r="H209" s="18"/>
      <c r="I209" s="18">
        <v>0</v>
      </c>
      <c r="J209" s="19">
        <v>88.8</v>
      </c>
      <c r="M209" s="20">
        <f>ROUND(ROUND(J209, 2)*I209, 2)</f>
        <v>0</v>
      </c>
      <c r="P209" s="19">
        <v>88.8</v>
      </c>
      <c r="S209" s="20">
        <f>ROUND(ROUND(P209, 2)*I209, 2)</f>
        <v>0</v>
      </c>
      <c r="V209" s="9">
        <f>ROUND(ROUND(P209, 2)/1.2, 2)</f>
        <v>74</v>
      </c>
      <c r="Y209" s="9">
        <f t="shared" si="9"/>
        <v>0</v>
      </c>
      <c r="AD209" s="4" t="s">
        <v>704</v>
      </c>
      <c r="AE209" s="4" t="s">
        <v>705</v>
      </c>
      <c r="AF209" s="4" t="s">
        <v>555</v>
      </c>
    </row>
    <row r="210" spans="1:35" ht="54" x14ac:dyDescent="0.3">
      <c r="A210" s="10" t="s">
        <v>706</v>
      </c>
      <c r="B210" s="10" t="s">
        <v>660</v>
      </c>
      <c r="C210" s="11" t="s">
        <v>661</v>
      </c>
      <c r="D210" s="12"/>
      <c r="E210" s="12"/>
      <c r="F210" s="12" t="s">
        <v>59</v>
      </c>
      <c r="G210" s="13">
        <v>1</v>
      </c>
      <c r="H210" s="13"/>
      <c r="I210" s="13">
        <v>0</v>
      </c>
      <c r="J210" s="14">
        <v>0</v>
      </c>
      <c r="K210" s="15">
        <v>2785</v>
      </c>
      <c r="L210" s="14">
        <f>J210+ROUND(K210, 2)</f>
        <v>2785</v>
      </c>
      <c r="M210" s="14">
        <v>0</v>
      </c>
      <c r="N210" s="14">
        <v>0</v>
      </c>
      <c r="O210" s="14">
        <f>M210+N210</f>
        <v>0</v>
      </c>
      <c r="P210" s="14">
        <v>2075.46</v>
      </c>
      <c r="Q210" s="15">
        <v>2785</v>
      </c>
      <c r="R210" s="14">
        <f>P210+ROUND(Q210, 2)</f>
        <v>4860.46</v>
      </c>
      <c r="S210" s="14">
        <v>0</v>
      </c>
      <c r="T210" s="14">
        <v>0</v>
      </c>
      <c r="U210" s="14">
        <f>S210+T210</f>
        <v>0</v>
      </c>
      <c r="V210" s="9">
        <f>ROUND(P210 / 1.2, 2)</f>
        <v>1729.55</v>
      </c>
      <c r="W210" s="9">
        <f>ROUND(Q210 / 1.2, 2)</f>
        <v>2320.83</v>
      </c>
      <c r="X210" s="9">
        <f>ROUND(R210 / 1.2, 2)</f>
        <v>4050.38</v>
      </c>
      <c r="Y210" s="9">
        <f t="shared" si="9"/>
        <v>0</v>
      </c>
      <c r="Z210" s="9">
        <f>ROUND(T210 / 1.2, 2)</f>
        <v>0</v>
      </c>
      <c r="AA210" s="9">
        <f>Y210+Z210</f>
        <v>0</v>
      </c>
      <c r="AD210" s="4">
        <v>315889957</v>
      </c>
      <c r="AE210" s="4">
        <v>27245668</v>
      </c>
      <c r="AG210" s="4" t="s">
        <v>662</v>
      </c>
      <c r="AH210" s="4" t="s">
        <v>663</v>
      </c>
      <c r="AI210" s="4" t="s">
        <v>224</v>
      </c>
    </row>
    <row r="211" spans="1:35" ht="36" x14ac:dyDescent="0.3">
      <c r="A211" s="10" t="s">
        <v>707</v>
      </c>
      <c r="B211" s="10"/>
      <c r="C211" s="16" t="s">
        <v>552</v>
      </c>
      <c r="D211" s="12"/>
      <c r="E211" s="12"/>
      <c r="F211" s="17" t="s">
        <v>227</v>
      </c>
      <c r="G211" s="18">
        <v>0.15</v>
      </c>
      <c r="H211" s="18"/>
      <c r="I211" s="18">
        <v>0</v>
      </c>
      <c r="J211" s="19">
        <v>88.8</v>
      </c>
      <c r="M211" s="20">
        <f>ROUND(ROUND(J211, 2)*I211, 2)</f>
        <v>0</v>
      </c>
      <c r="P211" s="19">
        <v>88.8</v>
      </c>
      <c r="S211" s="20">
        <f>ROUND(ROUND(P211, 2)*I211, 2)</f>
        <v>0</v>
      </c>
      <c r="V211" s="9">
        <f>ROUND(ROUND(P211, 2)/1.2, 2)</f>
        <v>74</v>
      </c>
      <c r="Y211" s="9">
        <f t="shared" si="9"/>
        <v>0</v>
      </c>
      <c r="AD211" s="4" t="s">
        <v>708</v>
      </c>
      <c r="AE211" s="4" t="s">
        <v>709</v>
      </c>
      <c r="AF211" s="4" t="s">
        <v>555</v>
      </c>
    </row>
    <row r="212" spans="1:35" ht="36" x14ac:dyDescent="0.3">
      <c r="A212" s="10" t="s">
        <v>710</v>
      </c>
      <c r="B212" s="10"/>
      <c r="C212" s="16" t="s">
        <v>637</v>
      </c>
      <c r="D212" s="12"/>
      <c r="E212" s="12"/>
      <c r="F212" s="17" t="s">
        <v>227</v>
      </c>
      <c r="G212" s="18">
        <v>0.25</v>
      </c>
      <c r="H212" s="22"/>
      <c r="I212" s="22">
        <v>0</v>
      </c>
      <c r="J212" s="19">
        <v>40.270000000000003</v>
      </c>
      <c r="M212" s="20">
        <f>ROUND(ROUND(J212, 2)*I212, 2)</f>
        <v>0</v>
      </c>
      <c r="P212" s="19">
        <v>40.270000000000003</v>
      </c>
      <c r="S212" s="20">
        <f>ROUND(ROUND(P212, 2)*I212, 2)</f>
        <v>0</v>
      </c>
      <c r="V212" s="9">
        <f>ROUND(ROUND(P212, 2)/1.2, 2)</f>
        <v>33.56</v>
      </c>
      <c r="Y212" s="9">
        <f t="shared" si="9"/>
        <v>0</v>
      </c>
      <c r="AD212" s="4" t="s">
        <v>711</v>
      </c>
      <c r="AE212" s="4" t="s">
        <v>712</v>
      </c>
      <c r="AF212" s="4" t="s">
        <v>640</v>
      </c>
    </row>
    <row r="213" spans="1:35" ht="36" x14ac:dyDescent="0.3">
      <c r="A213" s="10" t="s">
        <v>713</v>
      </c>
      <c r="B213" s="10"/>
      <c r="C213" s="16" t="s">
        <v>670</v>
      </c>
      <c r="D213" s="12"/>
      <c r="E213" s="12"/>
      <c r="F213" s="17" t="s">
        <v>59</v>
      </c>
      <c r="G213" s="18">
        <v>1.2</v>
      </c>
      <c r="H213" s="22"/>
      <c r="I213" s="22">
        <v>0</v>
      </c>
      <c r="J213" s="19">
        <v>2021.25</v>
      </c>
      <c r="M213" s="20">
        <f>ROUND(ROUND(J213, 2)*I213, 2)</f>
        <v>0</v>
      </c>
      <c r="P213" s="19">
        <v>1693.1</v>
      </c>
      <c r="S213" s="20">
        <f>ROUND(ROUND(P213, 2)*I213, 2)</f>
        <v>0</v>
      </c>
      <c r="V213" s="9">
        <f>ROUND(ROUND(P213, 2)/1.2, 2)</f>
        <v>1410.92</v>
      </c>
      <c r="Y213" s="9">
        <f t="shared" si="9"/>
        <v>0</v>
      </c>
      <c r="AD213" s="4" t="s">
        <v>714</v>
      </c>
      <c r="AE213" s="4" t="s">
        <v>715</v>
      </c>
      <c r="AF213" s="4" t="s">
        <v>673</v>
      </c>
    </row>
    <row r="214" spans="1:35" ht="36" x14ac:dyDescent="0.3">
      <c r="A214" s="10" t="s">
        <v>716</v>
      </c>
      <c r="B214" s="10"/>
      <c r="C214" s="21" t="s">
        <v>665</v>
      </c>
      <c r="D214" s="12"/>
      <c r="E214" s="12"/>
      <c r="F214" s="17" t="s">
        <v>227</v>
      </c>
      <c r="G214" s="18">
        <v>1.2</v>
      </c>
      <c r="H214" s="22"/>
      <c r="I214" s="22">
        <v>0</v>
      </c>
      <c r="J214" s="19">
        <v>16.96</v>
      </c>
      <c r="M214" s="20">
        <f>ROUND(ROUND(J214, 2)*I214, 2)</f>
        <v>0</v>
      </c>
      <c r="P214" s="19">
        <v>16.96</v>
      </c>
      <c r="S214" s="20">
        <f>ROUND(ROUND(P214, 2)*I214, 2)</f>
        <v>0</v>
      </c>
      <c r="V214" s="9">
        <f>ROUND(ROUND(P214, 2)/1.2, 2)</f>
        <v>14.13</v>
      </c>
      <c r="Y214" s="9">
        <f t="shared" si="9"/>
        <v>0</v>
      </c>
      <c r="AD214" s="4" t="s">
        <v>717</v>
      </c>
      <c r="AE214" s="4" t="s">
        <v>718</v>
      </c>
      <c r="AF214" s="4" t="s">
        <v>668</v>
      </c>
    </row>
    <row r="215" spans="1:35" ht="54" x14ac:dyDescent="0.3">
      <c r="A215" s="10" t="s">
        <v>719</v>
      </c>
      <c r="B215" s="10" t="s">
        <v>660</v>
      </c>
      <c r="C215" s="11" t="s">
        <v>661</v>
      </c>
      <c r="D215" s="12"/>
      <c r="E215" s="12"/>
      <c r="F215" s="12" t="s">
        <v>59</v>
      </c>
      <c r="G215" s="13">
        <v>1</v>
      </c>
      <c r="H215" s="13"/>
      <c r="I215" s="13">
        <v>0</v>
      </c>
      <c r="J215" s="14">
        <v>0</v>
      </c>
      <c r="K215" s="15">
        <v>2785</v>
      </c>
      <c r="L215" s="14">
        <f>J215+ROUND(K215, 2)</f>
        <v>2785</v>
      </c>
      <c r="M215" s="14">
        <v>0</v>
      </c>
      <c r="N215" s="14">
        <v>0</v>
      </c>
      <c r="O215" s="14">
        <f>M215+N215</f>
        <v>0</v>
      </c>
      <c r="P215" s="14">
        <v>2000.82</v>
      </c>
      <c r="Q215" s="15">
        <v>2785</v>
      </c>
      <c r="R215" s="14">
        <f>P215+ROUND(Q215, 2)</f>
        <v>4785.82</v>
      </c>
      <c r="S215" s="14">
        <v>0</v>
      </c>
      <c r="T215" s="14">
        <v>0</v>
      </c>
      <c r="U215" s="14">
        <f>S215+T215</f>
        <v>0</v>
      </c>
      <c r="V215" s="9">
        <f>ROUND(P215 / 1.2, 2)</f>
        <v>1667.35</v>
      </c>
      <c r="W215" s="9">
        <f>ROUND(Q215 / 1.2, 2)</f>
        <v>2320.83</v>
      </c>
      <c r="X215" s="9">
        <f>ROUND(R215 / 1.2, 2)</f>
        <v>3988.18</v>
      </c>
      <c r="Y215" s="9">
        <f t="shared" si="9"/>
        <v>0</v>
      </c>
      <c r="Z215" s="9">
        <f>ROUND(T215 / 1.2, 2)</f>
        <v>0</v>
      </c>
      <c r="AA215" s="9">
        <f>Y215+Z215</f>
        <v>0</v>
      </c>
      <c r="AD215" s="4">
        <v>315889958</v>
      </c>
      <c r="AE215" s="4">
        <v>27245669</v>
      </c>
      <c r="AG215" s="4" t="s">
        <v>662</v>
      </c>
      <c r="AH215" s="4" t="s">
        <v>663</v>
      </c>
      <c r="AI215" s="4" t="s">
        <v>224</v>
      </c>
    </row>
    <row r="216" spans="1:35" ht="36" x14ac:dyDescent="0.3">
      <c r="A216" s="10" t="s">
        <v>720</v>
      </c>
      <c r="B216" s="10"/>
      <c r="C216" s="21" t="s">
        <v>665</v>
      </c>
      <c r="D216" s="12"/>
      <c r="E216" s="12"/>
      <c r="F216" s="17" t="s">
        <v>227</v>
      </c>
      <c r="G216" s="18">
        <v>1.2</v>
      </c>
      <c r="H216" s="22"/>
      <c r="I216" s="22">
        <v>0</v>
      </c>
      <c r="J216" s="19">
        <v>16.96</v>
      </c>
      <c r="M216" s="20">
        <f>ROUND(ROUND(J216, 2)*I216, 2)</f>
        <v>0</v>
      </c>
      <c r="P216" s="19">
        <v>16.96</v>
      </c>
      <c r="S216" s="20">
        <f>ROUND(ROUND(P216, 2)*I216, 2)</f>
        <v>0</v>
      </c>
      <c r="V216" s="9">
        <f>ROUND(ROUND(P216, 2)/1.2, 2)</f>
        <v>14.13</v>
      </c>
      <c r="Y216" s="9">
        <f t="shared" si="9"/>
        <v>0</v>
      </c>
      <c r="AD216" s="4" t="s">
        <v>721</v>
      </c>
      <c r="AE216" s="4" t="s">
        <v>722</v>
      </c>
      <c r="AF216" s="4" t="s">
        <v>668</v>
      </c>
    </row>
    <row r="217" spans="1:35" ht="36" x14ac:dyDescent="0.3">
      <c r="A217" s="10" t="s">
        <v>723</v>
      </c>
      <c r="B217" s="10"/>
      <c r="C217" s="16" t="s">
        <v>670</v>
      </c>
      <c r="D217" s="12"/>
      <c r="E217" s="12"/>
      <c r="F217" s="17" t="s">
        <v>59</v>
      </c>
      <c r="G217" s="18">
        <v>1.2</v>
      </c>
      <c r="H217" s="22"/>
      <c r="I217" s="22">
        <v>0</v>
      </c>
      <c r="J217" s="19">
        <v>2021.25</v>
      </c>
      <c r="M217" s="20">
        <f>ROUND(ROUND(J217, 2)*I217, 2)</f>
        <v>0</v>
      </c>
      <c r="P217" s="19">
        <v>1630.9</v>
      </c>
      <c r="S217" s="20">
        <f>ROUND(ROUND(P217, 2)*I217, 2)</f>
        <v>0</v>
      </c>
      <c r="V217" s="9">
        <f>ROUND(ROUND(P217, 2)/1.2, 2)</f>
        <v>1359.08</v>
      </c>
      <c r="Y217" s="9">
        <f t="shared" si="9"/>
        <v>0</v>
      </c>
      <c r="AD217" s="4" t="s">
        <v>724</v>
      </c>
      <c r="AE217" s="4" t="s">
        <v>725</v>
      </c>
      <c r="AF217" s="4" t="s">
        <v>673</v>
      </c>
    </row>
    <row r="218" spans="1:35" ht="36" x14ac:dyDescent="0.3">
      <c r="A218" s="10" t="s">
        <v>726</v>
      </c>
      <c r="B218" s="10"/>
      <c r="C218" s="16" t="s">
        <v>637</v>
      </c>
      <c r="D218" s="12"/>
      <c r="E218" s="12"/>
      <c r="F218" s="17" t="s">
        <v>227</v>
      </c>
      <c r="G218" s="18">
        <v>0.25</v>
      </c>
      <c r="H218" s="22"/>
      <c r="I218" s="22">
        <v>0</v>
      </c>
      <c r="J218" s="19">
        <v>40.270000000000003</v>
      </c>
      <c r="M218" s="20">
        <f>ROUND(ROUND(J218, 2)*I218, 2)</f>
        <v>0</v>
      </c>
      <c r="P218" s="19">
        <v>40.270000000000003</v>
      </c>
      <c r="S218" s="20">
        <f>ROUND(ROUND(P218, 2)*I218, 2)</f>
        <v>0</v>
      </c>
      <c r="V218" s="9">
        <f>ROUND(ROUND(P218, 2)/1.2, 2)</f>
        <v>33.56</v>
      </c>
      <c r="Y218" s="9">
        <f t="shared" si="9"/>
        <v>0</v>
      </c>
      <c r="AD218" s="4" t="s">
        <v>727</v>
      </c>
      <c r="AE218" s="4" t="s">
        <v>728</v>
      </c>
      <c r="AF218" s="4" t="s">
        <v>640</v>
      </c>
    </row>
    <row r="219" spans="1:35" ht="36" x14ac:dyDescent="0.3">
      <c r="A219" s="10" t="s">
        <v>729</v>
      </c>
      <c r="B219" s="10"/>
      <c r="C219" s="16" t="s">
        <v>552</v>
      </c>
      <c r="D219" s="12"/>
      <c r="E219" s="12"/>
      <c r="F219" s="17" t="s">
        <v>227</v>
      </c>
      <c r="G219" s="18">
        <v>0.15</v>
      </c>
      <c r="H219" s="18"/>
      <c r="I219" s="18">
        <v>0</v>
      </c>
      <c r="J219" s="19">
        <v>88.8</v>
      </c>
      <c r="M219" s="20">
        <f>ROUND(ROUND(J219, 2)*I219, 2)</f>
        <v>0</v>
      </c>
      <c r="P219" s="19">
        <v>88.8</v>
      </c>
      <c r="S219" s="20">
        <f>ROUND(ROUND(P219, 2)*I219, 2)</f>
        <v>0</v>
      </c>
      <c r="V219" s="9">
        <f>ROUND(ROUND(P219, 2)/1.2, 2)</f>
        <v>74</v>
      </c>
      <c r="Y219" s="9">
        <f t="shared" si="9"/>
        <v>0</v>
      </c>
      <c r="AD219" s="4" t="s">
        <v>730</v>
      </c>
      <c r="AE219" s="4" t="s">
        <v>731</v>
      </c>
      <c r="AF219" s="4" t="s">
        <v>555</v>
      </c>
    </row>
    <row r="220" spans="1:35" ht="54" x14ac:dyDescent="0.3">
      <c r="A220" s="10" t="s">
        <v>732</v>
      </c>
      <c r="B220" s="10" t="s">
        <v>660</v>
      </c>
      <c r="C220" s="11" t="s">
        <v>661</v>
      </c>
      <c r="D220" s="12"/>
      <c r="E220" s="12"/>
      <c r="F220" s="12" t="s">
        <v>59</v>
      </c>
      <c r="G220" s="13">
        <v>1</v>
      </c>
      <c r="H220" s="13"/>
      <c r="I220" s="13">
        <v>0</v>
      </c>
      <c r="J220" s="14">
        <v>0</v>
      </c>
      <c r="K220" s="15">
        <v>2785</v>
      </c>
      <c r="L220" s="14">
        <f>J220+ROUND(K220, 2)</f>
        <v>2785</v>
      </c>
      <c r="M220" s="14">
        <v>0</v>
      </c>
      <c r="N220" s="14">
        <v>0</v>
      </c>
      <c r="O220" s="14">
        <f>M220+N220</f>
        <v>0</v>
      </c>
      <c r="P220" s="14">
        <v>2000.82</v>
      </c>
      <c r="Q220" s="15">
        <v>2785</v>
      </c>
      <c r="R220" s="14">
        <f>P220+ROUND(Q220, 2)</f>
        <v>4785.82</v>
      </c>
      <c r="S220" s="14">
        <v>0</v>
      </c>
      <c r="T220" s="14">
        <v>0</v>
      </c>
      <c r="U220" s="14">
        <f>S220+T220</f>
        <v>0</v>
      </c>
      <c r="V220" s="9">
        <f>ROUND(P220 / 1.2, 2)</f>
        <v>1667.35</v>
      </c>
      <c r="W220" s="9">
        <f>ROUND(Q220 / 1.2, 2)</f>
        <v>2320.83</v>
      </c>
      <c r="X220" s="9">
        <f>ROUND(R220 / 1.2, 2)</f>
        <v>3988.18</v>
      </c>
      <c r="Y220" s="9">
        <f t="shared" si="9"/>
        <v>0</v>
      </c>
      <c r="Z220" s="9">
        <f>ROUND(T220 / 1.2, 2)</f>
        <v>0</v>
      </c>
      <c r="AA220" s="9">
        <f>Y220+Z220</f>
        <v>0</v>
      </c>
      <c r="AD220" s="4">
        <v>315889959</v>
      </c>
      <c r="AE220" s="4">
        <v>27245670</v>
      </c>
      <c r="AG220" s="4" t="s">
        <v>662</v>
      </c>
      <c r="AH220" s="4" t="s">
        <v>663</v>
      </c>
      <c r="AI220" s="4" t="s">
        <v>224</v>
      </c>
    </row>
    <row r="221" spans="1:35" ht="36" x14ac:dyDescent="0.3">
      <c r="A221" s="10" t="s">
        <v>733</v>
      </c>
      <c r="B221" s="10"/>
      <c r="C221" s="16" t="s">
        <v>552</v>
      </c>
      <c r="D221" s="12"/>
      <c r="E221" s="12"/>
      <c r="F221" s="17" t="s">
        <v>227</v>
      </c>
      <c r="G221" s="18">
        <v>0.15</v>
      </c>
      <c r="H221" s="18"/>
      <c r="I221" s="18">
        <v>0</v>
      </c>
      <c r="J221" s="19">
        <v>88.8</v>
      </c>
      <c r="M221" s="20">
        <f>ROUND(ROUND(J221, 2)*I221, 2)</f>
        <v>0</v>
      </c>
      <c r="P221" s="19">
        <v>88.8</v>
      </c>
      <c r="S221" s="20">
        <f>ROUND(ROUND(P221, 2)*I221, 2)</f>
        <v>0</v>
      </c>
      <c r="V221" s="9">
        <f>ROUND(ROUND(P221, 2)/1.2, 2)</f>
        <v>74</v>
      </c>
      <c r="Y221" s="9">
        <f t="shared" si="9"/>
        <v>0</v>
      </c>
      <c r="AD221" s="4" t="s">
        <v>734</v>
      </c>
      <c r="AE221" s="4" t="s">
        <v>735</v>
      </c>
      <c r="AF221" s="4" t="s">
        <v>555</v>
      </c>
    </row>
    <row r="222" spans="1:35" ht="36" x14ac:dyDescent="0.3">
      <c r="A222" s="10" t="s">
        <v>736</v>
      </c>
      <c r="B222" s="10"/>
      <c r="C222" s="16" t="s">
        <v>637</v>
      </c>
      <c r="D222" s="12"/>
      <c r="E222" s="12"/>
      <c r="F222" s="17" t="s">
        <v>227</v>
      </c>
      <c r="G222" s="18">
        <v>0.25</v>
      </c>
      <c r="H222" s="22"/>
      <c r="I222" s="22">
        <v>0</v>
      </c>
      <c r="J222" s="19">
        <v>40.270000000000003</v>
      </c>
      <c r="M222" s="20">
        <f>ROUND(ROUND(J222, 2)*I222, 2)</f>
        <v>0</v>
      </c>
      <c r="P222" s="19">
        <v>40.270000000000003</v>
      </c>
      <c r="S222" s="20">
        <f>ROUND(ROUND(P222, 2)*I222, 2)</f>
        <v>0</v>
      </c>
      <c r="V222" s="9">
        <f>ROUND(ROUND(P222, 2)/1.2, 2)</f>
        <v>33.56</v>
      </c>
      <c r="Y222" s="9">
        <f t="shared" si="9"/>
        <v>0</v>
      </c>
      <c r="AD222" s="4" t="s">
        <v>737</v>
      </c>
      <c r="AE222" s="4" t="s">
        <v>738</v>
      </c>
      <c r="AF222" s="4" t="s">
        <v>640</v>
      </c>
    </row>
    <row r="223" spans="1:35" ht="36" x14ac:dyDescent="0.3">
      <c r="A223" s="10" t="s">
        <v>739</v>
      </c>
      <c r="B223" s="10"/>
      <c r="C223" s="16" t="s">
        <v>670</v>
      </c>
      <c r="D223" s="12"/>
      <c r="E223" s="12"/>
      <c r="F223" s="17" t="s">
        <v>59</v>
      </c>
      <c r="G223" s="18">
        <v>1.2</v>
      </c>
      <c r="H223" s="22"/>
      <c r="I223" s="22">
        <v>0</v>
      </c>
      <c r="J223" s="19">
        <v>2021.25</v>
      </c>
      <c r="M223" s="20">
        <f>ROUND(ROUND(J223, 2)*I223, 2)</f>
        <v>0</v>
      </c>
      <c r="P223" s="19">
        <v>1630.9</v>
      </c>
      <c r="S223" s="20">
        <f>ROUND(ROUND(P223, 2)*I223, 2)</f>
        <v>0</v>
      </c>
      <c r="V223" s="9">
        <f>ROUND(ROUND(P223, 2)/1.2, 2)</f>
        <v>1359.08</v>
      </c>
      <c r="Y223" s="9">
        <f t="shared" si="9"/>
        <v>0</v>
      </c>
      <c r="AD223" s="4" t="s">
        <v>740</v>
      </c>
      <c r="AE223" s="4" t="s">
        <v>741</v>
      </c>
      <c r="AF223" s="4" t="s">
        <v>673</v>
      </c>
    </row>
    <row r="224" spans="1:35" ht="36" x14ac:dyDescent="0.3">
      <c r="A224" s="10" t="s">
        <v>742</v>
      </c>
      <c r="B224" s="10"/>
      <c r="C224" s="21" t="s">
        <v>665</v>
      </c>
      <c r="D224" s="12"/>
      <c r="E224" s="12"/>
      <c r="F224" s="17" t="s">
        <v>227</v>
      </c>
      <c r="G224" s="18">
        <v>1.2</v>
      </c>
      <c r="H224" s="22"/>
      <c r="I224" s="22">
        <v>0</v>
      </c>
      <c r="J224" s="19">
        <v>16.96</v>
      </c>
      <c r="M224" s="20">
        <f>ROUND(ROUND(J224, 2)*I224, 2)</f>
        <v>0</v>
      </c>
      <c r="P224" s="19">
        <v>16.96</v>
      </c>
      <c r="S224" s="20">
        <f>ROUND(ROUND(P224, 2)*I224, 2)</f>
        <v>0</v>
      </c>
      <c r="V224" s="9">
        <f>ROUND(ROUND(P224, 2)/1.2, 2)</f>
        <v>14.13</v>
      </c>
      <c r="Y224" s="9">
        <f t="shared" si="9"/>
        <v>0</v>
      </c>
      <c r="AD224" s="4" t="s">
        <v>743</v>
      </c>
      <c r="AE224" s="4" t="s">
        <v>744</v>
      </c>
      <c r="AF224" s="4" t="s">
        <v>668</v>
      </c>
    </row>
    <row r="225" spans="1:35" ht="54" x14ac:dyDescent="0.3">
      <c r="A225" s="10" t="s">
        <v>745</v>
      </c>
      <c r="B225" s="10" t="s">
        <v>660</v>
      </c>
      <c r="C225" s="11" t="s">
        <v>661</v>
      </c>
      <c r="D225" s="12"/>
      <c r="E225" s="12" t="s">
        <v>746</v>
      </c>
      <c r="F225" s="12" t="s">
        <v>59</v>
      </c>
      <c r="G225" s="13">
        <v>1</v>
      </c>
      <c r="H225" s="13"/>
      <c r="I225" s="13">
        <v>1132.5</v>
      </c>
      <c r="J225" s="14">
        <v>2468.2399999999998</v>
      </c>
      <c r="K225" s="15">
        <v>2785</v>
      </c>
      <c r="L225" s="14">
        <f>J225+ROUND(K225, 2)</f>
        <v>5253.24</v>
      </c>
      <c r="M225" s="14">
        <v>2795281.8</v>
      </c>
      <c r="N225" s="14">
        <v>3154012.5</v>
      </c>
      <c r="O225" s="14">
        <f>M225+N225</f>
        <v>5949294.2999999998</v>
      </c>
      <c r="P225" s="14">
        <v>2063.89</v>
      </c>
      <c r="Q225" s="15">
        <v>4177.5</v>
      </c>
      <c r="R225" s="14">
        <f>P225+ROUND(Q225, 2)</f>
        <v>6241.3899999999994</v>
      </c>
      <c r="S225" s="14">
        <v>2337355.4300000002</v>
      </c>
      <c r="T225" s="14">
        <v>4731018.75</v>
      </c>
      <c r="U225" s="14">
        <f>S225+T225</f>
        <v>7068374.1799999997</v>
      </c>
      <c r="V225" s="9">
        <f>ROUND(P225 / 1.2, 2)</f>
        <v>1719.91</v>
      </c>
      <c r="W225" s="9">
        <f>ROUND(Q225 / 1.2, 2)</f>
        <v>3481.25</v>
      </c>
      <c r="X225" s="9">
        <f>ROUND(R225 / 1.2, 2)</f>
        <v>5201.16</v>
      </c>
      <c r="Y225" s="9">
        <f t="shared" si="9"/>
        <v>1947796.19</v>
      </c>
      <c r="Z225" s="9">
        <f>ROUND(T225 / 1.2, 2)</f>
        <v>3942515.63</v>
      </c>
      <c r="AA225" s="9">
        <f>Y225+Z225</f>
        <v>5890311.8200000003</v>
      </c>
      <c r="AD225" s="4">
        <v>315889960</v>
      </c>
      <c r="AE225" s="4">
        <v>27245769</v>
      </c>
      <c r="AG225" s="4" t="s">
        <v>662</v>
      </c>
      <c r="AH225" s="4" t="s">
        <v>663</v>
      </c>
      <c r="AI225" s="4" t="s">
        <v>224</v>
      </c>
    </row>
    <row r="226" spans="1:35" ht="36" x14ac:dyDescent="0.3">
      <c r="A226" s="10" t="s">
        <v>747</v>
      </c>
      <c r="B226" s="10"/>
      <c r="C226" s="21" t="s">
        <v>665</v>
      </c>
      <c r="D226" s="12"/>
      <c r="E226" s="12"/>
      <c r="F226" s="17" t="s">
        <v>227</v>
      </c>
      <c r="G226" s="18">
        <v>1.2</v>
      </c>
      <c r="H226" s="22"/>
      <c r="I226" s="22">
        <v>1359</v>
      </c>
      <c r="J226" s="19">
        <v>16.12</v>
      </c>
      <c r="M226" s="20">
        <f>ROUND(ROUND(J226, 2)*I226, 2)</f>
        <v>21907.08</v>
      </c>
      <c r="P226" s="19">
        <v>16.12</v>
      </c>
      <c r="S226" s="20">
        <f>ROUND(ROUND(P226, 2)*I226, 2)</f>
        <v>21907.08</v>
      </c>
      <c r="V226" s="9">
        <f>ROUND(ROUND(P226, 2)/1.2, 2)</f>
        <v>13.43</v>
      </c>
      <c r="Y226" s="9">
        <f t="shared" si="9"/>
        <v>18255.900000000001</v>
      </c>
      <c r="AD226" s="4" t="s">
        <v>748</v>
      </c>
      <c r="AE226" s="4" t="s">
        <v>749</v>
      </c>
      <c r="AF226" s="4" t="s">
        <v>668</v>
      </c>
    </row>
    <row r="227" spans="1:35" ht="72" x14ac:dyDescent="0.3">
      <c r="A227" s="10" t="s">
        <v>750</v>
      </c>
      <c r="B227" s="10"/>
      <c r="C227" s="16" t="s">
        <v>670</v>
      </c>
      <c r="D227" s="12"/>
      <c r="E227" s="12" t="s">
        <v>751</v>
      </c>
      <c r="F227" s="17" t="s">
        <v>59</v>
      </c>
      <c r="G227" s="18">
        <v>1.2</v>
      </c>
      <c r="H227" s="22"/>
      <c r="I227" s="22">
        <v>1359</v>
      </c>
      <c r="J227" s="19">
        <v>2021.26</v>
      </c>
      <c r="M227" s="20">
        <f>ROUND(ROUND(J227, 2)*I227, 2)</f>
        <v>2746892.34</v>
      </c>
      <c r="P227" s="19">
        <v>1684.3</v>
      </c>
      <c r="S227" s="20">
        <f>ROUND(ROUND(P227, 2)*I227, 2)</f>
        <v>2288963.7000000002</v>
      </c>
      <c r="V227" s="9">
        <f>ROUND(ROUND(P227, 2)/1.2, 2)</f>
        <v>1403.58</v>
      </c>
      <c r="Y227" s="9">
        <f t="shared" si="9"/>
        <v>1907469.75</v>
      </c>
      <c r="AD227" s="4" t="s">
        <v>752</v>
      </c>
      <c r="AE227" s="4" t="s">
        <v>753</v>
      </c>
      <c r="AF227" s="4" t="s">
        <v>673</v>
      </c>
    </row>
    <row r="228" spans="1:35" ht="18" x14ac:dyDescent="0.3">
      <c r="A228" s="10" t="s">
        <v>754</v>
      </c>
      <c r="B228" s="10"/>
      <c r="C228" s="16" t="s">
        <v>637</v>
      </c>
      <c r="D228" s="12"/>
      <c r="E228" s="12"/>
      <c r="F228" s="17" t="s">
        <v>227</v>
      </c>
      <c r="G228" s="18">
        <v>0.25</v>
      </c>
      <c r="H228" s="22"/>
      <c r="I228" s="22">
        <v>283.125</v>
      </c>
      <c r="J228" s="19">
        <v>40.270000000000003</v>
      </c>
      <c r="M228" s="20">
        <f>ROUND(ROUND(J228, 2)*I228, 2)</f>
        <v>11401.44</v>
      </c>
      <c r="P228" s="19">
        <v>40.270000000000003</v>
      </c>
      <c r="S228" s="20">
        <f>ROUND(ROUND(P228, 2)*I228, 2)</f>
        <v>11401.44</v>
      </c>
      <c r="V228" s="9">
        <f>ROUND(ROUND(P228, 2)/1.2, 2)</f>
        <v>33.56</v>
      </c>
      <c r="Y228" s="9">
        <f t="shared" si="9"/>
        <v>9501.2000000000007</v>
      </c>
      <c r="AD228" s="4" t="s">
        <v>755</v>
      </c>
      <c r="AE228" s="4" t="s">
        <v>756</v>
      </c>
      <c r="AF228" s="4" t="s">
        <v>640</v>
      </c>
    </row>
    <row r="229" spans="1:35" ht="36" x14ac:dyDescent="0.3">
      <c r="A229" s="10" t="s">
        <v>757</v>
      </c>
      <c r="B229" s="10"/>
      <c r="C229" s="16" t="s">
        <v>552</v>
      </c>
      <c r="D229" s="12"/>
      <c r="E229" s="12"/>
      <c r="F229" s="17" t="s">
        <v>227</v>
      </c>
      <c r="G229" s="18">
        <v>0.15</v>
      </c>
      <c r="H229" s="18"/>
      <c r="I229" s="18">
        <v>169.875</v>
      </c>
      <c r="J229" s="19">
        <v>88.8</v>
      </c>
      <c r="M229" s="20">
        <f>ROUND(ROUND(J229, 2)*I229, 2)</f>
        <v>15084.9</v>
      </c>
      <c r="P229" s="19">
        <v>88.8</v>
      </c>
      <c r="S229" s="20">
        <f>ROUND(ROUND(P229, 2)*I229, 2)</f>
        <v>15084.9</v>
      </c>
      <c r="V229" s="9">
        <f>ROUND(ROUND(P229, 2)/1.2, 2)</f>
        <v>74</v>
      </c>
      <c r="Y229" s="9">
        <f t="shared" si="9"/>
        <v>12570.75</v>
      </c>
      <c r="AD229" s="4" t="s">
        <v>758</v>
      </c>
      <c r="AE229" s="4" t="s">
        <v>759</v>
      </c>
      <c r="AF229" s="4" t="s">
        <v>555</v>
      </c>
    </row>
    <row r="230" spans="1:35" ht="54" x14ac:dyDescent="0.3">
      <c r="A230" s="10" t="s">
        <v>760</v>
      </c>
      <c r="B230" s="10" t="s">
        <v>660</v>
      </c>
      <c r="C230" s="11" t="s">
        <v>661</v>
      </c>
      <c r="D230" s="12"/>
      <c r="E230" s="12" t="s">
        <v>761</v>
      </c>
      <c r="F230" s="12" t="s">
        <v>59</v>
      </c>
      <c r="G230" s="13">
        <v>1</v>
      </c>
      <c r="H230" s="13"/>
      <c r="I230" s="13">
        <v>31.2</v>
      </c>
      <c r="J230" s="14">
        <v>2468.2399999999998</v>
      </c>
      <c r="K230" s="15">
        <v>2785</v>
      </c>
      <c r="L230" s="14">
        <f>J230+ROUND(K230, 2)</f>
        <v>5253.24</v>
      </c>
      <c r="M230" s="14">
        <v>77009.09</v>
      </c>
      <c r="N230" s="14">
        <v>86892</v>
      </c>
      <c r="O230" s="14">
        <f>M230+N230</f>
        <v>163901.09</v>
      </c>
      <c r="P230" s="14">
        <v>2053.6799999999998</v>
      </c>
      <c r="Q230" s="15">
        <v>4177.5</v>
      </c>
      <c r="R230" s="14">
        <f>P230+ROUND(Q230, 2)</f>
        <v>6231.18</v>
      </c>
      <c r="S230" s="14">
        <v>64074.82</v>
      </c>
      <c r="T230" s="14">
        <v>130338</v>
      </c>
      <c r="U230" s="14">
        <f>S230+T230</f>
        <v>194412.82</v>
      </c>
      <c r="V230" s="9">
        <f>ROUND(P230 / 1.2, 2)</f>
        <v>1711.4</v>
      </c>
      <c r="W230" s="9">
        <f>ROUND(Q230 / 1.2, 2)</f>
        <v>3481.25</v>
      </c>
      <c r="X230" s="9">
        <f>ROUND(R230 / 1.2, 2)</f>
        <v>5192.6499999999996</v>
      </c>
      <c r="Y230" s="9">
        <f t="shared" si="9"/>
        <v>53395.68</v>
      </c>
      <c r="Z230" s="9">
        <f>ROUND(T230 / 1.2, 2)</f>
        <v>108615</v>
      </c>
      <c r="AA230" s="9">
        <f>Y230+Z230</f>
        <v>162010.68</v>
      </c>
      <c r="AD230" s="4">
        <v>315889961</v>
      </c>
      <c r="AE230" s="4">
        <v>27245774</v>
      </c>
      <c r="AG230" s="4" t="s">
        <v>662</v>
      </c>
      <c r="AH230" s="4" t="s">
        <v>663</v>
      </c>
      <c r="AI230" s="4" t="s">
        <v>224</v>
      </c>
    </row>
    <row r="231" spans="1:35" ht="36" x14ac:dyDescent="0.3">
      <c r="A231" s="10" t="s">
        <v>762</v>
      </c>
      <c r="B231" s="10"/>
      <c r="C231" s="16" t="s">
        <v>552</v>
      </c>
      <c r="D231" s="12"/>
      <c r="E231" s="12"/>
      <c r="F231" s="17" t="s">
        <v>227</v>
      </c>
      <c r="G231" s="18">
        <v>0.15</v>
      </c>
      <c r="H231" s="18"/>
      <c r="I231" s="18">
        <v>4.68</v>
      </c>
      <c r="J231" s="19">
        <v>88.8</v>
      </c>
      <c r="M231" s="20">
        <f>ROUND(ROUND(J231, 2)*I231, 2)</f>
        <v>415.58</v>
      </c>
      <c r="P231" s="19">
        <v>88.8</v>
      </c>
      <c r="S231" s="20">
        <f>ROUND(ROUND(P231, 2)*I231, 2)</f>
        <v>415.58</v>
      </c>
      <c r="V231" s="9">
        <f>ROUND(ROUND(P231, 2)/1.2, 2)</f>
        <v>74</v>
      </c>
      <c r="Y231" s="9">
        <f t="shared" si="9"/>
        <v>346.32</v>
      </c>
      <c r="AD231" s="4" t="s">
        <v>763</v>
      </c>
      <c r="AE231" s="4" t="s">
        <v>764</v>
      </c>
      <c r="AF231" s="4" t="s">
        <v>555</v>
      </c>
    </row>
    <row r="232" spans="1:35" ht="18" x14ac:dyDescent="0.3">
      <c r="A232" s="10" t="s">
        <v>765</v>
      </c>
      <c r="B232" s="10"/>
      <c r="C232" s="16" t="s">
        <v>637</v>
      </c>
      <c r="D232" s="12"/>
      <c r="E232" s="12"/>
      <c r="F232" s="17" t="s">
        <v>227</v>
      </c>
      <c r="G232" s="18">
        <v>0.25</v>
      </c>
      <c r="H232" s="22"/>
      <c r="I232" s="22">
        <v>7.8</v>
      </c>
      <c r="J232" s="19">
        <v>40.270000000000003</v>
      </c>
      <c r="M232" s="20">
        <f>ROUND(ROUND(J232, 2)*I232, 2)</f>
        <v>314.11</v>
      </c>
      <c r="P232" s="19">
        <v>40.270000000000003</v>
      </c>
      <c r="S232" s="20">
        <f>ROUND(ROUND(P232, 2)*I232, 2)</f>
        <v>314.11</v>
      </c>
      <c r="V232" s="9">
        <f>ROUND(ROUND(P232, 2)/1.2, 2)</f>
        <v>33.56</v>
      </c>
      <c r="Y232" s="9">
        <f t="shared" si="9"/>
        <v>261.76</v>
      </c>
      <c r="AD232" s="4" t="s">
        <v>766</v>
      </c>
      <c r="AE232" s="4" t="s">
        <v>767</v>
      </c>
      <c r="AF232" s="4" t="s">
        <v>640</v>
      </c>
    </row>
    <row r="233" spans="1:35" ht="54" x14ac:dyDescent="0.3">
      <c r="A233" s="10" t="s">
        <v>768</v>
      </c>
      <c r="B233" s="10"/>
      <c r="C233" s="16" t="s">
        <v>670</v>
      </c>
      <c r="D233" s="12"/>
      <c r="E233" s="12" t="s">
        <v>769</v>
      </c>
      <c r="F233" s="17" t="s">
        <v>59</v>
      </c>
      <c r="G233" s="18">
        <v>1.2</v>
      </c>
      <c r="H233" s="22"/>
      <c r="I233" s="22">
        <v>37.44</v>
      </c>
      <c r="J233" s="19">
        <v>2021.26</v>
      </c>
      <c r="M233" s="20">
        <f>ROUND(ROUND(J233, 2)*I233, 2)</f>
        <v>75675.97</v>
      </c>
      <c r="P233" s="19">
        <v>1675.8</v>
      </c>
      <c r="S233" s="20">
        <f>ROUND(ROUND(P233, 2)*I233, 2)</f>
        <v>62741.95</v>
      </c>
      <c r="V233" s="9">
        <f>ROUND(ROUND(P233, 2)/1.2, 2)</f>
        <v>1396.5</v>
      </c>
      <c r="Y233" s="9">
        <f t="shared" si="9"/>
        <v>52284.959999999999</v>
      </c>
      <c r="AD233" s="4" t="s">
        <v>770</v>
      </c>
      <c r="AE233" s="4" t="s">
        <v>771</v>
      </c>
      <c r="AF233" s="4" t="s">
        <v>673</v>
      </c>
    </row>
    <row r="234" spans="1:35" ht="36" x14ac:dyDescent="0.3">
      <c r="A234" s="10" t="s">
        <v>772</v>
      </c>
      <c r="B234" s="10"/>
      <c r="C234" s="21" t="s">
        <v>665</v>
      </c>
      <c r="D234" s="12"/>
      <c r="E234" s="12"/>
      <c r="F234" s="17" t="s">
        <v>227</v>
      </c>
      <c r="G234" s="18">
        <v>1.2</v>
      </c>
      <c r="H234" s="22"/>
      <c r="I234" s="22">
        <v>37.44</v>
      </c>
      <c r="J234" s="19">
        <v>16.12</v>
      </c>
      <c r="M234" s="20">
        <f>ROUND(ROUND(J234, 2)*I234, 2)</f>
        <v>603.53</v>
      </c>
      <c r="P234" s="19">
        <v>16.11</v>
      </c>
      <c r="S234" s="20">
        <f>ROUND(ROUND(P234, 2)*I234, 2)</f>
        <v>603.16</v>
      </c>
      <c r="V234" s="9">
        <f>ROUND(ROUND(P234, 2)/1.2, 2)</f>
        <v>13.43</v>
      </c>
      <c r="Y234" s="9">
        <f t="shared" si="9"/>
        <v>502.63</v>
      </c>
      <c r="AD234" s="4" t="s">
        <v>773</v>
      </c>
      <c r="AE234" s="4" t="s">
        <v>774</v>
      </c>
      <c r="AF234" s="4" t="s">
        <v>668</v>
      </c>
    </row>
    <row r="235" spans="1:35" ht="54" x14ac:dyDescent="0.3">
      <c r="A235" s="10" t="s">
        <v>775</v>
      </c>
      <c r="B235" s="10" t="s">
        <v>660</v>
      </c>
      <c r="C235" s="11" t="s">
        <v>661</v>
      </c>
      <c r="D235" s="12"/>
      <c r="E235" s="12" t="s">
        <v>776</v>
      </c>
      <c r="F235" s="12" t="s">
        <v>59</v>
      </c>
      <c r="G235" s="13">
        <v>1</v>
      </c>
      <c r="H235" s="13"/>
      <c r="I235" s="13">
        <v>560.4</v>
      </c>
      <c r="J235" s="14">
        <v>2468.2399999999998</v>
      </c>
      <c r="K235" s="15">
        <v>2785</v>
      </c>
      <c r="L235" s="14">
        <f>J235+ROUND(K235, 2)</f>
        <v>5253.24</v>
      </c>
      <c r="M235" s="14">
        <v>1383201.7</v>
      </c>
      <c r="N235" s="14">
        <v>1560714</v>
      </c>
      <c r="O235" s="14">
        <f>M235+N235</f>
        <v>2943915.7</v>
      </c>
      <c r="P235" s="14">
        <v>1989.72</v>
      </c>
      <c r="Q235" s="15">
        <v>4177.5</v>
      </c>
      <c r="R235" s="14">
        <f>P235+ROUND(Q235, 2)</f>
        <v>6167.22</v>
      </c>
      <c r="S235" s="14">
        <v>1115039.0900000001</v>
      </c>
      <c r="T235" s="14">
        <v>2341071</v>
      </c>
      <c r="U235" s="14">
        <f>S235+T235</f>
        <v>3456110.09</v>
      </c>
      <c r="V235" s="9">
        <f>ROUND(P235 / 1.2, 2)</f>
        <v>1658.1</v>
      </c>
      <c r="W235" s="9">
        <f>ROUND(Q235 / 1.2, 2)</f>
        <v>3481.25</v>
      </c>
      <c r="X235" s="9">
        <f>ROUND(R235 / 1.2, 2)</f>
        <v>5139.3500000000004</v>
      </c>
      <c r="Y235" s="9">
        <f t="shared" si="9"/>
        <v>929199.24</v>
      </c>
      <c r="Z235" s="9">
        <f>ROUND(T235 / 1.2, 2)</f>
        <v>1950892.5</v>
      </c>
      <c r="AA235" s="9">
        <f>Y235+Z235</f>
        <v>2880091.74</v>
      </c>
      <c r="AD235" s="4">
        <v>315889962</v>
      </c>
      <c r="AE235" s="4">
        <v>27245775</v>
      </c>
      <c r="AG235" s="4" t="s">
        <v>662</v>
      </c>
      <c r="AH235" s="4" t="s">
        <v>663</v>
      </c>
      <c r="AI235" s="4" t="s">
        <v>224</v>
      </c>
    </row>
    <row r="236" spans="1:35" ht="36" x14ac:dyDescent="0.3">
      <c r="A236" s="10" t="s">
        <v>777</v>
      </c>
      <c r="B236" s="10"/>
      <c r="C236" s="21" t="s">
        <v>665</v>
      </c>
      <c r="D236" s="12"/>
      <c r="E236" s="12"/>
      <c r="F236" s="17" t="s">
        <v>227</v>
      </c>
      <c r="G236" s="18">
        <v>1.2</v>
      </c>
      <c r="H236" s="22"/>
      <c r="I236" s="22">
        <v>672.48</v>
      </c>
      <c r="J236" s="19">
        <v>16.12</v>
      </c>
      <c r="M236" s="20">
        <f>ROUND(ROUND(J236, 2)*I236, 2)</f>
        <v>10840.38</v>
      </c>
      <c r="P236" s="19">
        <v>16.11</v>
      </c>
      <c r="S236" s="20">
        <f>ROUND(ROUND(P236, 2)*I236, 2)</f>
        <v>10833.65</v>
      </c>
      <c r="V236" s="9">
        <f>ROUND(ROUND(P236, 2)/1.2, 2)</f>
        <v>13.43</v>
      </c>
      <c r="Y236" s="9">
        <f t="shared" si="9"/>
        <v>9028.0400000000009</v>
      </c>
      <c r="AD236" s="4" t="s">
        <v>778</v>
      </c>
      <c r="AE236" s="4" t="s">
        <v>779</v>
      </c>
      <c r="AF236" s="4" t="s">
        <v>668</v>
      </c>
    </row>
    <row r="237" spans="1:35" ht="54" x14ac:dyDescent="0.3">
      <c r="A237" s="10" t="s">
        <v>780</v>
      </c>
      <c r="B237" s="10"/>
      <c r="C237" s="16" t="s">
        <v>670</v>
      </c>
      <c r="D237" s="12"/>
      <c r="E237" s="12" t="s">
        <v>781</v>
      </c>
      <c r="F237" s="17" t="s">
        <v>59</v>
      </c>
      <c r="G237" s="18">
        <v>1.2</v>
      </c>
      <c r="H237" s="22"/>
      <c r="I237" s="22">
        <v>672.48</v>
      </c>
      <c r="J237" s="19">
        <v>2021.26</v>
      </c>
      <c r="M237" s="20">
        <f>ROUND(ROUND(J237, 2)*I237, 2)</f>
        <v>1359256.92</v>
      </c>
      <c r="P237" s="19">
        <v>1622.5</v>
      </c>
      <c r="S237" s="20">
        <f>ROUND(ROUND(P237, 2)*I237, 2)</f>
        <v>1091098.8</v>
      </c>
      <c r="V237" s="9">
        <f>ROUND(ROUND(P237, 2)/1.2, 2)</f>
        <v>1352.08</v>
      </c>
      <c r="Y237" s="9">
        <f t="shared" si="9"/>
        <v>909249</v>
      </c>
      <c r="AD237" s="4" t="s">
        <v>782</v>
      </c>
      <c r="AE237" s="4" t="s">
        <v>783</v>
      </c>
      <c r="AF237" s="4" t="s">
        <v>673</v>
      </c>
    </row>
    <row r="238" spans="1:35" ht="18" x14ac:dyDescent="0.3">
      <c r="A238" s="10" t="s">
        <v>784</v>
      </c>
      <c r="B238" s="10"/>
      <c r="C238" s="16" t="s">
        <v>637</v>
      </c>
      <c r="D238" s="12"/>
      <c r="E238" s="12"/>
      <c r="F238" s="17" t="s">
        <v>227</v>
      </c>
      <c r="G238" s="18">
        <v>0.25</v>
      </c>
      <c r="H238" s="22"/>
      <c r="I238" s="22">
        <v>140.1</v>
      </c>
      <c r="J238" s="19">
        <v>40.270000000000003</v>
      </c>
      <c r="M238" s="20">
        <f>ROUND(ROUND(J238, 2)*I238, 2)</f>
        <v>5641.83</v>
      </c>
      <c r="P238" s="19">
        <v>40.270000000000003</v>
      </c>
      <c r="S238" s="20">
        <f>ROUND(ROUND(P238, 2)*I238, 2)</f>
        <v>5641.83</v>
      </c>
      <c r="V238" s="9">
        <f>ROUND(ROUND(P238, 2)/1.2, 2)</f>
        <v>33.56</v>
      </c>
      <c r="Y238" s="9">
        <f t="shared" si="9"/>
        <v>4701.53</v>
      </c>
      <c r="AD238" s="4" t="s">
        <v>785</v>
      </c>
      <c r="AE238" s="4" t="s">
        <v>786</v>
      </c>
      <c r="AF238" s="4" t="s">
        <v>640</v>
      </c>
    </row>
    <row r="239" spans="1:35" ht="36" x14ac:dyDescent="0.3">
      <c r="A239" s="10" t="s">
        <v>787</v>
      </c>
      <c r="B239" s="10"/>
      <c r="C239" s="16" t="s">
        <v>552</v>
      </c>
      <c r="D239" s="12"/>
      <c r="E239" s="12"/>
      <c r="F239" s="17" t="s">
        <v>227</v>
      </c>
      <c r="G239" s="18">
        <v>0.15</v>
      </c>
      <c r="H239" s="18"/>
      <c r="I239" s="18">
        <v>84.06</v>
      </c>
      <c r="J239" s="19">
        <v>88.8</v>
      </c>
      <c r="M239" s="20">
        <f>ROUND(ROUND(J239, 2)*I239, 2)</f>
        <v>7464.53</v>
      </c>
      <c r="P239" s="19">
        <v>88.8</v>
      </c>
      <c r="S239" s="20">
        <f>ROUND(ROUND(P239, 2)*I239, 2)</f>
        <v>7464.53</v>
      </c>
      <c r="V239" s="9">
        <f>ROUND(ROUND(P239, 2)/1.2, 2)</f>
        <v>74</v>
      </c>
      <c r="Y239" s="9">
        <f t="shared" si="9"/>
        <v>6220.44</v>
      </c>
      <c r="AD239" s="4" t="s">
        <v>788</v>
      </c>
      <c r="AE239" s="4" t="s">
        <v>789</v>
      </c>
      <c r="AF239" s="4" t="s">
        <v>555</v>
      </c>
    </row>
    <row r="240" spans="1:35" ht="54" x14ac:dyDescent="0.3">
      <c r="A240" s="10" t="s">
        <v>790</v>
      </c>
      <c r="B240" s="10" t="s">
        <v>660</v>
      </c>
      <c r="C240" s="11" t="s">
        <v>661</v>
      </c>
      <c r="D240" s="12"/>
      <c r="E240" s="12" t="s">
        <v>791</v>
      </c>
      <c r="F240" s="12" t="s">
        <v>59</v>
      </c>
      <c r="G240" s="13">
        <v>1</v>
      </c>
      <c r="H240" s="13"/>
      <c r="I240" s="13">
        <v>28</v>
      </c>
      <c r="J240" s="14">
        <v>2468.2399999999998</v>
      </c>
      <c r="K240" s="15">
        <v>2785</v>
      </c>
      <c r="L240" s="14">
        <f>J240+ROUND(K240, 2)</f>
        <v>5253.24</v>
      </c>
      <c r="M240" s="14">
        <v>69110.720000000001</v>
      </c>
      <c r="N240" s="14">
        <v>77980</v>
      </c>
      <c r="O240" s="14">
        <f>M240+N240</f>
        <v>147090.72</v>
      </c>
      <c r="P240" s="14">
        <v>2074.44</v>
      </c>
      <c r="Q240" s="15">
        <v>4177.5</v>
      </c>
      <c r="R240" s="14">
        <f>P240+ROUND(Q240, 2)</f>
        <v>6251.9400000000005</v>
      </c>
      <c r="S240" s="14">
        <v>58084.32</v>
      </c>
      <c r="T240" s="14">
        <v>116970</v>
      </c>
      <c r="U240" s="14">
        <f>S240+T240</f>
        <v>175054.32</v>
      </c>
      <c r="V240" s="9">
        <f>ROUND(P240 / 1.2, 2)</f>
        <v>1728.7</v>
      </c>
      <c r="W240" s="9">
        <f>ROUND(Q240 / 1.2, 2)</f>
        <v>3481.25</v>
      </c>
      <c r="X240" s="9">
        <f>ROUND(R240 / 1.2, 2)</f>
        <v>5209.95</v>
      </c>
      <c r="Y240" s="9">
        <f t="shared" si="9"/>
        <v>48403.6</v>
      </c>
      <c r="Z240" s="9">
        <f>ROUND(T240 / 1.2, 2)</f>
        <v>97475</v>
      </c>
      <c r="AA240" s="9">
        <f>Y240+Z240</f>
        <v>145878.6</v>
      </c>
      <c r="AD240" s="4">
        <v>315889963</v>
      </c>
      <c r="AE240" s="4">
        <v>27245776</v>
      </c>
      <c r="AG240" s="4" t="s">
        <v>662</v>
      </c>
      <c r="AH240" s="4" t="s">
        <v>663</v>
      </c>
      <c r="AI240" s="4" t="s">
        <v>224</v>
      </c>
    </row>
    <row r="241" spans="1:35" ht="36" x14ac:dyDescent="0.3">
      <c r="A241" s="10" t="s">
        <v>792</v>
      </c>
      <c r="B241" s="10"/>
      <c r="C241" s="16" t="s">
        <v>552</v>
      </c>
      <c r="D241" s="12"/>
      <c r="E241" s="12"/>
      <c r="F241" s="17" t="s">
        <v>227</v>
      </c>
      <c r="G241" s="18">
        <v>0.15</v>
      </c>
      <c r="H241" s="18"/>
      <c r="I241" s="18">
        <v>4.2</v>
      </c>
      <c r="J241" s="19">
        <v>88.8</v>
      </c>
      <c r="M241" s="20">
        <f>ROUND(ROUND(J241, 2)*I241, 2)</f>
        <v>372.96</v>
      </c>
      <c r="P241" s="19">
        <v>88.8</v>
      </c>
      <c r="S241" s="20">
        <f>ROUND(ROUND(P241, 2)*I241, 2)</f>
        <v>372.96</v>
      </c>
      <c r="V241" s="9">
        <f>ROUND(ROUND(P241, 2)/1.2, 2)</f>
        <v>74</v>
      </c>
      <c r="Y241" s="9">
        <f t="shared" si="9"/>
        <v>310.8</v>
      </c>
      <c r="AD241" s="4" t="s">
        <v>793</v>
      </c>
      <c r="AE241" s="4" t="s">
        <v>794</v>
      </c>
      <c r="AF241" s="4" t="s">
        <v>555</v>
      </c>
    </row>
    <row r="242" spans="1:35" ht="18" x14ac:dyDescent="0.3">
      <c r="A242" s="10" t="s">
        <v>795</v>
      </c>
      <c r="B242" s="10"/>
      <c r="C242" s="16" t="s">
        <v>637</v>
      </c>
      <c r="D242" s="12"/>
      <c r="E242" s="12"/>
      <c r="F242" s="17" t="s">
        <v>227</v>
      </c>
      <c r="G242" s="18">
        <v>0.25</v>
      </c>
      <c r="H242" s="22"/>
      <c r="I242" s="22">
        <v>7</v>
      </c>
      <c r="J242" s="19">
        <v>40.270000000000003</v>
      </c>
      <c r="M242" s="20">
        <f>ROUND(ROUND(J242, 2)*I242, 2)</f>
        <v>281.89</v>
      </c>
      <c r="P242" s="19">
        <v>40.270000000000003</v>
      </c>
      <c r="S242" s="20">
        <f>ROUND(ROUND(P242, 2)*I242, 2)</f>
        <v>281.89</v>
      </c>
      <c r="V242" s="9">
        <f>ROUND(ROUND(P242, 2)/1.2, 2)</f>
        <v>33.56</v>
      </c>
      <c r="Y242" s="9">
        <f t="shared" si="9"/>
        <v>234.91</v>
      </c>
      <c r="AD242" s="4" t="s">
        <v>796</v>
      </c>
      <c r="AE242" s="4" t="s">
        <v>797</v>
      </c>
      <c r="AF242" s="4" t="s">
        <v>640</v>
      </c>
    </row>
    <row r="243" spans="1:35" ht="54" x14ac:dyDescent="0.3">
      <c r="A243" s="10" t="s">
        <v>798</v>
      </c>
      <c r="B243" s="10"/>
      <c r="C243" s="16" t="s">
        <v>670</v>
      </c>
      <c r="D243" s="12"/>
      <c r="E243" s="12" t="s">
        <v>799</v>
      </c>
      <c r="F243" s="17" t="s">
        <v>59</v>
      </c>
      <c r="G243" s="18">
        <v>1.2</v>
      </c>
      <c r="H243" s="22"/>
      <c r="I243" s="22">
        <v>33.6</v>
      </c>
      <c r="J243" s="19">
        <v>2021.26</v>
      </c>
      <c r="M243" s="20">
        <f>ROUND(ROUND(J243, 2)*I243, 2)</f>
        <v>67914.34</v>
      </c>
      <c r="P243" s="19">
        <v>1693.1</v>
      </c>
      <c r="S243" s="20">
        <f>ROUND(ROUND(P243, 2)*I243, 2)</f>
        <v>56888.160000000003</v>
      </c>
      <c r="V243" s="9">
        <f>ROUND(ROUND(P243, 2)/1.2, 2)</f>
        <v>1410.92</v>
      </c>
      <c r="Y243" s="9">
        <f t="shared" si="9"/>
        <v>47406.8</v>
      </c>
      <c r="AD243" s="4" t="s">
        <v>800</v>
      </c>
      <c r="AE243" s="4" t="s">
        <v>801</v>
      </c>
      <c r="AF243" s="4" t="s">
        <v>673</v>
      </c>
    </row>
    <row r="244" spans="1:35" ht="36" x14ac:dyDescent="0.3">
      <c r="A244" s="10" t="s">
        <v>802</v>
      </c>
      <c r="B244" s="10"/>
      <c r="C244" s="21" t="s">
        <v>665</v>
      </c>
      <c r="D244" s="12"/>
      <c r="E244" s="12"/>
      <c r="F244" s="17" t="s">
        <v>227</v>
      </c>
      <c r="G244" s="18">
        <v>1.2</v>
      </c>
      <c r="H244" s="22"/>
      <c r="I244" s="22">
        <v>33.6</v>
      </c>
      <c r="J244" s="19">
        <v>16.12</v>
      </c>
      <c r="M244" s="20">
        <f>ROUND(ROUND(J244, 2)*I244, 2)</f>
        <v>541.63</v>
      </c>
      <c r="P244" s="19">
        <v>16.11</v>
      </c>
      <c r="S244" s="20">
        <f>ROUND(ROUND(P244, 2)*I244, 2)</f>
        <v>541.29999999999995</v>
      </c>
      <c r="V244" s="9">
        <f>ROUND(ROUND(P244, 2)/1.2, 2)</f>
        <v>13.43</v>
      </c>
      <c r="Y244" s="9">
        <f t="shared" si="9"/>
        <v>451.08</v>
      </c>
      <c r="AD244" s="4" t="s">
        <v>803</v>
      </c>
      <c r="AE244" s="4" t="s">
        <v>804</v>
      </c>
      <c r="AF244" s="4" t="s">
        <v>668</v>
      </c>
    </row>
    <row r="245" spans="1:35" ht="54" x14ac:dyDescent="0.3">
      <c r="A245" s="10" t="s">
        <v>805</v>
      </c>
      <c r="B245" s="10" t="s">
        <v>660</v>
      </c>
      <c r="C245" s="11" t="s">
        <v>661</v>
      </c>
      <c r="D245" s="12"/>
      <c r="E245" s="12" t="s">
        <v>806</v>
      </c>
      <c r="F245" s="12" t="s">
        <v>59</v>
      </c>
      <c r="G245" s="13">
        <v>1</v>
      </c>
      <c r="H245" s="13"/>
      <c r="I245" s="13">
        <v>207.1</v>
      </c>
      <c r="J245" s="14">
        <v>2468.2399999999998</v>
      </c>
      <c r="K245" s="15">
        <v>2785</v>
      </c>
      <c r="L245" s="14">
        <f>J245+ROUND(K245, 2)</f>
        <v>5253.24</v>
      </c>
      <c r="M245" s="14">
        <v>511172.5</v>
      </c>
      <c r="N245" s="14">
        <v>576773.5</v>
      </c>
      <c r="O245" s="14">
        <f>M245+N245</f>
        <v>1087946</v>
      </c>
      <c r="P245" s="14">
        <v>1999.8</v>
      </c>
      <c r="Q245" s="15">
        <v>4177.5</v>
      </c>
      <c r="R245" s="14">
        <f>P245+ROUND(Q245, 2)</f>
        <v>6177.3</v>
      </c>
      <c r="S245" s="14">
        <v>414158.58</v>
      </c>
      <c r="T245" s="14">
        <v>865160.25</v>
      </c>
      <c r="U245" s="14">
        <f>S245+T245</f>
        <v>1279318.83</v>
      </c>
      <c r="V245" s="9">
        <f>ROUND(P245 / 1.2, 2)</f>
        <v>1666.5</v>
      </c>
      <c r="W245" s="9">
        <f>ROUND(Q245 / 1.2, 2)</f>
        <v>3481.25</v>
      </c>
      <c r="X245" s="9">
        <f>ROUND(R245 / 1.2, 2)</f>
        <v>5147.75</v>
      </c>
      <c r="Y245" s="9">
        <f t="shared" si="9"/>
        <v>345132.15</v>
      </c>
      <c r="Z245" s="9">
        <f>ROUND(T245 / 1.2, 2)</f>
        <v>720966.88</v>
      </c>
      <c r="AA245" s="9">
        <f>Y245+Z245</f>
        <v>1066099.03</v>
      </c>
      <c r="AD245" s="4">
        <v>315889964</v>
      </c>
      <c r="AE245" s="4">
        <v>27245773</v>
      </c>
      <c r="AG245" s="4" t="s">
        <v>662</v>
      </c>
      <c r="AH245" s="4" t="s">
        <v>663</v>
      </c>
      <c r="AI245" s="4" t="s">
        <v>224</v>
      </c>
    </row>
    <row r="246" spans="1:35" ht="36" x14ac:dyDescent="0.3">
      <c r="A246" s="10" t="s">
        <v>807</v>
      </c>
      <c r="B246" s="10"/>
      <c r="C246" s="21" t="s">
        <v>665</v>
      </c>
      <c r="D246" s="12"/>
      <c r="E246" s="12"/>
      <c r="F246" s="17" t="s">
        <v>227</v>
      </c>
      <c r="G246" s="18">
        <v>1.2</v>
      </c>
      <c r="H246" s="22"/>
      <c r="I246" s="22">
        <v>248.52</v>
      </c>
      <c r="J246" s="19">
        <v>16.12</v>
      </c>
      <c r="M246" s="20">
        <f>ROUND(ROUND(J246, 2)*I246, 2)</f>
        <v>4006.14</v>
      </c>
      <c r="P246" s="19">
        <v>16.11</v>
      </c>
      <c r="S246" s="20">
        <f>ROUND(ROUND(P246, 2)*I246, 2)</f>
        <v>4003.66</v>
      </c>
      <c r="V246" s="9">
        <f>ROUND(ROUND(P246, 2)/1.2, 2)</f>
        <v>13.43</v>
      </c>
      <c r="Y246" s="9">
        <f t="shared" si="9"/>
        <v>3336.38</v>
      </c>
      <c r="AD246" s="4" t="s">
        <v>808</v>
      </c>
      <c r="AE246" s="4" t="s">
        <v>809</v>
      </c>
      <c r="AF246" s="4" t="s">
        <v>668</v>
      </c>
    </row>
    <row r="247" spans="1:35" ht="54" x14ac:dyDescent="0.3">
      <c r="A247" s="10" t="s">
        <v>810</v>
      </c>
      <c r="B247" s="10"/>
      <c r="C247" s="16" t="s">
        <v>670</v>
      </c>
      <c r="D247" s="12"/>
      <c r="E247" s="12" t="s">
        <v>811</v>
      </c>
      <c r="F247" s="17" t="s">
        <v>59</v>
      </c>
      <c r="G247" s="18">
        <v>1.2</v>
      </c>
      <c r="H247" s="22"/>
      <c r="I247" s="22">
        <v>248.52</v>
      </c>
      <c r="J247" s="19">
        <v>2021.26</v>
      </c>
      <c r="M247" s="20">
        <f>ROUND(ROUND(J247, 2)*I247, 2)</f>
        <v>502323.54</v>
      </c>
      <c r="P247" s="19">
        <v>1630.9</v>
      </c>
      <c r="S247" s="20">
        <f>ROUND(ROUND(P247, 2)*I247, 2)</f>
        <v>405311.27</v>
      </c>
      <c r="V247" s="9">
        <f>ROUND(ROUND(P247, 2)/1.2, 2)</f>
        <v>1359.08</v>
      </c>
      <c r="Y247" s="9">
        <f t="shared" si="9"/>
        <v>337759.39</v>
      </c>
      <c r="AD247" s="4" t="s">
        <v>812</v>
      </c>
      <c r="AE247" s="4" t="s">
        <v>813</v>
      </c>
      <c r="AF247" s="4" t="s">
        <v>673</v>
      </c>
    </row>
    <row r="248" spans="1:35" ht="18" x14ac:dyDescent="0.3">
      <c r="A248" s="10" t="s">
        <v>814</v>
      </c>
      <c r="B248" s="10"/>
      <c r="C248" s="16" t="s">
        <v>637</v>
      </c>
      <c r="D248" s="12"/>
      <c r="E248" s="12"/>
      <c r="F248" s="17" t="s">
        <v>227</v>
      </c>
      <c r="G248" s="18">
        <v>0.25</v>
      </c>
      <c r="H248" s="22"/>
      <c r="I248" s="22">
        <v>51.774999999999999</v>
      </c>
      <c r="J248" s="19">
        <v>40.270000000000003</v>
      </c>
      <c r="M248" s="20">
        <f>ROUND(ROUND(J248, 2)*I248, 2)</f>
        <v>2084.98</v>
      </c>
      <c r="P248" s="19">
        <v>40.270000000000003</v>
      </c>
      <c r="S248" s="20">
        <f>ROUND(ROUND(P248, 2)*I248, 2)</f>
        <v>2084.98</v>
      </c>
      <c r="V248" s="9">
        <f>ROUND(ROUND(P248, 2)/1.2, 2)</f>
        <v>33.56</v>
      </c>
      <c r="Y248" s="9">
        <f t="shared" si="9"/>
        <v>1737.48</v>
      </c>
      <c r="AD248" s="4" t="s">
        <v>815</v>
      </c>
      <c r="AE248" s="4" t="s">
        <v>816</v>
      </c>
      <c r="AF248" s="4" t="s">
        <v>640</v>
      </c>
    </row>
    <row r="249" spans="1:35" ht="36" x14ac:dyDescent="0.3">
      <c r="A249" s="10" t="s">
        <v>817</v>
      </c>
      <c r="B249" s="10"/>
      <c r="C249" s="16" t="s">
        <v>552</v>
      </c>
      <c r="D249" s="12"/>
      <c r="E249" s="12"/>
      <c r="F249" s="17" t="s">
        <v>227</v>
      </c>
      <c r="G249" s="18">
        <v>0.15</v>
      </c>
      <c r="H249" s="18"/>
      <c r="I249" s="18">
        <v>31.065000000000001</v>
      </c>
      <c r="J249" s="19">
        <v>88.8</v>
      </c>
      <c r="M249" s="20">
        <f>ROUND(ROUND(J249, 2)*I249, 2)</f>
        <v>2758.57</v>
      </c>
      <c r="P249" s="19">
        <v>88.8</v>
      </c>
      <c r="S249" s="20">
        <f>ROUND(ROUND(P249, 2)*I249, 2)</f>
        <v>2758.57</v>
      </c>
      <c r="V249" s="9">
        <f>ROUND(ROUND(P249, 2)/1.2, 2)</f>
        <v>74</v>
      </c>
      <c r="Y249" s="9">
        <f t="shared" si="9"/>
        <v>2298.81</v>
      </c>
      <c r="AD249" s="4" t="s">
        <v>818</v>
      </c>
      <c r="AE249" s="4" t="s">
        <v>819</v>
      </c>
      <c r="AF249" s="4" t="s">
        <v>555</v>
      </c>
    </row>
    <row r="250" spans="1:35" ht="54" x14ac:dyDescent="0.3">
      <c r="A250" s="10" t="s">
        <v>820</v>
      </c>
      <c r="B250" s="10" t="s">
        <v>660</v>
      </c>
      <c r="C250" s="11" t="s">
        <v>661</v>
      </c>
      <c r="D250" s="12"/>
      <c r="E250" s="12" t="s">
        <v>821</v>
      </c>
      <c r="F250" s="12" t="s">
        <v>59</v>
      </c>
      <c r="G250" s="13">
        <v>1</v>
      </c>
      <c r="H250" s="13"/>
      <c r="I250" s="13">
        <v>207.5</v>
      </c>
      <c r="J250" s="14">
        <v>2468.2399999999998</v>
      </c>
      <c r="K250" s="15">
        <v>2785</v>
      </c>
      <c r="L250" s="14">
        <f>J250+ROUND(K250, 2)</f>
        <v>5253.24</v>
      </c>
      <c r="M250" s="14">
        <v>512159.8</v>
      </c>
      <c r="N250" s="14">
        <v>577887.5</v>
      </c>
      <c r="O250" s="14">
        <f>M250+N250</f>
        <v>1090047.3</v>
      </c>
      <c r="P250" s="14">
        <v>1999.8</v>
      </c>
      <c r="Q250" s="15">
        <v>4177.5</v>
      </c>
      <c r="R250" s="14">
        <f>P250+ROUND(Q250, 2)</f>
        <v>6177.3</v>
      </c>
      <c r="S250" s="14">
        <v>414958.5</v>
      </c>
      <c r="T250" s="14">
        <v>866831.25</v>
      </c>
      <c r="U250" s="14">
        <f>S250+T250</f>
        <v>1281789.75</v>
      </c>
      <c r="V250" s="9">
        <f>ROUND(P250 / 1.2, 2)</f>
        <v>1666.5</v>
      </c>
      <c r="W250" s="9">
        <f>ROUND(Q250 / 1.2, 2)</f>
        <v>3481.25</v>
      </c>
      <c r="X250" s="9">
        <f>ROUND(R250 / 1.2, 2)</f>
        <v>5147.75</v>
      </c>
      <c r="Y250" s="9">
        <f t="shared" si="9"/>
        <v>345798.75</v>
      </c>
      <c r="Z250" s="9">
        <f>ROUND(T250 / 1.2, 2)</f>
        <v>722359.38</v>
      </c>
      <c r="AA250" s="9">
        <f>Y250+Z250</f>
        <v>1068158.1299999999</v>
      </c>
      <c r="AD250" s="4">
        <v>315889965</v>
      </c>
      <c r="AE250" s="4">
        <v>27245770</v>
      </c>
      <c r="AG250" s="4" t="s">
        <v>662</v>
      </c>
      <c r="AH250" s="4" t="s">
        <v>663</v>
      </c>
      <c r="AI250" s="4" t="s">
        <v>224</v>
      </c>
    </row>
    <row r="251" spans="1:35" ht="36" x14ac:dyDescent="0.3">
      <c r="A251" s="10" t="s">
        <v>822</v>
      </c>
      <c r="B251" s="10"/>
      <c r="C251" s="16" t="s">
        <v>552</v>
      </c>
      <c r="D251" s="12"/>
      <c r="E251" s="12"/>
      <c r="F251" s="17" t="s">
        <v>227</v>
      </c>
      <c r="G251" s="18">
        <v>0.15</v>
      </c>
      <c r="H251" s="18"/>
      <c r="I251" s="18">
        <v>31.125</v>
      </c>
      <c r="J251" s="19">
        <v>88.8</v>
      </c>
      <c r="M251" s="20">
        <f>ROUND(ROUND(J251, 2)*I251, 2)</f>
        <v>2763.9</v>
      </c>
      <c r="P251" s="19">
        <v>88.8</v>
      </c>
      <c r="S251" s="20">
        <f>ROUND(ROUND(P251, 2)*I251, 2)</f>
        <v>2763.9</v>
      </c>
      <c r="V251" s="9">
        <f>ROUND(ROUND(P251, 2)/1.2, 2)</f>
        <v>74</v>
      </c>
      <c r="Y251" s="9">
        <f t="shared" si="9"/>
        <v>2303.25</v>
      </c>
      <c r="AD251" s="4" t="s">
        <v>823</v>
      </c>
      <c r="AE251" s="4" t="s">
        <v>824</v>
      </c>
      <c r="AF251" s="4" t="s">
        <v>555</v>
      </c>
    </row>
    <row r="252" spans="1:35" ht="18" x14ac:dyDescent="0.3">
      <c r="A252" s="10" t="s">
        <v>825</v>
      </c>
      <c r="B252" s="10"/>
      <c r="C252" s="16" t="s">
        <v>637</v>
      </c>
      <c r="D252" s="12"/>
      <c r="E252" s="12"/>
      <c r="F252" s="17" t="s">
        <v>227</v>
      </c>
      <c r="G252" s="18">
        <v>0.25</v>
      </c>
      <c r="H252" s="22"/>
      <c r="I252" s="22">
        <v>51.875</v>
      </c>
      <c r="J252" s="19">
        <v>40.270000000000003</v>
      </c>
      <c r="M252" s="20">
        <f>ROUND(ROUND(J252, 2)*I252, 2)</f>
        <v>2089.0100000000002</v>
      </c>
      <c r="P252" s="19">
        <v>40.270000000000003</v>
      </c>
      <c r="S252" s="20">
        <f>ROUND(ROUND(P252, 2)*I252, 2)</f>
        <v>2089.0100000000002</v>
      </c>
      <c r="V252" s="9">
        <f>ROUND(ROUND(P252, 2)/1.2, 2)</f>
        <v>33.56</v>
      </c>
      <c r="Y252" s="9">
        <f t="shared" si="9"/>
        <v>1740.84</v>
      </c>
      <c r="AD252" s="4" t="s">
        <v>826</v>
      </c>
      <c r="AE252" s="4" t="s">
        <v>827</v>
      </c>
      <c r="AF252" s="4" t="s">
        <v>640</v>
      </c>
    </row>
    <row r="253" spans="1:35" ht="72" x14ac:dyDescent="0.3">
      <c r="A253" s="10" t="s">
        <v>828</v>
      </c>
      <c r="B253" s="10"/>
      <c r="C253" s="16" t="s">
        <v>670</v>
      </c>
      <c r="D253" s="12"/>
      <c r="E253" s="12" t="s">
        <v>829</v>
      </c>
      <c r="F253" s="17" t="s">
        <v>59</v>
      </c>
      <c r="G253" s="18">
        <v>1.2</v>
      </c>
      <c r="H253" s="22"/>
      <c r="I253" s="22">
        <v>249</v>
      </c>
      <c r="J253" s="19">
        <v>2021.26</v>
      </c>
      <c r="M253" s="20">
        <f>ROUND(ROUND(J253, 2)*I253, 2)</f>
        <v>503293.74</v>
      </c>
      <c r="P253" s="19">
        <v>1630.9</v>
      </c>
      <c r="S253" s="20">
        <f>ROUND(ROUND(P253, 2)*I253, 2)</f>
        <v>406094.1</v>
      </c>
      <c r="V253" s="9">
        <f>ROUND(ROUND(P253, 2)/1.2, 2)</f>
        <v>1359.08</v>
      </c>
      <c r="Y253" s="9">
        <f t="shared" ref="Y253:Y254" si="10">ROUND(S253 / 1.2, 2)</f>
        <v>338411.75</v>
      </c>
      <c r="AD253" s="4" t="s">
        <v>830</v>
      </c>
      <c r="AE253" s="4" t="s">
        <v>831</v>
      </c>
      <c r="AF253" s="4" t="s">
        <v>673</v>
      </c>
    </row>
    <row r="254" spans="1:35" ht="36" x14ac:dyDescent="0.3">
      <c r="A254" s="10" t="s">
        <v>832</v>
      </c>
      <c r="B254" s="10"/>
      <c r="C254" s="21" t="s">
        <v>665</v>
      </c>
      <c r="D254" s="12"/>
      <c r="E254" s="12"/>
      <c r="F254" s="17" t="s">
        <v>227</v>
      </c>
      <c r="G254" s="18">
        <v>1.2</v>
      </c>
      <c r="H254" s="22"/>
      <c r="I254" s="22">
        <v>249</v>
      </c>
      <c r="J254" s="19">
        <v>16.12</v>
      </c>
      <c r="M254" s="20">
        <f>ROUND(ROUND(J254, 2)*I254, 2)</f>
        <v>4013.88</v>
      </c>
      <c r="P254" s="19">
        <v>16.11</v>
      </c>
      <c r="S254" s="20">
        <f>ROUND(ROUND(P254, 2)*I254, 2)</f>
        <v>4011.39</v>
      </c>
      <c r="V254" s="9">
        <f>ROUND(ROUND(P254, 2)/1.2, 2)</f>
        <v>13.43</v>
      </c>
      <c r="Y254" s="9">
        <f t="shared" si="10"/>
        <v>3342.83</v>
      </c>
      <c r="AD254" s="4" t="s">
        <v>833</v>
      </c>
      <c r="AE254" s="4" t="s">
        <v>834</v>
      </c>
      <c r="AF254" s="4" t="s">
        <v>668</v>
      </c>
    </row>
    <row r="255" spans="1:35" ht="16.95" customHeight="1" x14ac:dyDescent="0.3">
      <c r="A255" s="10" t="s">
        <v>835</v>
      </c>
      <c r="B255" s="10" t="s">
        <v>836</v>
      </c>
      <c r="C255" s="47" t="s">
        <v>837</v>
      </c>
      <c r="D255" s="48"/>
      <c r="E255" s="48"/>
      <c r="F255" s="48"/>
      <c r="G255" s="48"/>
      <c r="H255" s="48"/>
      <c r="I255" s="49"/>
      <c r="M255" s="6">
        <f>SUM(M256,M258)</f>
        <v>329650</v>
      </c>
      <c r="N255" s="6">
        <f>SUM(N256,N258)</f>
        <v>29009.200000000001</v>
      </c>
      <c r="O255" s="6">
        <f>SUM(O256,O258)</f>
        <v>358659.2</v>
      </c>
      <c r="S255" s="6">
        <f>SUM(S256,S258)</f>
        <v>329650</v>
      </c>
      <c r="T255" s="6">
        <f>SUM(T256,T258)</f>
        <v>43513.8</v>
      </c>
      <c r="U255" s="6">
        <f>SUM(U256,U258)</f>
        <v>373163.8</v>
      </c>
      <c r="Y255" s="9">
        <f>SUM(Y256,Y258)</f>
        <v>274708.33</v>
      </c>
      <c r="Z255" s="9">
        <f>SUM(Z256,Z258)</f>
        <v>36261.5</v>
      </c>
      <c r="AA255" s="9">
        <f>SUM(AA256,AA258)</f>
        <v>310969.83</v>
      </c>
      <c r="AD255" s="4">
        <v>315889966</v>
      </c>
      <c r="AE255" s="4">
        <v>27245717</v>
      </c>
    </row>
    <row r="256" spans="1:35" ht="18" x14ac:dyDescent="0.3">
      <c r="A256" s="10" t="s">
        <v>838</v>
      </c>
      <c r="B256" s="10" t="s">
        <v>839</v>
      </c>
      <c r="C256" s="11" t="s">
        <v>840</v>
      </c>
      <c r="D256" s="12"/>
      <c r="E256" s="12"/>
      <c r="F256" s="12" t="s">
        <v>59</v>
      </c>
      <c r="G256" s="13">
        <v>1</v>
      </c>
      <c r="H256" s="13"/>
      <c r="I256" s="13">
        <v>0</v>
      </c>
      <c r="J256" s="14">
        <v>0</v>
      </c>
      <c r="K256" s="15">
        <v>836</v>
      </c>
      <c r="L256" s="14">
        <f>J256+ROUND(K256, 2)</f>
        <v>836</v>
      </c>
      <c r="M256" s="14">
        <v>0</v>
      </c>
      <c r="N256" s="14">
        <v>0</v>
      </c>
      <c r="O256" s="14">
        <f>M256+N256</f>
        <v>0</v>
      </c>
      <c r="P256" s="14">
        <v>9500</v>
      </c>
      <c r="Q256" s="15">
        <v>836</v>
      </c>
      <c r="R256" s="14">
        <f>P256+ROUND(Q256, 2)</f>
        <v>10336</v>
      </c>
      <c r="S256" s="14">
        <v>0</v>
      </c>
      <c r="T256" s="14">
        <v>0</v>
      </c>
      <c r="U256" s="14">
        <f>S256+T256</f>
        <v>0</v>
      </c>
      <c r="V256" s="9">
        <f>ROUND(P256 / 1.2, 2)</f>
        <v>7916.67</v>
      </c>
      <c r="W256" s="9">
        <f>ROUND(Q256 / 1.2, 2)</f>
        <v>696.67</v>
      </c>
      <c r="X256" s="9">
        <f>ROUND(R256 / 1.2, 2)</f>
        <v>8613.33</v>
      </c>
      <c r="Y256" s="9">
        <f>ROUND(S256 / 1.2, 2)</f>
        <v>0</v>
      </c>
      <c r="Z256" s="9">
        <f>ROUND(T256 / 1.2, 2)</f>
        <v>0</v>
      </c>
      <c r="AA256" s="9">
        <f>Y256+Z256</f>
        <v>0</v>
      </c>
      <c r="AD256" s="4">
        <v>315889968</v>
      </c>
      <c r="AE256" s="4">
        <v>27245597</v>
      </c>
      <c r="AG256" s="4" t="s">
        <v>841</v>
      </c>
      <c r="AH256" s="4" t="s">
        <v>842</v>
      </c>
      <c r="AI256" s="4" t="s">
        <v>224</v>
      </c>
    </row>
    <row r="257" spans="1:35" ht="18" x14ac:dyDescent="0.3">
      <c r="A257" s="10" t="s">
        <v>843</v>
      </c>
      <c r="B257" s="10"/>
      <c r="C257" s="16" t="s">
        <v>844</v>
      </c>
      <c r="D257" s="12"/>
      <c r="E257" s="12"/>
      <c r="F257" s="17" t="s">
        <v>59</v>
      </c>
      <c r="G257" s="18">
        <v>1</v>
      </c>
      <c r="H257" s="18"/>
      <c r="I257" s="18">
        <v>0</v>
      </c>
      <c r="J257" s="19">
        <v>9500</v>
      </c>
      <c r="M257" s="20">
        <f>ROUND(ROUND(J257, 2)*I257, 2)</f>
        <v>0</v>
      </c>
      <c r="P257" s="19">
        <v>9500</v>
      </c>
      <c r="S257" s="20">
        <f>ROUND(ROUND(P257, 2)*I257, 2)</f>
        <v>0</v>
      </c>
      <c r="V257" s="9">
        <f>ROUND(ROUND(P257, 2)/1.2, 2)</f>
        <v>7916.67</v>
      </c>
      <c r="Y257" s="9">
        <f>ROUND(S257 / 1.2, 2)</f>
        <v>0</v>
      </c>
      <c r="AD257" s="4" t="s">
        <v>845</v>
      </c>
      <c r="AE257" s="4" t="s">
        <v>846</v>
      </c>
      <c r="AF257" s="4" t="s">
        <v>847</v>
      </c>
    </row>
    <row r="258" spans="1:35" ht="18" x14ac:dyDescent="0.3">
      <c r="A258" s="10" t="s">
        <v>848</v>
      </c>
      <c r="B258" s="10" t="s">
        <v>839</v>
      </c>
      <c r="C258" s="11" t="s">
        <v>840</v>
      </c>
      <c r="D258" s="12"/>
      <c r="E258" s="12" t="s">
        <v>849</v>
      </c>
      <c r="F258" s="12" t="s">
        <v>59</v>
      </c>
      <c r="G258" s="13">
        <v>1</v>
      </c>
      <c r="H258" s="13"/>
      <c r="I258" s="13">
        <v>34.700000000000003</v>
      </c>
      <c r="J258" s="14">
        <v>9500</v>
      </c>
      <c r="K258" s="15">
        <v>836</v>
      </c>
      <c r="L258" s="14">
        <f>J258+ROUND(K258, 2)</f>
        <v>10336</v>
      </c>
      <c r="M258" s="14">
        <v>329650</v>
      </c>
      <c r="N258" s="14">
        <v>29009.200000000001</v>
      </c>
      <c r="O258" s="14">
        <f>M258+N258</f>
        <v>358659.2</v>
      </c>
      <c r="P258" s="14">
        <v>9500</v>
      </c>
      <c r="Q258" s="15">
        <v>1254</v>
      </c>
      <c r="R258" s="14">
        <f>P258+ROUND(Q258, 2)</f>
        <v>10754</v>
      </c>
      <c r="S258" s="14">
        <v>329650</v>
      </c>
      <c r="T258" s="14">
        <v>43513.8</v>
      </c>
      <c r="U258" s="14">
        <f>S258+T258</f>
        <v>373163.8</v>
      </c>
      <c r="V258" s="9">
        <f>ROUND(P258 / 1.2, 2)</f>
        <v>7916.67</v>
      </c>
      <c r="W258" s="9">
        <f>ROUND(Q258 / 1.2, 2)</f>
        <v>1045</v>
      </c>
      <c r="X258" s="9">
        <f>ROUND(R258 / 1.2, 2)</f>
        <v>8961.67</v>
      </c>
      <c r="Y258" s="9">
        <f>ROUND(S258 / 1.2, 2)</f>
        <v>274708.33</v>
      </c>
      <c r="Z258" s="9">
        <f>ROUND(T258 / 1.2, 2)</f>
        <v>36261.5</v>
      </c>
      <c r="AA258" s="9">
        <f>Y258+Z258</f>
        <v>310969.83</v>
      </c>
      <c r="AD258" s="4">
        <v>315889969</v>
      </c>
      <c r="AE258" s="4">
        <v>27245728</v>
      </c>
      <c r="AG258" s="4" t="s">
        <v>841</v>
      </c>
      <c r="AH258" s="4" t="s">
        <v>842</v>
      </c>
      <c r="AI258" s="4" t="s">
        <v>224</v>
      </c>
    </row>
    <row r="259" spans="1:35" ht="72" x14ac:dyDescent="0.3">
      <c r="A259" s="10" t="s">
        <v>850</v>
      </c>
      <c r="B259" s="10"/>
      <c r="C259" s="16" t="s">
        <v>844</v>
      </c>
      <c r="D259" s="12"/>
      <c r="E259" s="12" t="s">
        <v>851</v>
      </c>
      <c r="F259" s="17" t="s">
        <v>59</v>
      </c>
      <c r="G259" s="18">
        <v>1</v>
      </c>
      <c r="H259" s="18"/>
      <c r="I259" s="18">
        <v>34.700000000000003</v>
      </c>
      <c r="J259" s="19">
        <v>9500</v>
      </c>
      <c r="M259" s="20">
        <f>ROUND(ROUND(J259, 2)*I259, 2)</f>
        <v>329650</v>
      </c>
      <c r="P259" s="19">
        <v>9500</v>
      </c>
      <c r="S259" s="20">
        <f>ROUND(ROUND(P259, 2)*I259, 2)</f>
        <v>329650</v>
      </c>
      <c r="V259" s="9">
        <f>ROUND(ROUND(P259, 2)/1.2, 2)</f>
        <v>7916.67</v>
      </c>
      <c r="Y259" s="9">
        <f>ROUND(S259 / 1.2, 2)</f>
        <v>274708.33</v>
      </c>
      <c r="AD259" s="4" t="s">
        <v>852</v>
      </c>
      <c r="AE259" s="4" t="s">
        <v>853</v>
      </c>
      <c r="AF259" s="4" t="s">
        <v>847</v>
      </c>
    </row>
    <row r="260" spans="1:35" ht="16.95" customHeight="1" x14ac:dyDescent="0.3">
      <c r="A260" s="10" t="s">
        <v>854</v>
      </c>
      <c r="B260" s="10" t="s">
        <v>855</v>
      </c>
      <c r="C260" s="47" t="s">
        <v>856</v>
      </c>
      <c r="D260" s="48"/>
      <c r="E260" s="48"/>
      <c r="F260" s="48"/>
      <c r="G260" s="48"/>
      <c r="H260" s="48"/>
      <c r="I260" s="49"/>
      <c r="M260" s="6">
        <f>SUM(M261,M268,M433)</f>
        <v>5802522.5599999996</v>
      </c>
      <c r="N260" s="6">
        <f>SUM(N261,N268,N433)</f>
        <v>9178574.6999999993</v>
      </c>
      <c r="O260" s="6">
        <f>SUM(O261,O268,O433)</f>
        <v>14981097.260000002</v>
      </c>
      <c r="S260" s="6">
        <f>SUM(S261,S268,S433)</f>
        <v>3503673.5000000005</v>
      </c>
      <c r="T260" s="6">
        <f>SUM(T261,T268,T433)</f>
        <v>13767862.050000001</v>
      </c>
      <c r="U260" s="6">
        <f>SUM(U261,U268,U433)</f>
        <v>17271535.549999997</v>
      </c>
      <c r="Y260" s="9">
        <f>SUM(Y261,Y268,Y433)</f>
        <v>2919727.95</v>
      </c>
      <c r="Z260" s="9">
        <f>SUM(Z261,Z268,Z433)</f>
        <v>11473218.390000002</v>
      </c>
      <c r="AA260" s="9">
        <f>SUM(AA261,AA268,AA433)</f>
        <v>14392946.340000004</v>
      </c>
      <c r="AD260" s="4">
        <v>315889970</v>
      </c>
      <c r="AE260" s="4">
        <v>27245606</v>
      </c>
    </row>
    <row r="261" spans="1:35" ht="16.95" customHeight="1" x14ac:dyDescent="0.3">
      <c r="A261" s="10" t="s">
        <v>857</v>
      </c>
      <c r="B261" s="10" t="s">
        <v>858</v>
      </c>
      <c r="C261" s="47" t="s">
        <v>859</v>
      </c>
      <c r="D261" s="48"/>
      <c r="E261" s="48"/>
      <c r="F261" s="48"/>
      <c r="G261" s="48"/>
      <c r="H261" s="48"/>
      <c r="I261" s="49"/>
      <c r="M261" s="6">
        <f>SUM(M262,M265)</f>
        <v>1902.81</v>
      </c>
      <c r="N261" s="6">
        <f>SUM(N262,N265)</f>
        <v>80682</v>
      </c>
      <c r="O261" s="6">
        <f>SUM(O262,O265)</f>
        <v>82584.81</v>
      </c>
      <c r="S261" s="6">
        <f>SUM(S262,S265)</f>
        <v>1902.81</v>
      </c>
      <c r="T261" s="6">
        <f>SUM(T262,T265)</f>
        <v>121023</v>
      </c>
      <c r="U261" s="6">
        <f>SUM(U262,U265)</f>
        <v>122925.81</v>
      </c>
      <c r="Y261" s="9">
        <f>SUM(Y262,Y265)</f>
        <v>1585.68</v>
      </c>
      <c r="Z261" s="9">
        <f>SUM(Z262,Z265)</f>
        <v>100852.5</v>
      </c>
      <c r="AA261" s="9">
        <f>SUM(AA262,AA265)</f>
        <v>102438.18</v>
      </c>
      <c r="AD261" s="4">
        <v>315889971</v>
      </c>
      <c r="AE261" s="4">
        <v>27245641</v>
      </c>
    </row>
    <row r="262" spans="1:35" ht="36" x14ac:dyDescent="0.3">
      <c r="A262" s="10" t="s">
        <v>860</v>
      </c>
      <c r="B262" s="10" t="s">
        <v>861</v>
      </c>
      <c r="C262" s="11" t="s">
        <v>862</v>
      </c>
      <c r="D262" s="12"/>
      <c r="E262" s="12"/>
      <c r="F262" s="12" t="s">
        <v>308</v>
      </c>
      <c r="G262" s="13">
        <v>1</v>
      </c>
      <c r="H262" s="13"/>
      <c r="I262" s="13">
        <v>0</v>
      </c>
      <c r="J262" s="14">
        <v>0</v>
      </c>
      <c r="K262" s="15">
        <v>226</v>
      </c>
      <c r="L262" s="14">
        <f>J262+ROUND(K262, 2)</f>
        <v>226</v>
      </c>
      <c r="M262" s="14">
        <v>0</v>
      </c>
      <c r="N262" s="14">
        <v>0</v>
      </c>
      <c r="O262" s="14">
        <f>M262+N262</f>
        <v>0</v>
      </c>
      <c r="P262" s="14">
        <v>5.33</v>
      </c>
      <c r="Q262" s="15">
        <v>226</v>
      </c>
      <c r="R262" s="14">
        <f>P262+ROUND(Q262, 2)</f>
        <v>231.33</v>
      </c>
      <c r="S262" s="14">
        <v>0</v>
      </c>
      <c r="T262" s="14">
        <v>0</v>
      </c>
      <c r="U262" s="14">
        <f>S262+T262</f>
        <v>0</v>
      </c>
      <c r="V262" s="9">
        <f>ROUND(P262 / 1.2, 2)</f>
        <v>4.4400000000000004</v>
      </c>
      <c r="W262" s="9">
        <f>ROUND(Q262 / 1.2, 2)</f>
        <v>188.33</v>
      </c>
      <c r="X262" s="9">
        <f>ROUND(R262 / 1.2, 2)</f>
        <v>192.78</v>
      </c>
      <c r="Y262" s="9">
        <f>ROUND(S262 / 1.2, 2)</f>
        <v>0</v>
      </c>
      <c r="Z262" s="9">
        <f>ROUND(T262 / 1.2, 2)</f>
        <v>0</v>
      </c>
      <c r="AA262" s="9">
        <f>Y262+Z262</f>
        <v>0</v>
      </c>
      <c r="AD262" s="4">
        <v>315889973</v>
      </c>
      <c r="AE262" s="4">
        <v>27245599</v>
      </c>
      <c r="AG262" s="4" t="s">
        <v>863</v>
      </c>
      <c r="AH262" s="4" t="s">
        <v>864</v>
      </c>
      <c r="AI262" s="4" t="s">
        <v>224</v>
      </c>
    </row>
    <row r="263" spans="1:35" ht="18" x14ac:dyDescent="0.3">
      <c r="A263" s="10" t="s">
        <v>865</v>
      </c>
      <c r="B263" s="10"/>
      <c r="C263" s="16" t="s">
        <v>866</v>
      </c>
      <c r="D263" s="12"/>
      <c r="E263" s="12"/>
      <c r="F263" s="17" t="s">
        <v>867</v>
      </c>
      <c r="G263" s="18">
        <v>1E-3</v>
      </c>
      <c r="H263" s="22"/>
      <c r="I263" s="22">
        <v>0</v>
      </c>
      <c r="J263" s="19">
        <v>2800</v>
      </c>
      <c r="M263" s="20">
        <f>ROUND(ROUND(J263, 2)*I263, 2)</f>
        <v>0</v>
      </c>
      <c r="P263" s="19">
        <v>2800</v>
      </c>
      <c r="S263" s="20">
        <f>ROUND(ROUND(P263, 2)*I263, 2)</f>
        <v>0</v>
      </c>
      <c r="V263" s="9">
        <f>ROUND(ROUND(P263, 2)/1.2, 2)</f>
        <v>2333.33</v>
      </c>
      <c r="Y263" s="9">
        <f>ROUND(S263 / 1.2, 2)</f>
        <v>0</v>
      </c>
      <c r="AD263" s="4" t="s">
        <v>868</v>
      </c>
      <c r="AE263" s="4" t="s">
        <v>869</v>
      </c>
      <c r="AF263" s="4" t="s">
        <v>870</v>
      </c>
    </row>
    <row r="264" spans="1:35" ht="18" x14ac:dyDescent="0.3">
      <c r="A264" s="10" t="s">
        <v>871</v>
      </c>
      <c r="B264" s="10"/>
      <c r="C264" s="16" t="s">
        <v>872</v>
      </c>
      <c r="D264" s="12"/>
      <c r="E264" s="12"/>
      <c r="F264" s="17" t="s">
        <v>227</v>
      </c>
      <c r="G264" s="18">
        <v>0.41</v>
      </c>
      <c r="H264" s="22"/>
      <c r="I264" s="22">
        <v>0</v>
      </c>
      <c r="J264" s="19">
        <v>6.17</v>
      </c>
      <c r="M264" s="20">
        <f>ROUND(ROUND(J264, 2)*I264, 2)</f>
        <v>0</v>
      </c>
      <c r="P264" s="19">
        <v>6.17</v>
      </c>
      <c r="S264" s="20">
        <f>ROUND(ROUND(P264, 2)*I264, 2)</f>
        <v>0</v>
      </c>
      <c r="V264" s="9">
        <f>ROUND(ROUND(P264, 2)/1.2, 2)</f>
        <v>5.14</v>
      </c>
      <c r="Y264" s="9">
        <f>ROUND(S264 / 1.2, 2)</f>
        <v>0</v>
      </c>
      <c r="AD264" s="4" t="s">
        <v>873</v>
      </c>
      <c r="AE264" s="4" t="s">
        <v>874</v>
      </c>
      <c r="AF264" s="4" t="s">
        <v>875</v>
      </c>
    </row>
    <row r="265" spans="1:35" ht="36" x14ac:dyDescent="0.3">
      <c r="A265" s="10" t="s">
        <v>876</v>
      </c>
      <c r="B265" s="10" t="s">
        <v>861</v>
      </c>
      <c r="C265" s="11" t="s">
        <v>862</v>
      </c>
      <c r="D265" s="12"/>
      <c r="E265" s="12" t="s">
        <v>877</v>
      </c>
      <c r="F265" s="12" t="s">
        <v>308</v>
      </c>
      <c r="G265" s="13">
        <v>1</v>
      </c>
      <c r="H265" s="13"/>
      <c r="I265" s="13">
        <v>357</v>
      </c>
      <c r="J265" s="14">
        <v>5.33</v>
      </c>
      <c r="K265" s="15">
        <v>226</v>
      </c>
      <c r="L265" s="14">
        <f>J265+ROUND(K265, 2)</f>
        <v>231.33</v>
      </c>
      <c r="M265" s="14">
        <v>1902.81</v>
      </c>
      <c r="N265" s="14">
        <v>80682</v>
      </c>
      <c r="O265" s="14">
        <f>M265+N265</f>
        <v>82584.81</v>
      </c>
      <c r="P265" s="14">
        <v>5.33</v>
      </c>
      <c r="Q265" s="15">
        <v>339</v>
      </c>
      <c r="R265" s="14">
        <f>P265+ROUND(Q265, 2)</f>
        <v>344.33</v>
      </c>
      <c r="S265" s="14">
        <v>1902.81</v>
      </c>
      <c r="T265" s="14">
        <v>121023</v>
      </c>
      <c r="U265" s="14">
        <f>S265+T265</f>
        <v>122925.81</v>
      </c>
      <c r="V265" s="9">
        <f>ROUND(P265 / 1.2, 2)</f>
        <v>4.4400000000000004</v>
      </c>
      <c r="W265" s="9">
        <f>ROUND(Q265 / 1.2, 2)</f>
        <v>282.5</v>
      </c>
      <c r="X265" s="9">
        <f>ROUND(R265 / 1.2, 2)</f>
        <v>286.94</v>
      </c>
      <c r="Y265" s="9">
        <f>ROUND(S265 / 1.2, 2)</f>
        <v>1585.68</v>
      </c>
      <c r="Z265" s="9">
        <f>ROUND(T265 / 1.2, 2)</f>
        <v>100852.5</v>
      </c>
      <c r="AA265" s="9">
        <f>Y265+Z265</f>
        <v>102438.18</v>
      </c>
      <c r="AD265" s="4">
        <v>315889974</v>
      </c>
      <c r="AE265" s="4">
        <v>27245799</v>
      </c>
      <c r="AG265" s="4" t="s">
        <v>863</v>
      </c>
      <c r="AH265" s="4" t="s">
        <v>864</v>
      </c>
      <c r="AI265" s="4" t="s">
        <v>224</v>
      </c>
    </row>
    <row r="266" spans="1:35" ht="18" x14ac:dyDescent="0.3">
      <c r="A266" s="10" t="s">
        <v>878</v>
      </c>
      <c r="B266" s="10"/>
      <c r="C266" s="16" t="s">
        <v>872</v>
      </c>
      <c r="D266" s="12"/>
      <c r="E266" s="12"/>
      <c r="F266" s="17" t="s">
        <v>227</v>
      </c>
      <c r="G266" s="18">
        <v>0.41</v>
      </c>
      <c r="H266" s="22"/>
      <c r="I266" s="22">
        <v>146.37</v>
      </c>
      <c r="J266" s="19">
        <v>6.17</v>
      </c>
      <c r="M266" s="20">
        <f>ROUND(ROUND(J266, 2)*I266, 2)</f>
        <v>903.1</v>
      </c>
      <c r="P266" s="19">
        <v>6.17</v>
      </c>
      <c r="S266" s="20">
        <f>ROUND(ROUND(P266, 2)*I266, 2)</f>
        <v>903.1</v>
      </c>
      <c r="V266" s="9">
        <f>ROUND(ROUND(P266, 2)/1.2, 2)</f>
        <v>5.14</v>
      </c>
      <c r="Y266" s="9">
        <f>ROUND(S266 / 1.2, 2)</f>
        <v>752.58</v>
      </c>
      <c r="AD266" s="4" t="s">
        <v>879</v>
      </c>
      <c r="AE266" s="4" t="s">
        <v>880</v>
      </c>
      <c r="AF266" s="4" t="s">
        <v>875</v>
      </c>
    </row>
    <row r="267" spans="1:35" ht="18" x14ac:dyDescent="0.3">
      <c r="A267" s="10" t="s">
        <v>881</v>
      </c>
      <c r="B267" s="10"/>
      <c r="C267" s="16" t="s">
        <v>866</v>
      </c>
      <c r="D267" s="12"/>
      <c r="E267" s="12"/>
      <c r="F267" s="17" t="s">
        <v>867</v>
      </c>
      <c r="G267" s="18">
        <v>1E-3</v>
      </c>
      <c r="H267" s="22"/>
      <c r="I267" s="22">
        <v>0.35699999999999998</v>
      </c>
      <c r="J267" s="19">
        <v>2800</v>
      </c>
      <c r="M267" s="20">
        <f>ROUND(ROUND(J267, 2)*I267, 2)</f>
        <v>999.6</v>
      </c>
      <c r="P267" s="19">
        <v>2800</v>
      </c>
      <c r="S267" s="20">
        <f>ROUND(ROUND(P267, 2)*I267, 2)</f>
        <v>999.6</v>
      </c>
      <c r="V267" s="9">
        <f>ROUND(ROUND(P267, 2)/1.2, 2)</f>
        <v>2333.33</v>
      </c>
      <c r="Y267" s="9">
        <f>ROUND(S267 / 1.2, 2)</f>
        <v>833</v>
      </c>
      <c r="AD267" s="4" t="s">
        <v>882</v>
      </c>
      <c r="AE267" s="4" t="s">
        <v>883</v>
      </c>
      <c r="AF267" s="4" t="s">
        <v>870</v>
      </c>
    </row>
    <row r="268" spans="1:35" ht="16.95" customHeight="1" x14ac:dyDescent="0.3">
      <c r="A268" s="10" t="s">
        <v>884</v>
      </c>
      <c r="B268" s="10" t="s">
        <v>885</v>
      </c>
      <c r="C268" s="47" t="s">
        <v>886</v>
      </c>
      <c r="D268" s="48"/>
      <c r="E268" s="48"/>
      <c r="F268" s="48"/>
      <c r="G268" s="48"/>
      <c r="H268" s="48"/>
      <c r="I268" s="49"/>
      <c r="M268" s="6">
        <f>SUM(M269,M271,M273,M275,M277,M279,M281,M283,M285,M287,M289,M291,M293,M295,M297,M299,M301,M303,M305,M307,M309,M312,M315,M318,M321,M324,M327,M330,M333,M336,M339,M342,M345,M348,M351,M354,M357,M360,M363,M368,M373,M378,M383,M388,M393,M398,M403,M408,M413,M418,M423,M428)</f>
        <v>5506461.4500000002</v>
      </c>
      <c r="N268" s="6">
        <f>SUM(N269,N271,N273,N275,N277,N279,N281,N283,N285,N287,N289,N291,N293,N295,N297,N299,N301,N303,N305,N307,N309,N312,N315,N318,N321,N324,N327,N330,N333,N336,N339,N342,N345,N348,N351,N354,N357,N360,N363,N368,N373,N378,N383,N388,N393,N398,N403,N408,N413,N418,N423,N428)</f>
        <v>8393216</v>
      </c>
      <c r="O268" s="6">
        <f>SUM(O269,O271,O273,O275,O277,O279,O281,O283,O285,O287,O289,O291,O293,O295,O297,O299,O301,O303,O305,O307,O309,O312,O315,O318,O321,O324,O327,O330,O333,O336,O339,O342,O345,O348,O351,O354,O357,O360,O363,O368,O373,O378,O383,O388,O393,O398,O403,O408,O413,O418,O423,O428)</f>
        <v>13899677.450000001</v>
      </c>
      <c r="S268" s="6">
        <f>SUM(S269,S271,S273,S275,S277,S279,S281,S283,S285,S287,S289,S291,S293,S295,S297,S299,S301,S303,S305,S307,S309,S312,S315,S318,S321,S324,S327,S330,S333,S336,S339,S342,S345,S348,S351,S354,S357,S360,S363,S368,S373,S378,S383,S388,S393,S398,S403,S408,S413,S418,S423,S428)</f>
        <v>3090423.6700000004</v>
      </c>
      <c r="T268" s="6">
        <f>SUM(T269,T271,T273,T275,T277,T279,T281,T283,T285,T287,T289,T291,T293,T295,T297,T299,T301,T303,T305,T307,T309,T312,T315,T318,T321,T324,T327,T330,T333,T336,T339,T342,T345,T348,T351,T354,T357,T360,T363,T368,T373,T378,T383,T388,T393,T398,T403,T408,T413,T418,T423,T428)</f>
        <v>12589824</v>
      </c>
      <c r="U268" s="6">
        <f>SUM(U269,U271,U273,U275,U277,U279,U281,U283,U285,U287,U289,U291,U293,U295,U297,U299,U301,U303,U305,U307,U309,U312,U315,U318,U321,U324,U327,U330,U333,U336,U339,U342,U345,U348,U351,U354,U357,U360,U363,U368,U373,U378,U383,U388,U393,U398,U403,U408,U413,U418,U423,U428)</f>
        <v>15680247.669999998</v>
      </c>
      <c r="Y268" s="9">
        <f>SUM(Y269,Y271,Y273,Y275,Y277,Y279,Y281,Y283,Y285,Y287,Y289,Y291,Y293,Y295,Y297,Y299,Y301,Y303,Y305,Y307,Y309,Y312,Y315,Y318,Y321,Y324,Y327,Y330,Y333,Y336,Y339,Y342,Y345,Y348,Y351,Y354,Y357,Y360,Y363,Y368,Y373,Y378,Y383,Y388,Y393,Y398,Y403,Y408,Y413,Y418,Y423,Y428)</f>
        <v>2575353.08</v>
      </c>
      <c r="Z268" s="9">
        <f>SUM(Z269,Z271,Z273,Z275,Z277,Z279,Z281,Z283,Z285,Z287,Z289,Z291,Z293,Z295,Z297,Z299,Z301,Z303,Z305,Z307,Z309,Z312,Z315,Z318,Z321,Z324,Z327,Z330,Z333,Z336,Z339,Z342,Z345,Z348,Z351,Z354,Z357,Z360,Z363,Z368,Z373,Z378,Z383,Z388,Z393,Z398,Z403,Z408,Z413,Z418,Z423,Z428)</f>
        <v>10491520.010000002</v>
      </c>
      <c r="AA268" s="9">
        <f>SUM(AA269,AA271,AA273,AA275,AA277,AA279,AA281,AA283,AA285,AA287,AA289,AA291,AA293,AA295,AA297,AA299,AA301,AA303,AA305,AA307,AA309,AA312,AA315,AA318,AA321,AA324,AA327,AA330,AA333,AA336,AA339,AA342,AA345,AA348,AA351,AA354,AA357,AA360,AA363,AA368,AA373,AA378,AA383,AA388,AA393,AA398,AA403,AA408,AA413,AA418,AA423,AA428)</f>
        <v>13066873.090000004</v>
      </c>
      <c r="AD268" s="4">
        <v>315889975</v>
      </c>
      <c r="AE268" s="4">
        <v>27245711</v>
      </c>
    </row>
    <row r="269" spans="1:35" ht="18" x14ac:dyDescent="0.3">
      <c r="A269" s="10" t="s">
        <v>887</v>
      </c>
      <c r="B269" s="10" t="s">
        <v>888</v>
      </c>
      <c r="C269" s="11" t="s">
        <v>889</v>
      </c>
      <c r="D269" s="12"/>
      <c r="E269" s="12"/>
      <c r="F269" s="12" t="s">
        <v>59</v>
      </c>
      <c r="G269" s="13">
        <v>1</v>
      </c>
      <c r="H269" s="13"/>
      <c r="I269" s="13">
        <v>0</v>
      </c>
      <c r="J269" s="14">
        <v>0</v>
      </c>
      <c r="K269" s="15">
        <v>1010</v>
      </c>
      <c r="L269" s="14">
        <f>J269+ROUND(K269, 2)</f>
        <v>1010</v>
      </c>
      <c r="M269" s="14">
        <v>0</v>
      </c>
      <c r="N269" s="14">
        <v>0</v>
      </c>
      <c r="O269" s="14">
        <f>M269+N269</f>
        <v>0</v>
      </c>
      <c r="P269" s="14">
        <v>390</v>
      </c>
      <c r="Q269" s="15">
        <v>1010</v>
      </c>
      <c r="R269" s="14">
        <f>P269+ROUND(Q269, 2)</f>
        <v>1400</v>
      </c>
      <c r="S269" s="14">
        <v>0</v>
      </c>
      <c r="T269" s="14">
        <v>0</v>
      </c>
      <c r="U269" s="14">
        <f>S269+T269</f>
        <v>0</v>
      </c>
      <c r="V269" s="9">
        <f>ROUND(P269 / 1.2, 2)</f>
        <v>325</v>
      </c>
      <c r="W269" s="9">
        <f>ROUND(Q269 / 1.2, 2)</f>
        <v>841.67</v>
      </c>
      <c r="X269" s="9">
        <f>ROUND(R269 / 1.2, 2)</f>
        <v>1166.67</v>
      </c>
      <c r="Y269" s="9">
        <f>ROUND(S269 / 1.2, 2)</f>
        <v>0</v>
      </c>
      <c r="Z269" s="9">
        <f>ROUND(T269 / 1.2, 2)</f>
        <v>0</v>
      </c>
      <c r="AA269" s="9">
        <f>Y269+Z269</f>
        <v>0</v>
      </c>
      <c r="AD269" s="4">
        <v>315889977</v>
      </c>
      <c r="AE269" s="4">
        <v>27245674</v>
      </c>
      <c r="AG269" s="4" t="s">
        <v>890</v>
      </c>
      <c r="AH269" s="4" t="s">
        <v>891</v>
      </c>
      <c r="AI269" s="4" t="s">
        <v>224</v>
      </c>
    </row>
    <row r="270" spans="1:35" ht="36" x14ac:dyDescent="0.3">
      <c r="A270" s="10" t="s">
        <v>892</v>
      </c>
      <c r="B270" s="10"/>
      <c r="C270" s="16" t="s">
        <v>893</v>
      </c>
      <c r="D270" s="12"/>
      <c r="E270" s="12"/>
      <c r="F270" s="17" t="s">
        <v>308</v>
      </c>
      <c r="G270" s="18">
        <v>1.5</v>
      </c>
      <c r="H270" s="18"/>
      <c r="I270" s="18">
        <v>0</v>
      </c>
      <c r="J270" s="19">
        <v>260</v>
      </c>
      <c r="M270" s="20">
        <f>ROUND(ROUND(J270, 2)*I270, 2)</f>
        <v>0</v>
      </c>
      <c r="P270" s="19">
        <v>260</v>
      </c>
      <c r="S270" s="20">
        <f>ROUND(ROUND(P270, 2)*I270, 2)</f>
        <v>0</v>
      </c>
      <c r="V270" s="9">
        <f>ROUND(ROUND(P270, 2)/1.2, 2)</f>
        <v>216.67</v>
      </c>
      <c r="Y270" s="9">
        <f t="shared" ref="Y270:Y333" si="11">ROUND(S270 / 1.2, 2)</f>
        <v>0</v>
      </c>
      <c r="AD270" s="4" t="s">
        <v>894</v>
      </c>
      <c r="AE270" s="4" t="s">
        <v>895</v>
      </c>
      <c r="AF270" s="4" t="s">
        <v>896</v>
      </c>
    </row>
    <row r="271" spans="1:35" ht="18" x14ac:dyDescent="0.3">
      <c r="A271" s="10" t="s">
        <v>897</v>
      </c>
      <c r="B271" s="10" t="s">
        <v>888</v>
      </c>
      <c r="C271" s="11" t="s">
        <v>889</v>
      </c>
      <c r="D271" s="12"/>
      <c r="E271" s="12"/>
      <c r="F271" s="12" t="s">
        <v>59</v>
      </c>
      <c r="G271" s="13">
        <v>1</v>
      </c>
      <c r="H271" s="13"/>
      <c r="I271" s="13">
        <v>0</v>
      </c>
      <c r="J271" s="14">
        <v>0</v>
      </c>
      <c r="K271" s="15">
        <v>1010</v>
      </c>
      <c r="L271" s="14">
        <f>J271+ROUND(K271, 2)</f>
        <v>1010</v>
      </c>
      <c r="M271" s="14">
        <v>0</v>
      </c>
      <c r="N271" s="14">
        <v>0</v>
      </c>
      <c r="O271" s="14">
        <f>M271+N271</f>
        <v>0</v>
      </c>
      <c r="P271" s="14">
        <v>390</v>
      </c>
      <c r="Q271" s="15">
        <v>1010</v>
      </c>
      <c r="R271" s="14">
        <f>P271+ROUND(Q271, 2)</f>
        <v>1400</v>
      </c>
      <c r="S271" s="14">
        <v>0</v>
      </c>
      <c r="T271" s="14">
        <v>0</v>
      </c>
      <c r="U271" s="14">
        <f>S271+T271</f>
        <v>0</v>
      </c>
      <c r="V271" s="9">
        <f>ROUND(P271 / 1.2, 2)</f>
        <v>325</v>
      </c>
      <c r="W271" s="9">
        <f>ROUND(Q271 / 1.2, 2)</f>
        <v>841.67</v>
      </c>
      <c r="X271" s="9">
        <f>ROUND(R271 / 1.2, 2)</f>
        <v>1166.67</v>
      </c>
      <c r="Y271" s="9">
        <f t="shared" si="11"/>
        <v>0</v>
      </c>
      <c r="Z271" s="9">
        <f>ROUND(T271 / 1.2, 2)</f>
        <v>0</v>
      </c>
      <c r="AA271" s="9">
        <f>Y271+Z271</f>
        <v>0</v>
      </c>
      <c r="AD271" s="4">
        <v>315889978</v>
      </c>
      <c r="AE271" s="4">
        <v>27245675</v>
      </c>
      <c r="AG271" s="4" t="s">
        <v>890</v>
      </c>
      <c r="AH271" s="4" t="s">
        <v>891</v>
      </c>
      <c r="AI271" s="4" t="s">
        <v>224</v>
      </c>
    </row>
    <row r="272" spans="1:35" ht="36" x14ac:dyDescent="0.3">
      <c r="A272" s="10" t="s">
        <v>898</v>
      </c>
      <c r="B272" s="10"/>
      <c r="C272" s="16" t="s">
        <v>893</v>
      </c>
      <c r="D272" s="12"/>
      <c r="E272" s="12"/>
      <c r="F272" s="17" t="s">
        <v>308</v>
      </c>
      <c r="G272" s="18">
        <v>1.5</v>
      </c>
      <c r="H272" s="18"/>
      <c r="I272" s="18">
        <v>0</v>
      </c>
      <c r="J272" s="19">
        <v>260</v>
      </c>
      <c r="M272" s="20">
        <f>ROUND(ROUND(J272, 2)*I272, 2)</f>
        <v>0</v>
      </c>
      <c r="P272" s="19">
        <v>260</v>
      </c>
      <c r="S272" s="20">
        <f>ROUND(ROUND(P272, 2)*I272, 2)</f>
        <v>0</v>
      </c>
      <c r="V272" s="9">
        <f>ROUND(ROUND(P272, 2)/1.2, 2)</f>
        <v>216.67</v>
      </c>
      <c r="Y272" s="9">
        <f t="shared" si="11"/>
        <v>0</v>
      </c>
      <c r="AD272" s="4" t="s">
        <v>899</v>
      </c>
      <c r="AE272" s="4" t="s">
        <v>900</v>
      </c>
      <c r="AF272" s="4" t="s">
        <v>896</v>
      </c>
    </row>
    <row r="273" spans="1:35" ht="18" x14ac:dyDescent="0.3">
      <c r="A273" s="10" t="s">
        <v>901</v>
      </c>
      <c r="B273" s="10" t="s">
        <v>888</v>
      </c>
      <c r="C273" s="11" t="s">
        <v>889</v>
      </c>
      <c r="D273" s="12"/>
      <c r="E273" s="12"/>
      <c r="F273" s="12" t="s">
        <v>59</v>
      </c>
      <c r="G273" s="13">
        <v>1</v>
      </c>
      <c r="H273" s="13"/>
      <c r="I273" s="13">
        <v>0</v>
      </c>
      <c r="J273" s="14">
        <v>0</v>
      </c>
      <c r="K273" s="15">
        <v>1010</v>
      </c>
      <c r="L273" s="14">
        <f>J273+ROUND(K273, 2)</f>
        <v>1010</v>
      </c>
      <c r="M273" s="14">
        <v>0</v>
      </c>
      <c r="N273" s="14">
        <v>0</v>
      </c>
      <c r="O273" s="14">
        <f>M273+N273</f>
        <v>0</v>
      </c>
      <c r="P273" s="14">
        <v>390</v>
      </c>
      <c r="Q273" s="15">
        <v>1010</v>
      </c>
      <c r="R273" s="14">
        <f>P273+ROUND(Q273, 2)</f>
        <v>1400</v>
      </c>
      <c r="S273" s="14">
        <v>0</v>
      </c>
      <c r="T273" s="14">
        <v>0</v>
      </c>
      <c r="U273" s="14">
        <f>S273+T273</f>
        <v>0</v>
      </c>
      <c r="V273" s="9">
        <f>ROUND(P273 / 1.2, 2)</f>
        <v>325</v>
      </c>
      <c r="W273" s="9">
        <f>ROUND(Q273 / 1.2, 2)</f>
        <v>841.67</v>
      </c>
      <c r="X273" s="9">
        <f>ROUND(R273 / 1.2, 2)</f>
        <v>1166.67</v>
      </c>
      <c r="Y273" s="9">
        <f t="shared" si="11"/>
        <v>0</v>
      </c>
      <c r="Z273" s="9">
        <f>ROUND(T273 / 1.2, 2)</f>
        <v>0</v>
      </c>
      <c r="AA273" s="9">
        <f>Y273+Z273</f>
        <v>0</v>
      </c>
      <c r="AD273" s="4">
        <v>315889979</v>
      </c>
      <c r="AE273" s="4">
        <v>27245676</v>
      </c>
      <c r="AG273" s="4" t="s">
        <v>890</v>
      </c>
      <c r="AH273" s="4" t="s">
        <v>891</v>
      </c>
      <c r="AI273" s="4" t="s">
        <v>224</v>
      </c>
    </row>
    <row r="274" spans="1:35" ht="36" x14ac:dyDescent="0.3">
      <c r="A274" s="10" t="s">
        <v>902</v>
      </c>
      <c r="B274" s="10"/>
      <c r="C274" s="16" t="s">
        <v>893</v>
      </c>
      <c r="D274" s="12"/>
      <c r="E274" s="12"/>
      <c r="F274" s="17" t="s">
        <v>308</v>
      </c>
      <c r="G274" s="18">
        <v>1.5</v>
      </c>
      <c r="H274" s="18"/>
      <c r="I274" s="18">
        <v>0</v>
      </c>
      <c r="J274" s="19">
        <v>260</v>
      </c>
      <c r="M274" s="20">
        <f>ROUND(ROUND(J274, 2)*I274, 2)</f>
        <v>0</v>
      </c>
      <c r="P274" s="19">
        <v>260</v>
      </c>
      <c r="S274" s="20">
        <f>ROUND(ROUND(P274, 2)*I274, 2)</f>
        <v>0</v>
      </c>
      <c r="V274" s="9">
        <f>ROUND(ROUND(P274, 2)/1.2, 2)</f>
        <v>216.67</v>
      </c>
      <c r="Y274" s="9">
        <f t="shared" si="11"/>
        <v>0</v>
      </c>
      <c r="AD274" s="4" t="s">
        <v>903</v>
      </c>
      <c r="AE274" s="4" t="s">
        <v>904</v>
      </c>
      <c r="AF274" s="4" t="s">
        <v>896</v>
      </c>
    </row>
    <row r="275" spans="1:35" ht="18" x14ac:dyDescent="0.3">
      <c r="A275" s="10" t="s">
        <v>905</v>
      </c>
      <c r="B275" s="10" t="s">
        <v>888</v>
      </c>
      <c r="C275" s="11" t="s">
        <v>889</v>
      </c>
      <c r="D275" s="12"/>
      <c r="E275" s="12"/>
      <c r="F275" s="12" t="s">
        <v>59</v>
      </c>
      <c r="G275" s="13">
        <v>1</v>
      </c>
      <c r="H275" s="13"/>
      <c r="I275" s="13">
        <v>0</v>
      </c>
      <c r="J275" s="14">
        <v>0</v>
      </c>
      <c r="K275" s="15">
        <v>1010</v>
      </c>
      <c r="L275" s="14">
        <f>J275+ROUND(K275, 2)</f>
        <v>1010</v>
      </c>
      <c r="M275" s="14">
        <v>0</v>
      </c>
      <c r="N275" s="14">
        <v>0</v>
      </c>
      <c r="O275" s="14">
        <f>M275+N275</f>
        <v>0</v>
      </c>
      <c r="P275" s="14">
        <v>390</v>
      </c>
      <c r="Q275" s="15">
        <v>1010</v>
      </c>
      <c r="R275" s="14">
        <f>P275+ROUND(Q275, 2)</f>
        <v>1400</v>
      </c>
      <c r="S275" s="14">
        <v>0</v>
      </c>
      <c r="T275" s="14">
        <v>0</v>
      </c>
      <c r="U275" s="14">
        <f>S275+T275</f>
        <v>0</v>
      </c>
      <c r="V275" s="9">
        <f>ROUND(P275 / 1.2, 2)</f>
        <v>325</v>
      </c>
      <c r="W275" s="9">
        <f>ROUND(Q275 / 1.2, 2)</f>
        <v>841.67</v>
      </c>
      <c r="X275" s="9">
        <f>ROUND(R275 / 1.2, 2)</f>
        <v>1166.67</v>
      </c>
      <c r="Y275" s="9">
        <f t="shared" si="11"/>
        <v>0</v>
      </c>
      <c r="Z275" s="9">
        <f>ROUND(T275 / 1.2, 2)</f>
        <v>0</v>
      </c>
      <c r="AA275" s="9">
        <f>Y275+Z275</f>
        <v>0</v>
      </c>
      <c r="AD275" s="4">
        <v>315889980</v>
      </c>
      <c r="AE275" s="4">
        <v>27245678</v>
      </c>
      <c r="AG275" s="4" t="s">
        <v>890</v>
      </c>
      <c r="AH275" s="4" t="s">
        <v>891</v>
      </c>
      <c r="AI275" s="4" t="s">
        <v>224</v>
      </c>
    </row>
    <row r="276" spans="1:35" ht="36" x14ac:dyDescent="0.3">
      <c r="A276" s="10" t="s">
        <v>906</v>
      </c>
      <c r="B276" s="10"/>
      <c r="C276" s="16" t="s">
        <v>893</v>
      </c>
      <c r="D276" s="12"/>
      <c r="E276" s="12"/>
      <c r="F276" s="17" t="s">
        <v>308</v>
      </c>
      <c r="G276" s="18">
        <v>1.5</v>
      </c>
      <c r="H276" s="18"/>
      <c r="I276" s="18">
        <v>0</v>
      </c>
      <c r="J276" s="19">
        <v>260</v>
      </c>
      <c r="M276" s="20">
        <f>ROUND(ROUND(J276, 2)*I276, 2)</f>
        <v>0</v>
      </c>
      <c r="P276" s="19">
        <v>260</v>
      </c>
      <c r="S276" s="20">
        <f>ROUND(ROUND(P276, 2)*I276, 2)</f>
        <v>0</v>
      </c>
      <c r="V276" s="9">
        <f>ROUND(ROUND(P276, 2)/1.2, 2)</f>
        <v>216.67</v>
      </c>
      <c r="Y276" s="9">
        <f t="shared" si="11"/>
        <v>0</v>
      </c>
      <c r="AD276" s="4" t="s">
        <v>907</v>
      </c>
      <c r="AE276" s="4" t="s">
        <v>908</v>
      </c>
      <c r="AF276" s="4" t="s">
        <v>896</v>
      </c>
    </row>
    <row r="277" spans="1:35" ht="18" x14ac:dyDescent="0.3">
      <c r="A277" s="10" t="s">
        <v>909</v>
      </c>
      <c r="B277" s="10" t="s">
        <v>888</v>
      </c>
      <c r="C277" s="11" t="s">
        <v>889</v>
      </c>
      <c r="D277" s="12"/>
      <c r="E277" s="12"/>
      <c r="F277" s="12" t="s">
        <v>59</v>
      </c>
      <c r="G277" s="13">
        <v>1</v>
      </c>
      <c r="H277" s="13"/>
      <c r="I277" s="13">
        <v>0</v>
      </c>
      <c r="J277" s="14">
        <v>0</v>
      </c>
      <c r="K277" s="15">
        <v>1010</v>
      </c>
      <c r="L277" s="14">
        <f>J277+ROUND(K277, 2)</f>
        <v>1010</v>
      </c>
      <c r="M277" s="14">
        <v>0</v>
      </c>
      <c r="N277" s="14">
        <v>0</v>
      </c>
      <c r="O277" s="14">
        <f>M277+N277</f>
        <v>0</v>
      </c>
      <c r="P277" s="14">
        <v>390</v>
      </c>
      <c r="Q277" s="15">
        <v>1010</v>
      </c>
      <c r="R277" s="14">
        <f>P277+ROUND(Q277, 2)</f>
        <v>1400</v>
      </c>
      <c r="S277" s="14">
        <v>0</v>
      </c>
      <c r="T277" s="14">
        <v>0</v>
      </c>
      <c r="U277" s="14">
        <f>S277+T277</f>
        <v>0</v>
      </c>
      <c r="V277" s="9">
        <f>ROUND(P277 / 1.2, 2)</f>
        <v>325</v>
      </c>
      <c r="W277" s="9">
        <f>ROUND(Q277 / 1.2, 2)</f>
        <v>841.67</v>
      </c>
      <c r="X277" s="9">
        <f>ROUND(R277 / 1.2, 2)</f>
        <v>1166.67</v>
      </c>
      <c r="Y277" s="9">
        <f t="shared" si="11"/>
        <v>0</v>
      </c>
      <c r="Z277" s="9">
        <f>ROUND(T277 / 1.2, 2)</f>
        <v>0</v>
      </c>
      <c r="AA277" s="9">
        <f>Y277+Z277</f>
        <v>0</v>
      </c>
      <c r="AD277" s="4">
        <v>315889981</v>
      </c>
      <c r="AE277" s="4">
        <v>27245679</v>
      </c>
      <c r="AG277" s="4" t="s">
        <v>890</v>
      </c>
      <c r="AH277" s="4" t="s">
        <v>891</v>
      </c>
      <c r="AI277" s="4" t="s">
        <v>224</v>
      </c>
    </row>
    <row r="278" spans="1:35" ht="36" x14ac:dyDescent="0.3">
      <c r="A278" s="10" t="s">
        <v>910</v>
      </c>
      <c r="B278" s="10"/>
      <c r="C278" s="16" t="s">
        <v>893</v>
      </c>
      <c r="D278" s="12"/>
      <c r="E278" s="12"/>
      <c r="F278" s="17" t="s">
        <v>308</v>
      </c>
      <c r="G278" s="18">
        <v>1.5</v>
      </c>
      <c r="H278" s="18"/>
      <c r="I278" s="18">
        <v>0</v>
      </c>
      <c r="J278" s="19">
        <v>260</v>
      </c>
      <c r="M278" s="20">
        <f>ROUND(ROUND(J278, 2)*I278, 2)</f>
        <v>0</v>
      </c>
      <c r="P278" s="19">
        <v>260</v>
      </c>
      <c r="S278" s="20">
        <f>ROUND(ROUND(P278, 2)*I278, 2)</f>
        <v>0</v>
      </c>
      <c r="V278" s="9">
        <f>ROUND(ROUND(P278, 2)/1.2, 2)</f>
        <v>216.67</v>
      </c>
      <c r="Y278" s="9">
        <f t="shared" si="11"/>
        <v>0</v>
      </c>
      <c r="AD278" s="4" t="s">
        <v>911</v>
      </c>
      <c r="AE278" s="4" t="s">
        <v>912</v>
      </c>
      <c r="AF278" s="4" t="s">
        <v>896</v>
      </c>
    </row>
    <row r="279" spans="1:35" ht="18" x14ac:dyDescent="0.3">
      <c r="A279" s="10" t="s">
        <v>913</v>
      </c>
      <c r="B279" s="10" t="s">
        <v>888</v>
      </c>
      <c r="C279" s="11" t="s">
        <v>889</v>
      </c>
      <c r="D279" s="12"/>
      <c r="E279" s="12"/>
      <c r="F279" s="12" t="s">
        <v>59</v>
      </c>
      <c r="G279" s="13">
        <v>1</v>
      </c>
      <c r="H279" s="13"/>
      <c r="I279" s="13">
        <v>0</v>
      </c>
      <c r="J279" s="14">
        <v>0</v>
      </c>
      <c r="K279" s="15">
        <v>1010</v>
      </c>
      <c r="L279" s="14">
        <f>J279+ROUND(K279, 2)</f>
        <v>1010</v>
      </c>
      <c r="M279" s="14">
        <v>0</v>
      </c>
      <c r="N279" s="14">
        <v>0</v>
      </c>
      <c r="O279" s="14">
        <f>M279+N279</f>
        <v>0</v>
      </c>
      <c r="P279" s="14">
        <v>390</v>
      </c>
      <c r="Q279" s="15">
        <v>1010</v>
      </c>
      <c r="R279" s="14">
        <f>P279+ROUND(Q279, 2)</f>
        <v>1400</v>
      </c>
      <c r="S279" s="14">
        <v>0</v>
      </c>
      <c r="T279" s="14">
        <v>0</v>
      </c>
      <c r="U279" s="14">
        <f>S279+T279</f>
        <v>0</v>
      </c>
      <c r="V279" s="9">
        <f>ROUND(P279 / 1.2, 2)</f>
        <v>325</v>
      </c>
      <c r="W279" s="9">
        <f>ROUND(Q279 / 1.2, 2)</f>
        <v>841.67</v>
      </c>
      <c r="X279" s="9">
        <f>ROUND(R279 / 1.2, 2)</f>
        <v>1166.67</v>
      </c>
      <c r="Y279" s="9">
        <f t="shared" si="11"/>
        <v>0</v>
      </c>
      <c r="Z279" s="9">
        <f>ROUND(T279 / 1.2, 2)</f>
        <v>0</v>
      </c>
      <c r="AA279" s="9">
        <f>Y279+Z279</f>
        <v>0</v>
      </c>
      <c r="AD279" s="4">
        <v>315889982</v>
      </c>
      <c r="AE279" s="4">
        <v>27245681</v>
      </c>
      <c r="AG279" s="4" t="s">
        <v>890</v>
      </c>
      <c r="AH279" s="4" t="s">
        <v>891</v>
      </c>
      <c r="AI279" s="4" t="s">
        <v>224</v>
      </c>
    </row>
    <row r="280" spans="1:35" ht="36" x14ac:dyDescent="0.3">
      <c r="A280" s="10" t="s">
        <v>914</v>
      </c>
      <c r="B280" s="10"/>
      <c r="C280" s="16" t="s">
        <v>893</v>
      </c>
      <c r="D280" s="12"/>
      <c r="E280" s="12"/>
      <c r="F280" s="17" t="s">
        <v>308</v>
      </c>
      <c r="G280" s="18">
        <v>1.5</v>
      </c>
      <c r="H280" s="18"/>
      <c r="I280" s="18">
        <v>0</v>
      </c>
      <c r="J280" s="19">
        <v>260</v>
      </c>
      <c r="M280" s="20">
        <f>ROUND(ROUND(J280, 2)*I280, 2)</f>
        <v>0</v>
      </c>
      <c r="P280" s="19">
        <v>260</v>
      </c>
      <c r="S280" s="20">
        <f>ROUND(ROUND(P280, 2)*I280, 2)</f>
        <v>0</v>
      </c>
      <c r="V280" s="9">
        <f>ROUND(ROUND(P280, 2)/1.2, 2)</f>
        <v>216.67</v>
      </c>
      <c r="Y280" s="9">
        <f t="shared" si="11"/>
        <v>0</v>
      </c>
      <c r="AD280" s="4" t="s">
        <v>915</v>
      </c>
      <c r="AE280" s="4" t="s">
        <v>916</v>
      </c>
      <c r="AF280" s="4" t="s">
        <v>896</v>
      </c>
    </row>
    <row r="281" spans="1:35" ht="18" x14ac:dyDescent="0.3">
      <c r="A281" s="10" t="s">
        <v>917</v>
      </c>
      <c r="B281" s="10" t="s">
        <v>888</v>
      </c>
      <c r="C281" s="11" t="s">
        <v>889</v>
      </c>
      <c r="D281" s="12"/>
      <c r="E281" s="12"/>
      <c r="F281" s="12" t="s">
        <v>59</v>
      </c>
      <c r="G281" s="13">
        <v>1</v>
      </c>
      <c r="H281" s="13"/>
      <c r="I281" s="13">
        <v>0</v>
      </c>
      <c r="J281" s="14">
        <v>0</v>
      </c>
      <c r="K281" s="15">
        <v>1010</v>
      </c>
      <c r="L281" s="14">
        <f>J281+ROUND(K281, 2)</f>
        <v>1010</v>
      </c>
      <c r="M281" s="14">
        <v>0</v>
      </c>
      <c r="N281" s="14">
        <v>0</v>
      </c>
      <c r="O281" s="14">
        <f>M281+N281</f>
        <v>0</v>
      </c>
      <c r="P281" s="14">
        <v>390</v>
      </c>
      <c r="Q281" s="15">
        <v>1010</v>
      </c>
      <c r="R281" s="14">
        <f>P281+ROUND(Q281, 2)</f>
        <v>1400</v>
      </c>
      <c r="S281" s="14">
        <v>0</v>
      </c>
      <c r="T281" s="14">
        <v>0</v>
      </c>
      <c r="U281" s="14">
        <f>S281+T281</f>
        <v>0</v>
      </c>
      <c r="V281" s="9">
        <f>ROUND(P281 / 1.2, 2)</f>
        <v>325</v>
      </c>
      <c r="W281" s="9">
        <f>ROUND(Q281 / 1.2, 2)</f>
        <v>841.67</v>
      </c>
      <c r="X281" s="9">
        <f>ROUND(R281 / 1.2, 2)</f>
        <v>1166.67</v>
      </c>
      <c r="Y281" s="9">
        <f t="shared" si="11"/>
        <v>0</v>
      </c>
      <c r="Z281" s="9">
        <f>ROUND(T281 / 1.2, 2)</f>
        <v>0</v>
      </c>
      <c r="AA281" s="9">
        <f>Y281+Z281</f>
        <v>0</v>
      </c>
      <c r="AD281" s="4">
        <v>315889983</v>
      </c>
      <c r="AE281" s="4">
        <v>27245683</v>
      </c>
      <c r="AG281" s="4" t="s">
        <v>890</v>
      </c>
      <c r="AH281" s="4" t="s">
        <v>891</v>
      </c>
      <c r="AI281" s="4" t="s">
        <v>224</v>
      </c>
    </row>
    <row r="282" spans="1:35" ht="36" x14ac:dyDescent="0.3">
      <c r="A282" s="10" t="s">
        <v>918</v>
      </c>
      <c r="B282" s="10"/>
      <c r="C282" s="16" t="s">
        <v>893</v>
      </c>
      <c r="D282" s="12"/>
      <c r="E282" s="12"/>
      <c r="F282" s="17" t="s">
        <v>308</v>
      </c>
      <c r="G282" s="18">
        <v>1.5</v>
      </c>
      <c r="H282" s="18"/>
      <c r="I282" s="18">
        <v>0</v>
      </c>
      <c r="J282" s="19">
        <v>260</v>
      </c>
      <c r="M282" s="20">
        <f>ROUND(ROUND(J282, 2)*I282, 2)</f>
        <v>0</v>
      </c>
      <c r="P282" s="19">
        <v>260</v>
      </c>
      <c r="S282" s="20">
        <f>ROUND(ROUND(P282, 2)*I282, 2)</f>
        <v>0</v>
      </c>
      <c r="V282" s="9">
        <f>ROUND(ROUND(P282, 2)/1.2, 2)</f>
        <v>216.67</v>
      </c>
      <c r="Y282" s="9">
        <f t="shared" si="11"/>
        <v>0</v>
      </c>
      <c r="AD282" s="4" t="s">
        <v>919</v>
      </c>
      <c r="AE282" s="4" t="s">
        <v>920</v>
      </c>
      <c r="AF282" s="4" t="s">
        <v>896</v>
      </c>
    </row>
    <row r="283" spans="1:35" ht="18" x14ac:dyDescent="0.3">
      <c r="A283" s="10" t="s">
        <v>921</v>
      </c>
      <c r="B283" s="10" t="s">
        <v>888</v>
      </c>
      <c r="C283" s="11" t="s">
        <v>889</v>
      </c>
      <c r="D283" s="12"/>
      <c r="E283" s="12"/>
      <c r="F283" s="12" t="s">
        <v>59</v>
      </c>
      <c r="G283" s="13">
        <v>1</v>
      </c>
      <c r="H283" s="13"/>
      <c r="I283" s="13">
        <v>0</v>
      </c>
      <c r="J283" s="14">
        <v>0</v>
      </c>
      <c r="K283" s="15">
        <v>1010</v>
      </c>
      <c r="L283" s="14">
        <f>J283+ROUND(K283, 2)</f>
        <v>1010</v>
      </c>
      <c r="M283" s="14">
        <v>0</v>
      </c>
      <c r="N283" s="14">
        <v>0</v>
      </c>
      <c r="O283" s="14">
        <f>M283+N283</f>
        <v>0</v>
      </c>
      <c r="P283" s="14">
        <v>0</v>
      </c>
      <c r="Q283" s="15">
        <v>1515</v>
      </c>
      <c r="R283" s="14">
        <f>P283+ROUND(Q283, 2)</f>
        <v>1515</v>
      </c>
      <c r="S283" s="14">
        <v>0</v>
      </c>
      <c r="T283" s="14">
        <v>0</v>
      </c>
      <c r="U283" s="14">
        <f>S283+T283</f>
        <v>0</v>
      </c>
      <c r="V283" s="9">
        <f>ROUND(P283 / 1.2, 2)</f>
        <v>0</v>
      </c>
      <c r="W283" s="9">
        <f>ROUND(Q283 / 1.2, 2)</f>
        <v>1262.5</v>
      </c>
      <c r="X283" s="9">
        <f>ROUND(R283 / 1.2, 2)</f>
        <v>1262.5</v>
      </c>
      <c r="Y283" s="9">
        <f t="shared" si="11"/>
        <v>0</v>
      </c>
      <c r="Z283" s="9">
        <f>ROUND(T283 / 1.2, 2)</f>
        <v>0</v>
      </c>
      <c r="AA283" s="9">
        <f>Y283+Z283</f>
        <v>0</v>
      </c>
      <c r="AD283" s="4">
        <v>315889984</v>
      </c>
      <c r="AE283" s="4">
        <v>27245684</v>
      </c>
      <c r="AG283" s="4" t="s">
        <v>890</v>
      </c>
      <c r="AH283" s="4" t="s">
        <v>891</v>
      </c>
      <c r="AI283" s="4" t="s">
        <v>224</v>
      </c>
    </row>
    <row r="284" spans="1:35" ht="36" x14ac:dyDescent="0.3">
      <c r="A284" s="10" t="s">
        <v>922</v>
      </c>
      <c r="B284" s="10"/>
      <c r="C284" s="16" t="s">
        <v>893</v>
      </c>
      <c r="D284" s="12"/>
      <c r="E284" s="12"/>
      <c r="F284" s="17" t="s">
        <v>308</v>
      </c>
      <c r="G284" s="18">
        <v>1.5</v>
      </c>
      <c r="H284" s="18"/>
      <c r="I284" s="18">
        <v>0</v>
      </c>
      <c r="J284" s="19">
        <v>260</v>
      </c>
      <c r="M284" s="20">
        <f>ROUND(ROUND(J284, 2)*I284, 2)</f>
        <v>0</v>
      </c>
      <c r="P284" s="19">
        <v>260</v>
      </c>
      <c r="S284" s="20">
        <f>ROUND(ROUND(P284, 2)*I284, 2)</f>
        <v>0</v>
      </c>
      <c r="V284" s="9">
        <f>ROUND(ROUND(P284, 2)/1.2, 2)</f>
        <v>216.67</v>
      </c>
      <c r="Y284" s="9">
        <f t="shared" si="11"/>
        <v>0</v>
      </c>
      <c r="AD284" s="4" t="s">
        <v>923</v>
      </c>
      <c r="AE284" s="4" t="s">
        <v>924</v>
      </c>
      <c r="AF284" s="4" t="s">
        <v>896</v>
      </c>
    </row>
    <row r="285" spans="1:35" ht="18" x14ac:dyDescent="0.3">
      <c r="A285" s="10" t="s">
        <v>925</v>
      </c>
      <c r="B285" s="10" t="s">
        <v>888</v>
      </c>
      <c r="C285" s="11" t="s">
        <v>889</v>
      </c>
      <c r="D285" s="12"/>
      <c r="E285" s="12"/>
      <c r="F285" s="12" t="s">
        <v>59</v>
      </c>
      <c r="G285" s="13">
        <v>1</v>
      </c>
      <c r="H285" s="13"/>
      <c r="I285" s="13">
        <v>0</v>
      </c>
      <c r="J285" s="14">
        <v>0</v>
      </c>
      <c r="K285" s="15">
        <v>1010</v>
      </c>
      <c r="L285" s="14">
        <f>J285+ROUND(K285, 2)</f>
        <v>1010</v>
      </c>
      <c r="M285" s="14">
        <v>0</v>
      </c>
      <c r="N285" s="14">
        <v>0</v>
      </c>
      <c r="O285" s="14">
        <f>M285+N285</f>
        <v>0</v>
      </c>
      <c r="P285" s="14">
        <v>0</v>
      </c>
      <c r="Q285" s="15">
        <v>1515</v>
      </c>
      <c r="R285" s="14">
        <f>P285+ROUND(Q285, 2)</f>
        <v>1515</v>
      </c>
      <c r="S285" s="14">
        <v>0</v>
      </c>
      <c r="T285" s="14">
        <v>0</v>
      </c>
      <c r="U285" s="14">
        <f>S285+T285</f>
        <v>0</v>
      </c>
      <c r="V285" s="9">
        <f>ROUND(P285 / 1.2, 2)</f>
        <v>0</v>
      </c>
      <c r="W285" s="9">
        <f>ROUND(Q285 / 1.2, 2)</f>
        <v>1262.5</v>
      </c>
      <c r="X285" s="9">
        <f>ROUND(R285 / 1.2, 2)</f>
        <v>1262.5</v>
      </c>
      <c r="Y285" s="9">
        <f t="shared" si="11"/>
        <v>0</v>
      </c>
      <c r="Z285" s="9">
        <f>ROUND(T285 / 1.2, 2)</f>
        <v>0</v>
      </c>
      <c r="AA285" s="9">
        <f>Y285+Z285</f>
        <v>0</v>
      </c>
      <c r="AD285" s="4">
        <v>315889985</v>
      </c>
      <c r="AE285" s="4">
        <v>27245685</v>
      </c>
      <c r="AG285" s="4" t="s">
        <v>890</v>
      </c>
      <c r="AH285" s="4" t="s">
        <v>891</v>
      </c>
      <c r="AI285" s="4" t="s">
        <v>224</v>
      </c>
    </row>
    <row r="286" spans="1:35" ht="36" x14ac:dyDescent="0.3">
      <c r="A286" s="10" t="s">
        <v>926</v>
      </c>
      <c r="B286" s="10"/>
      <c r="C286" s="16" t="s">
        <v>893</v>
      </c>
      <c r="D286" s="12"/>
      <c r="E286" s="12"/>
      <c r="F286" s="17" t="s">
        <v>308</v>
      </c>
      <c r="G286" s="18">
        <v>1.5</v>
      </c>
      <c r="H286" s="18"/>
      <c r="I286" s="18">
        <v>0</v>
      </c>
      <c r="J286" s="19">
        <v>260</v>
      </c>
      <c r="M286" s="20">
        <f>ROUND(ROUND(J286, 2)*I286, 2)</f>
        <v>0</v>
      </c>
      <c r="P286" s="19">
        <v>260</v>
      </c>
      <c r="S286" s="20">
        <f>ROUND(ROUND(P286, 2)*I286, 2)</f>
        <v>0</v>
      </c>
      <c r="V286" s="9">
        <f>ROUND(ROUND(P286, 2)/1.2, 2)</f>
        <v>216.67</v>
      </c>
      <c r="Y286" s="9">
        <f t="shared" si="11"/>
        <v>0</v>
      </c>
      <c r="AD286" s="4" t="s">
        <v>927</v>
      </c>
      <c r="AE286" s="4" t="s">
        <v>928</v>
      </c>
      <c r="AF286" s="4" t="s">
        <v>896</v>
      </c>
    </row>
    <row r="287" spans="1:35" ht="18" x14ac:dyDescent="0.3">
      <c r="A287" s="10" t="s">
        <v>929</v>
      </c>
      <c r="B287" s="10" t="s">
        <v>888</v>
      </c>
      <c r="C287" s="11" t="s">
        <v>889</v>
      </c>
      <c r="D287" s="12"/>
      <c r="E287" s="12"/>
      <c r="F287" s="12" t="s">
        <v>59</v>
      </c>
      <c r="G287" s="13">
        <v>1</v>
      </c>
      <c r="H287" s="13"/>
      <c r="I287" s="13">
        <v>0</v>
      </c>
      <c r="J287" s="14">
        <v>0</v>
      </c>
      <c r="K287" s="15">
        <v>1010</v>
      </c>
      <c r="L287" s="14">
        <f>J287+ROUND(K287, 2)</f>
        <v>1010</v>
      </c>
      <c r="M287" s="14">
        <v>0</v>
      </c>
      <c r="N287" s="14">
        <v>0</v>
      </c>
      <c r="O287" s="14">
        <f>M287+N287</f>
        <v>0</v>
      </c>
      <c r="P287" s="14">
        <v>0</v>
      </c>
      <c r="Q287" s="15">
        <v>1515</v>
      </c>
      <c r="R287" s="14">
        <f>P287+ROUND(Q287, 2)</f>
        <v>1515</v>
      </c>
      <c r="S287" s="14">
        <v>0</v>
      </c>
      <c r="T287" s="14">
        <v>0</v>
      </c>
      <c r="U287" s="14">
        <f>S287+T287</f>
        <v>0</v>
      </c>
      <c r="V287" s="9">
        <f>ROUND(P287 / 1.2, 2)</f>
        <v>0</v>
      </c>
      <c r="W287" s="9">
        <f>ROUND(Q287 / 1.2, 2)</f>
        <v>1262.5</v>
      </c>
      <c r="X287" s="9">
        <f>ROUND(R287 / 1.2, 2)</f>
        <v>1262.5</v>
      </c>
      <c r="Y287" s="9">
        <f t="shared" si="11"/>
        <v>0</v>
      </c>
      <c r="Z287" s="9">
        <f>ROUND(T287 / 1.2, 2)</f>
        <v>0</v>
      </c>
      <c r="AA287" s="9">
        <f>Y287+Z287</f>
        <v>0</v>
      </c>
      <c r="AD287" s="4">
        <v>315889986</v>
      </c>
      <c r="AE287" s="4">
        <v>27245686</v>
      </c>
      <c r="AG287" s="4" t="s">
        <v>890</v>
      </c>
      <c r="AH287" s="4" t="s">
        <v>891</v>
      </c>
      <c r="AI287" s="4" t="s">
        <v>224</v>
      </c>
    </row>
    <row r="288" spans="1:35" ht="36" x14ac:dyDescent="0.3">
      <c r="A288" s="10" t="s">
        <v>930</v>
      </c>
      <c r="B288" s="10"/>
      <c r="C288" s="16" t="s">
        <v>893</v>
      </c>
      <c r="D288" s="12"/>
      <c r="E288" s="12"/>
      <c r="F288" s="17" t="s">
        <v>308</v>
      </c>
      <c r="G288" s="18">
        <v>1.5</v>
      </c>
      <c r="H288" s="18"/>
      <c r="I288" s="18">
        <v>0</v>
      </c>
      <c r="J288" s="19">
        <v>260</v>
      </c>
      <c r="M288" s="20">
        <f>ROUND(ROUND(J288, 2)*I288, 2)</f>
        <v>0</v>
      </c>
      <c r="P288" s="19">
        <v>260</v>
      </c>
      <c r="S288" s="20">
        <f>ROUND(ROUND(P288, 2)*I288, 2)</f>
        <v>0</v>
      </c>
      <c r="V288" s="9">
        <f>ROUND(ROUND(P288, 2)/1.2, 2)</f>
        <v>216.67</v>
      </c>
      <c r="Y288" s="9">
        <f t="shared" si="11"/>
        <v>0</v>
      </c>
      <c r="AD288" s="4" t="s">
        <v>931</v>
      </c>
      <c r="AE288" s="4" t="s">
        <v>932</v>
      </c>
      <c r="AF288" s="4" t="s">
        <v>896</v>
      </c>
    </row>
    <row r="289" spans="1:35" ht="18" x14ac:dyDescent="0.3">
      <c r="A289" s="10" t="s">
        <v>933</v>
      </c>
      <c r="B289" s="10" t="s">
        <v>888</v>
      </c>
      <c r="C289" s="11" t="s">
        <v>889</v>
      </c>
      <c r="D289" s="12"/>
      <c r="E289" s="12" t="s">
        <v>934</v>
      </c>
      <c r="F289" s="12" t="s">
        <v>59</v>
      </c>
      <c r="G289" s="13">
        <v>1</v>
      </c>
      <c r="H289" s="13"/>
      <c r="I289" s="13">
        <v>195.1</v>
      </c>
      <c r="J289" s="14">
        <v>390</v>
      </c>
      <c r="K289" s="15">
        <v>1010</v>
      </c>
      <c r="L289" s="14">
        <f>J289+ROUND(K289, 2)</f>
        <v>1400</v>
      </c>
      <c r="M289" s="14">
        <v>76089</v>
      </c>
      <c r="N289" s="14">
        <v>197051</v>
      </c>
      <c r="O289" s="14">
        <f>M289+N289</f>
        <v>273140</v>
      </c>
      <c r="P289" s="14">
        <v>390</v>
      </c>
      <c r="Q289" s="15">
        <v>1515</v>
      </c>
      <c r="R289" s="14">
        <f>P289+ROUND(Q289, 2)</f>
        <v>1905</v>
      </c>
      <c r="S289" s="14">
        <v>76089</v>
      </c>
      <c r="T289" s="14">
        <v>295576.5</v>
      </c>
      <c r="U289" s="14">
        <f>S289+T289</f>
        <v>371665.5</v>
      </c>
      <c r="V289" s="9">
        <f>ROUND(P289 / 1.2, 2)</f>
        <v>325</v>
      </c>
      <c r="W289" s="9">
        <f>ROUND(Q289 / 1.2, 2)</f>
        <v>1262.5</v>
      </c>
      <c r="X289" s="9">
        <f>ROUND(R289 / 1.2, 2)</f>
        <v>1587.5</v>
      </c>
      <c r="Y289" s="9">
        <f t="shared" si="11"/>
        <v>63407.5</v>
      </c>
      <c r="Z289" s="9">
        <f>ROUND(T289 / 1.2, 2)</f>
        <v>246313.75</v>
      </c>
      <c r="AA289" s="9">
        <f>Y289+Z289</f>
        <v>309721.25</v>
      </c>
      <c r="AD289" s="4">
        <v>315889987</v>
      </c>
      <c r="AE289" s="4">
        <v>27245757</v>
      </c>
      <c r="AG289" s="4" t="s">
        <v>890</v>
      </c>
      <c r="AH289" s="4" t="s">
        <v>891</v>
      </c>
      <c r="AI289" s="4" t="s">
        <v>224</v>
      </c>
    </row>
    <row r="290" spans="1:35" ht="36" x14ac:dyDescent="0.3">
      <c r="A290" s="10" t="s">
        <v>935</v>
      </c>
      <c r="B290" s="10"/>
      <c r="C290" s="16" t="s">
        <v>893</v>
      </c>
      <c r="D290" s="12"/>
      <c r="E290" s="12"/>
      <c r="F290" s="17" t="s">
        <v>308</v>
      </c>
      <c r="G290" s="18">
        <v>1.5</v>
      </c>
      <c r="H290" s="18"/>
      <c r="I290" s="18">
        <v>292.64999999999998</v>
      </c>
      <c r="J290" s="19">
        <v>260</v>
      </c>
      <c r="M290" s="20">
        <f>ROUND(ROUND(J290, 2)*I290, 2)</f>
        <v>76089</v>
      </c>
      <c r="P290" s="19">
        <v>260</v>
      </c>
      <c r="S290" s="20">
        <f>ROUND(ROUND(P290, 2)*I290, 2)</f>
        <v>76089</v>
      </c>
      <c r="V290" s="9">
        <f>ROUND(ROUND(P290, 2)/1.2, 2)</f>
        <v>216.67</v>
      </c>
      <c r="Y290" s="9">
        <f t="shared" si="11"/>
        <v>63407.5</v>
      </c>
      <c r="AD290" s="4" t="s">
        <v>936</v>
      </c>
      <c r="AE290" s="4" t="s">
        <v>937</v>
      </c>
      <c r="AF290" s="4" t="s">
        <v>896</v>
      </c>
    </row>
    <row r="291" spans="1:35" ht="18" x14ac:dyDescent="0.3">
      <c r="A291" s="10" t="s">
        <v>938</v>
      </c>
      <c r="B291" s="10" t="s">
        <v>888</v>
      </c>
      <c r="C291" s="11" t="s">
        <v>889</v>
      </c>
      <c r="D291" s="12"/>
      <c r="E291" s="12" t="s">
        <v>939</v>
      </c>
      <c r="F291" s="12" t="s">
        <v>59</v>
      </c>
      <c r="G291" s="13">
        <v>1</v>
      </c>
      <c r="H291" s="13"/>
      <c r="I291" s="13">
        <v>23.1</v>
      </c>
      <c r="J291" s="14">
        <v>390</v>
      </c>
      <c r="K291" s="15">
        <v>1010</v>
      </c>
      <c r="L291" s="14">
        <f>J291+ROUND(K291, 2)</f>
        <v>1400</v>
      </c>
      <c r="M291" s="14">
        <v>9009</v>
      </c>
      <c r="N291" s="14">
        <v>23331</v>
      </c>
      <c r="O291" s="14">
        <f>M291+N291</f>
        <v>32340</v>
      </c>
      <c r="P291" s="14">
        <v>390</v>
      </c>
      <c r="Q291" s="15">
        <v>1515</v>
      </c>
      <c r="R291" s="14">
        <f>P291+ROUND(Q291, 2)</f>
        <v>1905</v>
      </c>
      <c r="S291" s="14">
        <v>9009</v>
      </c>
      <c r="T291" s="14">
        <v>34996.5</v>
      </c>
      <c r="U291" s="14">
        <f>S291+T291</f>
        <v>44005.5</v>
      </c>
      <c r="V291" s="9">
        <f>ROUND(P291 / 1.2, 2)</f>
        <v>325</v>
      </c>
      <c r="W291" s="9">
        <f>ROUND(Q291 / 1.2, 2)</f>
        <v>1262.5</v>
      </c>
      <c r="X291" s="9">
        <f>ROUND(R291 / 1.2, 2)</f>
        <v>1587.5</v>
      </c>
      <c r="Y291" s="9">
        <f t="shared" si="11"/>
        <v>7507.5</v>
      </c>
      <c r="Z291" s="9">
        <f>ROUND(T291 / 1.2, 2)</f>
        <v>29163.75</v>
      </c>
      <c r="AA291" s="9">
        <f>Y291+Z291</f>
        <v>36671.25</v>
      </c>
      <c r="AD291" s="4">
        <v>315889988</v>
      </c>
      <c r="AE291" s="4">
        <v>27245794</v>
      </c>
      <c r="AG291" s="4" t="s">
        <v>890</v>
      </c>
      <c r="AH291" s="4" t="s">
        <v>891</v>
      </c>
      <c r="AI291" s="4" t="s">
        <v>224</v>
      </c>
    </row>
    <row r="292" spans="1:35" ht="36" x14ac:dyDescent="0.3">
      <c r="A292" s="10" t="s">
        <v>940</v>
      </c>
      <c r="B292" s="10"/>
      <c r="C292" s="16" t="s">
        <v>893</v>
      </c>
      <c r="D292" s="12"/>
      <c r="E292" s="12"/>
      <c r="F292" s="17" t="s">
        <v>308</v>
      </c>
      <c r="G292" s="18">
        <v>1.5</v>
      </c>
      <c r="H292" s="18"/>
      <c r="I292" s="18">
        <v>34.65</v>
      </c>
      <c r="J292" s="19">
        <v>260</v>
      </c>
      <c r="M292" s="20">
        <f>ROUND(ROUND(J292, 2)*I292, 2)</f>
        <v>9009</v>
      </c>
      <c r="P292" s="19">
        <v>260</v>
      </c>
      <c r="S292" s="20">
        <f>ROUND(ROUND(P292, 2)*I292, 2)</f>
        <v>9009</v>
      </c>
      <c r="V292" s="9">
        <f>ROUND(ROUND(P292, 2)/1.2, 2)</f>
        <v>216.67</v>
      </c>
      <c r="Y292" s="9">
        <f t="shared" si="11"/>
        <v>7507.5</v>
      </c>
      <c r="AD292" s="4" t="s">
        <v>941</v>
      </c>
      <c r="AE292" s="4" t="s">
        <v>942</v>
      </c>
      <c r="AF292" s="4" t="s">
        <v>896</v>
      </c>
    </row>
    <row r="293" spans="1:35" ht="18" x14ac:dyDescent="0.3">
      <c r="A293" s="10" t="s">
        <v>943</v>
      </c>
      <c r="B293" s="10" t="s">
        <v>888</v>
      </c>
      <c r="C293" s="11" t="s">
        <v>889</v>
      </c>
      <c r="D293" s="12"/>
      <c r="E293" s="12" t="s">
        <v>944</v>
      </c>
      <c r="F293" s="12" t="s">
        <v>59</v>
      </c>
      <c r="G293" s="13">
        <v>1</v>
      </c>
      <c r="H293" s="13"/>
      <c r="I293" s="13">
        <v>75</v>
      </c>
      <c r="J293" s="14">
        <v>390</v>
      </c>
      <c r="K293" s="15">
        <v>1010</v>
      </c>
      <c r="L293" s="14">
        <f>J293+ROUND(K293, 2)</f>
        <v>1400</v>
      </c>
      <c r="M293" s="14">
        <v>29250</v>
      </c>
      <c r="N293" s="14">
        <v>75750</v>
      </c>
      <c r="O293" s="14">
        <f>M293+N293</f>
        <v>105000</v>
      </c>
      <c r="P293" s="14">
        <v>390</v>
      </c>
      <c r="Q293" s="15">
        <v>1515</v>
      </c>
      <c r="R293" s="14">
        <f>P293+ROUND(Q293, 2)</f>
        <v>1905</v>
      </c>
      <c r="S293" s="14">
        <v>29250</v>
      </c>
      <c r="T293" s="14">
        <v>113625</v>
      </c>
      <c r="U293" s="14">
        <f>S293+T293</f>
        <v>142875</v>
      </c>
      <c r="V293" s="9">
        <f>ROUND(P293 / 1.2, 2)</f>
        <v>325</v>
      </c>
      <c r="W293" s="9">
        <f>ROUND(Q293 / 1.2, 2)</f>
        <v>1262.5</v>
      </c>
      <c r="X293" s="9">
        <f>ROUND(R293 / 1.2, 2)</f>
        <v>1587.5</v>
      </c>
      <c r="Y293" s="9">
        <f t="shared" si="11"/>
        <v>24375</v>
      </c>
      <c r="Z293" s="9">
        <f>ROUND(T293 / 1.2, 2)</f>
        <v>94687.5</v>
      </c>
      <c r="AA293" s="9">
        <f>Y293+Z293</f>
        <v>119062.5</v>
      </c>
      <c r="AD293" s="4">
        <v>315889989</v>
      </c>
      <c r="AE293" s="4">
        <v>27245758</v>
      </c>
      <c r="AG293" s="4" t="s">
        <v>890</v>
      </c>
      <c r="AH293" s="4" t="s">
        <v>891</v>
      </c>
      <c r="AI293" s="4" t="s">
        <v>224</v>
      </c>
    </row>
    <row r="294" spans="1:35" ht="36" x14ac:dyDescent="0.3">
      <c r="A294" s="10" t="s">
        <v>945</v>
      </c>
      <c r="B294" s="10"/>
      <c r="C294" s="16" t="s">
        <v>893</v>
      </c>
      <c r="D294" s="12"/>
      <c r="E294" s="12"/>
      <c r="F294" s="17" t="s">
        <v>308</v>
      </c>
      <c r="G294" s="18">
        <v>1.5</v>
      </c>
      <c r="H294" s="18"/>
      <c r="I294" s="18">
        <v>112.5</v>
      </c>
      <c r="J294" s="19">
        <v>260</v>
      </c>
      <c r="M294" s="20">
        <f>ROUND(ROUND(J294, 2)*I294, 2)</f>
        <v>29250</v>
      </c>
      <c r="P294" s="19">
        <v>260</v>
      </c>
      <c r="S294" s="20">
        <f>ROUND(ROUND(P294, 2)*I294, 2)</f>
        <v>29250</v>
      </c>
      <c r="V294" s="9">
        <f>ROUND(ROUND(P294, 2)/1.2, 2)</f>
        <v>216.67</v>
      </c>
      <c r="Y294" s="9">
        <f t="shared" si="11"/>
        <v>24375</v>
      </c>
      <c r="AD294" s="4" t="s">
        <v>946</v>
      </c>
      <c r="AE294" s="4" t="s">
        <v>947</v>
      </c>
      <c r="AF294" s="4" t="s">
        <v>896</v>
      </c>
    </row>
    <row r="295" spans="1:35" ht="18" x14ac:dyDescent="0.3">
      <c r="A295" s="10" t="s">
        <v>948</v>
      </c>
      <c r="B295" s="10" t="s">
        <v>888</v>
      </c>
      <c r="C295" s="11" t="s">
        <v>889</v>
      </c>
      <c r="D295" s="12"/>
      <c r="E295" s="12" t="s">
        <v>949</v>
      </c>
      <c r="F295" s="12" t="s">
        <v>59</v>
      </c>
      <c r="G295" s="13">
        <v>1</v>
      </c>
      <c r="H295" s="13"/>
      <c r="I295" s="13">
        <v>41.8</v>
      </c>
      <c r="J295" s="14">
        <v>390</v>
      </c>
      <c r="K295" s="15">
        <v>1010</v>
      </c>
      <c r="L295" s="14">
        <f>J295+ROUND(K295, 2)</f>
        <v>1400</v>
      </c>
      <c r="M295" s="14">
        <v>16302</v>
      </c>
      <c r="N295" s="14">
        <v>42218</v>
      </c>
      <c r="O295" s="14">
        <f>M295+N295</f>
        <v>58520</v>
      </c>
      <c r="P295" s="14">
        <v>390</v>
      </c>
      <c r="Q295" s="15">
        <v>1515</v>
      </c>
      <c r="R295" s="14">
        <f>P295+ROUND(Q295, 2)</f>
        <v>1905</v>
      </c>
      <c r="S295" s="14">
        <v>16302</v>
      </c>
      <c r="T295" s="14">
        <v>63327</v>
      </c>
      <c r="U295" s="14">
        <f>S295+T295</f>
        <v>79629</v>
      </c>
      <c r="V295" s="9">
        <f>ROUND(P295 / 1.2, 2)</f>
        <v>325</v>
      </c>
      <c r="W295" s="9">
        <f>ROUND(Q295 / 1.2, 2)</f>
        <v>1262.5</v>
      </c>
      <c r="X295" s="9">
        <f>ROUND(R295 / 1.2, 2)</f>
        <v>1587.5</v>
      </c>
      <c r="Y295" s="9">
        <f t="shared" si="11"/>
        <v>13585</v>
      </c>
      <c r="Z295" s="9">
        <f>ROUND(T295 / 1.2, 2)</f>
        <v>52772.5</v>
      </c>
      <c r="AA295" s="9">
        <f>Y295+Z295</f>
        <v>66357.5</v>
      </c>
      <c r="AD295" s="4">
        <v>315889990</v>
      </c>
      <c r="AE295" s="4">
        <v>27245795</v>
      </c>
      <c r="AG295" s="4" t="s">
        <v>890</v>
      </c>
      <c r="AH295" s="4" t="s">
        <v>891</v>
      </c>
      <c r="AI295" s="4" t="s">
        <v>224</v>
      </c>
    </row>
    <row r="296" spans="1:35" ht="36" x14ac:dyDescent="0.3">
      <c r="A296" s="10" t="s">
        <v>950</v>
      </c>
      <c r="B296" s="10"/>
      <c r="C296" s="16" t="s">
        <v>893</v>
      </c>
      <c r="D296" s="12"/>
      <c r="E296" s="12"/>
      <c r="F296" s="17" t="s">
        <v>308</v>
      </c>
      <c r="G296" s="18">
        <v>1.5</v>
      </c>
      <c r="H296" s="18"/>
      <c r="I296" s="18">
        <v>62.7</v>
      </c>
      <c r="J296" s="19">
        <v>260</v>
      </c>
      <c r="M296" s="20">
        <f>ROUND(ROUND(J296, 2)*I296, 2)</f>
        <v>16302</v>
      </c>
      <c r="P296" s="19">
        <v>260</v>
      </c>
      <c r="S296" s="20">
        <f>ROUND(ROUND(P296, 2)*I296, 2)</f>
        <v>16302</v>
      </c>
      <c r="V296" s="9">
        <f>ROUND(ROUND(P296, 2)/1.2, 2)</f>
        <v>216.67</v>
      </c>
      <c r="Y296" s="9">
        <f t="shared" si="11"/>
        <v>13585</v>
      </c>
      <c r="AD296" s="4" t="s">
        <v>951</v>
      </c>
      <c r="AE296" s="4" t="s">
        <v>952</v>
      </c>
      <c r="AF296" s="4" t="s">
        <v>896</v>
      </c>
    </row>
    <row r="297" spans="1:35" ht="18" x14ac:dyDescent="0.3">
      <c r="A297" s="10" t="s">
        <v>953</v>
      </c>
      <c r="B297" s="10" t="s">
        <v>888</v>
      </c>
      <c r="C297" s="11" t="s">
        <v>889</v>
      </c>
      <c r="D297" s="12"/>
      <c r="E297" s="12" t="s">
        <v>954</v>
      </c>
      <c r="F297" s="12" t="s">
        <v>59</v>
      </c>
      <c r="G297" s="13">
        <v>1</v>
      </c>
      <c r="H297" s="13"/>
      <c r="I297" s="13">
        <v>25.2</v>
      </c>
      <c r="J297" s="14">
        <v>390</v>
      </c>
      <c r="K297" s="15">
        <v>1010</v>
      </c>
      <c r="L297" s="14">
        <f>J297+ROUND(K297, 2)</f>
        <v>1400</v>
      </c>
      <c r="M297" s="14">
        <v>9828</v>
      </c>
      <c r="N297" s="14">
        <v>25452</v>
      </c>
      <c r="O297" s="14">
        <f>M297+N297</f>
        <v>35280</v>
      </c>
      <c r="P297" s="14">
        <v>390</v>
      </c>
      <c r="Q297" s="15">
        <v>1515</v>
      </c>
      <c r="R297" s="14">
        <f>P297+ROUND(Q297, 2)</f>
        <v>1905</v>
      </c>
      <c r="S297" s="14">
        <v>9828</v>
      </c>
      <c r="T297" s="14">
        <v>38178</v>
      </c>
      <c r="U297" s="14">
        <f>S297+T297</f>
        <v>48006</v>
      </c>
      <c r="V297" s="9">
        <f>ROUND(P297 / 1.2, 2)</f>
        <v>325</v>
      </c>
      <c r="W297" s="9">
        <f>ROUND(Q297 / 1.2, 2)</f>
        <v>1262.5</v>
      </c>
      <c r="X297" s="9">
        <f>ROUND(R297 / 1.2, 2)</f>
        <v>1587.5</v>
      </c>
      <c r="Y297" s="9">
        <f t="shared" si="11"/>
        <v>8190</v>
      </c>
      <c r="Z297" s="9">
        <f>ROUND(T297 / 1.2, 2)</f>
        <v>31815</v>
      </c>
      <c r="AA297" s="9">
        <f>Y297+Z297</f>
        <v>40005</v>
      </c>
      <c r="AD297" s="4">
        <v>315889991</v>
      </c>
      <c r="AE297" s="4">
        <v>27245726</v>
      </c>
      <c r="AG297" s="4" t="s">
        <v>890</v>
      </c>
      <c r="AH297" s="4" t="s">
        <v>891</v>
      </c>
      <c r="AI297" s="4" t="s">
        <v>224</v>
      </c>
    </row>
    <row r="298" spans="1:35" ht="36" x14ac:dyDescent="0.3">
      <c r="A298" s="10" t="s">
        <v>955</v>
      </c>
      <c r="B298" s="10"/>
      <c r="C298" s="16" t="s">
        <v>893</v>
      </c>
      <c r="D298" s="12"/>
      <c r="E298" s="12"/>
      <c r="F298" s="17" t="s">
        <v>308</v>
      </c>
      <c r="G298" s="18">
        <v>1.5</v>
      </c>
      <c r="H298" s="18"/>
      <c r="I298" s="18">
        <v>37.799999999999997</v>
      </c>
      <c r="J298" s="19">
        <v>260</v>
      </c>
      <c r="M298" s="20">
        <f>ROUND(ROUND(J298, 2)*I298, 2)</f>
        <v>9828</v>
      </c>
      <c r="P298" s="19">
        <v>260</v>
      </c>
      <c r="S298" s="20">
        <f>ROUND(ROUND(P298, 2)*I298, 2)</f>
        <v>9828</v>
      </c>
      <c r="V298" s="9">
        <f>ROUND(ROUND(P298, 2)/1.2, 2)</f>
        <v>216.67</v>
      </c>
      <c r="Y298" s="9">
        <f t="shared" si="11"/>
        <v>8190</v>
      </c>
      <c r="AD298" s="4" t="s">
        <v>956</v>
      </c>
      <c r="AE298" s="4" t="s">
        <v>957</v>
      </c>
      <c r="AF298" s="4" t="s">
        <v>896</v>
      </c>
    </row>
    <row r="299" spans="1:35" ht="72" x14ac:dyDescent="0.3">
      <c r="A299" s="10" t="s">
        <v>958</v>
      </c>
      <c r="B299" s="10" t="s">
        <v>888</v>
      </c>
      <c r="C299" s="11" t="s">
        <v>889</v>
      </c>
      <c r="D299" s="12"/>
      <c r="E299" s="12" t="s">
        <v>959</v>
      </c>
      <c r="F299" s="12" t="s">
        <v>59</v>
      </c>
      <c r="G299" s="13">
        <v>1</v>
      </c>
      <c r="H299" s="13"/>
      <c r="I299" s="13">
        <v>9.3000000000000007</v>
      </c>
      <c r="J299" s="14">
        <v>390</v>
      </c>
      <c r="K299" s="15">
        <v>1010</v>
      </c>
      <c r="L299" s="14">
        <f>J299+ROUND(K299, 2)</f>
        <v>1400</v>
      </c>
      <c r="M299" s="14">
        <v>3627</v>
      </c>
      <c r="N299" s="14">
        <v>9393</v>
      </c>
      <c r="O299" s="14">
        <f>M299+N299</f>
        <v>13020</v>
      </c>
      <c r="P299" s="14">
        <v>390</v>
      </c>
      <c r="Q299" s="15">
        <v>1515</v>
      </c>
      <c r="R299" s="14">
        <f>P299+ROUND(Q299, 2)</f>
        <v>1905</v>
      </c>
      <c r="S299" s="14">
        <v>3627</v>
      </c>
      <c r="T299" s="14">
        <v>14089.5</v>
      </c>
      <c r="U299" s="14">
        <f>S299+T299</f>
        <v>17716.5</v>
      </c>
      <c r="V299" s="9">
        <f>ROUND(P299 / 1.2, 2)</f>
        <v>325</v>
      </c>
      <c r="W299" s="9">
        <f>ROUND(Q299 / 1.2, 2)</f>
        <v>1262.5</v>
      </c>
      <c r="X299" s="9">
        <f>ROUND(R299 / 1.2, 2)</f>
        <v>1587.5</v>
      </c>
      <c r="Y299" s="9">
        <f t="shared" si="11"/>
        <v>3022.5</v>
      </c>
      <c r="Z299" s="9">
        <f>ROUND(T299 / 1.2, 2)</f>
        <v>11741.25</v>
      </c>
      <c r="AA299" s="9">
        <f>Y299+Z299</f>
        <v>14763.75</v>
      </c>
      <c r="AD299" s="4">
        <v>315889992</v>
      </c>
      <c r="AE299" s="4">
        <v>27245752</v>
      </c>
      <c r="AG299" s="4" t="s">
        <v>890</v>
      </c>
      <c r="AH299" s="4" t="s">
        <v>891</v>
      </c>
      <c r="AI299" s="4" t="s">
        <v>224</v>
      </c>
    </row>
    <row r="300" spans="1:35" ht="36" x14ac:dyDescent="0.3">
      <c r="A300" s="10" t="s">
        <v>960</v>
      </c>
      <c r="B300" s="10"/>
      <c r="C300" s="16" t="s">
        <v>893</v>
      </c>
      <c r="D300" s="12"/>
      <c r="E300" s="12"/>
      <c r="F300" s="17" t="s">
        <v>308</v>
      </c>
      <c r="G300" s="18">
        <v>1.5</v>
      </c>
      <c r="H300" s="18"/>
      <c r="I300" s="18">
        <v>13.95</v>
      </c>
      <c r="J300" s="19">
        <v>260</v>
      </c>
      <c r="M300" s="20">
        <f>ROUND(ROUND(J300, 2)*I300, 2)</f>
        <v>3627</v>
      </c>
      <c r="P300" s="19">
        <v>260</v>
      </c>
      <c r="S300" s="20">
        <f>ROUND(ROUND(P300, 2)*I300, 2)</f>
        <v>3627</v>
      </c>
      <c r="V300" s="9">
        <f>ROUND(ROUND(P300, 2)/1.2, 2)</f>
        <v>216.67</v>
      </c>
      <c r="Y300" s="9">
        <f t="shared" si="11"/>
        <v>3022.5</v>
      </c>
      <c r="AD300" s="4" t="s">
        <v>961</v>
      </c>
      <c r="AE300" s="4" t="s">
        <v>962</v>
      </c>
      <c r="AF300" s="4" t="s">
        <v>896</v>
      </c>
    </row>
    <row r="301" spans="1:35" ht="72" x14ac:dyDescent="0.3">
      <c r="A301" s="10" t="s">
        <v>963</v>
      </c>
      <c r="B301" s="10" t="s">
        <v>888</v>
      </c>
      <c r="C301" s="11" t="s">
        <v>889</v>
      </c>
      <c r="D301" s="12"/>
      <c r="E301" s="12" t="s">
        <v>964</v>
      </c>
      <c r="F301" s="12" t="s">
        <v>59</v>
      </c>
      <c r="G301" s="13">
        <v>1</v>
      </c>
      <c r="H301" s="13"/>
      <c r="I301" s="13">
        <v>9.4</v>
      </c>
      <c r="J301" s="14">
        <v>390</v>
      </c>
      <c r="K301" s="15">
        <v>1010</v>
      </c>
      <c r="L301" s="14">
        <f>J301+ROUND(K301, 2)</f>
        <v>1400</v>
      </c>
      <c r="M301" s="14">
        <v>3666</v>
      </c>
      <c r="N301" s="14">
        <v>9494</v>
      </c>
      <c r="O301" s="14">
        <f>M301+N301</f>
        <v>13160</v>
      </c>
      <c r="P301" s="14">
        <v>390</v>
      </c>
      <c r="Q301" s="15">
        <v>1515</v>
      </c>
      <c r="R301" s="14">
        <f>P301+ROUND(Q301, 2)</f>
        <v>1905</v>
      </c>
      <c r="S301" s="14">
        <v>3666</v>
      </c>
      <c r="T301" s="14">
        <v>14241</v>
      </c>
      <c r="U301" s="14">
        <f>S301+T301</f>
        <v>17907</v>
      </c>
      <c r="V301" s="9">
        <f>ROUND(P301 / 1.2, 2)</f>
        <v>325</v>
      </c>
      <c r="W301" s="9">
        <f>ROUND(Q301 / 1.2, 2)</f>
        <v>1262.5</v>
      </c>
      <c r="X301" s="9">
        <f>ROUND(R301 / 1.2, 2)</f>
        <v>1587.5</v>
      </c>
      <c r="Y301" s="9">
        <f t="shared" si="11"/>
        <v>3055</v>
      </c>
      <c r="Z301" s="9">
        <f>ROUND(T301 / 1.2, 2)</f>
        <v>11867.5</v>
      </c>
      <c r="AA301" s="9">
        <f>Y301+Z301</f>
        <v>14922.5</v>
      </c>
      <c r="AD301" s="4">
        <v>315889993</v>
      </c>
      <c r="AE301" s="4">
        <v>27245756</v>
      </c>
      <c r="AG301" s="4" t="s">
        <v>890</v>
      </c>
      <c r="AH301" s="4" t="s">
        <v>891</v>
      </c>
      <c r="AI301" s="4" t="s">
        <v>224</v>
      </c>
    </row>
    <row r="302" spans="1:35" ht="36" x14ac:dyDescent="0.3">
      <c r="A302" s="10" t="s">
        <v>965</v>
      </c>
      <c r="B302" s="10"/>
      <c r="C302" s="16" t="s">
        <v>893</v>
      </c>
      <c r="D302" s="12"/>
      <c r="E302" s="12"/>
      <c r="F302" s="17" t="s">
        <v>308</v>
      </c>
      <c r="G302" s="18">
        <v>1.5</v>
      </c>
      <c r="H302" s="18"/>
      <c r="I302" s="18">
        <v>14.1</v>
      </c>
      <c r="J302" s="19">
        <v>260</v>
      </c>
      <c r="M302" s="20">
        <f>ROUND(ROUND(J302, 2)*I302, 2)</f>
        <v>3666</v>
      </c>
      <c r="P302" s="19">
        <v>260</v>
      </c>
      <c r="S302" s="20">
        <f>ROUND(ROUND(P302, 2)*I302, 2)</f>
        <v>3666</v>
      </c>
      <c r="V302" s="9">
        <f>ROUND(ROUND(P302, 2)/1.2, 2)</f>
        <v>216.67</v>
      </c>
      <c r="Y302" s="9">
        <f t="shared" si="11"/>
        <v>3055</v>
      </c>
      <c r="AD302" s="4" t="s">
        <v>966</v>
      </c>
      <c r="AE302" s="4" t="s">
        <v>967</v>
      </c>
      <c r="AF302" s="4" t="s">
        <v>896</v>
      </c>
    </row>
    <row r="303" spans="1:35" ht="18" x14ac:dyDescent="0.3">
      <c r="A303" s="10" t="s">
        <v>968</v>
      </c>
      <c r="B303" s="10" t="s">
        <v>888</v>
      </c>
      <c r="C303" s="11" t="s">
        <v>889</v>
      </c>
      <c r="D303" s="12"/>
      <c r="E303" s="12"/>
      <c r="F303" s="12" t="s">
        <v>59</v>
      </c>
      <c r="G303" s="13">
        <v>1</v>
      </c>
      <c r="H303" s="13"/>
      <c r="I303" s="13">
        <v>0</v>
      </c>
      <c r="J303" s="14">
        <v>0</v>
      </c>
      <c r="K303" s="15">
        <v>1010</v>
      </c>
      <c r="L303" s="14">
        <f>J303+ROUND(K303, 2)</f>
        <v>1010</v>
      </c>
      <c r="M303" s="14">
        <v>0</v>
      </c>
      <c r="N303" s="14">
        <v>0</v>
      </c>
      <c r="O303" s="14">
        <f>M303+N303</f>
        <v>0</v>
      </c>
      <c r="P303" s="14">
        <v>0</v>
      </c>
      <c r="Q303" s="15">
        <v>1515</v>
      </c>
      <c r="R303" s="14">
        <f>P303+ROUND(Q303, 2)</f>
        <v>1515</v>
      </c>
      <c r="S303" s="14">
        <v>0</v>
      </c>
      <c r="T303" s="14">
        <v>0</v>
      </c>
      <c r="U303" s="14">
        <f>S303+T303</f>
        <v>0</v>
      </c>
      <c r="V303" s="9">
        <f>ROUND(P303 / 1.2, 2)</f>
        <v>0</v>
      </c>
      <c r="W303" s="9">
        <f>ROUND(Q303 / 1.2, 2)</f>
        <v>1262.5</v>
      </c>
      <c r="X303" s="9">
        <f>ROUND(R303 / 1.2, 2)</f>
        <v>1262.5</v>
      </c>
      <c r="Y303" s="9">
        <f t="shared" si="11"/>
        <v>0</v>
      </c>
      <c r="Z303" s="9">
        <f>ROUND(T303 / 1.2, 2)</f>
        <v>0</v>
      </c>
      <c r="AA303" s="9">
        <f>Y303+Z303</f>
        <v>0</v>
      </c>
      <c r="AD303" s="4">
        <v>315889994</v>
      </c>
      <c r="AE303" s="4">
        <v>27245687</v>
      </c>
      <c r="AG303" s="4" t="s">
        <v>890</v>
      </c>
      <c r="AH303" s="4" t="s">
        <v>891</v>
      </c>
      <c r="AI303" s="4" t="s">
        <v>224</v>
      </c>
    </row>
    <row r="304" spans="1:35" ht="36" x14ac:dyDescent="0.3">
      <c r="A304" s="10" t="s">
        <v>969</v>
      </c>
      <c r="B304" s="10"/>
      <c r="C304" s="16" t="s">
        <v>893</v>
      </c>
      <c r="D304" s="12"/>
      <c r="E304" s="12"/>
      <c r="F304" s="17" t="s">
        <v>308</v>
      </c>
      <c r="G304" s="18">
        <v>1.5</v>
      </c>
      <c r="H304" s="18"/>
      <c r="I304" s="18">
        <v>0</v>
      </c>
      <c r="J304" s="19">
        <v>260</v>
      </c>
      <c r="M304" s="20">
        <f>ROUND(ROUND(J304, 2)*I304, 2)</f>
        <v>0</v>
      </c>
      <c r="P304" s="19">
        <v>260</v>
      </c>
      <c r="S304" s="20">
        <f>ROUND(ROUND(P304, 2)*I304, 2)</f>
        <v>0</v>
      </c>
      <c r="V304" s="9">
        <f>ROUND(ROUND(P304, 2)/1.2, 2)</f>
        <v>216.67</v>
      </c>
      <c r="Y304" s="9">
        <f t="shared" si="11"/>
        <v>0</v>
      </c>
      <c r="AD304" s="4" t="s">
        <v>970</v>
      </c>
      <c r="AE304" s="4" t="s">
        <v>971</v>
      </c>
      <c r="AF304" s="4" t="s">
        <v>896</v>
      </c>
    </row>
    <row r="305" spans="1:35" ht="18" x14ac:dyDescent="0.3">
      <c r="A305" s="10" t="s">
        <v>972</v>
      </c>
      <c r="B305" s="10" t="s">
        <v>973</v>
      </c>
      <c r="C305" s="11" t="s">
        <v>974</v>
      </c>
      <c r="D305" s="12"/>
      <c r="E305" s="12"/>
      <c r="F305" s="12" t="s">
        <v>59</v>
      </c>
      <c r="G305" s="13">
        <v>1</v>
      </c>
      <c r="H305" s="13"/>
      <c r="I305" s="13">
        <v>0</v>
      </c>
      <c r="J305" s="14">
        <v>0</v>
      </c>
      <c r="K305" s="15">
        <v>1010</v>
      </c>
      <c r="L305" s="14">
        <f>J305+ROUND(K305, 2)</f>
        <v>1010</v>
      </c>
      <c r="M305" s="14">
        <v>0</v>
      </c>
      <c r="N305" s="14">
        <v>0</v>
      </c>
      <c r="O305" s="14">
        <f>M305+N305</f>
        <v>0</v>
      </c>
      <c r="P305" s="14">
        <v>418</v>
      </c>
      <c r="Q305" s="15">
        <v>1010</v>
      </c>
      <c r="R305" s="14">
        <f>P305+ROUND(Q305, 2)</f>
        <v>1428</v>
      </c>
      <c r="S305" s="14">
        <v>0</v>
      </c>
      <c r="T305" s="14">
        <v>0</v>
      </c>
      <c r="U305" s="14">
        <f>S305+T305</f>
        <v>0</v>
      </c>
      <c r="V305" s="9">
        <f>ROUND(P305 / 1.2, 2)</f>
        <v>348.33</v>
      </c>
      <c r="W305" s="9">
        <f>ROUND(Q305 / 1.2, 2)</f>
        <v>841.67</v>
      </c>
      <c r="X305" s="9">
        <f>ROUND(R305 / 1.2, 2)</f>
        <v>1190</v>
      </c>
      <c r="Y305" s="9">
        <f t="shared" si="11"/>
        <v>0</v>
      </c>
      <c r="Z305" s="9">
        <f>ROUND(T305 / 1.2, 2)</f>
        <v>0</v>
      </c>
      <c r="AA305" s="9">
        <f>Y305+Z305</f>
        <v>0</v>
      </c>
      <c r="AD305" s="4">
        <v>315889995</v>
      </c>
      <c r="AE305" s="4">
        <v>27245696</v>
      </c>
      <c r="AG305" s="4" t="s">
        <v>975</v>
      </c>
      <c r="AH305" s="4" t="s">
        <v>976</v>
      </c>
      <c r="AI305" s="4" t="s">
        <v>224</v>
      </c>
    </row>
    <row r="306" spans="1:35" ht="18" x14ac:dyDescent="0.3">
      <c r="A306" s="10" t="s">
        <v>977</v>
      </c>
      <c r="B306" s="10"/>
      <c r="C306" s="16" t="s">
        <v>978</v>
      </c>
      <c r="D306" s="12"/>
      <c r="E306" s="12"/>
      <c r="F306" s="17" t="s">
        <v>308</v>
      </c>
      <c r="G306" s="18">
        <v>1</v>
      </c>
      <c r="H306" s="18"/>
      <c r="I306" s="18">
        <v>0</v>
      </c>
      <c r="J306" s="19">
        <v>418</v>
      </c>
      <c r="M306" s="20">
        <f>ROUND(ROUND(J306, 2)*I306, 2)</f>
        <v>0</v>
      </c>
      <c r="P306" s="19">
        <v>418</v>
      </c>
      <c r="S306" s="20">
        <f>ROUND(ROUND(P306, 2)*I306, 2)</f>
        <v>0</v>
      </c>
      <c r="V306" s="9">
        <f>ROUND(ROUND(P306, 2)/1.2, 2)</f>
        <v>348.33</v>
      </c>
      <c r="Y306" s="9">
        <f t="shared" si="11"/>
        <v>0</v>
      </c>
      <c r="AD306" s="4" t="s">
        <v>979</v>
      </c>
      <c r="AE306" s="4" t="s">
        <v>980</v>
      </c>
      <c r="AF306" s="4" t="s">
        <v>981</v>
      </c>
    </row>
    <row r="307" spans="1:35" ht="216" x14ac:dyDescent="0.3">
      <c r="A307" s="10" t="s">
        <v>982</v>
      </c>
      <c r="B307" s="10" t="s">
        <v>973</v>
      </c>
      <c r="C307" s="11" t="s">
        <v>974</v>
      </c>
      <c r="D307" s="12"/>
      <c r="E307" s="12" t="s">
        <v>983</v>
      </c>
      <c r="F307" s="12" t="s">
        <v>59</v>
      </c>
      <c r="G307" s="13">
        <v>1</v>
      </c>
      <c r="H307" s="13"/>
      <c r="I307" s="13">
        <v>227.3</v>
      </c>
      <c r="J307" s="14">
        <v>418</v>
      </c>
      <c r="K307" s="15">
        <v>1010</v>
      </c>
      <c r="L307" s="14">
        <f>J307+ROUND(K307, 2)</f>
        <v>1428</v>
      </c>
      <c r="M307" s="14">
        <v>95011.4</v>
      </c>
      <c r="N307" s="14">
        <v>229573</v>
      </c>
      <c r="O307" s="14">
        <f>M307+N307</f>
        <v>324584.40000000002</v>
      </c>
      <c r="P307" s="14">
        <v>418</v>
      </c>
      <c r="Q307" s="15">
        <v>1515</v>
      </c>
      <c r="R307" s="14">
        <f>P307+ROUND(Q307, 2)</f>
        <v>1933</v>
      </c>
      <c r="S307" s="14">
        <v>95011.4</v>
      </c>
      <c r="T307" s="14">
        <v>344359.5</v>
      </c>
      <c r="U307" s="14">
        <f>S307+T307</f>
        <v>439370.9</v>
      </c>
      <c r="V307" s="9">
        <f>ROUND(P307 / 1.2, 2)</f>
        <v>348.33</v>
      </c>
      <c r="W307" s="9">
        <f>ROUND(Q307 / 1.2, 2)</f>
        <v>1262.5</v>
      </c>
      <c r="X307" s="9">
        <f>ROUND(R307 / 1.2, 2)</f>
        <v>1610.83</v>
      </c>
      <c r="Y307" s="9">
        <f t="shared" si="11"/>
        <v>79176.17</v>
      </c>
      <c r="Z307" s="9">
        <f>ROUND(T307 / 1.2, 2)</f>
        <v>286966.25</v>
      </c>
      <c r="AA307" s="9">
        <f>Y307+Z307</f>
        <v>366142.42</v>
      </c>
      <c r="AD307" s="4">
        <v>315889996</v>
      </c>
      <c r="AE307" s="4">
        <v>27245764</v>
      </c>
      <c r="AG307" s="4" t="s">
        <v>975</v>
      </c>
      <c r="AH307" s="4" t="s">
        <v>976</v>
      </c>
      <c r="AI307" s="4" t="s">
        <v>224</v>
      </c>
    </row>
    <row r="308" spans="1:35" ht="324" x14ac:dyDescent="0.3">
      <c r="A308" s="10" t="s">
        <v>984</v>
      </c>
      <c r="B308" s="10"/>
      <c r="C308" s="16" t="s">
        <v>978</v>
      </c>
      <c r="D308" s="12"/>
      <c r="E308" s="12" t="s">
        <v>985</v>
      </c>
      <c r="F308" s="17" t="s">
        <v>308</v>
      </c>
      <c r="G308" s="18">
        <v>1</v>
      </c>
      <c r="H308" s="18"/>
      <c r="I308" s="18">
        <v>227.3</v>
      </c>
      <c r="J308" s="19">
        <v>418</v>
      </c>
      <c r="M308" s="20">
        <f>ROUND(ROUND(J308, 2)*I308, 2)</f>
        <v>95011.4</v>
      </c>
      <c r="P308" s="19">
        <v>418</v>
      </c>
      <c r="S308" s="20">
        <f>ROUND(ROUND(P308, 2)*I308, 2)</f>
        <v>95011.4</v>
      </c>
      <c r="V308" s="9">
        <f>ROUND(ROUND(P308, 2)/1.2, 2)</f>
        <v>348.33</v>
      </c>
      <c r="Y308" s="9">
        <f t="shared" si="11"/>
        <v>79176.17</v>
      </c>
      <c r="AD308" s="4" t="s">
        <v>986</v>
      </c>
      <c r="AE308" s="4" t="s">
        <v>987</v>
      </c>
      <c r="AF308" s="4" t="s">
        <v>981</v>
      </c>
    </row>
    <row r="309" spans="1:35" ht="36" x14ac:dyDescent="0.3">
      <c r="A309" s="10" t="s">
        <v>988</v>
      </c>
      <c r="B309" s="10" t="s">
        <v>989</v>
      </c>
      <c r="C309" s="11" t="s">
        <v>990</v>
      </c>
      <c r="D309" s="12"/>
      <c r="E309" s="12"/>
      <c r="F309" s="12" t="s">
        <v>59</v>
      </c>
      <c r="G309" s="13">
        <v>1</v>
      </c>
      <c r="H309" s="13"/>
      <c r="I309" s="13">
        <v>0</v>
      </c>
      <c r="J309" s="14">
        <v>0</v>
      </c>
      <c r="K309" s="15">
        <v>428</v>
      </c>
      <c r="L309" s="14">
        <f>J309+ROUND(K309, 2)</f>
        <v>428</v>
      </c>
      <c r="M309" s="14">
        <v>0</v>
      </c>
      <c r="N309" s="14">
        <v>0</v>
      </c>
      <c r="O309" s="14">
        <f>M309+N309</f>
        <v>0</v>
      </c>
      <c r="P309" s="14">
        <v>162.09</v>
      </c>
      <c r="Q309" s="15">
        <v>428</v>
      </c>
      <c r="R309" s="14">
        <f>P309+ROUND(Q309, 2)</f>
        <v>590.09</v>
      </c>
      <c r="S309" s="14">
        <v>0</v>
      </c>
      <c r="T309" s="14">
        <v>0</v>
      </c>
      <c r="U309" s="14">
        <f>S309+T309</f>
        <v>0</v>
      </c>
      <c r="V309" s="9">
        <f>ROUND(P309 / 1.2, 2)</f>
        <v>135.08000000000001</v>
      </c>
      <c r="W309" s="9">
        <f>ROUND(Q309 / 1.2, 2)</f>
        <v>356.67</v>
      </c>
      <c r="X309" s="9">
        <f>ROUND(R309 / 1.2, 2)</f>
        <v>491.74</v>
      </c>
      <c r="Y309" s="9">
        <f t="shared" si="11"/>
        <v>0</v>
      </c>
      <c r="Z309" s="9">
        <f>ROUND(T309 / 1.2, 2)</f>
        <v>0</v>
      </c>
      <c r="AA309" s="9">
        <f>Y309+Z309</f>
        <v>0</v>
      </c>
      <c r="AD309" s="4">
        <v>315889998</v>
      </c>
      <c r="AE309" s="4">
        <v>27245646</v>
      </c>
      <c r="AG309" s="4" t="s">
        <v>991</v>
      </c>
      <c r="AH309" s="4" t="s">
        <v>992</v>
      </c>
      <c r="AI309" s="4" t="s">
        <v>224</v>
      </c>
    </row>
    <row r="310" spans="1:35" ht="36" x14ac:dyDescent="0.3">
      <c r="A310" s="10" t="s">
        <v>993</v>
      </c>
      <c r="B310" s="10"/>
      <c r="C310" s="16" t="s">
        <v>552</v>
      </c>
      <c r="D310" s="12"/>
      <c r="E310" s="12"/>
      <c r="F310" s="17" t="s">
        <v>227</v>
      </c>
      <c r="G310" s="18">
        <v>0.15</v>
      </c>
      <c r="H310" s="18"/>
      <c r="I310" s="18">
        <v>0</v>
      </c>
      <c r="J310" s="19">
        <v>88.8</v>
      </c>
      <c r="M310" s="20">
        <f>ROUND(ROUND(J310, 2)*I310, 2)</f>
        <v>0</v>
      </c>
      <c r="P310" s="19">
        <v>88.8</v>
      </c>
      <c r="S310" s="20">
        <f>ROUND(ROUND(P310, 2)*I310, 2)</f>
        <v>0</v>
      </c>
      <c r="V310" s="9">
        <f>ROUND(ROUND(P310, 2)/1.2, 2)</f>
        <v>74</v>
      </c>
      <c r="Y310" s="9">
        <f t="shared" si="11"/>
        <v>0</v>
      </c>
      <c r="AD310" s="4" t="s">
        <v>994</v>
      </c>
      <c r="AE310" s="4" t="s">
        <v>995</v>
      </c>
      <c r="AF310" s="4" t="s">
        <v>555</v>
      </c>
    </row>
    <row r="311" spans="1:35" ht="36" x14ac:dyDescent="0.3">
      <c r="A311" s="10" t="s">
        <v>996</v>
      </c>
      <c r="B311" s="10"/>
      <c r="C311" s="16" t="s">
        <v>997</v>
      </c>
      <c r="D311" s="12"/>
      <c r="E311" s="12"/>
      <c r="F311" s="17" t="s">
        <v>227</v>
      </c>
      <c r="G311" s="18">
        <v>0.3</v>
      </c>
      <c r="H311" s="18"/>
      <c r="I311" s="18">
        <v>0</v>
      </c>
      <c r="J311" s="19">
        <v>1216.56</v>
      </c>
      <c r="M311" s="20">
        <f>ROUND(ROUND(J311, 2)*I311, 2)</f>
        <v>0</v>
      </c>
      <c r="P311" s="19">
        <v>495.9</v>
      </c>
      <c r="S311" s="20">
        <f>ROUND(ROUND(P311, 2)*I311, 2)</f>
        <v>0</v>
      </c>
      <c r="V311" s="9">
        <f>ROUND(ROUND(P311, 2)/1.2, 2)</f>
        <v>413.25</v>
      </c>
      <c r="Y311" s="9">
        <f t="shared" si="11"/>
        <v>0</v>
      </c>
      <c r="AD311" s="4" t="s">
        <v>998</v>
      </c>
      <c r="AE311" s="4" t="s">
        <v>999</v>
      </c>
      <c r="AF311" s="4" t="s">
        <v>1000</v>
      </c>
    </row>
    <row r="312" spans="1:35" ht="36" x14ac:dyDescent="0.3">
      <c r="A312" s="10" t="s">
        <v>1001</v>
      </c>
      <c r="B312" s="10" t="s">
        <v>989</v>
      </c>
      <c r="C312" s="11" t="s">
        <v>990</v>
      </c>
      <c r="D312" s="12"/>
      <c r="E312" s="12"/>
      <c r="F312" s="12" t="s">
        <v>59</v>
      </c>
      <c r="G312" s="13">
        <v>1</v>
      </c>
      <c r="H312" s="13"/>
      <c r="I312" s="13">
        <v>0</v>
      </c>
      <c r="J312" s="14">
        <v>0</v>
      </c>
      <c r="K312" s="15">
        <v>428</v>
      </c>
      <c r="L312" s="14">
        <f>J312+ROUND(K312, 2)</f>
        <v>428</v>
      </c>
      <c r="M312" s="14">
        <v>0</v>
      </c>
      <c r="N312" s="14">
        <v>0</v>
      </c>
      <c r="O312" s="14">
        <f>M312+N312</f>
        <v>0</v>
      </c>
      <c r="P312" s="14">
        <v>162.09</v>
      </c>
      <c r="Q312" s="15">
        <v>428</v>
      </c>
      <c r="R312" s="14">
        <f>P312+ROUND(Q312, 2)</f>
        <v>590.09</v>
      </c>
      <c r="S312" s="14">
        <v>0</v>
      </c>
      <c r="T312" s="14">
        <v>0</v>
      </c>
      <c r="U312" s="14">
        <f>S312+T312</f>
        <v>0</v>
      </c>
      <c r="V312" s="9">
        <f>ROUND(P312 / 1.2, 2)</f>
        <v>135.08000000000001</v>
      </c>
      <c r="W312" s="9">
        <f>ROUND(Q312 / 1.2, 2)</f>
        <v>356.67</v>
      </c>
      <c r="X312" s="9">
        <f>ROUND(R312 / 1.2, 2)</f>
        <v>491.74</v>
      </c>
      <c r="Y312" s="9">
        <f t="shared" si="11"/>
        <v>0</v>
      </c>
      <c r="Z312" s="9">
        <f>ROUND(T312 / 1.2, 2)</f>
        <v>0</v>
      </c>
      <c r="AA312" s="9">
        <f>Y312+Z312</f>
        <v>0</v>
      </c>
      <c r="AD312" s="4">
        <v>315889999</v>
      </c>
      <c r="AE312" s="4">
        <v>27245647</v>
      </c>
      <c r="AG312" s="4" t="s">
        <v>991</v>
      </c>
      <c r="AH312" s="4" t="s">
        <v>992</v>
      </c>
      <c r="AI312" s="4" t="s">
        <v>224</v>
      </c>
    </row>
    <row r="313" spans="1:35" ht="36" x14ac:dyDescent="0.3">
      <c r="A313" s="10" t="s">
        <v>1002</v>
      </c>
      <c r="B313" s="10"/>
      <c r="C313" s="16" t="s">
        <v>997</v>
      </c>
      <c r="D313" s="12"/>
      <c r="E313" s="12"/>
      <c r="F313" s="17" t="s">
        <v>227</v>
      </c>
      <c r="G313" s="18">
        <v>0.3</v>
      </c>
      <c r="H313" s="18"/>
      <c r="I313" s="18">
        <v>0</v>
      </c>
      <c r="J313" s="19">
        <v>1216.56</v>
      </c>
      <c r="M313" s="20">
        <f>ROUND(ROUND(J313, 2)*I313, 2)</f>
        <v>0</v>
      </c>
      <c r="P313" s="19">
        <v>495.9</v>
      </c>
      <c r="S313" s="20">
        <f>ROUND(ROUND(P313, 2)*I313, 2)</f>
        <v>0</v>
      </c>
      <c r="V313" s="9">
        <f>ROUND(ROUND(P313, 2)/1.2, 2)</f>
        <v>413.25</v>
      </c>
      <c r="Y313" s="9">
        <f t="shared" si="11"/>
        <v>0</v>
      </c>
      <c r="AD313" s="4" t="s">
        <v>1003</v>
      </c>
      <c r="AE313" s="4" t="s">
        <v>1004</v>
      </c>
      <c r="AF313" s="4" t="s">
        <v>1000</v>
      </c>
    </row>
    <row r="314" spans="1:35" ht="36" x14ac:dyDescent="0.3">
      <c r="A314" s="10" t="s">
        <v>1005</v>
      </c>
      <c r="B314" s="10"/>
      <c r="C314" s="16" t="s">
        <v>552</v>
      </c>
      <c r="D314" s="12"/>
      <c r="E314" s="12"/>
      <c r="F314" s="17" t="s">
        <v>227</v>
      </c>
      <c r="G314" s="18">
        <v>0.15</v>
      </c>
      <c r="H314" s="18"/>
      <c r="I314" s="18">
        <v>0</v>
      </c>
      <c r="J314" s="19">
        <v>88.8</v>
      </c>
      <c r="M314" s="20">
        <f>ROUND(ROUND(J314, 2)*I314, 2)</f>
        <v>0</v>
      </c>
      <c r="P314" s="19">
        <v>88.8</v>
      </c>
      <c r="S314" s="20">
        <f>ROUND(ROUND(P314, 2)*I314, 2)</f>
        <v>0</v>
      </c>
      <c r="V314" s="9">
        <f>ROUND(ROUND(P314, 2)/1.2, 2)</f>
        <v>74</v>
      </c>
      <c r="Y314" s="9">
        <f t="shared" si="11"/>
        <v>0</v>
      </c>
      <c r="AD314" s="4" t="s">
        <v>1006</v>
      </c>
      <c r="AE314" s="4" t="s">
        <v>1007</v>
      </c>
      <c r="AF314" s="4" t="s">
        <v>555</v>
      </c>
    </row>
    <row r="315" spans="1:35" ht="36" x14ac:dyDescent="0.3">
      <c r="A315" s="10" t="s">
        <v>1008</v>
      </c>
      <c r="B315" s="10" t="s">
        <v>989</v>
      </c>
      <c r="C315" s="11" t="s">
        <v>990</v>
      </c>
      <c r="D315" s="12"/>
      <c r="E315" s="12"/>
      <c r="F315" s="12" t="s">
        <v>59</v>
      </c>
      <c r="G315" s="13">
        <v>1</v>
      </c>
      <c r="H315" s="13"/>
      <c r="I315" s="13">
        <v>0</v>
      </c>
      <c r="J315" s="14">
        <v>0</v>
      </c>
      <c r="K315" s="15">
        <v>428</v>
      </c>
      <c r="L315" s="14">
        <f>J315+ROUND(K315, 2)</f>
        <v>428</v>
      </c>
      <c r="M315" s="14">
        <v>0</v>
      </c>
      <c r="N315" s="14">
        <v>0</v>
      </c>
      <c r="O315" s="14">
        <f>M315+N315</f>
        <v>0</v>
      </c>
      <c r="P315" s="14">
        <v>162.09</v>
      </c>
      <c r="Q315" s="15">
        <v>428</v>
      </c>
      <c r="R315" s="14">
        <f>P315+ROUND(Q315, 2)</f>
        <v>590.09</v>
      </c>
      <c r="S315" s="14">
        <v>0</v>
      </c>
      <c r="T315" s="14">
        <v>0</v>
      </c>
      <c r="U315" s="14">
        <f>S315+T315</f>
        <v>0</v>
      </c>
      <c r="V315" s="9">
        <f>ROUND(P315 / 1.2, 2)</f>
        <v>135.08000000000001</v>
      </c>
      <c r="W315" s="9">
        <f>ROUND(Q315 / 1.2, 2)</f>
        <v>356.67</v>
      </c>
      <c r="X315" s="9">
        <f>ROUND(R315 / 1.2, 2)</f>
        <v>491.74</v>
      </c>
      <c r="Y315" s="9">
        <f t="shared" si="11"/>
        <v>0</v>
      </c>
      <c r="Z315" s="9">
        <f>ROUND(T315 / 1.2, 2)</f>
        <v>0</v>
      </c>
      <c r="AA315" s="9">
        <f>Y315+Z315</f>
        <v>0</v>
      </c>
      <c r="AD315" s="4">
        <v>315890000</v>
      </c>
      <c r="AE315" s="4">
        <v>27245648</v>
      </c>
      <c r="AG315" s="4" t="s">
        <v>991</v>
      </c>
      <c r="AH315" s="4" t="s">
        <v>992</v>
      </c>
      <c r="AI315" s="4" t="s">
        <v>224</v>
      </c>
    </row>
    <row r="316" spans="1:35" ht="36" x14ac:dyDescent="0.3">
      <c r="A316" s="10" t="s">
        <v>1009</v>
      </c>
      <c r="B316" s="10"/>
      <c r="C316" s="16" t="s">
        <v>552</v>
      </c>
      <c r="D316" s="12"/>
      <c r="E316" s="12"/>
      <c r="F316" s="17" t="s">
        <v>227</v>
      </c>
      <c r="G316" s="18">
        <v>0.15</v>
      </c>
      <c r="H316" s="18"/>
      <c r="I316" s="18">
        <v>0</v>
      </c>
      <c r="J316" s="19">
        <v>88.8</v>
      </c>
      <c r="M316" s="20">
        <f>ROUND(ROUND(J316, 2)*I316, 2)</f>
        <v>0</v>
      </c>
      <c r="P316" s="19">
        <v>88.8</v>
      </c>
      <c r="S316" s="20">
        <f>ROUND(ROUND(P316, 2)*I316, 2)</f>
        <v>0</v>
      </c>
      <c r="V316" s="9">
        <f>ROUND(ROUND(P316, 2)/1.2, 2)</f>
        <v>74</v>
      </c>
      <c r="Y316" s="9">
        <f t="shared" si="11"/>
        <v>0</v>
      </c>
      <c r="AD316" s="4" t="s">
        <v>1010</v>
      </c>
      <c r="AE316" s="4" t="s">
        <v>1011</v>
      </c>
      <c r="AF316" s="4" t="s">
        <v>555</v>
      </c>
    </row>
    <row r="317" spans="1:35" ht="36" x14ac:dyDescent="0.3">
      <c r="A317" s="10" t="s">
        <v>1012</v>
      </c>
      <c r="B317" s="10"/>
      <c r="C317" s="16" t="s">
        <v>997</v>
      </c>
      <c r="D317" s="12"/>
      <c r="E317" s="12"/>
      <c r="F317" s="17" t="s">
        <v>227</v>
      </c>
      <c r="G317" s="18">
        <v>0.3</v>
      </c>
      <c r="H317" s="18"/>
      <c r="I317" s="18">
        <v>0</v>
      </c>
      <c r="J317" s="19">
        <v>1216.56</v>
      </c>
      <c r="M317" s="20">
        <f>ROUND(ROUND(J317, 2)*I317, 2)</f>
        <v>0</v>
      </c>
      <c r="P317" s="19">
        <v>495.9</v>
      </c>
      <c r="S317" s="20">
        <f>ROUND(ROUND(P317, 2)*I317, 2)</f>
        <v>0</v>
      </c>
      <c r="V317" s="9">
        <f>ROUND(ROUND(P317, 2)/1.2, 2)</f>
        <v>413.25</v>
      </c>
      <c r="Y317" s="9">
        <f t="shared" si="11"/>
        <v>0</v>
      </c>
      <c r="AD317" s="4" t="s">
        <v>1013</v>
      </c>
      <c r="AE317" s="4" t="s">
        <v>1014</v>
      </c>
      <c r="AF317" s="4" t="s">
        <v>1000</v>
      </c>
    </row>
    <row r="318" spans="1:35" ht="36" x14ac:dyDescent="0.3">
      <c r="A318" s="10" t="s">
        <v>1015</v>
      </c>
      <c r="B318" s="10" t="s">
        <v>989</v>
      </c>
      <c r="C318" s="11" t="s">
        <v>990</v>
      </c>
      <c r="D318" s="12"/>
      <c r="E318" s="12"/>
      <c r="F318" s="12" t="s">
        <v>59</v>
      </c>
      <c r="G318" s="13">
        <v>1</v>
      </c>
      <c r="H318" s="13"/>
      <c r="I318" s="13">
        <v>0</v>
      </c>
      <c r="J318" s="14">
        <v>0</v>
      </c>
      <c r="K318" s="15">
        <v>428</v>
      </c>
      <c r="L318" s="14">
        <f>J318+ROUND(K318, 2)</f>
        <v>428</v>
      </c>
      <c r="M318" s="14">
        <v>0</v>
      </c>
      <c r="N318" s="14">
        <v>0</v>
      </c>
      <c r="O318" s="14">
        <f>M318+N318</f>
        <v>0</v>
      </c>
      <c r="P318" s="14">
        <v>162.09</v>
      </c>
      <c r="Q318" s="15">
        <v>428</v>
      </c>
      <c r="R318" s="14">
        <f>P318+ROUND(Q318, 2)</f>
        <v>590.09</v>
      </c>
      <c r="S318" s="14">
        <v>0</v>
      </c>
      <c r="T318" s="14">
        <v>0</v>
      </c>
      <c r="U318" s="14">
        <f>S318+T318</f>
        <v>0</v>
      </c>
      <c r="V318" s="9">
        <f>ROUND(P318 / 1.2, 2)</f>
        <v>135.08000000000001</v>
      </c>
      <c r="W318" s="9">
        <f>ROUND(Q318 / 1.2, 2)</f>
        <v>356.67</v>
      </c>
      <c r="X318" s="9">
        <f>ROUND(R318 / 1.2, 2)</f>
        <v>491.74</v>
      </c>
      <c r="Y318" s="9">
        <f t="shared" si="11"/>
        <v>0</v>
      </c>
      <c r="Z318" s="9">
        <f>ROUND(T318 / 1.2, 2)</f>
        <v>0</v>
      </c>
      <c r="AA318" s="9">
        <f>Y318+Z318</f>
        <v>0</v>
      </c>
      <c r="AD318" s="4">
        <v>315890001</v>
      </c>
      <c r="AE318" s="4">
        <v>27245649</v>
      </c>
      <c r="AG318" s="4" t="s">
        <v>991</v>
      </c>
      <c r="AH318" s="4" t="s">
        <v>992</v>
      </c>
      <c r="AI318" s="4" t="s">
        <v>224</v>
      </c>
    </row>
    <row r="319" spans="1:35" ht="36" x14ac:dyDescent="0.3">
      <c r="A319" s="10" t="s">
        <v>1016</v>
      </c>
      <c r="B319" s="10"/>
      <c r="C319" s="16" t="s">
        <v>997</v>
      </c>
      <c r="D319" s="12"/>
      <c r="E319" s="12"/>
      <c r="F319" s="17" t="s">
        <v>227</v>
      </c>
      <c r="G319" s="18">
        <v>0.3</v>
      </c>
      <c r="H319" s="18"/>
      <c r="I319" s="18">
        <v>0</v>
      </c>
      <c r="J319" s="19">
        <v>1216.56</v>
      </c>
      <c r="M319" s="20">
        <f>ROUND(ROUND(J319, 2)*I319, 2)</f>
        <v>0</v>
      </c>
      <c r="P319" s="19">
        <v>495.9</v>
      </c>
      <c r="S319" s="20">
        <f>ROUND(ROUND(P319, 2)*I319, 2)</f>
        <v>0</v>
      </c>
      <c r="V319" s="9">
        <f>ROUND(ROUND(P319, 2)/1.2, 2)</f>
        <v>413.25</v>
      </c>
      <c r="Y319" s="9">
        <f t="shared" si="11"/>
        <v>0</v>
      </c>
      <c r="AD319" s="4" t="s">
        <v>1017</v>
      </c>
      <c r="AE319" s="4" t="s">
        <v>1018</v>
      </c>
      <c r="AF319" s="4" t="s">
        <v>1000</v>
      </c>
    </row>
    <row r="320" spans="1:35" ht="36" x14ac:dyDescent="0.3">
      <c r="A320" s="10" t="s">
        <v>1019</v>
      </c>
      <c r="B320" s="10"/>
      <c r="C320" s="16" t="s">
        <v>552</v>
      </c>
      <c r="D320" s="12"/>
      <c r="E320" s="12"/>
      <c r="F320" s="17" t="s">
        <v>227</v>
      </c>
      <c r="G320" s="18">
        <v>0.15</v>
      </c>
      <c r="H320" s="18"/>
      <c r="I320" s="18">
        <v>0</v>
      </c>
      <c r="J320" s="19">
        <v>88.8</v>
      </c>
      <c r="M320" s="20">
        <f>ROUND(ROUND(J320, 2)*I320, 2)</f>
        <v>0</v>
      </c>
      <c r="P320" s="19">
        <v>88.8</v>
      </c>
      <c r="S320" s="20">
        <f>ROUND(ROUND(P320, 2)*I320, 2)</f>
        <v>0</v>
      </c>
      <c r="V320" s="9">
        <f>ROUND(ROUND(P320, 2)/1.2, 2)</f>
        <v>74</v>
      </c>
      <c r="Y320" s="9">
        <f t="shared" si="11"/>
        <v>0</v>
      </c>
      <c r="AD320" s="4" t="s">
        <v>1020</v>
      </c>
      <c r="AE320" s="4" t="s">
        <v>1021</v>
      </c>
      <c r="AF320" s="4" t="s">
        <v>555</v>
      </c>
    </row>
    <row r="321" spans="1:35" ht="36" x14ac:dyDescent="0.3">
      <c r="A321" s="10" t="s">
        <v>1022</v>
      </c>
      <c r="B321" s="10" t="s">
        <v>989</v>
      </c>
      <c r="C321" s="11" t="s">
        <v>990</v>
      </c>
      <c r="D321" s="12"/>
      <c r="E321" s="12"/>
      <c r="F321" s="12" t="s">
        <v>59</v>
      </c>
      <c r="G321" s="13">
        <v>1</v>
      </c>
      <c r="H321" s="13"/>
      <c r="I321" s="13">
        <v>0</v>
      </c>
      <c r="J321" s="14">
        <v>0</v>
      </c>
      <c r="K321" s="15">
        <v>428</v>
      </c>
      <c r="L321" s="14">
        <f>J321+ROUND(K321, 2)</f>
        <v>428</v>
      </c>
      <c r="M321" s="14">
        <v>0</v>
      </c>
      <c r="N321" s="14">
        <v>0</v>
      </c>
      <c r="O321" s="14">
        <f>M321+N321</f>
        <v>0</v>
      </c>
      <c r="P321" s="14">
        <v>162.09</v>
      </c>
      <c r="Q321" s="15">
        <v>428</v>
      </c>
      <c r="R321" s="14">
        <f>P321+ROUND(Q321, 2)</f>
        <v>590.09</v>
      </c>
      <c r="S321" s="14">
        <v>0</v>
      </c>
      <c r="T321" s="14">
        <v>0</v>
      </c>
      <c r="U321" s="14">
        <f>S321+T321</f>
        <v>0</v>
      </c>
      <c r="V321" s="9">
        <f>ROUND(P321 / 1.2, 2)</f>
        <v>135.08000000000001</v>
      </c>
      <c r="W321" s="9">
        <f>ROUND(Q321 / 1.2, 2)</f>
        <v>356.67</v>
      </c>
      <c r="X321" s="9">
        <f>ROUND(R321 / 1.2, 2)</f>
        <v>491.74</v>
      </c>
      <c r="Y321" s="9">
        <f t="shared" si="11"/>
        <v>0</v>
      </c>
      <c r="Z321" s="9">
        <f>ROUND(T321 / 1.2, 2)</f>
        <v>0</v>
      </c>
      <c r="AA321" s="9">
        <f>Y321+Z321</f>
        <v>0</v>
      </c>
      <c r="AD321" s="4">
        <v>315890002</v>
      </c>
      <c r="AE321" s="4">
        <v>27245650</v>
      </c>
      <c r="AG321" s="4" t="s">
        <v>991</v>
      </c>
      <c r="AH321" s="4" t="s">
        <v>992</v>
      </c>
      <c r="AI321" s="4" t="s">
        <v>224</v>
      </c>
    </row>
    <row r="322" spans="1:35" ht="36" x14ac:dyDescent="0.3">
      <c r="A322" s="10" t="s">
        <v>1023</v>
      </c>
      <c r="B322" s="10"/>
      <c r="C322" s="16" t="s">
        <v>552</v>
      </c>
      <c r="D322" s="12"/>
      <c r="E322" s="12"/>
      <c r="F322" s="17" t="s">
        <v>227</v>
      </c>
      <c r="G322" s="18">
        <v>0.15</v>
      </c>
      <c r="H322" s="18"/>
      <c r="I322" s="18">
        <v>0</v>
      </c>
      <c r="J322" s="19">
        <v>88.8</v>
      </c>
      <c r="M322" s="20">
        <f>ROUND(ROUND(J322, 2)*I322, 2)</f>
        <v>0</v>
      </c>
      <c r="P322" s="19">
        <v>88.8</v>
      </c>
      <c r="S322" s="20">
        <f>ROUND(ROUND(P322, 2)*I322, 2)</f>
        <v>0</v>
      </c>
      <c r="V322" s="9">
        <f>ROUND(ROUND(P322, 2)/1.2, 2)</f>
        <v>74</v>
      </c>
      <c r="Y322" s="9">
        <f t="shared" si="11"/>
        <v>0</v>
      </c>
      <c r="AD322" s="4" t="s">
        <v>1024</v>
      </c>
      <c r="AE322" s="4" t="s">
        <v>1025</v>
      </c>
      <c r="AF322" s="4" t="s">
        <v>555</v>
      </c>
    </row>
    <row r="323" spans="1:35" ht="36" x14ac:dyDescent="0.3">
      <c r="A323" s="10" t="s">
        <v>1026</v>
      </c>
      <c r="B323" s="10"/>
      <c r="C323" s="16" t="s">
        <v>997</v>
      </c>
      <c r="D323" s="12"/>
      <c r="E323" s="12"/>
      <c r="F323" s="17" t="s">
        <v>227</v>
      </c>
      <c r="G323" s="18">
        <v>0.3</v>
      </c>
      <c r="H323" s="18"/>
      <c r="I323" s="18">
        <v>0</v>
      </c>
      <c r="J323" s="19">
        <v>1216.56</v>
      </c>
      <c r="M323" s="20">
        <f>ROUND(ROUND(J323, 2)*I323, 2)</f>
        <v>0</v>
      </c>
      <c r="P323" s="19">
        <v>495.9</v>
      </c>
      <c r="S323" s="20">
        <f>ROUND(ROUND(P323, 2)*I323, 2)</f>
        <v>0</v>
      </c>
      <c r="V323" s="9">
        <f>ROUND(ROUND(P323, 2)/1.2, 2)</f>
        <v>413.25</v>
      </c>
      <c r="Y323" s="9">
        <f t="shared" si="11"/>
        <v>0</v>
      </c>
      <c r="AD323" s="4" t="s">
        <v>1027</v>
      </c>
      <c r="AE323" s="4" t="s">
        <v>1028</v>
      </c>
      <c r="AF323" s="4" t="s">
        <v>1000</v>
      </c>
    </row>
    <row r="324" spans="1:35" ht="36" x14ac:dyDescent="0.3">
      <c r="A324" s="10" t="s">
        <v>1029</v>
      </c>
      <c r="B324" s="10" t="s">
        <v>989</v>
      </c>
      <c r="C324" s="11" t="s">
        <v>990</v>
      </c>
      <c r="D324" s="12"/>
      <c r="E324" s="12"/>
      <c r="F324" s="12" t="s">
        <v>59</v>
      </c>
      <c r="G324" s="13">
        <v>1</v>
      </c>
      <c r="H324" s="13"/>
      <c r="I324" s="13">
        <v>0</v>
      </c>
      <c r="J324" s="14">
        <v>0</v>
      </c>
      <c r="K324" s="15">
        <v>428</v>
      </c>
      <c r="L324" s="14">
        <f>J324+ROUND(K324, 2)</f>
        <v>428</v>
      </c>
      <c r="M324" s="14">
        <v>0</v>
      </c>
      <c r="N324" s="14">
        <v>0</v>
      </c>
      <c r="O324" s="14">
        <f>M324+N324</f>
        <v>0</v>
      </c>
      <c r="P324" s="14">
        <v>162.09</v>
      </c>
      <c r="Q324" s="15">
        <v>428</v>
      </c>
      <c r="R324" s="14">
        <f>P324+ROUND(Q324, 2)</f>
        <v>590.09</v>
      </c>
      <c r="S324" s="14">
        <v>0</v>
      </c>
      <c r="T324" s="14">
        <v>0</v>
      </c>
      <c r="U324" s="14">
        <f>S324+T324</f>
        <v>0</v>
      </c>
      <c r="V324" s="9">
        <f>ROUND(P324 / 1.2, 2)</f>
        <v>135.08000000000001</v>
      </c>
      <c r="W324" s="9">
        <f>ROUND(Q324 / 1.2, 2)</f>
        <v>356.67</v>
      </c>
      <c r="X324" s="9">
        <f>ROUND(R324 / 1.2, 2)</f>
        <v>491.74</v>
      </c>
      <c r="Y324" s="9">
        <f t="shared" si="11"/>
        <v>0</v>
      </c>
      <c r="Z324" s="9">
        <f>ROUND(T324 / 1.2, 2)</f>
        <v>0</v>
      </c>
      <c r="AA324" s="9">
        <f>Y324+Z324</f>
        <v>0</v>
      </c>
      <c r="AD324" s="4">
        <v>315890003</v>
      </c>
      <c r="AE324" s="4">
        <v>27245651</v>
      </c>
      <c r="AG324" s="4" t="s">
        <v>991</v>
      </c>
      <c r="AH324" s="4" t="s">
        <v>992</v>
      </c>
      <c r="AI324" s="4" t="s">
        <v>224</v>
      </c>
    </row>
    <row r="325" spans="1:35" ht="36" x14ac:dyDescent="0.3">
      <c r="A325" s="10" t="s">
        <v>1030</v>
      </c>
      <c r="B325" s="10"/>
      <c r="C325" s="16" t="s">
        <v>997</v>
      </c>
      <c r="D325" s="12"/>
      <c r="E325" s="12"/>
      <c r="F325" s="17" t="s">
        <v>227</v>
      </c>
      <c r="G325" s="18">
        <v>0.3</v>
      </c>
      <c r="H325" s="18"/>
      <c r="I325" s="18">
        <v>0</v>
      </c>
      <c r="J325" s="19">
        <v>1216.56</v>
      </c>
      <c r="M325" s="20">
        <f>ROUND(ROUND(J325, 2)*I325, 2)</f>
        <v>0</v>
      </c>
      <c r="P325" s="19">
        <v>495.9</v>
      </c>
      <c r="S325" s="20">
        <f>ROUND(ROUND(P325, 2)*I325, 2)</f>
        <v>0</v>
      </c>
      <c r="V325" s="9">
        <f>ROUND(ROUND(P325, 2)/1.2, 2)</f>
        <v>413.25</v>
      </c>
      <c r="Y325" s="9">
        <f t="shared" si="11"/>
        <v>0</v>
      </c>
      <c r="AD325" s="4" t="s">
        <v>1031</v>
      </c>
      <c r="AE325" s="4" t="s">
        <v>1032</v>
      </c>
      <c r="AF325" s="4" t="s">
        <v>1000</v>
      </c>
    </row>
    <row r="326" spans="1:35" ht="36" x14ac:dyDescent="0.3">
      <c r="A326" s="10" t="s">
        <v>1033</v>
      </c>
      <c r="B326" s="10"/>
      <c r="C326" s="16" t="s">
        <v>552</v>
      </c>
      <c r="D326" s="12"/>
      <c r="E326" s="12"/>
      <c r="F326" s="17" t="s">
        <v>227</v>
      </c>
      <c r="G326" s="18">
        <v>0.15</v>
      </c>
      <c r="H326" s="18"/>
      <c r="I326" s="18">
        <v>0</v>
      </c>
      <c r="J326" s="19">
        <v>88.8</v>
      </c>
      <c r="M326" s="20">
        <f>ROUND(ROUND(J326, 2)*I326, 2)</f>
        <v>0</v>
      </c>
      <c r="P326" s="19">
        <v>88.8</v>
      </c>
      <c r="S326" s="20">
        <f>ROUND(ROUND(P326, 2)*I326, 2)</f>
        <v>0</v>
      </c>
      <c r="V326" s="9">
        <f>ROUND(ROUND(P326, 2)/1.2, 2)</f>
        <v>74</v>
      </c>
      <c r="Y326" s="9">
        <f t="shared" si="11"/>
        <v>0</v>
      </c>
      <c r="AD326" s="4" t="s">
        <v>1034</v>
      </c>
      <c r="AE326" s="4" t="s">
        <v>1035</v>
      </c>
      <c r="AF326" s="4" t="s">
        <v>555</v>
      </c>
    </row>
    <row r="327" spans="1:35" ht="36" x14ac:dyDescent="0.3">
      <c r="A327" s="10" t="s">
        <v>1036</v>
      </c>
      <c r="B327" s="10" t="s">
        <v>989</v>
      </c>
      <c r="C327" s="11" t="s">
        <v>990</v>
      </c>
      <c r="D327" s="12"/>
      <c r="E327" s="12"/>
      <c r="F327" s="12" t="s">
        <v>59</v>
      </c>
      <c r="G327" s="13">
        <v>1</v>
      </c>
      <c r="H327" s="13"/>
      <c r="I327" s="13">
        <v>0</v>
      </c>
      <c r="J327" s="14">
        <v>0</v>
      </c>
      <c r="K327" s="15">
        <v>428</v>
      </c>
      <c r="L327" s="14">
        <f>J327+ROUND(K327, 2)</f>
        <v>428</v>
      </c>
      <c r="M327" s="14">
        <v>0</v>
      </c>
      <c r="N327" s="14">
        <v>0</v>
      </c>
      <c r="O327" s="14">
        <f>M327+N327</f>
        <v>0</v>
      </c>
      <c r="P327" s="14">
        <v>162.09</v>
      </c>
      <c r="Q327" s="15">
        <v>428</v>
      </c>
      <c r="R327" s="14">
        <f>P327+ROUND(Q327, 2)</f>
        <v>590.09</v>
      </c>
      <c r="S327" s="14">
        <v>0</v>
      </c>
      <c r="T327" s="14">
        <v>0</v>
      </c>
      <c r="U327" s="14">
        <f>S327+T327</f>
        <v>0</v>
      </c>
      <c r="V327" s="9">
        <f>ROUND(P327 / 1.2, 2)</f>
        <v>135.08000000000001</v>
      </c>
      <c r="W327" s="9">
        <f>ROUND(Q327 / 1.2, 2)</f>
        <v>356.67</v>
      </c>
      <c r="X327" s="9">
        <f>ROUND(R327 / 1.2, 2)</f>
        <v>491.74</v>
      </c>
      <c r="Y327" s="9">
        <f t="shared" si="11"/>
        <v>0</v>
      </c>
      <c r="Z327" s="9">
        <f>ROUND(T327 / 1.2, 2)</f>
        <v>0</v>
      </c>
      <c r="AA327" s="9">
        <f>Y327+Z327</f>
        <v>0</v>
      </c>
      <c r="AD327" s="4">
        <v>315890004</v>
      </c>
      <c r="AE327" s="4">
        <v>27245652</v>
      </c>
      <c r="AG327" s="4" t="s">
        <v>991</v>
      </c>
      <c r="AH327" s="4" t="s">
        <v>992</v>
      </c>
      <c r="AI327" s="4" t="s">
        <v>224</v>
      </c>
    </row>
    <row r="328" spans="1:35" ht="36" x14ac:dyDescent="0.3">
      <c r="A328" s="10" t="s">
        <v>1037</v>
      </c>
      <c r="B328" s="10"/>
      <c r="C328" s="16" t="s">
        <v>552</v>
      </c>
      <c r="D328" s="12"/>
      <c r="E328" s="12"/>
      <c r="F328" s="17" t="s">
        <v>227</v>
      </c>
      <c r="G328" s="18">
        <v>0.15</v>
      </c>
      <c r="H328" s="18"/>
      <c r="I328" s="18">
        <v>0</v>
      </c>
      <c r="J328" s="19">
        <v>88.8</v>
      </c>
      <c r="M328" s="20">
        <f>ROUND(ROUND(J328, 2)*I328, 2)</f>
        <v>0</v>
      </c>
      <c r="P328" s="19">
        <v>88.8</v>
      </c>
      <c r="S328" s="20">
        <f>ROUND(ROUND(P328, 2)*I328, 2)</f>
        <v>0</v>
      </c>
      <c r="V328" s="9">
        <f>ROUND(ROUND(P328, 2)/1.2, 2)</f>
        <v>74</v>
      </c>
      <c r="Y328" s="9">
        <f t="shared" si="11"/>
        <v>0</v>
      </c>
      <c r="AD328" s="4" t="s">
        <v>1038</v>
      </c>
      <c r="AE328" s="4" t="s">
        <v>1039</v>
      </c>
      <c r="AF328" s="4" t="s">
        <v>555</v>
      </c>
    </row>
    <row r="329" spans="1:35" ht="36" x14ac:dyDescent="0.3">
      <c r="A329" s="10" t="s">
        <v>1040</v>
      </c>
      <c r="B329" s="10"/>
      <c r="C329" s="16" t="s">
        <v>997</v>
      </c>
      <c r="D329" s="12"/>
      <c r="E329" s="12"/>
      <c r="F329" s="17" t="s">
        <v>227</v>
      </c>
      <c r="G329" s="18">
        <v>0.3</v>
      </c>
      <c r="H329" s="18"/>
      <c r="I329" s="18">
        <v>0</v>
      </c>
      <c r="J329" s="19">
        <v>1216.56</v>
      </c>
      <c r="M329" s="20">
        <f>ROUND(ROUND(J329, 2)*I329, 2)</f>
        <v>0</v>
      </c>
      <c r="P329" s="19">
        <v>495.9</v>
      </c>
      <c r="S329" s="20">
        <f>ROUND(ROUND(P329, 2)*I329, 2)</f>
        <v>0</v>
      </c>
      <c r="V329" s="9">
        <f>ROUND(ROUND(P329, 2)/1.2, 2)</f>
        <v>413.25</v>
      </c>
      <c r="Y329" s="9">
        <f t="shared" si="11"/>
        <v>0</v>
      </c>
      <c r="AD329" s="4" t="s">
        <v>1041</v>
      </c>
      <c r="AE329" s="4" t="s">
        <v>1042</v>
      </c>
      <c r="AF329" s="4" t="s">
        <v>1000</v>
      </c>
    </row>
    <row r="330" spans="1:35" ht="36" x14ac:dyDescent="0.3">
      <c r="A330" s="10" t="s">
        <v>1043</v>
      </c>
      <c r="B330" s="10" t="s">
        <v>989</v>
      </c>
      <c r="C330" s="11" t="s">
        <v>990</v>
      </c>
      <c r="D330" s="12"/>
      <c r="E330" s="12"/>
      <c r="F330" s="12" t="s">
        <v>59</v>
      </c>
      <c r="G330" s="13">
        <v>1</v>
      </c>
      <c r="H330" s="13"/>
      <c r="I330" s="13">
        <v>0</v>
      </c>
      <c r="J330" s="14">
        <v>0</v>
      </c>
      <c r="K330" s="15">
        <v>428</v>
      </c>
      <c r="L330" s="14">
        <f>J330+ROUND(K330, 2)</f>
        <v>428</v>
      </c>
      <c r="M330" s="14">
        <v>0</v>
      </c>
      <c r="N330" s="14">
        <v>0</v>
      </c>
      <c r="O330" s="14">
        <f>M330+N330</f>
        <v>0</v>
      </c>
      <c r="P330" s="14">
        <v>162.09</v>
      </c>
      <c r="Q330" s="15">
        <v>428</v>
      </c>
      <c r="R330" s="14">
        <f>P330+ROUND(Q330, 2)</f>
        <v>590.09</v>
      </c>
      <c r="S330" s="14">
        <v>0</v>
      </c>
      <c r="T330" s="14">
        <v>0</v>
      </c>
      <c r="U330" s="14">
        <f>S330+T330</f>
        <v>0</v>
      </c>
      <c r="V330" s="9">
        <f>ROUND(P330 / 1.2, 2)</f>
        <v>135.08000000000001</v>
      </c>
      <c r="W330" s="9">
        <f>ROUND(Q330 / 1.2, 2)</f>
        <v>356.67</v>
      </c>
      <c r="X330" s="9">
        <f>ROUND(R330 / 1.2, 2)</f>
        <v>491.74</v>
      </c>
      <c r="Y330" s="9">
        <f t="shared" si="11"/>
        <v>0</v>
      </c>
      <c r="Z330" s="9">
        <f>ROUND(T330 / 1.2, 2)</f>
        <v>0</v>
      </c>
      <c r="AA330" s="9">
        <f>Y330+Z330</f>
        <v>0</v>
      </c>
      <c r="AD330" s="4">
        <v>315890005</v>
      </c>
      <c r="AE330" s="4">
        <v>27245653</v>
      </c>
      <c r="AG330" s="4" t="s">
        <v>991</v>
      </c>
      <c r="AH330" s="4" t="s">
        <v>992</v>
      </c>
      <c r="AI330" s="4" t="s">
        <v>224</v>
      </c>
    </row>
    <row r="331" spans="1:35" ht="36" x14ac:dyDescent="0.3">
      <c r="A331" s="10" t="s">
        <v>1044</v>
      </c>
      <c r="B331" s="10"/>
      <c r="C331" s="16" t="s">
        <v>997</v>
      </c>
      <c r="D331" s="12"/>
      <c r="E331" s="12"/>
      <c r="F331" s="17" t="s">
        <v>227</v>
      </c>
      <c r="G331" s="18">
        <v>0.3</v>
      </c>
      <c r="H331" s="18"/>
      <c r="I331" s="18">
        <v>0</v>
      </c>
      <c r="J331" s="19">
        <v>1216.56</v>
      </c>
      <c r="M331" s="20">
        <f>ROUND(ROUND(J331, 2)*I331, 2)</f>
        <v>0</v>
      </c>
      <c r="P331" s="19">
        <v>495.9</v>
      </c>
      <c r="S331" s="20">
        <f>ROUND(ROUND(P331, 2)*I331, 2)</f>
        <v>0</v>
      </c>
      <c r="V331" s="9">
        <f>ROUND(ROUND(P331, 2)/1.2, 2)</f>
        <v>413.25</v>
      </c>
      <c r="Y331" s="9">
        <f t="shared" si="11"/>
        <v>0</v>
      </c>
      <c r="AD331" s="4" t="s">
        <v>1045</v>
      </c>
      <c r="AE331" s="4" t="s">
        <v>1046</v>
      </c>
      <c r="AF331" s="4" t="s">
        <v>1000</v>
      </c>
    </row>
    <row r="332" spans="1:35" ht="36" x14ac:dyDescent="0.3">
      <c r="A332" s="10" t="s">
        <v>1047</v>
      </c>
      <c r="B332" s="10"/>
      <c r="C332" s="16" t="s">
        <v>552</v>
      </c>
      <c r="D332" s="12"/>
      <c r="E332" s="12"/>
      <c r="F332" s="17" t="s">
        <v>227</v>
      </c>
      <c r="G332" s="18">
        <v>0.15</v>
      </c>
      <c r="H332" s="18"/>
      <c r="I332" s="18">
        <v>0</v>
      </c>
      <c r="J332" s="19">
        <v>88.8</v>
      </c>
      <c r="M332" s="20">
        <f>ROUND(ROUND(J332, 2)*I332, 2)</f>
        <v>0</v>
      </c>
      <c r="P332" s="19">
        <v>88.8</v>
      </c>
      <c r="S332" s="20">
        <f>ROUND(ROUND(P332, 2)*I332, 2)</f>
        <v>0</v>
      </c>
      <c r="V332" s="9">
        <f>ROUND(ROUND(P332, 2)/1.2, 2)</f>
        <v>74</v>
      </c>
      <c r="Y332" s="9">
        <f t="shared" si="11"/>
        <v>0</v>
      </c>
      <c r="AD332" s="4" t="s">
        <v>1048</v>
      </c>
      <c r="AE332" s="4" t="s">
        <v>1049</v>
      </c>
      <c r="AF332" s="4" t="s">
        <v>555</v>
      </c>
    </row>
    <row r="333" spans="1:35" ht="72" x14ac:dyDescent="0.3">
      <c r="A333" s="10" t="s">
        <v>1050</v>
      </c>
      <c r="B333" s="10" t="s">
        <v>989</v>
      </c>
      <c r="C333" s="11" t="s">
        <v>990</v>
      </c>
      <c r="D333" s="12"/>
      <c r="E333" s="12" t="s">
        <v>1051</v>
      </c>
      <c r="F333" s="12" t="s">
        <v>59</v>
      </c>
      <c r="G333" s="13">
        <v>1</v>
      </c>
      <c r="H333" s="13"/>
      <c r="I333" s="13">
        <v>276</v>
      </c>
      <c r="J333" s="14">
        <v>378.29</v>
      </c>
      <c r="K333" s="15">
        <v>428</v>
      </c>
      <c r="L333" s="14">
        <f>J333+ROUND(K333, 2)</f>
        <v>806.29</v>
      </c>
      <c r="M333" s="14">
        <v>104408.04</v>
      </c>
      <c r="N333" s="14">
        <v>118128</v>
      </c>
      <c r="O333" s="14">
        <f>M333+N333</f>
        <v>222536.03999999998</v>
      </c>
      <c r="P333" s="14">
        <v>162.09</v>
      </c>
      <c r="Q333" s="15">
        <v>642</v>
      </c>
      <c r="R333" s="14">
        <f>P333+ROUND(Q333, 2)</f>
        <v>804.09</v>
      </c>
      <c r="S333" s="14">
        <v>44736.84</v>
      </c>
      <c r="T333" s="14">
        <v>177192</v>
      </c>
      <c r="U333" s="14">
        <f>S333+T333</f>
        <v>221928.84</v>
      </c>
      <c r="V333" s="9">
        <f>ROUND(P333 / 1.2, 2)</f>
        <v>135.08000000000001</v>
      </c>
      <c r="W333" s="9">
        <f>ROUND(Q333 / 1.2, 2)</f>
        <v>535</v>
      </c>
      <c r="X333" s="9">
        <f>ROUND(R333 / 1.2, 2)</f>
        <v>670.08</v>
      </c>
      <c r="Y333" s="9">
        <f t="shared" si="11"/>
        <v>37280.699999999997</v>
      </c>
      <c r="Z333" s="9">
        <f>ROUND(T333 / 1.2, 2)</f>
        <v>147660</v>
      </c>
      <c r="AA333" s="9">
        <f>Y333+Z333</f>
        <v>184940.7</v>
      </c>
      <c r="AD333" s="4">
        <v>315890006</v>
      </c>
      <c r="AE333" s="4">
        <v>27245751</v>
      </c>
      <c r="AG333" s="4" t="s">
        <v>991</v>
      </c>
      <c r="AH333" s="4" t="s">
        <v>992</v>
      </c>
      <c r="AI333" s="4" t="s">
        <v>224</v>
      </c>
    </row>
    <row r="334" spans="1:35" ht="36" x14ac:dyDescent="0.3">
      <c r="A334" s="10" t="s">
        <v>1052</v>
      </c>
      <c r="B334" s="10"/>
      <c r="C334" s="16" t="s">
        <v>552</v>
      </c>
      <c r="D334" s="12"/>
      <c r="E334" s="12"/>
      <c r="F334" s="17" t="s">
        <v>227</v>
      </c>
      <c r="G334" s="18">
        <v>0.15</v>
      </c>
      <c r="H334" s="18"/>
      <c r="I334" s="18">
        <v>41.4</v>
      </c>
      <c r="J334" s="19">
        <v>88.8</v>
      </c>
      <c r="M334" s="20">
        <f>ROUND(ROUND(J334, 2)*I334, 2)</f>
        <v>3676.32</v>
      </c>
      <c r="P334" s="19">
        <v>88.8</v>
      </c>
      <c r="S334" s="20">
        <f>ROUND(ROUND(P334, 2)*I334, 2)</f>
        <v>3676.32</v>
      </c>
      <c r="V334" s="9">
        <f>ROUND(ROUND(P334, 2)/1.2, 2)</f>
        <v>74</v>
      </c>
      <c r="Y334" s="9">
        <f t="shared" ref="Y334:Y397" si="12">ROUND(S334 / 1.2, 2)</f>
        <v>3063.6</v>
      </c>
      <c r="AD334" s="4" t="s">
        <v>1053</v>
      </c>
      <c r="AE334" s="4" t="s">
        <v>1054</v>
      </c>
      <c r="AF334" s="4" t="s">
        <v>555</v>
      </c>
    </row>
    <row r="335" spans="1:35" ht="36" x14ac:dyDescent="0.3">
      <c r="A335" s="10" t="s">
        <v>1055</v>
      </c>
      <c r="B335" s="10"/>
      <c r="C335" s="16" t="s">
        <v>997</v>
      </c>
      <c r="D335" s="12"/>
      <c r="E335" s="12"/>
      <c r="F335" s="17" t="s">
        <v>227</v>
      </c>
      <c r="G335" s="18">
        <v>0.3</v>
      </c>
      <c r="H335" s="18"/>
      <c r="I335" s="18">
        <v>82.8</v>
      </c>
      <c r="J335" s="19">
        <v>1216.56</v>
      </c>
      <c r="M335" s="20">
        <f>ROUND(ROUND(J335, 2)*I335, 2)</f>
        <v>100731.17</v>
      </c>
      <c r="P335" s="19">
        <v>495.9</v>
      </c>
      <c r="S335" s="20">
        <f>ROUND(ROUND(P335, 2)*I335, 2)</f>
        <v>41060.519999999997</v>
      </c>
      <c r="V335" s="9">
        <f>ROUND(ROUND(P335, 2)/1.2, 2)</f>
        <v>413.25</v>
      </c>
      <c r="Y335" s="9">
        <f t="shared" si="12"/>
        <v>34217.1</v>
      </c>
      <c r="AD335" s="4" t="s">
        <v>1056</v>
      </c>
      <c r="AE335" s="4" t="s">
        <v>1057</v>
      </c>
      <c r="AF335" s="4" t="s">
        <v>1000</v>
      </c>
    </row>
    <row r="336" spans="1:35" ht="90" x14ac:dyDescent="0.3">
      <c r="A336" s="10" t="s">
        <v>1058</v>
      </c>
      <c r="B336" s="10" t="s">
        <v>989</v>
      </c>
      <c r="C336" s="11" t="s">
        <v>990</v>
      </c>
      <c r="D336" s="12"/>
      <c r="E336" s="12" t="s">
        <v>1059</v>
      </c>
      <c r="F336" s="12" t="s">
        <v>59</v>
      </c>
      <c r="G336" s="13">
        <v>1</v>
      </c>
      <c r="H336" s="13"/>
      <c r="I336" s="13">
        <v>224.5</v>
      </c>
      <c r="J336" s="14">
        <v>378.29</v>
      </c>
      <c r="K336" s="15">
        <v>428</v>
      </c>
      <c r="L336" s="14">
        <f>J336+ROUND(K336, 2)</f>
        <v>806.29</v>
      </c>
      <c r="M336" s="14">
        <v>84926.11</v>
      </c>
      <c r="N336" s="14">
        <v>96086</v>
      </c>
      <c r="O336" s="14">
        <f>M336+N336</f>
        <v>181012.11</v>
      </c>
      <c r="P336" s="14">
        <v>162.09</v>
      </c>
      <c r="Q336" s="15">
        <v>642</v>
      </c>
      <c r="R336" s="14">
        <f>P336+ROUND(Q336, 2)</f>
        <v>804.09</v>
      </c>
      <c r="S336" s="14">
        <v>36389.21</v>
      </c>
      <c r="T336" s="14">
        <v>144129</v>
      </c>
      <c r="U336" s="14">
        <f>S336+T336</f>
        <v>180518.21</v>
      </c>
      <c r="V336" s="9">
        <f>ROUND(P336 / 1.2, 2)</f>
        <v>135.08000000000001</v>
      </c>
      <c r="W336" s="9">
        <f>ROUND(Q336 / 1.2, 2)</f>
        <v>535</v>
      </c>
      <c r="X336" s="9">
        <f>ROUND(R336 / 1.2, 2)</f>
        <v>670.08</v>
      </c>
      <c r="Y336" s="9">
        <f t="shared" si="12"/>
        <v>30324.34</v>
      </c>
      <c r="Z336" s="9">
        <f>ROUND(T336 / 1.2, 2)</f>
        <v>120107.5</v>
      </c>
      <c r="AA336" s="9">
        <f>Y336+Z336</f>
        <v>150431.84</v>
      </c>
      <c r="AD336" s="4">
        <v>315890007</v>
      </c>
      <c r="AE336" s="4">
        <v>27245754</v>
      </c>
      <c r="AG336" s="4" t="s">
        <v>991</v>
      </c>
      <c r="AH336" s="4" t="s">
        <v>992</v>
      </c>
      <c r="AI336" s="4" t="s">
        <v>224</v>
      </c>
    </row>
    <row r="337" spans="1:35" ht="36" x14ac:dyDescent="0.3">
      <c r="A337" s="10" t="s">
        <v>1060</v>
      </c>
      <c r="B337" s="10"/>
      <c r="C337" s="16" t="s">
        <v>997</v>
      </c>
      <c r="D337" s="12"/>
      <c r="E337" s="12"/>
      <c r="F337" s="17" t="s">
        <v>227</v>
      </c>
      <c r="G337" s="18">
        <v>0.3</v>
      </c>
      <c r="H337" s="18"/>
      <c r="I337" s="18">
        <v>67.349999999999994</v>
      </c>
      <c r="J337" s="19">
        <v>1216.56</v>
      </c>
      <c r="M337" s="20">
        <f>ROUND(ROUND(J337, 2)*I337, 2)</f>
        <v>81935.320000000007</v>
      </c>
      <c r="P337" s="19">
        <v>495.9</v>
      </c>
      <c r="S337" s="20">
        <f>ROUND(ROUND(P337, 2)*I337, 2)</f>
        <v>33398.870000000003</v>
      </c>
      <c r="V337" s="9">
        <f>ROUND(ROUND(P337, 2)/1.2, 2)</f>
        <v>413.25</v>
      </c>
      <c r="Y337" s="9">
        <f t="shared" si="12"/>
        <v>27832.39</v>
      </c>
      <c r="AD337" s="4" t="s">
        <v>1061</v>
      </c>
      <c r="AE337" s="4" t="s">
        <v>1062</v>
      </c>
      <c r="AF337" s="4" t="s">
        <v>1000</v>
      </c>
    </row>
    <row r="338" spans="1:35" ht="36" x14ac:dyDescent="0.3">
      <c r="A338" s="10" t="s">
        <v>1063</v>
      </c>
      <c r="B338" s="10"/>
      <c r="C338" s="16" t="s">
        <v>552</v>
      </c>
      <c r="D338" s="12"/>
      <c r="E338" s="12"/>
      <c r="F338" s="17" t="s">
        <v>227</v>
      </c>
      <c r="G338" s="18">
        <v>0.15</v>
      </c>
      <c r="H338" s="18"/>
      <c r="I338" s="18">
        <v>33.674999999999997</v>
      </c>
      <c r="J338" s="19">
        <v>88.8</v>
      </c>
      <c r="M338" s="20">
        <f>ROUND(ROUND(J338, 2)*I338, 2)</f>
        <v>2990.34</v>
      </c>
      <c r="P338" s="19">
        <v>88.8</v>
      </c>
      <c r="S338" s="20">
        <f>ROUND(ROUND(P338, 2)*I338, 2)</f>
        <v>2990.34</v>
      </c>
      <c r="V338" s="9">
        <f>ROUND(ROUND(P338, 2)/1.2, 2)</f>
        <v>74</v>
      </c>
      <c r="Y338" s="9">
        <f t="shared" si="12"/>
        <v>2491.9499999999998</v>
      </c>
      <c r="AD338" s="4" t="s">
        <v>1064</v>
      </c>
      <c r="AE338" s="4" t="s">
        <v>1065</v>
      </c>
      <c r="AF338" s="4" t="s">
        <v>555</v>
      </c>
    </row>
    <row r="339" spans="1:35" ht="72" x14ac:dyDescent="0.3">
      <c r="A339" s="10" t="s">
        <v>1066</v>
      </c>
      <c r="B339" s="10" t="s">
        <v>989</v>
      </c>
      <c r="C339" s="11" t="s">
        <v>990</v>
      </c>
      <c r="D339" s="12"/>
      <c r="E339" s="12" t="s">
        <v>1067</v>
      </c>
      <c r="F339" s="12" t="s">
        <v>59</v>
      </c>
      <c r="G339" s="13">
        <v>1</v>
      </c>
      <c r="H339" s="13"/>
      <c r="I339" s="13">
        <v>180</v>
      </c>
      <c r="J339" s="14">
        <v>378.29</v>
      </c>
      <c r="K339" s="15">
        <v>428</v>
      </c>
      <c r="L339" s="14">
        <f>J339+ROUND(K339, 2)</f>
        <v>806.29</v>
      </c>
      <c r="M339" s="14">
        <v>68092.2</v>
      </c>
      <c r="N339" s="14">
        <v>77040</v>
      </c>
      <c r="O339" s="14">
        <f>M339+N339</f>
        <v>145132.20000000001</v>
      </c>
      <c r="P339" s="14">
        <v>162.09</v>
      </c>
      <c r="Q339" s="15">
        <v>642</v>
      </c>
      <c r="R339" s="14">
        <f>P339+ROUND(Q339, 2)</f>
        <v>804.09</v>
      </c>
      <c r="S339" s="14">
        <v>29176.2</v>
      </c>
      <c r="T339" s="14">
        <v>115560</v>
      </c>
      <c r="U339" s="14">
        <f>S339+T339</f>
        <v>144736.20000000001</v>
      </c>
      <c r="V339" s="9">
        <f>ROUND(P339 / 1.2, 2)</f>
        <v>135.08000000000001</v>
      </c>
      <c r="W339" s="9">
        <f>ROUND(Q339 / 1.2, 2)</f>
        <v>535</v>
      </c>
      <c r="X339" s="9">
        <f>ROUND(R339 / 1.2, 2)</f>
        <v>670.08</v>
      </c>
      <c r="Y339" s="9">
        <f t="shared" si="12"/>
        <v>24313.5</v>
      </c>
      <c r="Z339" s="9">
        <f>ROUND(T339 / 1.2, 2)</f>
        <v>96300</v>
      </c>
      <c r="AA339" s="9">
        <f>Y339+Z339</f>
        <v>120613.5</v>
      </c>
      <c r="AD339" s="4">
        <v>315890008</v>
      </c>
      <c r="AE339" s="4">
        <v>27245759</v>
      </c>
      <c r="AG339" s="4" t="s">
        <v>991</v>
      </c>
      <c r="AH339" s="4" t="s">
        <v>992</v>
      </c>
      <c r="AI339" s="4" t="s">
        <v>224</v>
      </c>
    </row>
    <row r="340" spans="1:35" ht="36" x14ac:dyDescent="0.3">
      <c r="A340" s="10" t="s">
        <v>1068</v>
      </c>
      <c r="B340" s="10"/>
      <c r="C340" s="16" t="s">
        <v>552</v>
      </c>
      <c r="D340" s="12"/>
      <c r="E340" s="12"/>
      <c r="F340" s="17" t="s">
        <v>227</v>
      </c>
      <c r="G340" s="18">
        <v>0.15</v>
      </c>
      <c r="H340" s="18"/>
      <c r="I340" s="18">
        <v>27</v>
      </c>
      <c r="J340" s="19">
        <v>88.8</v>
      </c>
      <c r="M340" s="20">
        <f>ROUND(ROUND(J340, 2)*I340, 2)</f>
        <v>2397.6</v>
      </c>
      <c r="P340" s="19">
        <v>88.8</v>
      </c>
      <c r="S340" s="20">
        <f>ROUND(ROUND(P340, 2)*I340, 2)</f>
        <v>2397.6</v>
      </c>
      <c r="V340" s="9">
        <f>ROUND(ROUND(P340, 2)/1.2, 2)</f>
        <v>74</v>
      </c>
      <c r="Y340" s="9">
        <f t="shared" si="12"/>
        <v>1998</v>
      </c>
      <c r="AD340" s="4" t="s">
        <v>1069</v>
      </c>
      <c r="AE340" s="4" t="s">
        <v>1070</v>
      </c>
      <c r="AF340" s="4" t="s">
        <v>555</v>
      </c>
    </row>
    <row r="341" spans="1:35" ht="36" x14ac:dyDescent="0.3">
      <c r="A341" s="10" t="s">
        <v>1071</v>
      </c>
      <c r="B341" s="10"/>
      <c r="C341" s="16" t="s">
        <v>997</v>
      </c>
      <c r="D341" s="12"/>
      <c r="E341" s="12"/>
      <c r="F341" s="17" t="s">
        <v>227</v>
      </c>
      <c r="G341" s="18">
        <v>0.3</v>
      </c>
      <c r="H341" s="18"/>
      <c r="I341" s="18">
        <v>54</v>
      </c>
      <c r="J341" s="19">
        <v>1216.56</v>
      </c>
      <c r="M341" s="20">
        <f>ROUND(ROUND(J341, 2)*I341, 2)</f>
        <v>65694.240000000005</v>
      </c>
      <c r="P341" s="19">
        <v>495.9</v>
      </c>
      <c r="S341" s="20">
        <f>ROUND(ROUND(P341, 2)*I341, 2)</f>
        <v>26778.6</v>
      </c>
      <c r="V341" s="9">
        <f>ROUND(ROUND(P341, 2)/1.2, 2)</f>
        <v>413.25</v>
      </c>
      <c r="Y341" s="9">
        <f t="shared" si="12"/>
        <v>22315.5</v>
      </c>
      <c r="AD341" s="4" t="s">
        <v>1072</v>
      </c>
      <c r="AE341" s="4" t="s">
        <v>1073</v>
      </c>
      <c r="AF341" s="4" t="s">
        <v>1000</v>
      </c>
    </row>
    <row r="342" spans="1:35" ht="72" x14ac:dyDescent="0.3">
      <c r="A342" s="10" t="s">
        <v>1074</v>
      </c>
      <c r="B342" s="10" t="s">
        <v>989</v>
      </c>
      <c r="C342" s="11" t="s">
        <v>990</v>
      </c>
      <c r="D342" s="12"/>
      <c r="E342" s="12" t="s">
        <v>1075</v>
      </c>
      <c r="F342" s="12" t="s">
        <v>59</v>
      </c>
      <c r="G342" s="13">
        <v>1</v>
      </c>
      <c r="H342" s="13"/>
      <c r="I342" s="13">
        <v>1285.3</v>
      </c>
      <c r="J342" s="14">
        <v>378.29</v>
      </c>
      <c r="K342" s="15">
        <v>428</v>
      </c>
      <c r="L342" s="14">
        <f>J342+ROUND(K342, 2)</f>
        <v>806.29</v>
      </c>
      <c r="M342" s="14">
        <v>486216.14</v>
      </c>
      <c r="N342" s="14">
        <v>550108.4</v>
      </c>
      <c r="O342" s="14">
        <f>M342+N342</f>
        <v>1036324.54</v>
      </c>
      <c r="P342" s="14">
        <v>162.09</v>
      </c>
      <c r="Q342" s="15">
        <v>642</v>
      </c>
      <c r="R342" s="14">
        <f>P342+ROUND(Q342, 2)</f>
        <v>804.09</v>
      </c>
      <c r="S342" s="14">
        <v>208334.28</v>
      </c>
      <c r="T342" s="14">
        <v>825162.6</v>
      </c>
      <c r="U342" s="14">
        <f>S342+T342</f>
        <v>1033496.88</v>
      </c>
      <c r="V342" s="9">
        <f>ROUND(P342 / 1.2, 2)</f>
        <v>135.08000000000001</v>
      </c>
      <c r="W342" s="9">
        <f>ROUND(Q342 / 1.2, 2)</f>
        <v>535</v>
      </c>
      <c r="X342" s="9">
        <f>ROUND(R342 / 1.2, 2)</f>
        <v>670.08</v>
      </c>
      <c r="Y342" s="9">
        <f t="shared" si="12"/>
        <v>173611.9</v>
      </c>
      <c r="Z342" s="9">
        <f>ROUND(T342 / 1.2, 2)</f>
        <v>687635.5</v>
      </c>
      <c r="AA342" s="9">
        <f>Y342+Z342</f>
        <v>861247.4</v>
      </c>
      <c r="AD342" s="4">
        <v>315890009</v>
      </c>
      <c r="AE342" s="4">
        <v>27245747</v>
      </c>
      <c r="AG342" s="4" t="s">
        <v>991</v>
      </c>
      <c r="AH342" s="4" t="s">
        <v>992</v>
      </c>
      <c r="AI342" s="4" t="s">
        <v>224</v>
      </c>
    </row>
    <row r="343" spans="1:35" ht="36" x14ac:dyDescent="0.3">
      <c r="A343" s="10" t="s">
        <v>1076</v>
      </c>
      <c r="B343" s="10"/>
      <c r="C343" s="16" t="s">
        <v>997</v>
      </c>
      <c r="D343" s="12"/>
      <c r="E343" s="12"/>
      <c r="F343" s="17" t="s">
        <v>227</v>
      </c>
      <c r="G343" s="18">
        <v>0.3</v>
      </c>
      <c r="H343" s="18"/>
      <c r="I343" s="18">
        <v>385.59</v>
      </c>
      <c r="J343" s="19">
        <v>1216.56</v>
      </c>
      <c r="M343" s="20">
        <f>ROUND(ROUND(J343, 2)*I343, 2)</f>
        <v>469093.37</v>
      </c>
      <c r="P343" s="19">
        <v>495.9</v>
      </c>
      <c r="S343" s="20">
        <f>ROUND(ROUND(P343, 2)*I343, 2)</f>
        <v>191214.07999999999</v>
      </c>
      <c r="V343" s="9">
        <f>ROUND(ROUND(P343, 2)/1.2, 2)</f>
        <v>413.25</v>
      </c>
      <c r="Y343" s="9">
        <f t="shared" si="12"/>
        <v>159345.07</v>
      </c>
      <c r="AD343" s="4" t="s">
        <v>1077</v>
      </c>
      <c r="AE343" s="4" t="s">
        <v>1078</v>
      </c>
      <c r="AF343" s="4" t="s">
        <v>1000</v>
      </c>
    </row>
    <row r="344" spans="1:35" ht="36" x14ac:dyDescent="0.3">
      <c r="A344" s="10" t="s">
        <v>1079</v>
      </c>
      <c r="B344" s="10"/>
      <c r="C344" s="16" t="s">
        <v>552</v>
      </c>
      <c r="D344" s="12"/>
      <c r="E344" s="12"/>
      <c r="F344" s="17" t="s">
        <v>227</v>
      </c>
      <c r="G344" s="18">
        <v>0.15</v>
      </c>
      <c r="H344" s="18"/>
      <c r="I344" s="18">
        <v>192.79499999999999</v>
      </c>
      <c r="J344" s="19">
        <v>88.8</v>
      </c>
      <c r="M344" s="20">
        <f>ROUND(ROUND(J344, 2)*I344, 2)</f>
        <v>17120.2</v>
      </c>
      <c r="P344" s="19">
        <v>88.8</v>
      </c>
      <c r="S344" s="20">
        <f>ROUND(ROUND(P344, 2)*I344, 2)</f>
        <v>17120.2</v>
      </c>
      <c r="V344" s="9">
        <f>ROUND(ROUND(P344, 2)/1.2, 2)</f>
        <v>74</v>
      </c>
      <c r="Y344" s="9">
        <f t="shared" si="12"/>
        <v>14266.83</v>
      </c>
      <c r="AD344" s="4" t="s">
        <v>1080</v>
      </c>
      <c r="AE344" s="4" t="s">
        <v>1081</v>
      </c>
      <c r="AF344" s="4" t="s">
        <v>555</v>
      </c>
    </row>
    <row r="345" spans="1:35" ht="72" x14ac:dyDescent="0.3">
      <c r="A345" s="10" t="s">
        <v>1082</v>
      </c>
      <c r="B345" s="10" t="s">
        <v>989</v>
      </c>
      <c r="C345" s="11" t="s">
        <v>990</v>
      </c>
      <c r="D345" s="12"/>
      <c r="E345" s="12" t="s">
        <v>1083</v>
      </c>
      <c r="F345" s="12" t="s">
        <v>59</v>
      </c>
      <c r="G345" s="13">
        <v>1</v>
      </c>
      <c r="H345" s="13"/>
      <c r="I345" s="13">
        <v>101.4</v>
      </c>
      <c r="J345" s="14">
        <v>378.29</v>
      </c>
      <c r="K345" s="15">
        <v>428</v>
      </c>
      <c r="L345" s="14">
        <f>J345+ROUND(K345, 2)</f>
        <v>806.29</v>
      </c>
      <c r="M345" s="14">
        <v>38358.61</v>
      </c>
      <c r="N345" s="14">
        <v>43399.199999999997</v>
      </c>
      <c r="O345" s="14">
        <f>M345+N345</f>
        <v>81757.81</v>
      </c>
      <c r="P345" s="14">
        <v>162.09</v>
      </c>
      <c r="Q345" s="15">
        <v>642</v>
      </c>
      <c r="R345" s="14">
        <f>P345+ROUND(Q345, 2)</f>
        <v>804.09</v>
      </c>
      <c r="S345" s="14">
        <v>16435.93</v>
      </c>
      <c r="T345" s="14">
        <v>65098.8</v>
      </c>
      <c r="U345" s="14">
        <f>S345+T345</f>
        <v>81534.73000000001</v>
      </c>
      <c r="V345" s="9">
        <f>ROUND(P345 / 1.2, 2)</f>
        <v>135.08000000000001</v>
      </c>
      <c r="W345" s="9">
        <f>ROUND(Q345 / 1.2, 2)</f>
        <v>535</v>
      </c>
      <c r="X345" s="9">
        <f>ROUND(R345 / 1.2, 2)</f>
        <v>670.08</v>
      </c>
      <c r="Y345" s="9">
        <f t="shared" si="12"/>
        <v>13696.61</v>
      </c>
      <c r="Z345" s="9">
        <f>ROUND(T345 / 1.2, 2)</f>
        <v>54249</v>
      </c>
      <c r="AA345" s="9">
        <f>Y345+Z345</f>
        <v>67945.61</v>
      </c>
      <c r="AD345" s="4">
        <v>315890010</v>
      </c>
      <c r="AE345" s="4">
        <v>27245749</v>
      </c>
      <c r="AG345" s="4" t="s">
        <v>991</v>
      </c>
      <c r="AH345" s="4" t="s">
        <v>992</v>
      </c>
      <c r="AI345" s="4" t="s">
        <v>224</v>
      </c>
    </row>
    <row r="346" spans="1:35" ht="36" x14ac:dyDescent="0.3">
      <c r="A346" s="10" t="s">
        <v>1084</v>
      </c>
      <c r="B346" s="10"/>
      <c r="C346" s="16" t="s">
        <v>552</v>
      </c>
      <c r="D346" s="12"/>
      <c r="E346" s="12"/>
      <c r="F346" s="17" t="s">
        <v>227</v>
      </c>
      <c r="G346" s="18">
        <v>0.15</v>
      </c>
      <c r="H346" s="18"/>
      <c r="I346" s="18">
        <v>15.21</v>
      </c>
      <c r="J346" s="19">
        <v>88.8</v>
      </c>
      <c r="M346" s="20">
        <f>ROUND(ROUND(J346, 2)*I346, 2)</f>
        <v>1350.65</v>
      </c>
      <c r="P346" s="19">
        <v>88.8</v>
      </c>
      <c r="S346" s="20">
        <f>ROUND(ROUND(P346, 2)*I346, 2)</f>
        <v>1350.65</v>
      </c>
      <c r="V346" s="9">
        <f>ROUND(ROUND(P346, 2)/1.2, 2)</f>
        <v>74</v>
      </c>
      <c r="Y346" s="9">
        <f t="shared" si="12"/>
        <v>1125.54</v>
      </c>
      <c r="AD346" s="4" t="s">
        <v>1085</v>
      </c>
      <c r="AE346" s="4" t="s">
        <v>1086</v>
      </c>
      <c r="AF346" s="4" t="s">
        <v>555</v>
      </c>
    </row>
    <row r="347" spans="1:35" ht="36" x14ac:dyDescent="0.3">
      <c r="A347" s="10" t="s">
        <v>1087</v>
      </c>
      <c r="B347" s="10"/>
      <c r="C347" s="16" t="s">
        <v>997</v>
      </c>
      <c r="D347" s="12"/>
      <c r="E347" s="12"/>
      <c r="F347" s="17" t="s">
        <v>227</v>
      </c>
      <c r="G347" s="18">
        <v>0.3</v>
      </c>
      <c r="H347" s="18"/>
      <c r="I347" s="18">
        <v>30.42</v>
      </c>
      <c r="J347" s="19">
        <v>1216.56</v>
      </c>
      <c r="M347" s="20">
        <f>ROUND(ROUND(J347, 2)*I347, 2)</f>
        <v>37007.760000000002</v>
      </c>
      <c r="P347" s="19">
        <v>495.9</v>
      </c>
      <c r="S347" s="20">
        <f>ROUND(ROUND(P347, 2)*I347, 2)</f>
        <v>15085.28</v>
      </c>
      <c r="V347" s="9">
        <f>ROUND(ROUND(P347, 2)/1.2, 2)</f>
        <v>413.25</v>
      </c>
      <c r="Y347" s="9">
        <f t="shared" si="12"/>
        <v>12571.07</v>
      </c>
      <c r="AD347" s="4" t="s">
        <v>1088</v>
      </c>
      <c r="AE347" s="4" t="s">
        <v>1089</v>
      </c>
      <c r="AF347" s="4" t="s">
        <v>1000</v>
      </c>
    </row>
    <row r="348" spans="1:35" ht="72" x14ac:dyDescent="0.3">
      <c r="A348" s="10" t="s">
        <v>1090</v>
      </c>
      <c r="B348" s="10" t="s">
        <v>989</v>
      </c>
      <c r="C348" s="11" t="s">
        <v>990</v>
      </c>
      <c r="D348" s="12"/>
      <c r="E348" s="12" t="s">
        <v>1091</v>
      </c>
      <c r="F348" s="12" t="s">
        <v>59</v>
      </c>
      <c r="G348" s="13">
        <v>1</v>
      </c>
      <c r="H348" s="13"/>
      <c r="I348" s="13">
        <v>23.1</v>
      </c>
      <c r="J348" s="14">
        <v>378.29</v>
      </c>
      <c r="K348" s="15">
        <v>428</v>
      </c>
      <c r="L348" s="14">
        <f>J348+ROUND(K348, 2)</f>
        <v>806.29</v>
      </c>
      <c r="M348" s="14">
        <v>8738.5</v>
      </c>
      <c r="N348" s="14">
        <v>9886.7999999999993</v>
      </c>
      <c r="O348" s="14">
        <f>M348+N348</f>
        <v>18625.3</v>
      </c>
      <c r="P348" s="14">
        <v>162.09</v>
      </c>
      <c r="Q348" s="15">
        <v>642</v>
      </c>
      <c r="R348" s="14">
        <f>P348+ROUND(Q348, 2)</f>
        <v>804.09</v>
      </c>
      <c r="S348" s="14">
        <v>3744.28</v>
      </c>
      <c r="T348" s="14">
        <v>14830.2</v>
      </c>
      <c r="U348" s="14">
        <f>S348+T348</f>
        <v>18574.48</v>
      </c>
      <c r="V348" s="9">
        <f>ROUND(P348 / 1.2, 2)</f>
        <v>135.08000000000001</v>
      </c>
      <c r="W348" s="9">
        <f>ROUND(Q348 / 1.2, 2)</f>
        <v>535</v>
      </c>
      <c r="X348" s="9">
        <f>ROUND(R348 / 1.2, 2)</f>
        <v>670.08</v>
      </c>
      <c r="Y348" s="9">
        <f t="shared" si="12"/>
        <v>3120.23</v>
      </c>
      <c r="Z348" s="9">
        <f>ROUND(T348 / 1.2, 2)</f>
        <v>12358.5</v>
      </c>
      <c r="AA348" s="9">
        <f>Y348+Z348</f>
        <v>15478.73</v>
      </c>
      <c r="AD348" s="4">
        <v>315890011</v>
      </c>
      <c r="AE348" s="4">
        <v>27245743</v>
      </c>
      <c r="AG348" s="4" t="s">
        <v>991</v>
      </c>
      <c r="AH348" s="4" t="s">
        <v>992</v>
      </c>
      <c r="AI348" s="4" t="s">
        <v>224</v>
      </c>
    </row>
    <row r="349" spans="1:35" ht="36" x14ac:dyDescent="0.3">
      <c r="A349" s="10" t="s">
        <v>1092</v>
      </c>
      <c r="B349" s="10"/>
      <c r="C349" s="16" t="s">
        <v>997</v>
      </c>
      <c r="D349" s="12"/>
      <c r="E349" s="12"/>
      <c r="F349" s="17" t="s">
        <v>227</v>
      </c>
      <c r="G349" s="18">
        <v>0.3</v>
      </c>
      <c r="H349" s="18"/>
      <c r="I349" s="18">
        <v>6.93</v>
      </c>
      <c r="J349" s="19">
        <v>1216.56</v>
      </c>
      <c r="M349" s="20">
        <f>ROUND(ROUND(J349, 2)*I349, 2)</f>
        <v>8430.76</v>
      </c>
      <c r="P349" s="19">
        <v>495.9</v>
      </c>
      <c r="S349" s="20">
        <f>ROUND(ROUND(P349, 2)*I349, 2)</f>
        <v>3436.59</v>
      </c>
      <c r="V349" s="9">
        <f>ROUND(ROUND(P349, 2)/1.2, 2)</f>
        <v>413.25</v>
      </c>
      <c r="Y349" s="9">
        <f t="shared" si="12"/>
        <v>2863.83</v>
      </c>
      <c r="AD349" s="4" t="s">
        <v>1093</v>
      </c>
      <c r="AE349" s="4" t="s">
        <v>1094</v>
      </c>
      <c r="AF349" s="4" t="s">
        <v>1000</v>
      </c>
    </row>
    <row r="350" spans="1:35" ht="36" x14ac:dyDescent="0.3">
      <c r="A350" s="10" t="s">
        <v>1095</v>
      </c>
      <c r="B350" s="10"/>
      <c r="C350" s="16" t="s">
        <v>552</v>
      </c>
      <c r="D350" s="12"/>
      <c r="E350" s="12"/>
      <c r="F350" s="17" t="s">
        <v>227</v>
      </c>
      <c r="G350" s="18">
        <v>0.15</v>
      </c>
      <c r="H350" s="18"/>
      <c r="I350" s="18">
        <v>3.4649999999999999</v>
      </c>
      <c r="J350" s="19">
        <v>88.8</v>
      </c>
      <c r="M350" s="20">
        <f>ROUND(ROUND(J350, 2)*I350, 2)</f>
        <v>307.69</v>
      </c>
      <c r="P350" s="19">
        <v>88.8</v>
      </c>
      <c r="S350" s="20">
        <f>ROUND(ROUND(P350, 2)*I350, 2)</f>
        <v>307.69</v>
      </c>
      <c r="V350" s="9">
        <f>ROUND(ROUND(P350, 2)/1.2, 2)</f>
        <v>74</v>
      </c>
      <c r="Y350" s="9">
        <f t="shared" si="12"/>
        <v>256.41000000000003</v>
      </c>
      <c r="AD350" s="4" t="s">
        <v>1096</v>
      </c>
      <c r="AE350" s="4" t="s">
        <v>1097</v>
      </c>
      <c r="AF350" s="4" t="s">
        <v>555</v>
      </c>
    </row>
    <row r="351" spans="1:35" ht="90" x14ac:dyDescent="0.3">
      <c r="A351" s="10" t="s">
        <v>1098</v>
      </c>
      <c r="B351" s="10" t="s">
        <v>989</v>
      </c>
      <c r="C351" s="11" t="s">
        <v>990</v>
      </c>
      <c r="D351" s="12"/>
      <c r="E351" s="12" t="s">
        <v>1099</v>
      </c>
      <c r="F351" s="12" t="s">
        <v>59</v>
      </c>
      <c r="G351" s="13">
        <v>1</v>
      </c>
      <c r="H351" s="13"/>
      <c r="I351" s="13">
        <v>18.5</v>
      </c>
      <c r="J351" s="14">
        <v>378.29</v>
      </c>
      <c r="K351" s="15">
        <v>428</v>
      </c>
      <c r="L351" s="14">
        <f>J351+ROUND(K351, 2)</f>
        <v>806.29</v>
      </c>
      <c r="M351" s="14">
        <v>6998.37</v>
      </c>
      <c r="N351" s="14">
        <v>7918</v>
      </c>
      <c r="O351" s="14">
        <f>M351+N351</f>
        <v>14916.369999999999</v>
      </c>
      <c r="P351" s="14">
        <v>162.09</v>
      </c>
      <c r="Q351" s="15">
        <v>642</v>
      </c>
      <c r="R351" s="14">
        <f>P351+ROUND(Q351, 2)</f>
        <v>804.09</v>
      </c>
      <c r="S351" s="14">
        <v>2998.67</v>
      </c>
      <c r="T351" s="14">
        <v>11877</v>
      </c>
      <c r="U351" s="14">
        <f>S351+T351</f>
        <v>14875.67</v>
      </c>
      <c r="V351" s="9">
        <f>ROUND(P351 / 1.2, 2)</f>
        <v>135.08000000000001</v>
      </c>
      <c r="W351" s="9">
        <f>ROUND(Q351 / 1.2, 2)</f>
        <v>535</v>
      </c>
      <c r="X351" s="9">
        <f>ROUND(R351 / 1.2, 2)</f>
        <v>670.08</v>
      </c>
      <c r="Y351" s="9">
        <f t="shared" si="12"/>
        <v>2498.89</v>
      </c>
      <c r="Z351" s="9">
        <f>ROUND(T351 / 1.2, 2)</f>
        <v>9897.5</v>
      </c>
      <c r="AA351" s="9">
        <f>Y351+Z351</f>
        <v>12396.39</v>
      </c>
      <c r="AD351" s="4">
        <v>315890012</v>
      </c>
      <c r="AE351" s="4">
        <v>27245745</v>
      </c>
      <c r="AG351" s="4" t="s">
        <v>991</v>
      </c>
      <c r="AH351" s="4" t="s">
        <v>992</v>
      </c>
      <c r="AI351" s="4" t="s">
        <v>224</v>
      </c>
    </row>
    <row r="352" spans="1:35" ht="36" x14ac:dyDescent="0.3">
      <c r="A352" s="10" t="s">
        <v>1100</v>
      </c>
      <c r="B352" s="10"/>
      <c r="C352" s="16" t="s">
        <v>552</v>
      </c>
      <c r="D352" s="12"/>
      <c r="E352" s="12"/>
      <c r="F352" s="17" t="s">
        <v>227</v>
      </c>
      <c r="G352" s="18">
        <v>0.15</v>
      </c>
      <c r="H352" s="18"/>
      <c r="I352" s="18">
        <v>2.7749999999999999</v>
      </c>
      <c r="J352" s="19">
        <v>88.8</v>
      </c>
      <c r="M352" s="20">
        <f>ROUND(ROUND(J352, 2)*I352, 2)</f>
        <v>246.42</v>
      </c>
      <c r="P352" s="19">
        <v>88.8</v>
      </c>
      <c r="S352" s="20">
        <f>ROUND(ROUND(P352, 2)*I352, 2)</f>
        <v>246.42</v>
      </c>
      <c r="V352" s="9">
        <f>ROUND(ROUND(P352, 2)/1.2, 2)</f>
        <v>74</v>
      </c>
      <c r="Y352" s="9">
        <f t="shared" si="12"/>
        <v>205.35</v>
      </c>
      <c r="AD352" s="4" t="s">
        <v>1101</v>
      </c>
      <c r="AE352" s="4" t="s">
        <v>1102</v>
      </c>
      <c r="AF352" s="4" t="s">
        <v>555</v>
      </c>
    </row>
    <row r="353" spans="1:35" ht="36" x14ac:dyDescent="0.3">
      <c r="A353" s="10" t="s">
        <v>1103</v>
      </c>
      <c r="B353" s="10"/>
      <c r="C353" s="16" t="s">
        <v>997</v>
      </c>
      <c r="D353" s="12"/>
      <c r="E353" s="12"/>
      <c r="F353" s="17" t="s">
        <v>227</v>
      </c>
      <c r="G353" s="18">
        <v>0.3</v>
      </c>
      <c r="H353" s="18"/>
      <c r="I353" s="18">
        <v>5.55</v>
      </c>
      <c r="J353" s="19">
        <v>1216.56</v>
      </c>
      <c r="M353" s="20">
        <f>ROUND(ROUND(J353, 2)*I353, 2)</f>
        <v>6751.91</v>
      </c>
      <c r="P353" s="19">
        <v>495.9</v>
      </c>
      <c r="S353" s="20">
        <f>ROUND(ROUND(P353, 2)*I353, 2)</f>
        <v>2752.25</v>
      </c>
      <c r="V353" s="9">
        <f>ROUND(ROUND(P353, 2)/1.2, 2)</f>
        <v>413.25</v>
      </c>
      <c r="Y353" s="9">
        <f t="shared" si="12"/>
        <v>2293.54</v>
      </c>
      <c r="AD353" s="4" t="s">
        <v>1104</v>
      </c>
      <c r="AE353" s="4" t="s">
        <v>1105</v>
      </c>
      <c r="AF353" s="4" t="s">
        <v>1000</v>
      </c>
    </row>
    <row r="354" spans="1:35" ht="36" x14ac:dyDescent="0.3">
      <c r="A354" s="10" t="s">
        <v>1106</v>
      </c>
      <c r="B354" s="10" t="s">
        <v>989</v>
      </c>
      <c r="C354" s="11" t="s">
        <v>990</v>
      </c>
      <c r="D354" s="12"/>
      <c r="E354" s="12" t="s">
        <v>1107</v>
      </c>
      <c r="F354" s="12" t="s">
        <v>59</v>
      </c>
      <c r="G354" s="13">
        <v>1</v>
      </c>
      <c r="H354" s="13"/>
      <c r="I354" s="13">
        <v>253.5</v>
      </c>
      <c r="J354" s="14">
        <v>378.29</v>
      </c>
      <c r="K354" s="15">
        <v>428</v>
      </c>
      <c r="L354" s="14">
        <f>J354+ROUND(K354, 2)</f>
        <v>806.29</v>
      </c>
      <c r="M354" s="14">
        <v>95896.52</v>
      </c>
      <c r="N354" s="14">
        <v>108498</v>
      </c>
      <c r="O354" s="14">
        <f>M354+N354</f>
        <v>204394.52000000002</v>
      </c>
      <c r="P354" s="14">
        <v>162.09</v>
      </c>
      <c r="Q354" s="15">
        <v>642</v>
      </c>
      <c r="R354" s="14">
        <f>P354+ROUND(Q354, 2)</f>
        <v>804.09</v>
      </c>
      <c r="S354" s="14">
        <v>41089.82</v>
      </c>
      <c r="T354" s="14">
        <v>162747</v>
      </c>
      <c r="U354" s="14">
        <f>S354+T354</f>
        <v>203836.82</v>
      </c>
      <c r="V354" s="9">
        <f>ROUND(P354 / 1.2, 2)</f>
        <v>135.08000000000001</v>
      </c>
      <c r="W354" s="9">
        <f>ROUND(Q354 / 1.2, 2)</f>
        <v>535</v>
      </c>
      <c r="X354" s="9">
        <f>ROUND(R354 / 1.2, 2)</f>
        <v>670.08</v>
      </c>
      <c r="Y354" s="9">
        <f t="shared" si="12"/>
        <v>34241.519999999997</v>
      </c>
      <c r="Z354" s="9">
        <f>ROUND(T354 / 1.2, 2)</f>
        <v>135622.5</v>
      </c>
      <c r="AA354" s="9">
        <f>Y354+Z354</f>
        <v>169864.02</v>
      </c>
      <c r="AD354" s="4">
        <v>315890013</v>
      </c>
      <c r="AE354" s="4">
        <v>27245797</v>
      </c>
      <c r="AG354" s="4" t="s">
        <v>991</v>
      </c>
      <c r="AH354" s="4" t="s">
        <v>992</v>
      </c>
      <c r="AI354" s="4" t="s">
        <v>224</v>
      </c>
    </row>
    <row r="355" spans="1:35" ht="36" x14ac:dyDescent="0.3">
      <c r="A355" s="10" t="s">
        <v>1108</v>
      </c>
      <c r="B355" s="10"/>
      <c r="C355" s="16" t="s">
        <v>997</v>
      </c>
      <c r="D355" s="12"/>
      <c r="E355" s="12"/>
      <c r="F355" s="17" t="s">
        <v>227</v>
      </c>
      <c r="G355" s="18">
        <v>0.3</v>
      </c>
      <c r="H355" s="18"/>
      <c r="I355" s="18">
        <v>76.05</v>
      </c>
      <c r="J355" s="19">
        <v>1216.56</v>
      </c>
      <c r="M355" s="20">
        <f>ROUND(ROUND(J355, 2)*I355, 2)</f>
        <v>92519.39</v>
      </c>
      <c r="P355" s="19">
        <v>495.9</v>
      </c>
      <c r="S355" s="20">
        <f>ROUND(ROUND(P355, 2)*I355, 2)</f>
        <v>37713.199999999997</v>
      </c>
      <c r="V355" s="9">
        <f>ROUND(ROUND(P355, 2)/1.2, 2)</f>
        <v>413.25</v>
      </c>
      <c r="Y355" s="9">
        <f t="shared" si="12"/>
        <v>31427.67</v>
      </c>
      <c r="AD355" s="4" t="s">
        <v>1109</v>
      </c>
      <c r="AE355" s="4" t="s">
        <v>1110</v>
      </c>
      <c r="AF355" s="4" t="s">
        <v>1000</v>
      </c>
    </row>
    <row r="356" spans="1:35" ht="36" x14ac:dyDescent="0.3">
      <c r="A356" s="10" t="s">
        <v>1111</v>
      </c>
      <c r="B356" s="10"/>
      <c r="C356" s="16" t="s">
        <v>552</v>
      </c>
      <c r="D356" s="12"/>
      <c r="E356" s="12"/>
      <c r="F356" s="17" t="s">
        <v>227</v>
      </c>
      <c r="G356" s="18">
        <v>0.15</v>
      </c>
      <c r="H356" s="18"/>
      <c r="I356" s="18">
        <v>38.024999999999999</v>
      </c>
      <c r="J356" s="19">
        <v>88.8</v>
      </c>
      <c r="M356" s="20">
        <f>ROUND(ROUND(J356, 2)*I356, 2)</f>
        <v>3376.62</v>
      </c>
      <c r="P356" s="19">
        <v>88.8</v>
      </c>
      <c r="S356" s="20">
        <f>ROUND(ROUND(P356, 2)*I356, 2)</f>
        <v>3376.62</v>
      </c>
      <c r="V356" s="9">
        <f>ROUND(ROUND(P356, 2)/1.2, 2)</f>
        <v>74</v>
      </c>
      <c r="Y356" s="9">
        <f t="shared" si="12"/>
        <v>2813.85</v>
      </c>
      <c r="AD356" s="4" t="s">
        <v>1112</v>
      </c>
      <c r="AE356" s="4" t="s">
        <v>1113</v>
      </c>
      <c r="AF356" s="4" t="s">
        <v>555</v>
      </c>
    </row>
    <row r="357" spans="1:35" ht="36" x14ac:dyDescent="0.3">
      <c r="A357" s="10" t="s">
        <v>1114</v>
      </c>
      <c r="B357" s="10" t="s">
        <v>1115</v>
      </c>
      <c r="C357" s="11" t="s">
        <v>1116</v>
      </c>
      <c r="D357" s="12"/>
      <c r="E357" s="12"/>
      <c r="F357" s="12" t="s">
        <v>59</v>
      </c>
      <c r="G357" s="13">
        <v>1</v>
      </c>
      <c r="H357" s="13"/>
      <c r="I357" s="13">
        <v>0</v>
      </c>
      <c r="J357" s="14">
        <v>0</v>
      </c>
      <c r="K357" s="15">
        <v>472</v>
      </c>
      <c r="L357" s="14">
        <f>J357+ROUND(K357, 2)</f>
        <v>472</v>
      </c>
      <c r="M357" s="14">
        <v>0</v>
      </c>
      <c r="N357" s="14">
        <v>0</v>
      </c>
      <c r="O357" s="14">
        <f>M357+N357</f>
        <v>0</v>
      </c>
      <c r="P357" s="14">
        <v>157.65</v>
      </c>
      <c r="Q357" s="15">
        <v>472</v>
      </c>
      <c r="R357" s="14">
        <f>P357+ROUND(Q357, 2)</f>
        <v>629.65</v>
      </c>
      <c r="S357" s="14">
        <v>0</v>
      </c>
      <c r="T357" s="14">
        <v>0</v>
      </c>
      <c r="U357" s="14">
        <f>S357+T357</f>
        <v>0</v>
      </c>
      <c r="V357" s="9">
        <f>ROUND(P357 / 1.2, 2)</f>
        <v>131.38</v>
      </c>
      <c r="W357" s="9">
        <f>ROUND(Q357 / 1.2, 2)</f>
        <v>393.33</v>
      </c>
      <c r="X357" s="9">
        <f>ROUND(R357 / 1.2, 2)</f>
        <v>524.71</v>
      </c>
      <c r="Y357" s="9">
        <f t="shared" si="12"/>
        <v>0</v>
      </c>
      <c r="Z357" s="9">
        <f>ROUND(T357 / 1.2, 2)</f>
        <v>0</v>
      </c>
      <c r="AA357" s="9">
        <f>Y357+Z357</f>
        <v>0</v>
      </c>
      <c r="AD357" s="4">
        <v>315890014</v>
      </c>
      <c r="AE357" s="4">
        <v>27245673</v>
      </c>
      <c r="AG357" s="4" t="s">
        <v>1117</v>
      </c>
      <c r="AH357" s="4" t="s">
        <v>1118</v>
      </c>
      <c r="AI357" s="4" t="s">
        <v>224</v>
      </c>
    </row>
    <row r="358" spans="1:35" ht="18" x14ac:dyDescent="0.3">
      <c r="A358" s="10" t="s">
        <v>1119</v>
      </c>
      <c r="B358" s="10"/>
      <c r="C358" s="16" t="s">
        <v>1120</v>
      </c>
      <c r="D358" s="12"/>
      <c r="E358" s="12"/>
      <c r="F358" s="17" t="s">
        <v>227</v>
      </c>
      <c r="G358" s="18">
        <v>0.3</v>
      </c>
      <c r="H358" s="18"/>
      <c r="I358" s="18">
        <v>0</v>
      </c>
      <c r="J358" s="19">
        <v>938.78</v>
      </c>
      <c r="M358" s="20">
        <f>ROUND(ROUND(J358, 2)*I358, 2)</f>
        <v>0</v>
      </c>
      <c r="P358" s="19">
        <v>495.9</v>
      </c>
      <c r="S358" s="20">
        <f>ROUND(ROUND(P358, 2)*I358, 2)</f>
        <v>0</v>
      </c>
      <c r="V358" s="9">
        <f>ROUND(ROUND(P358, 2)/1.2, 2)</f>
        <v>413.25</v>
      </c>
      <c r="Y358" s="9">
        <f t="shared" si="12"/>
        <v>0</v>
      </c>
      <c r="AD358" s="4" t="s">
        <v>1121</v>
      </c>
      <c r="AE358" s="4" t="s">
        <v>1122</v>
      </c>
      <c r="AF358" s="4" t="s">
        <v>1123</v>
      </c>
    </row>
    <row r="359" spans="1:35" ht="36" x14ac:dyDescent="0.3">
      <c r="A359" s="10" t="s">
        <v>1124</v>
      </c>
      <c r="B359" s="10"/>
      <c r="C359" s="16" t="s">
        <v>552</v>
      </c>
      <c r="D359" s="12"/>
      <c r="E359" s="12"/>
      <c r="F359" s="17" t="s">
        <v>227</v>
      </c>
      <c r="G359" s="18">
        <v>0.1</v>
      </c>
      <c r="H359" s="18"/>
      <c r="I359" s="18">
        <v>0</v>
      </c>
      <c r="J359" s="19">
        <v>88.8</v>
      </c>
      <c r="M359" s="20">
        <f>ROUND(ROUND(J359, 2)*I359, 2)</f>
        <v>0</v>
      </c>
      <c r="P359" s="19">
        <v>88.8</v>
      </c>
      <c r="S359" s="20">
        <f>ROUND(ROUND(P359, 2)*I359, 2)</f>
        <v>0</v>
      </c>
      <c r="V359" s="9">
        <f>ROUND(ROUND(P359, 2)/1.2, 2)</f>
        <v>74</v>
      </c>
      <c r="Y359" s="9">
        <f t="shared" si="12"/>
        <v>0</v>
      </c>
      <c r="AD359" s="4" t="s">
        <v>1125</v>
      </c>
      <c r="AE359" s="4" t="s">
        <v>1126</v>
      </c>
      <c r="AF359" s="4" t="s">
        <v>555</v>
      </c>
    </row>
    <row r="360" spans="1:35" ht="72" x14ac:dyDescent="0.3">
      <c r="A360" s="10" t="s">
        <v>1127</v>
      </c>
      <c r="B360" s="10" t="s">
        <v>1115</v>
      </c>
      <c r="C360" s="11" t="s">
        <v>1116</v>
      </c>
      <c r="D360" s="12"/>
      <c r="E360" s="12" t="s">
        <v>1128</v>
      </c>
      <c r="F360" s="12" t="s">
        <v>59</v>
      </c>
      <c r="G360" s="13">
        <v>1</v>
      </c>
      <c r="H360" s="13"/>
      <c r="I360" s="13">
        <v>170.8</v>
      </c>
      <c r="J360" s="14">
        <v>290.51</v>
      </c>
      <c r="K360" s="15">
        <v>472</v>
      </c>
      <c r="L360" s="14">
        <f>J360+ROUND(K360, 2)</f>
        <v>762.51</v>
      </c>
      <c r="M360" s="14">
        <v>49619.11</v>
      </c>
      <c r="N360" s="14">
        <v>80617.600000000006</v>
      </c>
      <c r="O360" s="14">
        <f>M360+N360</f>
        <v>130236.71</v>
      </c>
      <c r="P360" s="14">
        <v>157.65</v>
      </c>
      <c r="Q360" s="15">
        <v>708</v>
      </c>
      <c r="R360" s="14">
        <f>P360+ROUND(Q360, 2)</f>
        <v>865.65</v>
      </c>
      <c r="S360" s="14">
        <v>26926.62</v>
      </c>
      <c r="T360" s="14">
        <v>120926.39999999999</v>
      </c>
      <c r="U360" s="14">
        <f>S360+T360</f>
        <v>147853.01999999999</v>
      </c>
      <c r="V360" s="9">
        <f>ROUND(P360 / 1.2, 2)</f>
        <v>131.38</v>
      </c>
      <c r="W360" s="9">
        <f>ROUND(Q360 / 1.2, 2)</f>
        <v>590</v>
      </c>
      <c r="X360" s="9">
        <f>ROUND(R360 / 1.2, 2)</f>
        <v>721.38</v>
      </c>
      <c r="Y360" s="9">
        <f t="shared" si="12"/>
        <v>22438.85</v>
      </c>
      <c r="Z360" s="9">
        <f>ROUND(T360 / 1.2, 2)</f>
        <v>100772</v>
      </c>
      <c r="AA360" s="9">
        <f>Y360+Z360</f>
        <v>123210.85</v>
      </c>
      <c r="AD360" s="4">
        <v>315890015</v>
      </c>
      <c r="AE360" s="4">
        <v>27245748</v>
      </c>
      <c r="AG360" s="4" t="s">
        <v>1117</v>
      </c>
      <c r="AH360" s="4" t="s">
        <v>1118</v>
      </c>
      <c r="AI360" s="4" t="s">
        <v>224</v>
      </c>
    </row>
    <row r="361" spans="1:35" ht="36" x14ac:dyDescent="0.3">
      <c r="A361" s="10" t="s">
        <v>1129</v>
      </c>
      <c r="B361" s="10"/>
      <c r="C361" s="16" t="s">
        <v>552</v>
      </c>
      <c r="D361" s="12"/>
      <c r="E361" s="12"/>
      <c r="F361" s="17" t="s">
        <v>227</v>
      </c>
      <c r="G361" s="18">
        <v>0.1</v>
      </c>
      <c r="H361" s="18"/>
      <c r="I361" s="18">
        <v>17.079999999999998</v>
      </c>
      <c r="J361" s="19">
        <v>88.8</v>
      </c>
      <c r="M361" s="20">
        <f>ROUND(ROUND(J361, 2)*I361, 2)</f>
        <v>1516.7</v>
      </c>
      <c r="P361" s="19">
        <v>88.8</v>
      </c>
      <c r="S361" s="20">
        <f>ROUND(ROUND(P361, 2)*I361, 2)</f>
        <v>1516.7</v>
      </c>
      <c r="V361" s="9">
        <f>ROUND(ROUND(P361, 2)/1.2, 2)</f>
        <v>74</v>
      </c>
      <c r="Y361" s="9">
        <f t="shared" si="12"/>
        <v>1263.92</v>
      </c>
      <c r="AD361" s="4" t="s">
        <v>1130</v>
      </c>
      <c r="AE361" s="4" t="s">
        <v>1131</v>
      </c>
      <c r="AF361" s="4" t="s">
        <v>555</v>
      </c>
    </row>
    <row r="362" spans="1:35" ht="18" x14ac:dyDescent="0.3">
      <c r="A362" s="10" t="s">
        <v>1132</v>
      </c>
      <c r="B362" s="10"/>
      <c r="C362" s="16" t="s">
        <v>1120</v>
      </c>
      <c r="D362" s="12"/>
      <c r="E362" s="12"/>
      <c r="F362" s="17" t="s">
        <v>227</v>
      </c>
      <c r="G362" s="18">
        <v>0.3</v>
      </c>
      <c r="H362" s="18"/>
      <c r="I362" s="18">
        <v>51.24</v>
      </c>
      <c r="J362" s="19">
        <v>938.78</v>
      </c>
      <c r="M362" s="20">
        <f>ROUND(ROUND(J362, 2)*I362, 2)</f>
        <v>48103.09</v>
      </c>
      <c r="P362" s="19">
        <v>495.9</v>
      </c>
      <c r="S362" s="20">
        <f>ROUND(ROUND(P362, 2)*I362, 2)</f>
        <v>25409.919999999998</v>
      </c>
      <c r="V362" s="9">
        <f>ROUND(ROUND(P362, 2)/1.2, 2)</f>
        <v>413.25</v>
      </c>
      <c r="Y362" s="9">
        <f t="shared" si="12"/>
        <v>21174.93</v>
      </c>
      <c r="AD362" s="4" t="s">
        <v>1133</v>
      </c>
      <c r="AE362" s="4" t="s">
        <v>1134</v>
      </c>
      <c r="AF362" s="4" t="s">
        <v>1123</v>
      </c>
    </row>
    <row r="363" spans="1:35" ht="54" x14ac:dyDescent="0.3">
      <c r="A363" s="10" t="s">
        <v>1135</v>
      </c>
      <c r="B363" s="10" t="s">
        <v>1136</v>
      </c>
      <c r="C363" s="11" t="s">
        <v>1137</v>
      </c>
      <c r="D363" s="12"/>
      <c r="E363" s="12"/>
      <c r="F363" s="12" t="s">
        <v>59</v>
      </c>
      <c r="G363" s="13">
        <v>1</v>
      </c>
      <c r="H363" s="13"/>
      <c r="I363" s="13">
        <v>0</v>
      </c>
      <c r="J363" s="14">
        <v>0</v>
      </c>
      <c r="K363" s="15">
        <v>2364</v>
      </c>
      <c r="L363" s="14">
        <f>J363+ROUND(K363, 2)</f>
        <v>2364</v>
      </c>
      <c r="M363" s="14">
        <v>0</v>
      </c>
      <c r="N363" s="14">
        <v>0</v>
      </c>
      <c r="O363" s="14">
        <f>M363+N363</f>
        <v>0</v>
      </c>
      <c r="P363" s="14">
        <v>624.15</v>
      </c>
      <c r="Q363" s="15">
        <v>2364</v>
      </c>
      <c r="R363" s="14">
        <f>P363+ROUND(Q363, 2)</f>
        <v>2988.15</v>
      </c>
      <c r="S363" s="14">
        <v>0</v>
      </c>
      <c r="T363" s="14">
        <v>0</v>
      </c>
      <c r="U363" s="14">
        <f>S363+T363</f>
        <v>0</v>
      </c>
      <c r="V363" s="9">
        <f>ROUND(P363 / 1.2, 2)</f>
        <v>520.13</v>
      </c>
      <c r="W363" s="9">
        <f>ROUND(Q363 / 1.2, 2)</f>
        <v>1970</v>
      </c>
      <c r="X363" s="9">
        <f>ROUND(R363 / 1.2, 2)</f>
        <v>2490.13</v>
      </c>
      <c r="Y363" s="9">
        <f t="shared" si="12"/>
        <v>0</v>
      </c>
      <c r="Z363" s="9">
        <f>ROUND(T363 / 1.2, 2)</f>
        <v>0</v>
      </c>
      <c r="AA363" s="9">
        <f>Y363+Z363</f>
        <v>0</v>
      </c>
      <c r="AD363" s="4">
        <v>315890017</v>
      </c>
      <c r="AE363" s="4">
        <v>27245661</v>
      </c>
      <c r="AG363" s="4" t="s">
        <v>1138</v>
      </c>
      <c r="AH363" s="4" t="s">
        <v>1139</v>
      </c>
      <c r="AI363" s="4" t="s">
        <v>224</v>
      </c>
    </row>
    <row r="364" spans="1:35" ht="18" x14ac:dyDescent="0.3">
      <c r="A364" s="10" t="s">
        <v>1140</v>
      </c>
      <c r="B364" s="10"/>
      <c r="C364" s="16" t="s">
        <v>637</v>
      </c>
      <c r="D364" s="12"/>
      <c r="E364" s="12"/>
      <c r="F364" s="17" t="s">
        <v>227</v>
      </c>
      <c r="G364" s="18">
        <v>0.25</v>
      </c>
      <c r="H364" s="22"/>
      <c r="I364" s="22">
        <v>0</v>
      </c>
      <c r="J364" s="19">
        <v>40.270000000000003</v>
      </c>
      <c r="M364" s="20">
        <f>ROUND(ROUND(J364, 2)*I364, 2)</f>
        <v>0</v>
      </c>
      <c r="P364" s="19">
        <v>40.270000000000003</v>
      </c>
      <c r="S364" s="20">
        <f>ROUND(ROUND(P364, 2)*I364, 2)</f>
        <v>0</v>
      </c>
      <c r="V364" s="9">
        <f>ROUND(ROUND(P364, 2)/1.2, 2)</f>
        <v>33.56</v>
      </c>
      <c r="Y364" s="9">
        <f t="shared" si="12"/>
        <v>0</v>
      </c>
      <c r="AD364" s="4" t="s">
        <v>1141</v>
      </c>
      <c r="AE364" s="4" t="s">
        <v>1142</v>
      </c>
      <c r="AF364" s="4" t="s">
        <v>640</v>
      </c>
    </row>
    <row r="365" spans="1:35" ht="36" x14ac:dyDescent="0.3">
      <c r="A365" s="10" t="s">
        <v>1143</v>
      </c>
      <c r="B365" s="10"/>
      <c r="C365" s="16" t="s">
        <v>1144</v>
      </c>
      <c r="D365" s="12"/>
      <c r="E365" s="12"/>
      <c r="F365" s="17" t="s">
        <v>227</v>
      </c>
      <c r="G365" s="18">
        <v>0.15</v>
      </c>
      <c r="H365" s="18"/>
      <c r="I365" s="18">
        <v>0</v>
      </c>
      <c r="J365" s="19">
        <v>68.400000000000006</v>
      </c>
      <c r="M365" s="20">
        <f>ROUND(ROUND(J365, 2)*I365, 2)</f>
        <v>0</v>
      </c>
      <c r="P365" s="19">
        <v>68.400000000000006</v>
      </c>
      <c r="S365" s="20">
        <f>ROUND(ROUND(P365, 2)*I365, 2)</f>
        <v>0</v>
      </c>
      <c r="V365" s="9">
        <f>ROUND(ROUND(P365, 2)/1.2, 2)</f>
        <v>57</v>
      </c>
      <c r="Y365" s="9">
        <f t="shared" si="12"/>
        <v>0</v>
      </c>
      <c r="AD365" s="4" t="s">
        <v>1145</v>
      </c>
      <c r="AE365" s="4" t="s">
        <v>1146</v>
      </c>
      <c r="AF365" s="4" t="s">
        <v>1147</v>
      </c>
    </row>
    <row r="366" spans="1:35" ht="36" x14ac:dyDescent="0.3">
      <c r="A366" s="10" t="s">
        <v>1148</v>
      </c>
      <c r="B366" s="10"/>
      <c r="C366" s="21" t="s">
        <v>665</v>
      </c>
      <c r="D366" s="12"/>
      <c r="E366" s="12"/>
      <c r="F366" s="17" t="s">
        <v>227</v>
      </c>
      <c r="G366" s="18">
        <v>1.2</v>
      </c>
      <c r="H366" s="22"/>
      <c r="I366" s="22">
        <v>0</v>
      </c>
      <c r="J366" s="19">
        <v>16.96</v>
      </c>
      <c r="M366" s="20">
        <f>ROUND(ROUND(J366, 2)*I366, 2)</f>
        <v>0</v>
      </c>
      <c r="P366" s="19">
        <v>16.96</v>
      </c>
      <c r="S366" s="20">
        <f>ROUND(ROUND(P366, 2)*I366, 2)</f>
        <v>0</v>
      </c>
      <c r="V366" s="9">
        <f>ROUND(ROUND(P366, 2)/1.2, 2)</f>
        <v>14.13</v>
      </c>
      <c r="Y366" s="9">
        <f t="shared" si="12"/>
        <v>0</v>
      </c>
      <c r="AD366" s="4" t="s">
        <v>1149</v>
      </c>
      <c r="AE366" s="4" t="s">
        <v>1150</v>
      </c>
      <c r="AF366" s="4" t="s">
        <v>668</v>
      </c>
    </row>
    <row r="367" spans="1:35" ht="36" x14ac:dyDescent="0.3">
      <c r="A367" s="10" t="s">
        <v>1151</v>
      </c>
      <c r="B367" s="10"/>
      <c r="C367" s="21" t="s">
        <v>1152</v>
      </c>
      <c r="D367" s="12"/>
      <c r="E367" s="12"/>
      <c r="F367" s="17" t="s">
        <v>59</v>
      </c>
      <c r="G367" s="18">
        <v>1.07</v>
      </c>
      <c r="H367" s="22"/>
      <c r="I367" s="22">
        <v>0</v>
      </c>
      <c r="J367" s="19">
        <v>1384.95</v>
      </c>
      <c r="M367" s="20">
        <f>ROUND(ROUND(J367, 2)*I367, 2)</f>
        <v>0</v>
      </c>
      <c r="P367" s="19">
        <v>545.29999999999995</v>
      </c>
      <c r="S367" s="20">
        <f>ROUND(ROUND(P367, 2)*I367, 2)</f>
        <v>0</v>
      </c>
      <c r="V367" s="9">
        <f>ROUND(ROUND(P367, 2)/1.2, 2)</f>
        <v>454.42</v>
      </c>
      <c r="Y367" s="9">
        <f t="shared" si="12"/>
        <v>0</v>
      </c>
      <c r="AD367" s="4" t="s">
        <v>1153</v>
      </c>
      <c r="AE367" s="4" t="s">
        <v>1154</v>
      </c>
      <c r="AF367" s="4" t="s">
        <v>1155</v>
      </c>
    </row>
    <row r="368" spans="1:35" ht="54" x14ac:dyDescent="0.3">
      <c r="A368" s="10" t="s">
        <v>1156</v>
      </c>
      <c r="B368" s="10" t="s">
        <v>1136</v>
      </c>
      <c r="C368" s="11" t="s">
        <v>1137</v>
      </c>
      <c r="D368" s="12"/>
      <c r="E368" s="12"/>
      <c r="F368" s="12" t="s">
        <v>59</v>
      </c>
      <c r="G368" s="13">
        <v>1</v>
      </c>
      <c r="H368" s="13"/>
      <c r="I368" s="13">
        <v>0</v>
      </c>
      <c r="J368" s="14">
        <v>0</v>
      </c>
      <c r="K368" s="15">
        <v>2364</v>
      </c>
      <c r="L368" s="14">
        <f>J368+ROUND(K368, 2)</f>
        <v>2364</v>
      </c>
      <c r="M368" s="14">
        <v>0</v>
      </c>
      <c r="N368" s="14">
        <v>0</v>
      </c>
      <c r="O368" s="14">
        <f>M368+N368</f>
        <v>0</v>
      </c>
      <c r="P368" s="14">
        <v>1051.83</v>
      </c>
      <c r="Q368" s="15">
        <v>2364</v>
      </c>
      <c r="R368" s="14">
        <f>P368+ROUND(Q368, 2)</f>
        <v>3415.83</v>
      </c>
      <c r="S368" s="14">
        <v>0</v>
      </c>
      <c r="T368" s="14">
        <v>0</v>
      </c>
      <c r="U368" s="14">
        <f>S368+T368</f>
        <v>0</v>
      </c>
      <c r="V368" s="9">
        <f>ROUND(P368 / 1.2, 2)</f>
        <v>876.53</v>
      </c>
      <c r="W368" s="9">
        <f>ROUND(Q368 / 1.2, 2)</f>
        <v>1970</v>
      </c>
      <c r="X368" s="9">
        <f>ROUND(R368 / 1.2, 2)</f>
        <v>2846.53</v>
      </c>
      <c r="Y368" s="9">
        <f t="shared" si="12"/>
        <v>0</v>
      </c>
      <c r="Z368" s="9">
        <f>ROUND(T368 / 1.2, 2)</f>
        <v>0</v>
      </c>
      <c r="AA368" s="9">
        <f>Y368+Z368</f>
        <v>0</v>
      </c>
      <c r="AD368" s="4">
        <v>315890018</v>
      </c>
      <c r="AE368" s="4">
        <v>27245662</v>
      </c>
      <c r="AG368" s="4" t="s">
        <v>1138</v>
      </c>
      <c r="AH368" s="4" t="s">
        <v>1139</v>
      </c>
      <c r="AI368" s="4" t="s">
        <v>224</v>
      </c>
    </row>
    <row r="369" spans="1:35" ht="36" x14ac:dyDescent="0.3">
      <c r="A369" s="10" t="s">
        <v>1157</v>
      </c>
      <c r="B369" s="10"/>
      <c r="C369" s="21" t="s">
        <v>1158</v>
      </c>
      <c r="D369" s="12"/>
      <c r="E369" s="12"/>
      <c r="F369" s="17" t="s">
        <v>59</v>
      </c>
      <c r="G369" s="18">
        <v>1.07</v>
      </c>
      <c r="H369" s="22"/>
      <c r="I369" s="22">
        <v>0</v>
      </c>
      <c r="J369" s="19">
        <v>945</v>
      </c>
      <c r="M369" s="20">
        <f>ROUND(ROUND(J369, 2)*I369, 2)</f>
        <v>0</v>
      </c>
      <c r="P369" s="19">
        <v>945</v>
      </c>
      <c r="S369" s="20">
        <f>ROUND(ROUND(P369, 2)*I369, 2)</f>
        <v>0</v>
      </c>
      <c r="V369" s="9">
        <f>ROUND(ROUND(P369, 2)/1.2, 2)</f>
        <v>787.5</v>
      </c>
      <c r="Y369" s="9">
        <f t="shared" si="12"/>
        <v>0</v>
      </c>
      <c r="AD369" s="4" t="s">
        <v>1159</v>
      </c>
      <c r="AE369" s="4" t="s">
        <v>1160</v>
      </c>
      <c r="AF369" s="4" t="s">
        <v>1161</v>
      </c>
    </row>
    <row r="370" spans="1:35" ht="36" x14ac:dyDescent="0.3">
      <c r="A370" s="10" t="s">
        <v>1162</v>
      </c>
      <c r="B370" s="10"/>
      <c r="C370" s="21" t="s">
        <v>665</v>
      </c>
      <c r="D370" s="12"/>
      <c r="E370" s="12"/>
      <c r="F370" s="17" t="s">
        <v>227</v>
      </c>
      <c r="G370" s="18">
        <v>1.2</v>
      </c>
      <c r="H370" s="22"/>
      <c r="I370" s="22">
        <v>0</v>
      </c>
      <c r="J370" s="19">
        <v>16.96</v>
      </c>
      <c r="M370" s="20">
        <f>ROUND(ROUND(J370, 2)*I370, 2)</f>
        <v>0</v>
      </c>
      <c r="P370" s="19">
        <v>16.96</v>
      </c>
      <c r="S370" s="20">
        <f>ROUND(ROUND(P370, 2)*I370, 2)</f>
        <v>0</v>
      </c>
      <c r="V370" s="9">
        <f>ROUND(ROUND(P370, 2)/1.2, 2)</f>
        <v>14.13</v>
      </c>
      <c r="Y370" s="9">
        <f t="shared" si="12"/>
        <v>0</v>
      </c>
      <c r="AD370" s="4" t="s">
        <v>1163</v>
      </c>
      <c r="AE370" s="4" t="s">
        <v>1164</v>
      </c>
      <c r="AF370" s="4" t="s">
        <v>668</v>
      </c>
    </row>
    <row r="371" spans="1:35" ht="36" x14ac:dyDescent="0.3">
      <c r="A371" s="10" t="s">
        <v>1165</v>
      </c>
      <c r="B371" s="10"/>
      <c r="C371" s="16" t="s">
        <v>1144</v>
      </c>
      <c r="D371" s="12"/>
      <c r="E371" s="12"/>
      <c r="F371" s="17" t="s">
        <v>227</v>
      </c>
      <c r="G371" s="18">
        <v>0.15</v>
      </c>
      <c r="H371" s="18"/>
      <c r="I371" s="18">
        <v>0</v>
      </c>
      <c r="J371" s="19">
        <v>68.400000000000006</v>
      </c>
      <c r="M371" s="20">
        <f>ROUND(ROUND(J371, 2)*I371, 2)</f>
        <v>0</v>
      </c>
      <c r="P371" s="19">
        <v>68.400000000000006</v>
      </c>
      <c r="S371" s="20">
        <f>ROUND(ROUND(P371, 2)*I371, 2)</f>
        <v>0</v>
      </c>
      <c r="V371" s="9">
        <f>ROUND(ROUND(P371, 2)/1.2, 2)</f>
        <v>57</v>
      </c>
      <c r="Y371" s="9">
        <f t="shared" si="12"/>
        <v>0</v>
      </c>
      <c r="AD371" s="4" t="s">
        <v>1166</v>
      </c>
      <c r="AE371" s="4" t="s">
        <v>1167</v>
      </c>
      <c r="AF371" s="4" t="s">
        <v>1147</v>
      </c>
    </row>
    <row r="372" spans="1:35" ht="18" x14ac:dyDescent="0.3">
      <c r="A372" s="10" t="s">
        <v>1168</v>
      </c>
      <c r="B372" s="10"/>
      <c r="C372" s="16" t="s">
        <v>637</v>
      </c>
      <c r="D372" s="12"/>
      <c r="E372" s="12"/>
      <c r="F372" s="17" t="s">
        <v>227</v>
      </c>
      <c r="G372" s="18">
        <v>0.25</v>
      </c>
      <c r="H372" s="22"/>
      <c r="I372" s="22">
        <v>0</v>
      </c>
      <c r="J372" s="19">
        <v>40.270000000000003</v>
      </c>
      <c r="M372" s="20">
        <f>ROUND(ROUND(J372, 2)*I372, 2)</f>
        <v>0</v>
      </c>
      <c r="P372" s="19">
        <v>40.270000000000003</v>
      </c>
      <c r="S372" s="20">
        <f>ROUND(ROUND(P372, 2)*I372, 2)</f>
        <v>0</v>
      </c>
      <c r="V372" s="9">
        <f>ROUND(ROUND(P372, 2)/1.2, 2)</f>
        <v>33.56</v>
      </c>
      <c r="Y372" s="9">
        <f t="shared" si="12"/>
        <v>0</v>
      </c>
      <c r="AD372" s="4" t="s">
        <v>1169</v>
      </c>
      <c r="AE372" s="4" t="s">
        <v>1170</v>
      </c>
      <c r="AF372" s="4" t="s">
        <v>640</v>
      </c>
    </row>
    <row r="373" spans="1:35" ht="54" x14ac:dyDescent="0.3">
      <c r="A373" s="10" t="s">
        <v>1171</v>
      </c>
      <c r="B373" s="10" t="s">
        <v>1136</v>
      </c>
      <c r="C373" s="11" t="s">
        <v>1137</v>
      </c>
      <c r="D373" s="12"/>
      <c r="E373" s="12"/>
      <c r="F373" s="12" t="s">
        <v>59</v>
      </c>
      <c r="G373" s="13">
        <v>1</v>
      </c>
      <c r="H373" s="13"/>
      <c r="I373" s="13">
        <v>0</v>
      </c>
      <c r="J373" s="14">
        <v>0</v>
      </c>
      <c r="K373" s="15">
        <v>2364</v>
      </c>
      <c r="L373" s="14">
        <f>J373+ROUND(K373, 2)</f>
        <v>2364</v>
      </c>
      <c r="M373" s="14">
        <v>0</v>
      </c>
      <c r="N373" s="14">
        <v>0</v>
      </c>
      <c r="O373" s="14">
        <f>M373+N373</f>
        <v>0</v>
      </c>
      <c r="P373" s="14">
        <v>1522.58</v>
      </c>
      <c r="Q373" s="15">
        <v>2364</v>
      </c>
      <c r="R373" s="14">
        <f>P373+ROUND(Q373, 2)</f>
        <v>3886.58</v>
      </c>
      <c r="S373" s="14">
        <v>0</v>
      </c>
      <c r="T373" s="14">
        <v>0</v>
      </c>
      <c r="U373" s="14">
        <f>S373+T373</f>
        <v>0</v>
      </c>
      <c r="V373" s="9">
        <f>ROUND(P373 / 1.2, 2)</f>
        <v>1268.82</v>
      </c>
      <c r="W373" s="9">
        <f>ROUND(Q373 / 1.2, 2)</f>
        <v>1970</v>
      </c>
      <c r="X373" s="9">
        <f>ROUND(R373 / 1.2, 2)</f>
        <v>3238.82</v>
      </c>
      <c r="Y373" s="9">
        <f t="shared" si="12"/>
        <v>0</v>
      </c>
      <c r="Z373" s="9">
        <f>ROUND(T373 / 1.2, 2)</f>
        <v>0</v>
      </c>
      <c r="AA373" s="9">
        <f>Y373+Z373</f>
        <v>0</v>
      </c>
      <c r="AD373" s="4">
        <v>315890019</v>
      </c>
      <c r="AE373" s="4">
        <v>27245663</v>
      </c>
      <c r="AG373" s="4" t="s">
        <v>1138</v>
      </c>
      <c r="AH373" s="4" t="s">
        <v>1139</v>
      </c>
      <c r="AI373" s="4" t="s">
        <v>224</v>
      </c>
    </row>
    <row r="374" spans="1:35" ht="18" x14ac:dyDescent="0.3">
      <c r="A374" s="10" t="s">
        <v>1172</v>
      </c>
      <c r="B374" s="10"/>
      <c r="C374" s="16" t="s">
        <v>637</v>
      </c>
      <c r="D374" s="12"/>
      <c r="E374" s="12"/>
      <c r="F374" s="17" t="s">
        <v>227</v>
      </c>
      <c r="G374" s="18">
        <v>0.25</v>
      </c>
      <c r="H374" s="22"/>
      <c r="I374" s="22">
        <v>0</v>
      </c>
      <c r="J374" s="19">
        <v>40.270000000000003</v>
      </c>
      <c r="M374" s="20">
        <f>ROUND(ROUND(J374, 2)*I374, 2)</f>
        <v>0</v>
      </c>
      <c r="P374" s="19">
        <v>40.270000000000003</v>
      </c>
      <c r="S374" s="20">
        <f>ROUND(ROUND(P374, 2)*I374, 2)</f>
        <v>0</v>
      </c>
      <c r="V374" s="9">
        <f>ROUND(ROUND(P374, 2)/1.2, 2)</f>
        <v>33.56</v>
      </c>
      <c r="Y374" s="9">
        <f t="shared" si="12"/>
        <v>0</v>
      </c>
      <c r="AD374" s="4" t="s">
        <v>1173</v>
      </c>
      <c r="AE374" s="4" t="s">
        <v>1174</v>
      </c>
      <c r="AF374" s="4" t="s">
        <v>640</v>
      </c>
    </row>
    <row r="375" spans="1:35" ht="36" x14ac:dyDescent="0.3">
      <c r="A375" s="10" t="s">
        <v>1175</v>
      </c>
      <c r="B375" s="10"/>
      <c r="C375" s="16" t="s">
        <v>1144</v>
      </c>
      <c r="D375" s="12"/>
      <c r="E375" s="12"/>
      <c r="F375" s="17" t="s">
        <v>227</v>
      </c>
      <c r="G375" s="18">
        <v>0.15</v>
      </c>
      <c r="H375" s="18"/>
      <c r="I375" s="18">
        <v>0</v>
      </c>
      <c r="J375" s="19">
        <v>68.400000000000006</v>
      </c>
      <c r="M375" s="20">
        <f>ROUND(ROUND(J375, 2)*I375, 2)</f>
        <v>0</v>
      </c>
      <c r="P375" s="19">
        <v>68.400000000000006</v>
      </c>
      <c r="S375" s="20">
        <f>ROUND(ROUND(P375, 2)*I375, 2)</f>
        <v>0</v>
      </c>
      <c r="V375" s="9">
        <f>ROUND(ROUND(P375, 2)/1.2, 2)</f>
        <v>57</v>
      </c>
      <c r="Y375" s="9">
        <f t="shared" si="12"/>
        <v>0</v>
      </c>
      <c r="AD375" s="4" t="s">
        <v>1176</v>
      </c>
      <c r="AE375" s="4" t="s">
        <v>1177</v>
      </c>
      <c r="AF375" s="4" t="s">
        <v>1147</v>
      </c>
    </row>
    <row r="376" spans="1:35" ht="36" x14ac:dyDescent="0.3">
      <c r="A376" s="10" t="s">
        <v>1178</v>
      </c>
      <c r="B376" s="10"/>
      <c r="C376" s="21" t="s">
        <v>665</v>
      </c>
      <c r="D376" s="12"/>
      <c r="E376" s="12"/>
      <c r="F376" s="17" t="s">
        <v>227</v>
      </c>
      <c r="G376" s="18">
        <v>1.2</v>
      </c>
      <c r="H376" s="22"/>
      <c r="I376" s="22">
        <v>0</v>
      </c>
      <c r="J376" s="19">
        <v>16.96</v>
      </c>
      <c r="M376" s="20">
        <f>ROUND(ROUND(J376, 2)*I376, 2)</f>
        <v>0</v>
      </c>
      <c r="P376" s="19">
        <v>16.96</v>
      </c>
      <c r="S376" s="20">
        <f>ROUND(ROUND(P376, 2)*I376, 2)</f>
        <v>0</v>
      </c>
      <c r="V376" s="9">
        <f>ROUND(ROUND(P376, 2)/1.2, 2)</f>
        <v>14.13</v>
      </c>
      <c r="Y376" s="9">
        <f t="shared" si="12"/>
        <v>0</v>
      </c>
      <c r="AD376" s="4" t="s">
        <v>1179</v>
      </c>
      <c r="AE376" s="4" t="s">
        <v>1180</v>
      </c>
      <c r="AF376" s="4" t="s">
        <v>668</v>
      </c>
    </row>
    <row r="377" spans="1:35" ht="36" x14ac:dyDescent="0.3">
      <c r="A377" s="10" t="s">
        <v>1181</v>
      </c>
      <c r="B377" s="10"/>
      <c r="C377" s="21" t="s">
        <v>1152</v>
      </c>
      <c r="D377" s="12"/>
      <c r="E377" s="12"/>
      <c r="F377" s="17" t="s">
        <v>59</v>
      </c>
      <c r="G377" s="18">
        <v>1.07</v>
      </c>
      <c r="H377" s="22"/>
      <c r="I377" s="22">
        <v>0</v>
      </c>
      <c r="J377" s="19">
        <v>1384.95</v>
      </c>
      <c r="M377" s="20">
        <f>ROUND(ROUND(J377, 2)*I377, 2)</f>
        <v>0</v>
      </c>
      <c r="P377" s="19">
        <v>1384.95</v>
      </c>
      <c r="S377" s="20">
        <f>ROUND(ROUND(P377, 2)*I377, 2)</f>
        <v>0</v>
      </c>
      <c r="V377" s="9">
        <f>ROUND(ROUND(P377, 2)/1.2, 2)</f>
        <v>1154.1300000000001</v>
      </c>
      <c r="Y377" s="9">
        <f t="shared" si="12"/>
        <v>0</v>
      </c>
      <c r="AD377" s="4" t="s">
        <v>1182</v>
      </c>
      <c r="AE377" s="4" t="s">
        <v>1183</v>
      </c>
      <c r="AF377" s="4" t="s">
        <v>1155</v>
      </c>
    </row>
    <row r="378" spans="1:35" ht="54" x14ac:dyDescent="0.3">
      <c r="A378" s="10" t="s">
        <v>1184</v>
      </c>
      <c r="B378" s="10" t="s">
        <v>1136</v>
      </c>
      <c r="C378" s="11" t="s">
        <v>1137</v>
      </c>
      <c r="D378" s="12"/>
      <c r="E378" s="12" t="s">
        <v>1185</v>
      </c>
      <c r="F378" s="12" t="s">
        <v>59</v>
      </c>
      <c r="G378" s="13">
        <v>1</v>
      </c>
      <c r="H378" s="13"/>
      <c r="I378" s="13">
        <v>1163</v>
      </c>
      <c r="J378" s="14">
        <v>1521.58</v>
      </c>
      <c r="K378" s="15">
        <v>2364</v>
      </c>
      <c r="L378" s="14">
        <f>J378+ROUND(K378, 2)</f>
        <v>3885.58</v>
      </c>
      <c r="M378" s="14">
        <v>1769597.54</v>
      </c>
      <c r="N378" s="14">
        <v>2749332</v>
      </c>
      <c r="O378" s="14">
        <f>M378+N378</f>
        <v>4518929.54</v>
      </c>
      <c r="P378" s="14">
        <v>623.13</v>
      </c>
      <c r="Q378" s="15">
        <v>3546</v>
      </c>
      <c r="R378" s="14">
        <f>P378+ROUND(Q378, 2)</f>
        <v>4169.13</v>
      </c>
      <c r="S378" s="14">
        <v>724700.19</v>
      </c>
      <c r="T378" s="14">
        <v>4123998</v>
      </c>
      <c r="U378" s="14">
        <f>S378+T378</f>
        <v>4848698.1899999995</v>
      </c>
      <c r="V378" s="9">
        <f>ROUND(P378 / 1.2, 2)</f>
        <v>519.28</v>
      </c>
      <c r="W378" s="9">
        <f>ROUND(Q378 / 1.2, 2)</f>
        <v>2955</v>
      </c>
      <c r="X378" s="9">
        <f>ROUND(R378 / 1.2, 2)</f>
        <v>3474.28</v>
      </c>
      <c r="Y378" s="9">
        <f t="shared" si="12"/>
        <v>603916.82999999996</v>
      </c>
      <c r="Z378" s="9">
        <f>ROUND(T378 / 1.2, 2)</f>
        <v>3436665</v>
      </c>
      <c r="AA378" s="9">
        <f>Y378+Z378</f>
        <v>4040581.83</v>
      </c>
      <c r="AD378" s="4">
        <v>315890020</v>
      </c>
      <c r="AE378" s="4">
        <v>27245760</v>
      </c>
      <c r="AG378" s="4" t="s">
        <v>1138</v>
      </c>
      <c r="AH378" s="4" t="s">
        <v>1139</v>
      </c>
      <c r="AI378" s="4" t="s">
        <v>224</v>
      </c>
    </row>
    <row r="379" spans="1:35" ht="72" x14ac:dyDescent="0.3">
      <c r="A379" s="10" t="s">
        <v>1186</v>
      </c>
      <c r="B379" s="10"/>
      <c r="C379" s="21" t="s">
        <v>1152</v>
      </c>
      <c r="D379" s="12"/>
      <c r="E379" s="12" t="s">
        <v>653</v>
      </c>
      <c r="F379" s="17" t="s">
        <v>59</v>
      </c>
      <c r="G379" s="18">
        <v>1.07</v>
      </c>
      <c r="H379" s="22"/>
      <c r="I379" s="22">
        <v>1244.4100000000001</v>
      </c>
      <c r="J379" s="19">
        <v>1384.96</v>
      </c>
      <c r="M379" s="20">
        <f>ROUND(ROUND(J379, 2)*I379, 2)</f>
        <v>1723458.07</v>
      </c>
      <c r="P379" s="19">
        <v>545.29999999999995</v>
      </c>
      <c r="S379" s="20">
        <f>ROUND(ROUND(P379, 2)*I379, 2)</f>
        <v>678576.77</v>
      </c>
      <c r="V379" s="9">
        <f>ROUND(ROUND(P379, 2)/1.2, 2)</f>
        <v>454.42</v>
      </c>
      <c r="Y379" s="9">
        <f t="shared" si="12"/>
        <v>565480.64</v>
      </c>
      <c r="AD379" s="4" t="s">
        <v>1187</v>
      </c>
      <c r="AE379" s="4" t="s">
        <v>1188</v>
      </c>
      <c r="AF379" s="4" t="s">
        <v>1155</v>
      </c>
    </row>
    <row r="380" spans="1:35" ht="36" x14ac:dyDescent="0.3">
      <c r="A380" s="10" t="s">
        <v>1189</v>
      </c>
      <c r="B380" s="10"/>
      <c r="C380" s="21" t="s">
        <v>665</v>
      </c>
      <c r="D380" s="12"/>
      <c r="E380" s="12"/>
      <c r="F380" s="17" t="s">
        <v>227</v>
      </c>
      <c r="G380" s="18">
        <v>1.2</v>
      </c>
      <c r="H380" s="22"/>
      <c r="I380" s="22">
        <v>1395.6</v>
      </c>
      <c r="J380" s="19">
        <v>16.12</v>
      </c>
      <c r="M380" s="20">
        <f>ROUND(ROUND(J380, 2)*I380, 2)</f>
        <v>22497.07</v>
      </c>
      <c r="P380" s="19">
        <v>16.11</v>
      </c>
      <c r="S380" s="20">
        <f>ROUND(ROUND(P380, 2)*I380, 2)</f>
        <v>22483.119999999999</v>
      </c>
      <c r="V380" s="9">
        <f>ROUND(ROUND(P380, 2)/1.2, 2)</f>
        <v>13.43</v>
      </c>
      <c r="Y380" s="9">
        <f t="shared" si="12"/>
        <v>18735.93</v>
      </c>
      <c r="AD380" s="4" t="s">
        <v>1190</v>
      </c>
      <c r="AE380" s="4" t="s">
        <v>1191</v>
      </c>
      <c r="AF380" s="4" t="s">
        <v>668</v>
      </c>
    </row>
    <row r="381" spans="1:35" ht="36" x14ac:dyDescent="0.3">
      <c r="A381" s="10" t="s">
        <v>1192</v>
      </c>
      <c r="B381" s="10"/>
      <c r="C381" s="16" t="s">
        <v>1144</v>
      </c>
      <c r="D381" s="12"/>
      <c r="E381" s="12"/>
      <c r="F381" s="17" t="s">
        <v>227</v>
      </c>
      <c r="G381" s="18">
        <v>0.15</v>
      </c>
      <c r="H381" s="18"/>
      <c r="I381" s="18">
        <v>174.45</v>
      </c>
      <c r="J381" s="19">
        <v>68.400000000000006</v>
      </c>
      <c r="M381" s="20">
        <f>ROUND(ROUND(J381, 2)*I381, 2)</f>
        <v>11932.38</v>
      </c>
      <c r="P381" s="19">
        <v>68.400000000000006</v>
      </c>
      <c r="S381" s="20">
        <f>ROUND(ROUND(P381, 2)*I381, 2)</f>
        <v>11932.38</v>
      </c>
      <c r="V381" s="9">
        <f>ROUND(ROUND(P381, 2)/1.2, 2)</f>
        <v>57</v>
      </c>
      <c r="Y381" s="9">
        <f t="shared" si="12"/>
        <v>9943.65</v>
      </c>
      <c r="AD381" s="4" t="s">
        <v>1193</v>
      </c>
      <c r="AE381" s="4" t="s">
        <v>1194</v>
      </c>
      <c r="AF381" s="4" t="s">
        <v>1147</v>
      </c>
    </row>
    <row r="382" spans="1:35" ht="18" x14ac:dyDescent="0.3">
      <c r="A382" s="10" t="s">
        <v>1195</v>
      </c>
      <c r="B382" s="10"/>
      <c r="C382" s="16" t="s">
        <v>637</v>
      </c>
      <c r="D382" s="12"/>
      <c r="E382" s="12"/>
      <c r="F382" s="17" t="s">
        <v>227</v>
      </c>
      <c r="G382" s="18">
        <v>0.25</v>
      </c>
      <c r="H382" s="22"/>
      <c r="I382" s="22">
        <v>290.75</v>
      </c>
      <c r="J382" s="19">
        <v>40.270000000000003</v>
      </c>
      <c r="M382" s="20">
        <f>ROUND(ROUND(J382, 2)*I382, 2)</f>
        <v>11708.5</v>
      </c>
      <c r="P382" s="19">
        <v>40.270000000000003</v>
      </c>
      <c r="S382" s="20">
        <f>ROUND(ROUND(P382, 2)*I382, 2)</f>
        <v>11708.5</v>
      </c>
      <c r="V382" s="9">
        <f>ROUND(ROUND(P382, 2)/1.2, 2)</f>
        <v>33.56</v>
      </c>
      <c r="Y382" s="9">
        <f t="shared" si="12"/>
        <v>9757.08</v>
      </c>
      <c r="AD382" s="4" t="s">
        <v>1196</v>
      </c>
      <c r="AE382" s="4" t="s">
        <v>1197</v>
      </c>
      <c r="AF382" s="4" t="s">
        <v>640</v>
      </c>
    </row>
    <row r="383" spans="1:35" ht="54" x14ac:dyDescent="0.3">
      <c r="A383" s="10" t="s">
        <v>1198</v>
      </c>
      <c r="B383" s="10" t="s">
        <v>1136</v>
      </c>
      <c r="C383" s="11" t="s">
        <v>1137</v>
      </c>
      <c r="D383" s="12"/>
      <c r="E383" s="12" t="s">
        <v>1199</v>
      </c>
      <c r="F383" s="12" t="s">
        <v>59</v>
      </c>
      <c r="G383" s="13">
        <v>1</v>
      </c>
      <c r="H383" s="13"/>
      <c r="I383" s="13">
        <v>593.5</v>
      </c>
      <c r="J383" s="14">
        <v>1050.82</v>
      </c>
      <c r="K383" s="15">
        <v>2364</v>
      </c>
      <c r="L383" s="14">
        <f>J383+ROUND(K383, 2)</f>
        <v>3414.8199999999997</v>
      </c>
      <c r="M383" s="14">
        <v>623661.67000000004</v>
      </c>
      <c r="N383" s="14">
        <v>1403034</v>
      </c>
      <c r="O383" s="14">
        <f>M383+N383</f>
        <v>2026695.67</v>
      </c>
      <c r="P383" s="14">
        <v>1050.81</v>
      </c>
      <c r="Q383" s="15">
        <v>3546</v>
      </c>
      <c r="R383" s="14">
        <f>P383+ROUND(Q383, 2)</f>
        <v>4596.8099999999995</v>
      </c>
      <c r="S383" s="14">
        <v>623655.74</v>
      </c>
      <c r="T383" s="14">
        <v>2104551</v>
      </c>
      <c r="U383" s="14">
        <f>S383+T383</f>
        <v>2728206.74</v>
      </c>
      <c r="V383" s="9">
        <f>ROUND(P383 / 1.2, 2)</f>
        <v>875.68</v>
      </c>
      <c r="W383" s="9">
        <f>ROUND(Q383 / 1.2, 2)</f>
        <v>2955</v>
      </c>
      <c r="X383" s="9">
        <f>ROUND(R383 / 1.2, 2)</f>
        <v>3830.68</v>
      </c>
      <c r="Y383" s="9">
        <f t="shared" si="12"/>
        <v>519713.12</v>
      </c>
      <c r="Z383" s="9">
        <f>ROUND(T383 / 1.2, 2)</f>
        <v>1753792.5</v>
      </c>
      <c r="AA383" s="9">
        <f>Y383+Z383</f>
        <v>2273505.62</v>
      </c>
      <c r="AD383" s="4">
        <v>315890021</v>
      </c>
      <c r="AE383" s="4">
        <v>27245750</v>
      </c>
      <c r="AG383" s="4" t="s">
        <v>1138</v>
      </c>
      <c r="AH383" s="4" t="s">
        <v>1139</v>
      </c>
      <c r="AI383" s="4" t="s">
        <v>224</v>
      </c>
    </row>
    <row r="384" spans="1:35" ht="18" x14ac:dyDescent="0.3">
      <c r="A384" s="10" t="s">
        <v>1200</v>
      </c>
      <c r="B384" s="10"/>
      <c r="C384" s="16" t="s">
        <v>637</v>
      </c>
      <c r="D384" s="12"/>
      <c r="E384" s="12"/>
      <c r="F384" s="17" t="s">
        <v>227</v>
      </c>
      <c r="G384" s="18">
        <v>0.25</v>
      </c>
      <c r="H384" s="22"/>
      <c r="I384" s="22">
        <v>148.375</v>
      </c>
      <c r="J384" s="19">
        <v>40.270000000000003</v>
      </c>
      <c r="M384" s="20">
        <f>ROUND(ROUND(J384, 2)*I384, 2)</f>
        <v>5975.06</v>
      </c>
      <c r="P384" s="19">
        <v>40.270000000000003</v>
      </c>
      <c r="S384" s="20">
        <f>ROUND(ROUND(P384, 2)*I384, 2)</f>
        <v>5975.06</v>
      </c>
      <c r="V384" s="9">
        <f>ROUND(ROUND(P384, 2)/1.2, 2)</f>
        <v>33.56</v>
      </c>
      <c r="Y384" s="9">
        <f t="shared" si="12"/>
        <v>4979.22</v>
      </c>
      <c r="AD384" s="4" t="s">
        <v>1201</v>
      </c>
      <c r="AE384" s="4" t="s">
        <v>1202</v>
      </c>
      <c r="AF384" s="4" t="s">
        <v>640</v>
      </c>
    </row>
    <row r="385" spans="1:35" ht="36" x14ac:dyDescent="0.3">
      <c r="A385" s="10" t="s">
        <v>1203</v>
      </c>
      <c r="B385" s="10"/>
      <c r="C385" s="16" t="s">
        <v>1144</v>
      </c>
      <c r="D385" s="12"/>
      <c r="E385" s="12"/>
      <c r="F385" s="17" t="s">
        <v>227</v>
      </c>
      <c r="G385" s="18">
        <v>0.15</v>
      </c>
      <c r="H385" s="18"/>
      <c r="I385" s="18">
        <v>89.025000000000006</v>
      </c>
      <c r="J385" s="19">
        <v>68.400000000000006</v>
      </c>
      <c r="M385" s="20">
        <f>ROUND(ROUND(J385, 2)*I385, 2)</f>
        <v>6089.31</v>
      </c>
      <c r="P385" s="19">
        <v>68.400000000000006</v>
      </c>
      <c r="S385" s="20">
        <f>ROUND(ROUND(P385, 2)*I385, 2)</f>
        <v>6089.31</v>
      </c>
      <c r="V385" s="9">
        <f>ROUND(ROUND(P385, 2)/1.2, 2)</f>
        <v>57</v>
      </c>
      <c r="Y385" s="9">
        <f t="shared" si="12"/>
        <v>5074.43</v>
      </c>
      <c r="AD385" s="4" t="s">
        <v>1204</v>
      </c>
      <c r="AE385" s="4" t="s">
        <v>1205</v>
      </c>
      <c r="AF385" s="4" t="s">
        <v>1147</v>
      </c>
    </row>
    <row r="386" spans="1:35" ht="36" x14ac:dyDescent="0.3">
      <c r="A386" s="10" t="s">
        <v>1206</v>
      </c>
      <c r="B386" s="10"/>
      <c r="C386" s="21" t="s">
        <v>665</v>
      </c>
      <c r="D386" s="12"/>
      <c r="E386" s="12"/>
      <c r="F386" s="17" t="s">
        <v>227</v>
      </c>
      <c r="G386" s="18">
        <v>1.2</v>
      </c>
      <c r="H386" s="22"/>
      <c r="I386" s="22">
        <v>712.2</v>
      </c>
      <c r="J386" s="19">
        <v>16.12</v>
      </c>
      <c r="M386" s="20">
        <f>ROUND(ROUND(J386, 2)*I386, 2)</f>
        <v>11480.66</v>
      </c>
      <c r="P386" s="19">
        <v>16.11</v>
      </c>
      <c r="S386" s="20">
        <f>ROUND(ROUND(P386, 2)*I386, 2)</f>
        <v>11473.54</v>
      </c>
      <c r="V386" s="9">
        <f>ROUND(ROUND(P386, 2)/1.2, 2)</f>
        <v>13.43</v>
      </c>
      <c r="Y386" s="9">
        <f t="shared" si="12"/>
        <v>9561.2800000000007</v>
      </c>
      <c r="AD386" s="4" t="s">
        <v>1207</v>
      </c>
      <c r="AE386" s="4" t="s">
        <v>1208</v>
      </c>
      <c r="AF386" s="4" t="s">
        <v>668</v>
      </c>
    </row>
    <row r="387" spans="1:35" ht="36" x14ac:dyDescent="0.3">
      <c r="A387" s="10" t="s">
        <v>1209</v>
      </c>
      <c r="B387" s="10"/>
      <c r="C387" s="21" t="s">
        <v>1158</v>
      </c>
      <c r="D387" s="12"/>
      <c r="E387" s="12"/>
      <c r="F387" s="17" t="s">
        <v>59</v>
      </c>
      <c r="G387" s="18">
        <v>1.07</v>
      </c>
      <c r="H387" s="22"/>
      <c r="I387" s="22">
        <v>635.04499999999996</v>
      </c>
      <c r="J387" s="19">
        <v>945</v>
      </c>
      <c r="M387" s="20">
        <f>ROUND(ROUND(J387, 2)*I387, 2)</f>
        <v>600117.53</v>
      </c>
      <c r="P387" s="19">
        <v>945</v>
      </c>
      <c r="S387" s="20">
        <f>ROUND(ROUND(P387, 2)*I387, 2)</f>
        <v>600117.53</v>
      </c>
      <c r="V387" s="9">
        <f>ROUND(ROUND(P387, 2)/1.2, 2)</f>
        <v>787.5</v>
      </c>
      <c r="Y387" s="9">
        <f t="shared" si="12"/>
        <v>500097.94</v>
      </c>
      <c r="AD387" s="4" t="s">
        <v>1210</v>
      </c>
      <c r="AE387" s="4" t="s">
        <v>1211</v>
      </c>
      <c r="AF387" s="4" t="s">
        <v>1161</v>
      </c>
    </row>
    <row r="388" spans="1:35" ht="54" x14ac:dyDescent="0.3">
      <c r="A388" s="10" t="s">
        <v>1212</v>
      </c>
      <c r="B388" s="10" t="s">
        <v>1136</v>
      </c>
      <c r="C388" s="11" t="s">
        <v>1137</v>
      </c>
      <c r="D388" s="12"/>
      <c r="E388" s="12" t="s">
        <v>1213</v>
      </c>
      <c r="F388" s="12" t="s">
        <v>59</v>
      </c>
      <c r="G388" s="13">
        <v>1</v>
      </c>
      <c r="H388" s="13"/>
      <c r="I388" s="13">
        <v>46</v>
      </c>
      <c r="J388" s="14">
        <v>1521.58</v>
      </c>
      <c r="K388" s="15">
        <v>2364</v>
      </c>
      <c r="L388" s="14">
        <f>J388+ROUND(K388, 2)</f>
        <v>3885.58</v>
      </c>
      <c r="M388" s="14">
        <v>69992.679999999993</v>
      </c>
      <c r="N388" s="14">
        <v>108744</v>
      </c>
      <c r="O388" s="14">
        <f>M388+N388</f>
        <v>178736.68</v>
      </c>
      <c r="P388" s="14">
        <v>1521.56</v>
      </c>
      <c r="Q388" s="15">
        <v>3546</v>
      </c>
      <c r="R388" s="14">
        <f>P388+ROUND(Q388, 2)</f>
        <v>5067.5599999999995</v>
      </c>
      <c r="S388" s="14">
        <v>69991.759999999995</v>
      </c>
      <c r="T388" s="14">
        <v>163116</v>
      </c>
      <c r="U388" s="14">
        <f>S388+T388</f>
        <v>233107.76</v>
      </c>
      <c r="V388" s="9">
        <f>ROUND(P388 / 1.2, 2)</f>
        <v>1267.97</v>
      </c>
      <c r="W388" s="9">
        <f>ROUND(Q388 / 1.2, 2)</f>
        <v>2955</v>
      </c>
      <c r="X388" s="9">
        <f>ROUND(R388 / 1.2, 2)</f>
        <v>4222.97</v>
      </c>
      <c r="Y388" s="9">
        <f t="shared" si="12"/>
        <v>58326.47</v>
      </c>
      <c r="Z388" s="9">
        <f>ROUND(T388 / 1.2, 2)</f>
        <v>135930</v>
      </c>
      <c r="AA388" s="9">
        <f>Y388+Z388</f>
        <v>194256.47</v>
      </c>
      <c r="AD388" s="4">
        <v>315890022</v>
      </c>
      <c r="AE388" s="4">
        <v>27245727</v>
      </c>
      <c r="AG388" s="4" t="s">
        <v>1138</v>
      </c>
      <c r="AH388" s="4" t="s">
        <v>1139</v>
      </c>
      <c r="AI388" s="4" t="s">
        <v>224</v>
      </c>
    </row>
    <row r="389" spans="1:35" ht="36" x14ac:dyDescent="0.3">
      <c r="A389" s="10" t="s">
        <v>1214</v>
      </c>
      <c r="B389" s="10"/>
      <c r="C389" s="21" t="s">
        <v>1152</v>
      </c>
      <c r="D389" s="12"/>
      <c r="E389" s="12"/>
      <c r="F389" s="17" t="s">
        <v>59</v>
      </c>
      <c r="G389" s="18">
        <v>1.07</v>
      </c>
      <c r="H389" s="22"/>
      <c r="I389" s="22">
        <v>49.22</v>
      </c>
      <c r="J389" s="19">
        <v>1384.96</v>
      </c>
      <c r="M389" s="20">
        <f>ROUND(ROUND(J389, 2)*I389, 2)</f>
        <v>68167.73</v>
      </c>
      <c r="P389" s="19">
        <v>1384.95</v>
      </c>
      <c r="S389" s="20">
        <f>ROUND(ROUND(P389, 2)*I389, 2)</f>
        <v>68167.240000000005</v>
      </c>
      <c r="V389" s="9">
        <f>ROUND(ROUND(P389, 2)/1.2, 2)</f>
        <v>1154.1300000000001</v>
      </c>
      <c r="Y389" s="9">
        <f t="shared" si="12"/>
        <v>56806.03</v>
      </c>
      <c r="AD389" s="4" t="s">
        <v>1215</v>
      </c>
      <c r="AE389" s="4" t="s">
        <v>1216</v>
      </c>
      <c r="AF389" s="4" t="s">
        <v>1155</v>
      </c>
    </row>
    <row r="390" spans="1:35" ht="36" x14ac:dyDescent="0.3">
      <c r="A390" s="10" t="s">
        <v>1217</v>
      </c>
      <c r="B390" s="10"/>
      <c r="C390" s="21" t="s">
        <v>665</v>
      </c>
      <c r="D390" s="12"/>
      <c r="E390" s="12"/>
      <c r="F390" s="17" t="s">
        <v>227</v>
      </c>
      <c r="G390" s="18">
        <v>1.2</v>
      </c>
      <c r="H390" s="22"/>
      <c r="I390" s="22">
        <v>55.2</v>
      </c>
      <c r="J390" s="19">
        <v>16.12</v>
      </c>
      <c r="M390" s="20">
        <f>ROUND(ROUND(J390, 2)*I390, 2)</f>
        <v>889.82</v>
      </c>
      <c r="P390" s="19">
        <v>16.11</v>
      </c>
      <c r="S390" s="20">
        <f>ROUND(ROUND(P390, 2)*I390, 2)</f>
        <v>889.27</v>
      </c>
      <c r="V390" s="9">
        <f>ROUND(ROUND(P390, 2)/1.2, 2)</f>
        <v>13.43</v>
      </c>
      <c r="Y390" s="9">
        <f t="shared" si="12"/>
        <v>741.06</v>
      </c>
      <c r="AD390" s="4" t="s">
        <v>1218</v>
      </c>
      <c r="AE390" s="4" t="s">
        <v>1219</v>
      </c>
      <c r="AF390" s="4" t="s">
        <v>668</v>
      </c>
    </row>
    <row r="391" spans="1:35" ht="36" x14ac:dyDescent="0.3">
      <c r="A391" s="10" t="s">
        <v>1220</v>
      </c>
      <c r="B391" s="10"/>
      <c r="C391" s="16" t="s">
        <v>1144</v>
      </c>
      <c r="D391" s="12"/>
      <c r="E391" s="12"/>
      <c r="F391" s="17" t="s">
        <v>227</v>
      </c>
      <c r="G391" s="18">
        <v>0.15</v>
      </c>
      <c r="H391" s="18"/>
      <c r="I391" s="18">
        <v>6.9</v>
      </c>
      <c r="J391" s="19">
        <v>68.400000000000006</v>
      </c>
      <c r="M391" s="20">
        <f>ROUND(ROUND(J391, 2)*I391, 2)</f>
        <v>471.96</v>
      </c>
      <c r="P391" s="19">
        <v>68.400000000000006</v>
      </c>
      <c r="S391" s="20">
        <f>ROUND(ROUND(P391, 2)*I391, 2)</f>
        <v>471.96</v>
      </c>
      <c r="V391" s="9">
        <f>ROUND(ROUND(P391, 2)/1.2, 2)</f>
        <v>57</v>
      </c>
      <c r="Y391" s="9">
        <f t="shared" si="12"/>
        <v>393.3</v>
      </c>
      <c r="AD391" s="4" t="s">
        <v>1221</v>
      </c>
      <c r="AE391" s="4" t="s">
        <v>1222</v>
      </c>
      <c r="AF391" s="4" t="s">
        <v>1147</v>
      </c>
    </row>
    <row r="392" spans="1:35" ht="18" x14ac:dyDescent="0.3">
      <c r="A392" s="10" t="s">
        <v>1223</v>
      </c>
      <c r="B392" s="10"/>
      <c r="C392" s="16" t="s">
        <v>637</v>
      </c>
      <c r="D392" s="12"/>
      <c r="E392" s="12"/>
      <c r="F392" s="17" t="s">
        <v>227</v>
      </c>
      <c r="G392" s="18">
        <v>0.25</v>
      </c>
      <c r="H392" s="22"/>
      <c r="I392" s="22">
        <v>11.5</v>
      </c>
      <c r="J392" s="19">
        <v>40.270000000000003</v>
      </c>
      <c r="M392" s="20">
        <f>ROUND(ROUND(J392, 2)*I392, 2)</f>
        <v>463.11</v>
      </c>
      <c r="P392" s="19">
        <v>40.270000000000003</v>
      </c>
      <c r="S392" s="20">
        <f>ROUND(ROUND(P392, 2)*I392, 2)</f>
        <v>463.11</v>
      </c>
      <c r="V392" s="9">
        <f>ROUND(ROUND(P392, 2)/1.2, 2)</f>
        <v>33.56</v>
      </c>
      <c r="Y392" s="9">
        <f t="shared" si="12"/>
        <v>385.93</v>
      </c>
      <c r="AD392" s="4" t="s">
        <v>1224</v>
      </c>
      <c r="AE392" s="4" t="s">
        <v>1225</v>
      </c>
      <c r="AF392" s="4" t="s">
        <v>640</v>
      </c>
    </row>
    <row r="393" spans="1:35" ht="54" x14ac:dyDescent="0.3">
      <c r="A393" s="10" t="s">
        <v>1226</v>
      </c>
      <c r="B393" s="10" t="s">
        <v>1227</v>
      </c>
      <c r="C393" s="11" t="s">
        <v>1228</v>
      </c>
      <c r="D393" s="12"/>
      <c r="E393" s="12"/>
      <c r="F393" s="12" t="s">
        <v>59</v>
      </c>
      <c r="G393" s="13">
        <v>1</v>
      </c>
      <c r="H393" s="13"/>
      <c r="I393" s="13">
        <v>0</v>
      </c>
      <c r="J393" s="14">
        <v>0</v>
      </c>
      <c r="K393" s="15">
        <v>2983</v>
      </c>
      <c r="L393" s="14">
        <f>J393+ROUND(K393, 2)</f>
        <v>2983</v>
      </c>
      <c r="M393" s="14">
        <v>0</v>
      </c>
      <c r="N393" s="14">
        <v>0</v>
      </c>
      <c r="O393" s="14">
        <f>M393+N393</f>
        <v>0</v>
      </c>
      <c r="P393" s="14">
        <v>1253.43</v>
      </c>
      <c r="Q393" s="15">
        <v>2983</v>
      </c>
      <c r="R393" s="14">
        <f>P393+ROUND(Q393, 2)</f>
        <v>4236.43</v>
      </c>
      <c r="S393" s="14">
        <v>0</v>
      </c>
      <c r="T393" s="14">
        <v>0</v>
      </c>
      <c r="U393" s="14">
        <f>S393+T393</f>
        <v>0</v>
      </c>
      <c r="V393" s="9">
        <f>ROUND(P393 / 1.2, 2)</f>
        <v>1044.53</v>
      </c>
      <c r="W393" s="9">
        <f>ROUND(Q393 / 1.2, 2)</f>
        <v>2485.83</v>
      </c>
      <c r="X393" s="9">
        <f>ROUND(R393 / 1.2, 2)</f>
        <v>3530.36</v>
      </c>
      <c r="Y393" s="9">
        <f t="shared" si="12"/>
        <v>0</v>
      </c>
      <c r="Z393" s="9">
        <f>ROUND(T393 / 1.2, 2)</f>
        <v>0</v>
      </c>
      <c r="AA393" s="9">
        <f>Y393+Z393</f>
        <v>0</v>
      </c>
      <c r="AD393" s="4">
        <v>315890023</v>
      </c>
      <c r="AE393" s="4">
        <v>27245627</v>
      </c>
      <c r="AG393" s="4" t="s">
        <v>1229</v>
      </c>
      <c r="AH393" s="4" t="s">
        <v>1230</v>
      </c>
      <c r="AI393" s="4" t="s">
        <v>224</v>
      </c>
    </row>
    <row r="394" spans="1:35" ht="36" x14ac:dyDescent="0.3">
      <c r="A394" s="10" t="s">
        <v>1231</v>
      </c>
      <c r="B394" s="10"/>
      <c r="C394" s="21" t="s">
        <v>1232</v>
      </c>
      <c r="D394" s="12"/>
      <c r="E394" s="12"/>
      <c r="F394" s="17" t="s">
        <v>59</v>
      </c>
      <c r="G394" s="18">
        <v>1.1000000000000001</v>
      </c>
      <c r="H394" s="22"/>
      <c r="I394" s="22">
        <v>0</v>
      </c>
      <c r="J394" s="19">
        <v>2038.05</v>
      </c>
      <c r="M394" s="20">
        <f>ROUND(ROUND(J394, 2)*I394, 2)</f>
        <v>0</v>
      </c>
      <c r="P394" s="19">
        <v>1102.5</v>
      </c>
      <c r="S394" s="20">
        <f>ROUND(ROUND(P394, 2)*I394, 2)</f>
        <v>0</v>
      </c>
      <c r="V394" s="9">
        <f>ROUND(ROUND(P394, 2)/1.2, 2)</f>
        <v>918.75</v>
      </c>
      <c r="Y394" s="9">
        <f t="shared" si="12"/>
        <v>0</v>
      </c>
      <c r="AD394" s="4" t="s">
        <v>1233</v>
      </c>
      <c r="AE394" s="4" t="s">
        <v>1234</v>
      </c>
      <c r="AF394" s="4" t="s">
        <v>1235</v>
      </c>
    </row>
    <row r="395" spans="1:35" ht="36" x14ac:dyDescent="0.3">
      <c r="A395" s="10" t="s">
        <v>1236</v>
      </c>
      <c r="B395" s="10"/>
      <c r="C395" s="21" t="s">
        <v>665</v>
      </c>
      <c r="D395" s="12"/>
      <c r="E395" s="12"/>
      <c r="F395" s="17" t="s">
        <v>227</v>
      </c>
      <c r="G395" s="18">
        <v>1.2</v>
      </c>
      <c r="H395" s="22"/>
      <c r="I395" s="22">
        <v>0</v>
      </c>
      <c r="J395" s="19">
        <v>16.96</v>
      </c>
      <c r="M395" s="20">
        <f>ROUND(ROUND(J395, 2)*I395, 2)</f>
        <v>0</v>
      </c>
      <c r="P395" s="19">
        <v>16.96</v>
      </c>
      <c r="S395" s="20">
        <f>ROUND(ROUND(P395, 2)*I395, 2)</f>
        <v>0</v>
      </c>
      <c r="V395" s="9">
        <f>ROUND(ROUND(P395, 2)/1.2, 2)</f>
        <v>14.13</v>
      </c>
      <c r="Y395" s="9">
        <f t="shared" si="12"/>
        <v>0</v>
      </c>
      <c r="AD395" s="4" t="s">
        <v>1237</v>
      </c>
      <c r="AE395" s="4" t="s">
        <v>1238</v>
      </c>
      <c r="AF395" s="4" t="s">
        <v>668</v>
      </c>
    </row>
    <row r="396" spans="1:35" ht="18" x14ac:dyDescent="0.3">
      <c r="A396" s="10" t="s">
        <v>1239</v>
      </c>
      <c r="B396" s="10"/>
      <c r="C396" s="16" t="s">
        <v>637</v>
      </c>
      <c r="D396" s="12"/>
      <c r="E396" s="12"/>
      <c r="F396" s="17" t="s">
        <v>227</v>
      </c>
      <c r="G396" s="18">
        <v>0.25</v>
      </c>
      <c r="H396" s="22"/>
      <c r="I396" s="22">
        <v>0</v>
      </c>
      <c r="J396" s="19">
        <v>40.270000000000003</v>
      </c>
      <c r="M396" s="20">
        <f>ROUND(ROUND(J396, 2)*I396, 2)</f>
        <v>0</v>
      </c>
      <c r="P396" s="19">
        <v>40.270000000000003</v>
      </c>
      <c r="S396" s="20">
        <f>ROUND(ROUND(P396, 2)*I396, 2)</f>
        <v>0</v>
      </c>
      <c r="V396" s="9">
        <f>ROUND(ROUND(P396, 2)/1.2, 2)</f>
        <v>33.56</v>
      </c>
      <c r="Y396" s="9">
        <f t="shared" si="12"/>
        <v>0</v>
      </c>
      <c r="AD396" s="4" t="s">
        <v>1240</v>
      </c>
      <c r="AE396" s="4" t="s">
        <v>1241</v>
      </c>
      <c r="AF396" s="4" t="s">
        <v>640</v>
      </c>
    </row>
    <row r="397" spans="1:35" ht="36" x14ac:dyDescent="0.3">
      <c r="A397" s="10" t="s">
        <v>1242</v>
      </c>
      <c r="B397" s="10"/>
      <c r="C397" s="16" t="s">
        <v>1144</v>
      </c>
      <c r="D397" s="12"/>
      <c r="E397" s="12"/>
      <c r="F397" s="17" t="s">
        <v>227</v>
      </c>
      <c r="G397" s="18">
        <v>0.15</v>
      </c>
      <c r="H397" s="18"/>
      <c r="I397" s="18">
        <v>0</v>
      </c>
      <c r="J397" s="19">
        <v>68.400000000000006</v>
      </c>
      <c r="M397" s="20">
        <f>ROUND(ROUND(J397, 2)*I397, 2)</f>
        <v>0</v>
      </c>
      <c r="P397" s="19">
        <v>68.400000000000006</v>
      </c>
      <c r="S397" s="20">
        <f>ROUND(ROUND(P397, 2)*I397, 2)</f>
        <v>0</v>
      </c>
      <c r="V397" s="9">
        <f>ROUND(ROUND(P397, 2)/1.2, 2)</f>
        <v>57</v>
      </c>
      <c r="Y397" s="9">
        <f t="shared" si="12"/>
        <v>0</v>
      </c>
      <c r="AD397" s="4" t="s">
        <v>1243</v>
      </c>
      <c r="AE397" s="4" t="s">
        <v>1244</v>
      </c>
      <c r="AF397" s="4" t="s">
        <v>1147</v>
      </c>
    </row>
    <row r="398" spans="1:35" ht="54" x14ac:dyDescent="0.3">
      <c r="A398" s="10" t="s">
        <v>1245</v>
      </c>
      <c r="B398" s="10" t="s">
        <v>1227</v>
      </c>
      <c r="C398" s="11" t="s">
        <v>1228</v>
      </c>
      <c r="D398" s="12"/>
      <c r="E398" s="12"/>
      <c r="F398" s="12" t="s">
        <v>59</v>
      </c>
      <c r="G398" s="13">
        <v>1</v>
      </c>
      <c r="H398" s="13"/>
      <c r="I398" s="13">
        <v>0</v>
      </c>
      <c r="J398" s="14">
        <v>0</v>
      </c>
      <c r="K398" s="15">
        <v>2983</v>
      </c>
      <c r="L398" s="14">
        <f>J398+ROUND(K398, 2)</f>
        <v>2983</v>
      </c>
      <c r="M398" s="14">
        <v>0</v>
      </c>
      <c r="N398" s="14">
        <v>0</v>
      </c>
      <c r="O398" s="14">
        <f>M398+N398</f>
        <v>0</v>
      </c>
      <c r="P398" s="14">
        <v>1253.43</v>
      </c>
      <c r="Q398" s="15">
        <v>2983</v>
      </c>
      <c r="R398" s="14">
        <f>P398+ROUND(Q398, 2)</f>
        <v>4236.43</v>
      </c>
      <c r="S398" s="14">
        <v>0</v>
      </c>
      <c r="T398" s="14">
        <v>0</v>
      </c>
      <c r="U398" s="14">
        <f>S398+T398</f>
        <v>0</v>
      </c>
      <c r="V398" s="9">
        <f>ROUND(P398 / 1.2, 2)</f>
        <v>1044.53</v>
      </c>
      <c r="W398" s="9">
        <f>ROUND(Q398 / 1.2, 2)</f>
        <v>2485.83</v>
      </c>
      <c r="X398" s="9">
        <f>ROUND(R398 / 1.2, 2)</f>
        <v>3530.36</v>
      </c>
      <c r="Y398" s="9">
        <f t="shared" ref="Y398:Y432" si="13">ROUND(S398 / 1.2, 2)</f>
        <v>0</v>
      </c>
      <c r="Z398" s="9">
        <f>ROUND(T398 / 1.2, 2)</f>
        <v>0</v>
      </c>
      <c r="AA398" s="9">
        <f>Y398+Z398</f>
        <v>0</v>
      </c>
      <c r="AD398" s="4">
        <v>315890024</v>
      </c>
      <c r="AE398" s="4">
        <v>27245628</v>
      </c>
      <c r="AG398" s="4" t="s">
        <v>1229</v>
      </c>
      <c r="AH398" s="4" t="s">
        <v>1230</v>
      </c>
      <c r="AI398" s="4" t="s">
        <v>224</v>
      </c>
    </row>
    <row r="399" spans="1:35" ht="36" x14ac:dyDescent="0.3">
      <c r="A399" s="10" t="s">
        <v>1246</v>
      </c>
      <c r="B399" s="10"/>
      <c r="C399" s="16" t="s">
        <v>1144</v>
      </c>
      <c r="D399" s="12"/>
      <c r="E399" s="12"/>
      <c r="F399" s="17" t="s">
        <v>227</v>
      </c>
      <c r="G399" s="18">
        <v>0.15</v>
      </c>
      <c r="H399" s="18"/>
      <c r="I399" s="18">
        <v>0</v>
      </c>
      <c r="J399" s="19">
        <v>68.400000000000006</v>
      </c>
      <c r="M399" s="20">
        <f>ROUND(ROUND(J399, 2)*I399, 2)</f>
        <v>0</v>
      </c>
      <c r="P399" s="19">
        <v>68.400000000000006</v>
      </c>
      <c r="S399" s="20">
        <f>ROUND(ROUND(P399, 2)*I399, 2)</f>
        <v>0</v>
      </c>
      <c r="V399" s="9">
        <f>ROUND(ROUND(P399, 2)/1.2, 2)</f>
        <v>57</v>
      </c>
      <c r="Y399" s="9">
        <f t="shared" si="13"/>
        <v>0</v>
      </c>
      <c r="AD399" s="4" t="s">
        <v>1247</v>
      </c>
      <c r="AE399" s="4" t="s">
        <v>1248</v>
      </c>
      <c r="AF399" s="4" t="s">
        <v>1147</v>
      </c>
    </row>
    <row r="400" spans="1:35" ht="18" x14ac:dyDescent="0.3">
      <c r="A400" s="10" t="s">
        <v>1249</v>
      </c>
      <c r="B400" s="10"/>
      <c r="C400" s="16" t="s">
        <v>637</v>
      </c>
      <c r="D400" s="12"/>
      <c r="E400" s="12"/>
      <c r="F400" s="17" t="s">
        <v>227</v>
      </c>
      <c r="G400" s="18">
        <v>0.25</v>
      </c>
      <c r="H400" s="22"/>
      <c r="I400" s="22">
        <v>0</v>
      </c>
      <c r="J400" s="19">
        <v>40.270000000000003</v>
      </c>
      <c r="M400" s="20">
        <f>ROUND(ROUND(J400, 2)*I400, 2)</f>
        <v>0</v>
      </c>
      <c r="P400" s="19">
        <v>40.270000000000003</v>
      </c>
      <c r="S400" s="20">
        <f>ROUND(ROUND(P400, 2)*I400, 2)</f>
        <v>0</v>
      </c>
      <c r="V400" s="9">
        <f>ROUND(ROUND(P400, 2)/1.2, 2)</f>
        <v>33.56</v>
      </c>
      <c r="Y400" s="9">
        <f t="shared" si="13"/>
        <v>0</v>
      </c>
      <c r="AD400" s="4" t="s">
        <v>1250</v>
      </c>
      <c r="AE400" s="4" t="s">
        <v>1251</v>
      </c>
      <c r="AF400" s="4" t="s">
        <v>640</v>
      </c>
    </row>
    <row r="401" spans="1:35" ht="36" x14ac:dyDescent="0.3">
      <c r="A401" s="10" t="s">
        <v>1252</v>
      </c>
      <c r="B401" s="10"/>
      <c r="C401" s="21" t="s">
        <v>665</v>
      </c>
      <c r="D401" s="12"/>
      <c r="E401" s="12"/>
      <c r="F401" s="17" t="s">
        <v>227</v>
      </c>
      <c r="G401" s="18">
        <v>1.2</v>
      </c>
      <c r="H401" s="22"/>
      <c r="I401" s="22">
        <v>0</v>
      </c>
      <c r="J401" s="19">
        <v>16.96</v>
      </c>
      <c r="M401" s="20">
        <f>ROUND(ROUND(J401, 2)*I401, 2)</f>
        <v>0</v>
      </c>
      <c r="P401" s="19">
        <v>16.96</v>
      </c>
      <c r="S401" s="20">
        <f>ROUND(ROUND(P401, 2)*I401, 2)</f>
        <v>0</v>
      </c>
      <c r="V401" s="9">
        <f>ROUND(ROUND(P401, 2)/1.2, 2)</f>
        <v>14.13</v>
      </c>
      <c r="Y401" s="9">
        <f t="shared" si="13"/>
        <v>0</v>
      </c>
      <c r="AD401" s="4" t="s">
        <v>1253</v>
      </c>
      <c r="AE401" s="4" t="s">
        <v>1254</v>
      </c>
      <c r="AF401" s="4" t="s">
        <v>668</v>
      </c>
    </row>
    <row r="402" spans="1:35" ht="36" x14ac:dyDescent="0.3">
      <c r="A402" s="10" t="s">
        <v>1255</v>
      </c>
      <c r="B402" s="10"/>
      <c r="C402" s="21" t="s">
        <v>1232</v>
      </c>
      <c r="D402" s="12"/>
      <c r="E402" s="12"/>
      <c r="F402" s="17" t="s">
        <v>59</v>
      </c>
      <c r="G402" s="18">
        <v>1.1000000000000001</v>
      </c>
      <c r="H402" s="22"/>
      <c r="I402" s="22">
        <v>0</v>
      </c>
      <c r="J402" s="19">
        <v>2038.05</v>
      </c>
      <c r="M402" s="20">
        <f>ROUND(ROUND(J402, 2)*I402, 2)</f>
        <v>0</v>
      </c>
      <c r="P402" s="19">
        <v>1102.5</v>
      </c>
      <c r="S402" s="20">
        <f>ROUND(ROUND(P402, 2)*I402, 2)</f>
        <v>0</v>
      </c>
      <c r="V402" s="9">
        <f>ROUND(ROUND(P402, 2)/1.2, 2)</f>
        <v>918.75</v>
      </c>
      <c r="Y402" s="9">
        <f t="shared" si="13"/>
        <v>0</v>
      </c>
      <c r="AD402" s="4" t="s">
        <v>1256</v>
      </c>
      <c r="AE402" s="4" t="s">
        <v>1257</v>
      </c>
      <c r="AF402" s="4" t="s">
        <v>1235</v>
      </c>
    </row>
    <row r="403" spans="1:35" ht="54" x14ac:dyDescent="0.3">
      <c r="A403" s="10" t="s">
        <v>1258</v>
      </c>
      <c r="B403" s="10" t="s">
        <v>1227</v>
      </c>
      <c r="C403" s="11" t="s">
        <v>1228</v>
      </c>
      <c r="D403" s="12"/>
      <c r="E403" s="12"/>
      <c r="F403" s="12" t="s">
        <v>59</v>
      </c>
      <c r="G403" s="13">
        <v>1</v>
      </c>
      <c r="H403" s="13"/>
      <c r="I403" s="13">
        <v>0</v>
      </c>
      <c r="J403" s="14">
        <v>0</v>
      </c>
      <c r="K403" s="15">
        <v>2983</v>
      </c>
      <c r="L403" s="14">
        <f>J403+ROUND(K403, 2)</f>
        <v>2983</v>
      </c>
      <c r="M403" s="14">
        <v>0</v>
      </c>
      <c r="N403" s="14">
        <v>0</v>
      </c>
      <c r="O403" s="14">
        <f>M403+N403</f>
        <v>0</v>
      </c>
      <c r="P403" s="14">
        <v>1253.43</v>
      </c>
      <c r="Q403" s="15">
        <v>2983</v>
      </c>
      <c r="R403" s="14">
        <f>P403+ROUND(Q403, 2)</f>
        <v>4236.43</v>
      </c>
      <c r="S403" s="14">
        <v>0</v>
      </c>
      <c r="T403" s="14">
        <v>0</v>
      </c>
      <c r="U403" s="14">
        <f>S403+T403</f>
        <v>0</v>
      </c>
      <c r="V403" s="9">
        <f>ROUND(P403 / 1.2, 2)</f>
        <v>1044.53</v>
      </c>
      <c r="W403" s="9">
        <f>ROUND(Q403 / 1.2, 2)</f>
        <v>2485.83</v>
      </c>
      <c r="X403" s="9">
        <f>ROUND(R403 / 1.2, 2)</f>
        <v>3530.36</v>
      </c>
      <c r="Y403" s="9">
        <f t="shared" si="13"/>
        <v>0</v>
      </c>
      <c r="Z403" s="9">
        <f>ROUND(T403 / 1.2, 2)</f>
        <v>0</v>
      </c>
      <c r="AA403" s="9">
        <f>Y403+Z403</f>
        <v>0</v>
      </c>
      <c r="AD403" s="4">
        <v>315890025</v>
      </c>
      <c r="AE403" s="4">
        <v>27245629</v>
      </c>
      <c r="AG403" s="4" t="s">
        <v>1229</v>
      </c>
      <c r="AH403" s="4" t="s">
        <v>1230</v>
      </c>
      <c r="AI403" s="4" t="s">
        <v>224</v>
      </c>
    </row>
    <row r="404" spans="1:35" ht="36" x14ac:dyDescent="0.3">
      <c r="A404" s="10" t="s">
        <v>1259</v>
      </c>
      <c r="B404" s="10"/>
      <c r="C404" s="21" t="s">
        <v>1232</v>
      </c>
      <c r="D404" s="12"/>
      <c r="E404" s="12"/>
      <c r="F404" s="17" t="s">
        <v>59</v>
      </c>
      <c r="G404" s="18">
        <v>1.1000000000000001</v>
      </c>
      <c r="H404" s="22"/>
      <c r="I404" s="22">
        <v>0</v>
      </c>
      <c r="J404" s="19">
        <v>2038.05</v>
      </c>
      <c r="M404" s="20">
        <f>ROUND(ROUND(J404, 2)*I404, 2)</f>
        <v>0</v>
      </c>
      <c r="P404" s="19">
        <v>1102.5</v>
      </c>
      <c r="S404" s="20">
        <f>ROUND(ROUND(P404, 2)*I404, 2)</f>
        <v>0</v>
      </c>
      <c r="V404" s="9">
        <f>ROUND(ROUND(P404, 2)/1.2, 2)</f>
        <v>918.75</v>
      </c>
      <c r="Y404" s="9">
        <f t="shared" si="13"/>
        <v>0</v>
      </c>
      <c r="AD404" s="4" t="s">
        <v>1260</v>
      </c>
      <c r="AE404" s="4" t="s">
        <v>1261</v>
      </c>
      <c r="AF404" s="4" t="s">
        <v>1235</v>
      </c>
    </row>
    <row r="405" spans="1:35" ht="36" x14ac:dyDescent="0.3">
      <c r="A405" s="10" t="s">
        <v>1262</v>
      </c>
      <c r="B405" s="10"/>
      <c r="C405" s="21" t="s">
        <v>665</v>
      </c>
      <c r="D405" s="12"/>
      <c r="E405" s="12"/>
      <c r="F405" s="17" t="s">
        <v>227</v>
      </c>
      <c r="G405" s="18">
        <v>1.2</v>
      </c>
      <c r="H405" s="22"/>
      <c r="I405" s="22">
        <v>0</v>
      </c>
      <c r="J405" s="19">
        <v>16.96</v>
      </c>
      <c r="M405" s="20">
        <f>ROUND(ROUND(J405, 2)*I405, 2)</f>
        <v>0</v>
      </c>
      <c r="P405" s="19">
        <v>16.96</v>
      </c>
      <c r="S405" s="20">
        <f>ROUND(ROUND(P405, 2)*I405, 2)</f>
        <v>0</v>
      </c>
      <c r="V405" s="9">
        <f>ROUND(ROUND(P405, 2)/1.2, 2)</f>
        <v>14.13</v>
      </c>
      <c r="Y405" s="9">
        <f t="shared" si="13"/>
        <v>0</v>
      </c>
      <c r="AD405" s="4" t="s">
        <v>1263</v>
      </c>
      <c r="AE405" s="4" t="s">
        <v>1264</v>
      </c>
      <c r="AF405" s="4" t="s">
        <v>668</v>
      </c>
    </row>
    <row r="406" spans="1:35" ht="18" x14ac:dyDescent="0.3">
      <c r="A406" s="10" t="s">
        <v>1265</v>
      </c>
      <c r="B406" s="10"/>
      <c r="C406" s="16" t="s">
        <v>637</v>
      </c>
      <c r="D406" s="12"/>
      <c r="E406" s="12"/>
      <c r="F406" s="17" t="s">
        <v>227</v>
      </c>
      <c r="G406" s="18">
        <v>0.25</v>
      </c>
      <c r="H406" s="22"/>
      <c r="I406" s="22">
        <v>0</v>
      </c>
      <c r="J406" s="19">
        <v>40.270000000000003</v>
      </c>
      <c r="M406" s="20">
        <f>ROUND(ROUND(J406, 2)*I406, 2)</f>
        <v>0</v>
      </c>
      <c r="P406" s="19">
        <v>40.270000000000003</v>
      </c>
      <c r="S406" s="20">
        <f>ROUND(ROUND(P406, 2)*I406, 2)</f>
        <v>0</v>
      </c>
      <c r="V406" s="9">
        <f>ROUND(ROUND(P406, 2)/1.2, 2)</f>
        <v>33.56</v>
      </c>
      <c r="Y406" s="9">
        <f t="shared" si="13"/>
        <v>0</v>
      </c>
      <c r="AD406" s="4" t="s">
        <v>1266</v>
      </c>
      <c r="AE406" s="4" t="s">
        <v>1267</v>
      </c>
      <c r="AF406" s="4" t="s">
        <v>640</v>
      </c>
    </row>
    <row r="407" spans="1:35" ht="36" x14ac:dyDescent="0.3">
      <c r="A407" s="10" t="s">
        <v>1268</v>
      </c>
      <c r="B407" s="10"/>
      <c r="C407" s="16" t="s">
        <v>1144</v>
      </c>
      <c r="D407" s="12"/>
      <c r="E407" s="12"/>
      <c r="F407" s="17" t="s">
        <v>227</v>
      </c>
      <c r="G407" s="18">
        <v>0.15</v>
      </c>
      <c r="H407" s="18"/>
      <c r="I407" s="18">
        <v>0</v>
      </c>
      <c r="J407" s="19">
        <v>68.400000000000006</v>
      </c>
      <c r="M407" s="20">
        <f>ROUND(ROUND(J407, 2)*I407, 2)</f>
        <v>0</v>
      </c>
      <c r="P407" s="19">
        <v>68.400000000000006</v>
      </c>
      <c r="S407" s="20">
        <f>ROUND(ROUND(P407, 2)*I407, 2)</f>
        <v>0</v>
      </c>
      <c r="V407" s="9">
        <f>ROUND(ROUND(P407, 2)/1.2, 2)</f>
        <v>57</v>
      </c>
      <c r="Y407" s="9">
        <f t="shared" si="13"/>
        <v>0</v>
      </c>
      <c r="AD407" s="4" t="s">
        <v>1269</v>
      </c>
      <c r="AE407" s="4" t="s">
        <v>1270</v>
      </c>
      <c r="AF407" s="4" t="s">
        <v>1147</v>
      </c>
    </row>
    <row r="408" spans="1:35" ht="54" x14ac:dyDescent="0.3">
      <c r="A408" s="10" t="s">
        <v>1271</v>
      </c>
      <c r="B408" s="10" t="s">
        <v>1227</v>
      </c>
      <c r="C408" s="11" t="s">
        <v>1228</v>
      </c>
      <c r="D408" s="12"/>
      <c r="E408" s="12"/>
      <c r="F408" s="12" t="s">
        <v>59</v>
      </c>
      <c r="G408" s="13">
        <v>1</v>
      </c>
      <c r="H408" s="13"/>
      <c r="I408" s="13">
        <v>0</v>
      </c>
      <c r="J408" s="14">
        <v>0</v>
      </c>
      <c r="K408" s="15">
        <v>2983</v>
      </c>
      <c r="L408" s="14">
        <f>J408+ROUND(K408, 2)</f>
        <v>2983</v>
      </c>
      <c r="M408" s="14">
        <v>0</v>
      </c>
      <c r="N408" s="14">
        <v>0</v>
      </c>
      <c r="O408" s="14">
        <f>M408+N408</f>
        <v>0</v>
      </c>
      <c r="P408" s="14">
        <v>1253.43</v>
      </c>
      <c r="Q408" s="15">
        <v>2983</v>
      </c>
      <c r="R408" s="14">
        <f>P408+ROUND(Q408, 2)</f>
        <v>4236.43</v>
      </c>
      <c r="S408" s="14">
        <v>0</v>
      </c>
      <c r="T408" s="14">
        <v>0</v>
      </c>
      <c r="U408" s="14">
        <f>S408+T408</f>
        <v>0</v>
      </c>
      <c r="V408" s="9">
        <f>ROUND(P408 / 1.2, 2)</f>
        <v>1044.53</v>
      </c>
      <c r="W408" s="9">
        <f>ROUND(Q408 / 1.2, 2)</f>
        <v>2485.83</v>
      </c>
      <c r="X408" s="9">
        <f>ROUND(R408 / 1.2, 2)</f>
        <v>3530.36</v>
      </c>
      <c r="Y408" s="9">
        <f t="shared" si="13"/>
        <v>0</v>
      </c>
      <c r="Z408" s="9">
        <f>ROUND(T408 / 1.2, 2)</f>
        <v>0</v>
      </c>
      <c r="AA408" s="9">
        <f>Y408+Z408</f>
        <v>0</v>
      </c>
      <c r="AD408" s="4">
        <v>315890026</v>
      </c>
      <c r="AE408" s="4">
        <v>27245630</v>
      </c>
      <c r="AG408" s="4" t="s">
        <v>1229</v>
      </c>
      <c r="AH408" s="4" t="s">
        <v>1230</v>
      </c>
      <c r="AI408" s="4" t="s">
        <v>224</v>
      </c>
    </row>
    <row r="409" spans="1:35" ht="36" x14ac:dyDescent="0.3">
      <c r="A409" s="10" t="s">
        <v>1272</v>
      </c>
      <c r="B409" s="10"/>
      <c r="C409" s="16" t="s">
        <v>1144</v>
      </c>
      <c r="D409" s="12"/>
      <c r="E409" s="12"/>
      <c r="F409" s="17" t="s">
        <v>227</v>
      </c>
      <c r="G409" s="18">
        <v>0.15</v>
      </c>
      <c r="H409" s="18"/>
      <c r="I409" s="18">
        <v>0</v>
      </c>
      <c r="J409" s="19">
        <v>68.400000000000006</v>
      </c>
      <c r="M409" s="20">
        <f>ROUND(ROUND(J409, 2)*I409, 2)</f>
        <v>0</v>
      </c>
      <c r="P409" s="19">
        <v>68.400000000000006</v>
      </c>
      <c r="S409" s="20">
        <f>ROUND(ROUND(P409, 2)*I409, 2)</f>
        <v>0</v>
      </c>
      <c r="V409" s="9">
        <f>ROUND(ROUND(P409, 2)/1.2, 2)</f>
        <v>57</v>
      </c>
      <c r="Y409" s="9">
        <f t="shared" si="13"/>
        <v>0</v>
      </c>
      <c r="AD409" s="4" t="s">
        <v>1273</v>
      </c>
      <c r="AE409" s="4" t="s">
        <v>1274</v>
      </c>
      <c r="AF409" s="4" t="s">
        <v>1147</v>
      </c>
    </row>
    <row r="410" spans="1:35" ht="18" x14ac:dyDescent="0.3">
      <c r="A410" s="10" t="s">
        <v>1275</v>
      </c>
      <c r="B410" s="10"/>
      <c r="C410" s="16" t="s">
        <v>637</v>
      </c>
      <c r="D410" s="12"/>
      <c r="E410" s="12"/>
      <c r="F410" s="17" t="s">
        <v>227</v>
      </c>
      <c r="G410" s="18">
        <v>0.25</v>
      </c>
      <c r="H410" s="22"/>
      <c r="I410" s="22">
        <v>0</v>
      </c>
      <c r="J410" s="19">
        <v>40.270000000000003</v>
      </c>
      <c r="M410" s="20">
        <f>ROUND(ROUND(J410, 2)*I410, 2)</f>
        <v>0</v>
      </c>
      <c r="P410" s="19">
        <v>40.270000000000003</v>
      </c>
      <c r="S410" s="20">
        <f>ROUND(ROUND(P410, 2)*I410, 2)</f>
        <v>0</v>
      </c>
      <c r="V410" s="9">
        <f>ROUND(ROUND(P410, 2)/1.2, 2)</f>
        <v>33.56</v>
      </c>
      <c r="Y410" s="9">
        <f t="shared" si="13"/>
        <v>0</v>
      </c>
      <c r="AD410" s="4" t="s">
        <v>1276</v>
      </c>
      <c r="AE410" s="4" t="s">
        <v>1277</v>
      </c>
      <c r="AF410" s="4" t="s">
        <v>640</v>
      </c>
    </row>
    <row r="411" spans="1:35" ht="36" x14ac:dyDescent="0.3">
      <c r="A411" s="10" t="s">
        <v>1278</v>
      </c>
      <c r="B411" s="10"/>
      <c r="C411" s="21" t="s">
        <v>665</v>
      </c>
      <c r="D411" s="12"/>
      <c r="E411" s="12"/>
      <c r="F411" s="17" t="s">
        <v>227</v>
      </c>
      <c r="G411" s="18">
        <v>1.2</v>
      </c>
      <c r="H411" s="22"/>
      <c r="I411" s="22">
        <v>0</v>
      </c>
      <c r="J411" s="19">
        <v>16.96</v>
      </c>
      <c r="M411" s="20">
        <f>ROUND(ROUND(J411, 2)*I411, 2)</f>
        <v>0</v>
      </c>
      <c r="P411" s="19">
        <v>16.96</v>
      </c>
      <c r="S411" s="20">
        <f>ROUND(ROUND(P411, 2)*I411, 2)</f>
        <v>0</v>
      </c>
      <c r="V411" s="9">
        <f>ROUND(ROUND(P411, 2)/1.2, 2)</f>
        <v>14.13</v>
      </c>
      <c r="Y411" s="9">
        <f t="shared" si="13"/>
        <v>0</v>
      </c>
      <c r="AD411" s="4" t="s">
        <v>1279</v>
      </c>
      <c r="AE411" s="4" t="s">
        <v>1280</v>
      </c>
      <c r="AF411" s="4" t="s">
        <v>668</v>
      </c>
    </row>
    <row r="412" spans="1:35" ht="36" x14ac:dyDescent="0.3">
      <c r="A412" s="10" t="s">
        <v>1281</v>
      </c>
      <c r="B412" s="10"/>
      <c r="C412" s="21" t="s">
        <v>1232</v>
      </c>
      <c r="D412" s="12"/>
      <c r="E412" s="12"/>
      <c r="F412" s="17" t="s">
        <v>59</v>
      </c>
      <c r="G412" s="18">
        <v>1.1000000000000001</v>
      </c>
      <c r="H412" s="22"/>
      <c r="I412" s="22">
        <v>0</v>
      </c>
      <c r="J412" s="19">
        <v>2038.05</v>
      </c>
      <c r="M412" s="20">
        <f>ROUND(ROUND(J412, 2)*I412, 2)</f>
        <v>0</v>
      </c>
      <c r="P412" s="19">
        <v>1102.5</v>
      </c>
      <c r="S412" s="20">
        <f>ROUND(ROUND(P412, 2)*I412, 2)</f>
        <v>0</v>
      </c>
      <c r="V412" s="9">
        <f>ROUND(ROUND(P412, 2)/1.2, 2)</f>
        <v>918.75</v>
      </c>
      <c r="Y412" s="9">
        <f t="shared" si="13"/>
        <v>0</v>
      </c>
      <c r="AD412" s="4" t="s">
        <v>1282</v>
      </c>
      <c r="AE412" s="4" t="s">
        <v>1283</v>
      </c>
      <c r="AF412" s="4" t="s">
        <v>1235</v>
      </c>
    </row>
    <row r="413" spans="1:35" ht="54" x14ac:dyDescent="0.3">
      <c r="A413" s="10" t="s">
        <v>1284</v>
      </c>
      <c r="B413" s="10" t="s">
        <v>1227</v>
      </c>
      <c r="C413" s="11" t="s">
        <v>1228</v>
      </c>
      <c r="D413" s="12"/>
      <c r="E413" s="12" t="s">
        <v>1285</v>
      </c>
      <c r="F413" s="12" t="s">
        <v>59</v>
      </c>
      <c r="G413" s="13">
        <v>1</v>
      </c>
      <c r="H413" s="13"/>
      <c r="I413" s="13">
        <v>320.39999999999998</v>
      </c>
      <c r="J413" s="14">
        <v>2281.54</v>
      </c>
      <c r="K413" s="15">
        <v>2983</v>
      </c>
      <c r="L413" s="14">
        <f>J413+ROUND(K413, 2)</f>
        <v>5264.54</v>
      </c>
      <c r="M413" s="14">
        <v>731005.42</v>
      </c>
      <c r="N413" s="14">
        <v>955753.2</v>
      </c>
      <c r="O413" s="14">
        <f>M413+N413</f>
        <v>1686758.62</v>
      </c>
      <c r="P413" s="14">
        <v>1252.4100000000001</v>
      </c>
      <c r="Q413" s="15">
        <v>4474.5</v>
      </c>
      <c r="R413" s="14">
        <f>P413+ROUND(Q413, 2)</f>
        <v>5726.91</v>
      </c>
      <c r="S413" s="14">
        <v>401272.16</v>
      </c>
      <c r="T413" s="14">
        <v>1433629.8</v>
      </c>
      <c r="U413" s="14">
        <f>S413+T413</f>
        <v>1834901.96</v>
      </c>
      <c r="V413" s="9">
        <f>ROUND(P413 / 1.2, 2)</f>
        <v>1043.68</v>
      </c>
      <c r="W413" s="9">
        <f>ROUND(Q413 / 1.2, 2)</f>
        <v>3728.75</v>
      </c>
      <c r="X413" s="9">
        <f>ROUND(R413 / 1.2, 2)</f>
        <v>4772.43</v>
      </c>
      <c r="Y413" s="9">
        <f t="shared" si="13"/>
        <v>334393.46999999997</v>
      </c>
      <c r="Z413" s="9">
        <f>ROUND(T413 / 1.2, 2)</f>
        <v>1194691.5</v>
      </c>
      <c r="AA413" s="9">
        <f>Y413+Z413</f>
        <v>1529084.97</v>
      </c>
      <c r="AD413" s="4">
        <v>315890027</v>
      </c>
      <c r="AE413" s="4">
        <v>27245755</v>
      </c>
      <c r="AG413" s="4" t="s">
        <v>1229</v>
      </c>
      <c r="AH413" s="4" t="s">
        <v>1230</v>
      </c>
      <c r="AI413" s="4" t="s">
        <v>224</v>
      </c>
    </row>
    <row r="414" spans="1:35" ht="54" x14ac:dyDescent="0.3">
      <c r="A414" s="10" t="s">
        <v>1286</v>
      </c>
      <c r="B414" s="10"/>
      <c r="C414" s="21" t="s">
        <v>1232</v>
      </c>
      <c r="D414" s="12"/>
      <c r="E414" s="12" t="s">
        <v>1287</v>
      </c>
      <c r="F414" s="17" t="s">
        <v>59</v>
      </c>
      <c r="G414" s="18">
        <v>1.1000000000000001</v>
      </c>
      <c r="H414" s="22"/>
      <c r="I414" s="22">
        <v>352.44</v>
      </c>
      <c r="J414" s="19">
        <v>2038.06</v>
      </c>
      <c r="M414" s="20">
        <f>ROUND(ROUND(J414, 2)*I414, 2)</f>
        <v>718293.87</v>
      </c>
      <c r="P414" s="19">
        <v>1102.5</v>
      </c>
      <c r="S414" s="20">
        <f>ROUND(ROUND(P414, 2)*I414, 2)</f>
        <v>388565.1</v>
      </c>
      <c r="V414" s="9">
        <f>ROUND(ROUND(P414, 2)/1.2, 2)</f>
        <v>918.75</v>
      </c>
      <c r="Y414" s="9">
        <f t="shared" si="13"/>
        <v>323804.25</v>
      </c>
      <c r="AD414" s="4" t="s">
        <v>1288</v>
      </c>
      <c r="AE414" s="4" t="s">
        <v>1289</v>
      </c>
      <c r="AF414" s="4" t="s">
        <v>1235</v>
      </c>
    </row>
    <row r="415" spans="1:35" ht="36" x14ac:dyDescent="0.3">
      <c r="A415" s="10" t="s">
        <v>1290</v>
      </c>
      <c r="B415" s="10"/>
      <c r="C415" s="21" t="s">
        <v>665</v>
      </c>
      <c r="D415" s="12"/>
      <c r="E415" s="12"/>
      <c r="F415" s="17" t="s">
        <v>227</v>
      </c>
      <c r="G415" s="18">
        <v>1.2</v>
      </c>
      <c r="H415" s="22"/>
      <c r="I415" s="22">
        <v>384.48</v>
      </c>
      <c r="J415" s="19">
        <v>16.12</v>
      </c>
      <c r="M415" s="20">
        <f>ROUND(ROUND(J415, 2)*I415, 2)</f>
        <v>6197.82</v>
      </c>
      <c r="P415" s="19">
        <v>16.11</v>
      </c>
      <c r="S415" s="20">
        <f>ROUND(ROUND(P415, 2)*I415, 2)</f>
        <v>6193.97</v>
      </c>
      <c r="V415" s="9">
        <f>ROUND(ROUND(P415, 2)/1.2, 2)</f>
        <v>13.43</v>
      </c>
      <c r="Y415" s="9">
        <f t="shared" si="13"/>
        <v>5161.6400000000003</v>
      </c>
      <c r="AD415" s="4" t="s">
        <v>1291</v>
      </c>
      <c r="AE415" s="4" t="s">
        <v>1292</v>
      </c>
      <c r="AF415" s="4" t="s">
        <v>668</v>
      </c>
    </row>
    <row r="416" spans="1:35" ht="18" x14ac:dyDescent="0.3">
      <c r="A416" s="10" t="s">
        <v>1293</v>
      </c>
      <c r="B416" s="10"/>
      <c r="C416" s="16" t="s">
        <v>637</v>
      </c>
      <c r="D416" s="12"/>
      <c r="E416" s="12"/>
      <c r="F416" s="17" t="s">
        <v>227</v>
      </c>
      <c r="G416" s="18">
        <v>0.25</v>
      </c>
      <c r="H416" s="22"/>
      <c r="I416" s="22">
        <v>80.099999999999994</v>
      </c>
      <c r="J416" s="19">
        <v>40.270000000000003</v>
      </c>
      <c r="M416" s="20">
        <f>ROUND(ROUND(J416, 2)*I416, 2)</f>
        <v>3225.63</v>
      </c>
      <c r="P416" s="19">
        <v>40.270000000000003</v>
      </c>
      <c r="S416" s="20">
        <f>ROUND(ROUND(P416, 2)*I416, 2)</f>
        <v>3225.63</v>
      </c>
      <c r="V416" s="9">
        <f>ROUND(ROUND(P416, 2)/1.2, 2)</f>
        <v>33.56</v>
      </c>
      <c r="Y416" s="9">
        <f t="shared" si="13"/>
        <v>2688.03</v>
      </c>
      <c r="AD416" s="4" t="s">
        <v>1294</v>
      </c>
      <c r="AE416" s="4" t="s">
        <v>1295</v>
      </c>
      <c r="AF416" s="4" t="s">
        <v>640</v>
      </c>
    </row>
    <row r="417" spans="1:35" ht="36" x14ac:dyDescent="0.3">
      <c r="A417" s="10" t="s">
        <v>1296</v>
      </c>
      <c r="B417" s="10"/>
      <c r="C417" s="16" t="s">
        <v>1144</v>
      </c>
      <c r="D417" s="12"/>
      <c r="E417" s="12"/>
      <c r="F417" s="17" t="s">
        <v>227</v>
      </c>
      <c r="G417" s="18">
        <v>0.15</v>
      </c>
      <c r="H417" s="18"/>
      <c r="I417" s="18">
        <v>48.06</v>
      </c>
      <c r="J417" s="19">
        <v>68.400000000000006</v>
      </c>
      <c r="M417" s="20">
        <f>ROUND(ROUND(J417, 2)*I417, 2)</f>
        <v>3287.3</v>
      </c>
      <c r="P417" s="19">
        <v>68.400000000000006</v>
      </c>
      <c r="S417" s="20">
        <f>ROUND(ROUND(P417, 2)*I417, 2)</f>
        <v>3287.3</v>
      </c>
      <c r="V417" s="9">
        <f>ROUND(ROUND(P417, 2)/1.2, 2)</f>
        <v>57</v>
      </c>
      <c r="Y417" s="9">
        <f t="shared" si="13"/>
        <v>2739.42</v>
      </c>
      <c r="AD417" s="4" t="s">
        <v>1297</v>
      </c>
      <c r="AE417" s="4" t="s">
        <v>1298</v>
      </c>
      <c r="AF417" s="4" t="s">
        <v>1147</v>
      </c>
    </row>
    <row r="418" spans="1:35" ht="54" x14ac:dyDescent="0.3">
      <c r="A418" s="10" t="s">
        <v>1299</v>
      </c>
      <c r="B418" s="10" t="s">
        <v>1227</v>
      </c>
      <c r="C418" s="11" t="s">
        <v>1228</v>
      </c>
      <c r="D418" s="12"/>
      <c r="E418" s="12" t="s">
        <v>1300</v>
      </c>
      <c r="F418" s="12" t="s">
        <v>59</v>
      </c>
      <c r="G418" s="13">
        <v>1</v>
      </c>
      <c r="H418" s="13"/>
      <c r="I418" s="13">
        <v>249.1</v>
      </c>
      <c r="J418" s="14">
        <v>2281.54</v>
      </c>
      <c r="K418" s="15">
        <v>2983</v>
      </c>
      <c r="L418" s="14">
        <f>J418+ROUND(K418, 2)</f>
        <v>5264.54</v>
      </c>
      <c r="M418" s="14">
        <v>568331.61</v>
      </c>
      <c r="N418" s="14">
        <v>743065.3</v>
      </c>
      <c r="O418" s="14">
        <f>M418+N418</f>
        <v>1311396.9100000001</v>
      </c>
      <c r="P418" s="14">
        <v>1252.4100000000001</v>
      </c>
      <c r="Q418" s="15">
        <v>4474.5</v>
      </c>
      <c r="R418" s="14">
        <f>P418+ROUND(Q418, 2)</f>
        <v>5726.91</v>
      </c>
      <c r="S418" s="14">
        <v>311975.33</v>
      </c>
      <c r="T418" s="14">
        <v>1114597.95</v>
      </c>
      <c r="U418" s="14">
        <f>S418+T418</f>
        <v>1426573.28</v>
      </c>
      <c r="V418" s="9">
        <f>ROUND(P418 / 1.2, 2)</f>
        <v>1043.68</v>
      </c>
      <c r="W418" s="9">
        <f>ROUND(Q418 / 1.2, 2)</f>
        <v>3728.75</v>
      </c>
      <c r="X418" s="9">
        <f>ROUND(R418 / 1.2, 2)</f>
        <v>4772.43</v>
      </c>
      <c r="Y418" s="9">
        <f t="shared" si="13"/>
        <v>259979.44</v>
      </c>
      <c r="Z418" s="9">
        <f>ROUND(T418 / 1.2, 2)</f>
        <v>928831.63</v>
      </c>
      <c r="AA418" s="9">
        <f>Y418+Z418</f>
        <v>1188811.07</v>
      </c>
      <c r="AD418" s="4">
        <v>315890028</v>
      </c>
      <c r="AE418" s="4">
        <v>27245744</v>
      </c>
      <c r="AG418" s="4" t="s">
        <v>1229</v>
      </c>
      <c r="AH418" s="4" t="s">
        <v>1230</v>
      </c>
      <c r="AI418" s="4" t="s">
        <v>224</v>
      </c>
    </row>
    <row r="419" spans="1:35" ht="36" x14ac:dyDescent="0.3">
      <c r="A419" s="10" t="s">
        <v>1301</v>
      </c>
      <c r="B419" s="10"/>
      <c r="C419" s="16" t="s">
        <v>1144</v>
      </c>
      <c r="D419" s="12"/>
      <c r="E419" s="12"/>
      <c r="F419" s="17" t="s">
        <v>227</v>
      </c>
      <c r="G419" s="18">
        <v>0.15</v>
      </c>
      <c r="H419" s="18"/>
      <c r="I419" s="18">
        <v>37.365000000000002</v>
      </c>
      <c r="J419" s="19">
        <v>68.400000000000006</v>
      </c>
      <c r="M419" s="20">
        <f>ROUND(ROUND(J419, 2)*I419, 2)</f>
        <v>2555.77</v>
      </c>
      <c r="P419" s="19">
        <v>68.400000000000006</v>
      </c>
      <c r="S419" s="20">
        <f>ROUND(ROUND(P419, 2)*I419, 2)</f>
        <v>2555.77</v>
      </c>
      <c r="V419" s="9">
        <f>ROUND(ROUND(P419, 2)/1.2, 2)</f>
        <v>57</v>
      </c>
      <c r="Y419" s="9">
        <f t="shared" si="13"/>
        <v>2129.81</v>
      </c>
      <c r="AD419" s="4" t="s">
        <v>1302</v>
      </c>
      <c r="AE419" s="4" t="s">
        <v>1303</v>
      </c>
      <c r="AF419" s="4" t="s">
        <v>1147</v>
      </c>
    </row>
    <row r="420" spans="1:35" ht="18" x14ac:dyDescent="0.3">
      <c r="A420" s="10" t="s">
        <v>1304</v>
      </c>
      <c r="B420" s="10"/>
      <c r="C420" s="16" t="s">
        <v>637</v>
      </c>
      <c r="D420" s="12"/>
      <c r="E420" s="12"/>
      <c r="F420" s="17" t="s">
        <v>227</v>
      </c>
      <c r="G420" s="18">
        <v>0.25</v>
      </c>
      <c r="H420" s="22"/>
      <c r="I420" s="22">
        <v>62.274999999999999</v>
      </c>
      <c r="J420" s="19">
        <v>40.270000000000003</v>
      </c>
      <c r="M420" s="20">
        <f>ROUND(ROUND(J420, 2)*I420, 2)</f>
        <v>2507.81</v>
      </c>
      <c r="P420" s="19">
        <v>40.270000000000003</v>
      </c>
      <c r="S420" s="20">
        <f>ROUND(ROUND(P420, 2)*I420, 2)</f>
        <v>2507.81</v>
      </c>
      <c r="V420" s="9">
        <f>ROUND(ROUND(P420, 2)/1.2, 2)</f>
        <v>33.56</v>
      </c>
      <c r="Y420" s="9">
        <f t="shared" si="13"/>
        <v>2089.84</v>
      </c>
      <c r="AD420" s="4" t="s">
        <v>1305</v>
      </c>
      <c r="AE420" s="4" t="s">
        <v>1306</v>
      </c>
      <c r="AF420" s="4" t="s">
        <v>640</v>
      </c>
    </row>
    <row r="421" spans="1:35" ht="36" x14ac:dyDescent="0.3">
      <c r="A421" s="10" t="s">
        <v>1307</v>
      </c>
      <c r="B421" s="10"/>
      <c r="C421" s="21" t="s">
        <v>665</v>
      </c>
      <c r="D421" s="12"/>
      <c r="E421" s="12"/>
      <c r="F421" s="17" t="s">
        <v>227</v>
      </c>
      <c r="G421" s="18">
        <v>1.2</v>
      </c>
      <c r="H421" s="22"/>
      <c r="I421" s="22">
        <v>298.92</v>
      </c>
      <c r="J421" s="19">
        <v>16.12</v>
      </c>
      <c r="M421" s="20">
        <f>ROUND(ROUND(J421, 2)*I421, 2)</f>
        <v>4818.59</v>
      </c>
      <c r="P421" s="19">
        <v>16.11</v>
      </c>
      <c r="S421" s="20">
        <f>ROUND(ROUND(P421, 2)*I421, 2)</f>
        <v>4815.6000000000004</v>
      </c>
      <c r="V421" s="9">
        <f>ROUND(ROUND(P421, 2)/1.2, 2)</f>
        <v>13.43</v>
      </c>
      <c r="Y421" s="9">
        <f t="shared" si="13"/>
        <v>4013</v>
      </c>
      <c r="AD421" s="4" t="s">
        <v>1308</v>
      </c>
      <c r="AE421" s="4" t="s">
        <v>1309</v>
      </c>
      <c r="AF421" s="4" t="s">
        <v>668</v>
      </c>
    </row>
    <row r="422" spans="1:35" ht="72" x14ac:dyDescent="0.3">
      <c r="A422" s="10" t="s">
        <v>1310</v>
      </c>
      <c r="B422" s="10"/>
      <c r="C422" s="21" t="s">
        <v>1232</v>
      </c>
      <c r="D422" s="12"/>
      <c r="E422" s="12" t="s">
        <v>1311</v>
      </c>
      <c r="F422" s="17" t="s">
        <v>59</v>
      </c>
      <c r="G422" s="18">
        <v>1.1000000000000001</v>
      </c>
      <c r="H422" s="22"/>
      <c r="I422" s="22">
        <v>274.01</v>
      </c>
      <c r="J422" s="19">
        <v>2038.06</v>
      </c>
      <c r="M422" s="20">
        <f>ROUND(ROUND(J422, 2)*I422, 2)</f>
        <v>558448.81999999995</v>
      </c>
      <c r="P422" s="19">
        <v>1102.5</v>
      </c>
      <c r="S422" s="20">
        <f>ROUND(ROUND(P422, 2)*I422, 2)</f>
        <v>302096.03000000003</v>
      </c>
      <c r="V422" s="9">
        <f>ROUND(ROUND(P422, 2)/1.2, 2)</f>
        <v>918.75</v>
      </c>
      <c r="Y422" s="9">
        <f t="shared" si="13"/>
        <v>251746.69</v>
      </c>
      <c r="AD422" s="4" t="s">
        <v>1312</v>
      </c>
      <c r="AE422" s="4" t="s">
        <v>1313</v>
      </c>
      <c r="AF422" s="4" t="s">
        <v>1235</v>
      </c>
    </row>
    <row r="423" spans="1:35" ht="54" x14ac:dyDescent="0.3">
      <c r="A423" s="10" t="s">
        <v>1314</v>
      </c>
      <c r="B423" s="10" t="s">
        <v>1227</v>
      </c>
      <c r="C423" s="11" t="s">
        <v>1228</v>
      </c>
      <c r="D423" s="12"/>
      <c r="E423" s="12" t="s">
        <v>1315</v>
      </c>
      <c r="F423" s="12" t="s">
        <v>59</v>
      </c>
      <c r="G423" s="13">
        <v>1</v>
      </c>
      <c r="H423" s="13"/>
      <c r="I423" s="13">
        <v>238.4</v>
      </c>
      <c r="J423" s="14">
        <v>2281.54</v>
      </c>
      <c r="K423" s="15">
        <v>2983</v>
      </c>
      <c r="L423" s="14">
        <f>J423+ROUND(K423, 2)</f>
        <v>5264.54</v>
      </c>
      <c r="M423" s="14">
        <v>543919.14</v>
      </c>
      <c r="N423" s="14">
        <v>711147.2</v>
      </c>
      <c r="O423" s="14">
        <f>M423+N423</f>
        <v>1255066.3399999999</v>
      </c>
      <c r="P423" s="14">
        <v>1252.4100000000001</v>
      </c>
      <c r="Q423" s="15">
        <v>4474.5</v>
      </c>
      <c r="R423" s="14">
        <f>P423+ROUND(Q423, 2)</f>
        <v>5726.91</v>
      </c>
      <c r="S423" s="14">
        <v>298574.53999999998</v>
      </c>
      <c r="T423" s="14">
        <v>1066720.8</v>
      </c>
      <c r="U423" s="14">
        <f>S423+T423</f>
        <v>1365295.34</v>
      </c>
      <c r="V423" s="9">
        <f>ROUND(P423 / 1.2, 2)</f>
        <v>1043.68</v>
      </c>
      <c r="W423" s="9">
        <f>ROUND(Q423 / 1.2, 2)</f>
        <v>3728.75</v>
      </c>
      <c r="X423" s="9">
        <f>ROUND(R423 / 1.2, 2)</f>
        <v>4772.43</v>
      </c>
      <c r="Y423" s="9">
        <f t="shared" si="13"/>
        <v>248812.12</v>
      </c>
      <c r="Z423" s="9">
        <f>ROUND(T423 / 1.2, 2)</f>
        <v>888934</v>
      </c>
      <c r="AA423" s="9">
        <f>Y423+Z423</f>
        <v>1137746.1200000001</v>
      </c>
      <c r="AD423" s="4">
        <v>315890029</v>
      </c>
      <c r="AE423" s="4">
        <v>27245746</v>
      </c>
      <c r="AG423" s="4" t="s">
        <v>1229</v>
      </c>
      <c r="AH423" s="4" t="s">
        <v>1230</v>
      </c>
      <c r="AI423" s="4" t="s">
        <v>224</v>
      </c>
    </row>
    <row r="424" spans="1:35" ht="54" x14ac:dyDescent="0.3">
      <c r="A424" s="10" t="s">
        <v>1316</v>
      </c>
      <c r="B424" s="10"/>
      <c r="C424" s="21" t="s">
        <v>1232</v>
      </c>
      <c r="D424" s="12"/>
      <c r="E424" s="12" t="s">
        <v>799</v>
      </c>
      <c r="F424" s="17" t="s">
        <v>59</v>
      </c>
      <c r="G424" s="18">
        <v>1.1000000000000001</v>
      </c>
      <c r="H424" s="22"/>
      <c r="I424" s="22">
        <v>262.24</v>
      </c>
      <c r="J424" s="19">
        <v>2038.06</v>
      </c>
      <c r="M424" s="20">
        <f>ROUND(ROUND(J424, 2)*I424, 2)</f>
        <v>534460.85</v>
      </c>
      <c r="P424" s="19">
        <v>1102.5</v>
      </c>
      <c r="S424" s="20">
        <f>ROUND(ROUND(P424, 2)*I424, 2)</f>
        <v>289119.59999999998</v>
      </c>
      <c r="V424" s="9">
        <f>ROUND(ROUND(P424, 2)/1.2, 2)</f>
        <v>918.75</v>
      </c>
      <c r="Y424" s="9">
        <f t="shared" si="13"/>
        <v>240933</v>
      </c>
      <c r="AD424" s="4" t="s">
        <v>1317</v>
      </c>
      <c r="AE424" s="4" t="s">
        <v>1318</v>
      </c>
      <c r="AF424" s="4" t="s">
        <v>1235</v>
      </c>
    </row>
    <row r="425" spans="1:35" ht="36" x14ac:dyDescent="0.3">
      <c r="A425" s="10" t="s">
        <v>1319</v>
      </c>
      <c r="B425" s="10"/>
      <c r="C425" s="21" t="s">
        <v>665</v>
      </c>
      <c r="D425" s="12"/>
      <c r="E425" s="12"/>
      <c r="F425" s="17" t="s">
        <v>227</v>
      </c>
      <c r="G425" s="18">
        <v>1.2</v>
      </c>
      <c r="H425" s="22"/>
      <c r="I425" s="22">
        <v>286.08</v>
      </c>
      <c r="J425" s="19">
        <v>16.12</v>
      </c>
      <c r="M425" s="20">
        <f>ROUND(ROUND(J425, 2)*I425, 2)</f>
        <v>4611.6099999999997</v>
      </c>
      <c r="P425" s="19">
        <v>16.11</v>
      </c>
      <c r="S425" s="20">
        <f>ROUND(ROUND(P425, 2)*I425, 2)</f>
        <v>4608.75</v>
      </c>
      <c r="V425" s="9">
        <f>ROUND(ROUND(P425, 2)/1.2, 2)</f>
        <v>13.43</v>
      </c>
      <c r="Y425" s="9">
        <f t="shared" si="13"/>
        <v>3840.63</v>
      </c>
      <c r="AD425" s="4" t="s">
        <v>1320</v>
      </c>
      <c r="AE425" s="4" t="s">
        <v>1321</v>
      </c>
      <c r="AF425" s="4" t="s">
        <v>668</v>
      </c>
    </row>
    <row r="426" spans="1:35" ht="18" x14ac:dyDescent="0.3">
      <c r="A426" s="10" t="s">
        <v>1322</v>
      </c>
      <c r="B426" s="10"/>
      <c r="C426" s="16" t="s">
        <v>637</v>
      </c>
      <c r="D426" s="12"/>
      <c r="E426" s="12"/>
      <c r="F426" s="17" t="s">
        <v>227</v>
      </c>
      <c r="G426" s="18">
        <v>0.25</v>
      </c>
      <c r="H426" s="22"/>
      <c r="I426" s="22">
        <v>59.6</v>
      </c>
      <c r="J426" s="19">
        <v>40.270000000000003</v>
      </c>
      <c r="M426" s="20">
        <f>ROUND(ROUND(J426, 2)*I426, 2)</f>
        <v>2400.09</v>
      </c>
      <c r="P426" s="19">
        <v>40.270000000000003</v>
      </c>
      <c r="S426" s="20">
        <f>ROUND(ROUND(P426, 2)*I426, 2)</f>
        <v>2400.09</v>
      </c>
      <c r="V426" s="9">
        <f>ROUND(ROUND(P426, 2)/1.2, 2)</f>
        <v>33.56</v>
      </c>
      <c r="Y426" s="9">
        <f t="shared" si="13"/>
        <v>2000.08</v>
      </c>
      <c r="AD426" s="4" t="s">
        <v>1323</v>
      </c>
      <c r="AE426" s="4" t="s">
        <v>1324</v>
      </c>
      <c r="AF426" s="4" t="s">
        <v>640</v>
      </c>
    </row>
    <row r="427" spans="1:35" ht="36" x14ac:dyDescent="0.3">
      <c r="A427" s="10" t="s">
        <v>1325</v>
      </c>
      <c r="B427" s="10"/>
      <c r="C427" s="16" t="s">
        <v>1144</v>
      </c>
      <c r="D427" s="12"/>
      <c r="E427" s="12"/>
      <c r="F427" s="17" t="s">
        <v>227</v>
      </c>
      <c r="G427" s="18">
        <v>0.15</v>
      </c>
      <c r="H427" s="18"/>
      <c r="I427" s="18">
        <v>35.76</v>
      </c>
      <c r="J427" s="19">
        <v>68.400000000000006</v>
      </c>
      <c r="M427" s="20">
        <f>ROUND(ROUND(J427, 2)*I427, 2)</f>
        <v>2445.98</v>
      </c>
      <c r="P427" s="19">
        <v>68.400000000000006</v>
      </c>
      <c r="S427" s="20">
        <f>ROUND(ROUND(P427, 2)*I427, 2)</f>
        <v>2445.98</v>
      </c>
      <c r="V427" s="9">
        <f>ROUND(ROUND(P427, 2)/1.2, 2)</f>
        <v>57</v>
      </c>
      <c r="Y427" s="9">
        <f t="shared" si="13"/>
        <v>2038.32</v>
      </c>
      <c r="AD427" s="4" t="s">
        <v>1326</v>
      </c>
      <c r="AE427" s="4" t="s">
        <v>1327</v>
      </c>
      <c r="AF427" s="4" t="s">
        <v>1147</v>
      </c>
    </row>
    <row r="428" spans="1:35" ht="54" x14ac:dyDescent="0.3">
      <c r="A428" s="10" t="s">
        <v>1328</v>
      </c>
      <c r="B428" s="10" t="s">
        <v>1227</v>
      </c>
      <c r="C428" s="11" t="s">
        <v>1228</v>
      </c>
      <c r="D428" s="12"/>
      <c r="E428" s="12" t="s">
        <v>1329</v>
      </c>
      <c r="F428" s="12" t="s">
        <v>59</v>
      </c>
      <c r="G428" s="13">
        <v>1</v>
      </c>
      <c r="H428" s="13"/>
      <c r="I428" s="13">
        <v>6.1</v>
      </c>
      <c r="J428" s="14">
        <v>2281.54</v>
      </c>
      <c r="K428" s="15">
        <v>2983</v>
      </c>
      <c r="L428" s="14">
        <f>J428+ROUND(K428, 2)</f>
        <v>5264.54</v>
      </c>
      <c r="M428" s="14">
        <v>13917.39</v>
      </c>
      <c r="N428" s="14">
        <v>18196.3</v>
      </c>
      <c r="O428" s="14">
        <f>M428+N428</f>
        <v>32113.69</v>
      </c>
      <c r="P428" s="14">
        <v>1252.4100000000001</v>
      </c>
      <c r="Q428" s="15">
        <v>4474.5</v>
      </c>
      <c r="R428" s="14">
        <f>P428+ROUND(Q428, 2)</f>
        <v>5726.91</v>
      </c>
      <c r="S428" s="14">
        <v>7639.7</v>
      </c>
      <c r="T428" s="14">
        <v>27294.45</v>
      </c>
      <c r="U428" s="14">
        <f>S428+T428</f>
        <v>34934.15</v>
      </c>
      <c r="V428" s="9">
        <f>ROUND(P428 / 1.2, 2)</f>
        <v>1043.68</v>
      </c>
      <c r="W428" s="9">
        <f>ROUND(Q428 / 1.2, 2)</f>
        <v>3728.75</v>
      </c>
      <c r="X428" s="9">
        <f>ROUND(R428 / 1.2, 2)</f>
        <v>4772.43</v>
      </c>
      <c r="Y428" s="9">
        <f t="shared" si="13"/>
        <v>6366.42</v>
      </c>
      <c r="Z428" s="9">
        <f>ROUND(T428 / 1.2, 2)</f>
        <v>22745.38</v>
      </c>
      <c r="AA428" s="9">
        <f>Y428+Z428</f>
        <v>29111.800000000003</v>
      </c>
      <c r="AD428" s="4">
        <v>315890030</v>
      </c>
      <c r="AE428" s="4">
        <v>27245753</v>
      </c>
      <c r="AG428" s="4" t="s">
        <v>1229</v>
      </c>
      <c r="AH428" s="4" t="s">
        <v>1230</v>
      </c>
      <c r="AI428" s="4" t="s">
        <v>224</v>
      </c>
    </row>
    <row r="429" spans="1:35" ht="36" x14ac:dyDescent="0.3">
      <c r="A429" s="10" t="s">
        <v>1330</v>
      </c>
      <c r="B429" s="10"/>
      <c r="C429" s="16" t="s">
        <v>1144</v>
      </c>
      <c r="D429" s="12"/>
      <c r="E429" s="12"/>
      <c r="F429" s="17" t="s">
        <v>227</v>
      </c>
      <c r="G429" s="18">
        <v>0.15</v>
      </c>
      <c r="H429" s="18"/>
      <c r="I429" s="18">
        <v>0.91500000000000004</v>
      </c>
      <c r="J429" s="19">
        <v>68.400000000000006</v>
      </c>
      <c r="M429" s="20">
        <f>ROUND(ROUND(J429, 2)*I429, 2)</f>
        <v>62.59</v>
      </c>
      <c r="P429" s="19">
        <v>68.400000000000006</v>
      </c>
      <c r="S429" s="20">
        <f>ROUND(ROUND(P429, 2)*I429, 2)</f>
        <v>62.59</v>
      </c>
      <c r="V429" s="9">
        <f>ROUND(ROUND(P429, 2)/1.2, 2)</f>
        <v>57</v>
      </c>
      <c r="Y429" s="9">
        <f t="shared" si="13"/>
        <v>52.16</v>
      </c>
      <c r="AD429" s="4" t="s">
        <v>1331</v>
      </c>
      <c r="AE429" s="4" t="s">
        <v>1332</v>
      </c>
      <c r="AF429" s="4" t="s">
        <v>1147</v>
      </c>
    </row>
    <row r="430" spans="1:35" ht="18" x14ac:dyDescent="0.3">
      <c r="A430" s="10" t="s">
        <v>1333</v>
      </c>
      <c r="B430" s="10"/>
      <c r="C430" s="16" t="s">
        <v>637</v>
      </c>
      <c r="D430" s="12"/>
      <c r="E430" s="12"/>
      <c r="F430" s="17" t="s">
        <v>227</v>
      </c>
      <c r="G430" s="18">
        <v>0.25</v>
      </c>
      <c r="H430" s="22"/>
      <c r="I430" s="22">
        <v>1.5249999999999999</v>
      </c>
      <c r="J430" s="19">
        <v>40.270000000000003</v>
      </c>
      <c r="M430" s="20">
        <f>ROUND(ROUND(J430, 2)*I430, 2)</f>
        <v>61.41</v>
      </c>
      <c r="P430" s="19">
        <v>40.270000000000003</v>
      </c>
      <c r="S430" s="20">
        <f>ROUND(ROUND(P430, 2)*I430, 2)</f>
        <v>61.41</v>
      </c>
      <c r="V430" s="9">
        <f>ROUND(ROUND(P430, 2)/1.2, 2)</f>
        <v>33.56</v>
      </c>
      <c r="Y430" s="9">
        <f t="shared" si="13"/>
        <v>51.18</v>
      </c>
      <c r="AD430" s="4" t="s">
        <v>1334</v>
      </c>
      <c r="AE430" s="4" t="s">
        <v>1335</v>
      </c>
      <c r="AF430" s="4" t="s">
        <v>640</v>
      </c>
    </row>
    <row r="431" spans="1:35" ht="36" x14ac:dyDescent="0.3">
      <c r="A431" s="10" t="s">
        <v>1336</v>
      </c>
      <c r="B431" s="10"/>
      <c r="C431" s="21" t="s">
        <v>665</v>
      </c>
      <c r="D431" s="12"/>
      <c r="E431" s="12"/>
      <c r="F431" s="17" t="s">
        <v>227</v>
      </c>
      <c r="G431" s="18">
        <v>1.2</v>
      </c>
      <c r="H431" s="22"/>
      <c r="I431" s="22">
        <v>7.32</v>
      </c>
      <c r="J431" s="19">
        <v>16.12</v>
      </c>
      <c r="M431" s="20">
        <f>ROUND(ROUND(J431, 2)*I431, 2)</f>
        <v>118</v>
      </c>
      <c r="P431" s="19">
        <v>16.11</v>
      </c>
      <c r="S431" s="20">
        <f>ROUND(ROUND(P431, 2)*I431, 2)</f>
        <v>117.93</v>
      </c>
      <c r="V431" s="9">
        <f>ROUND(ROUND(P431, 2)/1.2, 2)</f>
        <v>13.43</v>
      </c>
      <c r="Y431" s="9">
        <f t="shared" si="13"/>
        <v>98.28</v>
      </c>
      <c r="AD431" s="4" t="s">
        <v>1337</v>
      </c>
      <c r="AE431" s="4" t="s">
        <v>1338</v>
      </c>
      <c r="AF431" s="4" t="s">
        <v>668</v>
      </c>
    </row>
    <row r="432" spans="1:35" ht="36" x14ac:dyDescent="0.3">
      <c r="A432" s="10" t="s">
        <v>1339</v>
      </c>
      <c r="B432" s="10"/>
      <c r="C432" s="21" t="s">
        <v>1232</v>
      </c>
      <c r="D432" s="12"/>
      <c r="E432" s="12"/>
      <c r="F432" s="17" t="s">
        <v>59</v>
      </c>
      <c r="G432" s="18">
        <v>1.1000000000000001</v>
      </c>
      <c r="H432" s="22"/>
      <c r="I432" s="22">
        <v>6.71</v>
      </c>
      <c r="J432" s="19">
        <v>2038.06</v>
      </c>
      <c r="M432" s="20">
        <f>ROUND(ROUND(J432, 2)*I432, 2)</f>
        <v>13675.38</v>
      </c>
      <c r="P432" s="19">
        <v>1102.5</v>
      </c>
      <c r="S432" s="20">
        <f>ROUND(ROUND(P432, 2)*I432, 2)</f>
        <v>7397.78</v>
      </c>
      <c r="V432" s="9">
        <f>ROUND(ROUND(P432, 2)/1.2, 2)</f>
        <v>918.75</v>
      </c>
      <c r="Y432" s="9">
        <f t="shared" si="13"/>
        <v>6164.82</v>
      </c>
      <c r="AD432" s="4" t="s">
        <v>1340</v>
      </c>
      <c r="AE432" s="4" t="s">
        <v>1341</v>
      </c>
      <c r="AF432" s="4" t="s">
        <v>1235</v>
      </c>
    </row>
    <row r="433" spans="1:35" ht="16.95" customHeight="1" x14ac:dyDescent="0.3">
      <c r="A433" s="10" t="s">
        <v>1342</v>
      </c>
      <c r="B433" s="10" t="s">
        <v>1343</v>
      </c>
      <c r="C433" s="47" t="s">
        <v>1344</v>
      </c>
      <c r="D433" s="48"/>
      <c r="E433" s="48"/>
      <c r="F433" s="48"/>
      <c r="G433" s="48"/>
      <c r="H433" s="48"/>
      <c r="I433" s="49"/>
      <c r="M433" s="6">
        <f>SUM(M434,M439,M444,M449)</f>
        <v>294158.3</v>
      </c>
      <c r="N433" s="6">
        <f>SUM(N434,N439,N444,N449)</f>
        <v>704676.7</v>
      </c>
      <c r="O433" s="6">
        <f>SUM(O434,O439,O444,O449)</f>
        <v>998835</v>
      </c>
      <c r="S433" s="6">
        <f>SUM(S434,S439,S444,S449)</f>
        <v>411347.02</v>
      </c>
      <c r="T433" s="6">
        <f>SUM(T434,T439,T444,T449)</f>
        <v>1057015.05</v>
      </c>
      <c r="U433" s="6">
        <f>SUM(U434,U439,U444,U449)</f>
        <v>1468362.0699999998</v>
      </c>
      <c r="Y433" s="9">
        <f>SUM(Y434,Y439,Y444,Y449)</f>
        <v>342789.19</v>
      </c>
      <c r="Z433" s="9">
        <f>SUM(Z434,Z439,Z444,Z449)</f>
        <v>880845.88</v>
      </c>
      <c r="AA433" s="9">
        <f>SUM(AA434,AA439,AA444,AA449)</f>
        <v>1223635.0699999998</v>
      </c>
      <c r="AD433" s="4">
        <v>315890031</v>
      </c>
      <c r="AE433" s="4">
        <v>27245639</v>
      </c>
    </row>
    <row r="434" spans="1:35" ht="36" x14ac:dyDescent="0.3">
      <c r="A434" s="10" t="s">
        <v>1345</v>
      </c>
      <c r="B434" s="10" t="s">
        <v>1346</v>
      </c>
      <c r="C434" s="11" t="s">
        <v>1347</v>
      </c>
      <c r="D434" s="12"/>
      <c r="E434" s="12"/>
      <c r="F434" s="12" t="s">
        <v>59</v>
      </c>
      <c r="G434" s="13">
        <v>1</v>
      </c>
      <c r="H434" s="13"/>
      <c r="I434" s="13">
        <v>0</v>
      </c>
      <c r="J434" s="14">
        <v>0</v>
      </c>
      <c r="K434" s="15">
        <v>1477</v>
      </c>
      <c r="L434" s="14">
        <f>J434+ROUND(K434, 2)</f>
        <v>1477</v>
      </c>
      <c r="M434" s="14">
        <v>0</v>
      </c>
      <c r="N434" s="14">
        <v>0</v>
      </c>
      <c r="O434" s="14">
        <f>M434+N434</f>
        <v>0</v>
      </c>
      <c r="P434" s="14">
        <v>2032.78</v>
      </c>
      <c r="Q434" s="15">
        <v>1477</v>
      </c>
      <c r="R434" s="14">
        <f>P434+ROUND(Q434, 2)</f>
        <v>3509.7799999999997</v>
      </c>
      <c r="S434" s="14">
        <v>0</v>
      </c>
      <c r="T434" s="14">
        <v>0</v>
      </c>
      <c r="U434" s="14">
        <f>S434+T434</f>
        <v>0</v>
      </c>
      <c r="V434" s="9">
        <f>ROUND(P434 / 1.2, 2)</f>
        <v>1693.98</v>
      </c>
      <c r="W434" s="9">
        <f>ROUND(Q434 / 1.2, 2)</f>
        <v>1230.83</v>
      </c>
      <c r="X434" s="9">
        <f>ROUND(R434 / 1.2, 2)</f>
        <v>2924.82</v>
      </c>
      <c r="Y434" s="9">
        <f>ROUND(S434 / 1.2, 2)</f>
        <v>0</v>
      </c>
      <c r="Z434" s="9">
        <f>ROUND(T434 / 1.2, 2)</f>
        <v>0</v>
      </c>
      <c r="AA434" s="9">
        <f>Y434+Z434</f>
        <v>0</v>
      </c>
      <c r="AD434" s="4">
        <v>315890033</v>
      </c>
      <c r="AE434" s="4">
        <v>27245600</v>
      </c>
      <c r="AG434" s="4" t="s">
        <v>1348</v>
      </c>
      <c r="AH434" s="4" t="s">
        <v>1349</v>
      </c>
      <c r="AI434" s="4" t="s">
        <v>224</v>
      </c>
    </row>
    <row r="435" spans="1:35" ht="18" x14ac:dyDescent="0.3">
      <c r="A435" s="10" t="s">
        <v>1350</v>
      </c>
      <c r="B435" s="10"/>
      <c r="C435" s="16" t="s">
        <v>1351</v>
      </c>
      <c r="D435" s="12"/>
      <c r="E435" s="12"/>
      <c r="F435" s="17" t="s">
        <v>308</v>
      </c>
      <c r="G435" s="18">
        <v>1</v>
      </c>
      <c r="H435" s="22"/>
      <c r="I435" s="22">
        <v>0</v>
      </c>
      <c r="J435" s="19">
        <v>80</v>
      </c>
      <c r="M435" s="20">
        <f>ROUND(ROUND(J435, 2)*I435, 2)</f>
        <v>0</v>
      </c>
      <c r="P435" s="19">
        <v>80</v>
      </c>
      <c r="S435" s="20">
        <f>ROUND(ROUND(P435, 2)*I435, 2)</f>
        <v>0</v>
      </c>
      <c r="V435" s="9">
        <f>ROUND(ROUND(P435, 2)/1.2, 2)</f>
        <v>66.67</v>
      </c>
      <c r="Y435" s="9">
        <f t="shared" ref="Y435:Y453" si="14">ROUND(S435 / 1.2, 2)</f>
        <v>0</v>
      </c>
      <c r="AD435" s="4" t="s">
        <v>1352</v>
      </c>
      <c r="AE435" s="4" t="s">
        <v>1353</v>
      </c>
      <c r="AF435" s="4" t="s">
        <v>1354</v>
      </c>
    </row>
    <row r="436" spans="1:35" ht="18" x14ac:dyDescent="0.3">
      <c r="A436" s="10" t="s">
        <v>1355</v>
      </c>
      <c r="B436" s="10"/>
      <c r="C436" s="16" t="s">
        <v>1356</v>
      </c>
      <c r="D436" s="12"/>
      <c r="E436" s="12"/>
      <c r="F436" s="17" t="s">
        <v>76</v>
      </c>
      <c r="G436" s="18">
        <v>1</v>
      </c>
      <c r="H436" s="22"/>
      <c r="I436" s="22">
        <v>0</v>
      </c>
      <c r="J436" s="19">
        <v>44.71</v>
      </c>
      <c r="M436" s="20">
        <f>ROUND(ROUND(J436, 2)*I436, 2)</f>
        <v>0</v>
      </c>
      <c r="P436" s="19">
        <v>44.71</v>
      </c>
      <c r="S436" s="20">
        <f>ROUND(ROUND(P436, 2)*I436, 2)</f>
        <v>0</v>
      </c>
      <c r="V436" s="9">
        <f>ROUND(ROUND(P436, 2)/1.2, 2)</f>
        <v>37.26</v>
      </c>
      <c r="Y436" s="9">
        <f t="shared" si="14"/>
        <v>0</v>
      </c>
      <c r="AD436" s="4" t="s">
        <v>1357</v>
      </c>
      <c r="AE436" s="4" t="s">
        <v>1358</v>
      </c>
      <c r="AF436" s="4" t="s">
        <v>1359</v>
      </c>
    </row>
    <row r="437" spans="1:35" ht="18" x14ac:dyDescent="0.3">
      <c r="A437" s="10" t="s">
        <v>1360</v>
      </c>
      <c r="B437" s="10"/>
      <c r="C437" s="16" t="s">
        <v>149</v>
      </c>
      <c r="D437" s="12"/>
      <c r="E437" s="12"/>
      <c r="F437" s="17" t="s">
        <v>76</v>
      </c>
      <c r="G437" s="18">
        <v>1</v>
      </c>
      <c r="H437" s="22"/>
      <c r="I437" s="22">
        <v>0</v>
      </c>
      <c r="J437" s="19">
        <v>35.76</v>
      </c>
      <c r="M437" s="20">
        <f>ROUND(ROUND(J437, 2)*I437, 2)</f>
        <v>0</v>
      </c>
      <c r="P437" s="19">
        <v>35.76</v>
      </c>
      <c r="S437" s="20">
        <f>ROUND(ROUND(P437, 2)*I437, 2)</f>
        <v>0</v>
      </c>
      <c r="V437" s="9">
        <f>ROUND(ROUND(P437, 2)/1.2, 2)</f>
        <v>29.8</v>
      </c>
      <c r="Y437" s="9">
        <f t="shared" si="14"/>
        <v>0</v>
      </c>
      <c r="AD437" s="4" t="s">
        <v>1361</v>
      </c>
      <c r="AE437" s="4" t="s">
        <v>1362</v>
      </c>
      <c r="AF437" s="4" t="s">
        <v>152</v>
      </c>
    </row>
    <row r="438" spans="1:35" ht="18" x14ac:dyDescent="0.3">
      <c r="A438" s="10" t="s">
        <v>1363</v>
      </c>
      <c r="B438" s="10"/>
      <c r="C438" s="16" t="s">
        <v>1364</v>
      </c>
      <c r="D438" s="12"/>
      <c r="E438" s="12"/>
      <c r="F438" s="17" t="s">
        <v>59</v>
      </c>
      <c r="G438" s="18">
        <v>1.1000000000000001</v>
      </c>
      <c r="H438" s="22"/>
      <c r="I438" s="22">
        <v>0</v>
      </c>
      <c r="J438" s="19">
        <v>0</v>
      </c>
      <c r="M438" s="20">
        <f>ROUND(ROUND(J438, 2)*I438, 2)</f>
        <v>0</v>
      </c>
      <c r="P438" s="19">
        <v>1520.33</v>
      </c>
      <c r="S438" s="20">
        <f>ROUND(ROUND(P438, 2)*I438, 2)</f>
        <v>0</v>
      </c>
      <c r="V438" s="9">
        <f>ROUND(ROUND(P438, 2)/1.2, 2)</f>
        <v>1266.94</v>
      </c>
      <c r="Y438" s="9">
        <f t="shared" si="14"/>
        <v>0</v>
      </c>
      <c r="AD438" s="4" t="s">
        <v>1365</v>
      </c>
      <c r="AE438" s="4" t="s">
        <v>1366</v>
      </c>
      <c r="AF438" s="4" t="s">
        <v>1367</v>
      </c>
    </row>
    <row r="439" spans="1:35" ht="36" x14ac:dyDescent="0.3">
      <c r="A439" s="10" t="s">
        <v>1368</v>
      </c>
      <c r="B439" s="10" t="s">
        <v>1346</v>
      </c>
      <c r="C439" s="11" t="s">
        <v>1347</v>
      </c>
      <c r="D439" s="12"/>
      <c r="E439" s="12"/>
      <c r="F439" s="12" t="s">
        <v>59</v>
      </c>
      <c r="G439" s="13">
        <v>1</v>
      </c>
      <c r="H439" s="13"/>
      <c r="I439" s="13">
        <v>0</v>
      </c>
      <c r="J439" s="14">
        <v>0</v>
      </c>
      <c r="K439" s="15">
        <v>1477</v>
      </c>
      <c r="L439" s="14">
        <f>J439+ROUND(K439, 2)</f>
        <v>1477</v>
      </c>
      <c r="M439" s="14">
        <v>0</v>
      </c>
      <c r="N439" s="14">
        <v>0</v>
      </c>
      <c r="O439" s="14">
        <f>M439+N439</f>
        <v>0</v>
      </c>
      <c r="P439" s="14">
        <v>475.79</v>
      </c>
      <c r="Q439" s="15">
        <v>1477</v>
      </c>
      <c r="R439" s="14">
        <f>P439+ROUND(Q439, 2)</f>
        <v>1952.79</v>
      </c>
      <c r="S439" s="14">
        <v>0</v>
      </c>
      <c r="T439" s="14">
        <v>0</v>
      </c>
      <c r="U439" s="14">
        <f>S439+T439</f>
        <v>0</v>
      </c>
      <c r="V439" s="9">
        <f>ROUND(P439 / 1.2, 2)</f>
        <v>396.49</v>
      </c>
      <c r="W439" s="9">
        <f>ROUND(Q439 / 1.2, 2)</f>
        <v>1230.83</v>
      </c>
      <c r="X439" s="9">
        <f>ROUND(R439 / 1.2, 2)</f>
        <v>1627.33</v>
      </c>
      <c r="Y439" s="9">
        <f t="shared" si="14"/>
        <v>0</v>
      </c>
      <c r="Z439" s="9">
        <f>ROUND(T439 / 1.2, 2)</f>
        <v>0</v>
      </c>
      <c r="AA439" s="9">
        <f>Y439+Z439</f>
        <v>0</v>
      </c>
      <c r="AD439" s="4">
        <v>315890034</v>
      </c>
      <c r="AE439" s="4">
        <v>27245601</v>
      </c>
      <c r="AG439" s="4" t="s">
        <v>1348</v>
      </c>
      <c r="AH439" s="4" t="s">
        <v>1349</v>
      </c>
      <c r="AI439" s="4" t="s">
        <v>224</v>
      </c>
    </row>
    <row r="440" spans="1:35" ht="18" x14ac:dyDescent="0.3">
      <c r="A440" s="10" t="s">
        <v>1369</v>
      </c>
      <c r="B440" s="10"/>
      <c r="C440" s="21" t="s">
        <v>162</v>
      </c>
      <c r="D440" s="12"/>
      <c r="E440" s="12"/>
      <c r="F440" s="17" t="s">
        <v>59</v>
      </c>
      <c r="G440" s="18">
        <v>1.1000000000000001</v>
      </c>
      <c r="H440" s="22"/>
      <c r="I440" s="22">
        <v>0</v>
      </c>
      <c r="J440" s="19">
        <v>309.39999999999998</v>
      </c>
      <c r="M440" s="20">
        <f>ROUND(ROUND(J440, 2)*I440, 2)</f>
        <v>0</v>
      </c>
      <c r="P440" s="19">
        <v>104.57</v>
      </c>
      <c r="S440" s="20">
        <f>ROUND(ROUND(P440, 2)*I440, 2)</f>
        <v>0</v>
      </c>
      <c r="V440" s="9">
        <f>ROUND(ROUND(P440, 2)/1.2, 2)</f>
        <v>87.14</v>
      </c>
      <c r="Y440" s="9">
        <f t="shared" si="14"/>
        <v>0</v>
      </c>
      <c r="AD440" s="4" t="s">
        <v>1370</v>
      </c>
      <c r="AE440" s="4" t="s">
        <v>1371</v>
      </c>
      <c r="AF440" s="4" t="s">
        <v>165</v>
      </c>
    </row>
    <row r="441" spans="1:35" ht="18" x14ac:dyDescent="0.3">
      <c r="A441" s="10" t="s">
        <v>1372</v>
      </c>
      <c r="B441" s="10"/>
      <c r="C441" s="16" t="s">
        <v>1356</v>
      </c>
      <c r="D441" s="12"/>
      <c r="E441" s="12"/>
      <c r="F441" s="17" t="s">
        <v>76</v>
      </c>
      <c r="G441" s="18">
        <v>1</v>
      </c>
      <c r="H441" s="22"/>
      <c r="I441" s="22">
        <v>0</v>
      </c>
      <c r="J441" s="19">
        <v>44.71</v>
      </c>
      <c r="M441" s="20">
        <f>ROUND(ROUND(J441, 2)*I441, 2)</f>
        <v>0</v>
      </c>
      <c r="P441" s="19">
        <v>44.71</v>
      </c>
      <c r="S441" s="20">
        <f>ROUND(ROUND(P441, 2)*I441, 2)</f>
        <v>0</v>
      </c>
      <c r="V441" s="9">
        <f>ROUND(ROUND(P441, 2)/1.2, 2)</f>
        <v>37.26</v>
      </c>
      <c r="Y441" s="9">
        <f t="shared" si="14"/>
        <v>0</v>
      </c>
      <c r="AD441" s="4" t="s">
        <v>1373</v>
      </c>
      <c r="AE441" s="4" t="s">
        <v>1374</v>
      </c>
      <c r="AF441" s="4" t="s">
        <v>1359</v>
      </c>
    </row>
    <row r="442" spans="1:35" ht="18" x14ac:dyDescent="0.3">
      <c r="A442" s="10" t="s">
        <v>1375</v>
      </c>
      <c r="B442" s="10"/>
      <c r="C442" s="16" t="s">
        <v>149</v>
      </c>
      <c r="D442" s="12"/>
      <c r="E442" s="12"/>
      <c r="F442" s="17" t="s">
        <v>76</v>
      </c>
      <c r="G442" s="18">
        <v>1</v>
      </c>
      <c r="H442" s="22"/>
      <c r="I442" s="22">
        <v>0</v>
      </c>
      <c r="J442" s="19">
        <v>35.76</v>
      </c>
      <c r="M442" s="20">
        <f>ROUND(ROUND(J442, 2)*I442, 2)</f>
        <v>0</v>
      </c>
      <c r="P442" s="19">
        <v>35.76</v>
      </c>
      <c r="S442" s="20">
        <f>ROUND(ROUND(P442, 2)*I442, 2)</f>
        <v>0</v>
      </c>
      <c r="V442" s="9">
        <f>ROUND(ROUND(P442, 2)/1.2, 2)</f>
        <v>29.8</v>
      </c>
      <c r="Y442" s="9">
        <f t="shared" si="14"/>
        <v>0</v>
      </c>
      <c r="AD442" s="4" t="s">
        <v>1376</v>
      </c>
      <c r="AE442" s="4" t="s">
        <v>1377</v>
      </c>
      <c r="AF442" s="4" t="s">
        <v>152</v>
      </c>
    </row>
    <row r="443" spans="1:35" ht="18" x14ac:dyDescent="0.3">
      <c r="A443" s="10" t="s">
        <v>1378</v>
      </c>
      <c r="B443" s="10"/>
      <c r="C443" s="16" t="s">
        <v>1351</v>
      </c>
      <c r="D443" s="12"/>
      <c r="E443" s="12"/>
      <c r="F443" s="17" t="s">
        <v>308</v>
      </c>
      <c r="G443" s="18">
        <v>1</v>
      </c>
      <c r="H443" s="22"/>
      <c r="I443" s="22">
        <v>0</v>
      </c>
      <c r="J443" s="19">
        <v>80</v>
      </c>
      <c r="M443" s="20">
        <f>ROUND(ROUND(J443, 2)*I443, 2)</f>
        <v>0</v>
      </c>
      <c r="P443" s="19">
        <v>80</v>
      </c>
      <c r="S443" s="20">
        <f>ROUND(ROUND(P443, 2)*I443, 2)</f>
        <v>0</v>
      </c>
      <c r="V443" s="9">
        <f>ROUND(ROUND(P443, 2)/1.2, 2)</f>
        <v>66.67</v>
      </c>
      <c r="Y443" s="9">
        <f t="shared" si="14"/>
        <v>0</v>
      </c>
      <c r="AD443" s="4" t="s">
        <v>1379</v>
      </c>
      <c r="AE443" s="4" t="s">
        <v>1380</v>
      </c>
      <c r="AF443" s="4" t="s">
        <v>1354</v>
      </c>
    </row>
    <row r="444" spans="1:35" ht="72" x14ac:dyDescent="0.3">
      <c r="A444" s="10" t="s">
        <v>1381</v>
      </c>
      <c r="B444" s="10" t="s">
        <v>1346</v>
      </c>
      <c r="C444" s="11" t="s">
        <v>1347</v>
      </c>
      <c r="D444" s="12"/>
      <c r="E444" s="12" t="s">
        <v>1382</v>
      </c>
      <c r="F444" s="12" t="s">
        <v>59</v>
      </c>
      <c r="G444" s="13">
        <v>1</v>
      </c>
      <c r="H444" s="13"/>
      <c r="I444" s="13">
        <v>118.4</v>
      </c>
      <c r="J444" s="14">
        <v>360.42</v>
      </c>
      <c r="K444" s="15">
        <v>1477</v>
      </c>
      <c r="L444" s="14">
        <f>J444+ROUND(K444, 2)</f>
        <v>1837.42</v>
      </c>
      <c r="M444" s="14">
        <v>42673.73</v>
      </c>
      <c r="N444" s="14">
        <v>174876.79999999999</v>
      </c>
      <c r="O444" s="14">
        <f>M444+N444</f>
        <v>217550.53</v>
      </c>
      <c r="P444" s="14">
        <v>2032.78</v>
      </c>
      <c r="Q444" s="15">
        <v>2215.5</v>
      </c>
      <c r="R444" s="14">
        <f>P444+ROUND(Q444, 2)</f>
        <v>4248.28</v>
      </c>
      <c r="S444" s="14">
        <v>240681.15</v>
      </c>
      <c r="T444" s="14">
        <v>262315.2</v>
      </c>
      <c r="U444" s="14">
        <f>S444+T444</f>
        <v>502996.35</v>
      </c>
      <c r="V444" s="9">
        <f>ROUND(P444 / 1.2, 2)</f>
        <v>1693.98</v>
      </c>
      <c r="W444" s="9">
        <f>ROUND(Q444 / 1.2, 2)</f>
        <v>1846.25</v>
      </c>
      <c r="X444" s="9">
        <f>ROUND(R444 / 1.2, 2)</f>
        <v>3540.23</v>
      </c>
      <c r="Y444" s="9">
        <f t="shared" si="14"/>
        <v>200567.63</v>
      </c>
      <c r="Z444" s="9">
        <f>ROUND(T444 / 1.2, 2)</f>
        <v>218596</v>
      </c>
      <c r="AA444" s="9">
        <f>Y444+Z444</f>
        <v>419163.63</v>
      </c>
      <c r="AD444" s="4">
        <v>315890035</v>
      </c>
      <c r="AE444" s="4">
        <v>27245791</v>
      </c>
      <c r="AG444" s="4" t="s">
        <v>1348</v>
      </c>
      <c r="AH444" s="4" t="s">
        <v>1349</v>
      </c>
      <c r="AI444" s="4" t="s">
        <v>224</v>
      </c>
    </row>
    <row r="445" spans="1:35" ht="18" x14ac:dyDescent="0.3">
      <c r="A445" s="10" t="s">
        <v>1383</v>
      </c>
      <c r="B445" s="10"/>
      <c r="C445" s="16" t="s">
        <v>1351</v>
      </c>
      <c r="D445" s="12"/>
      <c r="E445" s="12"/>
      <c r="F445" s="17" t="s">
        <v>308</v>
      </c>
      <c r="G445" s="18">
        <v>1</v>
      </c>
      <c r="H445" s="22"/>
      <c r="I445" s="22">
        <v>123</v>
      </c>
      <c r="J445" s="19">
        <v>80</v>
      </c>
      <c r="M445" s="20">
        <f>ROUND(ROUND(J445, 2)*I445, 2)</f>
        <v>9840</v>
      </c>
      <c r="P445" s="19">
        <v>80</v>
      </c>
      <c r="S445" s="20">
        <f>ROUND(ROUND(P445, 2)*I445, 2)</f>
        <v>9840</v>
      </c>
      <c r="V445" s="9">
        <f>ROUND(ROUND(P445, 2)/1.2, 2)</f>
        <v>66.67</v>
      </c>
      <c r="Y445" s="9">
        <f t="shared" si="14"/>
        <v>8200</v>
      </c>
      <c r="AD445" s="4" t="s">
        <v>1384</v>
      </c>
      <c r="AE445" s="4" t="s">
        <v>1385</v>
      </c>
      <c r="AF445" s="4" t="s">
        <v>1354</v>
      </c>
    </row>
    <row r="446" spans="1:35" ht="18" x14ac:dyDescent="0.3">
      <c r="A446" s="10" t="s">
        <v>1386</v>
      </c>
      <c r="B446" s="10"/>
      <c r="C446" s="16" t="s">
        <v>1356</v>
      </c>
      <c r="D446" s="12"/>
      <c r="E446" s="12"/>
      <c r="F446" s="17" t="s">
        <v>76</v>
      </c>
      <c r="G446" s="18">
        <v>1</v>
      </c>
      <c r="H446" s="22"/>
      <c r="I446" s="22">
        <v>592</v>
      </c>
      <c r="J446" s="19">
        <v>44.71</v>
      </c>
      <c r="M446" s="20">
        <f>ROUND(ROUND(J446, 2)*I446, 2)</f>
        <v>26468.32</v>
      </c>
      <c r="P446" s="19">
        <v>44.71</v>
      </c>
      <c r="S446" s="20">
        <f>ROUND(ROUND(P446, 2)*I446, 2)</f>
        <v>26468.32</v>
      </c>
      <c r="V446" s="9">
        <f>ROUND(ROUND(P446, 2)/1.2, 2)</f>
        <v>37.26</v>
      </c>
      <c r="Y446" s="9">
        <f t="shared" si="14"/>
        <v>22056.93</v>
      </c>
      <c r="AD446" s="4" t="s">
        <v>1387</v>
      </c>
      <c r="AE446" s="4" t="s">
        <v>1388</v>
      </c>
      <c r="AF446" s="4" t="s">
        <v>1359</v>
      </c>
    </row>
    <row r="447" spans="1:35" ht="18" x14ac:dyDescent="0.3">
      <c r="A447" s="10" t="s">
        <v>1389</v>
      </c>
      <c r="B447" s="10"/>
      <c r="C447" s="16" t="s">
        <v>149</v>
      </c>
      <c r="D447" s="12"/>
      <c r="E447" s="12"/>
      <c r="F447" s="17" t="s">
        <v>76</v>
      </c>
      <c r="G447" s="18">
        <v>1</v>
      </c>
      <c r="H447" s="22"/>
      <c r="I447" s="22">
        <v>178</v>
      </c>
      <c r="J447" s="19">
        <v>35.76</v>
      </c>
      <c r="M447" s="20">
        <f>ROUND(ROUND(J447, 2)*I447, 2)</f>
        <v>6365.28</v>
      </c>
      <c r="P447" s="19">
        <v>35.76</v>
      </c>
      <c r="S447" s="20">
        <f>ROUND(ROUND(P447, 2)*I447, 2)</f>
        <v>6365.28</v>
      </c>
      <c r="V447" s="9">
        <f>ROUND(ROUND(P447, 2)/1.2, 2)</f>
        <v>29.8</v>
      </c>
      <c r="Y447" s="9">
        <f t="shared" si="14"/>
        <v>5304.4</v>
      </c>
      <c r="AD447" s="4" t="s">
        <v>1390</v>
      </c>
      <c r="AE447" s="4" t="s">
        <v>1391</v>
      </c>
      <c r="AF447" s="4" t="s">
        <v>152</v>
      </c>
    </row>
    <row r="448" spans="1:35" ht="18" x14ac:dyDescent="0.3">
      <c r="A448" s="10" t="s">
        <v>1392</v>
      </c>
      <c r="B448" s="10"/>
      <c r="C448" s="16" t="s">
        <v>1364</v>
      </c>
      <c r="D448" s="12"/>
      <c r="E448" s="12"/>
      <c r="F448" s="17" t="s">
        <v>59</v>
      </c>
      <c r="G448" s="18">
        <v>1.1000000000000001</v>
      </c>
      <c r="H448" s="22"/>
      <c r="I448" s="22">
        <v>130.24</v>
      </c>
      <c r="J448" s="19">
        <v>0</v>
      </c>
      <c r="M448" s="20">
        <f>ROUND(ROUND(J448, 2)*I448, 2)</f>
        <v>0</v>
      </c>
      <c r="P448" s="19">
        <v>1520.33</v>
      </c>
      <c r="S448" s="20">
        <f>ROUND(ROUND(P448, 2)*I448, 2)</f>
        <v>198007.78</v>
      </c>
      <c r="V448" s="9">
        <f>ROUND(ROUND(P448, 2)/1.2, 2)</f>
        <v>1266.94</v>
      </c>
      <c r="Y448" s="9">
        <f t="shared" si="14"/>
        <v>165006.48000000001</v>
      </c>
      <c r="AD448" s="4" t="s">
        <v>1393</v>
      </c>
      <c r="AE448" s="4" t="s">
        <v>1394</v>
      </c>
      <c r="AF448" s="4" t="s">
        <v>1367</v>
      </c>
    </row>
    <row r="449" spans="1:35" ht="147" customHeight="1" x14ac:dyDescent="0.3">
      <c r="A449" s="10" t="s">
        <v>1395</v>
      </c>
      <c r="B449" s="10" t="s">
        <v>1346</v>
      </c>
      <c r="C449" s="11" t="s">
        <v>1347</v>
      </c>
      <c r="D449" s="12"/>
      <c r="E449" s="12" t="s">
        <v>1396</v>
      </c>
      <c r="F449" s="12" t="s">
        <v>59</v>
      </c>
      <c r="G449" s="13">
        <v>1</v>
      </c>
      <c r="H449" s="13"/>
      <c r="I449" s="13">
        <v>358.7</v>
      </c>
      <c r="J449" s="14">
        <v>701.1</v>
      </c>
      <c r="K449" s="15">
        <v>1477</v>
      </c>
      <c r="L449" s="14">
        <f>J449+ROUND(K449, 2)</f>
        <v>2178.1</v>
      </c>
      <c r="M449" s="14">
        <v>251484.57</v>
      </c>
      <c r="N449" s="14">
        <v>529799.9</v>
      </c>
      <c r="O449" s="14">
        <f>M449+N449</f>
        <v>781284.47</v>
      </c>
      <c r="P449" s="14">
        <v>475.79</v>
      </c>
      <c r="Q449" s="15">
        <v>2215.5</v>
      </c>
      <c r="R449" s="14">
        <f>P449+ROUND(Q449, 2)</f>
        <v>2691.29</v>
      </c>
      <c r="S449" s="14">
        <v>170665.87</v>
      </c>
      <c r="T449" s="14">
        <v>794699.85</v>
      </c>
      <c r="U449" s="14">
        <f>S449+T449</f>
        <v>965365.72</v>
      </c>
      <c r="V449" s="9">
        <f>ROUND(P449 / 1.2, 2)</f>
        <v>396.49</v>
      </c>
      <c r="W449" s="9">
        <f>ROUND(Q449 / 1.2, 2)</f>
        <v>1846.25</v>
      </c>
      <c r="X449" s="9">
        <f>ROUND(R449 / 1.2, 2)</f>
        <v>2242.7399999999998</v>
      </c>
      <c r="Y449" s="9">
        <f t="shared" si="14"/>
        <v>142221.56</v>
      </c>
      <c r="Z449" s="9">
        <f>ROUND(T449 / 1.2, 2)</f>
        <v>662249.88</v>
      </c>
      <c r="AA449" s="9">
        <f>Y449+Z449</f>
        <v>804471.44</v>
      </c>
      <c r="AD449" s="4">
        <v>315890036</v>
      </c>
      <c r="AE449" s="4">
        <v>27245790</v>
      </c>
      <c r="AG449" s="4" t="s">
        <v>1348</v>
      </c>
      <c r="AH449" s="4" t="s">
        <v>1349</v>
      </c>
      <c r="AI449" s="4" t="s">
        <v>224</v>
      </c>
    </row>
    <row r="450" spans="1:35" ht="18" x14ac:dyDescent="0.3">
      <c r="A450" s="10" t="s">
        <v>1397</v>
      </c>
      <c r="B450" s="10"/>
      <c r="C450" s="21" t="s">
        <v>162</v>
      </c>
      <c r="D450" s="12"/>
      <c r="E450" s="12"/>
      <c r="F450" s="17" t="s">
        <v>59</v>
      </c>
      <c r="G450" s="18">
        <v>1.1000000000000001</v>
      </c>
      <c r="H450" s="22"/>
      <c r="I450" s="22">
        <v>394.57</v>
      </c>
      <c r="J450" s="19">
        <v>309.39999999999998</v>
      </c>
      <c r="M450" s="20">
        <f>ROUND(ROUND(J450, 2)*I450, 2)</f>
        <v>122079.96</v>
      </c>
      <c r="P450" s="19">
        <v>104.57</v>
      </c>
      <c r="S450" s="20">
        <f>ROUND(ROUND(P450, 2)*I450, 2)</f>
        <v>41260.18</v>
      </c>
      <c r="V450" s="9">
        <f>ROUND(ROUND(P450, 2)/1.2, 2)</f>
        <v>87.14</v>
      </c>
      <c r="Y450" s="9">
        <f t="shared" si="14"/>
        <v>34383.480000000003</v>
      </c>
      <c r="AD450" s="4" t="s">
        <v>1398</v>
      </c>
      <c r="AE450" s="4" t="s">
        <v>1399</v>
      </c>
      <c r="AF450" s="4" t="s">
        <v>165</v>
      </c>
    </row>
    <row r="451" spans="1:35" ht="18" x14ac:dyDescent="0.3">
      <c r="A451" s="10" t="s">
        <v>1400</v>
      </c>
      <c r="B451" s="10"/>
      <c r="C451" s="16" t="s">
        <v>1356</v>
      </c>
      <c r="D451" s="12"/>
      <c r="E451" s="12"/>
      <c r="F451" s="17" t="s">
        <v>76</v>
      </c>
      <c r="G451" s="18">
        <v>1</v>
      </c>
      <c r="H451" s="22"/>
      <c r="I451" s="22">
        <v>1794</v>
      </c>
      <c r="J451" s="19">
        <v>44.71</v>
      </c>
      <c r="M451" s="20">
        <f>ROUND(ROUND(J451, 2)*I451, 2)</f>
        <v>80209.740000000005</v>
      </c>
      <c r="P451" s="19">
        <v>44.71</v>
      </c>
      <c r="S451" s="20">
        <f>ROUND(ROUND(P451, 2)*I451, 2)</f>
        <v>80209.740000000005</v>
      </c>
      <c r="V451" s="9">
        <f>ROUND(ROUND(P451, 2)/1.2, 2)</f>
        <v>37.26</v>
      </c>
      <c r="Y451" s="9">
        <f t="shared" si="14"/>
        <v>66841.45</v>
      </c>
      <c r="AD451" s="4" t="s">
        <v>1401</v>
      </c>
      <c r="AE451" s="4" t="s">
        <v>1402</v>
      </c>
      <c r="AF451" s="4" t="s">
        <v>1359</v>
      </c>
    </row>
    <row r="452" spans="1:35" ht="18" x14ac:dyDescent="0.3">
      <c r="A452" s="10" t="s">
        <v>1403</v>
      </c>
      <c r="B452" s="10"/>
      <c r="C452" s="16" t="s">
        <v>149</v>
      </c>
      <c r="D452" s="12"/>
      <c r="E452" s="12"/>
      <c r="F452" s="17" t="s">
        <v>76</v>
      </c>
      <c r="G452" s="18">
        <v>1</v>
      </c>
      <c r="H452" s="22"/>
      <c r="I452" s="22">
        <v>539</v>
      </c>
      <c r="J452" s="19">
        <v>35.76</v>
      </c>
      <c r="M452" s="20">
        <f>ROUND(ROUND(J452, 2)*I452, 2)</f>
        <v>19274.64</v>
      </c>
      <c r="P452" s="19">
        <v>35.76</v>
      </c>
      <c r="S452" s="20">
        <f>ROUND(ROUND(P452, 2)*I452, 2)</f>
        <v>19274.64</v>
      </c>
      <c r="V452" s="9">
        <f>ROUND(ROUND(P452, 2)/1.2, 2)</f>
        <v>29.8</v>
      </c>
      <c r="Y452" s="9">
        <f t="shared" si="14"/>
        <v>16062.2</v>
      </c>
      <c r="AD452" s="4" t="s">
        <v>1404</v>
      </c>
      <c r="AE452" s="4" t="s">
        <v>1405</v>
      </c>
      <c r="AF452" s="4" t="s">
        <v>152</v>
      </c>
    </row>
    <row r="453" spans="1:35" ht="18" x14ac:dyDescent="0.3">
      <c r="A453" s="10" t="s">
        <v>1406</v>
      </c>
      <c r="B453" s="10"/>
      <c r="C453" s="16" t="s">
        <v>1351</v>
      </c>
      <c r="D453" s="12"/>
      <c r="E453" s="12"/>
      <c r="F453" s="17" t="s">
        <v>308</v>
      </c>
      <c r="G453" s="18">
        <v>1</v>
      </c>
      <c r="H453" s="22"/>
      <c r="I453" s="22">
        <v>374</v>
      </c>
      <c r="J453" s="19">
        <v>80</v>
      </c>
      <c r="M453" s="20">
        <f>ROUND(ROUND(J453, 2)*I453, 2)</f>
        <v>29920</v>
      </c>
      <c r="P453" s="19">
        <v>80</v>
      </c>
      <c r="S453" s="20">
        <f>ROUND(ROUND(P453, 2)*I453, 2)</f>
        <v>29920</v>
      </c>
      <c r="V453" s="9">
        <f>ROUND(ROUND(P453, 2)/1.2, 2)</f>
        <v>66.67</v>
      </c>
      <c r="Y453" s="9">
        <f t="shared" si="14"/>
        <v>24933.33</v>
      </c>
      <c r="AD453" s="4" t="s">
        <v>1407</v>
      </c>
      <c r="AE453" s="4" t="s">
        <v>1408</v>
      </c>
      <c r="AF453" s="4" t="s">
        <v>1354</v>
      </c>
    </row>
    <row r="454" spans="1:35" ht="16.95" customHeight="1" x14ac:dyDescent="0.3">
      <c r="A454" s="10" t="s">
        <v>1409</v>
      </c>
      <c r="B454" s="10" t="s">
        <v>1410</v>
      </c>
      <c r="C454" s="47" t="s">
        <v>1411</v>
      </c>
      <c r="D454" s="48"/>
      <c r="E454" s="48"/>
      <c r="F454" s="48"/>
      <c r="G454" s="48"/>
      <c r="H454" s="48"/>
      <c r="I454" s="49"/>
      <c r="M454" s="6">
        <f>SUM(M455,M468)</f>
        <v>2318400.8200000003</v>
      </c>
      <c r="N454" s="6">
        <f>SUM(N455,N468)</f>
        <v>6153445.0999999996</v>
      </c>
      <c r="O454" s="6">
        <f>SUM(O455,O468)</f>
        <v>8471845.9199999999</v>
      </c>
      <c r="S454" s="6">
        <f>SUM(S455,S468)</f>
        <v>1160733.4500000002</v>
      </c>
      <c r="T454" s="6">
        <f>SUM(T455,T468)</f>
        <v>9230167.6500000004</v>
      </c>
      <c r="U454" s="6">
        <f>SUM(U455,U468)</f>
        <v>10390901.1</v>
      </c>
      <c r="Y454" s="9">
        <f>SUM(Y455,Y468)</f>
        <v>967277.88000000012</v>
      </c>
      <c r="Z454" s="9">
        <f>SUM(Z455,Z468)</f>
        <v>7691806.3799999999</v>
      </c>
      <c r="AA454" s="9">
        <f>SUM(AA455,AA468)</f>
        <v>8659084.2599999998</v>
      </c>
      <c r="AD454" s="4">
        <v>315890037</v>
      </c>
      <c r="AE454" s="4">
        <v>27245631</v>
      </c>
    </row>
    <row r="455" spans="1:35" ht="16.95" customHeight="1" x14ac:dyDescent="0.3">
      <c r="A455" s="10" t="s">
        <v>1412</v>
      </c>
      <c r="B455" s="10" t="s">
        <v>1413</v>
      </c>
      <c r="C455" s="47" t="s">
        <v>1414</v>
      </c>
      <c r="D455" s="48"/>
      <c r="E455" s="48"/>
      <c r="F455" s="48"/>
      <c r="G455" s="48"/>
      <c r="H455" s="48"/>
      <c r="I455" s="49"/>
      <c r="M455" s="6">
        <f>SUM(M456,M459,M462,M465)</f>
        <v>292430.89</v>
      </c>
      <c r="N455" s="6">
        <f>SUM(N456,N459,N462,N465)</f>
        <v>3668446.7</v>
      </c>
      <c r="O455" s="6">
        <f>SUM(O456,O459,O462,O465)</f>
        <v>3960877.59</v>
      </c>
      <c r="S455" s="6">
        <f>SUM(S456,S459,S462,S465)</f>
        <v>292644.24000000005</v>
      </c>
      <c r="T455" s="6">
        <f>SUM(T456,T459,T462,T465)</f>
        <v>5502670.0499999998</v>
      </c>
      <c r="U455" s="6">
        <f>SUM(U456,U459,U462,U465)</f>
        <v>5795314.29</v>
      </c>
      <c r="Y455" s="9">
        <f>SUM(Y456,Y459,Y462,Y465)</f>
        <v>243870.2</v>
      </c>
      <c r="Z455" s="9">
        <f>SUM(Z456,Z459,Z462,Z465)</f>
        <v>4585558.38</v>
      </c>
      <c r="AA455" s="9">
        <f>SUM(AA456,AA459,AA462,AA465)</f>
        <v>4829428.58</v>
      </c>
      <c r="AD455" s="4">
        <v>315890038</v>
      </c>
      <c r="AE455" s="4">
        <v>27245690</v>
      </c>
    </row>
    <row r="456" spans="1:35" ht="36" x14ac:dyDescent="0.3">
      <c r="A456" s="10" t="s">
        <v>1415</v>
      </c>
      <c r="B456" s="10" t="s">
        <v>1416</v>
      </c>
      <c r="C456" s="11" t="s">
        <v>1417</v>
      </c>
      <c r="D456" s="12"/>
      <c r="E456" s="12"/>
      <c r="F456" s="12" t="s">
        <v>59</v>
      </c>
      <c r="G456" s="13">
        <v>1</v>
      </c>
      <c r="H456" s="13"/>
      <c r="I456" s="13">
        <v>0</v>
      </c>
      <c r="J456" s="14">
        <v>0</v>
      </c>
      <c r="K456" s="15">
        <v>790</v>
      </c>
      <c r="L456" s="14">
        <f>J456+ROUND(K456, 2)</f>
        <v>790</v>
      </c>
      <c r="M456" s="14">
        <v>0</v>
      </c>
      <c r="N456" s="14">
        <v>0</v>
      </c>
      <c r="O456" s="14">
        <f>M456+N456</f>
        <v>0</v>
      </c>
      <c r="P456" s="14">
        <v>70.47</v>
      </c>
      <c r="Q456" s="15">
        <v>790</v>
      </c>
      <c r="R456" s="14">
        <f>P456+ROUND(Q456, 2)</f>
        <v>860.47</v>
      </c>
      <c r="S456" s="14">
        <v>0</v>
      </c>
      <c r="T456" s="14">
        <v>0</v>
      </c>
      <c r="U456" s="14">
        <f>S456+T456</f>
        <v>0</v>
      </c>
      <c r="V456" s="9">
        <f>ROUND(P456 / 1.2, 2)</f>
        <v>58.73</v>
      </c>
      <c r="W456" s="9">
        <f>ROUND(Q456 / 1.2, 2)</f>
        <v>658.33</v>
      </c>
      <c r="X456" s="9">
        <f>ROUND(R456 / 1.2, 2)</f>
        <v>717.06</v>
      </c>
      <c r="Y456" s="9">
        <f>ROUND(S456 / 1.2, 2)</f>
        <v>0</v>
      </c>
      <c r="Z456" s="9">
        <f>ROUND(T456 / 1.2, 2)</f>
        <v>0</v>
      </c>
      <c r="AA456" s="9">
        <f>Y456+Z456</f>
        <v>0</v>
      </c>
      <c r="AD456" s="4">
        <v>315890040</v>
      </c>
      <c r="AE456" s="4">
        <v>27245705</v>
      </c>
      <c r="AG456" s="4" t="s">
        <v>1418</v>
      </c>
      <c r="AH456" s="4" t="s">
        <v>1419</v>
      </c>
      <c r="AI456" s="4" t="s">
        <v>224</v>
      </c>
    </row>
    <row r="457" spans="1:35" ht="36" x14ac:dyDescent="0.3">
      <c r="A457" s="10" t="s">
        <v>1420</v>
      </c>
      <c r="B457" s="10"/>
      <c r="C457" s="21" t="s">
        <v>1421</v>
      </c>
      <c r="D457" s="12"/>
      <c r="E457" s="12"/>
      <c r="F457" s="17" t="s">
        <v>227</v>
      </c>
      <c r="G457" s="18">
        <v>4.5</v>
      </c>
      <c r="H457" s="18"/>
      <c r="I457" s="18">
        <v>0</v>
      </c>
      <c r="J457" s="19">
        <v>12.7</v>
      </c>
      <c r="M457" s="20">
        <f>ROUND(ROUND(J457, 2)*I457, 2)</f>
        <v>0</v>
      </c>
      <c r="P457" s="19">
        <v>12.7</v>
      </c>
      <c r="S457" s="20">
        <f>ROUND(ROUND(P457, 2)*I457, 2)</f>
        <v>0</v>
      </c>
      <c r="V457" s="9">
        <f>ROUND(ROUND(P457, 2)/1.2, 2)</f>
        <v>10.58</v>
      </c>
      <c r="Y457" s="9">
        <f t="shared" ref="Y457:Y467" si="15">ROUND(S457 / 1.2, 2)</f>
        <v>0</v>
      </c>
      <c r="AD457" s="4" t="s">
        <v>1422</v>
      </c>
      <c r="AE457" s="4" t="s">
        <v>1423</v>
      </c>
      <c r="AF457" s="4" t="s">
        <v>1424</v>
      </c>
    </row>
    <row r="458" spans="1:35" ht="36" x14ac:dyDescent="0.3">
      <c r="A458" s="10" t="s">
        <v>1425</v>
      </c>
      <c r="B458" s="10"/>
      <c r="C458" s="16" t="s">
        <v>552</v>
      </c>
      <c r="D458" s="12"/>
      <c r="E458" s="12"/>
      <c r="F458" s="17" t="s">
        <v>227</v>
      </c>
      <c r="G458" s="18">
        <v>0.15</v>
      </c>
      <c r="H458" s="18"/>
      <c r="I458" s="18">
        <v>0</v>
      </c>
      <c r="J458" s="19">
        <v>88.8</v>
      </c>
      <c r="M458" s="20">
        <f>ROUND(ROUND(J458, 2)*I458, 2)</f>
        <v>0</v>
      </c>
      <c r="P458" s="19">
        <v>88.8</v>
      </c>
      <c r="S458" s="20">
        <f>ROUND(ROUND(P458, 2)*I458, 2)</f>
        <v>0</v>
      </c>
      <c r="V458" s="9">
        <f>ROUND(ROUND(P458, 2)/1.2, 2)</f>
        <v>74</v>
      </c>
      <c r="Y458" s="9">
        <f t="shared" si="15"/>
        <v>0</v>
      </c>
      <c r="AD458" s="4" t="s">
        <v>1426</v>
      </c>
      <c r="AE458" s="4" t="s">
        <v>1427</v>
      </c>
      <c r="AF458" s="4" t="s">
        <v>555</v>
      </c>
    </row>
    <row r="459" spans="1:35" ht="36" x14ac:dyDescent="0.3">
      <c r="A459" s="10" t="s">
        <v>1428</v>
      </c>
      <c r="B459" s="10" t="s">
        <v>1416</v>
      </c>
      <c r="C459" s="11" t="s">
        <v>1417</v>
      </c>
      <c r="D459" s="12"/>
      <c r="E459" s="12" t="s">
        <v>1429</v>
      </c>
      <c r="F459" s="12" t="s">
        <v>59</v>
      </c>
      <c r="G459" s="13">
        <v>1</v>
      </c>
      <c r="H459" s="13"/>
      <c r="I459" s="13">
        <v>3898.4</v>
      </c>
      <c r="J459" s="14">
        <v>67.59</v>
      </c>
      <c r="K459" s="15">
        <v>790</v>
      </c>
      <c r="L459" s="14">
        <f>J459+ROUND(K459, 2)</f>
        <v>857.59</v>
      </c>
      <c r="M459" s="14">
        <v>263492.86</v>
      </c>
      <c r="N459" s="14">
        <v>3079736</v>
      </c>
      <c r="O459" s="14">
        <f>M459+N459</f>
        <v>3343228.86</v>
      </c>
      <c r="P459" s="14">
        <v>67.64</v>
      </c>
      <c r="Q459" s="15">
        <v>1185</v>
      </c>
      <c r="R459" s="14">
        <f>P459+ROUND(Q459, 2)</f>
        <v>1252.6400000000001</v>
      </c>
      <c r="S459" s="14">
        <v>263687.78000000003</v>
      </c>
      <c r="T459" s="14">
        <v>4619604</v>
      </c>
      <c r="U459" s="14">
        <f>S459+T459</f>
        <v>4883291.78</v>
      </c>
      <c r="V459" s="9">
        <f>ROUND(P459 / 1.2, 2)</f>
        <v>56.37</v>
      </c>
      <c r="W459" s="9">
        <f>ROUND(Q459 / 1.2, 2)</f>
        <v>987.5</v>
      </c>
      <c r="X459" s="9">
        <f>ROUND(R459 / 1.2, 2)</f>
        <v>1043.8699999999999</v>
      </c>
      <c r="Y459" s="9">
        <f t="shared" si="15"/>
        <v>219739.82</v>
      </c>
      <c r="Z459" s="9">
        <f>ROUND(T459 / 1.2, 2)</f>
        <v>3849670</v>
      </c>
      <c r="AA459" s="9">
        <f>Y459+Z459</f>
        <v>4069409.82</v>
      </c>
      <c r="AD459" s="4">
        <v>315890041</v>
      </c>
      <c r="AE459" s="4">
        <v>27245792</v>
      </c>
      <c r="AG459" s="4" t="s">
        <v>1418</v>
      </c>
      <c r="AH459" s="4" t="s">
        <v>1419</v>
      </c>
      <c r="AI459" s="4" t="s">
        <v>224</v>
      </c>
    </row>
    <row r="460" spans="1:35" ht="36" x14ac:dyDescent="0.3">
      <c r="A460" s="10" t="s">
        <v>1430</v>
      </c>
      <c r="B460" s="10"/>
      <c r="C460" s="16" t="s">
        <v>552</v>
      </c>
      <c r="D460" s="12"/>
      <c r="E460" s="12"/>
      <c r="F460" s="17" t="s">
        <v>227</v>
      </c>
      <c r="G460" s="18">
        <v>0.15</v>
      </c>
      <c r="H460" s="18"/>
      <c r="I460" s="18">
        <v>584.76</v>
      </c>
      <c r="J460" s="19">
        <v>88.8</v>
      </c>
      <c r="M460" s="20">
        <f>ROUND(ROUND(J460, 2)*I460, 2)</f>
        <v>51926.69</v>
      </c>
      <c r="P460" s="19">
        <v>88.8</v>
      </c>
      <c r="S460" s="20">
        <f>ROUND(ROUND(P460, 2)*I460, 2)</f>
        <v>51926.69</v>
      </c>
      <c r="V460" s="9">
        <f>ROUND(ROUND(P460, 2)/1.2, 2)</f>
        <v>74</v>
      </c>
      <c r="Y460" s="9">
        <f t="shared" si="15"/>
        <v>43272.24</v>
      </c>
      <c r="AD460" s="4" t="s">
        <v>1431</v>
      </c>
      <c r="AE460" s="4" t="s">
        <v>1432</v>
      </c>
      <c r="AF460" s="4" t="s">
        <v>555</v>
      </c>
    </row>
    <row r="461" spans="1:35" ht="36" x14ac:dyDescent="0.3">
      <c r="A461" s="10" t="s">
        <v>1433</v>
      </c>
      <c r="B461" s="10"/>
      <c r="C461" s="21" t="s">
        <v>1421</v>
      </c>
      <c r="D461" s="12"/>
      <c r="E461" s="12"/>
      <c r="F461" s="17" t="s">
        <v>227</v>
      </c>
      <c r="G461" s="18">
        <v>4.5</v>
      </c>
      <c r="H461" s="18"/>
      <c r="I461" s="18">
        <v>17542.8</v>
      </c>
      <c r="J461" s="19">
        <v>12.06</v>
      </c>
      <c r="M461" s="20">
        <f>ROUND(ROUND(J461, 2)*I461, 2)</f>
        <v>211566.17</v>
      </c>
      <c r="P461" s="19">
        <v>12.07</v>
      </c>
      <c r="S461" s="20">
        <f>ROUND(ROUND(P461, 2)*I461, 2)</f>
        <v>211741.6</v>
      </c>
      <c r="V461" s="9">
        <f>ROUND(ROUND(P461, 2)/1.2, 2)</f>
        <v>10.06</v>
      </c>
      <c r="Y461" s="9">
        <f t="shared" si="15"/>
        <v>176451.33</v>
      </c>
      <c r="AD461" s="4" t="s">
        <v>1434</v>
      </c>
      <c r="AE461" s="4" t="s">
        <v>1435</v>
      </c>
      <c r="AF461" s="4" t="s">
        <v>1424</v>
      </c>
    </row>
    <row r="462" spans="1:35" ht="36" x14ac:dyDescent="0.3">
      <c r="A462" s="10" t="s">
        <v>1436</v>
      </c>
      <c r="B462" s="10" t="s">
        <v>1437</v>
      </c>
      <c r="C462" s="11" t="s">
        <v>1438</v>
      </c>
      <c r="D462" s="12"/>
      <c r="E462" s="12"/>
      <c r="F462" s="12" t="s">
        <v>59</v>
      </c>
      <c r="G462" s="13">
        <v>1</v>
      </c>
      <c r="H462" s="13"/>
      <c r="I462" s="13">
        <v>0</v>
      </c>
      <c r="J462" s="14">
        <v>0</v>
      </c>
      <c r="K462" s="15">
        <v>639</v>
      </c>
      <c r="L462" s="14">
        <f>J462+ROUND(K462, 2)</f>
        <v>639</v>
      </c>
      <c r="M462" s="14">
        <v>0</v>
      </c>
      <c r="N462" s="14">
        <v>0</v>
      </c>
      <c r="O462" s="14">
        <f>M462+N462</f>
        <v>0</v>
      </c>
      <c r="P462" s="14">
        <v>32.369999999999997</v>
      </c>
      <c r="Q462" s="15">
        <v>639</v>
      </c>
      <c r="R462" s="14">
        <f>P462+ROUND(Q462, 2)</f>
        <v>671.37</v>
      </c>
      <c r="S462" s="14">
        <v>0</v>
      </c>
      <c r="T462" s="14">
        <v>0</v>
      </c>
      <c r="U462" s="14">
        <f>S462+T462</f>
        <v>0</v>
      </c>
      <c r="V462" s="9">
        <f>ROUND(P462 / 1.2, 2)</f>
        <v>26.98</v>
      </c>
      <c r="W462" s="9">
        <f>ROUND(Q462 / 1.2, 2)</f>
        <v>532.5</v>
      </c>
      <c r="X462" s="9">
        <f>ROUND(R462 / 1.2, 2)</f>
        <v>559.48</v>
      </c>
      <c r="Y462" s="9">
        <f t="shared" si="15"/>
        <v>0</v>
      </c>
      <c r="Z462" s="9">
        <f>ROUND(T462 / 1.2, 2)</f>
        <v>0</v>
      </c>
      <c r="AA462" s="9">
        <f>Y462+Z462</f>
        <v>0</v>
      </c>
      <c r="AD462" s="4">
        <v>315890042</v>
      </c>
      <c r="AE462" s="4">
        <v>27245657</v>
      </c>
      <c r="AG462" s="4" t="s">
        <v>1439</v>
      </c>
      <c r="AH462" s="4" t="s">
        <v>1440</v>
      </c>
      <c r="AI462" s="4" t="s">
        <v>224</v>
      </c>
    </row>
    <row r="463" spans="1:35" ht="36" x14ac:dyDescent="0.3">
      <c r="A463" s="10" t="s">
        <v>1441</v>
      </c>
      <c r="B463" s="10"/>
      <c r="C463" s="21" t="s">
        <v>1421</v>
      </c>
      <c r="D463" s="12"/>
      <c r="E463" s="12"/>
      <c r="F463" s="17" t="s">
        <v>227</v>
      </c>
      <c r="G463" s="18">
        <v>1.5</v>
      </c>
      <c r="H463" s="18"/>
      <c r="I463" s="18">
        <v>0</v>
      </c>
      <c r="J463" s="19">
        <v>12.7</v>
      </c>
      <c r="M463" s="20">
        <f>ROUND(ROUND(J463, 2)*I463, 2)</f>
        <v>0</v>
      </c>
      <c r="P463" s="19">
        <v>12.7</v>
      </c>
      <c r="S463" s="20">
        <f>ROUND(ROUND(P463, 2)*I463, 2)</f>
        <v>0</v>
      </c>
      <c r="V463" s="9">
        <f>ROUND(ROUND(P463, 2)/1.2, 2)</f>
        <v>10.58</v>
      </c>
      <c r="Y463" s="9">
        <f t="shared" si="15"/>
        <v>0</v>
      </c>
      <c r="AD463" s="4" t="s">
        <v>1442</v>
      </c>
      <c r="AE463" s="4" t="s">
        <v>1443</v>
      </c>
      <c r="AF463" s="4" t="s">
        <v>1424</v>
      </c>
    </row>
    <row r="464" spans="1:35" ht="36" x14ac:dyDescent="0.3">
      <c r="A464" s="10" t="s">
        <v>1444</v>
      </c>
      <c r="B464" s="10"/>
      <c r="C464" s="16" t="s">
        <v>552</v>
      </c>
      <c r="D464" s="12"/>
      <c r="E464" s="12"/>
      <c r="F464" s="17" t="s">
        <v>227</v>
      </c>
      <c r="G464" s="18">
        <v>0.15</v>
      </c>
      <c r="H464" s="18"/>
      <c r="I464" s="18">
        <v>0</v>
      </c>
      <c r="J464" s="19">
        <v>88.8</v>
      </c>
      <c r="M464" s="20">
        <f>ROUND(ROUND(J464, 2)*I464, 2)</f>
        <v>0</v>
      </c>
      <c r="P464" s="19">
        <v>88.8</v>
      </c>
      <c r="S464" s="20">
        <f>ROUND(ROUND(P464, 2)*I464, 2)</f>
        <v>0</v>
      </c>
      <c r="V464" s="9">
        <f>ROUND(ROUND(P464, 2)/1.2, 2)</f>
        <v>74</v>
      </c>
      <c r="Y464" s="9">
        <f t="shared" si="15"/>
        <v>0</v>
      </c>
      <c r="AD464" s="4" t="s">
        <v>1445</v>
      </c>
      <c r="AE464" s="4" t="s">
        <v>1446</v>
      </c>
      <c r="AF464" s="4" t="s">
        <v>555</v>
      </c>
    </row>
    <row r="465" spans="1:35" ht="36" x14ac:dyDescent="0.3">
      <c r="A465" s="10" t="s">
        <v>1447</v>
      </c>
      <c r="B465" s="10" t="s">
        <v>1437</v>
      </c>
      <c r="C465" s="11" t="s">
        <v>1438</v>
      </c>
      <c r="D465" s="12"/>
      <c r="E465" s="12" t="s">
        <v>1448</v>
      </c>
      <c r="F465" s="12" t="s">
        <v>59</v>
      </c>
      <c r="G465" s="13">
        <v>1</v>
      </c>
      <c r="H465" s="13"/>
      <c r="I465" s="13">
        <v>921.3</v>
      </c>
      <c r="J465" s="14">
        <v>31.41</v>
      </c>
      <c r="K465" s="15">
        <v>639</v>
      </c>
      <c r="L465" s="14">
        <f>J465+ROUND(K465, 2)</f>
        <v>670.41</v>
      </c>
      <c r="M465" s="14">
        <v>28938.03</v>
      </c>
      <c r="N465" s="14">
        <v>588710.69999999995</v>
      </c>
      <c r="O465" s="14">
        <f>M465+N465</f>
        <v>617648.73</v>
      </c>
      <c r="P465" s="14">
        <v>31.43</v>
      </c>
      <c r="Q465" s="15">
        <v>958.5</v>
      </c>
      <c r="R465" s="14">
        <f>P465+ROUND(Q465, 2)</f>
        <v>989.93</v>
      </c>
      <c r="S465" s="14">
        <v>28956.46</v>
      </c>
      <c r="T465" s="14">
        <v>883066.05</v>
      </c>
      <c r="U465" s="14">
        <f>S465+T465</f>
        <v>912022.51</v>
      </c>
      <c r="V465" s="9">
        <f>ROUND(P465 / 1.2, 2)</f>
        <v>26.19</v>
      </c>
      <c r="W465" s="9">
        <f>ROUND(Q465 / 1.2, 2)</f>
        <v>798.75</v>
      </c>
      <c r="X465" s="9">
        <f>ROUND(R465 / 1.2, 2)</f>
        <v>824.94</v>
      </c>
      <c r="Y465" s="9">
        <f t="shared" si="15"/>
        <v>24130.38</v>
      </c>
      <c r="Z465" s="9">
        <f>ROUND(T465 / 1.2, 2)</f>
        <v>735888.38</v>
      </c>
      <c r="AA465" s="9">
        <f>Y465+Z465</f>
        <v>760018.76</v>
      </c>
      <c r="AD465" s="4">
        <v>315890043</v>
      </c>
      <c r="AE465" s="4">
        <v>27245793</v>
      </c>
      <c r="AG465" s="4" t="s">
        <v>1439</v>
      </c>
      <c r="AH465" s="4" t="s">
        <v>1440</v>
      </c>
      <c r="AI465" s="4" t="s">
        <v>224</v>
      </c>
    </row>
    <row r="466" spans="1:35" ht="36" x14ac:dyDescent="0.3">
      <c r="A466" s="10" t="s">
        <v>1449</v>
      </c>
      <c r="B466" s="10"/>
      <c r="C466" s="16" t="s">
        <v>552</v>
      </c>
      <c r="D466" s="12"/>
      <c r="E466" s="12"/>
      <c r="F466" s="17" t="s">
        <v>227</v>
      </c>
      <c r="G466" s="18">
        <v>0.15</v>
      </c>
      <c r="H466" s="18"/>
      <c r="I466" s="18">
        <v>138.19499999999999</v>
      </c>
      <c r="J466" s="19">
        <v>88.8</v>
      </c>
      <c r="M466" s="20">
        <f>ROUND(ROUND(J466, 2)*I466, 2)</f>
        <v>12271.72</v>
      </c>
      <c r="P466" s="19">
        <v>88.8</v>
      </c>
      <c r="S466" s="20">
        <f>ROUND(ROUND(P466, 2)*I466, 2)</f>
        <v>12271.72</v>
      </c>
      <c r="V466" s="9">
        <f>ROUND(ROUND(P466, 2)/1.2, 2)</f>
        <v>74</v>
      </c>
      <c r="Y466" s="9">
        <f t="shared" si="15"/>
        <v>10226.43</v>
      </c>
      <c r="AD466" s="4" t="s">
        <v>1450</v>
      </c>
      <c r="AE466" s="4" t="s">
        <v>1451</v>
      </c>
      <c r="AF466" s="4" t="s">
        <v>555</v>
      </c>
    </row>
    <row r="467" spans="1:35" ht="36" x14ac:dyDescent="0.3">
      <c r="A467" s="10" t="s">
        <v>1452</v>
      </c>
      <c r="B467" s="10"/>
      <c r="C467" s="21" t="s">
        <v>1421</v>
      </c>
      <c r="D467" s="12"/>
      <c r="E467" s="12"/>
      <c r="F467" s="17" t="s">
        <v>227</v>
      </c>
      <c r="G467" s="18">
        <v>1.5</v>
      </c>
      <c r="H467" s="18"/>
      <c r="I467" s="18">
        <v>1381.95</v>
      </c>
      <c r="J467" s="19">
        <v>12.06</v>
      </c>
      <c r="M467" s="20">
        <f>ROUND(ROUND(J467, 2)*I467, 2)</f>
        <v>16666.32</v>
      </c>
      <c r="P467" s="19">
        <v>12.07</v>
      </c>
      <c r="S467" s="20">
        <f>ROUND(ROUND(P467, 2)*I467, 2)</f>
        <v>16680.14</v>
      </c>
      <c r="V467" s="9">
        <f>ROUND(ROUND(P467, 2)/1.2, 2)</f>
        <v>10.06</v>
      </c>
      <c r="Y467" s="9">
        <f t="shared" si="15"/>
        <v>13900.12</v>
      </c>
      <c r="AD467" s="4" t="s">
        <v>1453</v>
      </c>
      <c r="AE467" s="4" t="s">
        <v>1454</v>
      </c>
      <c r="AF467" s="4" t="s">
        <v>1424</v>
      </c>
    </row>
    <row r="468" spans="1:35" ht="16.95" customHeight="1" x14ac:dyDescent="0.3">
      <c r="A468" s="10" t="s">
        <v>1455</v>
      </c>
      <c r="B468" s="10" t="s">
        <v>1456</v>
      </c>
      <c r="C468" s="47" t="s">
        <v>1457</v>
      </c>
      <c r="D468" s="48"/>
      <c r="E468" s="48"/>
      <c r="F468" s="48"/>
      <c r="G468" s="48"/>
      <c r="H468" s="48"/>
      <c r="I468" s="49"/>
      <c r="M468" s="6">
        <f>SUM(M469,M472,M475,M478,M481,M484,M487,M490,M493)</f>
        <v>2025969.9300000002</v>
      </c>
      <c r="N468" s="6">
        <f>SUM(N469,N472,N475,N478,N481,N484,N487,N490,N493)</f>
        <v>2484998.4</v>
      </c>
      <c r="O468" s="6">
        <f>SUM(O469,O472,O475,O478,O481,O484,O487,O490,O493)</f>
        <v>4510968.33</v>
      </c>
      <c r="S468" s="6">
        <f>SUM(S469,S472,S475,S478,S481,S484,S487,S490,S493)</f>
        <v>868089.21000000008</v>
      </c>
      <c r="T468" s="6">
        <f>SUM(T469,T472,T475,T478,T481,T484,T487,T490,T493)</f>
        <v>3727497.6000000006</v>
      </c>
      <c r="U468" s="6">
        <f>SUM(U469,U472,U475,U478,U481,U484,U487,U490,U493)</f>
        <v>4595586.8099999996</v>
      </c>
      <c r="Y468" s="9">
        <f>SUM(Y469,Y472,Y475,Y478,Y481,Y484,Y487,Y490,Y493)</f>
        <v>723407.68</v>
      </c>
      <c r="Z468" s="9">
        <f>SUM(Z469,Z472,Z475,Z478,Z481,Z484,Z487,Z490,Z493)</f>
        <v>3106248</v>
      </c>
      <c r="AA468" s="9">
        <f>SUM(AA469,AA472,AA475,AA478,AA481,AA484,AA487,AA490,AA493)</f>
        <v>3829655.6799999997</v>
      </c>
      <c r="AD468" s="4">
        <v>315890044</v>
      </c>
      <c r="AE468" s="4">
        <v>27245700</v>
      </c>
    </row>
    <row r="469" spans="1:35" ht="36" x14ac:dyDescent="0.3">
      <c r="A469" s="10" t="s">
        <v>1458</v>
      </c>
      <c r="B469" s="10" t="s">
        <v>1459</v>
      </c>
      <c r="C469" s="11" t="s">
        <v>1460</v>
      </c>
      <c r="D469" s="12"/>
      <c r="E469" s="12"/>
      <c r="F469" s="12" t="s">
        <v>59</v>
      </c>
      <c r="G469" s="13">
        <v>1</v>
      </c>
      <c r="H469" s="13"/>
      <c r="I469" s="13">
        <v>0</v>
      </c>
      <c r="J469" s="14">
        <v>0</v>
      </c>
      <c r="K469" s="15">
        <v>464</v>
      </c>
      <c r="L469" s="14">
        <f>J469+ROUND(K469, 2)</f>
        <v>464</v>
      </c>
      <c r="M469" s="14">
        <v>0</v>
      </c>
      <c r="N469" s="14">
        <v>0</v>
      </c>
      <c r="O469" s="14">
        <f>M469+N469</f>
        <v>0</v>
      </c>
      <c r="P469" s="14">
        <v>162.09</v>
      </c>
      <c r="Q469" s="15">
        <v>464</v>
      </c>
      <c r="R469" s="14">
        <f>P469+ROUND(Q469, 2)</f>
        <v>626.09</v>
      </c>
      <c r="S469" s="14">
        <v>0</v>
      </c>
      <c r="T469" s="14">
        <v>0</v>
      </c>
      <c r="U469" s="14">
        <f>S469+T469</f>
        <v>0</v>
      </c>
      <c r="V469" s="9">
        <f>ROUND(P469 / 1.2, 2)</f>
        <v>135.08000000000001</v>
      </c>
      <c r="W469" s="9">
        <f>ROUND(Q469 / 1.2, 2)</f>
        <v>386.67</v>
      </c>
      <c r="X469" s="9">
        <f>ROUND(R469 / 1.2, 2)</f>
        <v>521.74</v>
      </c>
      <c r="Y469" s="9">
        <f>ROUND(S469 / 1.2, 2)</f>
        <v>0</v>
      </c>
      <c r="Z469" s="9">
        <f>ROUND(T469 / 1.2, 2)</f>
        <v>0</v>
      </c>
      <c r="AA469" s="9">
        <f>Y469+Z469</f>
        <v>0</v>
      </c>
      <c r="AD469" s="4">
        <v>315890046</v>
      </c>
      <c r="AE469" s="4">
        <v>27245613</v>
      </c>
      <c r="AG469" s="4" t="s">
        <v>1461</v>
      </c>
      <c r="AH469" s="4" t="s">
        <v>1462</v>
      </c>
      <c r="AI469" s="4" t="s">
        <v>224</v>
      </c>
    </row>
    <row r="470" spans="1:35" ht="54" x14ac:dyDescent="0.3">
      <c r="A470" s="10" t="s">
        <v>1463</v>
      </c>
      <c r="B470" s="10"/>
      <c r="C470" s="16" t="s">
        <v>997</v>
      </c>
      <c r="D470" s="12"/>
      <c r="E470" s="12" t="s">
        <v>1464</v>
      </c>
      <c r="F470" s="17" t="s">
        <v>227</v>
      </c>
      <c r="G470" s="18">
        <v>0.3</v>
      </c>
      <c r="H470" s="18"/>
      <c r="I470" s="18">
        <v>0</v>
      </c>
      <c r="J470" s="19">
        <v>1216.56</v>
      </c>
      <c r="M470" s="20">
        <f>ROUND(ROUND(J470, 2)*I470, 2)</f>
        <v>0</v>
      </c>
      <c r="P470" s="19">
        <v>495.9</v>
      </c>
      <c r="S470" s="20">
        <f>ROUND(ROUND(P470, 2)*I470, 2)</f>
        <v>0</v>
      </c>
      <c r="V470" s="9">
        <f>ROUND(ROUND(P470, 2)/1.2, 2)</f>
        <v>413.25</v>
      </c>
      <c r="Y470" s="9">
        <f t="shared" ref="Y470:Y495" si="16">ROUND(S470 / 1.2, 2)</f>
        <v>0</v>
      </c>
      <c r="AD470" s="4" t="s">
        <v>1465</v>
      </c>
      <c r="AE470" s="4" t="s">
        <v>1466</v>
      </c>
      <c r="AF470" s="4" t="s">
        <v>1000</v>
      </c>
    </row>
    <row r="471" spans="1:35" ht="36" x14ac:dyDescent="0.3">
      <c r="A471" s="10" t="s">
        <v>1467</v>
      </c>
      <c r="B471" s="10"/>
      <c r="C471" s="16" t="s">
        <v>552</v>
      </c>
      <c r="D471" s="12"/>
      <c r="E471" s="12"/>
      <c r="F471" s="17" t="s">
        <v>227</v>
      </c>
      <c r="G471" s="18">
        <v>0.15</v>
      </c>
      <c r="H471" s="18"/>
      <c r="I471" s="18">
        <v>0</v>
      </c>
      <c r="J471" s="19">
        <v>88.8</v>
      </c>
      <c r="M471" s="20">
        <f>ROUND(ROUND(J471, 2)*I471, 2)</f>
        <v>0</v>
      </c>
      <c r="P471" s="19">
        <v>88.8</v>
      </c>
      <c r="S471" s="20">
        <f>ROUND(ROUND(P471, 2)*I471, 2)</f>
        <v>0</v>
      </c>
      <c r="V471" s="9">
        <f>ROUND(ROUND(P471, 2)/1.2, 2)</f>
        <v>74</v>
      </c>
      <c r="Y471" s="9">
        <f t="shared" si="16"/>
        <v>0</v>
      </c>
      <c r="AD471" s="4" t="s">
        <v>1468</v>
      </c>
      <c r="AE471" s="4" t="s">
        <v>1469</v>
      </c>
      <c r="AF471" s="4" t="s">
        <v>555</v>
      </c>
    </row>
    <row r="472" spans="1:35" ht="36" x14ac:dyDescent="0.3">
      <c r="A472" s="10" t="s">
        <v>1470</v>
      </c>
      <c r="B472" s="10" t="s">
        <v>1459</v>
      </c>
      <c r="C472" s="11" t="s">
        <v>1460</v>
      </c>
      <c r="D472" s="12"/>
      <c r="E472" s="12"/>
      <c r="F472" s="12" t="s">
        <v>59</v>
      </c>
      <c r="G472" s="13">
        <v>1</v>
      </c>
      <c r="H472" s="13"/>
      <c r="I472" s="13">
        <v>0</v>
      </c>
      <c r="J472" s="14">
        <v>0</v>
      </c>
      <c r="K472" s="15">
        <v>464</v>
      </c>
      <c r="L472" s="14">
        <f>J472+ROUND(K472, 2)</f>
        <v>464</v>
      </c>
      <c r="M472" s="14">
        <v>0</v>
      </c>
      <c r="N472" s="14">
        <v>0</v>
      </c>
      <c r="O472" s="14">
        <f>M472+N472</f>
        <v>0</v>
      </c>
      <c r="P472" s="14">
        <v>162.09</v>
      </c>
      <c r="Q472" s="15">
        <v>464</v>
      </c>
      <c r="R472" s="14">
        <f>P472+ROUND(Q472, 2)</f>
        <v>626.09</v>
      </c>
      <c r="S472" s="14">
        <v>0</v>
      </c>
      <c r="T472" s="14">
        <v>0</v>
      </c>
      <c r="U472" s="14">
        <f>S472+T472</f>
        <v>0</v>
      </c>
      <c r="V472" s="9">
        <f>ROUND(P472 / 1.2, 2)</f>
        <v>135.08000000000001</v>
      </c>
      <c r="W472" s="9">
        <f>ROUND(Q472 / 1.2, 2)</f>
        <v>386.67</v>
      </c>
      <c r="X472" s="9">
        <f>ROUND(R472 / 1.2, 2)</f>
        <v>521.74</v>
      </c>
      <c r="Y472" s="9">
        <f t="shared" si="16"/>
        <v>0</v>
      </c>
      <c r="Z472" s="9">
        <f>ROUND(T472 / 1.2, 2)</f>
        <v>0</v>
      </c>
      <c r="AA472" s="9">
        <f>Y472+Z472</f>
        <v>0</v>
      </c>
      <c r="AD472" s="4">
        <v>315890047</v>
      </c>
      <c r="AE472" s="4">
        <v>27245614</v>
      </c>
      <c r="AG472" s="4" t="s">
        <v>1461</v>
      </c>
      <c r="AH472" s="4" t="s">
        <v>1462</v>
      </c>
      <c r="AI472" s="4" t="s">
        <v>224</v>
      </c>
    </row>
    <row r="473" spans="1:35" ht="36" x14ac:dyDescent="0.3">
      <c r="A473" s="10" t="s">
        <v>1471</v>
      </c>
      <c r="B473" s="10"/>
      <c r="C473" s="16" t="s">
        <v>552</v>
      </c>
      <c r="D473" s="12"/>
      <c r="E473" s="12"/>
      <c r="F473" s="17" t="s">
        <v>227</v>
      </c>
      <c r="G473" s="18">
        <v>0.15</v>
      </c>
      <c r="H473" s="18"/>
      <c r="I473" s="18">
        <v>0</v>
      </c>
      <c r="J473" s="19">
        <v>88.8</v>
      </c>
      <c r="M473" s="20">
        <f>ROUND(ROUND(J473, 2)*I473, 2)</f>
        <v>0</v>
      </c>
      <c r="P473" s="19">
        <v>88.8</v>
      </c>
      <c r="S473" s="20">
        <f>ROUND(ROUND(P473, 2)*I473, 2)</f>
        <v>0</v>
      </c>
      <c r="V473" s="9">
        <f>ROUND(ROUND(P473, 2)/1.2, 2)</f>
        <v>74</v>
      </c>
      <c r="Y473" s="9">
        <f t="shared" si="16"/>
        <v>0</v>
      </c>
      <c r="AD473" s="4" t="s">
        <v>1472</v>
      </c>
      <c r="AE473" s="4" t="s">
        <v>1473</v>
      </c>
      <c r="AF473" s="4" t="s">
        <v>555</v>
      </c>
    </row>
    <row r="474" spans="1:35" ht="36" x14ac:dyDescent="0.3">
      <c r="A474" s="10" t="s">
        <v>1474</v>
      </c>
      <c r="B474" s="10"/>
      <c r="C474" s="16" t="s">
        <v>997</v>
      </c>
      <c r="D474" s="12"/>
      <c r="E474" s="12"/>
      <c r="F474" s="17" t="s">
        <v>227</v>
      </c>
      <c r="G474" s="18">
        <v>0.3</v>
      </c>
      <c r="H474" s="18"/>
      <c r="I474" s="18">
        <v>0</v>
      </c>
      <c r="J474" s="19">
        <v>1216.56</v>
      </c>
      <c r="M474" s="20">
        <f>ROUND(ROUND(J474, 2)*I474, 2)</f>
        <v>0</v>
      </c>
      <c r="P474" s="19">
        <v>495.9</v>
      </c>
      <c r="S474" s="20">
        <f>ROUND(ROUND(P474, 2)*I474, 2)</f>
        <v>0</v>
      </c>
      <c r="V474" s="9">
        <f>ROUND(ROUND(P474, 2)/1.2, 2)</f>
        <v>413.25</v>
      </c>
      <c r="Y474" s="9">
        <f t="shared" si="16"/>
        <v>0</v>
      </c>
      <c r="AD474" s="4" t="s">
        <v>1475</v>
      </c>
      <c r="AE474" s="4" t="s">
        <v>1476</v>
      </c>
      <c r="AF474" s="4" t="s">
        <v>1000</v>
      </c>
    </row>
    <row r="475" spans="1:35" ht="36" x14ac:dyDescent="0.3">
      <c r="A475" s="10" t="s">
        <v>1477</v>
      </c>
      <c r="B475" s="10" t="s">
        <v>1459</v>
      </c>
      <c r="C475" s="11" t="s">
        <v>1460</v>
      </c>
      <c r="D475" s="12"/>
      <c r="E475" s="12"/>
      <c r="F475" s="12" t="s">
        <v>59</v>
      </c>
      <c r="G475" s="13">
        <v>1</v>
      </c>
      <c r="H475" s="13"/>
      <c r="I475" s="13">
        <v>0</v>
      </c>
      <c r="J475" s="14">
        <v>0</v>
      </c>
      <c r="K475" s="15">
        <v>464</v>
      </c>
      <c r="L475" s="14">
        <f>J475+ROUND(K475, 2)</f>
        <v>464</v>
      </c>
      <c r="M475" s="14">
        <v>0</v>
      </c>
      <c r="N475" s="14">
        <v>0</v>
      </c>
      <c r="O475" s="14">
        <f>M475+N475</f>
        <v>0</v>
      </c>
      <c r="P475" s="14">
        <v>162.09</v>
      </c>
      <c r="Q475" s="15">
        <v>464</v>
      </c>
      <c r="R475" s="14">
        <f>P475+ROUND(Q475, 2)</f>
        <v>626.09</v>
      </c>
      <c r="S475" s="14">
        <v>0</v>
      </c>
      <c r="T475" s="14">
        <v>0</v>
      </c>
      <c r="U475" s="14">
        <f>S475+T475</f>
        <v>0</v>
      </c>
      <c r="V475" s="9">
        <f>ROUND(P475 / 1.2, 2)</f>
        <v>135.08000000000001</v>
      </c>
      <c r="W475" s="9">
        <f>ROUND(Q475 / 1.2, 2)</f>
        <v>386.67</v>
      </c>
      <c r="X475" s="9">
        <f>ROUND(R475 / 1.2, 2)</f>
        <v>521.74</v>
      </c>
      <c r="Y475" s="9">
        <f t="shared" si="16"/>
        <v>0</v>
      </c>
      <c r="Z475" s="9">
        <f>ROUND(T475 / 1.2, 2)</f>
        <v>0</v>
      </c>
      <c r="AA475" s="9">
        <f>Y475+Z475</f>
        <v>0</v>
      </c>
      <c r="AD475" s="4">
        <v>315890048</v>
      </c>
      <c r="AE475" s="4">
        <v>27245615</v>
      </c>
      <c r="AG475" s="4" t="s">
        <v>1461</v>
      </c>
      <c r="AH475" s="4" t="s">
        <v>1462</v>
      </c>
      <c r="AI475" s="4" t="s">
        <v>224</v>
      </c>
    </row>
    <row r="476" spans="1:35" ht="36" x14ac:dyDescent="0.3">
      <c r="A476" s="10" t="s">
        <v>1478</v>
      </c>
      <c r="B476" s="10"/>
      <c r="C476" s="16" t="s">
        <v>997</v>
      </c>
      <c r="D476" s="12"/>
      <c r="E476" s="12"/>
      <c r="F476" s="17" t="s">
        <v>227</v>
      </c>
      <c r="G476" s="18">
        <v>0.3</v>
      </c>
      <c r="H476" s="18"/>
      <c r="I476" s="18">
        <v>0</v>
      </c>
      <c r="J476" s="19">
        <v>1216.56</v>
      </c>
      <c r="M476" s="20">
        <f>ROUND(ROUND(J476, 2)*I476, 2)</f>
        <v>0</v>
      </c>
      <c r="P476" s="19">
        <v>495.9</v>
      </c>
      <c r="S476" s="20">
        <f>ROUND(ROUND(P476, 2)*I476, 2)</f>
        <v>0</v>
      </c>
      <c r="V476" s="9">
        <f>ROUND(ROUND(P476, 2)/1.2, 2)</f>
        <v>413.25</v>
      </c>
      <c r="Y476" s="9">
        <f t="shared" si="16"/>
        <v>0</v>
      </c>
      <c r="AD476" s="4" t="s">
        <v>1479</v>
      </c>
      <c r="AE476" s="4" t="s">
        <v>1480</v>
      </c>
      <c r="AF476" s="4" t="s">
        <v>1000</v>
      </c>
    </row>
    <row r="477" spans="1:35" ht="36" x14ac:dyDescent="0.3">
      <c r="A477" s="10" t="s">
        <v>1481</v>
      </c>
      <c r="B477" s="10"/>
      <c r="C477" s="16" t="s">
        <v>552</v>
      </c>
      <c r="D477" s="12"/>
      <c r="E477" s="12"/>
      <c r="F477" s="17" t="s">
        <v>227</v>
      </c>
      <c r="G477" s="18">
        <v>0.15</v>
      </c>
      <c r="H477" s="18"/>
      <c r="I477" s="18">
        <v>0</v>
      </c>
      <c r="J477" s="19">
        <v>88.8</v>
      </c>
      <c r="M477" s="20">
        <f>ROUND(ROUND(J477, 2)*I477, 2)</f>
        <v>0</v>
      </c>
      <c r="P477" s="19">
        <v>88.8</v>
      </c>
      <c r="S477" s="20">
        <f>ROUND(ROUND(P477, 2)*I477, 2)</f>
        <v>0</v>
      </c>
      <c r="V477" s="9">
        <f>ROUND(ROUND(P477, 2)/1.2, 2)</f>
        <v>74</v>
      </c>
      <c r="Y477" s="9">
        <f t="shared" si="16"/>
        <v>0</v>
      </c>
      <c r="AD477" s="4" t="s">
        <v>1482</v>
      </c>
      <c r="AE477" s="4" t="s">
        <v>1483</v>
      </c>
      <c r="AF477" s="4" t="s">
        <v>555</v>
      </c>
    </row>
    <row r="478" spans="1:35" ht="36" x14ac:dyDescent="0.3">
      <c r="A478" s="10" t="s">
        <v>1484</v>
      </c>
      <c r="B478" s="10" t="s">
        <v>1459</v>
      </c>
      <c r="C478" s="11" t="s">
        <v>1460</v>
      </c>
      <c r="D478" s="12"/>
      <c r="E478" s="12"/>
      <c r="F478" s="12" t="s">
        <v>59</v>
      </c>
      <c r="G478" s="13">
        <v>1</v>
      </c>
      <c r="H478" s="13"/>
      <c r="I478" s="13">
        <v>0</v>
      </c>
      <c r="J478" s="14">
        <v>0</v>
      </c>
      <c r="K478" s="15">
        <v>464</v>
      </c>
      <c r="L478" s="14">
        <f>J478+ROUND(K478, 2)</f>
        <v>464</v>
      </c>
      <c r="M478" s="14">
        <v>0</v>
      </c>
      <c r="N478" s="14">
        <v>0</v>
      </c>
      <c r="O478" s="14">
        <f>M478+N478</f>
        <v>0</v>
      </c>
      <c r="P478" s="14">
        <v>162.09</v>
      </c>
      <c r="Q478" s="15">
        <v>464</v>
      </c>
      <c r="R478" s="14">
        <f>P478+ROUND(Q478, 2)</f>
        <v>626.09</v>
      </c>
      <c r="S478" s="14">
        <v>0</v>
      </c>
      <c r="T478" s="14">
        <v>0</v>
      </c>
      <c r="U478" s="14">
        <f>S478+T478</f>
        <v>0</v>
      </c>
      <c r="V478" s="9">
        <f>ROUND(P478 / 1.2, 2)</f>
        <v>135.08000000000001</v>
      </c>
      <c r="W478" s="9">
        <f>ROUND(Q478 / 1.2, 2)</f>
        <v>386.67</v>
      </c>
      <c r="X478" s="9">
        <f>ROUND(R478 / 1.2, 2)</f>
        <v>521.74</v>
      </c>
      <c r="Y478" s="9">
        <f t="shared" si="16"/>
        <v>0</v>
      </c>
      <c r="Z478" s="9">
        <f>ROUND(T478 / 1.2, 2)</f>
        <v>0</v>
      </c>
      <c r="AA478" s="9">
        <f>Y478+Z478</f>
        <v>0</v>
      </c>
      <c r="AD478" s="4">
        <v>315890049</v>
      </c>
      <c r="AE478" s="4">
        <v>27245616</v>
      </c>
      <c r="AG478" s="4" t="s">
        <v>1461</v>
      </c>
      <c r="AH478" s="4" t="s">
        <v>1462</v>
      </c>
      <c r="AI478" s="4" t="s">
        <v>224</v>
      </c>
    </row>
    <row r="479" spans="1:35" ht="36" x14ac:dyDescent="0.3">
      <c r="A479" s="10" t="s">
        <v>1485</v>
      </c>
      <c r="B479" s="10"/>
      <c r="C479" s="16" t="s">
        <v>552</v>
      </c>
      <c r="D479" s="12"/>
      <c r="E479" s="12"/>
      <c r="F479" s="17" t="s">
        <v>227</v>
      </c>
      <c r="G479" s="18">
        <v>0.15</v>
      </c>
      <c r="H479" s="18"/>
      <c r="I479" s="18">
        <v>0</v>
      </c>
      <c r="J479" s="19">
        <v>88.8</v>
      </c>
      <c r="M479" s="20">
        <f>ROUND(ROUND(J479, 2)*I479, 2)</f>
        <v>0</v>
      </c>
      <c r="P479" s="19">
        <v>88.8</v>
      </c>
      <c r="S479" s="20">
        <f>ROUND(ROUND(P479, 2)*I479, 2)</f>
        <v>0</v>
      </c>
      <c r="V479" s="9">
        <f>ROUND(ROUND(P479, 2)/1.2, 2)</f>
        <v>74</v>
      </c>
      <c r="Y479" s="9">
        <f t="shared" si="16"/>
        <v>0</v>
      </c>
      <c r="AD479" s="4" t="s">
        <v>1486</v>
      </c>
      <c r="AE479" s="4" t="s">
        <v>1487</v>
      </c>
      <c r="AF479" s="4" t="s">
        <v>555</v>
      </c>
    </row>
    <row r="480" spans="1:35" ht="36" x14ac:dyDescent="0.3">
      <c r="A480" s="10" t="s">
        <v>1488</v>
      </c>
      <c r="B480" s="10"/>
      <c r="C480" s="16" t="s">
        <v>997</v>
      </c>
      <c r="D480" s="12"/>
      <c r="E480" s="12"/>
      <c r="F480" s="17" t="s">
        <v>227</v>
      </c>
      <c r="G480" s="18">
        <v>0.3</v>
      </c>
      <c r="H480" s="18"/>
      <c r="I480" s="18">
        <v>0</v>
      </c>
      <c r="J480" s="19">
        <v>1216.56</v>
      </c>
      <c r="M480" s="20">
        <f>ROUND(ROUND(J480, 2)*I480, 2)</f>
        <v>0</v>
      </c>
      <c r="P480" s="19">
        <v>495.9</v>
      </c>
      <c r="S480" s="20">
        <f>ROUND(ROUND(P480, 2)*I480, 2)</f>
        <v>0</v>
      </c>
      <c r="V480" s="9">
        <f>ROUND(ROUND(P480, 2)/1.2, 2)</f>
        <v>413.25</v>
      </c>
      <c r="Y480" s="9">
        <f t="shared" si="16"/>
        <v>0</v>
      </c>
      <c r="AD480" s="4" t="s">
        <v>1489</v>
      </c>
      <c r="AE480" s="4" t="s">
        <v>1490</v>
      </c>
      <c r="AF480" s="4" t="s">
        <v>1000</v>
      </c>
    </row>
    <row r="481" spans="1:35" ht="108" x14ac:dyDescent="0.3">
      <c r="A481" s="10" t="s">
        <v>1491</v>
      </c>
      <c r="B481" s="10" t="s">
        <v>1459</v>
      </c>
      <c r="C481" s="11" t="s">
        <v>1460</v>
      </c>
      <c r="D481" s="12"/>
      <c r="E481" s="12" t="s">
        <v>1492</v>
      </c>
      <c r="F481" s="12" t="s">
        <v>59</v>
      </c>
      <c r="G481" s="13">
        <v>1</v>
      </c>
      <c r="H481" s="13"/>
      <c r="I481" s="13">
        <v>3898.4</v>
      </c>
      <c r="J481" s="14">
        <v>378.29</v>
      </c>
      <c r="K481" s="15">
        <v>464</v>
      </c>
      <c r="L481" s="14">
        <f>J481+ROUND(K481, 2)</f>
        <v>842.29</v>
      </c>
      <c r="M481" s="14">
        <v>1474725.74</v>
      </c>
      <c r="N481" s="14">
        <v>1808857.6</v>
      </c>
      <c r="O481" s="14">
        <f>M481+N481</f>
        <v>3283583.34</v>
      </c>
      <c r="P481" s="14">
        <v>162.09</v>
      </c>
      <c r="Q481" s="15">
        <v>696</v>
      </c>
      <c r="R481" s="14">
        <f>P481+ROUND(Q481, 2)</f>
        <v>858.09</v>
      </c>
      <c r="S481" s="14">
        <v>631891.66</v>
      </c>
      <c r="T481" s="14">
        <v>2713286.4</v>
      </c>
      <c r="U481" s="14">
        <f>S481+T481</f>
        <v>3345178.06</v>
      </c>
      <c r="V481" s="9">
        <f>ROUND(P481 / 1.2, 2)</f>
        <v>135.08000000000001</v>
      </c>
      <c r="W481" s="9">
        <f>ROUND(Q481 / 1.2, 2)</f>
        <v>580</v>
      </c>
      <c r="X481" s="9">
        <f>ROUND(R481 / 1.2, 2)</f>
        <v>715.08</v>
      </c>
      <c r="Y481" s="9">
        <f t="shared" si="16"/>
        <v>526576.38</v>
      </c>
      <c r="Z481" s="9">
        <f>ROUND(T481 / 1.2, 2)</f>
        <v>2261072</v>
      </c>
      <c r="AA481" s="9">
        <f>Y481+Z481</f>
        <v>2787648.38</v>
      </c>
      <c r="AD481" s="4">
        <v>315890050</v>
      </c>
      <c r="AE481" s="4">
        <v>27245729</v>
      </c>
      <c r="AG481" s="4" t="s">
        <v>1461</v>
      </c>
      <c r="AH481" s="4" t="s">
        <v>1462</v>
      </c>
      <c r="AI481" s="4" t="s">
        <v>224</v>
      </c>
    </row>
    <row r="482" spans="1:35" ht="36" x14ac:dyDescent="0.3">
      <c r="A482" s="10" t="s">
        <v>1493</v>
      </c>
      <c r="B482" s="10"/>
      <c r="C482" s="16" t="s">
        <v>997</v>
      </c>
      <c r="D482" s="12"/>
      <c r="E482" s="12"/>
      <c r="F482" s="17" t="s">
        <v>227</v>
      </c>
      <c r="G482" s="18">
        <v>0.3</v>
      </c>
      <c r="H482" s="18"/>
      <c r="I482" s="18">
        <v>1169.52</v>
      </c>
      <c r="J482" s="19">
        <v>1216.56</v>
      </c>
      <c r="M482" s="20">
        <f>ROUND(ROUND(J482, 2)*I482, 2)</f>
        <v>1422791.25</v>
      </c>
      <c r="P482" s="19">
        <v>495.9</v>
      </c>
      <c r="S482" s="20">
        <f>ROUND(ROUND(P482, 2)*I482, 2)</f>
        <v>579964.97</v>
      </c>
      <c r="V482" s="9">
        <f>ROUND(ROUND(P482, 2)/1.2, 2)</f>
        <v>413.25</v>
      </c>
      <c r="Y482" s="9">
        <f t="shared" si="16"/>
        <v>483304.14</v>
      </c>
      <c r="AD482" s="4" t="s">
        <v>1494</v>
      </c>
      <c r="AE482" s="4" t="s">
        <v>1495</v>
      </c>
      <c r="AF482" s="4" t="s">
        <v>1000</v>
      </c>
    </row>
    <row r="483" spans="1:35" ht="36" x14ac:dyDescent="0.3">
      <c r="A483" s="10" t="s">
        <v>1496</v>
      </c>
      <c r="B483" s="10"/>
      <c r="C483" s="16" t="s">
        <v>552</v>
      </c>
      <c r="D483" s="12"/>
      <c r="E483" s="12"/>
      <c r="F483" s="17" t="s">
        <v>227</v>
      </c>
      <c r="G483" s="18">
        <v>0.15</v>
      </c>
      <c r="H483" s="18"/>
      <c r="I483" s="18">
        <v>584.76</v>
      </c>
      <c r="J483" s="19">
        <v>88.8</v>
      </c>
      <c r="M483" s="20">
        <f>ROUND(ROUND(J483, 2)*I483, 2)</f>
        <v>51926.69</v>
      </c>
      <c r="P483" s="19">
        <v>88.8</v>
      </c>
      <c r="S483" s="20">
        <f>ROUND(ROUND(P483, 2)*I483, 2)</f>
        <v>51926.69</v>
      </c>
      <c r="V483" s="9">
        <f>ROUND(ROUND(P483, 2)/1.2, 2)</f>
        <v>74</v>
      </c>
      <c r="Y483" s="9">
        <f t="shared" si="16"/>
        <v>43272.24</v>
      </c>
      <c r="AD483" s="4" t="s">
        <v>1497</v>
      </c>
      <c r="AE483" s="4" t="s">
        <v>1498</v>
      </c>
      <c r="AF483" s="4" t="s">
        <v>555</v>
      </c>
    </row>
    <row r="484" spans="1:35" ht="36" x14ac:dyDescent="0.3">
      <c r="A484" s="10" t="s">
        <v>1499</v>
      </c>
      <c r="B484" s="10" t="s">
        <v>1459</v>
      </c>
      <c r="C484" s="11" t="s">
        <v>1460</v>
      </c>
      <c r="D484" s="12"/>
      <c r="E484" s="12" t="s">
        <v>1500</v>
      </c>
      <c r="F484" s="12" t="s">
        <v>59</v>
      </c>
      <c r="G484" s="13">
        <v>1</v>
      </c>
      <c r="H484" s="13"/>
      <c r="I484" s="13">
        <v>921.3</v>
      </c>
      <c r="J484" s="14">
        <v>378.29</v>
      </c>
      <c r="K484" s="15">
        <v>464</v>
      </c>
      <c r="L484" s="14">
        <f>J484+ROUND(K484, 2)</f>
        <v>842.29</v>
      </c>
      <c r="M484" s="14">
        <v>348518.58</v>
      </c>
      <c r="N484" s="14">
        <v>427483.2</v>
      </c>
      <c r="O484" s="14">
        <f>M484+N484</f>
        <v>776001.78</v>
      </c>
      <c r="P484" s="14">
        <v>162.09</v>
      </c>
      <c r="Q484" s="15">
        <v>696</v>
      </c>
      <c r="R484" s="14">
        <f>P484+ROUND(Q484, 2)</f>
        <v>858.09</v>
      </c>
      <c r="S484" s="14">
        <v>149333.51999999999</v>
      </c>
      <c r="T484" s="14">
        <v>641224.80000000005</v>
      </c>
      <c r="U484" s="14">
        <f>S484+T484</f>
        <v>790558.32000000007</v>
      </c>
      <c r="V484" s="9">
        <f>ROUND(P484 / 1.2, 2)</f>
        <v>135.08000000000001</v>
      </c>
      <c r="W484" s="9">
        <f>ROUND(Q484 / 1.2, 2)</f>
        <v>580</v>
      </c>
      <c r="X484" s="9">
        <f>ROUND(R484 / 1.2, 2)</f>
        <v>715.08</v>
      </c>
      <c r="Y484" s="9">
        <f t="shared" si="16"/>
        <v>124444.6</v>
      </c>
      <c r="Z484" s="9">
        <f>ROUND(T484 / 1.2, 2)</f>
        <v>534354</v>
      </c>
      <c r="AA484" s="9">
        <f>Y484+Z484</f>
        <v>658798.6</v>
      </c>
      <c r="AD484" s="4">
        <v>315890051</v>
      </c>
      <c r="AE484" s="4">
        <v>27245736</v>
      </c>
      <c r="AG484" s="4" t="s">
        <v>1461</v>
      </c>
      <c r="AH484" s="4" t="s">
        <v>1462</v>
      </c>
      <c r="AI484" s="4" t="s">
        <v>224</v>
      </c>
    </row>
    <row r="485" spans="1:35" ht="36" x14ac:dyDescent="0.3">
      <c r="A485" s="10" t="s">
        <v>1501</v>
      </c>
      <c r="B485" s="10"/>
      <c r="C485" s="16" t="s">
        <v>552</v>
      </c>
      <c r="D485" s="12"/>
      <c r="E485" s="12"/>
      <c r="F485" s="17" t="s">
        <v>227</v>
      </c>
      <c r="G485" s="18">
        <v>0.15</v>
      </c>
      <c r="H485" s="18"/>
      <c r="I485" s="18">
        <v>138.19499999999999</v>
      </c>
      <c r="J485" s="19">
        <v>88.8</v>
      </c>
      <c r="M485" s="20">
        <f>ROUND(ROUND(J485, 2)*I485, 2)</f>
        <v>12271.72</v>
      </c>
      <c r="P485" s="19">
        <v>88.8</v>
      </c>
      <c r="S485" s="20">
        <f>ROUND(ROUND(P485, 2)*I485, 2)</f>
        <v>12271.72</v>
      </c>
      <c r="V485" s="9">
        <f>ROUND(ROUND(P485, 2)/1.2, 2)</f>
        <v>74</v>
      </c>
      <c r="Y485" s="9">
        <f t="shared" si="16"/>
        <v>10226.43</v>
      </c>
      <c r="AD485" s="4" t="s">
        <v>1502</v>
      </c>
      <c r="AE485" s="4" t="s">
        <v>1503</v>
      </c>
      <c r="AF485" s="4" t="s">
        <v>555</v>
      </c>
    </row>
    <row r="486" spans="1:35" ht="36" x14ac:dyDescent="0.3">
      <c r="A486" s="10" t="s">
        <v>1504</v>
      </c>
      <c r="B486" s="10"/>
      <c r="C486" s="16" t="s">
        <v>997</v>
      </c>
      <c r="D486" s="12"/>
      <c r="E486" s="12"/>
      <c r="F486" s="17" t="s">
        <v>227</v>
      </c>
      <c r="G486" s="18">
        <v>0.3</v>
      </c>
      <c r="H486" s="18"/>
      <c r="I486" s="18">
        <v>276.39</v>
      </c>
      <c r="J486" s="19">
        <v>1216.56</v>
      </c>
      <c r="M486" s="20">
        <f>ROUND(ROUND(J486, 2)*I486, 2)</f>
        <v>336245.02</v>
      </c>
      <c r="P486" s="19">
        <v>495.9</v>
      </c>
      <c r="S486" s="20">
        <f>ROUND(ROUND(P486, 2)*I486, 2)</f>
        <v>137061.79999999999</v>
      </c>
      <c r="V486" s="9">
        <f>ROUND(ROUND(P486, 2)/1.2, 2)</f>
        <v>413.25</v>
      </c>
      <c r="Y486" s="9">
        <f t="shared" si="16"/>
        <v>114218.17</v>
      </c>
      <c r="AD486" s="4" t="s">
        <v>1505</v>
      </c>
      <c r="AE486" s="4" t="s">
        <v>1506</v>
      </c>
      <c r="AF486" s="4" t="s">
        <v>1000</v>
      </c>
    </row>
    <row r="487" spans="1:35" ht="36" x14ac:dyDescent="0.3">
      <c r="A487" s="10" t="s">
        <v>1507</v>
      </c>
      <c r="B487" s="10" t="s">
        <v>1459</v>
      </c>
      <c r="C487" s="11" t="s">
        <v>1460</v>
      </c>
      <c r="D487" s="12"/>
      <c r="E487" s="12"/>
      <c r="F487" s="12" t="s">
        <v>59</v>
      </c>
      <c r="G487" s="13">
        <v>1</v>
      </c>
      <c r="H487" s="13"/>
      <c r="I487" s="13">
        <v>0</v>
      </c>
      <c r="J487" s="14">
        <v>0</v>
      </c>
      <c r="K487" s="15">
        <v>464</v>
      </c>
      <c r="L487" s="14">
        <f>J487+ROUND(K487, 2)</f>
        <v>464</v>
      </c>
      <c r="M487" s="14">
        <v>0</v>
      </c>
      <c r="N487" s="14">
        <v>0</v>
      </c>
      <c r="O487" s="14">
        <f>M487+N487</f>
        <v>0</v>
      </c>
      <c r="P487" s="14">
        <v>0</v>
      </c>
      <c r="Q487" s="15">
        <v>696</v>
      </c>
      <c r="R487" s="14">
        <f>P487+ROUND(Q487, 2)</f>
        <v>696</v>
      </c>
      <c r="S487" s="14">
        <v>0</v>
      </c>
      <c r="T487" s="14">
        <v>0</v>
      </c>
      <c r="U487" s="14">
        <f>S487+T487</f>
        <v>0</v>
      </c>
      <c r="V487" s="9">
        <f>ROUND(P487 / 1.2, 2)</f>
        <v>0</v>
      </c>
      <c r="W487" s="9">
        <f>ROUND(Q487 / 1.2, 2)</f>
        <v>580</v>
      </c>
      <c r="X487" s="9">
        <f>ROUND(R487 / 1.2, 2)</f>
        <v>580</v>
      </c>
      <c r="Y487" s="9">
        <f t="shared" si="16"/>
        <v>0</v>
      </c>
      <c r="Z487" s="9">
        <f>ROUND(T487 / 1.2, 2)</f>
        <v>0</v>
      </c>
      <c r="AA487" s="9">
        <f>Y487+Z487</f>
        <v>0</v>
      </c>
      <c r="AD487" s="4">
        <v>315890052</v>
      </c>
      <c r="AE487" s="4">
        <v>27245617</v>
      </c>
      <c r="AG487" s="4" t="s">
        <v>1461</v>
      </c>
      <c r="AH487" s="4" t="s">
        <v>1462</v>
      </c>
      <c r="AI487" s="4" t="s">
        <v>224</v>
      </c>
    </row>
    <row r="488" spans="1:35" ht="36" x14ac:dyDescent="0.3">
      <c r="A488" s="10" t="s">
        <v>1508</v>
      </c>
      <c r="B488" s="10"/>
      <c r="C488" s="16" t="s">
        <v>997</v>
      </c>
      <c r="D488" s="12"/>
      <c r="E488" s="12"/>
      <c r="F488" s="17" t="s">
        <v>227</v>
      </c>
      <c r="G488" s="18">
        <v>0.3</v>
      </c>
      <c r="H488" s="18"/>
      <c r="I488" s="18">
        <v>0</v>
      </c>
      <c r="J488" s="19">
        <v>1216.56</v>
      </c>
      <c r="M488" s="20">
        <f>ROUND(ROUND(J488, 2)*I488, 2)</f>
        <v>0</v>
      </c>
      <c r="P488" s="19">
        <v>495.9</v>
      </c>
      <c r="S488" s="20">
        <f>ROUND(ROUND(P488, 2)*I488, 2)</f>
        <v>0</v>
      </c>
      <c r="V488" s="9">
        <f>ROUND(ROUND(P488, 2)/1.2, 2)</f>
        <v>413.25</v>
      </c>
      <c r="Y488" s="9">
        <f t="shared" si="16"/>
        <v>0</v>
      </c>
      <c r="AD488" s="4" t="s">
        <v>1509</v>
      </c>
      <c r="AE488" s="4" t="s">
        <v>1510</v>
      </c>
      <c r="AF488" s="4" t="s">
        <v>1000</v>
      </c>
    </row>
    <row r="489" spans="1:35" ht="36" x14ac:dyDescent="0.3">
      <c r="A489" s="10" t="s">
        <v>1511</v>
      </c>
      <c r="B489" s="10"/>
      <c r="C489" s="16" t="s">
        <v>552</v>
      </c>
      <c r="D489" s="12"/>
      <c r="E489" s="12"/>
      <c r="F489" s="17" t="s">
        <v>227</v>
      </c>
      <c r="G489" s="18">
        <v>0.15</v>
      </c>
      <c r="H489" s="18"/>
      <c r="I489" s="18">
        <v>0</v>
      </c>
      <c r="J489" s="19">
        <v>88.8</v>
      </c>
      <c r="M489" s="20">
        <f>ROUND(ROUND(J489, 2)*I489, 2)</f>
        <v>0</v>
      </c>
      <c r="P489" s="19">
        <v>88.8</v>
      </c>
      <c r="S489" s="20">
        <f>ROUND(ROUND(P489, 2)*I489, 2)</f>
        <v>0</v>
      </c>
      <c r="V489" s="9">
        <f>ROUND(ROUND(P489, 2)/1.2, 2)</f>
        <v>74</v>
      </c>
      <c r="Y489" s="9">
        <f t="shared" si="16"/>
        <v>0</v>
      </c>
      <c r="AD489" s="4" t="s">
        <v>1512</v>
      </c>
      <c r="AE489" s="4" t="s">
        <v>1513</v>
      </c>
      <c r="AF489" s="4" t="s">
        <v>555</v>
      </c>
    </row>
    <row r="490" spans="1:35" ht="108" x14ac:dyDescent="0.3">
      <c r="A490" s="10" t="s">
        <v>1514</v>
      </c>
      <c r="B490" s="10" t="s">
        <v>1459</v>
      </c>
      <c r="C490" s="11" t="s">
        <v>1460</v>
      </c>
      <c r="D490" s="12"/>
      <c r="E490" s="12" t="s">
        <v>1515</v>
      </c>
      <c r="F490" s="12" t="s">
        <v>59</v>
      </c>
      <c r="G490" s="13">
        <v>1</v>
      </c>
      <c r="H490" s="13"/>
      <c r="I490" s="13">
        <v>272.2</v>
      </c>
      <c r="J490" s="14">
        <v>378.29</v>
      </c>
      <c r="K490" s="15">
        <v>464</v>
      </c>
      <c r="L490" s="14">
        <f>J490+ROUND(K490, 2)</f>
        <v>842.29</v>
      </c>
      <c r="M490" s="14">
        <v>102970.54</v>
      </c>
      <c r="N490" s="14">
        <v>126300.8</v>
      </c>
      <c r="O490" s="14">
        <f>M490+N490</f>
        <v>229271.34</v>
      </c>
      <c r="P490" s="14">
        <v>162.09</v>
      </c>
      <c r="Q490" s="15">
        <v>696</v>
      </c>
      <c r="R490" s="14">
        <f>P490+ROUND(Q490, 2)</f>
        <v>858.09</v>
      </c>
      <c r="S490" s="14">
        <v>44120.9</v>
      </c>
      <c r="T490" s="14">
        <v>189451.2</v>
      </c>
      <c r="U490" s="14">
        <f>S490+T490</f>
        <v>233572.1</v>
      </c>
      <c r="V490" s="9">
        <f>ROUND(P490 / 1.2, 2)</f>
        <v>135.08000000000001</v>
      </c>
      <c r="W490" s="9">
        <f>ROUND(Q490 / 1.2, 2)</f>
        <v>580</v>
      </c>
      <c r="X490" s="9">
        <f>ROUND(R490 / 1.2, 2)</f>
        <v>715.08</v>
      </c>
      <c r="Y490" s="9">
        <f t="shared" si="16"/>
        <v>36767.42</v>
      </c>
      <c r="Z490" s="9">
        <f>ROUND(T490 / 1.2, 2)</f>
        <v>157876</v>
      </c>
      <c r="AA490" s="9">
        <f>Y490+Z490</f>
        <v>194643.41999999998</v>
      </c>
      <c r="AD490" s="4">
        <v>315890053</v>
      </c>
      <c r="AE490" s="4">
        <v>27245731</v>
      </c>
      <c r="AG490" s="4" t="s">
        <v>1461</v>
      </c>
      <c r="AH490" s="4" t="s">
        <v>1462</v>
      </c>
      <c r="AI490" s="4" t="s">
        <v>224</v>
      </c>
    </row>
    <row r="491" spans="1:35" ht="36" x14ac:dyDescent="0.3">
      <c r="A491" s="10" t="s">
        <v>1516</v>
      </c>
      <c r="B491" s="10"/>
      <c r="C491" s="16" t="s">
        <v>552</v>
      </c>
      <c r="D491" s="12"/>
      <c r="E491" s="12"/>
      <c r="F491" s="17" t="s">
        <v>227</v>
      </c>
      <c r="G491" s="18">
        <v>0.15</v>
      </c>
      <c r="H491" s="18"/>
      <c r="I491" s="18">
        <v>40.83</v>
      </c>
      <c r="J491" s="19">
        <v>88.8</v>
      </c>
      <c r="M491" s="20">
        <f>ROUND(ROUND(J491, 2)*I491, 2)</f>
        <v>3625.7</v>
      </c>
      <c r="P491" s="19">
        <v>88.8</v>
      </c>
      <c r="S491" s="20">
        <f>ROUND(ROUND(P491, 2)*I491, 2)</f>
        <v>3625.7</v>
      </c>
      <c r="V491" s="9">
        <f>ROUND(ROUND(P491, 2)/1.2, 2)</f>
        <v>74</v>
      </c>
      <c r="Y491" s="9">
        <f t="shared" si="16"/>
        <v>3021.42</v>
      </c>
      <c r="AD491" s="4" t="s">
        <v>1517</v>
      </c>
      <c r="AE491" s="4" t="s">
        <v>1518</v>
      </c>
      <c r="AF491" s="4" t="s">
        <v>555</v>
      </c>
    </row>
    <row r="492" spans="1:35" ht="36" x14ac:dyDescent="0.3">
      <c r="A492" s="10" t="s">
        <v>1519</v>
      </c>
      <c r="B492" s="10"/>
      <c r="C492" s="16" t="s">
        <v>997</v>
      </c>
      <c r="D492" s="12"/>
      <c r="E492" s="12" t="s">
        <v>1520</v>
      </c>
      <c r="F492" s="17" t="s">
        <v>227</v>
      </c>
      <c r="G492" s="18">
        <v>0.3</v>
      </c>
      <c r="H492" s="18"/>
      <c r="I492" s="18">
        <v>81.66</v>
      </c>
      <c r="J492" s="19">
        <v>1216.56</v>
      </c>
      <c r="M492" s="20">
        <f>ROUND(ROUND(J492, 2)*I492, 2)</f>
        <v>99344.29</v>
      </c>
      <c r="P492" s="19">
        <v>495.9</v>
      </c>
      <c r="S492" s="20">
        <f>ROUND(ROUND(P492, 2)*I492, 2)</f>
        <v>40495.19</v>
      </c>
      <c r="V492" s="9">
        <f>ROUND(ROUND(P492, 2)/1.2, 2)</f>
        <v>413.25</v>
      </c>
      <c r="Y492" s="9">
        <f t="shared" si="16"/>
        <v>33745.99</v>
      </c>
      <c r="AD492" s="4" t="s">
        <v>1521</v>
      </c>
      <c r="AE492" s="4" t="s">
        <v>1522</v>
      </c>
      <c r="AF492" s="4" t="s">
        <v>1000</v>
      </c>
    </row>
    <row r="493" spans="1:35" ht="108" x14ac:dyDescent="0.3">
      <c r="A493" s="10" t="s">
        <v>1523</v>
      </c>
      <c r="B493" s="10" t="s">
        <v>1459</v>
      </c>
      <c r="C493" s="11" t="s">
        <v>1460</v>
      </c>
      <c r="D493" s="12"/>
      <c r="E493" s="12" t="s">
        <v>1524</v>
      </c>
      <c r="F493" s="12" t="s">
        <v>59</v>
      </c>
      <c r="G493" s="13">
        <v>1</v>
      </c>
      <c r="H493" s="13"/>
      <c r="I493" s="13">
        <v>263.7</v>
      </c>
      <c r="J493" s="14">
        <v>378.29</v>
      </c>
      <c r="K493" s="15">
        <v>464</v>
      </c>
      <c r="L493" s="14">
        <f>J493+ROUND(K493, 2)</f>
        <v>842.29</v>
      </c>
      <c r="M493" s="14">
        <v>99755.07</v>
      </c>
      <c r="N493" s="14">
        <v>122356.8</v>
      </c>
      <c r="O493" s="14">
        <f>M493+N493</f>
        <v>222111.87</v>
      </c>
      <c r="P493" s="14">
        <v>162.09</v>
      </c>
      <c r="Q493" s="15">
        <v>696</v>
      </c>
      <c r="R493" s="14">
        <f>P493+ROUND(Q493, 2)</f>
        <v>858.09</v>
      </c>
      <c r="S493" s="14">
        <v>42743.13</v>
      </c>
      <c r="T493" s="14">
        <v>183535.2</v>
      </c>
      <c r="U493" s="14">
        <f>S493+T493</f>
        <v>226278.33000000002</v>
      </c>
      <c r="V493" s="9">
        <f>ROUND(P493 / 1.2, 2)</f>
        <v>135.08000000000001</v>
      </c>
      <c r="W493" s="9">
        <f>ROUND(Q493 / 1.2, 2)</f>
        <v>580</v>
      </c>
      <c r="X493" s="9">
        <f>ROUND(R493 / 1.2, 2)</f>
        <v>715.08</v>
      </c>
      <c r="Y493" s="9">
        <f t="shared" si="16"/>
        <v>35619.279999999999</v>
      </c>
      <c r="Z493" s="9">
        <f>ROUND(T493 / 1.2, 2)</f>
        <v>152946</v>
      </c>
      <c r="AA493" s="9">
        <f>Y493+Z493</f>
        <v>188565.28</v>
      </c>
      <c r="AD493" s="4">
        <v>315890054</v>
      </c>
      <c r="AE493" s="4">
        <v>27245732</v>
      </c>
      <c r="AG493" s="4" t="s">
        <v>1461</v>
      </c>
      <c r="AH493" s="4" t="s">
        <v>1462</v>
      </c>
      <c r="AI493" s="4" t="s">
        <v>224</v>
      </c>
    </row>
    <row r="494" spans="1:35" ht="54" x14ac:dyDescent="0.3">
      <c r="A494" s="10" t="s">
        <v>1525</v>
      </c>
      <c r="B494" s="10"/>
      <c r="C494" s="16" t="s">
        <v>997</v>
      </c>
      <c r="D494" s="12"/>
      <c r="E494" s="12" t="s">
        <v>1526</v>
      </c>
      <c r="F494" s="17" t="s">
        <v>227</v>
      </c>
      <c r="G494" s="18">
        <v>0.3</v>
      </c>
      <c r="H494" s="18"/>
      <c r="I494" s="18">
        <v>79.11</v>
      </c>
      <c r="J494" s="19">
        <v>1216.56</v>
      </c>
      <c r="M494" s="20">
        <f>ROUND(ROUND(J494, 2)*I494, 2)</f>
        <v>96242.06</v>
      </c>
      <c r="P494" s="19">
        <v>495.9</v>
      </c>
      <c r="S494" s="20">
        <f>ROUND(ROUND(P494, 2)*I494, 2)</f>
        <v>39230.65</v>
      </c>
      <c r="V494" s="9">
        <f>ROUND(ROUND(P494, 2)/1.2, 2)</f>
        <v>413.25</v>
      </c>
      <c r="Y494" s="9">
        <f t="shared" si="16"/>
        <v>32692.21</v>
      </c>
      <c r="AD494" s="4" t="s">
        <v>1527</v>
      </c>
      <c r="AE494" s="4" t="s">
        <v>1528</v>
      </c>
      <c r="AF494" s="4" t="s">
        <v>1000</v>
      </c>
    </row>
    <row r="495" spans="1:35" ht="36" x14ac:dyDescent="0.3">
      <c r="A495" s="10" t="s">
        <v>1529</v>
      </c>
      <c r="B495" s="10"/>
      <c r="C495" s="16" t="s">
        <v>552</v>
      </c>
      <c r="D495" s="12"/>
      <c r="E495" s="12"/>
      <c r="F495" s="17" t="s">
        <v>227</v>
      </c>
      <c r="G495" s="18">
        <v>0.15</v>
      </c>
      <c r="H495" s="18"/>
      <c r="I495" s="18">
        <v>39.555</v>
      </c>
      <c r="J495" s="19">
        <v>88.8</v>
      </c>
      <c r="M495" s="20">
        <f>ROUND(ROUND(J495, 2)*I495, 2)</f>
        <v>3512.48</v>
      </c>
      <c r="P495" s="19">
        <v>88.8</v>
      </c>
      <c r="S495" s="20">
        <f>ROUND(ROUND(P495, 2)*I495, 2)</f>
        <v>3512.48</v>
      </c>
      <c r="V495" s="9">
        <f>ROUND(ROUND(P495, 2)/1.2, 2)</f>
        <v>74</v>
      </c>
      <c r="Y495" s="9">
        <f t="shared" si="16"/>
        <v>2927.07</v>
      </c>
      <c r="AD495" s="4" t="s">
        <v>1530</v>
      </c>
      <c r="AE495" s="4" t="s">
        <v>1531</v>
      </c>
      <c r="AF495" s="4" t="s">
        <v>555</v>
      </c>
    </row>
    <row r="496" spans="1:35" ht="16.95" customHeight="1" x14ac:dyDescent="0.3">
      <c r="A496" s="10" t="s">
        <v>1532</v>
      </c>
      <c r="B496" s="10" t="s">
        <v>1533</v>
      </c>
      <c r="C496" s="47" t="s">
        <v>1534</v>
      </c>
      <c r="D496" s="48"/>
      <c r="E496" s="48"/>
      <c r="F496" s="48"/>
      <c r="G496" s="48"/>
      <c r="H496" s="48"/>
      <c r="I496" s="49"/>
      <c r="M496" s="6">
        <f>SUM(M497,M501,M504,M506,M508,M510,M512,M514,M516,M517,M518,M520,M522,M536,M550,M552,M554,M556,M558,M560,M562,M564)</f>
        <v>4445051.75</v>
      </c>
      <c r="N496" s="6">
        <f>SUM(N497,N501,N504,N506,N508,N510,N512,N514,N516,N517,N518,N520,N522,N536,N550,N552,N554,N556,N558,N560,N562,N564)</f>
        <v>4990440.8</v>
      </c>
      <c r="O496" s="6">
        <f>SUM(O497,O501,O504,O506,O508,O510,O512,O514,O516,O517,O518,O520,O522,O536,O550,O552,O554,O556,O558,O560,O562,O564)</f>
        <v>9435492.5500000007</v>
      </c>
      <c r="S496" s="6">
        <f>SUM(S497,S501,S504,S506,S508,S510,S512,S514,S516,S517,S518,S520,S522,S536,S550,S552,S554,S556,S558,S560,S562,S564)</f>
        <v>5996135.4499999993</v>
      </c>
      <c r="T496" s="6">
        <f>SUM(T497,T501,T504,T506,T508,T510,T512,T514,T516,T517,T518,T520,T522,T536,T550,T552,T554,T556,T558,T560,T562,T564)</f>
        <v>7485661.2000000002</v>
      </c>
      <c r="U496" s="6">
        <f>SUM(U497,U501,U504,U506,U508,U510,U512,U514,U516,U517,U518,U520,U522,U536,U550,U552,U554,U556,U558,U560,U562,U564)</f>
        <v>13481796.65</v>
      </c>
      <c r="Y496" s="9">
        <f>SUM(Y497,Y501,Y504,Y506,Y508,Y510,Y512,Y514,Y516,Y517,Y518,Y520,Y522,Y536,Y550,Y552,Y554,Y556,Y558,Y560,Y562,Y564)</f>
        <v>4996779.55</v>
      </c>
      <c r="Z496" s="9">
        <f>SUM(Z497,Z501,Z504,Z506,Z508,Z510,Z512,Z514,Z516,Z517,Z518,Z520,Z522,Z536,Z550,Z552,Z554,Z556,Z558,Z560,Z562,Z564)</f>
        <v>6238051.0199999996</v>
      </c>
      <c r="AA496" s="9">
        <f>SUM(AA497,AA501,AA504,AA506,AA508,AA510,AA512,AA514,AA516,AA517,AA518,AA520,AA522,AA536,AA550,AA552,AA554,AA556,AA558,AA560,AA562,AA564)</f>
        <v>11234830.570000002</v>
      </c>
      <c r="AD496" s="4">
        <v>315890055</v>
      </c>
      <c r="AE496" s="4">
        <v>27245701</v>
      </c>
    </row>
    <row r="497" spans="1:35" ht="18" x14ac:dyDescent="0.3">
      <c r="A497" s="10" t="s">
        <v>1535</v>
      </c>
      <c r="B497" s="10" t="s">
        <v>1536</v>
      </c>
      <c r="C497" s="11" t="s">
        <v>1537</v>
      </c>
      <c r="D497" s="12"/>
      <c r="E497" s="12"/>
      <c r="F497" s="12" t="s">
        <v>59</v>
      </c>
      <c r="G497" s="13">
        <v>1</v>
      </c>
      <c r="H497" s="13"/>
      <c r="I497" s="13">
        <v>0</v>
      </c>
      <c r="J497" s="14">
        <v>0</v>
      </c>
      <c r="K497" s="15">
        <v>1359</v>
      </c>
      <c r="L497" s="14">
        <f>J497+ROUND(K497, 2)</f>
        <v>1359</v>
      </c>
      <c r="M497" s="14">
        <v>0</v>
      </c>
      <c r="N497" s="14">
        <v>0</v>
      </c>
      <c r="O497" s="14">
        <f>M497+N497</f>
        <v>0</v>
      </c>
      <c r="P497" s="14">
        <v>1231.99</v>
      </c>
      <c r="Q497" s="15">
        <v>1359</v>
      </c>
      <c r="R497" s="14">
        <f>P497+ROUND(Q497, 2)</f>
        <v>2590.9899999999998</v>
      </c>
      <c r="S497" s="14">
        <v>0</v>
      </c>
      <c r="T497" s="14">
        <v>0</v>
      </c>
      <c r="U497" s="14">
        <f>S497+T497</f>
        <v>0</v>
      </c>
      <c r="V497" s="9">
        <f>ROUND(P497 / 1.2, 2)</f>
        <v>1026.6600000000001</v>
      </c>
      <c r="W497" s="9">
        <f>ROUND(Q497 / 1.2, 2)</f>
        <v>1132.5</v>
      </c>
      <c r="X497" s="9">
        <f>ROUND(R497 / 1.2, 2)</f>
        <v>2159.16</v>
      </c>
      <c r="Y497" s="9">
        <f>ROUND(S497 / 1.2, 2)</f>
        <v>0</v>
      </c>
      <c r="Z497" s="9">
        <f>ROUND(T497 / 1.2, 2)</f>
        <v>0</v>
      </c>
      <c r="AA497" s="9">
        <f>Y497+Z497</f>
        <v>0</v>
      </c>
      <c r="AD497" s="4">
        <v>315890057</v>
      </c>
      <c r="AE497" s="4">
        <v>27245636</v>
      </c>
      <c r="AG497" s="4" t="s">
        <v>1538</v>
      </c>
      <c r="AH497" s="4" t="s">
        <v>1539</v>
      </c>
      <c r="AI497" s="4" t="s">
        <v>224</v>
      </c>
    </row>
    <row r="498" spans="1:35" ht="18" x14ac:dyDescent="0.3">
      <c r="A498" s="10" t="s">
        <v>1540</v>
      </c>
      <c r="B498" s="10"/>
      <c r="C498" s="16" t="s">
        <v>1541</v>
      </c>
      <c r="D498" s="12"/>
      <c r="E498" s="12"/>
      <c r="F498" s="17" t="s">
        <v>65</v>
      </c>
      <c r="G498" s="18">
        <v>1</v>
      </c>
      <c r="H498" s="18"/>
      <c r="I498" s="18">
        <v>0</v>
      </c>
      <c r="J498" s="19">
        <v>109</v>
      </c>
      <c r="M498" s="20">
        <f>ROUND(ROUND(J498, 2)*I498, 2)</f>
        <v>0</v>
      </c>
      <c r="P498" s="19">
        <v>109</v>
      </c>
      <c r="S498" s="20">
        <f>ROUND(ROUND(P498, 2)*I498, 2)</f>
        <v>0</v>
      </c>
      <c r="V498" s="9">
        <f>ROUND(ROUND(P498, 2)/1.2, 2)</f>
        <v>90.83</v>
      </c>
      <c r="Y498" s="9">
        <f t="shared" ref="Y498:Y515" si="17">ROUND(S498 / 1.2, 2)</f>
        <v>0</v>
      </c>
      <c r="AD498" s="4" t="s">
        <v>1542</v>
      </c>
      <c r="AE498" s="4" t="s">
        <v>1543</v>
      </c>
      <c r="AF498" s="4" t="s">
        <v>1544</v>
      </c>
    </row>
    <row r="499" spans="1:35" ht="18" x14ac:dyDescent="0.3">
      <c r="A499" s="10" t="s">
        <v>1545</v>
      </c>
      <c r="B499" s="10"/>
      <c r="C499" s="16" t="s">
        <v>1546</v>
      </c>
      <c r="D499" s="12"/>
      <c r="E499" s="12"/>
      <c r="F499" s="17" t="s">
        <v>59</v>
      </c>
      <c r="G499" s="18">
        <v>1.05</v>
      </c>
      <c r="H499" s="18"/>
      <c r="I499" s="18">
        <v>0</v>
      </c>
      <c r="J499" s="19">
        <v>838.09</v>
      </c>
      <c r="M499" s="20">
        <f>ROUND(ROUND(J499, 2)*I499, 2)</f>
        <v>0</v>
      </c>
      <c r="P499" s="19">
        <v>838.09</v>
      </c>
      <c r="S499" s="20">
        <f>ROUND(ROUND(P499, 2)*I499, 2)</f>
        <v>0</v>
      </c>
      <c r="V499" s="9">
        <f>ROUND(ROUND(P499, 2)/1.2, 2)</f>
        <v>698.41</v>
      </c>
      <c r="Y499" s="9">
        <f t="shared" si="17"/>
        <v>0</v>
      </c>
      <c r="AD499" s="4" t="s">
        <v>1547</v>
      </c>
      <c r="AE499" s="4" t="s">
        <v>1548</v>
      </c>
      <c r="AF499" s="4" t="s">
        <v>1549</v>
      </c>
    </row>
    <row r="500" spans="1:35" ht="18" x14ac:dyDescent="0.3">
      <c r="A500" s="10" t="s">
        <v>1550</v>
      </c>
      <c r="B500" s="10"/>
      <c r="C500" s="16" t="s">
        <v>1551</v>
      </c>
      <c r="D500" s="12"/>
      <c r="E500" s="12"/>
      <c r="F500" s="17" t="s">
        <v>65</v>
      </c>
      <c r="G500" s="18">
        <v>1</v>
      </c>
      <c r="H500" s="18"/>
      <c r="I500" s="18">
        <v>0</v>
      </c>
      <c r="J500" s="19">
        <v>0</v>
      </c>
      <c r="M500" s="20">
        <f>ROUND(ROUND(J500, 2)*I500, 2)</f>
        <v>0</v>
      </c>
      <c r="P500" s="19">
        <v>243</v>
      </c>
      <c r="S500" s="20">
        <f>ROUND(ROUND(P500, 2)*I500, 2)</f>
        <v>0</v>
      </c>
      <c r="V500" s="9">
        <f>ROUND(ROUND(P500, 2)/1.2, 2)</f>
        <v>202.5</v>
      </c>
      <c r="Y500" s="9">
        <f t="shared" si="17"/>
        <v>0</v>
      </c>
      <c r="AD500" s="4" t="s">
        <v>1552</v>
      </c>
      <c r="AE500" s="4" t="s">
        <v>1553</v>
      </c>
      <c r="AF500" s="4" t="s">
        <v>1554</v>
      </c>
    </row>
    <row r="501" spans="1:35" ht="144" x14ac:dyDescent="0.3">
      <c r="A501" s="10" t="s">
        <v>1555</v>
      </c>
      <c r="B501" s="10" t="s">
        <v>1536</v>
      </c>
      <c r="C501" s="11" t="s">
        <v>1537</v>
      </c>
      <c r="D501" s="12"/>
      <c r="E501" s="12" t="s">
        <v>1556</v>
      </c>
      <c r="F501" s="12" t="s">
        <v>59</v>
      </c>
      <c r="G501" s="13">
        <v>1</v>
      </c>
      <c r="H501" s="13"/>
      <c r="I501" s="13">
        <v>34.200000000000003</v>
      </c>
      <c r="J501" s="14">
        <v>879.99</v>
      </c>
      <c r="K501" s="15">
        <v>1359</v>
      </c>
      <c r="L501" s="14">
        <f>J501+ROUND(K501, 2)</f>
        <v>2238.9899999999998</v>
      </c>
      <c r="M501" s="14">
        <v>30095.66</v>
      </c>
      <c r="N501" s="14">
        <v>46477.8</v>
      </c>
      <c r="O501" s="14">
        <f>M501+N501</f>
        <v>76573.460000000006</v>
      </c>
      <c r="P501" s="14">
        <v>1122.99</v>
      </c>
      <c r="Q501" s="15">
        <v>2038.5</v>
      </c>
      <c r="R501" s="14">
        <f>P501+ROUND(Q501, 2)</f>
        <v>3161.49</v>
      </c>
      <c r="S501" s="14">
        <v>38406.26</v>
      </c>
      <c r="T501" s="14">
        <v>69716.7</v>
      </c>
      <c r="U501" s="14">
        <f>S501+T501</f>
        <v>108122.95999999999</v>
      </c>
      <c r="V501" s="9">
        <f>ROUND(P501 / 1.2, 2)</f>
        <v>935.83</v>
      </c>
      <c r="W501" s="9">
        <f>ROUND(Q501 / 1.2, 2)</f>
        <v>1698.75</v>
      </c>
      <c r="X501" s="9">
        <f>ROUND(R501 / 1.2, 2)</f>
        <v>2634.58</v>
      </c>
      <c r="Y501" s="9">
        <f t="shared" si="17"/>
        <v>32005.22</v>
      </c>
      <c r="Z501" s="9">
        <f>ROUND(T501 / 1.2, 2)</f>
        <v>58097.25</v>
      </c>
      <c r="AA501" s="9">
        <f>Y501+Z501</f>
        <v>90102.47</v>
      </c>
      <c r="AD501" s="4">
        <v>315890058</v>
      </c>
      <c r="AE501" s="4">
        <v>27245742</v>
      </c>
      <c r="AG501" s="4" t="s">
        <v>1538</v>
      </c>
      <c r="AH501" s="4" t="s">
        <v>1539</v>
      </c>
      <c r="AI501" s="4" t="s">
        <v>224</v>
      </c>
    </row>
    <row r="502" spans="1:35" ht="18" x14ac:dyDescent="0.3">
      <c r="A502" s="10" t="s">
        <v>1557</v>
      </c>
      <c r="B502" s="10"/>
      <c r="C502" s="16" t="s">
        <v>1551</v>
      </c>
      <c r="D502" s="12"/>
      <c r="E502" s="12"/>
      <c r="F502" s="17" t="s">
        <v>65</v>
      </c>
      <c r="G502" s="18">
        <v>1</v>
      </c>
      <c r="H502" s="18"/>
      <c r="I502" s="18">
        <v>34.200000000000003</v>
      </c>
      <c r="J502" s="19">
        <v>0</v>
      </c>
      <c r="M502" s="20">
        <f>ROUND(ROUND(J502, 2)*I502, 2)</f>
        <v>0</v>
      </c>
      <c r="P502" s="19">
        <v>243</v>
      </c>
      <c r="S502" s="20">
        <f>ROUND(ROUND(P502, 2)*I502, 2)</f>
        <v>8310.6</v>
      </c>
      <c r="V502" s="9">
        <f>ROUND(ROUND(P502, 2)/1.2, 2)</f>
        <v>202.5</v>
      </c>
      <c r="Y502" s="9">
        <f t="shared" si="17"/>
        <v>6925.5</v>
      </c>
      <c r="AD502" s="4" t="s">
        <v>1558</v>
      </c>
      <c r="AE502" s="4" t="s">
        <v>1559</v>
      </c>
      <c r="AF502" s="4" t="s">
        <v>1554</v>
      </c>
    </row>
    <row r="503" spans="1:35" ht="18" x14ac:dyDescent="0.3">
      <c r="A503" s="10" t="s">
        <v>1560</v>
      </c>
      <c r="B503" s="10"/>
      <c r="C503" s="16" t="s">
        <v>1546</v>
      </c>
      <c r="D503" s="12"/>
      <c r="E503" s="12"/>
      <c r="F503" s="17" t="s">
        <v>59</v>
      </c>
      <c r="G503" s="18">
        <v>1.05</v>
      </c>
      <c r="H503" s="18"/>
      <c r="I503" s="18">
        <v>35.909999999999997</v>
      </c>
      <c r="J503" s="19">
        <v>838.09</v>
      </c>
      <c r="M503" s="20">
        <f>ROUND(ROUND(J503, 2)*I503, 2)</f>
        <v>30095.81</v>
      </c>
      <c r="P503" s="19">
        <v>838.09</v>
      </c>
      <c r="S503" s="20">
        <f>ROUND(ROUND(P503, 2)*I503, 2)</f>
        <v>30095.81</v>
      </c>
      <c r="V503" s="9">
        <f>ROUND(ROUND(P503, 2)/1.2, 2)</f>
        <v>698.41</v>
      </c>
      <c r="Y503" s="9">
        <f t="shared" si="17"/>
        <v>25079.84</v>
      </c>
      <c r="AD503" s="4" t="s">
        <v>1561</v>
      </c>
      <c r="AE503" s="4" t="s">
        <v>1562</v>
      </c>
      <c r="AF503" s="4" t="s">
        <v>1549</v>
      </c>
    </row>
    <row r="504" spans="1:35" ht="36" x14ac:dyDescent="0.3">
      <c r="A504" s="10" t="s">
        <v>1563</v>
      </c>
      <c r="B504" s="10" t="s">
        <v>1564</v>
      </c>
      <c r="C504" s="11" t="s">
        <v>1565</v>
      </c>
      <c r="D504" s="12"/>
      <c r="E504" s="12"/>
      <c r="F504" s="12" t="s">
        <v>59</v>
      </c>
      <c r="G504" s="13">
        <v>1</v>
      </c>
      <c r="H504" s="13"/>
      <c r="I504" s="13">
        <v>0</v>
      </c>
      <c r="J504" s="14">
        <v>0</v>
      </c>
      <c r="K504" s="15">
        <v>837</v>
      </c>
      <c r="L504" s="14">
        <f>J504+ROUND(K504, 2)</f>
        <v>837</v>
      </c>
      <c r="M504" s="14">
        <v>0</v>
      </c>
      <c r="N504" s="14">
        <v>0</v>
      </c>
      <c r="O504" s="14">
        <f>M504+N504</f>
        <v>0</v>
      </c>
      <c r="P504" s="14">
        <v>1280.4000000000001</v>
      </c>
      <c r="Q504" s="15">
        <v>837</v>
      </c>
      <c r="R504" s="14">
        <f>P504+ROUND(Q504, 2)</f>
        <v>2117.4</v>
      </c>
      <c r="S504" s="14">
        <v>0</v>
      </c>
      <c r="T504" s="14">
        <v>0</v>
      </c>
      <c r="U504" s="14">
        <f>S504+T504</f>
        <v>0</v>
      </c>
      <c r="V504" s="9">
        <f>ROUND(P504 / 1.2, 2)</f>
        <v>1067</v>
      </c>
      <c r="W504" s="9">
        <f>ROUND(Q504 / 1.2, 2)</f>
        <v>697.5</v>
      </c>
      <c r="X504" s="9">
        <f>ROUND(R504 / 1.2, 2)</f>
        <v>1764.5</v>
      </c>
      <c r="Y504" s="9">
        <f t="shared" si="17"/>
        <v>0</v>
      </c>
      <c r="Z504" s="9">
        <f>ROUND(T504 / 1.2, 2)</f>
        <v>0</v>
      </c>
      <c r="AA504" s="9">
        <f>Y504+Z504</f>
        <v>0</v>
      </c>
      <c r="AD504" s="4">
        <v>315890059</v>
      </c>
      <c r="AE504" s="4">
        <v>27245723</v>
      </c>
      <c r="AG504" s="4" t="s">
        <v>1566</v>
      </c>
      <c r="AH504" s="4" t="s">
        <v>1567</v>
      </c>
      <c r="AI504" s="4" t="s">
        <v>224</v>
      </c>
    </row>
    <row r="505" spans="1:35" ht="18" x14ac:dyDescent="0.3">
      <c r="A505" s="10" t="s">
        <v>1568</v>
      </c>
      <c r="B505" s="10"/>
      <c r="C505" s="16" t="s">
        <v>1569</v>
      </c>
      <c r="D505" s="12"/>
      <c r="E505" s="12"/>
      <c r="F505" s="17" t="s">
        <v>59</v>
      </c>
      <c r="G505" s="18">
        <v>1.1000000000000001</v>
      </c>
      <c r="H505" s="22"/>
      <c r="I505" s="22">
        <v>0</v>
      </c>
      <c r="J505" s="19">
        <v>1164</v>
      </c>
      <c r="M505" s="20">
        <f>ROUND(ROUND(J505, 2)*I505, 2)</f>
        <v>0</v>
      </c>
      <c r="P505" s="19">
        <v>1164</v>
      </c>
      <c r="S505" s="20">
        <f>ROUND(ROUND(P505, 2)*I505, 2)</f>
        <v>0</v>
      </c>
      <c r="V505" s="9">
        <f>ROUND(ROUND(P505, 2)/1.2, 2)</f>
        <v>970</v>
      </c>
      <c r="Y505" s="9">
        <f t="shared" si="17"/>
        <v>0</v>
      </c>
      <c r="AD505" s="4" t="s">
        <v>1570</v>
      </c>
      <c r="AE505" s="4" t="s">
        <v>1571</v>
      </c>
      <c r="AF505" s="4" t="s">
        <v>1572</v>
      </c>
    </row>
    <row r="506" spans="1:35" ht="36" x14ac:dyDescent="0.3">
      <c r="A506" s="10" t="s">
        <v>1573</v>
      </c>
      <c r="B506" s="10" t="s">
        <v>1564</v>
      </c>
      <c r="C506" s="11" t="s">
        <v>1565</v>
      </c>
      <c r="D506" s="12"/>
      <c r="E506" s="12"/>
      <c r="F506" s="12" t="s">
        <v>59</v>
      </c>
      <c r="G506" s="13">
        <v>1</v>
      </c>
      <c r="H506" s="13"/>
      <c r="I506" s="13">
        <v>0</v>
      </c>
      <c r="J506" s="14">
        <v>0</v>
      </c>
      <c r="K506" s="15">
        <v>837</v>
      </c>
      <c r="L506" s="14">
        <f>J506+ROUND(K506, 2)</f>
        <v>837</v>
      </c>
      <c r="M506" s="14">
        <v>0</v>
      </c>
      <c r="N506" s="14">
        <v>0</v>
      </c>
      <c r="O506" s="14">
        <f>M506+N506</f>
        <v>0</v>
      </c>
      <c r="P506" s="14">
        <v>1280.4000000000001</v>
      </c>
      <c r="Q506" s="15">
        <v>837</v>
      </c>
      <c r="R506" s="14">
        <f>P506+ROUND(Q506, 2)</f>
        <v>2117.4</v>
      </c>
      <c r="S506" s="14">
        <v>0</v>
      </c>
      <c r="T506" s="14">
        <v>0</v>
      </c>
      <c r="U506" s="14">
        <f>S506+T506</f>
        <v>0</v>
      </c>
      <c r="V506" s="9">
        <f>ROUND(P506 / 1.2, 2)</f>
        <v>1067</v>
      </c>
      <c r="W506" s="9">
        <f>ROUND(Q506 / 1.2, 2)</f>
        <v>697.5</v>
      </c>
      <c r="X506" s="9">
        <f>ROUND(R506 / 1.2, 2)</f>
        <v>1764.5</v>
      </c>
      <c r="Y506" s="9">
        <f t="shared" si="17"/>
        <v>0</v>
      </c>
      <c r="Z506" s="9">
        <f>ROUND(T506 / 1.2, 2)</f>
        <v>0</v>
      </c>
      <c r="AA506" s="9">
        <f>Y506+Z506</f>
        <v>0</v>
      </c>
      <c r="AD506" s="4">
        <v>315890060</v>
      </c>
      <c r="AE506" s="4">
        <v>27245724</v>
      </c>
      <c r="AG506" s="4" t="s">
        <v>1566</v>
      </c>
      <c r="AH506" s="4" t="s">
        <v>1567</v>
      </c>
      <c r="AI506" s="4" t="s">
        <v>224</v>
      </c>
    </row>
    <row r="507" spans="1:35" ht="18" x14ac:dyDescent="0.3">
      <c r="A507" s="10" t="s">
        <v>1574</v>
      </c>
      <c r="B507" s="10"/>
      <c r="C507" s="16" t="s">
        <v>1569</v>
      </c>
      <c r="D507" s="12"/>
      <c r="E507" s="12"/>
      <c r="F507" s="17" t="s">
        <v>59</v>
      </c>
      <c r="G507" s="18">
        <v>1.1000000000000001</v>
      </c>
      <c r="H507" s="22"/>
      <c r="I507" s="22">
        <v>0</v>
      </c>
      <c r="J507" s="19">
        <v>1164</v>
      </c>
      <c r="M507" s="20">
        <f>ROUND(ROUND(J507, 2)*I507, 2)</f>
        <v>0</v>
      </c>
      <c r="P507" s="19">
        <v>1164</v>
      </c>
      <c r="S507" s="20">
        <f>ROUND(ROUND(P507, 2)*I507, 2)</f>
        <v>0</v>
      </c>
      <c r="V507" s="9">
        <f>ROUND(ROUND(P507, 2)/1.2, 2)</f>
        <v>970</v>
      </c>
      <c r="Y507" s="9">
        <f t="shared" si="17"/>
        <v>0</v>
      </c>
      <c r="AD507" s="4" t="s">
        <v>1575</v>
      </c>
      <c r="AE507" s="4" t="s">
        <v>1576</v>
      </c>
      <c r="AF507" s="4" t="s">
        <v>1572</v>
      </c>
    </row>
    <row r="508" spans="1:35" ht="36" x14ac:dyDescent="0.3">
      <c r="A508" s="10" t="s">
        <v>1577</v>
      </c>
      <c r="B508" s="10" t="s">
        <v>1564</v>
      </c>
      <c r="C508" s="11" t="s">
        <v>1565</v>
      </c>
      <c r="D508" s="12"/>
      <c r="E508" s="12"/>
      <c r="F508" s="12" t="s">
        <v>59</v>
      </c>
      <c r="G508" s="13">
        <v>1</v>
      </c>
      <c r="H508" s="13"/>
      <c r="I508" s="13">
        <v>0</v>
      </c>
      <c r="J508" s="14">
        <v>0</v>
      </c>
      <c r="K508" s="15">
        <v>837</v>
      </c>
      <c r="L508" s="14">
        <f>J508+ROUND(K508, 2)</f>
        <v>837</v>
      </c>
      <c r="M508" s="14">
        <v>0</v>
      </c>
      <c r="N508" s="14">
        <v>0</v>
      </c>
      <c r="O508" s="14">
        <f>M508+N508</f>
        <v>0</v>
      </c>
      <c r="P508" s="14">
        <v>1280.4000000000001</v>
      </c>
      <c r="Q508" s="15">
        <v>837</v>
      </c>
      <c r="R508" s="14">
        <f>P508+ROUND(Q508, 2)</f>
        <v>2117.4</v>
      </c>
      <c r="S508" s="14">
        <v>0</v>
      </c>
      <c r="T508" s="14">
        <v>0</v>
      </c>
      <c r="U508" s="14">
        <f>S508+T508</f>
        <v>0</v>
      </c>
      <c r="V508" s="9">
        <f>ROUND(P508 / 1.2, 2)</f>
        <v>1067</v>
      </c>
      <c r="W508" s="9">
        <f>ROUND(Q508 / 1.2, 2)</f>
        <v>697.5</v>
      </c>
      <c r="X508" s="9">
        <f>ROUND(R508 / 1.2, 2)</f>
        <v>1764.5</v>
      </c>
      <c r="Y508" s="9">
        <f t="shared" si="17"/>
        <v>0</v>
      </c>
      <c r="Z508" s="9">
        <f>ROUND(T508 / 1.2, 2)</f>
        <v>0</v>
      </c>
      <c r="AA508" s="9">
        <f>Y508+Z508</f>
        <v>0</v>
      </c>
      <c r="AD508" s="4">
        <v>315890061</v>
      </c>
      <c r="AE508" s="4">
        <v>27245725</v>
      </c>
      <c r="AG508" s="4" t="s">
        <v>1566</v>
      </c>
      <c r="AH508" s="4" t="s">
        <v>1567</v>
      </c>
      <c r="AI508" s="4" t="s">
        <v>224</v>
      </c>
    </row>
    <row r="509" spans="1:35" ht="18" x14ac:dyDescent="0.3">
      <c r="A509" s="10" t="s">
        <v>1578</v>
      </c>
      <c r="B509" s="10"/>
      <c r="C509" s="16" t="s">
        <v>1569</v>
      </c>
      <c r="D509" s="12"/>
      <c r="E509" s="12"/>
      <c r="F509" s="17" t="s">
        <v>59</v>
      </c>
      <c r="G509" s="18">
        <v>1.1000000000000001</v>
      </c>
      <c r="H509" s="22"/>
      <c r="I509" s="22">
        <v>0</v>
      </c>
      <c r="J509" s="19">
        <v>1164</v>
      </c>
      <c r="M509" s="20">
        <f>ROUND(ROUND(J509, 2)*I509, 2)</f>
        <v>0</v>
      </c>
      <c r="P509" s="19">
        <v>1164</v>
      </c>
      <c r="S509" s="20">
        <f>ROUND(ROUND(P509, 2)*I509, 2)</f>
        <v>0</v>
      </c>
      <c r="V509" s="9">
        <f>ROUND(ROUND(P509, 2)/1.2, 2)</f>
        <v>970</v>
      </c>
      <c r="Y509" s="9">
        <f t="shared" si="17"/>
        <v>0</v>
      </c>
      <c r="AD509" s="4" t="s">
        <v>1579</v>
      </c>
      <c r="AE509" s="4" t="s">
        <v>1580</v>
      </c>
      <c r="AF509" s="4" t="s">
        <v>1572</v>
      </c>
    </row>
    <row r="510" spans="1:35" ht="72" x14ac:dyDescent="0.3">
      <c r="A510" s="10" t="s">
        <v>1581</v>
      </c>
      <c r="B510" s="10" t="s">
        <v>1564</v>
      </c>
      <c r="C510" s="11" t="s">
        <v>1565</v>
      </c>
      <c r="D510" s="12"/>
      <c r="E510" s="12" t="s">
        <v>1582</v>
      </c>
      <c r="F510" s="12" t="s">
        <v>59</v>
      </c>
      <c r="G510" s="13">
        <v>1</v>
      </c>
      <c r="H510" s="13"/>
      <c r="I510" s="13">
        <v>6</v>
      </c>
      <c r="J510" s="14">
        <v>1280.4000000000001</v>
      </c>
      <c r="K510" s="15">
        <v>837</v>
      </c>
      <c r="L510" s="14">
        <f>J510+ROUND(K510, 2)</f>
        <v>2117.4</v>
      </c>
      <c r="M510" s="14">
        <v>7682.4</v>
      </c>
      <c r="N510" s="14">
        <v>5022</v>
      </c>
      <c r="O510" s="14">
        <f>M510+N510</f>
        <v>12704.4</v>
      </c>
      <c r="P510" s="14">
        <v>1280.4000000000001</v>
      </c>
      <c r="Q510" s="15">
        <v>1255.5</v>
      </c>
      <c r="R510" s="14">
        <f>P510+ROUND(Q510, 2)</f>
        <v>2535.9</v>
      </c>
      <c r="S510" s="14">
        <v>7682.4</v>
      </c>
      <c r="T510" s="14">
        <v>7533</v>
      </c>
      <c r="U510" s="14">
        <f>S510+T510</f>
        <v>15215.4</v>
      </c>
      <c r="V510" s="9">
        <f>ROUND(P510 / 1.2, 2)</f>
        <v>1067</v>
      </c>
      <c r="W510" s="9">
        <f>ROUND(Q510 / 1.2, 2)</f>
        <v>1046.25</v>
      </c>
      <c r="X510" s="9">
        <f>ROUND(R510 / 1.2, 2)</f>
        <v>2113.25</v>
      </c>
      <c r="Y510" s="9">
        <f t="shared" si="17"/>
        <v>6402</v>
      </c>
      <c r="Z510" s="9">
        <f>ROUND(T510 / 1.2, 2)</f>
        <v>6277.5</v>
      </c>
      <c r="AA510" s="9">
        <f>Y510+Z510</f>
        <v>12679.5</v>
      </c>
      <c r="AD510" s="4">
        <v>315890062</v>
      </c>
      <c r="AE510" s="4">
        <v>27245740</v>
      </c>
      <c r="AG510" s="4" t="s">
        <v>1566</v>
      </c>
      <c r="AH510" s="4" t="s">
        <v>1567</v>
      </c>
      <c r="AI510" s="4" t="s">
        <v>224</v>
      </c>
    </row>
    <row r="511" spans="1:35" ht="18" x14ac:dyDescent="0.3">
      <c r="A511" s="10" t="s">
        <v>1583</v>
      </c>
      <c r="B511" s="10"/>
      <c r="C511" s="16" t="s">
        <v>1569</v>
      </c>
      <c r="D511" s="12"/>
      <c r="E511" s="12"/>
      <c r="F511" s="17" t="s">
        <v>59</v>
      </c>
      <c r="G511" s="18">
        <v>1.1000000000000001</v>
      </c>
      <c r="H511" s="22"/>
      <c r="I511" s="22">
        <v>6.6</v>
      </c>
      <c r="J511" s="19">
        <v>1164</v>
      </c>
      <c r="M511" s="20">
        <f>ROUND(ROUND(J511, 2)*I511, 2)</f>
        <v>7682.4</v>
      </c>
      <c r="P511" s="19">
        <v>1164</v>
      </c>
      <c r="S511" s="20">
        <f>ROUND(ROUND(P511, 2)*I511, 2)</f>
        <v>7682.4</v>
      </c>
      <c r="V511" s="9">
        <f>ROUND(ROUND(P511, 2)/1.2, 2)</f>
        <v>970</v>
      </c>
      <c r="Y511" s="9">
        <f t="shared" si="17"/>
        <v>6402</v>
      </c>
      <c r="AD511" s="4" t="s">
        <v>1584</v>
      </c>
      <c r="AE511" s="4" t="s">
        <v>1585</v>
      </c>
      <c r="AF511" s="4" t="s">
        <v>1572</v>
      </c>
    </row>
    <row r="512" spans="1:35" ht="72" x14ac:dyDescent="0.3">
      <c r="A512" s="10" t="s">
        <v>1586</v>
      </c>
      <c r="B512" s="10" t="s">
        <v>1564</v>
      </c>
      <c r="C512" s="11" t="s">
        <v>1565</v>
      </c>
      <c r="D512" s="12"/>
      <c r="E512" s="12" t="s">
        <v>1587</v>
      </c>
      <c r="F512" s="12" t="s">
        <v>59</v>
      </c>
      <c r="G512" s="13">
        <v>1</v>
      </c>
      <c r="H512" s="13"/>
      <c r="I512" s="13">
        <v>1549.1</v>
      </c>
      <c r="J512" s="14">
        <v>1280.4000000000001</v>
      </c>
      <c r="K512" s="15">
        <v>837</v>
      </c>
      <c r="L512" s="14">
        <f>J512+ROUND(K512, 2)</f>
        <v>2117.4</v>
      </c>
      <c r="M512" s="14">
        <v>1983467.64</v>
      </c>
      <c r="N512" s="14">
        <v>1296596.7</v>
      </c>
      <c r="O512" s="14">
        <f>M512+N512</f>
        <v>3280064.34</v>
      </c>
      <c r="P512" s="14">
        <v>1280.4000000000001</v>
      </c>
      <c r="Q512" s="15">
        <v>1255.5</v>
      </c>
      <c r="R512" s="14">
        <f>P512+ROUND(Q512, 2)</f>
        <v>2535.9</v>
      </c>
      <c r="S512" s="14">
        <v>1983467.64</v>
      </c>
      <c r="T512" s="14">
        <v>1944895.05</v>
      </c>
      <c r="U512" s="14">
        <f>S512+T512</f>
        <v>3928362.69</v>
      </c>
      <c r="V512" s="9">
        <f>ROUND(P512 / 1.2, 2)</f>
        <v>1067</v>
      </c>
      <c r="W512" s="9">
        <f>ROUND(Q512 / 1.2, 2)</f>
        <v>1046.25</v>
      </c>
      <c r="X512" s="9">
        <f>ROUND(R512 / 1.2, 2)</f>
        <v>2113.25</v>
      </c>
      <c r="Y512" s="9">
        <f t="shared" si="17"/>
        <v>1652889.7</v>
      </c>
      <c r="Z512" s="9">
        <f>ROUND(T512 / 1.2, 2)</f>
        <v>1620745.88</v>
      </c>
      <c r="AA512" s="9">
        <f>Y512+Z512</f>
        <v>3273635.58</v>
      </c>
      <c r="AD512" s="4">
        <v>315890063</v>
      </c>
      <c r="AE512" s="4">
        <v>27245741</v>
      </c>
      <c r="AG512" s="4" t="s">
        <v>1566</v>
      </c>
      <c r="AH512" s="4" t="s">
        <v>1567</v>
      </c>
      <c r="AI512" s="4" t="s">
        <v>224</v>
      </c>
    </row>
    <row r="513" spans="1:35" ht="18" x14ac:dyDescent="0.3">
      <c r="A513" s="10" t="s">
        <v>1588</v>
      </c>
      <c r="B513" s="10"/>
      <c r="C513" s="16" t="s">
        <v>1569</v>
      </c>
      <c r="D513" s="12"/>
      <c r="E513" s="12" t="s">
        <v>1589</v>
      </c>
      <c r="F513" s="17" t="s">
        <v>59</v>
      </c>
      <c r="G513" s="18">
        <v>1.1000000000000001</v>
      </c>
      <c r="H513" s="22"/>
      <c r="I513" s="22">
        <v>1704.01</v>
      </c>
      <c r="J513" s="19">
        <v>1164</v>
      </c>
      <c r="M513" s="20">
        <f>ROUND(ROUND(J513, 2)*I513, 2)</f>
        <v>1983467.64</v>
      </c>
      <c r="P513" s="19">
        <v>1164</v>
      </c>
      <c r="S513" s="20">
        <f>ROUND(ROUND(P513, 2)*I513, 2)</f>
        <v>1983467.64</v>
      </c>
      <c r="V513" s="9">
        <f>ROUND(ROUND(P513, 2)/1.2, 2)</f>
        <v>970</v>
      </c>
      <c r="Y513" s="9">
        <f t="shared" si="17"/>
        <v>1652889.7</v>
      </c>
      <c r="AD513" s="4" t="s">
        <v>1590</v>
      </c>
      <c r="AE513" s="4" t="s">
        <v>1591</v>
      </c>
      <c r="AF513" s="4" t="s">
        <v>1572</v>
      </c>
    </row>
    <row r="514" spans="1:35" ht="72" x14ac:dyDescent="0.3">
      <c r="A514" s="10" t="s">
        <v>1592</v>
      </c>
      <c r="B514" s="10" t="s">
        <v>1564</v>
      </c>
      <c r="C514" s="11" t="s">
        <v>1565</v>
      </c>
      <c r="D514" s="12"/>
      <c r="E514" s="12" t="s">
        <v>1593</v>
      </c>
      <c r="F514" s="12" t="s">
        <v>59</v>
      </c>
      <c r="G514" s="13">
        <v>1</v>
      </c>
      <c r="H514" s="13"/>
      <c r="I514" s="13">
        <v>242</v>
      </c>
      <c r="J514" s="14">
        <v>1280.4000000000001</v>
      </c>
      <c r="K514" s="15">
        <v>837</v>
      </c>
      <c r="L514" s="14">
        <f>J514+ROUND(K514, 2)</f>
        <v>2117.4</v>
      </c>
      <c r="M514" s="14">
        <v>309856.8</v>
      </c>
      <c r="N514" s="14">
        <v>202554</v>
      </c>
      <c r="O514" s="14">
        <f>M514+N514</f>
        <v>512410.8</v>
      </c>
      <c r="P514" s="14">
        <v>1280.4000000000001</v>
      </c>
      <c r="Q514" s="15">
        <v>1255.5</v>
      </c>
      <c r="R514" s="14">
        <f>P514+ROUND(Q514, 2)</f>
        <v>2535.9</v>
      </c>
      <c r="S514" s="14">
        <v>309856.8</v>
      </c>
      <c r="T514" s="14">
        <v>303831</v>
      </c>
      <c r="U514" s="14">
        <f>S514+T514</f>
        <v>613687.80000000005</v>
      </c>
      <c r="V514" s="9">
        <f>ROUND(P514 / 1.2, 2)</f>
        <v>1067</v>
      </c>
      <c r="W514" s="9">
        <f>ROUND(Q514 / 1.2, 2)</f>
        <v>1046.25</v>
      </c>
      <c r="X514" s="9">
        <f>ROUND(R514 / 1.2, 2)</f>
        <v>2113.25</v>
      </c>
      <c r="Y514" s="9">
        <f t="shared" si="17"/>
        <v>258214</v>
      </c>
      <c r="Z514" s="9">
        <f>ROUND(T514 / 1.2, 2)</f>
        <v>253192.5</v>
      </c>
      <c r="AA514" s="9">
        <f>Y514+Z514</f>
        <v>511406.5</v>
      </c>
      <c r="AD514" s="4">
        <v>315890064</v>
      </c>
      <c r="AE514" s="4">
        <v>27245733</v>
      </c>
      <c r="AG514" s="4" t="s">
        <v>1566</v>
      </c>
      <c r="AH514" s="4" t="s">
        <v>1567</v>
      </c>
      <c r="AI514" s="4" t="s">
        <v>224</v>
      </c>
    </row>
    <row r="515" spans="1:35" ht="18" x14ac:dyDescent="0.3">
      <c r="A515" s="10" t="s">
        <v>1594</v>
      </c>
      <c r="B515" s="10"/>
      <c r="C515" s="16" t="s">
        <v>1569</v>
      </c>
      <c r="D515" s="12"/>
      <c r="E515" s="12"/>
      <c r="F515" s="17" t="s">
        <v>59</v>
      </c>
      <c r="G515" s="18">
        <v>1.1000000000000001</v>
      </c>
      <c r="H515" s="22"/>
      <c r="I515" s="22">
        <v>266.2</v>
      </c>
      <c r="J515" s="19">
        <v>1164</v>
      </c>
      <c r="M515" s="20">
        <f>ROUND(ROUND(J515, 2)*I515, 2)</f>
        <v>309856.8</v>
      </c>
      <c r="P515" s="19">
        <v>1164</v>
      </c>
      <c r="S515" s="20">
        <f>ROUND(ROUND(P515, 2)*I515, 2)</f>
        <v>309856.8</v>
      </c>
      <c r="V515" s="9">
        <f>ROUND(ROUND(P515, 2)/1.2, 2)</f>
        <v>970</v>
      </c>
      <c r="Y515" s="9">
        <f t="shared" si="17"/>
        <v>258214</v>
      </c>
      <c r="AD515" s="4" t="s">
        <v>1595</v>
      </c>
      <c r="AE515" s="4" t="s">
        <v>1596</v>
      </c>
      <c r="AF515" s="4" t="s">
        <v>1572</v>
      </c>
    </row>
    <row r="516" spans="1:35" ht="54" x14ac:dyDescent="0.3">
      <c r="A516" s="10" t="s">
        <v>1597</v>
      </c>
      <c r="B516" s="10" t="s">
        <v>1598</v>
      </c>
      <c r="C516" s="11" t="s">
        <v>1599</v>
      </c>
      <c r="D516" s="12"/>
      <c r="E516" s="12"/>
      <c r="F516" s="12" t="s">
        <v>59</v>
      </c>
      <c r="G516" s="13">
        <v>1</v>
      </c>
      <c r="H516" s="13"/>
      <c r="I516" s="13">
        <v>0</v>
      </c>
      <c r="J516" s="14">
        <v>0</v>
      </c>
      <c r="K516" s="15">
        <v>121</v>
      </c>
      <c r="L516" s="14">
        <f>J516+ROUND(K516, 2)</f>
        <v>121</v>
      </c>
      <c r="M516" s="14">
        <v>0</v>
      </c>
      <c r="N516" s="14">
        <v>0</v>
      </c>
      <c r="O516" s="14">
        <f>M516+N516</f>
        <v>0</v>
      </c>
      <c r="P516" s="14">
        <v>0</v>
      </c>
      <c r="Q516" s="15">
        <v>121</v>
      </c>
      <c r="R516" s="14">
        <f>P516+ROUND(Q516, 2)</f>
        <v>121</v>
      </c>
      <c r="S516" s="14">
        <v>0</v>
      </c>
      <c r="T516" s="14">
        <v>0</v>
      </c>
      <c r="U516" s="14">
        <f>S516+T516</f>
        <v>0</v>
      </c>
      <c r="V516" s="9"/>
      <c r="W516" s="9">
        <f t="shared" ref="W516:Y531" si="18">ROUND(Q516 / 1.2, 2)</f>
        <v>100.83</v>
      </c>
      <c r="X516" s="9">
        <f t="shared" si="18"/>
        <v>100.83</v>
      </c>
      <c r="Y516" s="9"/>
      <c r="Z516" s="9">
        <f>ROUND(T516 / 1.2, 2)</f>
        <v>0</v>
      </c>
      <c r="AA516" s="9">
        <f>Y516+Z516</f>
        <v>0</v>
      </c>
      <c r="AD516" s="4">
        <v>315890066</v>
      </c>
      <c r="AE516" s="4">
        <v>27245659</v>
      </c>
      <c r="AG516" s="4" t="s">
        <v>1600</v>
      </c>
      <c r="AH516" s="4" t="s">
        <v>1601</v>
      </c>
      <c r="AI516" s="4" t="s">
        <v>224</v>
      </c>
    </row>
    <row r="517" spans="1:35" ht="54" x14ac:dyDescent="0.3">
      <c r="A517" s="10" t="s">
        <v>1602</v>
      </c>
      <c r="B517" s="10" t="s">
        <v>1598</v>
      </c>
      <c r="C517" s="11" t="s">
        <v>1599</v>
      </c>
      <c r="D517" s="12"/>
      <c r="E517" s="12"/>
      <c r="F517" s="12" t="s">
        <v>59</v>
      </c>
      <c r="G517" s="13">
        <v>1</v>
      </c>
      <c r="H517" s="13"/>
      <c r="I517" s="13">
        <v>2000</v>
      </c>
      <c r="J517" s="14">
        <v>0</v>
      </c>
      <c r="K517" s="15">
        <v>121</v>
      </c>
      <c r="L517" s="14">
        <f>J517+ROUND(K517, 2)</f>
        <v>121</v>
      </c>
      <c r="M517" s="14">
        <v>0</v>
      </c>
      <c r="N517" s="14">
        <v>242000</v>
      </c>
      <c r="O517" s="14">
        <f>M517+N517</f>
        <v>242000</v>
      </c>
      <c r="P517" s="14">
        <v>0</v>
      </c>
      <c r="Q517" s="15">
        <v>181.5</v>
      </c>
      <c r="R517" s="14">
        <f>P517+ROUND(Q517, 2)</f>
        <v>181.5</v>
      </c>
      <c r="S517" s="14">
        <v>0</v>
      </c>
      <c r="T517" s="14">
        <v>363000</v>
      </c>
      <c r="U517" s="14">
        <f>S517+T517</f>
        <v>363000</v>
      </c>
      <c r="V517" s="9"/>
      <c r="W517" s="9">
        <f t="shared" si="18"/>
        <v>151.25</v>
      </c>
      <c r="X517" s="9">
        <f t="shared" si="18"/>
        <v>151.25</v>
      </c>
      <c r="Y517" s="9"/>
      <c r="Z517" s="9">
        <f>ROUND(T517 / 1.2, 2)</f>
        <v>302500</v>
      </c>
      <c r="AA517" s="9">
        <f>Y517+Z517</f>
        <v>302500</v>
      </c>
      <c r="AD517" s="4">
        <v>315890067</v>
      </c>
      <c r="AE517" s="4">
        <v>27245660</v>
      </c>
      <c r="AG517" s="4" t="s">
        <v>1600</v>
      </c>
      <c r="AH517" s="4" t="s">
        <v>1601</v>
      </c>
      <c r="AI517" s="4" t="s">
        <v>224</v>
      </c>
    </row>
    <row r="518" spans="1:35" ht="36" x14ac:dyDescent="0.3">
      <c r="A518" s="10" t="s">
        <v>1603</v>
      </c>
      <c r="B518" s="10" t="s">
        <v>1604</v>
      </c>
      <c r="C518" s="11" t="s">
        <v>1605</v>
      </c>
      <c r="D518" s="12"/>
      <c r="E518" s="12"/>
      <c r="F518" s="12" t="s">
        <v>59</v>
      </c>
      <c r="G518" s="13">
        <v>1</v>
      </c>
      <c r="H518" s="13"/>
      <c r="I518" s="13">
        <v>0</v>
      </c>
      <c r="J518" s="14">
        <v>0</v>
      </c>
      <c r="K518" s="15">
        <v>1724</v>
      </c>
      <c r="L518" s="14">
        <f>J518+ROUND(K518, 2)</f>
        <v>1724</v>
      </c>
      <c r="M518" s="14">
        <v>0</v>
      </c>
      <c r="N518" s="14">
        <v>0</v>
      </c>
      <c r="O518" s="14">
        <f>M518+N518</f>
        <v>0</v>
      </c>
      <c r="P518" s="14">
        <v>1310</v>
      </c>
      <c r="Q518" s="15">
        <v>1724</v>
      </c>
      <c r="R518" s="14">
        <f>P518+ROUND(Q518, 2)</f>
        <v>3034</v>
      </c>
      <c r="S518" s="14">
        <v>0</v>
      </c>
      <c r="T518" s="14">
        <v>0</v>
      </c>
      <c r="U518" s="14">
        <f>S518+T518</f>
        <v>0</v>
      </c>
      <c r="V518" s="9">
        <f>ROUND(P518 / 1.2, 2)</f>
        <v>1091.67</v>
      </c>
      <c r="W518" s="9">
        <f t="shared" si="18"/>
        <v>1436.67</v>
      </c>
      <c r="X518" s="9">
        <f t="shared" si="18"/>
        <v>2528.33</v>
      </c>
      <c r="Y518" s="9">
        <f t="shared" si="18"/>
        <v>0</v>
      </c>
      <c r="Z518" s="9">
        <f>ROUND(T518 / 1.2, 2)</f>
        <v>0</v>
      </c>
      <c r="AA518" s="9">
        <f>Y518+Z518</f>
        <v>0</v>
      </c>
      <c r="AD518" s="4">
        <v>315890069</v>
      </c>
      <c r="AE518" s="4">
        <v>27245626</v>
      </c>
      <c r="AG518" s="4" t="s">
        <v>1606</v>
      </c>
      <c r="AH518" s="4" t="s">
        <v>1607</v>
      </c>
      <c r="AI518" s="4" t="s">
        <v>224</v>
      </c>
    </row>
    <row r="519" spans="1:35" ht="36" x14ac:dyDescent="0.3">
      <c r="A519" s="10" t="s">
        <v>1608</v>
      </c>
      <c r="B519" s="10"/>
      <c r="C519" s="16" t="s">
        <v>1609</v>
      </c>
      <c r="D519" s="12"/>
      <c r="E519" s="12"/>
      <c r="F519" s="17" t="s">
        <v>59</v>
      </c>
      <c r="G519" s="18">
        <v>1</v>
      </c>
      <c r="H519" s="18"/>
      <c r="I519" s="18">
        <v>0</v>
      </c>
      <c r="J519" s="19">
        <v>0</v>
      </c>
      <c r="M519" s="20">
        <f>ROUND(ROUND(J519, 2)*I519, 2)</f>
        <v>0</v>
      </c>
      <c r="P519" s="19">
        <v>1310</v>
      </c>
      <c r="S519" s="20">
        <f>ROUND(ROUND(P519, 2)*I519, 2)</f>
        <v>0</v>
      </c>
      <c r="V519" s="9">
        <f>ROUND(ROUND(P519, 2)/1.2, 2)</f>
        <v>1091.67</v>
      </c>
      <c r="Y519" s="9">
        <f t="shared" si="18"/>
        <v>0</v>
      </c>
      <c r="AD519" s="4" t="s">
        <v>1610</v>
      </c>
      <c r="AE519" s="4" t="s">
        <v>1611</v>
      </c>
      <c r="AF519" s="4" t="s">
        <v>1612</v>
      </c>
    </row>
    <row r="520" spans="1:35" ht="90" x14ac:dyDescent="0.3">
      <c r="A520" s="10" t="s">
        <v>1613</v>
      </c>
      <c r="B520" s="10" t="s">
        <v>1604</v>
      </c>
      <c r="C520" s="11" t="s">
        <v>1605</v>
      </c>
      <c r="D520" s="12"/>
      <c r="E520" s="12" t="s">
        <v>1614</v>
      </c>
      <c r="F520" s="12" t="s">
        <v>59</v>
      </c>
      <c r="G520" s="13">
        <v>1</v>
      </c>
      <c r="H520" s="13"/>
      <c r="I520" s="13">
        <v>13.5</v>
      </c>
      <c r="J520" s="14">
        <v>0</v>
      </c>
      <c r="K520" s="15">
        <v>1724</v>
      </c>
      <c r="L520" s="14">
        <f>J520+ROUND(K520, 2)</f>
        <v>1724</v>
      </c>
      <c r="M520" s="14">
        <v>0</v>
      </c>
      <c r="N520" s="14">
        <v>23274</v>
      </c>
      <c r="O520" s="14">
        <f>M520+N520</f>
        <v>23274</v>
      </c>
      <c r="P520" s="14">
        <v>1310</v>
      </c>
      <c r="Q520" s="15">
        <v>2586</v>
      </c>
      <c r="R520" s="14">
        <f>P520+ROUND(Q520, 2)</f>
        <v>3896</v>
      </c>
      <c r="S520" s="14">
        <v>17685</v>
      </c>
      <c r="T520" s="14">
        <v>34911</v>
      </c>
      <c r="U520" s="14">
        <f>S520+T520</f>
        <v>52596</v>
      </c>
      <c r="V520" s="9">
        <f>ROUND(P520 / 1.2, 2)</f>
        <v>1091.67</v>
      </c>
      <c r="W520" s="9">
        <f>ROUND(Q520 / 1.2, 2)</f>
        <v>2155</v>
      </c>
      <c r="X520" s="9">
        <f>ROUND(R520 / 1.2, 2)</f>
        <v>3246.67</v>
      </c>
      <c r="Y520" s="9">
        <f t="shared" si="18"/>
        <v>14737.5</v>
      </c>
      <c r="Z520" s="9">
        <f>ROUND(T520 / 1.2, 2)</f>
        <v>29092.5</v>
      </c>
      <c r="AA520" s="9">
        <f>Y520+Z520</f>
        <v>43830</v>
      </c>
      <c r="AD520" s="4">
        <v>315890070</v>
      </c>
      <c r="AE520" s="4">
        <v>27245735</v>
      </c>
      <c r="AG520" s="4" t="s">
        <v>1606</v>
      </c>
      <c r="AH520" s="4" t="s">
        <v>1607</v>
      </c>
      <c r="AI520" s="4" t="s">
        <v>224</v>
      </c>
    </row>
    <row r="521" spans="1:35" ht="36" x14ac:dyDescent="0.3">
      <c r="A521" s="10" t="s">
        <v>1615</v>
      </c>
      <c r="B521" s="10"/>
      <c r="C521" s="16" t="s">
        <v>1609</v>
      </c>
      <c r="D521" s="12"/>
      <c r="E521" s="12"/>
      <c r="F521" s="17" t="s">
        <v>59</v>
      </c>
      <c r="G521" s="18">
        <v>1</v>
      </c>
      <c r="H521" s="18"/>
      <c r="I521" s="18">
        <v>13.5</v>
      </c>
      <c r="J521" s="19">
        <v>0</v>
      </c>
      <c r="M521" s="20">
        <f>ROUND(ROUND(J521, 2)*I521, 2)</f>
        <v>0</v>
      </c>
      <c r="P521" s="19">
        <v>1310</v>
      </c>
      <c r="S521" s="20">
        <f>ROUND(ROUND(P521, 2)*I521, 2)</f>
        <v>17685</v>
      </c>
      <c r="V521" s="9">
        <f>ROUND(ROUND(P521, 2)/1.2, 2)</f>
        <v>1091.67</v>
      </c>
      <c r="Y521" s="9">
        <f t="shared" si="18"/>
        <v>14737.5</v>
      </c>
      <c r="AD521" s="4" t="s">
        <v>1616</v>
      </c>
      <c r="AE521" s="4" t="s">
        <v>1617</v>
      </c>
      <c r="AF521" s="4" t="s">
        <v>1612</v>
      </c>
    </row>
    <row r="522" spans="1:35" ht="36" x14ac:dyDescent="0.3">
      <c r="A522" s="10" t="s">
        <v>1618</v>
      </c>
      <c r="B522" s="10" t="s">
        <v>1619</v>
      </c>
      <c r="C522" s="11" t="s">
        <v>1620</v>
      </c>
      <c r="D522" s="12"/>
      <c r="E522" s="12"/>
      <c r="F522" s="12" t="s">
        <v>59</v>
      </c>
      <c r="G522" s="13">
        <v>1</v>
      </c>
      <c r="H522" s="13"/>
      <c r="I522" s="13">
        <v>0</v>
      </c>
      <c r="J522" s="14">
        <v>0</v>
      </c>
      <c r="K522" s="15">
        <v>1379</v>
      </c>
      <c r="L522" s="14">
        <f>J522+ROUND(K522, 2)</f>
        <v>1379</v>
      </c>
      <c r="M522" s="14">
        <v>0</v>
      </c>
      <c r="N522" s="14">
        <v>0</v>
      </c>
      <c r="O522" s="14">
        <f>M522+N522</f>
        <v>0</v>
      </c>
      <c r="P522" s="14">
        <v>2076.5300000000002</v>
      </c>
      <c r="Q522" s="15">
        <v>1379</v>
      </c>
      <c r="R522" s="14">
        <f>P522+ROUND(Q522, 2)</f>
        <v>3455.53</v>
      </c>
      <c r="S522" s="14">
        <v>0</v>
      </c>
      <c r="T522" s="14">
        <v>0</v>
      </c>
      <c r="U522" s="14">
        <f>S522+T522</f>
        <v>0</v>
      </c>
      <c r="V522" s="9">
        <f>ROUND(P522 / 1.2, 2)</f>
        <v>1730.44</v>
      </c>
      <c r="W522" s="9">
        <f>ROUND(Q522 / 1.2, 2)</f>
        <v>1149.17</v>
      </c>
      <c r="X522" s="9">
        <f>ROUND(R522 / 1.2, 2)</f>
        <v>2879.61</v>
      </c>
      <c r="Y522" s="9">
        <f t="shared" si="18"/>
        <v>0</v>
      </c>
      <c r="Z522" s="9">
        <f>ROUND(T522 / 1.2, 2)</f>
        <v>0</v>
      </c>
      <c r="AA522" s="9">
        <f>Y522+Z522</f>
        <v>0</v>
      </c>
      <c r="AD522" s="4">
        <v>315890071</v>
      </c>
      <c r="AE522" s="4">
        <v>27245620</v>
      </c>
      <c r="AG522" s="4" t="s">
        <v>1621</v>
      </c>
      <c r="AH522" s="4" t="s">
        <v>1622</v>
      </c>
      <c r="AI522" s="4" t="s">
        <v>224</v>
      </c>
    </row>
    <row r="523" spans="1:35" ht="18" x14ac:dyDescent="0.3">
      <c r="A523" s="10" t="s">
        <v>1623</v>
      </c>
      <c r="B523" s="10"/>
      <c r="C523" s="16" t="s">
        <v>1624</v>
      </c>
      <c r="D523" s="12"/>
      <c r="E523" s="12"/>
      <c r="F523" s="17" t="s">
        <v>308</v>
      </c>
      <c r="G523" s="18">
        <v>15</v>
      </c>
      <c r="H523" s="18"/>
      <c r="I523" s="18">
        <v>0</v>
      </c>
      <c r="J523" s="19">
        <v>0.95</v>
      </c>
      <c r="M523" s="20">
        <f t="shared" ref="M523:M535" si="19">ROUND(ROUND(J523, 2)*I523, 2)</f>
        <v>0</v>
      </c>
      <c r="P523" s="19">
        <v>0.95</v>
      </c>
      <c r="S523" s="20">
        <f t="shared" ref="S523:S535" si="20">ROUND(ROUND(P523, 2)*I523, 2)</f>
        <v>0</v>
      </c>
      <c r="V523" s="9">
        <f t="shared" ref="V523:V535" si="21">ROUND(ROUND(P523, 2)/1.2, 2)</f>
        <v>0.79</v>
      </c>
      <c r="Y523" s="9">
        <f t="shared" si="18"/>
        <v>0</v>
      </c>
      <c r="AD523" s="4" t="s">
        <v>1625</v>
      </c>
      <c r="AE523" s="4" t="s">
        <v>1626</v>
      </c>
      <c r="AF523" s="4" t="s">
        <v>1627</v>
      </c>
    </row>
    <row r="524" spans="1:35" ht="18" x14ac:dyDescent="0.3">
      <c r="A524" s="10" t="s">
        <v>1628</v>
      </c>
      <c r="B524" s="10"/>
      <c r="C524" s="16" t="s">
        <v>1629</v>
      </c>
      <c r="D524" s="12"/>
      <c r="E524" s="12"/>
      <c r="F524" s="17" t="s">
        <v>308</v>
      </c>
      <c r="G524" s="18">
        <v>30</v>
      </c>
      <c r="H524" s="18"/>
      <c r="I524" s="18">
        <v>0</v>
      </c>
      <c r="J524" s="19">
        <v>0.28000000000000003</v>
      </c>
      <c r="M524" s="20">
        <f t="shared" si="19"/>
        <v>0</v>
      </c>
      <c r="P524" s="19">
        <v>0.28000000000000003</v>
      </c>
      <c r="S524" s="20">
        <f t="shared" si="20"/>
        <v>0</v>
      </c>
      <c r="V524" s="9">
        <f t="shared" si="21"/>
        <v>0.23</v>
      </c>
      <c r="Y524" s="9">
        <f t="shared" si="18"/>
        <v>0</v>
      </c>
      <c r="AD524" s="4" t="s">
        <v>1630</v>
      </c>
      <c r="AE524" s="4" t="s">
        <v>1631</v>
      </c>
      <c r="AF524" s="4" t="s">
        <v>1632</v>
      </c>
    </row>
    <row r="525" spans="1:35" ht="18" x14ac:dyDescent="0.3">
      <c r="A525" s="10" t="s">
        <v>1633</v>
      </c>
      <c r="B525" s="10"/>
      <c r="C525" s="16" t="s">
        <v>1634</v>
      </c>
      <c r="D525" s="12"/>
      <c r="E525" s="12"/>
      <c r="F525" s="17" t="s">
        <v>227</v>
      </c>
      <c r="G525" s="18">
        <v>0.35</v>
      </c>
      <c r="H525" s="18"/>
      <c r="I525" s="18">
        <v>0</v>
      </c>
      <c r="J525" s="19">
        <v>55</v>
      </c>
      <c r="M525" s="20">
        <f t="shared" si="19"/>
        <v>0</v>
      </c>
      <c r="P525" s="19">
        <v>55</v>
      </c>
      <c r="S525" s="20">
        <f t="shared" si="20"/>
        <v>0</v>
      </c>
      <c r="V525" s="9">
        <f t="shared" si="21"/>
        <v>45.83</v>
      </c>
      <c r="Y525" s="9">
        <f t="shared" si="18"/>
        <v>0</v>
      </c>
      <c r="AD525" s="4" t="s">
        <v>1635</v>
      </c>
      <c r="AE525" s="4" t="s">
        <v>1636</v>
      </c>
      <c r="AF525" s="4" t="s">
        <v>1637</v>
      </c>
    </row>
    <row r="526" spans="1:35" ht="18" x14ac:dyDescent="0.3">
      <c r="A526" s="10" t="s">
        <v>1638</v>
      </c>
      <c r="B526" s="10"/>
      <c r="C526" s="16" t="s">
        <v>1639</v>
      </c>
      <c r="D526" s="12"/>
      <c r="E526" s="12"/>
      <c r="F526" s="17" t="s">
        <v>308</v>
      </c>
      <c r="G526" s="18">
        <v>0.3</v>
      </c>
      <c r="H526" s="18"/>
      <c r="I526" s="18">
        <v>0</v>
      </c>
      <c r="J526" s="19">
        <v>5.6</v>
      </c>
      <c r="M526" s="20">
        <f t="shared" si="19"/>
        <v>0</v>
      </c>
      <c r="P526" s="19">
        <v>5.6</v>
      </c>
      <c r="S526" s="20">
        <f t="shared" si="20"/>
        <v>0</v>
      </c>
      <c r="V526" s="9">
        <f t="shared" si="21"/>
        <v>4.67</v>
      </c>
      <c r="Y526" s="9">
        <f t="shared" si="18"/>
        <v>0</v>
      </c>
      <c r="AD526" s="4" t="s">
        <v>1640</v>
      </c>
      <c r="AE526" s="4" t="s">
        <v>1641</v>
      </c>
      <c r="AF526" s="4" t="s">
        <v>1642</v>
      </c>
    </row>
    <row r="527" spans="1:35" ht="36" x14ac:dyDescent="0.3">
      <c r="A527" s="10" t="s">
        <v>1643</v>
      </c>
      <c r="B527" s="10"/>
      <c r="C527" s="21" t="s">
        <v>1644</v>
      </c>
      <c r="D527" s="12"/>
      <c r="E527" s="12"/>
      <c r="F527" s="17" t="s">
        <v>308</v>
      </c>
      <c r="G527" s="18">
        <v>3.6</v>
      </c>
      <c r="H527" s="18"/>
      <c r="I527" s="18">
        <v>0</v>
      </c>
      <c r="J527" s="19">
        <v>15.9</v>
      </c>
      <c r="M527" s="20">
        <f t="shared" si="19"/>
        <v>0</v>
      </c>
      <c r="P527" s="19">
        <v>15.9</v>
      </c>
      <c r="S527" s="20">
        <f t="shared" si="20"/>
        <v>0</v>
      </c>
      <c r="V527" s="9">
        <f t="shared" si="21"/>
        <v>13.25</v>
      </c>
      <c r="Y527" s="9">
        <f t="shared" si="18"/>
        <v>0</v>
      </c>
      <c r="AD527" s="4" t="s">
        <v>1645</v>
      </c>
      <c r="AE527" s="4" t="s">
        <v>1646</v>
      </c>
      <c r="AF527" s="4" t="s">
        <v>1647</v>
      </c>
    </row>
    <row r="528" spans="1:35" ht="18" x14ac:dyDescent="0.3">
      <c r="A528" s="10" t="s">
        <v>1648</v>
      </c>
      <c r="B528" s="10"/>
      <c r="C528" s="16" t="s">
        <v>1649</v>
      </c>
      <c r="D528" s="12"/>
      <c r="E528" s="12"/>
      <c r="F528" s="17" t="s">
        <v>76</v>
      </c>
      <c r="G528" s="18">
        <v>1.2</v>
      </c>
      <c r="H528" s="18"/>
      <c r="I528" s="18">
        <v>0</v>
      </c>
      <c r="J528" s="19">
        <v>22.82</v>
      </c>
      <c r="M528" s="20">
        <f t="shared" si="19"/>
        <v>0</v>
      </c>
      <c r="P528" s="19">
        <v>22.82</v>
      </c>
      <c r="S528" s="20">
        <f t="shared" si="20"/>
        <v>0</v>
      </c>
      <c r="V528" s="9">
        <f t="shared" si="21"/>
        <v>19.02</v>
      </c>
      <c r="Y528" s="9">
        <f t="shared" si="18"/>
        <v>0</v>
      </c>
      <c r="AD528" s="4" t="s">
        <v>1650</v>
      </c>
      <c r="AE528" s="4" t="s">
        <v>1651</v>
      </c>
      <c r="AF528" s="4" t="s">
        <v>1652</v>
      </c>
    </row>
    <row r="529" spans="1:35" ht="18" x14ac:dyDescent="0.3">
      <c r="A529" s="10" t="s">
        <v>1653</v>
      </c>
      <c r="B529" s="10"/>
      <c r="C529" s="16" t="s">
        <v>1654</v>
      </c>
      <c r="D529" s="12"/>
      <c r="E529" s="12"/>
      <c r="F529" s="17" t="s">
        <v>76</v>
      </c>
      <c r="G529" s="18">
        <v>4.7</v>
      </c>
      <c r="H529" s="18"/>
      <c r="I529" s="18">
        <v>0</v>
      </c>
      <c r="J529" s="19">
        <v>66.98</v>
      </c>
      <c r="M529" s="20">
        <f t="shared" si="19"/>
        <v>0</v>
      </c>
      <c r="P529" s="19">
        <v>66.98</v>
      </c>
      <c r="S529" s="20">
        <f t="shared" si="20"/>
        <v>0</v>
      </c>
      <c r="V529" s="9">
        <f t="shared" si="21"/>
        <v>55.82</v>
      </c>
      <c r="Y529" s="9">
        <f t="shared" si="18"/>
        <v>0</v>
      </c>
      <c r="AD529" s="4" t="s">
        <v>1655</v>
      </c>
      <c r="AE529" s="4" t="s">
        <v>1656</v>
      </c>
      <c r="AF529" s="4" t="s">
        <v>1657</v>
      </c>
    </row>
    <row r="530" spans="1:35" ht="18" x14ac:dyDescent="0.3">
      <c r="A530" s="10" t="s">
        <v>1658</v>
      </c>
      <c r="B530" s="10"/>
      <c r="C530" s="21" t="s">
        <v>1659</v>
      </c>
      <c r="D530" s="12"/>
      <c r="E530" s="12"/>
      <c r="F530" s="17" t="s">
        <v>308</v>
      </c>
      <c r="G530" s="18">
        <v>4.2</v>
      </c>
      <c r="H530" s="18"/>
      <c r="I530" s="18">
        <v>0</v>
      </c>
      <c r="J530" s="19">
        <v>4.92</v>
      </c>
      <c r="M530" s="20">
        <f t="shared" si="19"/>
        <v>0</v>
      </c>
      <c r="P530" s="19">
        <v>4.92</v>
      </c>
      <c r="S530" s="20">
        <f t="shared" si="20"/>
        <v>0</v>
      </c>
      <c r="V530" s="9">
        <f t="shared" si="21"/>
        <v>4.0999999999999996</v>
      </c>
      <c r="Y530" s="9">
        <f t="shared" si="18"/>
        <v>0</v>
      </c>
      <c r="AD530" s="4" t="s">
        <v>1660</v>
      </c>
      <c r="AE530" s="4" t="s">
        <v>1661</v>
      </c>
      <c r="AF530" s="4" t="s">
        <v>1662</v>
      </c>
    </row>
    <row r="531" spans="1:35" ht="18" x14ac:dyDescent="0.3">
      <c r="A531" s="10" t="s">
        <v>1663</v>
      </c>
      <c r="B531" s="10"/>
      <c r="C531" s="16" t="s">
        <v>1364</v>
      </c>
      <c r="D531" s="12"/>
      <c r="E531" s="12"/>
      <c r="F531" s="17" t="s">
        <v>59</v>
      </c>
      <c r="G531" s="18">
        <v>1.05</v>
      </c>
      <c r="H531" s="18"/>
      <c r="I531" s="18">
        <v>0</v>
      </c>
      <c r="J531" s="19">
        <v>0</v>
      </c>
      <c r="M531" s="20">
        <f t="shared" si="19"/>
        <v>0</v>
      </c>
      <c r="P531" s="19">
        <v>1520.33</v>
      </c>
      <c r="S531" s="20">
        <f t="shared" si="20"/>
        <v>0</v>
      </c>
      <c r="V531" s="9">
        <f t="shared" si="21"/>
        <v>1266.94</v>
      </c>
      <c r="Y531" s="9">
        <f t="shared" si="18"/>
        <v>0</v>
      </c>
      <c r="AD531" s="4" t="s">
        <v>1664</v>
      </c>
      <c r="AE531" s="4" t="s">
        <v>1665</v>
      </c>
      <c r="AF531" s="4" t="s">
        <v>1367</v>
      </c>
    </row>
    <row r="532" spans="1:35" ht="18" x14ac:dyDescent="0.3">
      <c r="A532" s="10" t="s">
        <v>1666</v>
      </c>
      <c r="B532" s="10"/>
      <c r="C532" s="16" t="s">
        <v>1667</v>
      </c>
      <c r="D532" s="12"/>
      <c r="E532" s="12"/>
      <c r="F532" s="17" t="s">
        <v>76</v>
      </c>
      <c r="G532" s="18">
        <v>1.05</v>
      </c>
      <c r="H532" s="18"/>
      <c r="I532" s="18">
        <v>0</v>
      </c>
      <c r="J532" s="19">
        <v>4.5999999999999996</v>
      </c>
      <c r="M532" s="20">
        <f t="shared" si="19"/>
        <v>0</v>
      </c>
      <c r="P532" s="19">
        <v>4.5999999999999996</v>
      </c>
      <c r="S532" s="20">
        <f t="shared" si="20"/>
        <v>0</v>
      </c>
      <c r="V532" s="9">
        <f t="shared" si="21"/>
        <v>3.83</v>
      </c>
      <c r="Y532" s="9">
        <f t="shared" ref="Y532:Y565" si="22">ROUND(S532 / 1.2, 2)</f>
        <v>0</v>
      </c>
      <c r="AD532" s="4" t="s">
        <v>1668</v>
      </c>
      <c r="AE532" s="4" t="s">
        <v>1669</v>
      </c>
      <c r="AF532" s="4" t="s">
        <v>1670</v>
      </c>
    </row>
    <row r="533" spans="1:35" ht="18" x14ac:dyDescent="0.3">
      <c r="A533" s="10" t="s">
        <v>1671</v>
      </c>
      <c r="B533" s="10"/>
      <c r="C533" s="16" t="s">
        <v>1672</v>
      </c>
      <c r="D533" s="12"/>
      <c r="E533" s="12"/>
      <c r="F533" s="17" t="s">
        <v>76</v>
      </c>
      <c r="G533" s="18">
        <v>0.25</v>
      </c>
      <c r="H533" s="18"/>
      <c r="I533" s="18">
        <v>0</v>
      </c>
      <c r="J533" s="19">
        <v>2.8</v>
      </c>
      <c r="M533" s="20">
        <f t="shared" si="19"/>
        <v>0</v>
      </c>
      <c r="P533" s="19">
        <v>2.8</v>
      </c>
      <c r="S533" s="20">
        <f t="shared" si="20"/>
        <v>0</v>
      </c>
      <c r="V533" s="9">
        <f t="shared" si="21"/>
        <v>2.33</v>
      </c>
      <c r="Y533" s="9">
        <f t="shared" si="22"/>
        <v>0</v>
      </c>
      <c r="AD533" s="4" t="s">
        <v>1673</v>
      </c>
      <c r="AE533" s="4" t="s">
        <v>1674</v>
      </c>
      <c r="AF533" s="4" t="s">
        <v>1675</v>
      </c>
    </row>
    <row r="534" spans="1:35" ht="36" x14ac:dyDescent="0.3">
      <c r="A534" s="10" t="s">
        <v>1676</v>
      </c>
      <c r="B534" s="10"/>
      <c r="C534" s="16" t="s">
        <v>454</v>
      </c>
      <c r="D534" s="12"/>
      <c r="E534" s="12"/>
      <c r="F534" s="17" t="s">
        <v>227</v>
      </c>
      <c r="G534" s="18">
        <v>0.1</v>
      </c>
      <c r="H534" s="18"/>
      <c r="I534" s="18">
        <v>0</v>
      </c>
      <c r="J534" s="19">
        <v>88.8</v>
      </c>
      <c r="M534" s="20">
        <f t="shared" si="19"/>
        <v>0</v>
      </c>
      <c r="P534" s="19">
        <v>88.8</v>
      </c>
      <c r="S534" s="20">
        <f t="shared" si="20"/>
        <v>0</v>
      </c>
      <c r="V534" s="9">
        <f t="shared" si="21"/>
        <v>74</v>
      </c>
      <c r="Y534" s="9">
        <f t="shared" si="22"/>
        <v>0</v>
      </c>
      <c r="AD534" s="4" t="s">
        <v>1677</v>
      </c>
      <c r="AE534" s="4" t="s">
        <v>1678</v>
      </c>
      <c r="AF534" s="4" t="s">
        <v>457</v>
      </c>
    </row>
    <row r="535" spans="1:35" ht="18" x14ac:dyDescent="0.3">
      <c r="A535" s="10" t="s">
        <v>1679</v>
      </c>
      <c r="B535" s="10"/>
      <c r="C535" s="16" t="s">
        <v>1680</v>
      </c>
      <c r="D535" s="12"/>
      <c r="E535" s="12"/>
      <c r="F535" s="17" t="s">
        <v>308</v>
      </c>
      <c r="G535" s="18">
        <v>0.75</v>
      </c>
      <c r="H535" s="18"/>
      <c r="I535" s="18">
        <v>0</v>
      </c>
      <c r="J535" s="19">
        <v>2.8</v>
      </c>
      <c r="M535" s="20">
        <f t="shared" si="19"/>
        <v>0</v>
      </c>
      <c r="P535" s="19">
        <v>2.8</v>
      </c>
      <c r="S535" s="20">
        <f t="shared" si="20"/>
        <v>0</v>
      </c>
      <c r="V535" s="9">
        <f t="shared" si="21"/>
        <v>2.33</v>
      </c>
      <c r="Y535" s="9">
        <f t="shared" si="22"/>
        <v>0</v>
      </c>
      <c r="AD535" s="4" t="s">
        <v>1681</v>
      </c>
      <c r="AE535" s="4" t="s">
        <v>1682</v>
      </c>
      <c r="AF535" s="4" t="s">
        <v>1683</v>
      </c>
    </row>
    <row r="536" spans="1:35" ht="180" x14ac:dyDescent="0.3">
      <c r="A536" s="10" t="s">
        <v>1684</v>
      </c>
      <c r="B536" s="10" t="s">
        <v>1619</v>
      </c>
      <c r="C536" s="11" t="s">
        <v>1620</v>
      </c>
      <c r="D536" s="12"/>
      <c r="E536" s="12" t="s">
        <v>1685</v>
      </c>
      <c r="F536" s="12" t="s">
        <v>59</v>
      </c>
      <c r="G536" s="13">
        <v>1</v>
      </c>
      <c r="H536" s="13"/>
      <c r="I536" s="13">
        <v>921.3</v>
      </c>
      <c r="J536" s="14">
        <v>480.18</v>
      </c>
      <c r="K536" s="15">
        <v>1379</v>
      </c>
      <c r="L536" s="14">
        <f>J536+ROUND(K536, 2)</f>
        <v>1859.18</v>
      </c>
      <c r="M536" s="14">
        <v>442389.83</v>
      </c>
      <c r="N536" s="14">
        <v>1270472.7</v>
      </c>
      <c r="O536" s="14">
        <f>M536+N536</f>
        <v>1712862.53</v>
      </c>
      <c r="P536" s="14">
        <v>2076.5300000000002</v>
      </c>
      <c r="Q536" s="15">
        <v>2068.5</v>
      </c>
      <c r="R536" s="14">
        <f>P536+ROUND(Q536, 2)</f>
        <v>4145.0300000000007</v>
      </c>
      <c r="S536" s="14">
        <v>1913107.09</v>
      </c>
      <c r="T536" s="14">
        <v>1905709.05</v>
      </c>
      <c r="U536" s="14">
        <f>S536+T536</f>
        <v>3818816.14</v>
      </c>
      <c r="V536" s="9">
        <f>ROUND(P536 / 1.2, 2)</f>
        <v>1730.44</v>
      </c>
      <c r="W536" s="9">
        <f>ROUND(Q536 / 1.2, 2)</f>
        <v>1723.75</v>
      </c>
      <c r="X536" s="9">
        <f>ROUND(R536 / 1.2, 2)</f>
        <v>3454.19</v>
      </c>
      <c r="Y536" s="9">
        <f t="shared" si="22"/>
        <v>1594255.91</v>
      </c>
      <c r="Z536" s="9">
        <f>ROUND(T536 / 1.2, 2)</f>
        <v>1588090.8799999999</v>
      </c>
      <c r="AA536" s="9">
        <f>Y536+Z536</f>
        <v>3182346.79</v>
      </c>
      <c r="AD536" s="4">
        <v>315890072</v>
      </c>
      <c r="AE536" s="4">
        <v>27245737</v>
      </c>
      <c r="AG536" s="4" t="s">
        <v>1621</v>
      </c>
      <c r="AH536" s="4" t="s">
        <v>1622</v>
      </c>
      <c r="AI536" s="4" t="s">
        <v>224</v>
      </c>
    </row>
    <row r="537" spans="1:35" ht="18" x14ac:dyDescent="0.3">
      <c r="A537" s="10" t="s">
        <v>1686</v>
      </c>
      <c r="B537" s="10"/>
      <c r="C537" s="16" t="s">
        <v>1680</v>
      </c>
      <c r="D537" s="12"/>
      <c r="E537" s="12"/>
      <c r="F537" s="17" t="s">
        <v>308</v>
      </c>
      <c r="G537" s="18">
        <v>0.75</v>
      </c>
      <c r="H537" s="18"/>
      <c r="I537" s="18">
        <v>690.97500000000002</v>
      </c>
      <c r="J537" s="19">
        <v>2.8</v>
      </c>
      <c r="M537" s="20">
        <f t="shared" ref="M537:M549" si="23">ROUND(ROUND(J537, 2)*I537, 2)</f>
        <v>1934.73</v>
      </c>
      <c r="P537" s="19">
        <v>2.8</v>
      </c>
      <c r="S537" s="20">
        <f t="shared" ref="S537:S549" si="24">ROUND(ROUND(P537, 2)*I537, 2)</f>
        <v>1934.73</v>
      </c>
      <c r="V537" s="9">
        <f t="shared" ref="V537:V549" si="25">ROUND(ROUND(P537, 2)/1.2, 2)</f>
        <v>2.33</v>
      </c>
      <c r="Y537" s="9">
        <f t="shared" si="22"/>
        <v>1612.28</v>
      </c>
      <c r="AD537" s="4" t="s">
        <v>1687</v>
      </c>
      <c r="AE537" s="4" t="s">
        <v>1688</v>
      </c>
      <c r="AF537" s="4" t="s">
        <v>1683</v>
      </c>
    </row>
    <row r="538" spans="1:35" ht="36" x14ac:dyDescent="0.3">
      <c r="A538" s="10" t="s">
        <v>1689</v>
      </c>
      <c r="B538" s="10"/>
      <c r="C538" s="16" t="s">
        <v>454</v>
      </c>
      <c r="D538" s="12"/>
      <c r="E538" s="12"/>
      <c r="F538" s="17" t="s">
        <v>227</v>
      </c>
      <c r="G538" s="18">
        <v>0.1</v>
      </c>
      <c r="H538" s="18"/>
      <c r="I538" s="18">
        <v>92.13</v>
      </c>
      <c r="J538" s="19">
        <v>88.8</v>
      </c>
      <c r="M538" s="20">
        <f t="shared" si="23"/>
        <v>8181.14</v>
      </c>
      <c r="P538" s="19">
        <v>88.8</v>
      </c>
      <c r="S538" s="20">
        <f t="shared" si="24"/>
        <v>8181.14</v>
      </c>
      <c r="V538" s="9">
        <f t="shared" si="25"/>
        <v>74</v>
      </c>
      <c r="Y538" s="9">
        <f t="shared" si="22"/>
        <v>6817.62</v>
      </c>
      <c r="AD538" s="4" t="s">
        <v>1690</v>
      </c>
      <c r="AE538" s="4" t="s">
        <v>1691</v>
      </c>
      <c r="AF538" s="4" t="s">
        <v>457</v>
      </c>
    </row>
    <row r="539" spans="1:35" ht="18" x14ac:dyDescent="0.3">
      <c r="A539" s="10" t="s">
        <v>1692</v>
      </c>
      <c r="B539" s="10"/>
      <c r="C539" s="16" t="s">
        <v>1672</v>
      </c>
      <c r="D539" s="12"/>
      <c r="E539" s="12"/>
      <c r="F539" s="17" t="s">
        <v>76</v>
      </c>
      <c r="G539" s="18">
        <v>0.25</v>
      </c>
      <c r="H539" s="18"/>
      <c r="I539" s="18">
        <v>230.32499999999999</v>
      </c>
      <c r="J539" s="19">
        <v>2.8</v>
      </c>
      <c r="M539" s="20">
        <f t="shared" si="23"/>
        <v>644.91</v>
      </c>
      <c r="P539" s="19">
        <v>2.8</v>
      </c>
      <c r="S539" s="20">
        <f t="shared" si="24"/>
        <v>644.91</v>
      </c>
      <c r="V539" s="9">
        <f t="shared" si="25"/>
        <v>2.33</v>
      </c>
      <c r="Y539" s="9">
        <f t="shared" si="22"/>
        <v>537.42999999999995</v>
      </c>
      <c r="AD539" s="4" t="s">
        <v>1693</v>
      </c>
      <c r="AE539" s="4" t="s">
        <v>1694</v>
      </c>
      <c r="AF539" s="4" t="s">
        <v>1675</v>
      </c>
    </row>
    <row r="540" spans="1:35" ht="18" x14ac:dyDescent="0.3">
      <c r="A540" s="10" t="s">
        <v>1695</v>
      </c>
      <c r="B540" s="10"/>
      <c r="C540" s="16" t="s">
        <v>1667</v>
      </c>
      <c r="D540" s="12"/>
      <c r="E540" s="12"/>
      <c r="F540" s="17" t="s">
        <v>76</v>
      </c>
      <c r="G540" s="18">
        <v>1.05</v>
      </c>
      <c r="H540" s="18"/>
      <c r="I540" s="18">
        <v>967.36500000000001</v>
      </c>
      <c r="J540" s="19">
        <v>4.5999999999999996</v>
      </c>
      <c r="M540" s="20">
        <f t="shared" si="23"/>
        <v>4449.88</v>
      </c>
      <c r="P540" s="19">
        <v>4.5999999999999996</v>
      </c>
      <c r="S540" s="20">
        <f t="shared" si="24"/>
        <v>4449.88</v>
      </c>
      <c r="V540" s="9">
        <f t="shared" si="25"/>
        <v>3.83</v>
      </c>
      <c r="Y540" s="9">
        <f t="shared" si="22"/>
        <v>3708.23</v>
      </c>
      <c r="AD540" s="4" t="s">
        <v>1696</v>
      </c>
      <c r="AE540" s="4" t="s">
        <v>1697</v>
      </c>
      <c r="AF540" s="4" t="s">
        <v>1670</v>
      </c>
    </row>
    <row r="541" spans="1:35" ht="18" x14ac:dyDescent="0.3">
      <c r="A541" s="10" t="s">
        <v>1698</v>
      </c>
      <c r="B541" s="10"/>
      <c r="C541" s="16" t="s">
        <v>1364</v>
      </c>
      <c r="D541" s="12"/>
      <c r="E541" s="12"/>
      <c r="F541" s="17" t="s">
        <v>59</v>
      </c>
      <c r="G541" s="18">
        <v>1.05</v>
      </c>
      <c r="H541" s="18"/>
      <c r="I541" s="18">
        <v>967.36500000000001</v>
      </c>
      <c r="J541" s="19">
        <v>0</v>
      </c>
      <c r="M541" s="20">
        <f t="shared" si="23"/>
        <v>0</v>
      </c>
      <c r="P541" s="19">
        <v>1520.33</v>
      </c>
      <c r="S541" s="20">
        <f t="shared" si="24"/>
        <v>1470714.03</v>
      </c>
      <c r="V541" s="9">
        <f t="shared" si="25"/>
        <v>1266.94</v>
      </c>
      <c r="Y541" s="9">
        <f t="shared" si="22"/>
        <v>1225595.03</v>
      </c>
      <c r="AD541" s="4" t="s">
        <v>1699</v>
      </c>
      <c r="AE541" s="4" t="s">
        <v>1700</v>
      </c>
      <c r="AF541" s="4" t="s">
        <v>1367</v>
      </c>
    </row>
    <row r="542" spans="1:35" ht="18" x14ac:dyDescent="0.3">
      <c r="A542" s="10" t="s">
        <v>1701</v>
      </c>
      <c r="B542" s="10"/>
      <c r="C542" s="21" t="s">
        <v>1659</v>
      </c>
      <c r="D542" s="12"/>
      <c r="E542" s="12"/>
      <c r="F542" s="17" t="s">
        <v>308</v>
      </c>
      <c r="G542" s="18">
        <v>4.2</v>
      </c>
      <c r="H542" s="18"/>
      <c r="I542" s="18">
        <v>3869.46</v>
      </c>
      <c r="J542" s="19">
        <v>4.92</v>
      </c>
      <c r="M542" s="20">
        <f t="shared" si="23"/>
        <v>19037.740000000002</v>
      </c>
      <c r="P542" s="19">
        <v>4.92</v>
      </c>
      <c r="S542" s="20">
        <f t="shared" si="24"/>
        <v>19037.740000000002</v>
      </c>
      <c r="V542" s="9">
        <f t="shared" si="25"/>
        <v>4.0999999999999996</v>
      </c>
      <c r="Y542" s="9">
        <f t="shared" si="22"/>
        <v>15864.78</v>
      </c>
      <c r="AD542" s="4" t="s">
        <v>1702</v>
      </c>
      <c r="AE542" s="4" t="s">
        <v>1703</v>
      </c>
      <c r="AF542" s="4" t="s">
        <v>1662</v>
      </c>
    </row>
    <row r="543" spans="1:35" ht="18" x14ac:dyDescent="0.3">
      <c r="A543" s="10" t="s">
        <v>1704</v>
      </c>
      <c r="B543" s="10"/>
      <c r="C543" s="16" t="s">
        <v>1649</v>
      </c>
      <c r="D543" s="12"/>
      <c r="E543" s="12"/>
      <c r="F543" s="17" t="s">
        <v>76</v>
      </c>
      <c r="G543" s="18">
        <v>1.2</v>
      </c>
      <c r="H543" s="18"/>
      <c r="I543" s="18">
        <v>1105.56</v>
      </c>
      <c r="J543" s="19">
        <v>22.82</v>
      </c>
      <c r="M543" s="20">
        <f t="shared" si="23"/>
        <v>25228.880000000001</v>
      </c>
      <c r="P543" s="19">
        <v>22.82</v>
      </c>
      <c r="S543" s="20">
        <f t="shared" si="24"/>
        <v>25228.880000000001</v>
      </c>
      <c r="V543" s="9">
        <f t="shared" si="25"/>
        <v>19.02</v>
      </c>
      <c r="Y543" s="9">
        <f t="shared" si="22"/>
        <v>21024.07</v>
      </c>
      <c r="AD543" s="4" t="s">
        <v>1705</v>
      </c>
      <c r="AE543" s="4" t="s">
        <v>1706</v>
      </c>
      <c r="AF543" s="4" t="s">
        <v>1652</v>
      </c>
    </row>
    <row r="544" spans="1:35" ht="18" x14ac:dyDescent="0.3">
      <c r="A544" s="10" t="s">
        <v>1707</v>
      </c>
      <c r="B544" s="10"/>
      <c r="C544" s="16" t="s">
        <v>1654</v>
      </c>
      <c r="D544" s="12"/>
      <c r="E544" s="12"/>
      <c r="F544" s="17" t="s">
        <v>76</v>
      </c>
      <c r="G544" s="18">
        <v>4.7</v>
      </c>
      <c r="H544" s="18"/>
      <c r="I544" s="18">
        <v>4330.1099999999997</v>
      </c>
      <c r="J544" s="19">
        <v>66.98</v>
      </c>
      <c r="M544" s="20">
        <f t="shared" si="23"/>
        <v>290030.77</v>
      </c>
      <c r="P544" s="19">
        <v>66.98</v>
      </c>
      <c r="S544" s="20">
        <f t="shared" si="24"/>
        <v>290030.77</v>
      </c>
      <c r="V544" s="9">
        <f t="shared" si="25"/>
        <v>55.82</v>
      </c>
      <c r="Y544" s="9">
        <f t="shared" si="22"/>
        <v>241692.31</v>
      </c>
      <c r="AD544" s="4" t="s">
        <v>1708</v>
      </c>
      <c r="AE544" s="4" t="s">
        <v>1709</v>
      </c>
      <c r="AF544" s="4" t="s">
        <v>1657</v>
      </c>
    </row>
    <row r="545" spans="1:35" ht="36" x14ac:dyDescent="0.3">
      <c r="A545" s="10" t="s">
        <v>1710</v>
      </c>
      <c r="B545" s="10"/>
      <c r="C545" s="21" t="s">
        <v>1644</v>
      </c>
      <c r="D545" s="12"/>
      <c r="E545" s="12"/>
      <c r="F545" s="17" t="s">
        <v>308</v>
      </c>
      <c r="G545" s="18">
        <v>3.6</v>
      </c>
      <c r="H545" s="18"/>
      <c r="I545" s="18">
        <v>3316.68</v>
      </c>
      <c r="J545" s="19">
        <v>15.9</v>
      </c>
      <c r="M545" s="20">
        <f t="shared" si="23"/>
        <v>52735.21</v>
      </c>
      <c r="P545" s="19">
        <v>15.9</v>
      </c>
      <c r="S545" s="20">
        <f t="shared" si="24"/>
        <v>52735.21</v>
      </c>
      <c r="V545" s="9">
        <f t="shared" si="25"/>
        <v>13.25</v>
      </c>
      <c r="Y545" s="9">
        <f t="shared" si="22"/>
        <v>43946.01</v>
      </c>
      <c r="AD545" s="4" t="s">
        <v>1711</v>
      </c>
      <c r="AE545" s="4" t="s">
        <v>1712</v>
      </c>
      <c r="AF545" s="4" t="s">
        <v>1647</v>
      </c>
    </row>
    <row r="546" spans="1:35" ht="18" x14ac:dyDescent="0.3">
      <c r="A546" s="10" t="s">
        <v>1713</v>
      </c>
      <c r="B546" s="10"/>
      <c r="C546" s="16" t="s">
        <v>1639</v>
      </c>
      <c r="D546" s="12"/>
      <c r="E546" s="12"/>
      <c r="F546" s="17" t="s">
        <v>308</v>
      </c>
      <c r="G546" s="18">
        <v>0.3</v>
      </c>
      <c r="H546" s="18"/>
      <c r="I546" s="18">
        <v>276.39</v>
      </c>
      <c r="J546" s="19">
        <v>5.6</v>
      </c>
      <c r="M546" s="20">
        <f t="shared" si="23"/>
        <v>1547.78</v>
      </c>
      <c r="P546" s="19">
        <v>5.6</v>
      </c>
      <c r="S546" s="20">
        <f t="shared" si="24"/>
        <v>1547.78</v>
      </c>
      <c r="V546" s="9">
        <f t="shared" si="25"/>
        <v>4.67</v>
      </c>
      <c r="Y546" s="9">
        <f t="shared" si="22"/>
        <v>1289.82</v>
      </c>
      <c r="AD546" s="4" t="s">
        <v>1714</v>
      </c>
      <c r="AE546" s="4" t="s">
        <v>1715</v>
      </c>
      <c r="AF546" s="4" t="s">
        <v>1642</v>
      </c>
    </row>
    <row r="547" spans="1:35" ht="18" x14ac:dyDescent="0.3">
      <c r="A547" s="10" t="s">
        <v>1716</v>
      </c>
      <c r="B547" s="10"/>
      <c r="C547" s="16" t="s">
        <v>1634</v>
      </c>
      <c r="D547" s="12"/>
      <c r="E547" s="12"/>
      <c r="F547" s="17" t="s">
        <v>227</v>
      </c>
      <c r="G547" s="18">
        <v>0.35</v>
      </c>
      <c r="H547" s="18"/>
      <c r="I547" s="18">
        <v>322.45499999999998</v>
      </c>
      <c r="J547" s="19">
        <v>55</v>
      </c>
      <c r="M547" s="20">
        <f t="shared" si="23"/>
        <v>17735.03</v>
      </c>
      <c r="P547" s="19">
        <v>55</v>
      </c>
      <c r="S547" s="20">
        <f t="shared" si="24"/>
        <v>17735.03</v>
      </c>
      <c r="V547" s="9">
        <f t="shared" si="25"/>
        <v>45.83</v>
      </c>
      <c r="Y547" s="9">
        <f t="shared" si="22"/>
        <v>14779.19</v>
      </c>
      <c r="AD547" s="4" t="s">
        <v>1717</v>
      </c>
      <c r="AE547" s="4" t="s">
        <v>1718</v>
      </c>
      <c r="AF547" s="4" t="s">
        <v>1637</v>
      </c>
    </row>
    <row r="548" spans="1:35" ht="18" x14ac:dyDescent="0.3">
      <c r="A548" s="10" t="s">
        <v>1719</v>
      </c>
      <c r="B548" s="10"/>
      <c r="C548" s="16" t="s">
        <v>1629</v>
      </c>
      <c r="D548" s="12"/>
      <c r="E548" s="12"/>
      <c r="F548" s="17" t="s">
        <v>308</v>
      </c>
      <c r="G548" s="18">
        <v>30</v>
      </c>
      <c r="H548" s="18"/>
      <c r="I548" s="18">
        <v>27639</v>
      </c>
      <c r="J548" s="19">
        <v>0.28000000000000003</v>
      </c>
      <c r="M548" s="20">
        <f t="shared" si="23"/>
        <v>7738.92</v>
      </c>
      <c r="P548" s="19">
        <v>0.28000000000000003</v>
      </c>
      <c r="S548" s="20">
        <f t="shared" si="24"/>
        <v>7738.92</v>
      </c>
      <c r="V548" s="9">
        <f t="shared" si="25"/>
        <v>0.23</v>
      </c>
      <c r="Y548" s="9">
        <f t="shared" si="22"/>
        <v>6449.1</v>
      </c>
      <c r="AD548" s="4" t="s">
        <v>1720</v>
      </c>
      <c r="AE548" s="4" t="s">
        <v>1721</v>
      </c>
      <c r="AF548" s="4" t="s">
        <v>1632</v>
      </c>
    </row>
    <row r="549" spans="1:35" ht="18" x14ac:dyDescent="0.3">
      <c r="A549" s="10" t="s">
        <v>1722</v>
      </c>
      <c r="B549" s="10"/>
      <c r="C549" s="16" t="s">
        <v>1624</v>
      </c>
      <c r="D549" s="12"/>
      <c r="E549" s="12"/>
      <c r="F549" s="17" t="s">
        <v>308</v>
      </c>
      <c r="G549" s="18">
        <v>15</v>
      </c>
      <c r="H549" s="18"/>
      <c r="I549" s="18">
        <v>13819.5</v>
      </c>
      <c r="J549" s="19">
        <v>0.95</v>
      </c>
      <c r="M549" s="20">
        <f t="shared" si="23"/>
        <v>13128.53</v>
      </c>
      <c r="P549" s="19">
        <v>0.95</v>
      </c>
      <c r="S549" s="20">
        <f t="shared" si="24"/>
        <v>13128.53</v>
      </c>
      <c r="V549" s="9">
        <f t="shared" si="25"/>
        <v>0.79</v>
      </c>
      <c r="Y549" s="9">
        <f t="shared" si="22"/>
        <v>10940.44</v>
      </c>
      <c r="AD549" s="4" t="s">
        <v>1723</v>
      </c>
      <c r="AE549" s="4" t="s">
        <v>1724</v>
      </c>
      <c r="AF549" s="4" t="s">
        <v>1627</v>
      </c>
    </row>
    <row r="550" spans="1:35" ht="36" x14ac:dyDescent="0.3">
      <c r="A550" s="10" t="s">
        <v>1725</v>
      </c>
      <c r="B550" s="10" t="s">
        <v>1726</v>
      </c>
      <c r="C550" s="11" t="s">
        <v>1727</v>
      </c>
      <c r="D550" s="12"/>
      <c r="E550" s="12"/>
      <c r="F550" s="12" t="s">
        <v>59</v>
      </c>
      <c r="G550" s="13">
        <v>1</v>
      </c>
      <c r="H550" s="13"/>
      <c r="I550" s="13">
        <v>0</v>
      </c>
      <c r="J550" s="14">
        <v>0</v>
      </c>
      <c r="K550" s="15">
        <v>963</v>
      </c>
      <c r="L550" s="14">
        <f>J550+ROUND(K550, 2)</f>
        <v>963</v>
      </c>
      <c r="M550" s="14">
        <v>0</v>
      </c>
      <c r="N550" s="14">
        <v>0</v>
      </c>
      <c r="O550" s="14">
        <f>M550+N550</f>
        <v>0</v>
      </c>
      <c r="P550" s="14">
        <v>902.98</v>
      </c>
      <c r="Q550" s="15">
        <v>963</v>
      </c>
      <c r="R550" s="14">
        <f>P550+ROUND(Q550, 2)</f>
        <v>1865.98</v>
      </c>
      <c r="S550" s="14">
        <v>0</v>
      </c>
      <c r="T550" s="14">
        <v>0</v>
      </c>
      <c r="U550" s="14">
        <f>S550+T550</f>
        <v>0</v>
      </c>
      <c r="V550" s="9">
        <f>ROUND(P550 / 1.2, 2)</f>
        <v>752.48</v>
      </c>
      <c r="W550" s="9">
        <f>ROUND(Q550 / 1.2, 2)</f>
        <v>802.5</v>
      </c>
      <c r="X550" s="9">
        <f>ROUND(R550 / 1.2, 2)</f>
        <v>1554.98</v>
      </c>
      <c r="Y550" s="9">
        <f t="shared" si="22"/>
        <v>0</v>
      </c>
      <c r="Z550" s="9">
        <f>ROUND(T550 / 1.2, 2)</f>
        <v>0</v>
      </c>
      <c r="AA550" s="9">
        <f>Y550+Z550</f>
        <v>0</v>
      </c>
      <c r="AD550" s="4">
        <v>315890073</v>
      </c>
      <c r="AE550" s="4">
        <v>27245621</v>
      </c>
      <c r="AG550" s="4" t="s">
        <v>1728</v>
      </c>
      <c r="AH550" s="4" t="s">
        <v>1729</v>
      </c>
      <c r="AI550" s="4" t="s">
        <v>224</v>
      </c>
    </row>
    <row r="551" spans="1:35" ht="36" x14ac:dyDescent="0.3">
      <c r="A551" s="10" t="s">
        <v>1730</v>
      </c>
      <c r="B551" s="10"/>
      <c r="C551" s="21" t="s">
        <v>1731</v>
      </c>
      <c r="D551" s="12"/>
      <c r="E551" s="12"/>
      <c r="F551" s="17" t="s">
        <v>59</v>
      </c>
      <c r="G551" s="18">
        <v>1.1000000000000001</v>
      </c>
      <c r="H551" s="22"/>
      <c r="I551" s="22">
        <v>0</v>
      </c>
      <c r="J551" s="19">
        <v>820.89</v>
      </c>
      <c r="M551" s="20">
        <f>ROUND(ROUND(J551, 2)*I551, 2)</f>
        <v>0</v>
      </c>
      <c r="P551" s="19">
        <v>820.89</v>
      </c>
      <c r="S551" s="20">
        <f>ROUND(ROUND(P551, 2)*I551, 2)</f>
        <v>0</v>
      </c>
      <c r="V551" s="9">
        <f>ROUND(ROUND(P551, 2)/1.2, 2)</f>
        <v>684.08</v>
      </c>
      <c r="Y551" s="9">
        <f t="shared" si="22"/>
        <v>0</v>
      </c>
      <c r="AD551" s="4" t="s">
        <v>1732</v>
      </c>
      <c r="AE551" s="4" t="s">
        <v>1733</v>
      </c>
      <c r="AF551" s="4" t="s">
        <v>1734</v>
      </c>
    </row>
    <row r="552" spans="1:35" ht="36" x14ac:dyDescent="0.3">
      <c r="A552" s="10" t="s">
        <v>1735</v>
      </c>
      <c r="B552" s="10" t="s">
        <v>1726</v>
      </c>
      <c r="C552" s="11" t="s">
        <v>1727</v>
      </c>
      <c r="D552" s="12"/>
      <c r="E552" s="12"/>
      <c r="F552" s="12" t="s">
        <v>59</v>
      </c>
      <c r="G552" s="13">
        <v>1</v>
      </c>
      <c r="H552" s="13"/>
      <c r="I552" s="13">
        <v>0</v>
      </c>
      <c r="J552" s="14">
        <v>0</v>
      </c>
      <c r="K552" s="15">
        <v>963</v>
      </c>
      <c r="L552" s="14">
        <f>J552+ROUND(K552, 2)</f>
        <v>963</v>
      </c>
      <c r="M552" s="14">
        <v>0</v>
      </c>
      <c r="N552" s="14">
        <v>0</v>
      </c>
      <c r="O552" s="14">
        <f>M552+N552</f>
        <v>0</v>
      </c>
      <c r="P552" s="14">
        <v>855.89</v>
      </c>
      <c r="Q552" s="15">
        <v>963</v>
      </c>
      <c r="R552" s="14">
        <f>P552+ROUND(Q552, 2)</f>
        <v>1818.8899999999999</v>
      </c>
      <c r="S552" s="14">
        <v>0</v>
      </c>
      <c r="T552" s="14">
        <v>0</v>
      </c>
      <c r="U552" s="14">
        <f>S552+T552</f>
        <v>0</v>
      </c>
      <c r="V552" s="9">
        <f>ROUND(P552 / 1.2, 2)</f>
        <v>713.24</v>
      </c>
      <c r="W552" s="9">
        <f>ROUND(Q552 / 1.2, 2)</f>
        <v>802.5</v>
      </c>
      <c r="X552" s="9">
        <f>ROUND(R552 / 1.2, 2)</f>
        <v>1515.74</v>
      </c>
      <c r="Y552" s="9">
        <f t="shared" si="22"/>
        <v>0</v>
      </c>
      <c r="Z552" s="9">
        <f>ROUND(T552 / 1.2, 2)</f>
        <v>0</v>
      </c>
      <c r="AA552" s="9">
        <f>Y552+Z552</f>
        <v>0</v>
      </c>
      <c r="AD552" s="4">
        <v>315890074</v>
      </c>
      <c r="AE552" s="4">
        <v>27245622</v>
      </c>
      <c r="AG552" s="4" t="s">
        <v>1728</v>
      </c>
      <c r="AH552" s="4" t="s">
        <v>1729</v>
      </c>
      <c r="AI552" s="4" t="s">
        <v>224</v>
      </c>
    </row>
    <row r="553" spans="1:35" ht="18" x14ac:dyDescent="0.3">
      <c r="A553" s="10" t="s">
        <v>1736</v>
      </c>
      <c r="B553" s="10"/>
      <c r="C553" s="21" t="s">
        <v>1737</v>
      </c>
      <c r="D553" s="12"/>
      <c r="E553" s="12"/>
      <c r="F553" s="17" t="s">
        <v>59</v>
      </c>
      <c r="G553" s="18">
        <v>1.1000000000000001</v>
      </c>
      <c r="H553" s="22"/>
      <c r="I553" s="22">
        <v>0</v>
      </c>
      <c r="J553" s="19">
        <v>778.08</v>
      </c>
      <c r="M553" s="20">
        <f>ROUND(ROUND(J553, 2)*I553, 2)</f>
        <v>0</v>
      </c>
      <c r="P553" s="19">
        <v>778.08</v>
      </c>
      <c r="S553" s="20">
        <f>ROUND(ROUND(P553, 2)*I553, 2)</f>
        <v>0</v>
      </c>
      <c r="V553" s="9">
        <f>ROUND(ROUND(P553, 2)/1.2, 2)</f>
        <v>648.4</v>
      </c>
      <c r="Y553" s="9">
        <f t="shared" si="22"/>
        <v>0</v>
      </c>
      <c r="AD553" s="4" t="s">
        <v>1738</v>
      </c>
      <c r="AE553" s="4" t="s">
        <v>1739</v>
      </c>
      <c r="AF553" s="4" t="s">
        <v>1740</v>
      </c>
    </row>
    <row r="554" spans="1:35" ht="36" x14ac:dyDescent="0.3">
      <c r="A554" s="10" t="s">
        <v>1741</v>
      </c>
      <c r="B554" s="10" t="s">
        <v>1726</v>
      </c>
      <c r="C554" s="11" t="s">
        <v>1727</v>
      </c>
      <c r="D554" s="12"/>
      <c r="E554" s="12"/>
      <c r="F554" s="12" t="s">
        <v>59</v>
      </c>
      <c r="G554" s="13">
        <v>1</v>
      </c>
      <c r="H554" s="13"/>
      <c r="I554" s="13">
        <v>0</v>
      </c>
      <c r="J554" s="14">
        <v>0</v>
      </c>
      <c r="K554" s="15">
        <v>963</v>
      </c>
      <c r="L554" s="14">
        <f>J554+ROUND(K554, 2)</f>
        <v>963</v>
      </c>
      <c r="M554" s="14">
        <v>0</v>
      </c>
      <c r="N554" s="14">
        <v>0</v>
      </c>
      <c r="O554" s="14">
        <f>M554+N554</f>
        <v>0</v>
      </c>
      <c r="P554" s="14">
        <v>855.89</v>
      </c>
      <c r="Q554" s="15">
        <v>963</v>
      </c>
      <c r="R554" s="14">
        <f>P554+ROUND(Q554, 2)</f>
        <v>1818.8899999999999</v>
      </c>
      <c r="S554" s="14">
        <v>0</v>
      </c>
      <c r="T554" s="14">
        <v>0</v>
      </c>
      <c r="U554" s="14">
        <f>S554+T554</f>
        <v>0</v>
      </c>
      <c r="V554" s="9">
        <f>ROUND(P554 / 1.2, 2)</f>
        <v>713.24</v>
      </c>
      <c r="W554" s="9">
        <f>ROUND(Q554 / 1.2, 2)</f>
        <v>802.5</v>
      </c>
      <c r="X554" s="9">
        <f>ROUND(R554 / 1.2, 2)</f>
        <v>1515.74</v>
      </c>
      <c r="Y554" s="9">
        <f t="shared" si="22"/>
        <v>0</v>
      </c>
      <c r="Z554" s="9">
        <f>ROUND(T554 / 1.2, 2)</f>
        <v>0</v>
      </c>
      <c r="AA554" s="9">
        <f>Y554+Z554</f>
        <v>0</v>
      </c>
      <c r="AD554" s="4">
        <v>315890075</v>
      </c>
      <c r="AE554" s="4">
        <v>27245623</v>
      </c>
      <c r="AG554" s="4" t="s">
        <v>1728</v>
      </c>
      <c r="AH554" s="4" t="s">
        <v>1729</v>
      </c>
      <c r="AI554" s="4" t="s">
        <v>224</v>
      </c>
    </row>
    <row r="555" spans="1:35" ht="18" x14ac:dyDescent="0.3">
      <c r="A555" s="10" t="s">
        <v>1742</v>
      </c>
      <c r="B555" s="10"/>
      <c r="C555" s="21" t="s">
        <v>1737</v>
      </c>
      <c r="D555" s="12"/>
      <c r="E555" s="12"/>
      <c r="F555" s="17" t="s">
        <v>59</v>
      </c>
      <c r="G555" s="18">
        <v>1.1000000000000001</v>
      </c>
      <c r="H555" s="22"/>
      <c r="I555" s="22">
        <v>0</v>
      </c>
      <c r="J555" s="19">
        <v>778.08</v>
      </c>
      <c r="M555" s="20">
        <f>ROUND(ROUND(J555, 2)*I555, 2)</f>
        <v>0</v>
      </c>
      <c r="P555" s="19">
        <v>778.08</v>
      </c>
      <c r="S555" s="20">
        <f>ROUND(ROUND(P555, 2)*I555, 2)</f>
        <v>0</v>
      </c>
      <c r="V555" s="9">
        <f>ROUND(ROUND(P555, 2)/1.2, 2)</f>
        <v>648.4</v>
      </c>
      <c r="Y555" s="9">
        <f t="shared" si="22"/>
        <v>0</v>
      </c>
      <c r="AD555" s="4" t="s">
        <v>1743</v>
      </c>
      <c r="AE555" s="4" t="s">
        <v>1744</v>
      </c>
      <c r="AF555" s="4" t="s">
        <v>1740</v>
      </c>
    </row>
    <row r="556" spans="1:35" ht="36" x14ac:dyDescent="0.3">
      <c r="A556" s="10" t="s">
        <v>1745</v>
      </c>
      <c r="B556" s="10" t="s">
        <v>1726</v>
      </c>
      <c r="C556" s="11" t="s">
        <v>1727</v>
      </c>
      <c r="D556" s="12"/>
      <c r="E556" s="12"/>
      <c r="F556" s="12" t="s">
        <v>59</v>
      </c>
      <c r="G556" s="13">
        <v>1</v>
      </c>
      <c r="H556" s="13"/>
      <c r="I556" s="13">
        <v>0</v>
      </c>
      <c r="J556" s="14">
        <v>0</v>
      </c>
      <c r="K556" s="15">
        <v>963</v>
      </c>
      <c r="L556" s="14">
        <f>J556+ROUND(K556, 2)</f>
        <v>963</v>
      </c>
      <c r="M556" s="14">
        <v>0</v>
      </c>
      <c r="N556" s="14">
        <v>0</v>
      </c>
      <c r="O556" s="14">
        <f>M556+N556</f>
        <v>0</v>
      </c>
      <c r="P556" s="14">
        <v>855</v>
      </c>
      <c r="Q556" s="15">
        <v>963</v>
      </c>
      <c r="R556" s="14">
        <f>P556+ROUND(Q556, 2)</f>
        <v>1818</v>
      </c>
      <c r="S556" s="14">
        <v>0</v>
      </c>
      <c r="T556" s="14">
        <v>0</v>
      </c>
      <c r="U556" s="14">
        <f>S556+T556</f>
        <v>0</v>
      </c>
      <c r="V556" s="9">
        <f>ROUND(P556 / 1.2, 2)</f>
        <v>712.5</v>
      </c>
      <c r="W556" s="9">
        <f>ROUND(Q556 / 1.2, 2)</f>
        <v>802.5</v>
      </c>
      <c r="X556" s="9">
        <f>ROUND(R556 / 1.2, 2)</f>
        <v>1515</v>
      </c>
      <c r="Y556" s="9">
        <f t="shared" si="22"/>
        <v>0</v>
      </c>
      <c r="Z556" s="9">
        <f>ROUND(T556 / 1.2, 2)</f>
        <v>0</v>
      </c>
      <c r="AA556" s="9">
        <f>Y556+Z556</f>
        <v>0</v>
      </c>
      <c r="AD556" s="4">
        <v>315890076</v>
      </c>
      <c r="AE556" s="4">
        <v>27245624</v>
      </c>
      <c r="AG556" s="4" t="s">
        <v>1728</v>
      </c>
      <c r="AH556" s="4" t="s">
        <v>1729</v>
      </c>
      <c r="AI556" s="4" t="s">
        <v>224</v>
      </c>
    </row>
    <row r="557" spans="1:35" ht="18" x14ac:dyDescent="0.3">
      <c r="A557" s="10" t="s">
        <v>1746</v>
      </c>
      <c r="B557" s="10"/>
      <c r="C557" s="16" t="s">
        <v>1747</v>
      </c>
      <c r="D557" s="12"/>
      <c r="E557" s="12"/>
      <c r="F557" s="17" t="s">
        <v>59</v>
      </c>
      <c r="G557" s="18">
        <v>1</v>
      </c>
      <c r="H557" s="22"/>
      <c r="I557" s="22">
        <v>0</v>
      </c>
      <c r="J557" s="19">
        <v>0</v>
      </c>
      <c r="M557" s="20">
        <f>ROUND(ROUND(J557, 2)*I557, 2)</f>
        <v>0</v>
      </c>
      <c r="P557" s="19">
        <v>855</v>
      </c>
      <c r="S557" s="20">
        <f>ROUND(ROUND(P557, 2)*I557, 2)</f>
        <v>0</v>
      </c>
      <c r="V557" s="9">
        <f>ROUND(ROUND(P557, 2)/1.2, 2)</f>
        <v>712.5</v>
      </c>
      <c r="Y557" s="9">
        <f t="shared" si="22"/>
        <v>0</v>
      </c>
      <c r="AD557" s="4" t="s">
        <v>1748</v>
      </c>
      <c r="AE557" s="4" t="s">
        <v>1749</v>
      </c>
      <c r="AF557" s="4" t="s">
        <v>1750</v>
      </c>
    </row>
    <row r="558" spans="1:35" ht="36" x14ac:dyDescent="0.3">
      <c r="A558" s="10" t="s">
        <v>1751</v>
      </c>
      <c r="B558" s="10" t="s">
        <v>1726</v>
      </c>
      <c r="C558" s="11" t="s">
        <v>1727</v>
      </c>
      <c r="D558" s="12"/>
      <c r="E558" s="12" t="s">
        <v>1752</v>
      </c>
      <c r="F558" s="12" t="s">
        <v>59</v>
      </c>
      <c r="G558" s="13">
        <v>1</v>
      </c>
      <c r="H558" s="13"/>
      <c r="I558" s="13">
        <v>716.1</v>
      </c>
      <c r="J558" s="14">
        <v>902.99</v>
      </c>
      <c r="K558" s="15">
        <v>963</v>
      </c>
      <c r="L558" s="14">
        <f>J558+ROUND(K558, 2)</f>
        <v>1865.99</v>
      </c>
      <c r="M558" s="14">
        <v>646631.14</v>
      </c>
      <c r="N558" s="14">
        <v>689604.3</v>
      </c>
      <c r="O558" s="14">
        <f>M558+N558</f>
        <v>1336235.44</v>
      </c>
      <c r="P558" s="14">
        <v>902.98</v>
      </c>
      <c r="Q558" s="15">
        <v>1444.5</v>
      </c>
      <c r="R558" s="14">
        <f>P558+ROUND(Q558, 2)</f>
        <v>2347.48</v>
      </c>
      <c r="S558" s="14">
        <v>646623.98</v>
      </c>
      <c r="T558" s="14">
        <v>1034406.45</v>
      </c>
      <c r="U558" s="14">
        <f>S558+T558</f>
        <v>1681030.43</v>
      </c>
      <c r="V558" s="9">
        <f>ROUND(P558 / 1.2, 2)</f>
        <v>752.48</v>
      </c>
      <c r="W558" s="9">
        <f>ROUND(Q558 / 1.2, 2)</f>
        <v>1203.75</v>
      </c>
      <c r="X558" s="9">
        <f>ROUND(R558 / 1.2, 2)</f>
        <v>1956.23</v>
      </c>
      <c r="Y558" s="9">
        <f t="shared" si="22"/>
        <v>538853.31999999995</v>
      </c>
      <c r="Z558" s="9">
        <f>ROUND(T558 / 1.2, 2)</f>
        <v>862005.38</v>
      </c>
      <c r="AA558" s="9">
        <f>Y558+Z558</f>
        <v>1400858.7</v>
      </c>
      <c r="AD558" s="4">
        <v>315890077</v>
      </c>
      <c r="AE558" s="4">
        <v>27245738</v>
      </c>
      <c r="AG558" s="4" t="s">
        <v>1728</v>
      </c>
      <c r="AH558" s="4" t="s">
        <v>1729</v>
      </c>
      <c r="AI558" s="4" t="s">
        <v>224</v>
      </c>
    </row>
    <row r="559" spans="1:35" ht="36" x14ac:dyDescent="0.3">
      <c r="A559" s="10" t="s">
        <v>1753</v>
      </c>
      <c r="B559" s="10"/>
      <c r="C559" s="21" t="s">
        <v>1731</v>
      </c>
      <c r="D559" s="12"/>
      <c r="E559" s="12"/>
      <c r="F559" s="17" t="s">
        <v>59</v>
      </c>
      <c r="G559" s="18">
        <v>1.1000000000000001</v>
      </c>
      <c r="H559" s="22"/>
      <c r="I559" s="22">
        <v>787.71</v>
      </c>
      <c r="J559" s="19">
        <v>820.9</v>
      </c>
      <c r="M559" s="20">
        <f>ROUND(ROUND(J559, 2)*I559, 2)</f>
        <v>646631.14</v>
      </c>
      <c r="P559" s="19">
        <v>820.89</v>
      </c>
      <c r="S559" s="20">
        <f>ROUND(ROUND(P559, 2)*I559, 2)</f>
        <v>646623.26</v>
      </c>
      <c r="V559" s="9">
        <f>ROUND(ROUND(P559, 2)/1.2, 2)</f>
        <v>684.08</v>
      </c>
      <c r="Y559" s="9">
        <f t="shared" si="22"/>
        <v>538852.72</v>
      </c>
      <c r="AD559" s="4" t="s">
        <v>1754</v>
      </c>
      <c r="AE559" s="4" t="s">
        <v>1755</v>
      </c>
      <c r="AF559" s="4" t="s">
        <v>1734</v>
      </c>
    </row>
    <row r="560" spans="1:35" ht="54" x14ac:dyDescent="0.3">
      <c r="A560" s="10" t="s">
        <v>1756</v>
      </c>
      <c r="B560" s="10" t="s">
        <v>1726</v>
      </c>
      <c r="C560" s="11" t="s">
        <v>1727</v>
      </c>
      <c r="D560" s="12"/>
      <c r="E560" s="12" t="s">
        <v>1757</v>
      </c>
      <c r="F560" s="12" t="s">
        <v>59</v>
      </c>
      <c r="G560" s="13">
        <v>1</v>
      </c>
      <c r="H560" s="13"/>
      <c r="I560" s="13">
        <v>1176</v>
      </c>
      <c r="J560" s="14">
        <v>855.89</v>
      </c>
      <c r="K560" s="15">
        <v>963</v>
      </c>
      <c r="L560" s="14">
        <f>J560+ROUND(K560, 2)</f>
        <v>1818.8899999999999</v>
      </c>
      <c r="M560" s="14">
        <v>1006526.64</v>
      </c>
      <c r="N560" s="14">
        <v>1132488</v>
      </c>
      <c r="O560" s="14">
        <f>M560+N560</f>
        <v>2139014.64</v>
      </c>
      <c r="P560" s="14">
        <v>855.89</v>
      </c>
      <c r="Q560" s="15">
        <v>1444.5</v>
      </c>
      <c r="R560" s="14">
        <f>P560+ROUND(Q560, 2)</f>
        <v>2300.39</v>
      </c>
      <c r="S560" s="14">
        <v>1006526.64</v>
      </c>
      <c r="T560" s="14">
        <v>1698732</v>
      </c>
      <c r="U560" s="14">
        <f>S560+T560</f>
        <v>2705258.64</v>
      </c>
      <c r="V560" s="9">
        <f>ROUND(P560 / 1.2, 2)</f>
        <v>713.24</v>
      </c>
      <c r="W560" s="9">
        <f>ROUND(Q560 / 1.2, 2)</f>
        <v>1203.75</v>
      </c>
      <c r="X560" s="9">
        <f>ROUND(R560 / 1.2, 2)</f>
        <v>1916.99</v>
      </c>
      <c r="Y560" s="9">
        <f t="shared" si="22"/>
        <v>838772.2</v>
      </c>
      <c r="Z560" s="9">
        <f>ROUND(T560 / 1.2, 2)</f>
        <v>1415610</v>
      </c>
      <c r="AA560" s="9">
        <f>Y560+Z560</f>
        <v>2254382.2000000002</v>
      </c>
      <c r="AD560" s="4">
        <v>315890078</v>
      </c>
      <c r="AE560" s="4">
        <v>27245739</v>
      </c>
      <c r="AG560" s="4" t="s">
        <v>1728</v>
      </c>
      <c r="AH560" s="4" t="s">
        <v>1729</v>
      </c>
      <c r="AI560" s="4" t="s">
        <v>224</v>
      </c>
    </row>
    <row r="561" spans="1:35" ht="18" x14ac:dyDescent="0.3">
      <c r="A561" s="10" t="s">
        <v>1758</v>
      </c>
      <c r="B561" s="10"/>
      <c r="C561" s="21" t="s">
        <v>1737</v>
      </c>
      <c r="D561" s="12"/>
      <c r="E561" s="12"/>
      <c r="F561" s="17" t="s">
        <v>59</v>
      </c>
      <c r="G561" s="18">
        <v>1.1000000000000001</v>
      </c>
      <c r="H561" s="22"/>
      <c r="I561" s="22">
        <v>1293.5999999999999</v>
      </c>
      <c r="J561" s="19">
        <v>778.08</v>
      </c>
      <c r="M561" s="20">
        <f>ROUND(ROUND(J561, 2)*I561, 2)</f>
        <v>1006524.29</v>
      </c>
      <c r="P561" s="19">
        <v>778.08</v>
      </c>
      <c r="S561" s="20">
        <f>ROUND(ROUND(P561, 2)*I561, 2)</f>
        <v>1006524.29</v>
      </c>
      <c r="V561" s="9">
        <f>ROUND(ROUND(P561, 2)/1.2, 2)</f>
        <v>648.4</v>
      </c>
      <c r="Y561" s="9">
        <f t="shared" si="22"/>
        <v>838770.24</v>
      </c>
      <c r="AD561" s="4" t="s">
        <v>1759</v>
      </c>
      <c r="AE561" s="4" t="s">
        <v>1760</v>
      </c>
      <c r="AF561" s="4" t="s">
        <v>1740</v>
      </c>
    </row>
    <row r="562" spans="1:35" ht="72" x14ac:dyDescent="0.3">
      <c r="A562" s="10" t="s">
        <v>1761</v>
      </c>
      <c r="B562" s="10" t="s">
        <v>1726</v>
      </c>
      <c r="C562" s="11" t="s">
        <v>1727</v>
      </c>
      <c r="D562" s="12"/>
      <c r="E562" s="12" t="s">
        <v>1762</v>
      </c>
      <c r="F562" s="12" t="s">
        <v>59</v>
      </c>
      <c r="G562" s="13">
        <v>1</v>
      </c>
      <c r="H562" s="13"/>
      <c r="I562" s="13">
        <v>21.5</v>
      </c>
      <c r="J562" s="14">
        <v>855.89</v>
      </c>
      <c r="K562" s="15">
        <v>963</v>
      </c>
      <c r="L562" s="14">
        <f>J562+ROUND(K562, 2)</f>
        <v>1818.8899999999999</v>
      </c>
      <c r="M562" s="14">
        <v>18401.64</v>
      </c>
      <c r="N562" s="14">
        <v>20704.5</v>
      </c>
      <c r="O562" s="14">
        <f>M562+N562</f>
        <v>39106.14</v>
      </c>
      <c r="P562" s="14">
        <v>855.89</v>
      </c>
      <c r="Q562" s="15">
        <v>1444.5</v>
      </c>
      <c r="R562" s="14">
        <f>P562+ROUND(Q562, 2)</f>
        <v>2300.39</v>
      </c>
      <c r="S562" s="14">
        <v>18401.64</v>
      </c>
      <c r="T562" s="14">
        <v>31056.75</v>
      </c>
      <c r="U562" s="14">
        <f>S562+T562</f>
        <v>49458.39</v>
      </c>
      <c r="V562" s="9">
        <f>ROUND(P562 / 1.2, 2)</f>
        <v>713.24</v>
      </c>
      <c r="W562" s="9">
        <f>ROUND(Q562 / 1.2, 2)</f>
        <v>1203.75</v>
      </c>
      <c r="X562" s="9">
        <f>ROUND(R562 / 1.2, 2)</f>
        <v>1916.99</v>
      </c>
      <c r="Y562" s="9">
        <f t="shared" si="22"/>
        <v>15334.7</v>
      </c>
      <c r="Z562" s="9">
        <f>ROUND(T562 / 1.2, 2)</f>
        <v>25880.63</v>
      </c>
      <c r="AA562" s="9">
        <f>Y562+Z562</f>
        <v>41215.33</v>
      </c>
      <c r="AD562" s="4">
        <v>315890079</v>
      </c>
      <c r="AE562" s="4">
        <v>27245734</v>
      </c>
      <c r="AG562" s="4" t="s">
        <v>1728</v>
      </c>
      <c r="AH562" s="4" t="s">
        <v>1729</v>
      </c>
      <c r="AI562" s="4" t="s">
        <v>224</v>
      </c>
    </row>
    <row r="563" spans="1:35" ht="18" x14ac:dyDescent="0.3">
      <c r="A563" s="10" t="s">
        <v>1763</v>
      </c>
      <c r="B563" s="10"/>
      <c r="C563" s="21" t="s">
        <v>1737</v>
      </c>
      <c r="D563" s="12"/>
      <c r="E563" s="12"/>
      <c r="F563" s="17" t="s">
        <v>59</v>
      </c>
      <c r="G563" s="18">
        <v>1.1000000000000001</v>
      </c>
      <c r="H563" s="22"/>
      <c r="I563" s="22">
        <v>23.65</v>
      </c>
      <c r="J563" s="19">
        <v>778.08</v>
      </c>
      <c r="M563" s="20">
        <f>ROUND(ROUND(J563, 2)*I563, 2)</f>
        <v>18401.59</v>
      </c>
      <c r="P563" s="19">
        <v>778.08</v>
      </c>
      <c r="S563" s="20">
        <f>ROUND(ROUND(P563, 2)*I563, 2)</f>
        <v>18401.59</v>
      </c>
      <c r="V563" s="9">
        <f>ROUND(ROUND(P563, 2)/1.2, 2)</f>
        <v>648.4</v>
      </c>
      <c r="Y563" s="9">
        <f t="shared" si="22"/>
        <v>15334.66</v>
      </c>
      <c r="AD563" s="4" t="s">
        <v>1764</v>
      </c>
      <c r="AE563" s="4" t="s">
        <v>1765</v>
      </c>
      <c r="AF563" s="4" t="s">
        <v>1740</v>
      </c>
    </row>
    <row r="564" spans="1:35" ht="144" x14ac:dyDescent="0.3">
      <c r="A564" s="10" t="s">
        <v>1766</v>
      </c>
      <c r="B564" s="10" t="s">
        <v>1726</v>
      </c>
      <c r="C564" s="11" t="s">
        <v>1727</v>
      </c>
      <c r="D564" s="12"/>
      <c r="E564" s="12" t="s">
        <v>1767</v>
      </c>
      <c r="F564" s="12" t="s">
        <v>59</v>
      </c>
      <c r="G564" s="13">
        <v>1</v>
      </c>
      <c r="H564" s="13"/>
      <c r="I564" s="13">
        <v>63.6</v>
      </c>
      <c r="J564" s="14">
        <v>0</v>
      </c>
      <c r="K564" s="15">
        <v>963</v>
      </c>
      <c r="L564" s="14">
        <f>J564+ROUND(K564, 2)</f>
        <v>963</v>
      </c>
      <c r="M564" s="14">
        <v>0</v>
      </c>
      <c r="N564" s="14">
        <v>61246.8</v>
      </c>
      <c r="O564" s="14">
        <f>M564+N564</f>
        <v>61246.8</v>
      </c>
      <c r="P564" s="14">
        <v>855</v>
      </c>
      <c r="Q564" s="15">
        <v>1444.5</v>
      </c>
      <c r="R564" s="14">
        <f>P564+ROUND(Q564, 2)</f>
        <v>2299.5</v>
      </c>
      <c r="S564" s="14">
        <v>54378</v>
      </c>
      <c r="T564" s="14">
        <v>91870.2</v>
      </c>
      <c r="U564" s="14">
        <f>S564+T564</f>
        <v>146248.20000000001</v>
      </c>
      <c r="V564" s="9">
        <f>ROUND(P564 / 1.2, 2)</f>
        <v>712.5</v>
      </c>
      <c r="W564" s="9">
        <f>ROUND(Q564 / 1.2, 2)</f>
        <v>1203.75</v>
      </c>
      <c r="X564" s="9">
        <f>ROUND(R564 / 1.2, 2)</f>
        <v>1916.25</v>
      </c>
      <c r="Y564" s="9">
        <f t="shared" si="22"/>
        <v>45315</v>
      </c>
      <c r="Z564" s="9">
        <f>ROUND(T564 / 1.2, 2)</f>
        <v>76558.5</v>
      </c>
      <c r="AA564" s="9">
        <f>Y564+Z564</f>
        <v>121873.5</v>
      </c>
      <c r="AD564" s="4">
        <v>315890080</v>
      </c>
      <c r="AE564" s="4">
        <v>27245730</v>
      </c>
      <c r="AG564" s="4" t="s">
        <v>1728</v>
      </c>
      <c r="AH564" s="4" t="s">
        <v>1729</v>
      </c>
      <c r="AI564" s="4" t="s">
        <v>224</v>
      </c>
    </row>
    <row r="565" spans="1:35" ht="18" x14ac:dyDescent="0.3">
      <c r="A565" s="10" t="s">
        <v>1768</v>
      </c>
      <c r="B565" s="10"/>
      <c r="C565" s="16" t="s">
        <v>1747</v>
      </c>
      <c r="D565" s="12"/>
      <c r="E565" s="12"/>
      <c r="F565" s="17" t="s">
        <v>59</v>
      </c>
      <c r="G565" s="18">
        <v>1</v>
      </c>
      <c r="H565" s="22"/>
      <c r="I565" s="22">
        <v>63.6</v>
      </c>
      <c r="J565" s="19">
        <v>0</v>
      </c>
      <c r="M565" s="20">
        <f>ROUND(ROUND(J565, 2)*I565, 2)</f>
        <v>0</v>
      </c>
      <c r="P565" s="19">
        <v>855</v>
      </c>
      <c r="S565" s="20">
        <f>ROUND(ROUND(P565, 2)*I565, 2)</f>
        <v>54378</v>
      </c>
      <c r="V565" s="9">
        <f>ROUND(ROUND(P565, 2)/1.2, 2)</f>
        <v>712.5</v>
      </c>
      <c r="Y565" s="9">
        <f t="shared" si="22"/>
        <v>45315</v>
      </c>
      <c r="AD565" s="4" t="s">
        <v>1769</v>
      </c>
      <c r="AE565" s="4" t="s">
        <v>1770</v>
      </c>
      <c r="AF565" s="4" t="s">
        <v>1750</v>
      </c>
    </row>
    <row r="566" spans="1:35" ht="24" customHeight="1" x14ac:dyDescent="0.3">
      <c r="A566" s="24"/>
      <c r="B566" s="24"/>
      <c r="C566" s="24"/>
      <c r="D566" s="25" t="s">
        <v>1771</v>
      </c>
      <c r="E566" s="24"/>
      <c r="F566" s="24"/>
      <c r="G566" s="24"/>
      <c r="H566" s="24"/>
      <c r="I566" s="24"/>
      <c r="J566" s="24"/>
      <c r="K566" s="24"/>
      <c r="L566" s="24"/>
      <c r="M566" s="26">
        <f>SUM(M8)</f>
        <v>23958071.490000002</v>
      </c>
      <c r="N566" s="26">
        <f>SUM(N8)</f>
        <v>31630464.810000002</v>
      </c>
      <c r="O566" s="26">
        <f>M566+N566</f>
        <v>55588536.300000004</v>
      </c>
      <c r="P566" s="24"/>
      <c r="Q566" s="24"/>
      <c r="R566" s="24"/>
      <c r="S566" s="26">
        <f>SUM(S8)</f>
        <v>22896107.140000001</v>
      </c>
      <c r="T566" s="26">
        <f>SUM(T8)</f>
        <v>47445697.219999999</v>
      </c>
      <c r="U566" s="26">
        <f>S566+T566</f>
        <v>70341804.359999999</v>
      </c>
      <c r="Y566" s="9">
        <f>SUM(Y8)</f>
        <v>19080089.32</v>
      </c>
      <c r="Z566" s="9">
        <f>SUM(Z8)</f>
        <v>39538081.100000001</v>
      </c>
      <c r="AA566" s="9">
        <f>Y566+Z566</f>
        <v>58618170.420000002</v>
      </c>
    </row>
    <row r="567" spans="1:35" ht="22.8" x14ac:dyDescent="0.3">
      <c r="A567" s="44" t="s">
        <v>1772</v>
      </c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6"/>
    </row>
    <row r="568" spans="1:35" ht="31.2" x14ac:dyDescent="0.3">
      <c r="A568" s="28"/>
      <c r="B568" s="5" t="s">
        <v>1773</v>
      </c>
      <c r="C568" s="27" t="s">
        <v>1774</v>
      </c>
      <c r="D568" s="27" t="s">
        <v>1775</v>
      </c>
      <c r="E568" s="29"/>
      <c r="F568" s="29"/>
      <c r="G568" s="29"/>
      <c r="H568" s="42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43"/>
    </row>
    <row r="569" spans="1:35" ht="31.2" x14ac:dyDescent="0.3">
      <c r="A569" s="28"/>
      <c r="B569" s="5" t="s">
        <v>1776</v>
      </c>
      <c r="C569" s="27" t="s">
        <v>1777</v>
      </c>
      <c r="D569" s="27" t="s">
        <v>1778</v>
      </c>
      <c r="E569" s="29"/>
      <c r="F569" s="29"/>
      <c r="G569" s="29"/>
      <c r="H569" s="42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43"/>
    </row>
    <row r="570" spans="1:35" ht="46.8" x14ac:dyDescent="0.3">
      <c r="A570" s="28"/>
      <c r="B570" s="5" t="s">
        <v>1779</v>
      </c>
      <c r="C570" s="27" t="s">
        <v>1780</v>
      </c>
      <c r="D570" s="27" t="s">
        <v>1781</v>
      </c>
      <c r="E570" s="29"/>
      <c r="F570" s="29"/>
      <c r="G570" s="29"/>
      <c r="H570" s="42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43"/>
    </row>
    <row r="571" spans="1:35" ht="15.6" x14ac:dyDescent="0.3">
      <c r="A571" s="28"/>
      <c r="B571" s="5" t="s">
        <v>1782</v>
      </c>
      <c r="C571" s="27" t="s">
        <v>1783</v>
      </c>
      <c r="D571" s="27" t="s">
        <v>1784</v>
      </c>
      <c r="E571" s="29"/>
      <c r="F571" s="29"/>
      <c r="G571" s="29"/>
      <c r="H571" s="42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43"/>
    </row>
    <row r="572" spans="1:35" ht="31.2" x14ac:dyDescent="0.3">
      <c r="A572" s="28"/>
      <c r="B572" s="5" t="s">
        <v>1785</v>
      </c>
      <c r="C572" s="27" t="s">
        <v>1786</v>
      </c>
      <c r="D572" s="27" t="s">
        <v>1778</v>
      </c>
      <c r="E572" s="29"/>
      <c r="F572" s="29"/>
      <c r="G572" s="29"/>
      <c r="H572" s="42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43"/>
    </row>
    <row r="573" spans="1:35" ht="62.4" x14ac:dyDescent="0.3">
      <c r="A573" s="28"/>
      <c r="B573" s="5" t="s">
        <v>1787</v>
      </c>
      <c r="C573" s="27" t="s">
        <v>1788</v>
      </c>
      <c r="D573" s="27" t="s">
        <v>1789</v>
      </c>
      <c r="E573" s="29"/>
      <c r="F573" s="29"/>
      <c r="G573" s="29"/>
      <c r="H573" s="42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43"/>
    </row>
    <row r="574" spans="1:35" ht="78" x14ac:dyDescent="0.3">
      <c r="A574" s="28"/>
      <c r="B574" s="5" t="s">
        <v>1790</v>
      </c>
      <c r="C574" s="27" t="s">
        <v>1791</v>
      </c>
      <c r="D574" s="27" t="s">
        <v>1792</v>
      </c>
      <c r="E574" s="29"/>
      <c r="F574" s="29"/>
      <c r="G574" s="29"/>
      <c r="H574" s="42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43"/>
    </row>
    <row r="575" spans="1:35" ht="15.6" x14ac:dyDescent="0.3">
      <c r="A575" s="28"/>
      <c r="B575" s="5" t="s">
        <v>1793</v>
      </c>
      <c r="C575" s="27" t="s">
        <v>1794</v>
      </c>
      <c r="D575" s="27" t="s">
        <v>1795</v>
      </c>
      <c r="E575" s="29"/>
      <c r="F575" s="29"/>
      <c r="G575" s="29"/>
      <c r="H575" s="42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43"/>
    </row>
    <row r="576" spans="1:35" ht="62.4" x14ac:dyDescent="0.3">
      <c r="A576" s="28"/>
      <c r="B576" s="5" t="s">
        <v>1796</v>
      </c>
      <c r="C576" s="27" t="s">
        <v>1797</v>
      </c>
      <c r="D576" s="27" t="s">
        <v>1798</v>
      </c>
      <c r="E576" s="29"/>
      <c r="F576" s="29"/>
      <c r="G576" s="29"/>
      <c r="H576" s="42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43"/>
    </row>
    <row r="577" spans="1:21" ht="93.6" x14ac:dyDescent="0.3">
      <c r="A577" s="28"/>
      <c r="B577" s="5" t="s">
        <v>1799</v>
      </c>
      <c r="C577" s="27" t="s">
        <v>1800</v>
      </c>
      <c r="D577" s="27" t="s">
        <v>1801</v>
      </c>
      <c r="E577" s="29"/>
      <c r="F577" s="29"/>
      <c r="G577" s="29"/>
      <c r="H577" s="42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43"/>
    </row>
    <row r="578" spans="1:21" ht="62.4" x14ac:dyDescent="0.3">
      <c r="A578" s="28"/>
      <c r="B578" s="5" t="s">
        <v>1802</v>
      </c>
      <c r="C578" s="27" t="s">
        <v>1803</v>
      </c>
      <c r="D578" s="27" t="s">
        <v>1804</v>
      </c>
      <c r="E578" s="29"/>
      <c r="F578" s="29"/>
      <c r="G578" s="29"/>
      <c r="H578" s="42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43"/>
    </row>
    <row r="579" spans="1:21" ht="46.8" x14ac:dyDescent="0.3">
      <c r="A579" s="28"/>
      <c r="B579" s="5" t="s">
        <v>1805</v>
      </c>
      <c r="C579" s="27" t="s">
        <v>1806</v>
      </c>
      <c r="D579" s="27" t="s">
        <v>1807</v>
      </c>
      <c r="E579" s="29"/>
      <c r="F579" s="29"/>
      <c r="G579" s="29"/>
      <c r="H579" s="42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43"/>
    </row>
    <row r="580" spans="1:21" ht="31.2" x14ac:dyDescent="0.3">
      <c r="A580" s="28"/>
      <c r="B580" s="5" t="s">
        <v>1808</v>
      </c>
      <c r="C580" s="27" t="s">
        <v>1809</v>
      </c>
      <c r="D580" s="27" t="s">
        <v>1810</v>
      </c>
      <c r="E580" s="29"/>
      <c r="F580" s="29"/>
      <c r="G580" s="29"/>
      <c r="H580" s="42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43"/>
    </row>
    <row r="581" spans="1:21" ht="140.4" x14ac:dyDescent="0.3">
      <c r="A581" s="28"/>
      <c r="B581" s="5" t="s">
        <v>1811</v>
      </c>
      <c r="C581" s="27" t="s">
        <v>1812</v>
      </c>
      <c r="D581" s="27" t="s">
        <v>1813</v>
      </c>
      <c r="E581" s="29"/>
      <c r="F581" s="29"/>
      <c r="G581" s="29"/>
      <c r="H581" s="42" t="s">
        <v>1814</v>
      </c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43"/>
    </row>
    <row r="582" spans="1:21" ht="31.2" x14ac:dyDescent="0.3">
      <c r="A582" s="28"/>
      <c r="B582" s="5" t="s">
        <v>1815</v>
      </c>
      <c r="C582" s="27" t="s">
        <v>1816</v>
      </c>
      <c r="D582" s="27" t="s">
        <v>1817</v>
      </c>
      <c r="E582" s="29"/>
      <c r="F582" s="29"/>
      <c r="G582" s="29"/>
      <c r="H582" s="42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43"/>
    </row>
    <row r="583" spans="1:21" ht="15.6" x14ac:dyDescent="0.3">
      <c r="A583" s="28"/>
      <c r="B583" s="5" t="s">
        <v>1818</v>
      </c>
      <c r="C583" s="27" t="s">
        <v>1819</v>
      </c>
      <c r="D583" s="29"/>
      <c r="E583" s="29"/>
      <c r="F583" s="29"/>
      <c r="G583" s="29"/>
      <c r="H583" s="42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43"/>
    </row>
    <row r="584" spans="1:21" ht="15.6" x14ac:dyDescent="0.3">
      <c r="A584" s="28"/>
      <c r="B584" s="5" t="s">
        <v>1820</v>
      </c>
      <c r="C584" s="27" t="s">
        <v>1821</v>
      </c>
      <c r="D584" s="29"/>
      <c r="E584" s="29"/>
      <c r="F584" s="29"/>
      <c r="G584" s="29"/>
      <c r="H584" s="42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43"/>
    </row>
    <row r="585" spans="1:21" ht="15.6" x14ac:dyDescent="0.3">
      <c r="A585" s="28"/>
      <c r="B585" s="5" t="s">
        <v>1822</v>
      </c>
      <c r="C585" s="27" t="s">
        <v>1823</v>
      </c>
      <c r="D585" s="29"/>
      <c r="E585" s="29"/>
      <c r="F585" s="29"/>
      <c r="G585" s="29"/>
      <c r="H585" s="42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43"/>
    </row>
  </sheetData>
  <mergeCells count="63">
    <mergeCell ref="P6:Q6"/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C56:I56"/>
    <mergeCell ref="R6:R7"/>
    <mergeCell ref="S6:T6"/>
    <mergeCell ref="U6:U7"/>
    <mergeCell ref="A8:I8"/>
    <mergeCell ref="C9:I9"/>
    <mergeCell ref="C10:I10"/>
    <mergeCell ref="H5:H7"/>
    <mergeCell ref="I5:I7"/>
    <mergeCell ref="J5:O5"/>
    <mergeCell ref="P5:R5"/>
    <mergeCell ref="S5:U5"/>
    <mergeCell ref="J6:K6"/>
    <mergeCell ref="L6:L7"/>
    <mergeCell ref="M6:N6"/>
    <mergeCell ref="O6:O7"/>
    <mergeCell ref="C11:I11"/>
    <mergeCell ref="C12:I12"/>
    <mergeCell ref="C13:I13"/>
    <mergeCell ref="C14:I14"/>
    <mergeCell ref="C55:I55"/>
    <mergeCell ref="C496:I496"/>
    <mergeCell ref="C57:I57"/>
    <mergeCell ref="C58:I58"/>
    <mergeCell ref="C59:I59"/>
    <mergeCell ref="C255:I255"/>
    <mergeCell ref="C260:I260"/>
    <mergeCell ref="C261:I261"/>
    <mergeCell ref="C268:I268"/>
    <mergeCell ref="C433:I433"/>
    <mergeCell ref="C454:I454"/>
    <mergeCell ref="C455:I455"/>
    <mergeCell ref="C468:I468"/>
    <mergeCell ref="H578:U578"/>
    <mergeCell ref="A567:U567"/>
    <mergeCell ref="H568:U568"/>
    <mergeCell ref="H569:U569"/>
    <mergeCell ref="H570:U570"/>
    <mergeCell ref="H571:U571"/>
    <mergeCell ref="H572:U572"/>
    <mergeCell ref="H573:U573"/>
    <mergeCell ref="H574:U574"/>
    <mergeCell ref="H575:U575"/>
    <mergeCell ref="H576:U576"/>
    <mergeCell ref="H577:U577"/>
    <mergeCell ref="H585:U585"/>
    <mergeCell ref="H579:U579"/>
    <mergeCell ref="H580:U580"/>
    <mergeCell ref="H581:U581"/>
    <mergeCell ref="H582:U582"/>
    <mergeCell ref="H583:U583"/>
    <mergeCell ref="H584:U5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ТКП</vt:lpstr>
      <vt:lpstr>Лист1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cp:lastPrinted>2026-02-09T07:13:22Z</cp:lastPrinted>
  <dcterms:created xsi:type="dcterms:W3CDTF">2026-02-03T06:37:52Z</dcterms:created>
  <dcterms:modified xsi:type="dcterms:W3CDTF">2026-02-11T07:50:24Z</dcterms:modified>
  <cp:category/>
</cp:coreProperties>
</file>