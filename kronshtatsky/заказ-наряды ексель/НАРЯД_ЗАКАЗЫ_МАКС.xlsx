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5A1D843-87C2-423A-9CAF-A20F3E894E70}" xr6:coauthVersionLast="47" xr6:coauthVersionMax="47" xr10:uidLastSave="{00000000-0000-0000-0000-000000000000}"/>
  <bookViews>
    <workbookView xWindow="0" yWindow="0" windowWidth="23040" windowHeight="12360" xr2:uid="{CA99428A-47DB-4ECD-BCA3-31C1AAA31D9D}"/>
  </bookViews>
  <sheets>
    <sheet name="Наряд заказы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3" i="2" l="1"/>
  <c r="K102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1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49" i="2"/>
  <c r="K748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577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8" i="2"/>
  <c r="K597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31" i="2"/>
  <c r="K532" i="2"/>
  <c r="K533" i="2"/>
  <c r="K534" i="2"/>
  <c r="K535" i="2"/>
  <c r="K536" i="2"/>
  <c r="K537" i="2"/>
  <c r="K538" i="2"/>
  <c r="K539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01" i="2"/>
  <c r="K400" i="2"/>
  <c r="K399" i="2"/>
  <c r="K398" i="2"/>
  <c r="K394" i="2"/>
  <c r="K388" i="2"/>
  <c r="K397" i="2"/>
  <c r="K396" i="2"/>
  <c r="K395" i="2"/>
  <c r="K393" i="2"/>
  <c r="K392" i="2"/>
  <c r="K391" i="2"/>
  <c r="K390" i="2"/>
  <c r="K389" i="2"/>
  <c r="K387" i="2"/>
  <c r="K386" i="2"/>
  <c r="K385" i="2"/>
  <c r="K384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35" i="2" l="1"/>
  <c r="K823" i="2"/>
  <c r="K692" i="2"/>
  <c r="K540" i="2"/>
  <c r="K230" i="2"/>
  <c r="K229" i="2"/>
  <c r="K228" i="2"/>
  <c r="K227" i="2"/>
  <c r="K226" i="2"/>
  <c r="K225" i="2"/>
  <c r="K224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42" i="2"/>
  <c r="K141" i="2"/>
  <c r="K140" i="2"/>
  <c r="K139" i="2"/>
  <c r="K138" i="2"/>
  <c r="K106" i="2"/>
  <c r="K105" i="2"/>
  <c r="K104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231" i="2" l="1"/>
  <c r="K107" i="2"/>
</calcChain>
</file>

<file path=xl/sharedStrings.xml><?xml version="1.0" encoding="utf-8"?>
<sst xmlns="http://schemas.openxmlformats.org/spreadsheetml/2006/main" count="3891" uniqueCount="237">
  <si>
    <t>Наименование работ</t>
  </si>
  <si>
    <t>Штукатурка стен сухими смесями с установкой маяков с предварительной огрунтовкой / толщ. от 16,5 мм до 21 мм</t>
  </si>
  <si>
    <t>м2</t>
  </si>
  <si>
    <t>Выравнивание стен с предварительной огрунтовкой / перегородок ГКЛ, ПГП, штукатурка / толщ. 2 мм потолок под покраску</t>
  </si>
  <si>
    <t>Заделка штроб торца откосов</t>
  </si>
  <si>
    <t>Устройство покрытия пола с предварительной огрунтовкой поверхности / из керамогранитной плитки с затиркой швов</t>
  </si>
  <si>
    <t>Облицовка поверхности стен с предварительной огрунтовкой и затиркой швов / керамической плиткой</t>
  </si>
  <si>
    <t>Устройство наливных полов с огрунтовкой поверхности и проклейкой демпферной лентой / толщ. до 10 мм</t>
  </si>
  <si>
    <t>Окраска поверхностей потолков с предварительной огрунтовкой поверхностей / в 2 слоя механизированно</t>
  </si>
  <si>
    <t>Монтаж подвесного потолка Грильято</t>
  </si>
  <si>
    <t>Монтаж подвесного потолка / из акустических древесных плит (Амстронг)</t>
  </si>
  <si>
    <t>Наряд-заказ №</t>
  </si>
  <si>
    <t>Период выполнения работ</t>
  </si>
  <si>
    <t>с</t>
  </si>
  <si>
    <t>по</t>
  </si>
  <si>
    <t>Жилищный комплекс</t>
  </si>
  <si>
    <t>Бригадир</t>
  </si>
  <si>
    <t>Бригада</t>
  </si>
  <si>
    <t>№1</t>
  </si>
  <si>
    <t>№ п/п</t>
  </si>
  <si>
    <t>Основание выполнения работ</t>
  </si>
  <si>
    <t>Структура затрат</t>
  </si>
  <si>
    <t>Этаж</t>
  </si>
  <si>
    <t>Помещение</t>
  </si>
  <si>
    <t>Ед.изм</t>
  </si>
  <si>
    <t>Кол-во</t>
  </si>
  <si>
    <t>Расценка, руб.</t>
  </si>
  <si>
    <t>Стоимость
Итого, руб.</t>
  </si>
  <si>
    <t>Примечание</t>
  </si>
  <si>
    <t>Работы по проекту</t>
  </si>
  <si>
    <t>Отделка СКБ</t>
  </si>
  <si>
    <t>Стены</t>
  </si>
  <si>
    <t>Всего по бригаде, руб.</t>
  </si>
  <si>
    <t>Полы</t>
  </si>
  <si>
    <t>Мобилизация</t>
  </si>
  <si>
    <t>Работы по НЗ на ДР</t>
  </si>
  <si>
    <t>Потолки</t>
  </si>
  <si>
    <t>Дверные проемы</t>
  </si>
  <si>
    <t>Работы по Акту ущерба</t>
  </si>
  <si>
    <t>(Фамилия И.О, подпись)</t>
  </si>
  <si>
    <t>(Дата)</t>
  </si>
  <si>
    <t>Производитель работ</t>
  </si>
  <si>
    <t>Инженер ПТО</t>
  </si>
  <si>
    <t>Директор проектов</t>
  </si>
  <si>
    <t>1.01 Тамбур 13,5</t>
  </si>
  <si>
    <t>1.03 Санузел для посетителей 5,5</t>
  </si>
  <si>
    <t>1.06 Санузел для МГН 5,6</t>
  </si>
  <si>
    <t>1.07 Гардероб для учителей 9,8</t>
  </si>
  <si>
    <t>1.08 Гардероб для начальной школы 98,9</t>
  </si>
  <si>
    <t>1.09 Учебный кабинет 1 класс 61,9</t>
  </si>
  <si>
    <t>1.10 Учебный кабинет 1 класс 63,3</t>
  </si>
  <si>
    <t>1.11 Учебный кабинет 1 класс 63,4</t>
  </si>
  <si>
    <t>1.12 Игровая с возможностью организации спальных мест 129,3</t>
  </si>
  <si>
    <t>1.13 Санузел для девочек 15,0</t>
  </si>
  <si>
    <t>1.15 Санузел для мальчиков 15,0</t>
  </si>
  <si>
    <t>1.17 Процедурный кабинет 13,3</t>
  </si>
  <si>
    <t>1.18 Прививочный кабинет 13,1</t>
  </si>
  <si>
    <t>1.19 Кабинет врача 20,2</t>
  </si>
  <si>
    <t>1.20 Холл 20,3</t>
  </si>
  <si>
    <t>1.21 Помещение для приготовления дезинфицирующих растворов 5,7</t>
  </si>
  <si>
    <t>1.22 Санузел персонала 4,4</t>
  </si>
  <si>
    <t>1.23 Помещение уборочного инвентаря 4,3</t>
  </si>
  <si>
    <t>1.24 Кладовая инвентаря 9,6</t>
  </si>
  <si>
    <t>1.26 Артистическая 10,4</t>
  </si>
  <si>
    <t>1.27 Коридор 25,5</t>
  </si>
  <si>
    <t>1.28 Серверная 21,2</t>
  </si>
  <si>
    <t>1.30 Рекреация коридорного типа 89,5</t>
  </si>
  <si>
    <t>1.31 Коридор 110,3</t>
  </si>
  <si>
    <t>1.32 Лестничная клетка №1 (Тип Н2) 23,7</t>
  </si>
  <si>
    <t>1.33 Лестничная клетка №2 (Тип Н2) 27,2</t>
  </si>
  <si>
    <t>1.34 Лестничная клетка №3 (Тип Н2) 24,4</t>
  </si>
  <si>
    <t>1.35 Лестничная клетка №4 (Тип Н2) 29,9</t>
  </si>
  <si>
    <t>1.36 Лифтовой холл 12,7</t>
  </si>
  <si>
    <t>1.37 Умывальная 11,4</t>
  </si>
  <si>
    <t>1.38 Обеденный зал на 150 мест 165,9</t>
  </si>
  <si>
    <t>1.39 Моечная столовой посуды 35,3</t>
  </si>
  <si>
    <t>1.60 Вестибюль с зоной для посетителей 86,8</t>
  </si>
  <si>
    <t>1.62 Туалет для МГН (для посетителей) 5,9</t>
  </si>
  <si>
    <t>1.64 Раздевальная комната 23,3</t>
  </si>
  <si>
    <t>1.65 Буфет 6,3</t>
  </si>
  <si>
    <t>1.66 Туалет (в т.ч. МГН) 28,9</t>
  </si>
  <si>
    <t>1.67 Групповая 50,7</t>
  </si>
  <si>
    <t>1.68 Спальная 55,9</t>
  </si>
  <si>
    <t>1.69 Раздевальная комната 18,0</t>
  </si>
  <si>
    <t>1.71 Буфет 6,3</t>
  </si>
  <si>
    <t>1.72 Туалет (в т.ч. МГН) 29,2</t>
  </si>
  <si>
    <t>1.73 Групповая 50,8</t>
  </si>
  <si>
    <t>1.74 Спальная 55,4</t>
  </si>
  <si>
    <t>1.75 Помещение уборочного инвентаря 5,5</t>
  </si>
  <si>
    <t>1.76 Комната персонала с гардеробом, душем и туалетом 8,2</t>
  </si>
  <si>
    <t>1.77 Коридор 39,7</t>
  </si>
  <si>
    <t>1.78 Коридор 59,7</t>
  </si>
  <si>
    <t>1.79 Лестничная клетка №5 (Тип Н2) 29,9</t>
  </si>
  <si>
    <t>1.80 Лестничная клетка №6 (Тип Л1) 26,1</t>
  </si>
  <si>
    <t>1.81 Лифтовой холл 6,3</t>
  </si>
  <si>
    <t>2.01 Учебный кабинет 2-4 класс 62,7</t>
  </si>
  <si>
    <t>2.03 Кабинет с рабочим местом для учителей 38,7</t>
  </si>
  <si>
    <t>2.04 Учебный кабинет 2-4 класс 63,3</t>
  </si>
  <si>
    <t>2.07 Учебный кабинет 2-4 класс 63,3</t>
  </si>
  <si>
    <t>2.08 Коридор 77,7</t>
  </si>
  <si>
    <t>2.09 Помещение уборочного инвентаря 4,9</t>
  </si>
  <si>
    <t>2.11 Раздевальная для мальчиков (МГН) 12,7</t>
  </si>
  <si>
    <t>2.12 Раздевальная для мальчиков 26,5</t>
  </si>
  <si>
    <t>2.13 Душевая для мальчиков 12,3</t>
  </si>
  <si>
    <t>2.14 Санузел для мальчиков 8,1</t>
  </si>
  <si>
    <t>2.15 Раздевальная для девочек 27,3</t>
  </si>
  <si>
    <t>2.17 Душевая девочек 10,9</t>
  </si>
  <si>
    <t>2.18 Инвентарная (снарядная) 30,6</t>
  </si>
  <si>
    <t>2.20 Комната инструктора (с душем и туалетом) 16,7</t>
  </si>
  <si>
    <t>2.21 Кабинет для индивидуальных занятий, в т.ч с учителем-логопедом 13,7</t>
  </si>
  <si>
    <t>2.22 Санузел персонала 4,9</t>
  </si>
  <si>
    <t>2.23 Помещение уборочного инвентаря 9,3</t>
  </si>
  <si>
    <t>2.24 Санузел для девочек 15,0</t>
  </si>
  <si>
    <t>2.25 Санузел для мальчиков 15,0</t>
  </si>
  <si>
    <t>2.28 Рекреация 187,5</t>
  </si>
  <si>
    <t>2.29 Технический центр (аппаратная) 13,9</t>
  </si>
  <si>
    <t>2.30 Коридор 107,4</t>
  </si>
  <si>
    <t>2.31 Лестничная клетка №1 (Тип Н2) 25,1</t>
  </si>
  <si>
    <t>2.32 Лестничная клетка №2 (Тип Н2) 27,4</t>
  </si>
  <si>
    <t>2.33 Лифтовой холл (зона безопасности) 12,7</t>
  </si>
  <si>
    <t>2.34 Лестничная клетка №3 (Тип Н2) 25,2</t>
  </si>
  <si>
    <t>2.35 Лестничная клетка №4 (Тип Н2) 30,1</t>
  </si>
  <si>
    <t>2.36 Раздаточная 8,0</t>
  </si>
  <si>
    <t>2.37 Раздевальная комната 21,1</t>
  </si>
  <si>
    <t>2.38 Буфет 6,3</t>
  </si>
  <si>
    <t>2.39 Туалет (в т.ч. МГН) 28,9</t>
  </si>
  <si>
    <t>2.40 Групповая 50,7</t>
  </si>
  <si>
    <t>2.41 Спальная 55,9</t>
  </si>
  <si>
    <t>2.42 Раздевальная комната 20,9</t>
  </si>
  <si>
    <t>2.43 Буфет 6,3</t>
  </si>
  <si>
    <t>2.44 Групповая 50,8</t>
  </si>
  <si>
    <t>2.45 Спальная 55,5</t>
  </si>
  <si>
    <t>2.46 Туалет (в т.ч. МГН) 28,9</t>
  </si>
  <si>
    <t xml:space="preserve"> 1. 04 Вестибюль с многофункциональным двухсветным пространством с возможностью проведения общественных мероприятий на 200 мест (с эстрадой в уровне пола)</t>
  </si>
  <si>
    <t>2.48 Помещение хранения для физкультурного зала 6,2</t>
  </si>
  <si>
    <t>2.49 Музыкальный зал 73,6</t>
  </si>
  <si>
    <t>2.50 Помещение хранения для музыкального зала 6,0</t>
  </si>
  <si>
    <t>2.51 Коридор 38,2</t>
  </si>
  <si>
    <t>2.52 Помещение уборочного инвентаря 5,5</t>
  </si>
  <si>
    <t>2.53 Хозяйственная кладовая 6,0</t>
  </si>
  <si>
    <t>2.54 Лестничная клетка №5 (Тип Н2) 31,3</t>
  </si>
  <si>
    <t>2.55 Лифтовой холл (зона безопасности) 6,3</t>
  </si>
  <si>
    <t>2.56 Коридор 62,1</t>
  </si>
  <si>
    <t>2.57 Лестничная клетка №6 (Тип Л1) 27,4</t>
  </si>
  <si>
    <t>2.58 Рекреация 74,5</t>
  </si>
  <si>
    <t>Кранштадский 14</t>
  </si>
  <si>
    <t xml:space="preserve">Ким </t>
  </si>
  <si>
    <t>3.01 Учебный кабинет 2-4 класс 61,6</t>
  </si>
  <si>
    <t>3.03 Административный кабинет 29,0</t>
  </si>
  <si>
    <t>3.04 Учебный кабинет 2-4 класс 63,5</t>
  </si>
  <si>
    <t>3.05 Учебный кабинет 2-4 класс 63,1</t>
  </si>
  <si>
    <t>3.06 Учебный кабинет 2-4 класс 64,4</t>
  </si>
  <si>
    <t>3.07 Учебный кабинет 2-4 класс 62,9</t>
  </si>
  <si>
    <t>3.08 Учебный кабинет 2-4 класс 63,5</t>
  </si>
  <si>
    <t>3.10 Санузел для девочек 15,1</t>
  </si>
  <si>
    <t>3.11 Санузел для мальчиков 15,1</t>
  </si>
  <si>
    <t>3.13 Книгохранилище 13,0</t>
  </si>
  <si>
    <t>3.15 Помещение уборочного инвентаря 11,4</t>
  </si>
  <si>
    <t>3.16 Лифтовой холл (зона безопасности) 12,7</t>
  </si>
  <si>
    <t>3.17 Лестничная клетка №1 (Тип Н2) 25,2</t>
  </si>
  <si>
    <t>3.19 Коридор 105,8</t>
  </si>
  <si>
    <t>3.20 Лестничная клетка №3 (Тип Н2) 25,2</t>
  </si>
  <si>
    <t>3.21 Лестничная клетка №4 (Тип Н2) 30,1</t>
  </si>
  <si>
    <t>3.22 Раздаточная 8,3</t>
  </si>
  <si>
    <t>3.23 Раздевальная комната 21,2</t>
  </si>
  <si>
    <t>3.24 Буфет 6,3</t>
  </si>
  <si>
    <t>3.25 Групповая 50,8</t>
  </si>
  <si>
    <t>3.26 Спальная 56,0</t>
  </si>
  <si>
    <t>3.27 Туалет (в т.ч. МГН) 28,9</t>
  </si>
  <si>
    <t>3.28 Раздевальная комната 21,0</t>
  </si>
  <si>
    <t>3.29 Групповая 50,8</t>
  </si>
  <si>
    <t>3.30 Спальная 55,5</t>
  </si>
  <si>
    <t>3.31 Буфет 6,3</t>
  </si>
  <si>
    <t>3.32 Туалет (в т.ч. МГН) 28,9</t>
  </si>
  <si>
    <t>3.34 Вспомогательное помещение 6,1</t>
  </si>
  <si>
    <t>3.36 Помещение приёма и сортировки грязного белья 5,8</t>
  </si>
  <si>
    <t>3.37 Комната чистого белья 5,9</t>
  </si>
  <si>
    <t>3.39 Лифтовой холл (зона безопасности) 6,1</t>
  </si>
  <si>
    <t>3.40 Помещение уборочного инвентаря 6,0</t>
  </si>
  <si>
    <t>3.41 Коридор 38,9</t>
  </si>
  <si>
    <t>3.42 Коридор 61,4</t>
  </si>
  <si>
    <t>3.44 Коридор 21,4</t>
  </si>
  <si>
    <t>3.45 Рекреация 86,8</t>
  </si>
  <si>
    <t xml:space="preserve">Кладка из блока </t>
  </si>
  <si>
    <t>м3</t>
  </si>
  <si>
    <t>Кладка из ПГП</t>
  </si>
  <si>
    <t>Час работы по затарке/уборке</t>
  </si>
  <si>
    <t>час</t>
  </si>
  <si>
    <t>3.12 Многофункциональный информационный библиотечный центр с зонами для индивидуальных и групповых занятий, медиатеки, читательских мест и выдачи книг</t>
  </si>
  <si>
    <t>3.33 Помещение (open space) для администрации , с рабочими местами для музыкального руководителя , воспитателя 74,5</t>
  </si>
  <si>
    <t>3.35 Кабинет для развивающих занятий с возможностью зонирования раздвижной трансформируемой перегородкой 73,8</t>
  </si>
  <si>
    <t>3.02 Кабинет иностранного языка с возможностью деления трансформируемой перегородкой на два помещения 88,0</t>
  </si>
  <si>
    <t>2.47 Многофункциональный физкультурный зал для проведения активных игр и занятий с детьми 71,0</t>
  </si>
  <si>
    <t>1.02 Зона ожидания родителей со стойкой для зарядки мобильных устройств 14,7</t>
  </si>
  <si>
    <t>2.02 Лабораторно-исследовательский комплекс для изучения естествознания 88,9</t>
  </si>
  <si>
    <t>2.05 Универсальное помещение с возможностью проведения занятий во внеурочное время в том числе для групп продленного дня 64,5</t>
  </si>
  <si>
    <t>2.06 Универсальное помещение с возможностью проведения занятий во внеурочное время в том числе для групп продленного дня 63,2</t>
  </si>
  <si>
    <t>Выравнивание стен с предварительной огрунтовкой  финишняя шпатлевка</t>
  </si>
  <si>
    <t>Выравнивание стен с предварительной огрунтовкой / базовая шпатлевка</t>
  </si>
  <si>
    <t>Устройство ГВЛВ</t>
  </si>
  <si>
    <t xml:space="preserve">Штукатурка откосов </t>
  </si>
  <si>
    <t>п.м</t>
  </si>
  <si>
    <t>Зашивка ГВЛВ</t>
  </si>
  <si>
    <t>1-2 этаж</t>
  </si>
  <si>
    <t>п.м.</t>
  </si>
  <si>
    <t xml:space="preserve">1-2 этаж </t>
  </si>
  <si>
    <t xml:space="preserve">1,2,3 этаж </t>
  </si>
  <si>
    <t>Ким</t>
  </si>
  <si>
    <t>Руководитель проекта</t>
  </si>
  <si>
    <t>Долаков М.С.</t>
  </si>
  <si>
    <t>Штукатурка откосов</t>
  </si>
  <si>
    <t>1,2,3</t>
  </si>
  <si>
    <t>1-3 этаж</t>
  </si>
  <si>
    <t>Работы по затарке материала и уборке мусора</t>
  </si>
  <si>
    <t>ч</t>
  </si>
  <si>
    <t>Евлоев И.Б.</t>
  </si>
  <si>
    <t>м</t>
  </si>
  <si>
    <t>26.12.20256</t>
  </si>
  <si>
    <t>помешения 3,44; 3,19</t>
  </si>
  <si>
    <t>помещения 1,80;2,57;3,43</t>
  </si>
  <si>
    <t>2м</t>
  </si>
  <si>
    <t>помещения 2,54; 3,38</t>
  </si>
  <si>
    <t>ШКОЛА ПОДВАЛ</t>
  </si>
  <si>
    <t>подвал</t>
  </si>
  <si>
    <t>САДИК ПОДВАЛ</t>
  </si>
  <si>
    <t>ШКОЛА и САДИК  ПОДВАЛ</t>
  </si>
  <si>
    <t>выполнена кладка из кирпича, объем работ закрыт как по цене ПГП</t>
  </si>
  <si>
    <t>помешение 2,54 3,38</t>
  </si>
  <si>
    <t>СТЕНЫ и ПОЛ</t>
  </si>
  <si>
    <t>от</t>
  </si>
  <si>
    <t>Выравнивание стен с предварительной огрунтовкой / перегородок ГКЛ, ПГП, штукатурка / толщ. 2 мм Стены под покраску</t>
  </si>
  <si>
    <t>Откосы из ГВЛВ 1-2 этаж</t>
  </si>
  <si>
    <t>Устройство откосов ГВЛВ</t>
  </si>
  <si>
    <t>Откосы из штукатурки 1-2 этаж</t>
  </si>
  <si>
    <t>Устройство откосов из штукатурки</t>
  </si>
  <si>
    <t>Заделка штроб 1 этаж</t>
  </si>
  <si>
    <t>ИСПРАВЛЕНО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</si>
</sst>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4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1"/>
      <color theme="1"/>
      <name val="Liberation Sans"/>
    </font>
    <font>
      <b/>
      <sz val="11"/>
      <color theme="1"/>
      <name val="Arial"/>
      <family val="2"/>
      <charset val="204"/>
    </font>
    <font>
      <sz val="11"/>
      <color theme="1"/>
      <name val="Liberation Sans"/>
    </font>
    <font>
      <i/>
      <sz val="11"/>
      <color theme="1"/>
      <name val="Arial"/>
      <family val="2"/>
      <charset val="204"/>
    </font>
    <font>
      <b/>
      <sz val="10"/>
      <color theme="1"/>
      <name val="Liberation Sans"/>
    </font>
    <font>
      <sz val="10"/>
      <color theme="1"/>
      <name val="Liberation Sans"/>
    </font>
    <font>
      <sz val="10"/>
      <color rgb="FF11734B"/>
      <name val="Arial"/>
      <family val="2"/>
      <charset val="204"/>
    </font>
    <font>
      <sz val="10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 wrapText="1"/>
    </xf>
    <xf numFmtId="14" fontId="4" fillId="0" borderId="0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wrapText="1"/>
    </xf>
    <xf numFmtId="164" fontId="8" fillId="5" borderId="1" xfId="0" applyNumberFormat="1" applyFont="1" applyFill="1" applyBorder="1" applyAlignment="1">
      <alignment horizontal="right" vertical="center" wrapText="1"/>
    </xf>
    <xf numFmtId="164" fontId="7" fillId="5" borderId="1" xfId="0" applyNumberFormat="1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right"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0" fillId="0" borderId="6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4" fontId="4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center" vertical="center" wrapText="1"/>
    </xf>
    <xf numFmtId="0" fontId="9" fillId="4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 vertical="center" wrapText="1"/>
    </xf>
    <xf numFmtId="164" fontId="8" fillId="5" borderId="7" xfId="0" applyNumberFormat="1" applyFont="1" applyFill="1" applyBorder="1" applyAlignment="1">
      <alignment horizontal="right" vertical="center" wrapText="1"/>
    </xf>
    <xf numFmtId="0" fontId="1" fillId="0" borderId="7" xfId="0" applyFont="1" applyBorder="1" applyAlignment="1">
      <alignment vertical="center" wrapText="1"/>
    </xf>
    <xf numFmtId="0" fontId="0" fillId="0" borderId="1" xfId="0" applyFill="1" applyBorder="1"/>
    <xf numFmtId="0" fontId="0" fillId="0" borderId="1" xfId="0" applyBorder="1" applyAlignment="1">
      <alignment horizontal="left"/>
    </xf>
    <xf numFmtId="16" fontId="0" fillId="0" borderId="0" xfId="0" applyNumberForma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10" fillId="0" borderId="6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6" borderId="1" xfId="0" applyFill="1" applyBorder="1"/>
    <xf numFmtId="164" fontId="7" fillId="6" borderId="1" xfId="0" applyNumberFormat="1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righ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0" fillId="7" borderId="1" xfId="0" applyFont="1" applyFill="1" applyBorder="1" applyAlignment="1">
      <alignment horizontal="right" vertical="center" wrapText="1"/>
    </xf>
    <xf numFmtId="164" fontId="8" fillId="7" borderId="1" xfId="0" applyNumberFormat="1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vertical="center" wrapText="1"/>
    </xf>
    <xf numFmtId="0" fontId="0" fillId="8" borderId="0" xfId="0" applyFill="1"/>
    <xf numFmtId="0" fontId="1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4" fontId="1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 applyBorder="1" applyAlignment="1">
      <alignment horizontal="center" vertical="center" wrapText="1"/>
    </xf>
    <xf numFmtId="14" fontId="1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83BB-5A8A-49A2-9F99-5BE3C77BC61F}">
  <dimension ref="A1:AG840"/>
  <sheetViews>
    <sheetView tabSelected="1" topLeftCell="A121" zoomScale="70" zoomScaleNormal="70" workbookViewId="0">
      <selection activeCell="L104" sqref="L104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2.2187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16" max="16" width="38.109375" customWidth="1"/>
  </cols>
  <sheetData>
    <row r="1" spans="1:12" s="20" customFormat="1"/>
    <row r="2" spans="1:12" s="20" customFormat="1">
      <c r="A2" s="40"/>
      <c r="B2" s="40"/>
      <c r="C2" s="41" t="s">
        <v>11</v>
      </c>
      <c r="D2" s="41">
        <v>1</v>
      </c>
      <c r="E2" s="40"/>
      <c r="F2" s="40"/>
      <c r="G2" s="42" t="s">
        <v>12</v>
      </c>
      <c r="H2" s="41" t="s">
        <v>13</v>
      </c>
      <c r="I2" s="43">
        <v>45945</v>
      </c>
    </row>
    <row r="3" spans="1:12" s="20" customFormat="1">
      <c r="A3" s="40"/>
      <c r="B3" s="40"/>
      <c r="C3" s="44" t="s">
        <v>229</v>
      </c>
      <c r="D3" s="40"/>
      <c r="E3" s="40"/>
      <c r="F3" s="40"/>
      <c r="G3" s="40"/>
      <c r="H3" s="41" t="s">
        <v>14</v>
      </c>
      <c r="I3" s="43">
        <v>45961</v>
      </c>
    </row>
    <row r="4" spans="1:12" s="20" customFormat="1">
      <c r="A4" s="40"/>
      <c r="B4" s="40"/>
      <c r="C4" s="40"/>
      <c r="D4" s="40"/>
      <c r="E4" s="40"/>
      <c r="F4" s="40"/>
      <c r="G4" s="40"/>
      <c r="H4" s="40"/>
      <c r="I4" s="40"/>
    </row>
    <row r="5" spans="1:12" s="20" customFormat="1" ht="27.6">
      <c r="A5" s="40"/>
      <c r="B5" s="40"/>
      <c r="C5" s="41" t="s">
        <v>15</v>
      </c>
      <c r="D5" s="85" t="s">
        <v>145</v>
      </c>
      <c r="E5" s="85"/>
      <c r="F5" s="85"/>
      <c r="G5" s="40"/>
      <c r="H5" s="40"/>
      <c r="I5" s="40"/>
    </row>
    <row r="6" spans="1:12" s="20" customFormat="1">
      <c r="A6" s="40"/>
      <c r="B6" s="40"/>
      <c r="C6" s="40"/>
      <c r="D6" s="40"/>
      <c r="E6" s="40"/>
      <c r="F6" s="40"/>
      <c r="G6" s="40"/>
      <c r="H6" s="40"/>
      <c r="I6" s="40"/>
    </row>
    <row r="7" spans="1:12" s="20" customFormat="1">
      <c r="A7" s="40"/>
      <c r="B7" s="40"/>
      <c r="C7" s="41" t="s">
        <v>16</v>
      </c>
      <c r="D7" s="85" t="s">
        <v>146</v>
      </c>
      <c r="E7" s="85"/>
      <c r="F7" s="85"/>
      <c r="G7" s="40"/>
      <c r="H7" s="40"/>
      <c r="I7" s="40"/>
    </row>
    <row r="8" spans="1:12" s="20" customFormat="1">
      <c r="A8" s="40"/>
      <c r="B8" s="40"/>
      <c r="C8" s="40"/>
      <c r="D8" s="40"/>
      <c r="E8" s="40"/>
      <c r="F8" s="40"/>
      <c r="G8" s="40"/>
      <c r="H8" s="40"/>
      <c r="I8" s="40"/>
    </row>
    <row r="9" spans="1:12" s="20" customFormat="1">
      <c r="A9" s="40"/>
      <c r="B9" s="40"/>
      <c r="C9" s="41" t="s">
        <v>17</v>
      </c>
      <c r="D9" s="85" t="s">
        <v>18</v>
      </c>
      <c r="E9" s="85"/>
      <c r="F9" s="85"/>
      <c r="G9" s="40"/>
      <c r="H9" s="40"/>
      <c r="I9" s="40"/>
    </row>
    <row r="10" spans="1:12" s="20" customFormat="1">
      <c r="A10" s="45"/>
      <c r="B10" s="45"/>
      <c r="C10" s="45"/>
      <c r="D10" s="45"/>
      <c r="E10" s="45"/>
      <c r="F10" s="45"/>
      <c r="G10" s="45"/>
      <c r="H10" s="45"/>
      <c r="I10" s="45"/>
    </row>
    <row r="11" spans="1:12" s="20" customFormat="1">
      <c r="A11" s="45"/>
      <c r="B11" s="45"/>
      <c r="C11" s="45"/>
      <c r="D11" s="45"/>
      <c r="E11" s="45"/>
      <c r="F11" s="45"/>
      <c r="G11" s="45"/>
      <c r="H11" s="45"/>
      <c r="I11" s="45"/>
    </row>
    <row r="12" spans="1:12" s="20" customFormat="1" ht="26.4">
      <c r="A12" s="9" t="s">
        <v>19</v>
      </c>
      <c r="B12" s="9" t="s">
        <v>20</v>
      </c>
      <c r="C12" s="9" t="s">
        <v>21</v>
      </c>
      <c r="D12" s="9" t="s">
        <v>21</v>
      </c>
      <c r="E12" s="9" t="s">
        <v>22</v>
      </c>
      <c r="F12" s="9" t="s">
        <v>23</v>
      </c>
      <c r="G12" s="9" t="s">
        <v>0</v>
      </c>
      <c r="H12" s="9" t="s">
        <v>24</v>
      </c>
      <c r="I12" s="9" t="s">
        <v>25</v>
      </c>
      <c r="J12" s="9" t="s">
        <v>26</v>
      </c>
      <c r="K12" s="9" t="s">
        <v>27</v>
      </c>
      <c r="L12" s="9" t="s">
        <v>28</v>
      </c>
    </row>
    <row r="13" spans="1:12" s="20" customFormat="1" ht="39.6">
      <c r="A13" s="26">
        <v>1</v>
      </c>
      <c r="B13" s="27" t="s">
        <v>29</v>
      </c>
      <c r="C13" s="28" t="s">
        <v>30</v>
      </c>
      <c r="D13" s="28" t="s">
        <v>31</v>
      </c>
      <c r="E13" s="28">
        <v>1</v>
      </c>
      <c r="F13" s="28" t="s">
        <v>82</v>
      </c>
      <c r="G13" s="28" t="s">
        <v>230</v>
      </c>
      <c r="H13" s="26" t="s">
        <v>2</v>
      </c>
      <c r="I13" s="29">
        <v>149</v>
      </c>
      <c r="J13" s="66">
        <v>195</v>
      </c>
      <c r="K13" s="68">
        <f>J13*I13</f>
        <v>29055</v>
      </c>
      <c r="L13" s="15"/>
    </row>
    <row r="14" spans="1:12" s="20" customFormat="1" ht="39.6">
      <c r="A14" s="26">
        <v>2</v>
      </c>
      <c r="B14" s="27" t="s">
        <v>29</v>
      </c>
      <c r="C14" s="28" t="s">
        <v>30</v>
      </c>
      <c r="D14" s="28" t="s">
        <v>31</v>
      </c>
      <c r="E14" s="28">
        <v>1</v>
      </c>
      <c r="F14" s="28" t="s">
        <v>52</v>
      </c>
      <c r="G14" s="28" t="s">
        <v>230</v>
      </c>
      <c r="H14" s="26" t="s">
        <v>2</v>
      </c>
      <c r="I14" s="29">
        <v>96</v>
      </c>
      <c r="J14" s="66">
        <v>195</v>
      </c>
      <c r="K14" s="68">
        <f t="shared" ref="K14:K34" si="0">J14*I14</f>
        <v>18720</v>
      </c>
      <c r="L14" s="15"/>
    </row>
    <row r="15" spans="1:12" s="20" customFormat="1" ht="39.6">
      <c r="A15" s="26">
        <v>3</v>
      </c>
      <c r="B15" s="27" t="s">
        <v>29</v>
      </c>
      <c r="C15" s="28" t="s">
        <v>30</v>
      </c>
      <c r="D15" s="28" t="s">
        <v>31</v>
      </c>
      <c r="E15" s="28">
        <v>2</v>
      </c>
      <c r="F15" s="28" t="s">
        <v>194</v>
      </c>
      <c r="G15" s="28" t="s">
        <v>230</v>
      </c>
      <c r="H15" s="26" t="s">
        <v>2</v>
      </c>
      <c r="I15" s="29">
        <v>55</v>
      </c>
      <c r="J15" s="66">
        <v>195</v>
      </c>
      <c r="K15" s="68">
        <f t="shared" si="0"/>
        <v>10725</v>
      </c>
      <c r="L15" s="15"/>
    </row>
    <row r="16" spans="1:12" s="20" customFormat="1" ht="39.6">
      <c r="A16" s="26">
        <v>4</v>
      </c>
      <c r="B16" s="27" t="s">
        <v>29</v>
      </c>
      <c r="C16" s="28" t="s">
        <v>30</v>
      </c>
      <c r="D16" s="28" t="s">
        <v>31</v>
      </c>
      <c r="E16" s="28">
        <v>1</v>
      </c>
      <c r="F16" s="28" t="s">
        <v>64</v>
      </c>
      <c r="G16" s="28" t="s">
        <v>230</v>
      </c>
      <c r="H16" s="26" t="s">
        <v>2</v>
      </c>
      <c r="I16" s="29">
        <v>153</v>
      </c>
      <c r="J16" s="66">
        <v>195</v>
      </c>
      <c r="K16" s="68">
        <f t="shared" si="0"/>
        <v>29835</v>
      </c>
      <c r="L16" s="15"/>
    </row>
    <row r="17" spans="1:12" s="20" customFormat="1" ht="39.6">
      <c r="A17" s="26">
        <v>5</v>
      </c>
      <c r="B17" s="27" t="s">
        <v>29</v>
      </c>
      <c r="C17" s="28" t="s">
        <v>30</v>
      </c>
      <c r="D17" s="28" t="s">
        <v>31</v>
      </c>
      <c r="E17" s="28"/>
      <c r="F17" s="28" t="s">
        <v>53</v>
      </c>
      <c r="G17" s="28" t="s">
        <v>230</v>
      </c>
      <c r="H17" s="26" t="s">
        <v>2</v>
      </c>
      <c r="I17" s="29">
        <v>25</v>
      </c>
      <c r="J17" s="66">
        <v>195</v>
      </c>
      <c r="K17" s="68">
        <f t="shared" si="0"/>
        <v>4875</v>
      </c>
      <c r="L17" s="15"/>
    </row>
    <row r="18" spans="1:12" s="20" customFormat="1" ht="39.6">
      <c r="A18" s="26">
        <v>6</v>
      </c>
      <c r="B18" s="27" t="s">
        <v>29</v>
      </c>
      <c r="C18" s="28" t="s">
        <v>30</v>
      </c>
      <c r="D18" s="28" t="s">
        <v>31</v>
      </c>
      <c r="E18" s="28">
        <v>1</v>
      </c>
      <c r="F18" s="28" t="s">
        <v>72</v>
      </c>
      <c r="G18" s="28" t="s">
        <v>230</v>
      </c>
      <c r="H18" s="26" t="s">
        <v>2</v>
      </c>
      <c r="I18" s="29">
        <v>19.5</v>
      </c>
      <c r="J18" s="66">
        <v>195</v>
      </c>
      <c r="K18" s="68">
        <f t="shared" si="0"/>
        <v>3802.5</v>
      </c>
      <c r="L18" s="15"/>
    </row>
    <row r="19" spans="1:12" s="20" customFormat="1" ht="66">
      <c r="A19" s="26">
        <v>7</v>
      </c>
      <c r="B19" s="27" t="s">
        <v>29</v>
      </c>
      <c r="C19" s="28" t="s">
        <v>30</v>
      </c>
      <c r="D19" s="28" t="s">
        <v>36</v>
      </c>
      <c r="E19" s="28">
        <v>1</v>
      </c>
      <c r="F19" s="28" t="s">
        <v>133</v>
      </c>
      <c r="G19" s="28" t="s">
        <v>3</v>
      </c>
      <c r="H19" s="26" t="s">
        <v>2</v>
      </c>
      <c r="I19" s="29">
        <v>302</v>
      </c>
      <c r="J19" s="66">
        <v>195</v>
      </c>
      <c r="K19" s="68">
        <f t="shared" si="0"/>
        <v>58890</v>
      </c>
      <c r="L19" s="15"/>
    </row>
    <row r="20" spans="1:12" s="20" customFormat="1" ht="66">
      <c r="A20" s="26">
        <v>8</v>
      </c>
      <c r="B20" s="27" t="s">
        <v>29</v>
      </c>
      <c r="C20" s="28" t="s">
        <v>30</v>
      </c>
      <c r="D20" s="28" t="s">
        <v>36</v>
      </c>
      <c r="E20" s="28">
        <v>1</v>
      </c>
      <c r="F20" s="28" t="s">
        <v>133</v>
      </c>
      <c r="G20" s="28" t="s">
        <v>3</v>
      </c>
      <c r="H20" s="26" t="s">
        <v>2</v>
      </c>
      <c r="I20" s="29">
        <v>302</v>
      </c>
      <c r="J20" s="66">
        <v>195</v>
      </c>
      <c r="K20" s="68">
        <f t="shared" si="0"/>
        <v>58890</v>
      </c>
      <c r="L20" s="15"/>
    </row>
    <row r="21" spans="1:12" s="20" customFormat="1" ht="39.6">
      <c r="A21" s="26">
        <v>9</v>
      </c>
      <c r="B21" s="27" t="s">
        <v>29</v>
      </c>
      <c r="C21" s="28" t="s">
        <v>30</v>
      </c>
      <c r="D21" s="28" t="s">
        <v>31</v>
      </c>
      <c r="E21" s="28">
        <v>2</v>
      </c>
      <c r="F21" s="28" t="s">
        <v>115</v>
      </c>
      <c r="G21" s="28" t="s">
        <v>230</v>
      </c>
      <c r="H21" s="26" t="s">
        <v>2</v>
      </c>
      <c r="I21" s="29">
        <v>30</v>
      </c>
      <c r="J21" s="66">
        <v>195</v>
      </c>
      <c r="K21" s="68">
        <f t="shared" si="0"/>
        <v>5850</v>
      </c>
      <c r="L21" s="15"/>
    </row>
    <row r="22" spans="1:12" s="20" customFormat="1" ht="39.6">
      <c r="A22" s="26">
        <v>10</v>
      </c>
      <c r="B22" s="27" t="s">
        <v>29</v>
      </c>
      <c r="C22" s="28" t="s">
        <v>30</v>
      </c>
      <c r="D22" s="28" t="s">
        <v>31</v>
      </c>
      <c r="E22" s="28">
        <v>1</v>
      </c>
      <c r="F22" s="28" t="s">
        <v>82</v>
      </c>
      <c r="G22" s="28" t="s">
        <v>1</v>
      </c>
      <c r="H22" s="26" t="s">
        <v>2</v>
      </c>
      <c r="I22" s="29">
        <v>39.5</v>
      </c>
      <c r="J22" s="66">
        <v>585</v>
      </c>
      <c r="K22" s="68">
        <f t="shared" si="0"/>
        <v>23107.5</v>
      </c>
      <c r="L22" s="15"/>
    </row>
    <row r="23" spans="1:12" s="20" customFormat="1" ht="39.6">
      <c r="A23" s="26">
        <v>11</v>
      </c>
      <c r="B23" s="27" t="s">
        <v>29</v>
      </c>
      <c r="C23" s="28" t="s">
        <v>30</v>
      </c>
      <c r="D23" s="28" t="s">
        <v>31</v>
      </c>
      <c r="E23" s="28">
        <v>1</v>
      </c>
      <c r="F23" s="28" t="s">
        <v>52</v>
      </c>
      <c r="G23" s="28" t="s">
        <v>1</v>
      </c>
      <c r="H23" s="26" t="s">
        <v>2</v>
      </c>
      <c r="I23" s="29">
        <v>1.9</v>
      </c>
      <c r="J23" s="66">
        <v>585</v>
      </c>
      <c r="K23" s="68">
        <f t="shared" si="0"/>
        <v>1111.5</v>
      </c>
      <c r="L23" s="15"/>
    </row>
    <row r="24" spans="1:12" s="20" customFormat="1" ht="39.6">
      <c r="A24" s="26">
        <v>12</v>
      </c>
      <c r="B24" s="27" t="s">
        <v>29</v>
      </c>
      <c r="C24" s="28" t="s">
        <v>30</v>
      </c>
      <c r="D24" s="28" t="s">
        <v>31</v>
      </c>
      <c r="E24" s="28">
        <v>1</v>
      </c>
      <c r="F24" s="28" t="s">
        <v>61</v>
      </c>
      <c r="G24" s="28" t="s">
        <v>1</v>
      </c>
      <c r="H24" s="26" t="s">
        <v>2</v>
      </c>
      <c r="I24" s="29">
        <v>34</v>
      </c>
      <c r="J24" s="66">
        <v>585</v>
      </c>
      <c r="K24" s="68">
        <f t="shared" si="0"/>
        <v>19890</v>
      </c>
      <c r="L24" s="15"/>
    </row>
    <row r="25" spans="1:12" s="20" customFormat="1" ht="39.6">
      <c r="A25" s="26">
        <v>13</v>
      </c>
      <c r="B25" s="27" t="s">
        <v>29</v>
      </c>
      <c r="C25" s="28" t="s">
        <v>30</v>
      </c>
      <c r="D25" s="28" t="s">
        <v>31</v>
      </c>
      <c r="E25" s="28">
        <v>1</v>
      </c>
      <c r="F25" s="28" t="s">
        <v>64</v>
      </c>
      <c r="G25" s="28" t="s">
        <v>1</v>
      </c>
      <c r="H25" s="26" t="s">
        <v>2</v>
      </c>
      <c r="I25" s="29">
        <v>14.4</v>
      </c>
      <c r="J25" s="66">
        <v>585</v>
      </c>
      <c r="K25" s="68">
        <f t="shared" si="0"/>
        <v>8424</v>
      </c>
      <c r="L25" s="15"/>
    </row>
    <row r="26" spans="1:12" s="20" customFormat="1" ht="39.6">
      <c r="A26" s="26">
        <v>14</v>
      </c>
      <c r="B26" s="27" t="s">
        <v>29</v>
      </c>
      <c r="C26" s="28" t="s">
        <v>30</v>
      </c>
      <c r="D26" s="28" t="s">
        <v>31</v>
      </c>
      <c r="E26" s="28">
        <v>2</v>
      </c>
      <c r="F26" s="28" t="s">
        <v>194</v>
      </c>
      <c r="G26" s="28" t="s">
        <v>1</v>
      </c>
      <c r="H26" s="26" t="s">
        <v>2</v>
      </c>
      <c r="I26" s="29">
        <v>28</v>
      </c>
      <c r="J26" s="66">
        <v>585</v>
      </c>
      <c r="K26" s="68">
        <f t="shared" si="0"/>
        <v>16380</v>
      </c>
      <c r="L26" s="15"/>
    </row>
    <row r="27" spans="1:12" s="20" customFormat="1" ht="52.8">
      <c r="A27" s="26">
        <v>15</v>
      </c>
      <c r="B27" s="27" t="s">
        <v>29</v>
      </c>
      <c r="C27" s="28" t="s">
        <v>30</v>
      </c>
      <c r="D27" s="28" t="s">
        <v>31</v>
      </c>
      <c r="E27" s="28">
        <v>3</v>
      </c>
      <c r="F27" s="28" t="s">
        <v>191</v>
      </c>
      <c r="G27" s="28" t="s">
        <v>1</v>
      </c>
      <c r="H27" s="26" t="s">
        <v>2</v>
      </c>
      <c r="I27" s="29">
        <v>55.5</v>
      </c>
      <c r="J27" s="66">
        <v>585</v>
      </c>
      <c r="K27" s="68">
        <f t="shared" si="0"/>
        <v>32467.5</v>
      </c>
      <c r="L27" s="15"/>
    </row>
    <row r="28" spans="1:12" s="20" customFormat="1" ht="27.6">
      <c r="A28" s="26">
        <v>16</v>
      </c>
      <c r="B28" s="27" t="s">
        <v>29</v>
      </c>
      <c r="C28" s="28" t="s">
        <v>30</v>
      </c>
      <c r="D28" s="28" t="s">
        <v>31</v>
      </c>
      <c r="E28" s="28">
        <v>1</v>
      </c>
      <c r="F28" s="28" t="s">
        <v>61</v>
      </c>
      <c r="G28" s="63" t="s">
        <v>6</v>
      </c>
      <c r="H28" s="26" t="s">
        <v>2</v>
      </c>
      <c r="I28" s="29">
        <v>59</v>
      </c>
      <c r="J28" s="66">
        <v>1170</v>
      </c>
      <c r="K28" s="68">
        <f t="shared" si="0"/>
        <v>69030</v>
      </c>
      <c r="L28" s="15"/>
    </row>
    <row r="29" spans="1:12" s="20" customFormat="1" ht="46.8">
      <c r="A29" s="26">
        <v>17</v>
      </c>
      <c r="B29" s="27" t="s">
        <v>29</v>
      </c>
      <c r="C29" s="28" t="s">
        <v>30</v>
      </c>
      <c r="D29" s="28" t="s">
        <v>31</v>
      </c>
      <c r="E29" s="28">
        <v>1</v>
      </c>
      <c r="F29" s="28" t="s">
        <v>46</v>
      </c>
      <c r="G29" s="31" t="s">
        <v>6</v>
      </c>
      <c r="H29" s="26" t="s">
        <v>2</v>
      </c>
      <c r="I29" s="29">
        <v>20</v>
      </c>
      <c r="J29" s="66">
        <v>1170</v>
      </c>
      <c r="K29" s="68">
        <f t="shared" si="0"/>
        <v>23400</v>
      </c>
      <c r="L29" s="15"/>
    </row>
    <row r="30" spans="1:12" s="20" customFormat="1" ht="15.6">
      <c r="A30" s="26">
        <v>18</v>
      </c>
      <c r="B30" s="27" t="s">
        <v>29</v>
      </c>
      <c r="C30" s="28" t="s">
        <v>30</v>
      </c>
      <c r="D30" s="28" t="s">
        <v>31</v>
      </c>
      <c r="E30" s="28">
        <v>1</v>
      </c>
      <c r="F30" s="64" t="s">
        <v>231</v>
      </c>
      <c r="G30" s="33" t="s">
        <v>232</v>
      </c>
      <c r="H30" s="26" t="s">
        <v>204</v>
      </c>
      <c r="I30" s="29">
        <v>109</v>
      </c>
      <c r="J30" s="66">
        <v>800</v>
      </c>
      <c r="K30" s="68">
        <f t="shared" si="0"/>
        <v>87200</v>
      </c>
      <c r="L30" s="15"/>
    </row>
    <row r="31" spans="1:12" s="20" customFormat="1">
      <c r="A31" s="26">
        <v>19</v>
      </c>
      <c r="B31" s="27" t="s">
        <v>29</v>
      </c>
      <c r="C31" s="28" t="s">
        <v>30</v>
      </c>
      <c r="D31" s="28" t="s">
        <v>31</v>
      </c>
      <c r="E31" s="40">
        <v>1.2</v>
      </c>
      <c r="F31" s="65" t="s">
        <v>233</v>
      </c>
      <c r="G31" s="64" t="s">
        <v>234</v>
      </c>
      <c r="H31" s="26" t="s">
        <v>204</v>
      </c>
      <c r="I31" s="29">
        <v>73</v>
      </c>
      <c r="J31" s="67">
        <v>300</v>
      </c>
      <c r="K31" s="68">
        <f t="shared" si="0"/>
        <v>21900</v>
      </c>
      <c r="L31" s="15"/>
    </row>
    <row r="32" spans="1:12" s="20" customFormat="1">
      <c r="A32" s="26">
        <v>20</v>
      </c>
      <c r="B32" s="27" t="s">
        <v>29</v>
      </c>
      <c r="C32" s="28" t="s">
        <v>30</v>
      </c>
      <c r="D32" s="28" t="s">
        <v>31</v>
      </c>
      <c r="E32" s="28">
        <v>1</v>
      </c>
      <c r="F32" s="65" t="s">
        <v>235</v>
      </c>
      <c r="G32" s="28" t="s">
        <v>4</v>
      </c>
      <c r="H32" s="26" t="s">
        <v>204</v>
      </c>
      <c r="I32" s="29">
        <v>286</v>
      </c>
      <c r="J32" s="67">
        <v>50</v>
      </c>
      <c r="K32" s="68">
        <f t="shared" si="0"/>
        <v>14300</v>
      </c>
      <c r="L32" s="15"/>
    </row>
    <row r="33" spans="1:12" s="20" customFormat="1" ht="39.6">
      <c r="A33" s="26">
        <v>21</v>
      </c>
      <c r="B33" s="27" t="s">
        <v>29</v>
      </c>
      <c r="C33" s="28" t="s">
        <v>30</v>
      </c>
      <c r="D33" s="28" t="s">
        <v>31</v>
      </c>
      <c r="E33" s="28">
        <v>1</v>
      </c>
      <c r="F33" s="28" t="s">
        <v>67</v>
      </c>
      <c r="G33" s="28" t="s">
        <v>230</v>
      </c>
      <c r="H33" s="26" t="s">
        <v>2</v>
      </c>
      <c r="I33" s="29">
        <v>233</v>
      </c>
      <c r="J33" s="67">
        <v>195</v>
      </c>
      <c r="K33" s="68">
        <f t="shared" si="0"/>
        <v>45435</v>
      </c>
      <c r="L33" s="15"/>
    </row>
    <row r="34" spans="1:12" s="20" customFormat="1" ht="52.8">
      <c r="A34" s="26">
        <v>22</v>
      </c>
      <c r="B34" s="27" t="s">
        <v>29</v>
      </c>
      <c r="C34" s="28" t="s">
        <v>30</v>
      </c>
      <c r="D34" s="28" t="s">
        <v>31</v>
      </c>
      <c r="E34" s="28">
        <v>3</v>
      </c>
      <c r="F34" s="28" t="s">
        <v>191</v>
      </c>
      <c r="G34" s="28" t="s">
        <v>230</v>
      </c>
      <c r="H34" s="26" t="s">
        <v>2</v>
      </c>
      <c r="I34" s="29">
        <v>55.5</v>
      </c>
      <c r="J34" s="67">
        <v>195</v>
      </c>
      <c r="K34" s="68">
        <f t="shared" si="0"/>
        <v>10822.5</v>
      </c>
      <c r="L34" s="15"/>
    </row>
    <row r="35" spans="1:12" s="20" customFormat="1" ht="31.8" customHeight="1">
      <c r="A35" s="62" t="s">
        <v>32</v>
      </c>
      <c r="B35" s="90"/>
      <c r="C35" s="91"/>
      <c r="D35" s="91"/>
      <c r="E35" s="91"/>
      <c r="F35" s="91"/>
      <c r="G35" s="91"/>
      <c r="H35" s="91"/>
      <c r="I35" s="91"/>
      <c r="J35" s="92"/>
      <c r="K35" s="69">
        <f>SUM(K13:K34)</f>
        <v>594110.5</v>
      </c>
      <c r="L35" s="14"/>
    </row>
    <row r="36" spans="1:12" s="20" customFormat="1"/>
    <row r="37" spans="1:12" s="20" customFormat="1"/>
    <row r="38" spans="1:12" s="20" customFormat="1">
      <c r="A38" s="40"/>
      <c r="B38" s="40"/>
      <c r="C38" s="40"/>
      <c r="D38" s="40"/>
      <c r="E38" s="40"/>
      <c r="F38" s="40"/>
      <c r="G38" s="40"/>
      <c r="H38" s="40"/>
      <c r="I38" s="40"/>
    </row>
    <row r="39" spans="1:12" s="20" customFormat="1"/>
    <row r="40" spans="1:12" s="20" customFormat="1"/>
    <row r="41" spans="1:12" s="20" customFormat="1"/>
    <row r="42" spans="1:12" s="20" customFormat="1"/>
    <row r="43" spans="1:12" s="20" customFormat="1"/>
    <row r="44" spans="1:12" s="20" customFormat="1"/>
    <row r="45" spans="1:12" s="20" customFormat="1"/>
    <row r="46" spans="1:12" s="20" customFormat="1"/>
    <row r="47" spans="1:12" s="20" customFormat="1"/>
    <row r="48" spans="1:12" s="20" customFormat="1"/>
    <row r="49" spans="1:33" ht="66" customHeight="1">
      <c r="A49" s="4"/>
      <c r="B49" s="4"/>
      <c r="C49" s="5" t="s">
        <v>11</v>
      </c>
      <c r="D49" s="5">
        <v>2</v>
      </c>
      <c r="E49" s="4"/>
      <c r="F49" s="4"/>
      <c r="G49" s="6" t="s">
        <v>12</v>
      </c>
      <c r="H49" s="5" t="s">
        <v>13</v>
      </c>
      <c r="I49" s="7">
        <v>45962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2"/>
      <c r="AB49" s="2"/>
      <c r="AC49" s="2"/>
      <c r="AD49" s="2"/>
      <c r="AE49" s="2"/>
      <c r="AF49" s="2"/>
      <c r="AG49" s="2"/>
    </row>
    <row r="50" spans="1:33" ht="34.200000000000003" customHeight="1">
      <c r="A50" s="4"/>
      <c r="B50" s="4"/>
      <c r="C50" s="8"/>
      <c r="D50" s="4"/>
      <c r="E50" s="4"/>
      <c r="F50" s="4"/>
      <c r="G50" s="4"/>
      <c r="H50" s="5" t="s">
        <v>14</v>
      </c>
      <c r="I50" s="7">
        <v>45971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2"/>
      <c r="AB50" s="2"/>
      <c r="AC50" s="2"/>
      <c r="AD50" s="2"/>
      <c r="AE50" s="2"/>
      <c r="AF50" s="2"/>
      <c r="AG50" s="2"/>
    </row>
    <row r="51" spans="1:33">
      <c r="A51" s="2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2"/>
      <c r="AB51" s="2"/>
      <c r="AC51" s="2"/>
      <c r="AD51" s="2"/>
      <c r="AE51" s="2"/>
      <c r="AF51" s="2"/>
      <c r="AG51" s="2"/>
    </row>
    <row r="52" spans="1:33" ht="27.6">
      <c r="A52" s="4"/>
      <c r="B52" s="4"/>
      <c r="C52" s="5" t="s">
        <v>15</v>
      </c>
      <c r="D52" s="89" t="s">
        <v>145</v>
      </c>
      <c r="E52" s="89"/>
      <c r="F52" s="8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2"/>
      <c r="AB52" s="2"/>
      <c r="AC52" s="2"/>
      <c r="AD52" s="2"/>
      <c r="AE52" s="2"/>
      <c r="AF52" s="2"/>
      <c r="AG52" s="2"/>
    </row>
    <row r="53" spans="1:3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2"/>
      <c r="AB53" s="2"/>
      <c r="AC53" s="2"/>
      <c r="AD53" s="2"/>
      <c r="AE53" s="2"/>
      <c r="AF53" s="2"/>
      <c r="AG53" s="2"/>
    </row>
    <row r="54" spans="1:33" ht="28.8" customHeight="1">
      <c r="A54" s="4"/>
      <c r="B54" s="4"/>
      <c r="C54" s="5" t="s">
        <v>16</v>
      </c>
      <c r="D54" s="89" t="s">
        <v>146</v>
      </c>
      <c r="E54" s="89"/>
      <c r="F54" s="8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2"/>
      <c r="AB54" s="2"/>
      <c r="AC54" s="2"/>
      <c r="AD54" s="2"/>
      <c r="AE54" s="2"/>
      <c r="AF54" s="2"/>
      <c r="AG54" s="2"/>
    </row>
    <row r="55" spans="1:3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2"/>
      <c r="AB55" s="2"/>
      <c r="AC55" s="2"/>
      <c r="AD55" s="2"/>
      <c r="AE55" s="2"/>
      <c r="AF55" s="2"/>
      <c r="AG55" s="2"/>
    </row>
    <row r="56" spans="1:33">
      <c r="A56" s="4"/>
      <c r="B56" s="4"/>
      <c r="C56" s="5" t="s">
        <v>17</v>
      </c>
      <c r="D56" s="89" t="s">
        <v>18</v>
      </c>
      <c r="E56" s="89"/>
      <c r="F56" s="8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2"/>
      <c r="AB56" s="2"/>
      <c r="AC56" s="2"/>
      <c r="AD56" s="2"/>
      <c r="AE56" s="2"/>
      <c r="AF56" s="2"/>
      <c r="AG56" s="2"/>
    </row>
    <row r="57" spans="1:33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  <c r="AB57" s="2"/>
      <c r="AC57" s="2"/>
      <c r="AD57" s="2"/>
      <c r="AE57" s="2"/>
      <c r="AF57" s="2"/>
      <c r="AG57" s="2"/>
    </row>
    <row r="58" spans="1:3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  <c r="AB58" s="2"/>
      <c r="AC58" s="2"/>
      <c r="AD58" s="2"/>
      <c r="AE58" s="2"/>
      <c r="AF58" s="2"/>
      <c r="AG58" s="2"/>
    </row>
    <row r="59" spans="1:33" ht="46.2" customHeight="1">
      <c r="A59" s="9" t="s">
        <v>19</v>
      </c>
      <c r="B59" s="9" t="s">
        <v>20</v>
      </c>
      <c r="C59" s="9" t="s">
        <v>21</v>
      </c>
      <c r="D59" s="9" t="s">
        <v>21</v>
      </c>
      <c r="E59" s="9" t="s">
        <v>22</v>
      </c>
      <c r="F59" s="9" t="s">
        <v>23</v>
      </c>
      <c r="G59" s="9" t="s">
        <v>0</v>
      </c>
      <c r="H59" s="9" t="s">
        <v>24</v>
      </c>
      <c r="I59" s="9" t="s">
        <v>25</v>
      </c>
      <c r="J59" s="9" t="s">
        <v>26</v>
      </c>
      <c r="K59" s="9" t="s">
        <v>27</v>
      </c>
      <c r="L59" s="9" t="s">
        <v>28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  <c r="AB59" s="2"/>
      <c r="AC59" s="2"/>
      <c r="AD59" s="2"/>
      <c r="AE59" s="2"/>
      <c r="AF59" s="2"/>
      <c r="AG59" s="2"/>
    </row>
    <row r="60" spans="1:33" ht="26.4">
      <c r="A60" s="26">
        <v>1</v>
      </c>
      <c r="B60" s="11" t="s">
        <v>29</v>
      </c>
      <c r="C60" s="12" t="s">
        <v>30</v>
      </c>
      <c r="D60" s="12" t="s">
        <v>36</v>
      </c>
      <c r="E60" s="19">
        <v>1</v>
      </c>
      <c r="F60" s="12" t="s">
        <v>69</v>
      </c>
      <c r="G60" s="12" t="s">
        <v>198</v>
      </c>
      <c r="H60" s="10" t="s">
        <v>2</v>
      </c>
      <c r="I60" s="13">
        <v>54</v>
      </c>
      <c r="J60" s="35">
        <v>250</v>
      </c>
      <c r="K60" s="17">
        <f>I60*J60</f>
        <v>13500</v>
      </c>
      <c r="L60" s="1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2"/>
      <c r="AB60" s="2"/>
      <c r="AC60" s="2"/>
      <c r="AD60" s="2"/>
      <c r="AE60" s="2"/>
      <c r="AF60" s="2"/>
      <c r="AG60" s="2"/>
    </row>
    <row r="61" spans="1:33" ht="26.4">
      <c r="A61" s="26">
        <v>1</v>
      </c>
      <c r="B61" s="11" t="s">
        <v>29</v>
      </c>
      <c r="C61" s="12" t="s">
        <v>30</v>
      </c>
      <c r="D61" s="12" t="s">
        <v>31</v>
      </c>
      <c r="E61" s="19">
        <v>1</v>
      </c>
      <c r="F61" s="12" t="s">
        <v>69</v>
      </c>
      <c r="G61" s="12" t="s">
        <v>198</v>
      </c>
      <c r="H61" s="10" t="s">
        <v>2</v>
      </c>
      <c r="I61" s="13">
        <v>132</v>
      </c>
      <c r="J61" s="35">
        <v>195</v>
      </c>
      <c r="K61" s="17">
        <f t="shared" ref="K61:K89" si="1">I61*J61</f>
        <v>25740</v>
      </c>
      <c r="L61" s="1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2"/>
      <c r="AB61" s="2"/>
      <c r="AC61" s="2"/>
      <c r="AD61" s="2"/>
      <c r="AE61" s="2"/>
      <c r="AF61" s="2"/>
      <c r="AG61" s="2"/>
    </row>
    <row r="62" spans="1:33" ht="26.4">
      <c r="A62" s="26">
        <v>1</v>
      </c>
      <c r="B62" s="11" t="s">
        <v>29</v>
      </c>
      <c r="C62" s="12" t="s">
        <v>30</v>
      </c>
      <c r="D62" s="12" t="s">
        <v>31</v>
      </c>
      <c r="E62" s="19">
        <v>1</v>
      </c>
      <c r="F62" s="12" t="s">
        <v>72</v>
      </c>
      <c r="G62" s="12" t="s">
        <v>198</v>
      </c>
      <c r="H62" s="10" t="s">
        <v>2</v>
      </c>
      <c r="I62" s="13">
        <v>58.5</v>
      </c>
      <c r="J62" s="35">
        <v>195</v>
      </c>
      <c r="K62" s="17">
        <f t="shared" si="1"/>
        <v>11407.5</v>
      </c>
      <c r="L62" s="1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2"/>
      <c r="AB62" s="2"/>
      <c r="AC62" s="2"/>
      <c r="AD62" s="2"/>
      <c r="AE62" s="2"/>
      <c r="AF62" s="2"/>
      <c r="AG62" s="2"/>
    </row>
    <row r="63" spans="1:33" ht="26.4">
      <c r="A63" s="26">
        <v>1</v>
      </c>
      <c r="B63" s="11" t="s">
        <v>29</v>
      </c>
      <c r="C63" s="12" t="s">
        <v>30</v>
      </c>
      <c r="D63" s="12" t="s">
        <v>31</v>
      </c>
      <c r="E63" s="19">
        <v>1</v>
      </c>
      <c r="F63" s="12" t="s">
        <v>46</v>
      </c>
      <c r="G63" s="12" t="s">
        <v>198</v>
      </c>
      <c r="H63" s="10" t="s">
        <v>2</v>
      </c>
      <c r="I63" s="13">
        <v>9.5</v>
      </c>
      <c r="J63" s="35">
        <v>195</v>
      </c>
      <c r="K63" s="17">
        <f t="shared" si="1"/>
        <v>1852.5</v>
      </c>
      <c r="L63" s="1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2"/>
      <c r="AB63" s="2"/>
      <c r="AC63" s="2"/>
      <c r="AD63" s="2"/>
      <c r="AE63" s="2"/>
      <c r="AF63" s="2"/>
      <c r="AG63" s="2"/>
    </row>
    <row r="64" spans="1:33" ht="39.6">
      <c r="A64" s="26">
        <v>1</v>
      </c>
      <c r="B64" s="11" t="s">
        <v>29</v>
      </c>
      <c r="C64" s="12" t="s">
        <v>30</v>
      </c>
      <c r="D64" s="12" t="s">
        <v>31</v>
      </c>
      <c r="E64" s="19">
        <v>2</v>
      </c>
      <c r="F64" s="12" t="s">
        <v>194</v>
      </c>
      <c r="G64" s="12" t="s">
        <v>198</v>
      </c>
      <c r="H64" s="10" t="s">
        <v>2</v>
      </c>
      <c r="I64" s="13">
        <v>80</v>
      </c>
      <c r="J64" s="35">
        <v>195</v>
      </c>
      <c r="K64" s="17">
        <f t="shared" si="1"/>
        <v>15600</v>
      </c>
      <c r="L64" s="1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2"/>
      <c r="AB64" s="2"/>
      <c r="AC64" s="2"/>
      <c r="AD64" s="2"/>
      <c r="AE64" s="2"/>
      <c r="AF64" s="2"/>
      <c r="AG64" s="2"/>
    </row>
    <row r="65" spans="1:33" ht="26.4">
      <c r="A65" s="26">
        <v>1</v>
      </c>
      <c r="B65" s="11" t="s">
        <v>29</v>
      </c>
      <c r="C65" s="12" t="s">
        <v>30</v>
      </c>
      <c r="D65" s="12" t="s">
        <v>31</v>
      </c>
      <c r="E65" s="19">
        <v>2</v>
      </c>
      <c r="F65" s="12" t="s">
        <v>113</v>
      </c>
      <c r="G65" s="12" t="s">
        <v>198</v>
      </c>
      <c r="H65" s="10" t="s">
        <v>2</v>
      </c>
      <c r="I65" s="13">
        <v>31</v>
      </c>
      <c r="J65" s="35">
        <v>195</v>
      </c>
      <c r="K65" s="17">
        <f t="shared" si="1"/>
        <v>6045</v>
      </c>
      <c r="L65" s="1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2"/>
      <c r="AB65" s="2"/>
      <c r="AC65" s="2"/>
      <c r="AD65" s="2"/>
      <c r="AE65" s="2"/>
      <c r="AF65" s="2"/>
      <c r="AG65" s="2"/>
    </row>
    <row r="66" spans="1:33" ht="26.4">
      <c r="A66" s="26">
        <v>1</v>
      </c>
      <c r="B66" s="11" t="s">
        <v>29</v>
      </c>
      <c r="C66" s="12" t="s">
        <v>30</v>
      </c>
      <c r="D66" s="12" t="s">
        <v>31</v>
      </c>
      <c r="E66" s="19">
        <v>1</v>
      </c>
      <c r="F66" s="12" t="s">
        <v>76</v>
      </c>
      <c r="G66" s="12" t="s">
        <v>198</v>
      </c>
      <c r="H66" s="10" t="s">
        <v>2</v>
      </c>
      <c r="I66" s="13">
        <v>83</v>
      </c>
      <c r="J66" s="35">
        <v>195</v>
      </c>
      <c r="K66" s="17">
        <f t="shared" si="1"/>
        <v>16185</v>
      </c>
      <c r="L66" s="1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2"/>
      <c r="AB66" s="2"/>
      <c r="AC66" s="2"/>
      <c r="AD66" s="2"/>
      <c r="AE66" s="2"/>
      <c r="AF66" s="2"/>
      <c r="AG66" s="2"/>
    </row>
    <row r="67" spans="1:33" ht="26.4">
      <c r="A67" s="26">
        <v>1</v>
      </c>
      <c r="B67" s="11" t="s">
        <v>29</v>
      </c>
      <c r="C67" s="12" t="s">
        <v>30</v>
      </c>
      <c r="D67" s="12" t="s">
        <v>31</v>
      </c>
      <c r="E67" s="19">
        <v>1</v>
      </c>
      <c r="F67" s="12" t="s">
        <v>51</v>
      </c>
      <c r="G67" s="12" t="s">
        <v>198</v>
      </c>
      <c r="H67" s="10" t="s">
        <v>2</v>
      </c>
      <c r="I67" s="13">
        <v>77.5</v>
      </c>
      <c r="J67" s="35">
        <v>195</v>
      </c>
      <c r="K67" s="17">
        <f t="shared" si="1"/>
        <v>15112.5</v>
      </c>
      <c r="L67" s="1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2"/>
      <c r="AB67" s="2"/>
      <c r="AC67" s="2"/>
      <c r="AD67" s="2"/>
      <c r="AE67" s="2"/>
      <c r="AF67" s="2"/>
      <c r="AG67" s="2"/>
    </row>
    <row r="68" spans="1:33" ht="26.4">
      <c r="A68" s="26">
        <v>1</v>
      </c>
      <c r="B68" s="11" t="s">
        <v>29</v>
      </c>
      <c r="C68" s="12" t="s">
        <v>30</v>
      </c>
      <c r="D68" s="12" t="s">
        <v>31</v>
      </c>
      <c r="E68" s="19">
        <v>1</v>
      </c>
      <c r="F68" s="12" t="s">
        <v>53</v>
      </c>
      <c r="G68" s="12" t="s">
        <v>198</v>
      </c>
      <c r="H68" s="10" t="s">
        <v>2</v>
      </c>
      <c r="I68" s="13">
        <v>29.3</v>
      </c>
      <c r="J68" s="35">
        <v>195</v>
      </c>
      <c r="K68" s="17">
        <f t="shared" si="1"/>
        <v>5713.5</v>
      </c>
      <c r="L68" s="1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2"/>
      <c r="AB68" s="2"/>
      <c r="AC68" s="2"/>
      <c r="AD68" s="2"/>
      <c r="AE68" s="2"/>
      <c r="AF68" s="2"/>
      <c r="AG68" s="2"/>
    </row>
    <row r="69" spans="1:33" ht="26.4">
      <c r="A69" s="26">
        <v>1</v>
      </c>
      <c r="B69" s="11" t="s">
        <v>29</v>
      </c>
      <c r="C69" s="12" t="s">
        <v>30</v>
      </c>
      <c r="D69" s="12" t="s">
        <v>31</v>
      </c>
      <c r="E69" s="19">
        <v>1</v>
      </c>
      <c r="F69" s="12" t="s">
        <v>54</v>
      </c>
      <c r="G69" s="12" t="s">
        <v>198</v>
      </c>
      <c r="H69" s="10" t="s">
        <v>2</v>
      </c>
      <c r="I69" s="13">
        <v>22.4</v>
      </c>
      <c r="J69" s="35">
        <v>195</v>
      </c>
      <c r="K69" s="17">
        <f t="shared" si="1"/>
        <v>4368</v>
      </c>
      <c r="L69" s="1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2"/>
      <c r="AB69" s="2"/>
      <c r="AC69" s="2"/>
      <c r="AD69" s="2"/>
      <c r="AE69" s="2"/>
      <c r="AF69" s="2"/>
      <c r="AG69" s="2"/>
    </row>
    <row r="70" spans="1:33" ht="26.4">
      <c r="A70" s="26">
        <v>1</v>
      </c>
      <c r="B70" s="11" t="s">
        <v>29</v>
      </c>
      <c r="C70" s="12" t="s">
        <v>30</v>
      </c>
      <c r="D70" s="12" t="s">
        <v>31</v>
      </c>
      <c r="E70" s="19">
        <v>1</v>
      </c>
      <c r="F70" s="12" t="s">
        <v>87</v>
      </c>
      <c r="G70" s="12" t="s">
        <v>198</v>
      </c>
      <c r="H70" s="10" t="s">
        <v>2</v>
      </c>
      <c r="I70" s="13">
        <v>36</v>
      </c>
      <c r="J70" s="35">
        <v>195</v>
      </c>
      <c r="K70" s="17">
        <f t="shared" si="1"/>
        <v>7020</v>
      </c>
      <c r="L70" s="1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2"/>
      <c r="AB70" s="2"/>
      <c r="AC70" s="2"/>
      <c r="AD70" s="2"/>
      <c r="AE70" s="2"/>
      <c r="AF70" s="2"/>
      <c r="AG70" s="2"/>
    </row>
    <row r="71" spans="1:33" ht="26.4">
      <c r="A71" s="26">
        <v>1</v>
      </c>
      <c r="B71" s="11" t="s">
        <v>29</v>
      </c>
      <c r="C71" s="12" t="s">
        <v>30</v>
      </c>
      <c r="D71" s="12" t="s">
        <v>31</v>
      </c>
      <c r="E71" s="19">
        <v>1</v>
      </c>
      <c r="F71" s="12" t="s">
        <v>74</v>
      </c>
      <c r="G71" s="12" t="s">
        <v>198</v>
      </c>
      <c r="H71" s="10" t="s">
        <v>2</v>
      </c>
      <c r="I71" s="13">
        <v>41.5</v>
      </c>
      <c r="J71" s="35">
        <v>195</v>
      </c>
      <c r="K71" s="17">
        <f t="shared" si="1"/>
        <v>8092.5</v>
      </c>
      <c r="L71" s="1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2"/>
      <c r="AB71" s="2"/>
      <c r="AC71" s="2"/>
      <c r="AD71" s="2"/>
      <c r="AE71" s="2"/>
      <c r="AF71" s="2"/>
      <c r="AG71" s="2"/>
    </row>
    <row r="72" spans="1:33" ht="26.4">
      <c r="A72" s="26">
        <v>1</v>
      </c>
      <c r="B72" s="11" t="s">
        <v>29</v>
      </c>
      <c r="C72" s="12" t="s">
        <v>30</v>
      </c>
      <c r="D72" s="12" t="s">
        <v>31</v>
      </c>
      <c r="E72" s="19">
        <v>1</v>
      </c>
      <c r="F72" s="12" t="s">
        <v>50</v>
      </c>
      <c r="G72" s="12" t="s">
        <v>198</v>
      </c>
      <c r="H72" s="10" t="s">
        <v>2</v>
      </c>
      <c r="I72" s="13">
        <v>62</v>
      </c>
      <c r="J72" s="35">
        <v>195</v>
      </c>
      <c r="K72" s="17">
        <f t="shared" si="1"/>
        <v>12090</v>
      </c>
      <c r="L72" s="1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2"/>
      <c r="AB72" s="2"/>
      <c r="AC72" s="2"/>
      <c r="AD72" s="2"/>
      <c r="AE72" s="2"/>
      <c r="AF72" s="2"/>
      <c r="AG72" s="2"/>
    </row>
    <row r="73" spans="1:33" ht="26.4">
      <c r="A73" s="26">
        <v>1</v>
      </c>
      <c r="B73" s="11" t="s">
        <v>29</v>
      </c>
      <c r="C73" s="12" t="s">
        <v>30</v>
      </c>
      <c r="D73" s="12" t="s">
        <v>31</v>
      </c>
      <c r="E73" s="19">
        <v>1</v>
      </c>
      <c r="F73" s="12" t="s">
        <v>65</v>
      </c>
      <c r="G73" s="12" t="s">
        <v>197</v>
      </c>
      <c r="H73" s="10" t="s">
        <v>2</v>
      </c>
      <c r="I73" s="13">
        <v>77</v>
      </c>
      <c r="J73" s="35">
        <v>195</v>
      </c>
      <c r="K73" s="17">
        <f t="shared" si="1"/>
        <v>15015</v>
      </c>
      <c r="L73" s="1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2"/>
      <c r="AB73" s="2"/>
      <c r="AC73" s="2"/>
      <c r="AD73" s="2"/>
      <c r="AE73" s="2"/>
      <c r="AF73" s="2"/>
      <c r="AG73" s="2"/>
    </row>
    <row r="74" spans="1:33" ht="39.6">
      <c r="A74" s="26">
        <v>1</v>
      </c>
      <c r="B74" s="11" t="s">
        <v>29</v>
      </c>
      <c r="C74" s="12" t="s">
        <v>30</v>
      </c>
      <c r="D74" s="12" t="s">
        <v>31</v>
      </c>
      <c r="E74" s="19">
        <v>1</v>
      </c>
      <c r="F74" s="12" t="s">
        <v>80</v>
      </c>
      <c r="G74" s="12" t="s">
        <v>1</v>
      </c>
      <c r="H74" s="10" t="s">
        <v>2</v>
      </c>
      <c r="I74" s="13">
        <v>79.3</v>
      </c>
      <c r="J74" s="35">
        <v>585</v>
      </c>
      <c r="K74" s="17">
        <f t="shared" si="1"/>
        <v>46390.5</v>
      </c>
      <c r="L74" s="1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2"/>
      <c r="AB74" s="2"/>
      <c r="AC74" s="2"/>
      <c r="AD74" s="2"/>
      <c r="AE74" s="2"/>
      <c r="AF74" s="2"/>
      <c r="AG74" s="2"/>
    </row>
    <row r="75" spans="1:33" ht="39.6">
      <c r="A75" s="26">
        <v>1</v>
      </c>
      <c r="B75" s="11" t="s">
        <v>29</v>
      </c>
      <c r="C75" s="12" t="s">
        <v>30</v>
      </c>
      <c r="D75" s="12" t="s">
        <v>31</v>
      </c>
      <c r="E75" s="19">
        <v>2</v>
      </c>
      <c r="F75" s="12" t="s">
        <v>113</v>
      </c>
      <c r="G75" s="12" t="s">
        <v>1</v>
      </c>
      <c r="H75" s="10" t="s">
        <v>2</v>
      </c>
      <c r="I75" s="13">
        <v>62</v>
      </c>
      <c r="J75" s="35">
        <v>585</v>
      </c>
      <c r="K75" s="17">
        <f t="shared" si="1"/>
        <v>36270</v>
      </c>
      <c r="L75" s="1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2"/>
      <c r="AB75" s="2"/>
      <c r="AC75" s="2"/>
      <c r="AD75" s="2"/>
      <c r="AE75" s="2"/>
      <c r="AF75" s="2"/>
      <c r="AG75" s="2"/>
    </row>
    <row r="76" spans="1:33" ht="39.6">
      <c r="A76" s="26">
        <v>1</v>
      </c>
      <c r="B76" s="11" t="s">
        <v>29</v>
      </c>
      <c r="C76" s="12" t="s">
        <v>30</v>
      </c>
      <c r="D76" s="12" t="s">
        <v>31</v>
      </c>
      <c r="E76" s="19">
        <v>2</v>
      </c>
      <c r="F76" s="12" t="s">
        <v>194</v>
      </c>
      <c r="G76" s="12" t="s">
        <v>1</v>
      </c>
      <c r="H76" s="10" t="s">
        <v>2</v>
      </c>
      <c r="I76" s="13">
        <v>14</v>
      </c>
      <c r="J76" s="35">
        <v>585</v>
      </c>
      <c r="K76" s="17">
        <f t="shared" si="1"/>
        <v>8190</v>
      </c>
      <c r="L76" s="1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2"/>
      <c r="AB76" s="2"/>
      <c r="AC76" s="2"/>
      <c r="AD76" s="2"/>
      <c r="AE76" s="2"/>
      <c r="AF76" s="2"/>
      <c r="AG76" s="2"/>
    </row>
    <row r="77" spans="1:33" ht="39.6">
      <c r="A77" s="26">
        <v>1</v>
      </c>
      <c r="B77" s="11" t="s">
        <v>29</v>
      </c>
      <c r="C77" s="12" t="s">
        <v>30</v>
      </c>
      <c r="D77" s="12" t="s">
        <v>31</v>
      </c>
      <c r="E77" s="19">
        <v>1</v>
      </c>
      <c r="F77" s="12" t="s">
        <v>76</v>
      </c>
      <c r="G77" s="12" t="s">
        <v>1</v>
      </c>
      <c r="H77" s="10" t="s">
        <v>2</v>
      </c>
      <c r="I77" s="13">
        <v>17</v>
      </c>
      <c r="J77" s="35">
        <v>585</v>
      </c>
      <c r="K77" s="17">
        <f t="shared" si="1"/>
        <v>9945</v>
      </c>
      <c r="L77" s="1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2"/>
      <c r="AB77" s="2"/>
      <c r="AC77" s="2"/>
      <c r="AD77" s="2"/>
      <c r="AE77" s="2"/>
      <c r="AF77" s="2"/>
      <c r="AG77" s="2"/>
    </row>
    <row r="78" spans="1:33" ht="39.6">
      <c r="A78" s="26">
        <v>1</v>
      </c>
      <c r="B78" s="11" t="s">
        <v>29</v>
      </c>
      <c r="C78" s="12" t="s">
        <v>30</v>
      </c>
      <c r="D78" s="12" t="s">
        <v>31</v>
      </c>
      <c r="E78" s="19">
        <v>1</v>
      </c>
      <c r="F78" s="12" t="s">
        <v>53</v>
      </c>
      <c r="G78" s="12" t="s">
        <v>1</v>
      </c>
      <c r="H78" s="10" t="s">
        <v>2</v>
      </c>
      <c r="I78" s="13">
        <v>62</v>
      </c>
      <c r="J78" s="35">
        <v>585</v>
      </c>
      <c r="K78" s="17">
        <f t="shared" si="1"/>
        <v>36270</v>
      </c>
      <c r="L78" s="1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2"/>
      <c r="AB78" s="2"/>
      <c r="AC78" s="2"/>
      <c r="AD78" s="2"/>
      <c r="AE78" s="2"/>
      <c r="AF78" s="2"/>
      <c r="AG78" s="2"/>
    </row>
    <row r="79" spans="1:33" ht="39.6">
      <c r="A79" s="26">
        <v>1</v>
      </c>
      <c r="B79" s="11" t="s">
        <v>29</v>
      </c>
      <c r="C79" s="12" t="s">
        <v>30</v>
      </c>
      <c r="D79" s="12" t="s">
        <v>31</v>
      </c>
      <c r="E79" s="19">
        <v>1</v>
      </c>
      <c r="F79" s="12" t="s">
        <v>54</v>
      </c>
      <c r="G79" s="12" t="s">
        <v>1</v>
      </c>
      <c r="H79" s="10" t="s">
        <v>2</v>
      </c>
      <c r="I79" s="13">
        <v>51</v>
      </c>
      <c r="J79" s="35">
        <v>585</v>
      </c>
      <c r="K79" s="17">
        <f t="shared" si="1"/>
        <v>29835</v>
      </c>
      <c r="L79" s="1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2"/>
      <c r="AB79" s="2"/>
      <c r="AC79" s="2"/>
      <c r="AD79" s="2"/>
      <c r="AE79" s="2"/>
      <c r="AF79" s="2"/>
      <c r="AG79" s="2"/>
    </row>
    <row r="80" spans="1:33" ht="39.6">
      <c r="A80" s="26">
        <v>1</v>
      </c>
      <c r="B80" s="11" t="s">
        <v>29</v>
      </c>
      <c r="C80" s="12" t="s">
        <v>30</v>
      </c>
      <c r="D80" s="12" t="s">
        <v>31</v>
      </c>
      <c r="E80" s="19">
        <v>1</v>
      </c>
      <c r="F80" s="12" t="s">
        <v>76</v>
      </c>
      <c r="G80" s="12" t="s">
        <v>1</v>
      </c>
      <c r="H80" s="10" t="s">
        <v>2</v>
      </c>
      <c r="I80" s="13">
        <v>11</v>
      </c>
      <c r="J80" s="35">
        <v>585</v>
      </c>
      <c r="K80" s="17">
        <f t="shared" si="1"/>
        <v>6435</v>
      </c>
      <c r="L80" s="1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2"/>
      <c r="AB80" s="2"/>
      <c r="AC80" s="2"/>
      <c r="AD80" s="2"/>
      <c r="AE80" s="2"/>
      <c r="AF80" s="2"/>
      <c r="AG80" s="2"/>
    </row>
    <row r="81" spans="1:33" ht="39.6">
      <c r="A81" s="26">
        <v>1</v>
      </c>
      <c r="B81" s="11" t="s">
        <v>29</v>
      </c>
      <c r="C81" s="12" t="s">
        <v>30</v>
      </c>
      <c r="D81" s="12" t="s">
        <v>31</v>
      </c>
      <c r="E81" s="19">
        <v>1</v>
      </c>
      <c r="F81" s="12" t="s">
        <v>51</v>
      </c>
      <c r="G81" s="12" t="s">
        <v>1</v>
      </c>
      <c r="H81" s="10" t="s">
        <v>2</v>
      </c>
      <c r="I81" s="13">
        <v>31.5</v>
      </c>
      <c r="J81" s="35">
        <v>585</v>
      </c>
      <c r="K81" s="17">
        <f t="shared" si="1"/>
        <v>18427.5</v>
      </c>
      <c r="L81" s="1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2"/>
      <c r="AB81" s="2"/>
      <c r="AC81" s="2"/>
      <c r="AD81" s="2"/>
      <c r="AE81" s="2"/>
      <c r="AF81" s="2"/>
      <c r="AG81" s="2"/>
    </row>
    <row r="82" spans="1:33" ht="39.6">
      <c r="A82" s="26">
        <v>1</v>
      </c>
      <c r="B82" s="11" t="s">
        <v>35</v>
      </c>
      <c r="C82" s="12" t="s">
        <v>30</v>
      </c>
      <c r="D82" s="12" t="s">
        <v>31</v>
      </c>
      <c r="E82" s="19">
        <v>1</v>
      </c>
      <c r="F82" s="12" t="s">
        <v>85</v>
      </c>
      <c r="G82" s="12" t="s">
        <v>1</v>
      </c>
      <c r="H82" s="10" t="s">
        <v>2</v>
      </c>
      <c r="I82" s="13">
        <v>80</v>
      </c>
      <c r="J82" s="35">
        <v>585</v>
      </c>
      <c r="K82" s="17">
        <f t="shared" si="1"/>
        <v>46800</v>
      </c>
      <c r="L82" s="1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2"/>
      <c r="AB82" s="2"/>
      <c r="AC82" s="2"/>
      <c r="AD82" s="2"/>
      <c r="AE82" s="2"/>
      <c r="AF82" s="2"/>
      <c r="AG82" s="2"/>
    </row>
    <row r="83" spans="1:33" ht="36" customHeight="1">
      <c r="A83" s="26">
        <v>1</v>
      </c>
      <c r="B83" s="11" t="s">
        <v>29</v>
      </c>
      <c r="C83" s="12" t="s">
        <v>30</v>
      </c>
      <c r="D83" s="12" t="s">
        <v>31</v>
      </c>
      <c r="E83" s="19"/>
      <c r="F83" s="33" t="s">
        <v>203</v>
      </c>
      <c r="G83" s="32" t="s">
        <v>202</v>
      </c>
      <c r="H83" s="10" t="s">
        <v>2</v>
      </c>
      <c r="I83" s="13">
        <v>11.4</v>
      </c>
      <c r="J83" s="35">
        <v>800</v>
      </c>
      <c r="K83" s="17">
        <f t="shared" si="1"/>
        <v>9120</v>
      </c>
      <c r="L83" s="1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2"/>
      <c r="AB83" s="2"/>
      <c r="AC83" s="2"/>
      <c r="AD83" s="2"/>
      <c r="AE83" s="2"/>
      <c r="AF83" s="2"/>
      <c r="AG83" s="2"/>
    </row>
    <row r="84" spans="1:33" ht="26.4">
      <c r="A84" s="26">
        <v>1</v>
      </c>
      <c r="B84" s="11" t="s">
        <v>29</v>
      </c>
      <c r="C84" s="12" t="s">
        <v>30</v>
      </c>
      <c r="D84" s="12" t="s">
        <v>31</v>
      </c>
      <c r="E84" s="19">
        <v>2</v>
      </c>
      <c r="F84" s="12" t="s">
        <v>113</v>
      </c>
      <c r="G84" s="12" t="s">
        <v>6</v>
      </c>
      <c r="H84" s="10" t="s">
        <v>2</v>
      </c>
      <c r="I84" s="13">
        <v>19.2</v>
      </c>
      <c r="J84" s="35">
        <v>1170</v>
      </c>
      <c r="K84" s="17">
        <f t="shared" si="1"/>
        <v>22464</v>
      </c>
      <c r="L84" s="1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2"/>
      <c r="AB84" s="2"/>
      <c r="AC84" s="2"/>
      <c r="AD84" s="2"/>
      <c r="AE84" s="2"/>
      <c r="AF84" s="2"/>
      <c r="AG84" s="2"/>
    </row>
    <row r="85" spans="1:33" ht="26.4">
      <c r="A85" s="26">
        <v>1</v>
      </c>
      <c r="B85" s="11" t="s">
        <v>29</v>
      </c>
      <c r="C85" s="12" t="s">
        <v>30</v>
      </c>
      <c r="D85" s="12" t="s">
        <v>31</v>
      </c>
      <c r="E85" s="19">
        <v>2</v>
      </c>
      <c r="F85" s="12" t="s">
        <v>110</v>
      </c>
      <c r="G85" s="12" t="s">
        <v>6</v>
      </c>
      <c r="H85" s="10" t="s">
        <v>2</v>
      </c>
      <c r="I85" s="13">
        <v>27.2</v>
      </c>
      <c r="J85" s="35">
        <v>1170</v>
      </c>
      <c r="K85" s="17">
        <f t="shared" si="1"/>
        <v>31824</v>
      </c>
      <c r="L85" s="1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2"/>
      <c r="AB85" s="2"/>
      <c r="AC85" s="2"/>
      <c r="AD85" s="2"/>
      <c r="AE85" s="2"/>
      <c r="AF85" s="2"/>
      <c r="AG85" s="2"/>
    </row>
    <row r="86" spans="1:33" ht="26.4">
      <c r="A86" s="26">
        <v>1</v>
      </c>
      <c r="B86" s="11" t="s">
        <v>29</v>
      </c>
      <c r="C86" s="12" t="s">
        <v>30</v>
      </c>
      <c r="D86" s="12" t="s">
        <v>31</v>
      </c>
      <c r="E86" s="19">
        <v>2</v>
      </c>
      <c r="F86" s="12" t="s">
        <v>115</v>
      </c>
      <c r="G86" s="12" t="s">
        <v>6</v>
      </c>
      <c r="H86" s="10" t="s">
        <v>2</v>
      </c>
      <c r="I86" s="13">
        <v>15.6</v>
      </c>
      <c r="J86" s="35">
        <v>1170</v>
      </c>
      <c r="K86" s="17">
        <f t="shared" si="1"/>
        <v>18252</v>
      </c>
      <c r="L86" s="1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2"/>
      <c r="AB86" s="2"/>
      <c r="AC86" s="2"/>
      <c r="AD86" s="2"/>
      <c r="AE86" s="2"/>
      <c r="AF86" s="2"/>
      <c r="AG86" s="2"/>
    </row>
    <row r="87" spans="1:33" ht="39.6">
      <c r="A87" s="26">
        <v>1</v>
      </c>
      <c r="B87" s="11" t="s">
        <v>29</v>
      </c>
      <c r="C87" s="12" t="s">
        <v>30</v>
      </c>
      <c r="D87" s="12" t="s">
        <v>33</v>
      </c>
      <c r="E87" s="19">
        <v>1</v>
      </c>
      <c r="F87" s="12" t="s">
        <v>76</v>
      </c>
      <c r="G87" s="12" t="s">
        <v>5</v>
      </c>
      <c r="H87" s="10" t="s">
        <v>2</v>
      </c>
      <c r="I87" s="13">
        <v>88.8</v>
      </c>
      <c r="J87" s="35">
        <v>1170</v>
      </c>
      <c r="K87" s="17">
        <f t="shared" si="1"/>
        <v>103896</v>
      </c>
      <c r="L87" s="1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2"/>
      <c r="AB87" s="2"/>
      <c r="AC87" s="2"/>
      <c r="AD87" s="2"/>
      <c r="AE87" s="2"/>
      <c r="AF87" s="2"/>
      <c r="AG87" s="2"/>
    </row>
    <row r="88" spans="1:33" ht="39.6">
      <c r="A88" s="26">
        <v>1</v>
      </c>
      <c r="B88" s="11" t="s">
        <v>29</v>
      </c>
      <c r="C88" s="12" t="s">
        <v>30</v>
      </c>
      <c r="D88" s="12" t="s">
        <v>33</v>
      </c>
      <c r="E88" s="19">
        <v>1</v>
      </c>
      <c r="F88" s="12" t="s">
        <v>77</v>
      </c>
      <c r="G88" s="12" t="s">
        <v>5</v>
      </c>
      <c r="H88" s="10" t="s">
        <v>2</v>
      </c>
      <c r="I88" s="13">
        <v>6.3</v>
      </c>
      <c r="J88" s="35">
        <v>1170</v>
      </c>
      <c r="K88" s="17">
        <f t="shared" si="1"/>
        <v>7371</v>
      </c>
      <c r="L88" s="1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2"/>
      <c r="AB88" s="2"/>
      <c r="AC88" s="2"/>
      <c r="AD88" s="2"/>
      <c r="AE88" s="2"/>
      <c r="AF88" s="2"/>
      <c r="AG88" s="2"/>
    </row>
    <row r="89" spans="1:33" ht="39.6">
      <c r="A89" s="26">
        <v>1</v>
      </c>
      <c r="B89" s="11" t="s">
        <v>29</v>
      </c>
      <c r="C89" s="12" t="s">
        <v>30</v>
      </c>
      <c r="D89" s="12" t="s">
        <v>33</v>
      </c>
      <c r="E89" s="19">
        <v>1</v>
      </c>
      <c r="F89" s="12" t="s">
        <v>85</v>
      </c>
      <c r="G89" s="28" t="s">
        <v>5</v>
      </c>
      <c r="H89" s="10" t="s">
        <v>2</v>
      </c>
      <c r="I89" s="13">
        <v>30.6</v>
      </c>
      <c r="J89" s="35">
        <v>1170</v>
      </c>
      <c r="K89" s="17">
        <f t="shared" si="1"/>
        <v>35802</v>
      </c>
      <c r="L89" s="1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2"/>
      <c r="AB89" s="2"/>
      <c r="AC89" s="2"/>
      <c r="AD89" s="2"/>
      <c r="AE89" s="2"/>
      <c r="AF89" s="2"/>
      <c r="AG89" s="2"/>
    </row>
    <row r="90" spans="1:33" ht="26.4">
      <c r="A90" s="26">
        <v>1</v>
      </c>
      <c r="B90" s="11" t="s">
        <v>29</v>
      </c>
      <c r="C90" s="12" t="s">
        <v>30</v>
      </c>
      <c r="D90" s="12" t="s">
        <v>31</v>
      </c>
      <c r="E90" s="19">
        <v>1</v>
      </c>
      <c r="F90" s="28" t="s">
        <v>85</v>
      </c>
      <c r="G90" s="28" t="s">
        <v>6</v>
      </c>
      <c r="H90" s="10" t="s">
        <v>2</v>
      </c>
      <c r="I90" s="13">
        <v>37.200000000000003</v>
      </c>
      <c r="J90" s="35">
        <v>1170</v>
      </c>
      <c r="K90" s="17">
        <f t="shared" ref="K90:K106" si="2">I90*J90</f>
        <v>43524</v>
      </c>
      <c r="L90" s="1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2"/>
      <c r="AB90" s="2"/>
      <c r="AC90" s="2"/>
      <c r="AD90" s="2"/>
      <c r="AE90" s="2"/>
      <c r="AF90" s="2"/>
      <c r="AG90" s="2"/>
    </row>
    <row r="91" spans="1:33" ht="39.6">
      <c r="A91" s="26">
        <v>1</v>
      </c>
      <c r="B91" s="11" t="s">
        <v>29</v>
      </c>
      <c r="C91" s="12" t="s">
        <v>30</v>
      </c>
      <c r="D91" s="12" t="s">
        <v>33</v>
      </c>
      <c r="E91" s="19">
        <v>1</v>
      </c>
      <c r="F91" s="12" t="s">
        <v>94</v>
      </c>
      <c r="G91" s="28" t="s">
        <v>5</v>
      </c>
      <c r="H91" s="10" t="s">
        <v>2</v>
      </c>
      <c r="I91" s="13">
        <v>5.8</v>
      </c>
      <c r="J91" s="35">
        <v>1170</v>
      </c>
      <c r="K91" s="17">
        <f t="shared" si="2"/>
        <v>6786</v>
      </c>
      <c r="L91" s="1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2"/>
      <c r="AB91" s="2"/>
      <c r="AC91" s="2"/>
      <c r="AD91" s="2"/>
      <c r="AE91" s="2"/>
      <c r="AF91" s="2"/>
      <c r="AG91" s="2"/>
    </row>
    <row r="92" spans="1:33" ht="39.6">
      <c r="A92" s="26">
        <v>1</v>
      </c>
      <c r="B92" s="27" t="s">
        <v>29</v>
      </c>
      <c r="C92" s="12" t="s">
        <v>30</v>
      </c>
      <c r="D92" s="12" t="s">
        <v>33</v>
      </c>
      <c r="E92" s="19">
        <v>1</v>
      </c>
      <c r="F92" s="12" t="s">
        <v>80</v>
      </c>
      <c r="G92" s="28" t="s">
        <v>5</v>
      </c>
      <c r="H92" s="10" t="s">
        <v>2</v>
      </c>
      <c r="I92" s="13">
        <v>71</v>
      </c>
      <c r="J92" s="35">
        <v>1170</v>
      </c>
      <c r="K92" s="17">
        <f t="shared" si="2"/>
        <v>83070</v>
      </c>
      <c r="L92" s="14"/>
      <c r="M92" s="1"/>
      <c r="N92" s="1"/>
      <c r="O92" s="1"/>
      <c r="P92" s="1"/>
      <c r="Q92" s="1"/>
      <c r="R92" s="4"/>
      <c r="S92" s="4"/>
      <c r="T92" s="4"/>
      <c r="U92" s="4"/>
      <c r="V92" s="4"/>
      <c r="W92" s="4"/>
      <c r="X92" s="4"/>
      <c r="Y92" s="4"/>
      <c r="Z92" s="4"/>
      <c r="AA92" s="2"/>
      <c r="AB92" s="2"/>
      <c r="AC92" s="2"/>
      <c r="AD92" s="2"/>
      <c r="AE92" s="2"/>
      <c r="AF92" s="2"/>
      <c r="AG92" s="2"/>
    </row>
    <row r="93" spans="1:33" ht="26.4">
      <c r="A93" s="26">
        <v>1</v>
      </c>
      <c r="B93" s="11" t="s">
        <v>29</v>
      </c>
      <c r="C93" s="12" t="s">
        <v>30</v>
      </c>
      <c r="D93" s="12" t="s">
        <v>31</v>
      </c>
      <c r="E93" s="19">
        <v>1</v>
      </c>
      <c r="F93" s="28" t="s">
        <v>80</v>
      </c>
      <c r="G93" s="28" t="s">
        <v>6</v>
      </c>
      <c r="H93" s="10" t="s">
        <v>2</v>
      </c>
      <c r="I93" s="13">
        <v>37.200000000000003</v>
      </c>
      <c r="J93" s="35">
        <v>1170</v>
      </c>
      <c r="K93" s="17">
        <f t="shared" si="2"/>
        <v>43524</v>
      </c>
      <c r="L93" s="14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39.6">
      <c r="A94" s="26">
        <v>1</v>
      </c>
      <c r="B94" s="11" t="s">
        <v>29</v>
      </c>
      <c r="C94" s="12" t="s">
        <v>30</v>
      </c>
      <c r="D94" s="12" t="s">
        <v>33</v>
      </c>
      <c r="E94" s="19">
        <v>1</v>
      </c>
      <c r="F94" s="12" t="s">
        <v>64</v>
      </c>
      <c r="G94" s="28" t="s">
        <v>5</v>
      </c>
      <c r="H94" s="10" t="s">
        <v>2</v>
      </c>
      <c r="I94" s="13">
        <v>197.2</v>
      </c>
      <c r="J94" s="35">
        <v>1170</v>
      </c>
      <c r="K94" s="17">
        <f t="shared" si="2"/>
        <v>230724</v>
      </c>
      <c r="L94" s="14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26.4">
      <c r="A95" s="26">
        <v>1</v>
      </c>
      <c r="B95" s="11" t="s">
        <v>29</v>
      </c>
      <c r="C95" s="12" t="s">
        <v>30</v>
      </c>
      <c r="D95" s="12" t="s">
        <v>31</v>
      </c>
      <c r="E95" s="19">
        <v>1</v>
      </c>
      <c r="F95" s="12" t="s">
        <v>77</v>
      </c>
      <c r="G95" s="28" t="s">
        <v>6</v>
      </c>
      <c r="H95" s="10" t="s">
        <v>2</v>
      </c>
      <c r="I95" s="13">
        <v>13</v>
      </c>
      <c r="J95" s="35">
        <v>1170</v>
      </c>
      <c r="K95" s="17">
        <f t="shared" si="2"/>
        <v>15210</v>
      </c>
      <c r="L95" s="1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26.4">
      <c r="A96" s="26">
        <v>1</v>
      </c>
      <c r="B96" s="11" t="s">
        <v>29</v>
      </c>
      <c r="C96" s="12" t="s">
        <v>30</v>
      </c>
      <c r="D96" s="12" t="s">
        <v>31</v>
      </c>
      <c r="E96" s="19">
        <v>2</v>
      </c>
      <c r="F96" s="12" t="s">
        <v>108</v>
      </c>
      <c r="G96" s="28" t="s">
        <v>6</v>
      </c>
      <c r="H96" s="10" t="s">
        <v>2</v>
      </c>
      <c r="I96" s="13">
        <v>20</v>
      </c>
      <c r="J96" s="35">
        <v>1170</v>
      </c>
      <c r="K96" s="17">
        <f t="shared" si="2"/>
        <v>23400</v>
      </c>
      <c r="L96" s="1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39.6">
      <c r="A97" s="26">
        <v>1</v>
      </c>
      <c r="B97" s="11" t="s">
        <v>29</v>
      </c>
      <c r="C97" s="12" t="s">
        <v>30</v>
      </c>
      <c r="D97" s="12" t="s">
        <v>33</v>
      </c>
      <c r="E97" s="19">
        <v>2</v>
      </c>
      <c r="F97" s="28" t="s">
        <v>108</v>
      </c>
      <c r="G97" s="28" t="s">
        <v>5</v>
      </c>
      <c r="H97" s="10" t="s">
        <v>2</v>
      </c>
      <c r="I97" s="29">
        <v>5.6</v>
      </c>
      <c r="J97" s="35">
        <v>1170</v>
      </c>
      <c r="K97" s="17">
        <f t="shared" si="2"/>
        <v>6552</v>
      </c>
      <c r="L97" s="14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32.4" customHeight="1">
      <c r="A98" s="26">
        <v>1</v>
      </c>
      <c r="B98" s="11" t="s">
        <v>29</v>
      </c>
      <c r="C98" s="12" t="s">
        <v>30</v>
      </c>
      <c r="D98" s="12" t="s">
        <v>31</v>
      </c>
      <c r="E98" s="19">
        <v>1</v>
      </c>
      <c r="F98" s="12" t="s">
        <v>53</v>
      </c>
      <c r="G98" s="28" t="s">
        <v>6</v>
      </c>
      <c r="H98" s="10" t="s">
        <v>2</v>
      </c>
      <c r="I98" s="13">
        <v>15.6</v>
      </c>
      <c r="J98" s="35">
        <v>1170</v>
      </c>
      <c r="K98" s="17">
        <f t="shared" si="2"/>
        <v>18252</v>
      </c>
      <c r="L98" s="14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31.8" customHeight="1">
      <c r="A99" s="26">
        <v>1</v>
      </c>
      <c r="B99" s="11" t="s">
        <v>29</v>
      </c>
      <c r="C99" s="12" t="s">
        <v>30</v>
      </c>
      <c r="D99" s="12" t="s">
        <v>31</v>
      </c>
      <c r="E99" s="19">
        <v>2</v>
      </c>
      <c r="F99" s="12" t="s">
        <v>111</v>
      </c>
      <c r="G99" s="28" t="s">
        <v>6</v>
      </c>
      <c r="H99" s="10" t="s">
        <v>2</v>
      </c>
      <c r="I99" s="13">
        <v>47.3</v>
      </c>
      <c r="J99" s="35">
        <v>1170</v>
      </c>
      <c r="K99" s="17">
        <f t="shared" si="2"/>
        <v>55341</v>
      </c>
      <c r="L99" s="14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27" customHeight="1">
      <c r="A100" s="26">
        <v>1</v>
      </c>
      <c r="B100" s="11" t="s">
        <v>29</v>
      </c>
      <c r="C100" s="12" t="s">
        <v>30</v>
      </c>
      <c r="D100" s="12" t="s">
        <v>31</v>
      </c>
      <c r="E100" s="19"/>
      <c r="F100" s="34" t="s">
        <v>203</v>
      </c>
      <c r="G100" s="28" t="s">
        <v>200</v>
      </c>
      <c r="H100" s="10" t="s">
        <v>204</v>
      </c>
      <c r="I100" s="13">
        <v>19.600000000000001</v>
      </c>
      <c r="J100" s="35">
        <v>300</v>
      </c>
      <c r="K100" s="17">
        <f t="shared" si="2"/>
        <v>5880</v>
      </c>
      <c r="L100" s="14"/>
    </row>
    <row r="101" spans="1:33" s="79" customFormat="1" ht="34.200000000000003" customHeight="1">
      <c r="A101" s="71">
        <v>1</v>
      </c>
      <c r="B101" s="72" t="s">
        <v>35</v>
      </c>
      <c r="C101" s="73" t="s">
        <v>30</v>
      </c>
      <c r="D101" s="73" t="s">
        <v>31</v>
      </c>
      <c r="E101" s="74"/>
      <c r="F101" s="73" t="s">
        <v>85</v>
      </c>
      <c r="G101" s="75" t="s">
        <v>185</v>
      </c>
      <c r="H101" s="71" t="s">
        <v>2</v>
      </c>
      <c r="I101" s="76">
        <v>78.5</v>
      </c>
      <c r="J101" s="77">
        <v>1105</v>
      </c>
      <c r="K101" s="77">
        <f t="shared" si="2"/>
        <v>86742.5</v>
      </c>
      <c r="L101" s="78" t="s">
        <v>236</v>
      </c>
    </row>
    <row r="102" spans="1:33" s="79" customFormat="1" ht="34.200000000000003" customHeight="1">
      <c r="A102" s="71"/>
      <c r="B102" s="72" t="s">
        <v>35</v>
      </c>
      <c r="C102" s="73" t="s">
        <v>30</v>
      </c>
      <c r="D102" s="73" t="s">
        <v>31</v>
      </c>
      <c r="E102" s="74"/>
      <c r="F102" s="73" t="s">
        <v>46</v>
      </c>
      <c r="G102" s="75" t="s">
        <v>185</v>
      </c>
      <c r="H102" s="71" t="s">
        <v>2</v>
      </c>
      <c r="I102" s="76">
        <v>4.7</v>
      </c>
      <c r="J102" s="77">
        <v>1105</v>
      </c>
      <c r="K102" s="77">
        <f t="shared" si="2"/>
        <v>5193.5</v>
      </c>
      <c r="L102" s="78" t="s">
        <v>236</v>
      </c>
    </row>
    <row r="103" spans="1:33" s="79" customFormat="1" ht="34.200000000000003" customHeight="1">
      <c r="A103" s="71"/>
      <c r="B103" s="72" t="s">
        <v>35</v>
      </c>
      <c r="C103" s="73" t="s">
        <v>30</v>
      </c>
      <c r="D103" s="73" t="s">
        <v>31</v>
      </c>
      <c r="E103" s="74"/>
      <c r="F103" s="73" t="s">
        <v>132</v>
      </c>
      <c r="G103" s="75" t="s">
        <v>185</v>
      </c>
      <c r="H103" s="71" t="s">
        <v>2</v>
      </c>
      <c r="I103" s="76">
        <v>21.5</v>
      </c>
      <c r="J103" s="77">
        <v>1105</v>
      </c>
      <c r="K103" s="77">
        <f t="shared" si="2"/>
        <v>23757.5</v>
      </c>
      <c r="L103" s="78" t="s">
        <v>236</v>
      </c>
    </row>
    <row r="104" spans="1:33" s="79" customFormat="1" ht="28.2" customHeight="1">
      <c r="A104" s="71">
        <v>1</v>
      </c>
      <c r="B104" s="72" t="s">
        <v>35</v>
      </c>
      <c r="C104" s="73" t="s">
        <v>30</v>
      </c>
      <c r="D104" s="73" t="s">
        <v>31</v>
      </c>
      <c r="E104" s="74"/>
      <c r="F104" s="73" t="s">
        <v>67</v>
      </c>
      <c r="G104" s="73" t="s">
        <v>183</v>
      </c>
      <c r="H104" s="71" t="s">
        <v>184</v>
      </c>
      <c r="I104" s="76">
        <v>10.3</v>
      </c>
      <c r="J104" s="77">
        <v>4160</v>
      </c>
      <c r="K104" s="77">
        <f t="shared" si="2"/>
        <v>42848</v>
      </c>
      <c r="L104" s="78" t="s">
        <v>236</v>
      </c>
    </row>
    <row r="105" spans="1:33" ht="28.2" customHeight="1">
      <c r="A105" s="26">
        <v>1</v>
      </c>
      <c r="B105" s="11" t="s">
        <v>29</v>
      </c>
      <c r="C105" s="12" t="s">
        <v>30</v>
      </c>
      <c r="D105" s="12" t="s">
        <v>31</v>
      </c>
      <c r="E105" s="19"/>
      <c r="F105" s="34" t="s">
        <v>205</v>
      </c>
      <c r="G105" s="28" t="s">
        <v>4</v>
      </c>
      <c r="H105" s="10" t="s">
        <v>204</v>
      </c>
      <c r="I105" s="13">
        <v>520</v>
      </c>
      <c r="J105" s="35">
        <v>50</v>
      </c>
      <c r="K105" s="17">
        <f t="shared" si="2"/>
        <v>26000</v>
      </c>
      <c r="L105" s="14"/>
    </row>
    <row r="106" spans="1:33" ht="24" customHeight="1">
      <c r="A106" s="26">
        <v>1</v>
      </c>
      <c r="B106" s="11" t="s">
        <v>29</v>
      </c>
      <c r="C106" s="12" t="s">
        <v>30</v>
      </c>
      <c r="D106" s="12"/>
      <c r="E106" s="19"/>
      <c r="F106" s="34" t="s">
        <v>206</v>
      </c>
      <c r="G106" s="28" t="s">
        <v>186</v>
      </c>
      <c r="H106" s="10" t="s">
        <v>187</v>
      </c>
      <c r="I106" s="13">
        <v>35</v>
      </c>
      <c r="J106" s="35">
        <v>450</v>
      </c>
      <c r="K106" s="17">
        <f t="shared" si="2"/>
        <v>15750</v>
      </c>
      <c r="L106" s="14"/>
    </row>
    <row r="107" spans="1:33" ht="31.8" customHeight="1">
      <c r="A107" s="62" t="s">
        <v>32</v>
      </c>
      <c r="B107" s="90"/>
      <c r="C107" s="91"/>
      <c r="D107" s="91"/>
      <c r="E107" s="91"/>
      <c r="F107" s="91"/>
      <c r="G107" s="91"/>
      <c r="H107" s="91"/>
      <c r="I107" s="91"/>
      <c r="J107" s="92"/>
      <c r="K107" s="18">
        <f>SUM(K60:K106)</f>
        <v>1357588</v>
      </c>
      <c r="L107" s="14"/>
    </row>
    <row r="108" spans="1:33">
      <c r="A108" s="23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</row>
    <row r="109" spans="1:3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</row>
    <row r="110" spans="1:3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</row>
    <row r="111" spans="1:33" ht="15" thickBot="1">
      <c r="A111" s="22"/>
      <c r="B111" s="24" t="s">
        <v>16</v>
      </c>
      <c r="C111" s="84" t="s">
        <v>207</v>
      </c>
      <c r="D111" s="84"/>
      <c r="E111" s="84"/>
      <c r="F111" s="84"/>
      <c r="G111" s="23"/>
      <c r="H111" s="81"/>
      <c r="I111" s="81"/>
      <c r="J111" s="23"/>
      <c r="K111" s="22"/>
      <c r="L111" s="22"/>
    </row>
    <row r="112" spans="1:33">
      <c r="A112" s="23"/>
      <c r="B112" s="23"/>
      <c r="C112" s="86" t="s">
        <v>39</v>
      </c>
      <c r="D112" s="86"/>
      <c r="E112" s="86"/>
      <c r="F112" s="86"/>
      <c r="G112" s="23"/>
      <c r="H112" s="87">
        <v>45971</v>
      </c>
      <c r="I112" s="86"/>
      <c r="J112" s="23"/>
      <c r="K112" s="22"/>
      <c r="L112" s="22"/>
    </row>
    <row r="113" spans="1:33" ht="15" thickBot="1">
      <c r="A113" s="23"/>
      <c r="B113" s="25" t="s">
        <v>41</v>
      </c>
      <c r="C113" s="81"/>
      <c r="D113" s="81"/>
      <c r="E113" s="81"/>
      <c r="F113" s="81"/>
      <c r="G113" s="23"/>
      <c r="H113" s="81"/>
      <c r="I113" s="81"/>
      <c r="J113" s="23"/>
      <c r="K113" s="22"/>
      <c r="L113" s="22"/>
    </row>
    <row r="114" spans="1:33">
      <c r="A114" s="23"/>
      <c r="B114" s="23"/>
      <c r="C114" s="86" t="s">
        <v>39</v>
      </c>
      <c r="D114" s="86"/>
      <c r="E114" s="86"/>
      <c r="F114" s="86"/>
      <c r="G114" s="23"/>
      <c r="H114" s="86" t="s">
        <v>40</v>
      </c>
      <c r="I114" s="86"/>
      <c r="J114" s="23"/>
      <c r="K114" s="22"/>
      <c r="L114" s="22"/>
    </row>
    <row r="115" spans="1:3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0"/>
      <c r="L115" s="20"/>
    </row>
    <row r="116" spans="1:33" ht="15" thickBot="1">
      <c r="A116" s="23"/>
      <c r="B116" s="25" t="s">
        <v>208</v>
      </c>
      <c r="C116" s="84" t="s">
        <v>209</v>
      </c>
      <c r="D116" s="84"/>
      <c r="E116" s="84"/>
      <c r="F116" s="84"/>
      <c r="G116" s="23"/>
      <c r="H116" s="81"/>
      <c r="I116" s="81"/>
      <c r="J116" s="23"/>
      <c r="K116" s="20"/>
      <c r="L116" s="20"/>
    </row>
    <row r="117" spans="1:33">
      <c r="A117" s="23"/>
      <c r="B117" s="23"/>
      <c r="C117" s="86" t="s">
        <v>39</v>
      </c>
      <c r="D117" s="86"/>
      <c r="E117" s="86"/>
      <c r="F117" s="86"/>
      <c r="G117" s="23"/>
      <c r="H117" s="87">
        <v>45971</v>
      </c>
      <c r="I117" s="86"/>
      <c r="J117" s="23"/>
      <c r="K117" s="20"/>
      <c r="L117" s="20"/>
    </row>
    <row r="118" spans="1:3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0"/>
      <c r="L118" s="20"/>
    </row>
    <row r="119" spans="1:33" ht="15" thickBot="1">
      <c r="A119" s="23"/>
      <c r="B119" s="25" t="s">
        <v>42</v>
      </c>
      <c r="C119" s="81"/>
      <c r="D119" s="81"/>
      <c r="E119" s="81"/>
      <c r="F119" s="81"/>
      <c r="G119" s="23"/>
      <c r="H119" s="81"/>
      <c r="I119" s="81"/>
      <c r="J119" s="23"/>
      <c r="K119" s="20"/>
      <c r="L119" s="20"/>
    </row>
    <row r="120" spans="1:33">
      <c r="A120" s="23"/>
      <c r="B120" s="23"/>
      <c r="C120" s="86" t="s">
        <v>39</v>
      </c>
      <c r="D120" s="86"/>
      <c r="E120" s="86"/>
      <c r="F120" s="86"/>
      <c r="G120" s="23"/>
      <c r="H120" s="86" t="s">
        <v>40</v>
      </c>
      <c r="I120" s="86"/>
      <c r="J120" s="23"/>
      <c r="K120" s="20"/>
      <c r="L120" s="20"/>
    </row>
    <row r="121" spans="1:3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0"/>
      <c r="L121" s="20"/>
    </row>
    <row r="122" spans="1:33" ht="15" thickBot="1">
      <c r="A122" s="23"/>
      <c r="B122" s="24" t="s">
        <v>43</v>
      </c>
      <c r="C122" s="81"/>
      <c r="D122" s="81"/>
      <c r="E122" s="81"/>
      <c r="F122" s="81"/>
      <c r="G122" s="23"/>
      <c r="H122" s="81"/>
      <c r="I122" s="81"/>
      <c r="J122" s="23"/>
      <c r="K122" s="20"/>
      <c r="L122" s="20"/>
    </row>
    <row r="123" spans="1:33">
      <c r="A123" s="23"/>
      <c r="B123" s="23"/>
      <c r="C123" s="86" t="s">
        <v>39</v>
      </c>
      <c r="D123" s="86"/>
      <c r="E123" s="86"/>
      <c r="F123" s="86"/>
      <c r="G123" s="23"/>
      <c r="H123" s="86" t="s">
        <v>40</v>
      </c>
      <c r="I123" s="86"/>
      <c r="J123" s="23"/>
      <c r="K123" s="20"/>
      <c r="L123" s="20"/>
    </row>
    <row r="124" spans="1:33">
      <c r="A124" s="23"/>
      <c r="B124" s="21"/>
      <c r="C124" s="21"/>
      <c r="D124" s="21"/>
      <c r="E124" s="21"/>
      <c r="F124" s="21"/>
      <c r="G124" s="21"/>
      <c r="H124" s="21"/>
      <c r="I124" s="21"/>
      <c r="J124" s="21"/>
      <c r="K124" s="20"/>
      <c r="L124" s="20"/>
    </row>
    <row r="125" spans="1:33" ht="23.4" customHeight="1">
      <c r="A125" s="21"/>
      <c r="B125" s="22"/>
      <c r="C125" s="22"/>
      <c r="D125" s="22"/>
      <c r="E125" s="22"/>
      <c r="F125" s="22"/>
      <c r="G125" s="22"/>
      <c r="H125" s="22"/>
      <c r="I125" s="22"/>
      <c r="J125" s="22"/>
      <c r="K125" s="20"/>
      <c r="L125" s="20"/>
    </row>
    <row r="126" spans="1:33">
      <c r="A126" s="22"/>
    </row>
    <row r="127" spans="1:33" s="20" customFormat="1">
      <c r="A127"/>
      <c r="B127" s="23"/>
      <c r="C127" s="5" t="s">
        <v>11</v>
      </c>
      <c r="D127" s="5">
        <v>3</v>
      </c>
      <c r="E127" s="23"/>
      <c r="F127" s="23"/>
      <c r="G127" s="6" t="s">
        <v>12</v>
      </c>
      <c r="H127" s="5" t="s">
        <v>13</v>
      </c>
      <c r="I127" s="7">
        <v>45971</v>
      </c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2"/>
      <c r="AB127" s="22"/>
      <c r="AC127" s="22"/>
      <c r="AD127" s="22"/>
      <c r="AE127" s="22"/>
      <c r="AF127" s="22"/>
      <c r="AG127" s="22"/>
    </row>
    <row r="128" spans="1:33" s="20" customFormat="1">
      <c r="A128" s="23"/>
      <c r="B128" s="23"/>
      <c r="C128" s="8"/>
      <c r="D128" s="23"/>
      <c r="E128" s="23"/>
      <c r="F128" s="23"/>
      <c r="G128" s="23"/>
      <c r="H128" s="5" t="s">
        <v>14</v>
      </c>
      <c r="I128" s="7">
        <v>45991</v>
      </c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2"/>
      <c r="AB128" s="22"/>
      <c r="AC128" s="22"/>
      <c r="AD128" s="22"/>
      <c r="AE128" s="22"/>
      <c r="AF128" s="22"/>
      <c r="AG128" s="22"/>
    </row>
    <row r="129" spans="1:33" s="20" customForma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2"/>
      <c r="AB129" s="22"/>
      <c r="AC129" s="22"/>
      <c r="AD129" s="22"/>
      <c r="AE129" s="22"/>
      <c r="AF129" s="22"/>
      <c r="AG129" s="22"/>
    </row>
    <row r="130" spans="1:33" s="20" customFormat="1" ht="27.6">
      <c r="A130" s="23"/>
      <c r="B130" s="23"/>
      <c r="C130" s="5" t="s">
        <v>15</v>
      </c>
      <c r="D130" s="89" t="s">
        <v>145</v>
      </c>
      <c r="E130" s="89"/>
      <c r="F130" s="89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2"/>
      <c r="AB130" s="22"/>
      <c r="AC130" s="22"/>
      <c r="AD130" s="22"/>
      <c r="AE130" s="22"/>
      <c r="AF130" s="22"/>
      <c r="AG130" s="22"/>
    </row>
    <row r="131" spans="1:33" s="20" customForma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2"/>
      <c r="AB131" s="22"/>
      <c r="AC131" s="22"/>
      <c r="AD131" s="22"/>
      <c r="AE131" s="22"/>
      <c r="AF131" s="22"/>
      <c r="AG131" s="22"/>
    </row>
    <row r="132" spans="1:33" s="20" customFormat="1" ht="28.8" customHeight="1">
      <c r="A132" s="23"/>
      <c r="B132" s="23"/>
      <c r="C132" s="5" t="s">
        <v>16</v>
      </c>
      <c r="D132" s="89" t="s">
        <v>146</v>
      </c>
      <c r="E132" s="89"/>
      <c r="F132" s="89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2"/>
      <c r="AB132" s="22"/>
      <c r="AC132" s="22"/>
      <c r="AD132" s="22"/>
      <c r="AE132" s="22"/>
      <c r="AF132" s="22"/>
      <c r="AG132" s="22"/>
    </row>
    <row r="133" spans="1:33" s="20" customForma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2"/>
      <c r="AB133" s="22"/>
      <c r="AC133" s="22"/>
      <c r="AD133" s="22"/>
      <c r="AE133" s="22"/>
      <c r="AF133" s="22"/>
      <c r="AG133" s="22"/>
    </row>
    <row r="134" spans="1:33" s="20" customFormat="1">
      <c r="A134" s="23"/>
      <c r="B134" s="23"/>
      <c r="C134" s="5" t="s">
        <v>17</v>
      </c>
      <c r="D134" s="89" t="s">
        <v>18</v>
      </c>
      <c r="E134" s="89"/>
      <c r="F134" s="89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2"/>
      <c r="AB134" s="22"/>
      <c r="AC134" s="22"/>
      <c r="AD134" s="22"/>
      <c r="AE134" s="22"/>
      <c r="AF134" s="22"/>
      <c r="AG134" s="22"/>
    </row>
    <row r="135" spans="1:33" s="20" customFormat="1">
      <c r="A135" s="23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2"/>
      <c r="AB135" s="22"/>
      <c r="AC135" s="22"/>
      <c r="AD135" s="22"/>
      <c r="AE135" s="22"/>
      <c r="AF135" s="22"/>
      <c r="AG135" s="22"/>
    </row>
    <row r="136" spans="1:33" s="20" customForma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2"/>
      <c r="AB136" s="22"/>
      <c r="AC136" s="22"/>
      <c r="AD136" s="22"/>
      <c r="AE136" s="22"/>
      <c r="AF136" s="22"/>
      <c r="AG136" s="22"/>
    </row>
    <row r="137" spans="1:33" s="20" customFormat="1" ht="46.2" customHeight="1">
      <c r="A137" s="9" t="s">
        <v>19</v>
      </c>
      <c r="B137" s="9" t="s">
        <v>20</v>
      </c>
      <c r="C137" s="9" t="s">
        <v>21</v>
      </c>
      <c r="D137" s="9" t="s">
        <v>21</v>
      </c>
      <c r="E137" s="9" t="s">
        <v>22</v>
      </c>
      <c r="F137" s="9" t="s">
        <v>23</v>
      </c>
      <c r="G137" s="9" t="s">
        <v>0</v>
      </c>
      <c r="H137" s="9" t="s">
        <v>24</v>
      </c>
      <c r="I137" s="9" t="s">
        <v>25</v>
      </c>
      <c r="J137" s="9" t="s">
        <v>26</v>
      </c>
      <c r="K137" s="9" t="s">
        <v>27</v>
      </c>
      <c r="L137" s="9" t="s">
        <v>28</v>
      </c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2"/>
      <c r="AB137" s="22"/>
      <c r="AC137" s="22"/>
      <c r="AD137" s="22"/>
      <c r="AE137" s="22"/>
      <c r="AF137" s="22"/>
      <c r="AG137" s="22"/>
    </row>
    <row r="138" spans="1:33" s="20" customFormat="1" ht="26.4">
      <c r="A138" s="26">
        <v>1</v>
      </c>
      <c r="B138" s="27" t="s">
        <v>29</v>
      </c>
      <c r="C138" s="28" t="s">
        <v>30</v>
      </c>
      <c r="D138" s="28" t="s">
        <v>31</v>
      </c>
      <c r="E138" s="19">
        <v>1</v>
      </c>
      <c r="F138" s="28" t="s">
        <v>77</v>
      </c>
      <c r="G138" s="28" t="s">
        <v>198</v>
      </c>
      <c r="H138" s="26" t="s">
        <v>2</v>
      </c>
      <c r="I138" s="29">
        <v>14.4</v>
      </c>
      <c r="J138" s="35">
        <v>195</v>
      </c>
      <c r="K138" s="17">
        <f>J138*I138</f>
        <v>2808</v>
      </c>
      <c r="L138" s="14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2"/>
      <c r="AB138" s="22"/>
      <c r="AC138" s="22"/>
      <c r="AD138" s="22"/>
      <c r="AE138" s="22"/>
      <c r="AF138" s="22"/>
      <c r="AG138" s="22"/>
    </row>
    <row r="139" spans="1:33" s="20" customFormat="1" ht="26.4">
      <c r="A139" s="26">
        <v>2</v>
      </c>
      <c r="B139" s="27" t="s">
        <v>29</v>
      </c>
      <c r="C139" s="28" t="s">
        <v>30</v>
      </c>
      <c r="D139" s="28" t="s">
        <v>31</v>
      </c>
      <c r="E139" s="19">
        <v>1</v>
      </c>
      <c r="F139" s="28" t="s">
        <v>90</v>
      </c>
      <c r="G139" s="28" t="s">
        <v>198</v>
      </c>
      <c r="H139" s="26" t="s">
        <v>2</v>
      </c>
      <c r="I139" s="29">
        <v>47.5</v>
      </c>
      <c r="J139" s="35">
        <v>195</v>
      </c>
      <c r="K139" s="17">
        <f>J139*I139</f>
        <v>9262.5</v>
      </c>
      <c r="L139" s="14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2"/>
      <c r="AB139" s="22"/>
      <c r="AC139" s="22"/>
      <c r="AD139" s="22"/>
      <c r="AE139" s="22"/>
      <c r="AF139" s="22"/>
      <c r="AG139" s="22"/>
    </row>
    <row r="140" spans="1:33" s="20" customFormat="1" ht="26.4">
      <c r="A140" s="26">
        <v>3</v>
      </c>
      <c r="B140" s="27" t="s">
        <v>29</v>
      </c>
      <c r="C140" s="28" t="s">
        <v>30</v>
      </c>
      <c r="D140" s="28" t="s">
        <v>31</v>
      </c>
      <c r="E140" s="19">
        <v>1</v>
      </c>
      <c r="F140" s="28" t="s">
        <v>92</v>
      </c>
      <c r="G140" s="28" t="s">
        <v>198</v>
      </c>
      <c r="H140" s="26" t="s">
        <v>2</v>
      </c>
      <c r="I140" s="29">
        <v>44.3</v>
      </c>
      <c r="J140" s="35">
        <v>195</v>
      </c>
      <c r="K140" s="17">
        <f>J140*I140</f>
        <v>8638.5</v>
      </c>
      <c r="L140" s="14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2"/>
      <c r="AB140" s="22"/>
      <c r="AC140" s="22"/>
      <c r="AD140" s="22"/>
      <c r="AE140" s="22"/>
      <c r="AF140" s="22"/>
      <c r="AG140" s="22"/>
    </row>
    <row r="141" spans="1:33" s="20" customFormat="1" ht="26.4">
      <c r="A141" s="26">
        <v>4</v>
      </c>
      <c r="B141" s="27" t="s">
        <v>29</v>
      </c>
      <c r="C141" s="28" t="s">
        <v>30</v>
      </c>
      <c r="D141" s="28" t="s">
        <v>31</v>
      </c>
      <c r="E141" s="19">
        <v>1</v>
      </c>
      <c r="F141" s="28" t="s">
        <v>80</v>
      </c>
      <c r="G141" s="28" t="s">
        <v>198</v>
      </c>
      <c r="H141" s="26" t="s">
        <v>2</v>
      </c>
      <c r="I141" s="29">
        <v>9.1</v>
      </c>
      <c r="J141" s="35">
        <v>195</v>
      </c>
      <c r="K141" s="17">
        <f>J141*I141</f>
        <v>1774.5</v>
      </c>
      <c r="L141" s="14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2"/>
      <c r="AB141" s="22"/>
      <c r="AC141" s="22"/>
      <c r="AD141" s="22"/>
      <c r="AE141" s="22"/>
      <c r="AF141" s="22"/>
      <c r="AG141" s="22"/>
    </row>
    <row r="142" spans="1:33" s="20" customFormat="1" ht="26.4">
      <c r="A142" s="26">
        <v>5</v>
      </c>
      <c r="B142" s="27" t="s">
        <v>29</v>
      </c>
      <c r="C142" s="28" t="s">
        <v>30</v>
      </c>
      <c r="D142" s="28" t="s">
        <v>31</v>
      </c>
      <c r="E142" s="19">
        <v>1</v>
      </c>
      <c r="F142" s="28" t="s">
        <v>89</v>
      </c>
      <c r="G142" s="28" t="s">
        <v>198</v>
      </c>
      <c r="H142" s="26" t="s">
        <v>2</v>
      </c>
      <c r="I142" s="29">
        <v>11</v>
      </c>
      <c r="J142" s="35">
        <v>195</v>
      </c>
      <c r="K142" s="17">
        <f>J142*I142</f>
        <v>2145</v>
      </c>
      <c r="L142" s="14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2"/>
      <c r="AB142" s="22"/>
      <c r="AC142" s="22"/>
      <c r="AD142" s="22"/>
      <c r="AE142" s="22"/>
      <c r="AF142" s="22"/>
      <c r="AG142" s="22"/>
    </row>
    <row r="143" spans="1:33" s="20" customFormat="1" ht="26.4">
      <c r="A143" s="26">
        <v>6</v>
      </c>
      <c r="B143" s="27" t="s">
        <v>29</v>
      </c>
      <c r="C143" s="28" t="s">
        <v>30</v>
      </c>
      <c r="D143" s="28" t="s">
        <v>31</v>
      </c>
      <c r="E143" s="19">
        <v>1</v>
      </c>
      <c r="F143" s="28" t="s">
        <v>49</v>
      </c>
      <c r="G143" s="28" t="s">
        <v>198</v>
      </c>
      <c r="H143" s="26" t="s">
        <v>2</v>
      </c>
      <c r="I143" s="29">
        <v>14</v>
      </c>
      <c r="J143" s="35">
        <v>195</v>
      </c>
      <c r="K143" s="17">
        <f t="shared" ref="K143:K206" si="3">J143*I143</f>
        <v>2730</v>
      </c>
      <c r="L143" s="14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2"/>
      <c r="AB143" s="22"/>
      <c r="AC143" s="22"/>
      <c r="AD143" s="22"/>
      <c r="AE143" s="22"/>
      <c r="AF143" s="22"/>
      <c r="AG143" s="22"/>
    </row>
    <row r="144" spans="1:33" s="20" customFormat="1" ht="26.4">
      <c r="A144" s="26">
        <v>7</v>
      </c>
      <c r="B144" s="27" t="s">
        <v>29</v>
      </c>
      <c r="C144" s="28" t="s">
        <v>30</v>
      </c>
      <c r="D144" s="28" t="s">
        <v>31</v>
      </c>
      <c r="E144" s="19">
        <v>1</v>
      </c>
      <c r="F144" s="28" t="s">
        <v>59</v>
      </c>
      <c r="G144" s="28" t="s">
        <v>198</v>
      </c>
      <c r="H144" s="26" t="s">
        <v>2</v>
      </c>
      <c r="I144" s="29">
        <v>3.9</v>
      </c>
      <c r="J144" s="35">
        <v>195</v>
      </c>
      <c r="K144" s="17">
        <f t="shared" si="3"/>
        <v>760.5</v>
      </c>
      <c r="L144" s="14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2"/>
      <c r="AB144" s="22"/>
      <c r="AC144" s="22"/>
      <c r="AD144" s="22"/>
      <c r="AE144" s="22"/>
      <c r="AF144" s="22"/>
      <c r="AG144" s="22"/>
    </row>
    <row r="145" spans="1:33" s="20" customFormat="1" ht="26.4">
      <c r="A145" s="26">
        <v>8</v>
      </c>
      <c r="B145" s="27" t="s">
        <v>29</v>
      </c>
      <c r="C145" s="28" t="s">
        <v>30</v>
      </c>
      <c r="D145" s="28" t="s">
        <v>31</v>
      </c>
      <c r="E145" s="19">
        <v>1</v>
      </c>
      <c r="F145" s="28" t="s">
        <v>64</v>
      </c>
      <c r="G145" s="28" t="s">
        <v>198</v>
      </c>
      <c r="H145" s="26" t="s">
        <v>2</v>
      </c>
      <c r="I145" s="29">
        <v>6.6</v>
      </c>
      <c r="J145" s="35">
        <v>195</v>
      </c>
      <c r="K145" s="17">
        <f t="shared" si="3"/>
        <v>1287</v>
      </c>
      <c r="L145" s="14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2"/>
      <c r="AB145" s="22"/>
      <c r="AC145" s="22"/>
      <c r="AD145" s="22"/>
      <c r="AE145" s="22"/>
      <c r="AF145" s="22"/>
      <c r="AG145" s="22"/>
    </row>
    <row r="146" spans="1:33" s="20" customFormat="1" ht="26.4">
      <c r="A146" s="26">
        <v>9</v>
      </c>
      <c r="B146" s="27" t="s">
        <v>29</v>
      </c>
      <c r="C146" s="28" t="s">
        <v>30</v>
      </c>
      <c r="D146" s="28" t="s">
        <v>31</v>
      </c>
      <c r="E146" s="19">
        <v>1</v>
      </c>
      <c r="F146" s="28" t="s">
        <v>73</v>
      </c>
      <c r="G146" s="28" t="s">
        <v>198</v>
      </c>
      <c r="H146" s="26" t="s">
        <v>2</v>
      </c>
      <c r="I146" s="29">
        <v>20</v>
      </c>
      <c r="J146" s="35">
        <v>195</v>
      </c>
      <c r="K146" s="17">
        <f t="shared" si="3"/>
        <v>3900</v>
      </c>
      <c r="L146" s="14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2"/>
      <c r="AB146" s="22"/>
      <c r="AC146" s="22"/>
      <c r="AD146" s="22"/>
      <c r="AE146" s="22"/>
      <c r="AF146" s="22"/>
      <c r="AG146" s="22"/>
    </row>
    <row r="147" spans="1:33" s="20" customFormat="1" ht="26.4">
      <c r="A147" s="26">
        <v>10</v>
      </c>
      <c r="B147" s="27" t="s">
        <v>29</v>
      </c>
      <c r="C147" s="28" t="s">
        <v>30</v>
      </c>
      <c r="D147" s="28" t="s">
        <v>31</v>
      </c>
      <c r="E147" s="19">
        <v>1</v>
      </c>
      <c r="F147" s="28" t="s">
        <v>79</v>
      </c>
      <c r="G147" s="28" t="s">
        <v>198</v>
      </c>
      <c r="H147" s="26" t="s">
        <v>2</v>
      </c>
      <c r="I147" s="29">
        <v>6.6</v>
      </c>
      <c r="J147" s="35">
        <v>195</v>
      </c>
      <c r="K147" s="17">
        <f t="shared" si="3"/>
        <v>1287</v>
      </c>
      <c r="L147" s="14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2"/>
      <c r="AB147" s="22"/>
      <c r="AC147" s="22"/>
      <c r="AD147" s="22"/>
      <c r="AE147" s="22"/>
      <c r="AF147" s="22"/>
      <c r="AG147" s="22"/>
    </row>
    <row r="148" spans="1:33" s="20" customFormat="1" ht="26.4">
      <c r="A148" s="26">
        <v>11</v>
      </c>
      <c r="B148" s="27" t="s">
        <v>29</v>
      </c>
      <c r="C148" s="28" t="s">
        <v>30</v>
      </c>
      <c r="D148" s="28" t="s">
        <v>31</v>
      </c>
      <c r="E148" s="19">
        <v>1</v>
      </c>
      <c r="F148" s="28" t="s">
        <v>84</v>
      </c>
      <c r="G148" s="28" t="s">
        <v>198</v>
      </c>
      <c r="H148" s="26" t="s">
        <v>2</v>
      </c>
      <c r="I148" s="29">
        <v>6.6</v>
      </c>
      <c r="J148" s="35">
        <v>195</v>
      </c>
      <c r="K148" s="17">
        <f t="shared" si="3"/>
        <v>1287</v>
      </c>
      <c r="L148" s="14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2"/>
      <c r="AB148" s="22"/>
      <c r="AC148" s="22"/>
      <c r="AD148" s="22"/>
      <c r="AE148" s="22"/>
      <c r="AF148" s="22"/>
      <c r="AG148" s="22"/>
    </row>
    <row r="149" spans="1:33" s="20" customFormat="1" ht="26.4">
      <c r="A149" s="26">
        <v>12</v>
      </c>
      <c r="B149" s="27" t="s">
        <v>29</v>
      </c>
      <c r="C149" s="28" t="s">
        <v>30</v>
      </c>
      <c r="D149" s="28" t="s">
        <v>31</v>
      </c>
      <c r="E149" s="19">
        <v>2</v>
      </c>
      <c r="F149" s="28" t="s">
        <v>142</v>
      </c>
      <c r="G149" s="28" t="s">
        <v>198</v>
      </c>
      <c r="H149" s="26" t="s">
        <v>2</v>
      </c>
      <c r="I149" s="29">
        <v>19.600000000000001</v>
      </c>
      <c r="J149" s="35">
        <v>195</v>
      </c>
      <c r="K149" s="17">
        <f t="shared" si="3"/>
        <v>3822.0000000000005</v>
      </c>
      <c r="L149" s="14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2"/>
      <c r="AB149" s="22"/>
      <c r="AC149" s="22"/>
      <c r="AD149" s="22"/>
      <c r="AE149" s="22"/>
      <c r="AF149" s="22"/>
      <c r="AG149" s="22"/>
    </row>
    <row r="150" spans="1:33" s="20" customFormat="1" ht="26.4">
      <c r="A150" s="26">
        <v>13</v>
      </c>
      <c r="B150" s="27" t="s">
        <v>29</v>
      </c>
      <c r="C150" s="28" t="s">
        <v>30</v>
      </c>
      <c r="D150" s="28" t="s">
        <v>31</v>
      </c>
      <c r="E150" s="19">
        <v>2</v>
      </c>
      <c r="F150" s="28" t="s">
        <v>136</v>
      </c>
      <c r="G150" s="28" t="s">
        <v>198</v>
      </c>
      <c r="H150" s="26" t="s">
        <v>2</v>
      </c>
      <c r="I150" s="29">
        <v>38</v>
      </c>
      <c r="J150" s="35">
        <v>195</v>
      </c>
      <c r="K150" s="17">
        <f t="shared" si="3"/>
        <v>7410</v>
      </c>
      <c r="L150" s="14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2"/>
      <c r="AB150" s="22"/>
      <c r="AC150" s="22"/>
      <c r="AD150" s="22"/>
      <c r="AE150" s="22"/>
      <c r="AF150" s="22"/>
      <c r="AG150" s="22"/>
    </row>
    <row r="151" spans="1:33" s="20" customFormat="1" ht="26.4">
      <c r="A151" s="26">
        <v>14</v>
      </c>
      <c r="B151" s="27" t="s">
        <v>29</v>
      </c>
      <c r="C151" s="28" t="s">
        <v>30</v>
      </c>
      <c r="D151" s="28" t="s">
        <v>31</v>
      </c>
      <c r="E151" s="19">
        <v>2</v>
      </c>
      <c r="F151" s="28" t="s">
        <v>125</v>
      </c>
      <c r="G151" s="28" t="s">
        <v>198</v>
      </c>
      <c r="H151" s="26" t="s">
        <v>2</v>
      </c>
      <c r="I151" s="29">
        <v>40</v>
      </c>
      <c r="J151" s="35">
        <v>195</v>
      </c>
      <c r="K151" s="17">
        <f t="shared" si="3"/>
        <v>7800</v>
      </c>
      <c r="L151" s="14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2"/>
      <c r="AB151" s="22"/>
      <c r="AC151" s="22"/>
      <c r="AD151" s="22"/>
      <c r="AE151" s="22"/>
      <c r="AF151" s="22"/>
      <c r="AG151" s="22"/>
    </row>
    <row r="152" spans="1:33" s="20" customFormat="1" ht="26.4">
      <c r="A152" s="26">
        <v>15</v>
      </c>
      <c r="B152" s="27" t="s">
        <v>29</v>
      </c>
      <c r="C152" s="28" t="s">
        <v>30</v>
      </c>
      <c r="D152" s="28" t="s">
        <v>31</v>
      </c>
      <c r="E152" s="19">
        <v>2</v>
      </c>
      <c r="F152" s="28" t="s">
        <v>132</v>
      </c>
      <c r="G152" s="28" t="s">
        <v>198</v>
      </c>
      <c r="H152" s="26" t="s">
        <v>2</v>
      </c>
      <c r="I152" s="29">
        <v>40</v>
      </c>
      <c r="J152" s="35">
        <v>195</v>
      </c>
      <c r="K152" s="17">
        <f t="shared" si="3"/>
        <v>7800</v>
      </c>
      <c r="L152" s="14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2"/>
      <c r="AB152" s="22"/>
      <c r="AC152" s="22"/>
      <c r="AD152" s="22"/>
      <c r="AE152" s="22"/>
      <c r="AF152" s="22"/>
      <c r="AG152" s="22"/>
    </row>
    <row r="153" spans="1:33" s="20" customFormat="1" ht="26.4">
      <c r="A153" s="26">
        <v>16</v>
      </c>
      <c r="B153" s="27" t="s">
        <v>29</v>
      </c>
      <c r="C153" s="28" t="s">
        <v>30</v>
      </c>
      <c r="D153" s="28" t="s">
        <v>31</v>
      </c>
      <c r="E153" s="19">
        <v>2</v>
      </c>
      <c r="F153" s="28" t="s">
        <v>127</v>
      </c>
      <c r="G153" s="28" t="s">
        <v>198</v>
      </c>
      <c r="H153" s="26" t="s">
        <v>2</v>
      </c>
      <c r="I153" s="29">
        <v>0.9</v>
      </c>
      <c r="J153" s="35">
        <v>195</v>
      </c>
      <c r="K153" s="17">
        <f t="shared" si="3"/>
        <v>175.5</v>
      </c>
      <c r="L153" s="14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2"/>
      <c r="AB153" s="22"/>
      <c r="AC153" s="22"/>
      <c r="AD153" s="22"/>
      <c r="AE153" s="22"/>
      <c r="AF153" s="22"/>
      <c r="AG153" s="22"/>
    </row>
    <row r="154" spans="1:33" s="20" customFormat="1" ht="39.6">
      <c r="A154" s="26">
        <v>17</v>
      </c>
      <c r="B154" s="27" t="s">
        <v>29</v>
      </c>
      <c r="C154" s="28" t="s">
        <v>30</v>
      </c>
      <c r="D154" s="28" t="s">
        <v>31</v>
      </c>
      <c r="E154" s="19">
        <v>2</v>
      </c>
      <c r="F154" s="28" t="s">
        <v>192</v>
      </c>
      <c r="G154" s="28" t="s">
        <v>198</v>
      </c>
      <c r="H154" s="26" t="s">
        <v>2</v>
      </c>
      <c r="I154" s="29">
        <v>10.5</v>
      </c>
      <c r="J154" s="35">
        <v>195</v>
      </c>
      <c r="K154" s="17">
        <f t="shared" si="3"/>
        <v>2047.5</v>
      </c>
      <c r="L154" s="14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2"/>
      <c r="AB154" s="22"/>
      <c r="AC154" s="22"/>
      <c r="AD154" s="22"/>
      <c r="AE154" s="22"/>
      <c r="AF154" s="22"/>
      <c r="AG154" s="22"/>
    </row>
    <row r="155" spans="1:33" s="20" customFormat="1" ht="26.4">
      <c r="A155" s="26">
        <v>18</v>
      </c>
      <c r="B155" s="27" t="s">
        <v>29</v>
      </c>
      <c r="C155" s="28" t="s">
        <v>30</v>
      </c>
      <c r="D155" s="28" t="s">
        <v>31</v>
      </c>
      <c r="E155" s="19">
        <v>2</v>
      </c>
      <c r="F155" s="28" t="s">
        <v>122</v>
      </c>
      <c r="G155" s="28" t="s">
        <v>198</v>
      </c>
      <c r="H155" s="26" t="s">
        <v>2</v>
      </c>
      <c r="I155" s="29">
        <v>16.5</v>
      </c>
      <c r="J155" s="35">
        <v>195</v>
      </c>
      <c r="K155" s="17">
        <f t="shared" si="3"/>
        <v>3217.5</v>
      </c>
      <c r="L155" s="14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2"/>
      <c r="AB155" s="22"/>
      <c r="AC155" s="22"/>
      <c r="AD155" s="22"/>
      <c r="AE155" s="22"/>
      <c r="AF155" s="22"/>
      <c r="AG155" s="22"/>
    </row>
    <row r="156" spans="1:33" s="20" customFormat="1" ht="26.4">
      <c r="A156" s="26">
        <v>19</v>
      </c>
      <c r="B156" s="27" t="s">
        <v>29</v>
      </c>
      <c r="C156" s="28" t="s">
        <v>30</v>
      </c>
      <c r="D156" s="28" t="s">
        <v>31</v>
      </c>
      <c r="E156" s="19">
        <v>2</v>
      </c>
      <c r="F156" s="28" t="s">
        <v>124</v>
      </c>
      <c r="G156" s="28" t="s">
        <v>198</v>
      </c>
      <c r="H156" s="26" t="s">
        <v>2</v>
      </c>
      <c r="I156" s="29">
        <v>39</v>
      </c>
      <c r="J156" s="35">
        <v>195</v>
      </c>
      <c r="K156" s="17">
        <f t="shared" si="3"/>
        <v>7605</v>
      </c>
      <c r="L156" s="14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2"/>
      <c r="AB156" s="22"/>
      <c r="AC156" s="22"/>
      <c r="AD156" s="22"/>
      <c r="AE156" s="22"/>
      <c r="AF156" s="22"/>
      <c r="AG156" s="22"/>
    </row>
    <row r="157" spans="1:33" s="20" customFormat="1" ht="26.4">
      <c r="A157" s="26">
        <v>20</v>
      </c>
      <c r="B157" s="27" t="s">
        <v>29</v>
      </c>
      <c r="C157" s="28" t="s">
        <v>30</v>
      </c>
      <c r="D157" s="28" t="s">
        <v>31</v>
      </c>
      <c r="E157" s="19">
        <v>2</v>
      </c>
      <c r="F157" s="28" t="s">
        <v>129</v>
      </c>
      <c r="G157" s="28" t="s">
        <v>198</v>
      </c>
      <c r="H157" s="26" t="s">
        <v>2</v>
      </c>
      <c r="I157" s="29">
        <v>18</v>
      </c>
      <c r="J157" s="35">
        <v>195</v>
      </c>
      <c r="K157" s="17">
        <f t="shared" si="3"/>
        <v>3510</v>
      </c>
      <c r="L157" s="14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2"/>
      <c r="AB157" s="22"/>
      <c r="AC157" s="22"/>
      <c r="AD157" s="22"/>
      <c r="AE157" s="22"/>
      <c r="AF157" s="22"/>
      <c r="AG157" s="22"/>
    </row>
    <row r="158" spans="1:33" s="20" customFormat="1" ht="26.4">
      <c r="A158" s="26">
        <v>21</v>
      </c>
      <c r="B158" s="27" t="s">
        <v>29</v>
      </c>
      <c r="C158" s="28" t="s">
        <v>30</v>
      </c>
      <c r="D158" s="28" t="s">
        <v>31</v>
      </c>
      <c r="E158" s="19">
        <v>2</v>
      </c>
      <c r="F158" s="28" t="s">
        <v>128</v>
      </c>
      <c r="G158" s="28" t="s">
        <v>198</v>
      </c>
      <c r="H158" s="26" t="s">
        <v>2</v>
      </c>
      <c r="I158" s="29">
        <v>15</v>
      </c>
      <c r="J158" s="35">
        <v>195</v>
      </c>
      <c r="K158" s="17">
        <f t="shared" si="3"/>
        <v>2925</v>
      </c>
      <c r="L158" s="14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2"/>
      <c r="AB158" s="22"/>
      <c r="AC158" s="22"/>
      <c r="AD158" s="22"/>
      <c r="AE158" s="22"/>
      <c r="AF158" s="22"/>
      <c r="AG158" s="22"/>
    </row>
    <row r="159" spans="1:33" s="20" customFormat="1" ht="39.6">
      <c r="A159" s="26">
        <v>22</v>
      </c>
      <c r="B159" s="27" t="s">
        <v>29</v>
      </c>
      <c r="C159" s="28" t="s">
        <v>30</v>
      </c>
      <c r="D159" s="28" t="s">
        <v>31</v>
      </c>
      <c r="E159" s="19">
        <v>1</v>
      </c>
      <c r="F159" s="28" t="s">
        <v>90</v>
      </c>
      <c r="G159" s="28" t="s">
        <v>1</v>
      </c>
      <c r="H159" s="26" t="s">
        <v>2</v>
      </c>
      <c r="I159" s="29">
        <v>30.5</v>
      </c>
      <c r="J159" s="36">
        <v>585</v>
      </c>
      <c r="K159" s="17">
        <f t="shared" si="3"/>
        <v>17842.5</v>
      </c>
      <c r="L159" s="14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2"/>
      <c r="AB159" s="22"/>
      <c r="AC159" s="22"/>
      <c r="AD159" s="22"/>
      <c r="AE159" s="22"/>
      <c r="AF159" s="22"/>
      <c r="AG159" s="22"/>
    </row>
    <row r="160" spans="1:33" s="20" customFormat="1" ht="39.6">
      <c r="A160" s="26">
        <v>23</v>
      </c>
      <c r="B160" s="27" t="s">
        <v>35</v>
      </c>
      <c r="C160" s="28" t="s">
        <v>30</v>
      </c>
      <c r="D160" s="28" t="s">
        <v>31</v>
      </c>
      <c r="E160" s="19">
        <v>1</v>
      </c>
      <c r="F160" s="28" t="s">
        <v>91</v>
      </c>
      <c r="G160" s="28" t="s">
        <v>1</v>
      </c>
      <c r="H160" s="26" t="s">
        <v>2</v>
      </c>
      <c r="I160" s="29">
        <v>44.3</v>
      </c>
      <c r="J160" s="36">
        <v>585</v>
      </c>
      <c r="K160" s="17">
        <f t="shared" si="3"/>
        <v>25915.5</v>
      </c>
      <c r="L160" s="14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2"/>
      <c r="AB160" s="22"/>
      <c r="AC160" s="22"/>
      <c r="AD160" s="22"/>
      <c r="AE160" s="22"/>
      <c r="AF160" s="22"/>
      <c r="AG160" s="22"/>
    </row>
    <row r="161" spans="1:33" s="20" customFormat="1" ht="39.6">
      <c r="A161" s="26">
        <v>24</v>
      </c>
      <c r="B161" s="27" t="s">
        <v>29</v>
      </c>
      <c r="C161" s="28" t="s">
        <v>30</v>
      </c>
      <c r="D161" s="28" t="s">
        <v>31</v>
      </c>
      <c r="E161" s="19">
        <v>1</v>
      </c>
      <c r="F161" s="28" t="s">
        <v>80</v>
      </c>
      <c r="G161" s="28" t="s">
        <v>1</v>
      </c>
      <c r="H161" s="26" t="s">
        <v>2</v>
      </c>
      <c r="I161" s="29">
        <v>9.1</v>
      </c>
      <c r="J161" s="36">
        <v>585</v>
      </c>
      <c r="K161" s="17">
        <f t="shared" si="3"/>
        <v>5323.5</v>
      </c>
      <c r="L161" s="14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2"/>
      <c r="AB161" s="22"/>
      <c r="AC161" s="22"/>
      <c r="AD161" s="22"/>
      <c r="AE161" s="22"/>
      <c r="AF161" s="22"/>
      <c r="AG161" s="22"/>
    </row>
    <row r="162" spans="1:33" s="20" customFormat="1" ht="39.6">
      <c r="A162" s="26">
        <v>25</v>
      </c>
      <c r="B162" s="27" t="s">
        <v>29</v>
      </c>
      <c r="C162" s="28" t="s">
        <v>30</v>
      </c>
      <c r="D162" s="28" t="s">
        <v>31</v>
      </c>
      <c r="E162" s="19">
        <v>1</v>
      </c>
      <c r="F162" s="28" t="s">
        <v>59</v>
      </c>
      <c r="G162" s="28" t="s">
        <v>1</v>
      </c>
      <c r="H162" s="26" t="s">
        <v>2</v>
      </c>
      <c r="I162" s="29">
        <v>15.4</v>
      </c>
      <c r="J162" s="36">
        <v>585</v>
      </c>
      <c r="K162" s="17">
        <f t="shared" si="3"/>
        <v>9009</v>
      </c>
      <c r="L162" s="14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2"/>
      <c r="AB162" s="22"/>
      <c r="AC162" s="22"/>
      <c r="AD162" s="22"/>
      <c r="AE162" s="22"/>
      <c r="AF162" s="22"/>
      <c r="AG162" s="22"/>
    </row>
    <row r="163" spans="1:33" s="20" customFormat="1" ht="39.6">
      <c r="A163" s="26">
        <v>26</v>
      </c>
      <c r="B163" s="27" t="s">
        <v>29</v>
      </c>
      <c r="C163" s="28" t="s">
        <v>30</v>
      </c>
      <c r="D163" s="28" t="s">
        <v>31</v>
      </c>
      <c r="E163" s="19">
        <v>1</v>
      </c>
      <c r="F163" s="28" t="s">
        <v>49</v>
      </c>
      <c r="G163" s="28" t="s">
        <v>1</v>
      </c>
      <c r="H163" s="26" t="s">
        <v>2</v>
      </c>
      <c r="I163" s="29">
        <v>14</v>
      </c>
      <c r="J163" s="36">
        <v>585</v>
      </c>
      <c r="K163" s="17">
        <f t="shared" si="3"/>
        <v>8190</v>
      </c>
      <c r="L163" s="14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2"/>
      <c r="AB163" s="22"/>
      <c r="AC163" s="22"/>
      <c r="AD163" s="22"/>
      <c r="AE163" s="22"/>
      <c r="AF163" s="22"/>
      <c r="AG163" s="22"/>
    </row>
    <row r="164" spans="1:33" s="20" customFormat="1" ht="39.6">
      <c r="A164" s="26">
        <v>27</v>
      </c>
      <c r="B164" s="27" t="s">
        <v>29</v>
      </c>
      <c r="C164" s="28" t="s">
        <v>30</v>
      </c>
      <c r="D164" s="28" t="s">
        <v>31</v>
      </c>
      <c r="E164" s="19">
        <v>1</v>
      </c>
      <c r="F164" s="28" t="s">
        <v>58</v>
      </c>
      <c r="G164" s="28" t="s">
        <v>1</v>
      </c>
      <c r="H164" s="26" t="s">
        <v>2</v>
      </c>
      <c r="I164" s="29">
        <v>3.9</v>
      </c>
      <c r="J164" s="36">
        <v>585</v>
      </c>
      <c r="K164" s="17">
        <f t="shared" si="3"/>
        <v>2281.5</v>
      </c>
      <c r="L164" s="14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2"/>
      <c r="AB164" s="22"/>
      <c r="AC164" s="22"/>
      <c r="AD164" s="22"/>
      <c r="AE164" s="22"/>
      <c r="AF164" s="22"/>
      <c r="AG164" s="22"/>
    </row>
    <row r="165" spans="1:33" s="20" customFormat="1" ht="39.6">
      <c r="A165" s="26">
        <v>28</v>
      </c>
      <c r="B165" s="27" t="s">
        <v>29</v>
      </c>
      <c r="C165" s="28" t="s">
        <v>30</v>
      </c>
      <c r="D165" s="28" t="s">
        <v>31</v>
      </c>
      <c r="E165" s="19">
        <v>1</v>
      </c>
      <c r="F165" s="28" t="s">
        <v>64</v>
      </c>
      <c r="G165" s="28" t="s">
        <v>1</v>
      </c>
      <c r="H165" s="26" t="s">
        <v>2</v>
      </c>
      <c r="I165" s="29">
        <v>13.2</v>
      </c>
      <c r="J165" s="36">
        <v>585</v>
      </c>
      <c r="K165" s="17">
        <f t="shared" si="3"/>
        <v>7722</v>
      </c>
      <c r="L165" s="14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2"/>
      <c r="AB165" s="22"/>
      <c r="AC165" s="22"/>
      <c r="AD165" s="22"/>
      <c r="AE165" s="22"/>
      <c r="AF165" s="22"/>
      <c r="AG165" s="22"/>
    </row>
    <row r="166" spans="1:33" s="20" customFormat="1" ht="39.6">
      <c r="A166" s="26">
        <v>29</v>
      </c>
      <c r="B166" s="27" t="s">
        <v>29</v>
      </c>
      <c r="C166" s="28" t="s">
        <v>30</v>
      </c>
      <c r="D166" s="28" t="s">
        <v>31</v>
      </c>
      <c r="E166" s="19">
        <v>1</v>
      </c>
      <c r="F166" s="28" t="s">
        <v>73</v>
      </c>
      <c r="G166" s="28" t="s">
        <v>1</v>
      </c>
      <c r="H166" s="26" t="s">
        <v>2</v>
      </c>
      <c r="I166" s="29">
        <v>40.5</v>
      </c>
      <c r="J166" s="36">
        <v>585</v>
      </c>
      <c r="K166" s="17">
        <f t="shared" si="3"/>
        <v>23692.5</v>
      </c>
      <c r="L166" s="14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2"/>
      <c r="AB166" s="22"/>
      <c r="AC166" s="22"/>
      <c r="AD166" s="22"/>
      <c r="AE166" s="22"/>
      <c r="AF166" s="22"/>
      <c r="AG166" s="22"/>
    </row>
    <row r="167" spans="1:33" s="20" customFormat="1" ht="39.6">
      <c r="A167" s="26">
        <v>30</v>
      </c>
      <c r="B167" s="27" t="s">
        <v>29</v>
      </c>
      <c r="C167" s="28" t="s">
        <v>30</v>
      </c>
      <c r="D167" s="28" t="s">
        <v>31</v>
      </c>
      <c r="E167" s="19">
        <v>1</v>
      </c>
      <c r="F167" s="28" t="s">
        <v>88</v>
      </c>
      <c r="G167" s="28" t="s">
        <v>1</v>
      </c>
      <c r="H167" s="26" t="s">
        <v>2</v>
      </c>
      <c r="I167" s="29">
        <v>19</v>
      </c>
      <c r="J167" s="36">
        <v>585</v>
      </c>
      <c r="K167" s="17">
        <f t="shared" si="3"/>
        <v>11115</v>
      </c>
      <c r="L167" s="14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2"/>
      <c r="AB167" s="22"/>
      <c r="AC167" s="22"/>
      <c r="AD167" s="22"/>
      <c r="AE167" s="22"/>
      <c r="AF167" s="22"/>
      <c r="AG167" s="22"/>
    </row>
    <row r="168" spans="1:33" s="20" customFormat="1" ht="39.6">
      <c r="A168" s="26">
        <v>31</v>
      </c>
      <c r="B168" s="27" t="s">
        <v>29</v>
      </c>
      <c r="C168" s="28" t="s">
        <v>30</v>
      </c>
      <c r="D168" s="28" t="s">
        <v>31</v>
      </c>
      <c r="E168" s="19">
        <v>1</v>
      </c>
      <c r="F168" s="28" t="s">
        <v>79</v>
      </c>
      <c r="G168" s="28" t="s">
        <v>1</v>
      </c>
      <c r="H168" s="26" t="s">
        <v>2</v>
      </c>
      <c r="I168" s="29">
        <v>14.5</v>
      </c>
      <c r="J168" s="36">
        <v>585</v>
      </c>
      <c r="K168" s="17">
        <f t="shared" si="3"/>
        <v>8482.5</v>
      </c>
      <c r="L168" s="14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2"/>
      <c r="AB168" s="22"/>
      <c r="AC168" s="22"/>
      <c r="AD168" s="22"/>
      <c r="AE168" s="22"/>
      <c r="AF168" s="22"/>
      <c r="AG168" s="22"/>
    </row>
    <row r="169" spans="1:33" s="20" customFormat="1" ht="39.6">
      <c r="A169" s="26">
        <v>32</v>
      </c>
      <c r="B169" s="27" t="s">
        <v>29</v>
      </c>
      <c r="C169" s="28" t="s">
        <v>30</v>
      </c>
      <c r="D169" s="28" t="s">
        <v>31</v>
      </c>
      <c r="E169" s="19">
        <v>2</v>
      </c>
      <c r="F169" s="28" t="s">
        <v>136</v>
      </c>
      <c r="G169" s="28" t="s">
        <v>1</v>
      </c>
      <c r="H169" s="26" t="s">
        <v>2</v>
      </c>
      <c r="I169" s="29">
        <v>38</v>
      </c>
      <c r="J169" s="36">
        <v>585</v>
      </c>
      <c r="K169" s="17">
        <f t="shared" si="3"/>
        <v>22230</v>
      </c>
      <c r="L169" s="14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2"/>
      <c r="AB169" s="22"/>
      <c r="AC169" s="22"/>
      <c r="AD169" s="22"/>
      <c r="AE169" s="22"/>
      <c r="AF169" s="22"/>
      <c r="AG169" s="22"/>
    </row>
    <row r="170" spans="1:33" s="20" customFormat="1" ht="39.6">
      <c r="A170" s="26">
        <v>33</v>
      </c>
      <c r="B170" s="27" t="s">
        <v>29</v>
      </c>
      <c r="C170" s="28" t="s">
        <v>30</v>
      </c>
      <c r="D170" s="28" t="s">
        <v>31</v>
      </c>
      <c r="E170" s="19">
        <v>2</v>
      </c>
      <c r="F170" s="28" t="s">
        <v>125</v>
      </c>
      <c r="G170" s="28" t="s">
        <v>1</v>
      </c>
      <c r="H170" s="26" t="s">
        <v>2</v>
      </c>
      <c r="I170" s="29">
        <v>80.5</v>
      </c>
      <c r="J170" s="36">
        <v>585</v>
      </c>
      <c r="K170" s="17">
        <f t="shared" si="3"/>
        <v>47092.5</v>
      </c>
      <c r="L170" s="14"/>
      <c r="M170" s="21"/>
      <c r="N170" s="21"/>
      <c r="O170" s="21"/>
      <c r="P170" s="21"/>
      <c r="Q170" s="21"/>
      <c r="R170" s="23"/>
      <c r="S170" s="23"/>
      <c r="T170" s="23"/>
      <c r="U170" s="23"/>
      <c r="V170" s="23"/>
      <c r="W170" s="23"/>
      <c r="X170" s="23"/>
      <c r="Y170" s="23"/>
      <c r="Z170" s="23"/>
      <c r="AA170" s="22"/>
      <c r="AB170" s="22"/>
      <c r="AC170" s="22"/>
      <c r="AD170" s="22"/>
      <c r="AE170" s="22"/>
      <c r="AF170" s="22"/>
      <c r="AG170" s="22"/>
    </row>
    <row r="171" spans="1:33" s="20" customFormat="1" ht="39.6">
      <c r="A171" s="26">
        <v>34</v>
      </c>
      <c r="B171" s="27" t="s">
        <v>29</v>
      </c>
      <c r="C171" s="28" t="s">
        <v>30</v>
      </c>
      <c r="D171" s="28" t="s">
        <v>31</v>
      </c>
      <c r="E171" s="19">
        <v>2</v>
      </c>
      <c r="F171" s="28" t="s">
        <v>132</v>
      </c>
      <c r="G171" s="28" t="s">
        <v>1</v>
      </c>
      <c r="H171" s="26" t="s">
        <v>2</v>
      </c>
      <c r="I171" s="29">
        <v>80.5</v>
      </c>
      <c r="J171" s="36">
        <v>585</v>
      </c>
      <c r="K171" s="17">
        <f t="shared" si="3"/>
        <v>47092.5</v>
      </c>
      <c r="L171" s="14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</row>
    <row r="172" spans="1:33" s="20" customFormat="1" ht="39.6">
      <c r="A172" s="26">
        <v>35</v>
      </c>
      <c r="B172" s="27" t="s">
        <v>29</v>
      </c>
      <c r="C172" s="28" t="s">
        <v>30</v>
      </c>
      <c r="D172" s="28" t="s">
        <v>31</v>
      </c>
      <c r="E172" s="19">
        <v>2</v>
      </c>
      <c r="F172" s="28" t="s">
        <v>127</v>
      </c>
      <c r="G172" s="28" t="s">
        <v>1</v>
      </c>
      <c r="H172" s="26" t="s">
        <v>2</v>
      </c>
      <c r="I172" s="29">
        <v>0.9</v>
      </c>
      <c r="J172" s="36">
        <v>585</v>
      </c>
      <c r="K172" s="17">
        <f t="shared" si="3"/>
        <v>526.5</v>
      </c>
      <c r="L172" s="14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</row>
    <row r="173" spans="1:33" s="20" customFormat="1" ht="39.6">
      <c r="A173" s="26">
        <v>36</v>
      </c>
      <c r="B173" s="27" t="s">
        <v>29</v>
      </c>
      <c r="C173" s="28" t="s">
        <v>30</v>
      </c>
      <c r="D173" s="28" t="s">
        <v>31</v>
      </c>
      <c r="E173" s="19">
        <v>2</v>
      </c>
      <c r="F173" s="28" t="s">
        <v>192</v>
      </c>
      <c r="G173" s="28" t="s">
        <v>1</v>
      </c>
      <c r="H173" s="26" t="s">
        <v>2</v>
      </c>
      <c r="I173" s="29">
        <v>10.5</v>
      </c>
      <c r="J173" s="36">
        <v>585</v>
      </c>
      <c r="K173" s="17">
        <f t="shared" si="3"/>
        <v>6142.5</v>
      </c>
      <c r="L173" s="14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</row>
    <row r="174" spans="1:33" s="20" customFormat="1" ht="39.6">
      <c r="A174" s="26">
        <v>37</v>
      </c>
      <c r="B174" s="27" t="s">
        <v>29</v>
      </c>
      <c r="C174" s="28" t="s">
        <v>30</v>
      </c>
      <c r="D174" s="28" t="s">
        <v>31</v>
      </c>
      <c r="E174" s="19">
        <v>2</v>
      </c>
      <c r="F174" s="28" t="s">
        <v>138</v>
      </c>
      <c r="G174" s="28" t="s">
        <v>1</v>
      </c>
      <c r="H174" s="26" t="s">
        <v>2</v>
      </c>
      <c r="I174" s="29">
        <v>8.5</v>
      </c>
      <c r="J174" s="36">
        <v>585</v>
      </c>
      <c r="K174" s="17">
        <f t="shared" si="3"/>
        <v>4972.5</v>
      </c>
      <c r="L174" s="14"/>
      <c r="M174" s="22"/>
      <c r="N174" s="22"/>
      <c r="O174" s="22"/>
      <c r="P174" s="24"/>
      <c r="Q174" s="70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</row>
    <row r="175" spans="1:33" s="20" customFormat="1" ht="39.6">
      <c r="A175" s="26">
        <v>38</v>
      </c>
      <c r="B175" s="27" t="s">
        <v>29</v>
      </c>
      <c r="C175" s="28" t="s">
        <v>30</v>
      </c>
      <c r="D175" s="28" t="s">
        <v>31</v>
      </c>
      <c r="E175" s="19">
        <v>2</v>
      </c>
      <c r="F175" s="28" t="s">
        <v>122</v>
      </c>
      <c r="G175" s="28" t="s">
        <v>1</v>
      </c>
      <c r="H175" s="26" t="s">
        <v>2</v>
      </c>
      <c r="I175" s="29">
        <v>16.5</v>
      </c>
      <c r="J175" s="36">
        <v>585</v>
      </c>
      <c r="K175" s="17">
        <f t="shared" si="3"/>
        <v>9652.5</v>
      </c>
      <c r="L175" s="14"/>
      <c r="M175" s="22"/>
      <c r="N175" s="22"/>
      <c r="O175" s="22"/>
      <c r="P175" s="24"/>
      <c r="Q175" s="70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</row>
    <row r="176" spans="1:33" s="20" customFormat="1" ht="39.6">
      <c r="A176" s="26">
        <v>39</v>
      </c>
      <c r="B176" s="27" t="s">
        <v>29</v>
      </c>
      <c r="C176" s="28" t="s">
        <v>30</v>
      </c>
      <c r="D176" s="28" t="s">
        <v>31</v>
      </c>
      <c r="E176" s="19">
        <v>2</v>
      </c>
      <c r="F176" s="28" t="s">
        <v>124</v>
      </c>
      <c r="G176" s="28" t="s">
        <v>1</v>
      </c>
      <c r="H176" s="26" t="s">
        <v>2</v>
      </c>
      <c r="I176" s="29">
        <v>36</v>
      </c>
      <c r="J176" s="36">
        <v>585</v>
      </c>
      <c r="K176" s="17">
        <f t="shared" si="3"/>
        <v>21060</v>
      </c>
      <c r="L176" s="14"/>
      <c r="M176" s="22"/>
      <c r="N176" s="22"/>
      <c r="O176" s="22"/>
      <c r="P176" s="24"/>
      <c r="Q176" s="70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</row>
    <row r="177" spans="1:33" s="20" customFormat="1" ht="39.6">
      <c r="A177" s="26">
        <v>40</v>
      </c>
      <c r="B177" s="27" t="s">
        <v>29</v>
      </c>
      <c r="C177" s="28" t="s">
        <v>30</v>
      </c>
      <c r="D177" s="28" t="s">
        <v>31</v>
      </c>
      <c r="E177" s="19">
        <v>2</v>
      </c>
      <c r="F177" s="28" t="s">
        <v>129</v>
      </c>
      <c r="G177" s="28" t="s">
        <v>1</v>
      </c>
      <c r="H177" s="26" t="s">
        <v>2</v>
      </c>
      <c r="I177" s="29">
        <v>36</v>
      </c>
      <c r="J177" s="36">
        <v>585</v>
      </c>
      <c r="K177" s="17">
        <f t="shared" si="3"/>
        <v>21060</v>
      </c>
      <c r="L177" s="14"/>
      <c r="M177" s="22"/>
      <c r="N177" s="22"/>
      <c r="O177" s="22"/>
      <c r="P177" s="24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</row>
    <row r="178" spans="1:33" s="20" customFormat="1" ht="39.6">
      <c r="A178" s="26">
        <v>41</v>
      </c>
      <c r="B178" s="27" t="s">
        <v>29</v>
      </c>
      <c r="C178" s="28" t="s">
        <v>30</v>
      </c>
      <c r="D178" s="28" t="s">
        <v>31</v>
      </c>
      <c r="E178" s="19">
        <v>2</v>
      </c>
      <c r="F178" s="28" t="s">
        <v>128</v>
      </c>
      <c r="G178" s="28" t="s">
        <v>1</v>
      </c>
      <c r="H178" s="26" t="s">
        <v>2</v>
      </c>
      <c r="I178" s="29">
        <v>15</v>
      </c>
      <c r="J178" s="36">
        <v>585</v>
      </c>
      <c r="K178" s="17">
        <f t="shared" si="3"/>
        <v>8775</v>
      </c>
      <c r="L178" s="14"/>
      <c r="N178" s="22"/>
      <c r="O178" s="22"/>
      <c r="P178" s="24"/>
      <c r="Q178" s="24"/>
      <c r="R178" s="3"/>
      <c r="S178" s="70"/>
      <c r="T178" s="22"/>
      <c r="U178" s="22"/>
      <c r="V178" s="24"/>
      <c r="W178" s="24"/>
      <c r="X178" s="3"/>
      <c r="Y178" s="70"/>
      <c r="Z178" s="22"/>
    </row>
    <row r="179" spans="1:33" s="20" customFormat="1">
      <c r="A179" s="26">
        <v>42</v>
      </c>
      <c r="B179" s="27" t="s">
        <v>35</v>
      </c>
      <c r="C179" s="28" t="s">
        <v>30</v>
      </c>
      <c r="D179" s="28" t="s">
        <v>31</v>
      </c>
      <c r="E179" s="19">
        <v>1</v>
      </c>
      <c r="F179" s="28" t="s">
        <v>80</v>
      </c>
      <c r="G179" s="28" t="s">
        <v>185</v>
      </c>
      <c r="H179" s="26" t="s">
        <v>2</v>
      </c>
      <c r="I179" s="29">
        <v>7</v>
      </c>
      <c r="J179" s="37">
        <v>1105</v>
      </c>
      <c r="K179" s="17">
        <f t="shared" si="3"/>
        <v>7735</v>
      </c>
      <c r="L179" s="14"/>
      <c r="N179" s="22"/>
      <c r="O179" s="22"/>
      <c r="P179" s="24"/>
      <c r="Q179" s="24"/>
      <c r="R179" s="3"/>
      <c r="S179" s="70"/>
      <c r="T179" s="22"/>
      <c r="U179" s="22"/>
      <c r="V179" s="24"/>
      <c r="W179" s="24"/>
      <c r="X179" s="3"/>
      <c r="Y179" s="70"/>
      <c r="Z179" s="22"/>
    </row>
    <row r="180" spans="1:33" s="20" customFormat="1" ht="26.4">
      <c r="A180" s="26">
        <v>43</v>
      </c>
      <c r="B180" s="27" t="s">
        <v>35</v>
      </c>
      <c r="C180" s="28" t="s">
        <v>30</v>
      </c>
      <c r="D180" s="28" t="s">
        <v>31</v>
      </c>
      <c r="E180" s="19">
        <v>1</v>
      </c>
      <c r="F180" s="28" t="s">
        <v>59</v>
      </c>
      <c r="G180" s="28" t="s">
        <v>185</v>
      </c>
      <c r="H180" s="26" t="s">
        <v>2</v>
      </c>
      <c r="I180" s="29">
        <v>15.4</v>
      </c>
      <c r="J180" s="37">
        <v>1105</v>
      </c>
      <c r="K180" s="17">
        <f t="shared" si="3"/>
        <v>17017</v>
      </c>
      <c r="L180" s="14"/>
      <c r="N180" s="22"/>
      <c r="O180" s="22"/>
      <c r="P180" s="24"/>
      <c r="Q180" s="24"/>
      <c r="R180" s="3"/>
      <c r="S180" s="70"/>
      <c r="T180" s="22"/>
      <c r="U180" s="22"/>
      <c r="V180" s="24"/>
      <c r="W180" s="24"/>
      <c r="X180" s="3"/>
      <c r="Y180" s="70"/>
      <c r="Z180" s="22"/>
    </row>
    <row r="181" spans="1:33" s="20" customFormat="1">
      <c r="A181" s="26">
        <v>44</v>
      </c>
      <c r="B181" s="27" t="s">
        <v>29</v>
      </c>
      <c r="C181" s="28" t="s">
        <v>30</v>
      </c>
      <c r="D181" s="28" t="s">
        <v>31</v>
      </c>
      <c r="E181" s="19">
        <v>1</v>
      </c>
      <c r="F181" s="28" t="s">
        <v>49</v>
      </c>
      <c r="G181" s="28" t="s">
        <v>185</v>
      </c>
      <c r="H181" s="26" t="s">
        <v>2</v>
      </c>
      <c r="I181" s="29">
        <v>8.6</v>
      </c>
      <c r="J181" s="37">
        <v>1105</v>
      </c>
      <c r="K181" s="17">
        <f t="shared" si="3"/>
        <v>9503</v>
      </c>
      <c r="L181" s="14"/>
      <c r="N181" s="22"/>
      <c r="O181" s="22"/>
      <c r="P181" s="24"/>
      <c r="Q181" s="24"/>
      <c r="R181" s="3"/>
      <c r="S181" s="70"/>
      <c r="T181" s="22"/>
      <c r="U181" s="22"/>
      <c r="V181" s="24"/>
      <c r="W181" s="24"/>
      <c r="X181" s="3"/>
      <c r="Y181" s="70"/>
      <c r="Z181" s="22"/>
    </row>
    <row r="182" spans="1:33" s="20" customFormat="1">
      <c r="A182" s="26">
        <v>45</v>
      </c>
      <c r="B182" s="27" t="s">
        <v>29</v>
      </c>
      <c r="C182" s="28" t="s">
        <v>30</v>
      </c>
      <c r="D182" s="28" t="s">
        <v>31</v>
      </c>
      <c r="E182" s="19">
        <v>1</v>
      </c>
      <c r="F182" s="28" t="s">
        <v>64</v>
      </c>
      <c r="G182" s="28" t="s">
        <v>185</v>
      </c>
      <c r="H182" s="26" t="s">
        <v>2</v>
      </c>
      <c r="I182" s="29">
        <v>6.6</v>
      </c>
      <c r="J182" s="37">
        <v>1105</v>
      </c>
      <c r="K182" s="17">
        <f t="shared" si="3"/>
        <v>7293</v>
      </c>
      <c r="L182" s="14"/>
      <c r="N182" s="22"/>
      <c r="O182" s="22"/>
      <c r="P182" s="24"/>
      <c r="Q182" s="24"/>
      <c r="R182" s="3"/>
      <c r="S182" s="70"/>
      <c r="T182" s="22"/>
      <c r="U182" s="22"/>
      <c r="V182" s="22"/>
      <c r="W182" s="22"/>
      <c r="X182" s="22"/>
      <c r="Y182" s="22"/>
      <c r="Z182" s="22"/>
    </row>
    <row r="183" spans="1:33" s="20" customFormat="1" ht="14.4" customHeight="1">
      <c r="A183" s="26">
        <v>46</v>
      </c>
      <c r="B183" s="27" t="s">
        <v>29</v>
      </c>
      <c r="C183" s="28" t="s">
        <v>30</v>
      </c>
      <c r="D183" s="28" t="s">
        <v>31</v>
      </c>
      <c r="E183" s="19">
        <v>1</v>
      </c>
      <c r="F183" s="28" t="s">
        <v>45</v>
      </c>
      <c r="G183" s="28" t="s">
        <v>185</v>
      </c>
      <c r="H183" s="26" t="s">
        <v>2</v>
      </c>
      <c r="I183" s="29">
        <v>6.6</v>
      </c>
      <c r="J183" s="37">
        <v>1105</v>
      </c>
      <c r="K183" s="17">
        <f t="shared" si="3"/>
        <v>7293</v>
      </c>
      <c r="L183" s="14"/>
      <c r="N183" s="22"/>
      <c r="O183" s="22"/>
      <c r="P183" s="24"/>
      <c r="Q183" s="24"/>
      <c r="R183" s="3"/>
      <c r="S183" s="70"/>
      <c r="T183" s="22"/>
      <c r="U183" s="22"/>
      <c r="V183" s="22"/>
      <c r="W183" s="22"/>
      <c r="X183" s="22"/>
      <c r="Y183" s="22"/>
      <c r="Z183" s="22"/>
    </row>
    <row r="184" spans="1:33" s="20" customFormat="1">
      <c r="A184" s="26">
        <v>47</v>
      </c>
      <c r="B184" s="27" t="s">
        <v>29</v>
      </c>
      <c r="C184" s="28" t="s">
        <v>30</v>
      </c>
      <c r="D184" s="28" t="s">
        <v>31</v>
      </c>
      <c r="E184" s="19">
        <v>1</v>
      </c>
      <c r="F184" s="28" t="s">
        <v>73</v>
      </c>
      <c r="G184" s="28" t="s">
        <v>185</v>
      </c>
      <c r="H184" s="26" t="s">
        <v>2</v>
      </c>
      <c r="I184" s="29">
        <v>20.5</v>
      </c>
      <c r="J184" s="37">
        <v>1105</v>
      </c>
      <c r="K184" s="17">
        <f t="shared" si="3"/>
        <v>22652.5</v>
      </c>
      <c r="L184" s="14"/>
      <c r="N184" s="22"/>
      <c r="O184" s="22"/>
      <c r="P184" s="24"/>
      <c r="Q184" s="24"/>
      <c r="R184" s="3"/>
      <c r="S184" s="70"/>
      <c r="T184" s="22"/>
      <c r="U184" s="22"/>
      <c r="V184" s="22"/>
      <c r="W184" s="22"/>
      <c r="X184" s="22"/>
      <c r="Y184" s="22"/>
      <c r="Z184" s="22"/>
    </row>
    <row r="185" spans="1:33" s="20" customFormat="1" ht="26.4">
      <c r="A185" s="26">
        <v>48</v>
      </c>
      <c r="B185" s="27" t="s">
        <v>29</v>
      </c>
      <c r="C185" s="28" t="s">
        <v>30</v>
      </c>
      <c r="D185" s="28" t="s">
        <v>31</v>
      </c>
      <c r="E185" s="19">
        <v>1</v>
      </c>
      <c r="F185" s="28" t="s">
        <v>88</v>
      </c>
      <c r="G185" s="28" t="s">
        <v>185</v>
      </c>
      <c r="H185" s="26" t="s">
        <v>2</v>
      </c>
      <c r="I185" s="29">
        <v>19</v>
      </c>
      <c r="J185" s="37">
        <v>1105</v>
      </c>
      <c r="K185" s="17">
        <f t="shared" si="3"/>
        <v>20995</v>
      </c>
      <c r="L185" s="14"/>
      <c r="N185" s="22"/>
      <c r="O185" s="22"/>
      <c r="P185" s="24"/>
      <c r="Q185" s="24"/>
      <c r="R185" s="3"/>
      <c r="S185" s="70"/>
      <c r="T185" s="22"/>
      <c r="U185" s="22"/>
      <c r="V185" s="22"/>
      <c r="W185" s="22"/>
      <c r="X185" s="22"/>
      <c r="Y185" s="22"/>
      <c r="Z185" s="22"/>
    </row>
    <row r="186" spans="1:33" s="20" customFormat="1">
      <c r="A186" s="26">
        <v>49</v>
      </c>
      <c r="B186" s="27" t="s">
        <v>29</v>
      </c>
      <c r="C186" s="28" t="s">
        <v>30</v>
      </c>
      <c r="D186" s="28" t="s">
        <v>31</v>
      </c>
      <c r="E186" s="19">
        <v>1</v>
      </c>
      <c r="F186" s="28" t="s">
        <v>79</v>
      </c>
      <c r="G186" s="28" t="s">
        <v>185</v>
      </c>
      <c r="H186" s="26" t="s">
        <v>2</v>
      </c>
      <c r="I186" s="29">
        <v>14.5</v>
      </c>
      <c r="J186" s="37">
        <v>1105</v>
      </c>
      <c r="K186" s="17">
        <f t="shared" si="3"/>
        <v>16022.5</v>
      </c>
      <c r="L186" s="14"/>
      <c r="N186" s="22"/>
      <c r="O186" s="22"/>
      <c r="P186" s="24"/>
      <c r="Q186" s="24"/>
      <c r="R186" s="3"/>
      <c r="S186" s="70"/>
      <c r="T186" s="22"/>
      <c r="U186" s="22"/>
      <c r="V186" s="22"/>
      <c r="W186" s="22"/>
      <c r="X186" s="22"/>
      <c r="Y186" s="22"/>
      <c r="Z186" s="22"/>
    </row>
    <row r="187" spans="1:33" s="20" customFormat="1">
      <c r="A187" s="26">
        <v>50</v>
      </c>
      <c r="B187" s="27" t="s">
        <v>29</v>
      </c>
      <c r="C187" s="28" t="s">
        <v>30</v>
      </c>
      <c r="D187" s="28" t="s">
        <v>31</v>
      </c>
      <c r="E187" s="19">
        <v>1</v>
      </c>
      <c r="F187" s="28" t="s">
        <v>84</v>
      </c>
      <c r="G187" s="28" t="s">
        <v>185</v>
      </c>
      <c r="H187" s="26" t="s">
        <v>2</v>
      </c>
      <c r="I187" s="29">
        <v>14.5</v>
      </c>
      <c r="J187" s="37">
        <v>1105</v>
      </c>
      <c r="K187" s="17">
        <f t="shared" si="3"/>
        <v>16022.5</v>
      </c>
      <c r="L187" s="14"/>
      <c r="N187" s="22"/>
      <c r="O187" s="22"/>
      <c r="P187" s="24"/>
      <c r="Q187" s="24"/>
      <c r="R187" s="3"/>
      <c r="S187" s="70"/>
      <c r="T187" s="22"/>
      <c r="U187" s="22"/>
      <c r="V187" s="22"/>
      <c r="W187" s="22"/>
      <c r="X187" s="22"/>
      <c r="Y187" s="22"/>
      <c r="Z187" s="22"/>
    </row>
    <row r="188" spans="1:33" s="20" customFormat="1">
      <c r="A188" s="26">
        <v>51</v>
      </c>
      <c r="B188" s="27" t="s">
        <v>29</v>
      </c>
      <c r="C188" s="28" t="s">
        <v>30</v>
      </c>
      <c r="D188" s="28" t="s">
        <v>31</v>
      </c>
      <c r="E188" s="19">
        <v>2</v>
      </c>
      <c r="F188" s="28" t="s">
        <v>142</v>
      </c>
      <c r="G188" s="28" t="s">
        <v>185</v>
      </c>
      <c r="H188" s="26" t="s">
        <v>2</v>
      </c>
      <c r="I188" s="29">
        <v>6.6</v>
      </c>
      <c r="J188" s="37">
        <v>1105</v>
      </c>
      <c r="K188" s="17">
        <f t="shared" si="3"/>
        <v>7293</v>
      </c>
      <c r="L188" s="14"/>
      <c r="N188" s="22"/>
      <c r="O188" s="22"/>
      <c r="P188" s="24"/>
      <c r="Q188" s="24"/>
      <c r="R188" s="3"/>
      <c r="S188" s="70"/>
      <c r="T188" s="22"/>
      <c r="U188" s="22"/>
      <c r="V188" s="22"/>
      <c r="W188" s="22"/>
      <c r="X188" s="22"/>
      <c r="Y188" s="22"/>
      <c r="Z188" s="22"/>
    </row>
    <row r="189" spans="1:33" s="20" customFormat="1" ht="26.4">
      <c r="A189" s="26">
        <v>52</v>
      </c>
      <c r="B189" s="27" t="s">
        <v>29</v>
      </c>
      <c r="C189" s="28" t="s">
        <v>30</v>
      </c>
      <c r="D189" s="28" t="s">
        <v>31</v>
      </c>
      <c r="E189" s="19">
        <v>2</v>
      </c>
      <c r="F189" s="28" t="s">
        <v>136</v>
      </c>
      <c r="G189" s="28" t="s">
        <v>185</v>
      </c>
      <c r="H189" s="26" t="s">
        <v>2</v>
      </c>
      <c r="I189" s="29">
        <v>13</v>
      </c>
      <c r="J189" s="37">
        <v>1105</v>
      </c>
      <c r="K189" s="17">
        <f t="shared" si="3"/>
        <v>14365</v>
      </c>
      <c r="L189" s="14"/>
      <c r="N189" s="22"/>
      <c r="O189" s="22"/>
      <c r="P189" s="24"/>
      <c r="Q189" s="24"/>
      <c r="R189" s="3"/>
      <c r="S189" s="70"/>
      <c r="T189" s="22"/>
      <c r="U189" s="22"/>
      <c r="V189" s="22"/>
      <c r="W189" s="22"/>
      <c r="X189" s="22"/>
      <c r="Y189" s="22"/>
      <c r="Z189" s="22"/>
    </row>
    <row r="190" spans="1:33" s="20" customFormat="1">
      <c r="A190" s="26">
        <v>53</v>
      </c>
      <c r="B190" s="27" t="s">
        <v>29</v>
      </c>
      <c r="C190" s="28" t="s">
        <v>30</v>
      </c>
      <c r="D190" s="28" t="s">
        <v>31</v>
      </c>
      <c r="E190" s="19">
        <v>2</v>
      </c>
      <c r="F190" s="28" t="s">
        <v>125</v>
      </c>
      <c r="G190" s="28" t="s">
        <v>185</v>
      </c>
      <c r="H190" s="26" t="s">
        <v>2</v>
      </c>
      <c r="I190" s="29">
        <v>78.5</v>
      </c>
      <c r="J190" s="37">
        <v>1105</v>
      </c>
      <c r="K190" s="17">
        <f t="shared" si="3"/>
        <v>86742.5</v>
      </c>
      <c r="L190" s="14"/>
      <c r="N190" s="22"/>
      <c r="O190" s="22"/>
      <c r="P190" s="24"/>
      <c r="Q190" s="24"/>
      <c r="R190" s="3"/>
      <c r="S190" s="70"/>
      <c r="T190" s="22"/>
      <c r="U190" s="22"/>
      <c r="V190" s="22"/>
      <c r="W190" s="22"/>
      <c r="X190" s="22"/>
      <c r="Y190" s="22"/>
      <c r="Z190" s="22"/>
    </row>
    <row r="191" spans="1:33" s="20" customFormat="1">
      <c r="A191" s="26">
        <v>54</v>
      </c>
      <c r="B191" s="27" t="s">
        <v>29</v>
      </c>
      <c r="C191" s="28" t="s">
        <v>30</v>
      </c>
      <c r="D191" s="28" t="s">
        <v>31</v>
      </c>
      <c r="E191" s="19">
        <v>2</v>
      </c>
      <c r="F191" s="28" t="s">
        <v>132</v>
      </c>
      <c r="G191" s="28" t="s">
        <v>185</v>
      </c>
      <c r="H191" s="26" t="s">
        <v>2</v>
      </c>
      <c r="I191" s="29">
        <v>78.5</v>
      </c>
      <c r="J191" s="37">
        <v>1105</v>
      </c>
      <c r="K191" s="17">
        <f t="shared" si="3"/>
        <v>86742.5</v>
      </c>
      <c r="L191" s="14"/>
      <c r="N191" s="22"/>
      <c r="O191" s="22"/>
      <c r="P191" s="24"/>
      <c r="Q191" s="24"/>
      <c r="R191" s="3"/>
      <c r="S191" s="70"/>
      <c r="T191" s="22"/>
      <c r="U191" s="22"/>
      <c r="V191" s="22"/>
      <c r="W191" s="22"/>
      <c r="X191" s="22"/>
      <c r="Y191" s="22"/>
      <c r="Z191" s="22"/>
    </row>
    <row r="192" spans="1:33" s="20" customFormat="1" ht="39.6">
      <c r="A192" s="26">
        <v>55</v>
      </c>
      <c r="B192" s="27" t="s">
        <v>29</v>
      </c>
      <c r="C192" s="28" t="s">
        <v>30</v>
      </c>
      <c r="D192" s="28" t="s">
        <v>31</v>
      </c>
      <c r="E192" s="19">
        <v>2</v>
      </c>
      <c r="F192" s="28" t="s">
        <v>192</v>
      </c>
      <c r="G192" s="28" t="s">
        <v>185</v>
      </c>
      <c r="H192" s="26" t="s">
        <v>2</v>
      </c>
      <c r="I192" s="29">
        <v>10.5</v>
      </c>
      <c r="J192" s="37">
        <v>1105</v>
      </c>
      <c r="K192" s="17">
        <f t="shared" si="3"/>
        <v>11602.5</v>
      </c>
      <c r="L192" s="14"/>
      <c r="N192" s="22"/>
      <c r="O192" s="22"/>
      <c r="P192" s="24"/>
      <c r="Q192" s="24"/>
      <c r="R192" s="3"/>
      <c r="S192" s="70"/>
      <c r="T192" s="22"/>
      <c r="U192" s="22"/>
      <c r="V192" s="22"/>
      <c r="W192" s="22"/>
      <c r="X192" s="22"/>
      <c r="Y192" s="22"/>
      <c r="Z192" s="22"/>
    </row>
    <row r="193" spans="1:26" s="20" customFormat="1" ht="26.4">
      <c r="A193" s="26">
        <v>56</v>
      </c>
      <c r="B193" s="27" t="s">
        <v>29</v>
      </c>
      <c r="C193" s="28" t="s">
        <v>30</v>
      </c>
      <c r="D193" s="28" t="s">
        <v>31</v>
      </c>
      <c r="E193" s="19">
        <v>2</v>
      </c>
      <c r="F193" s="28" t="s">
        <v>138</v>
      </c>
      <c r="G193" s="28" t="s">
        <v>185</v>
      </c>
      <c r="H193" s="26" t="s">
        <v>2</v>
      </c>
      <c r="I193" s="29">
        <v>5.8</v>
      </c>
      <c r="J193" s="37">
        <v>1105</v>
      </c>
      <c r="K193" s="17">
        <f t="shared" si="3"/>
        <v>6409</v>
      </c>
      <c r="L193" s="14"/>
      <c r="N193" s="22"/>
      <c r="O193" s="22"/>
      <c r="P193" s="24"/>
      <c r="Q193" s="24"/>
      <c r="R193" s="3"/>
      <c r="S193" s="70"/>
      <c r="T193" s="22"/>
      <c r="U193" s="22"/>
      <c r="V193" s="22"/>
      <c r="W193" s="22"/>
      <c r="X193" s="22"/>
      <c r="Y193" s="22"/>
      <c r="Z193" s="22"/>
    </row>
    <row r="194" spans="1:26" s="20" customFormat="1">
      <c r="A194" s="26">
        <v>57</v>
      </c>
      <c r="B194" s="27" t="s">
        <v>29</v>
      </c>
      <c r="C194" s="28" t="s">
        <v>30</v>
      </c>
      <c r="D194" s="28" t="s">
        <v>31</v>
      </c>
      <c r="E194" s="19">
        <v>2</v>
      </c>
      <c r="F194" s="28" t="s">
        <v>122</v>
      </c>
      <c r="G194" s="28" t="s">
        <v>185</v>
      </c>
      <c r="H194" s="26" t="s">
        <v>2</v>
      </c>
      <c r="I194" s="29">
        <v>9</v>
      </c>
      <c r="J194" s="37">
        <v>1105</v>
      </c>
      <c r="K194" s="17">
        <f t="shared" si="3"/>
        <v>9945</v>
      </c>
      <c r="L194" s="14"/>
      <c r="N194" s="22"/>
      <c r="O194" s="22"/>
      <c r="P194" s="24"/>
      <c r="Q194" s="24"/>
      <c r="R194" s="3"/>
      <c r="S194" s="70"/>
      <c r="T194" s="22"/>
      <c r="U194" s="22"/>
      <c r="V194" s="22"/>
      <c r="W194" s="22"/>
      <c r="X194" s="22"/>
      <c r="Y194" s="22"/>
      <c r="Z194" s="22"/>
    </row>
    <row r="195" spans="1:26" s="20" customFormat="1">
      <c r="A195" s="26">
        <v>58</v>
      </c>
      <c r="B195" s="27" t="s">
        <v>29</v>
      </c>
      <c r="C195" s="28" t="s">
        <v>30</v>
      </c>
      <c r="D195" s="28" t="s">
        <v>31</v>
      </c>
      <c r="E195" s="19">
        <v>2</v>
      </c>
      <c r="F195" s="28" t="s">
        <v>125</v>
      </c>
      <c r="G195" s="28" t="s">
        <v>185</v>
      </c>
      <c r="H195" s="26" t="s">
        <v>2</v>
      </c>
      <c r="I195" s="29">
        <v>14</v>
      </c>
      <c r="J195" s="37">
        <v>1105</v>
      </c>
      <c r="K195" s="17">
        <f t="shared" si="3"/>
        <v>15470</v>
      </c>
      <c r="L195" s="14"/>
      <c r="N195" s="22"/>
      <c r="O195" s="22"/>
      <c r="P195" s="24"/>
      <c r="Q195" s="24"/>
      <c r="R195" s="3"/>
      <c r="S195" s="70"/>
      <c r="T195" s="22"/>
      <c r="U195" s="22"/>
      <c r="V195" s="22"/>
      <c r="W195" s="22"/>
      <c r="X195" s="22"/>
      <c r="Y195" s="22"/>
      <c r="Z195" s="22"/>
    </row>
    <row r="196" spans="1:26" s="20" customFormat="1">
      <c r="A196" s="26">
        <v>59</v>
      </c>
      <c r="B196" s="27" t="s">
        <v>29</v>
      </c>
      <c r="C196" s="28" t="s">
        <v>30</v>
      </c>
      <c r="D196" s="28" t="s">
        <v>31</v>
      </c>
      <c r="E196" s="19">
        <v>2</v>
      </c>
      <c r="F196" s="28" t="s">
        <v>129</v>
      </c>
      <c r="G196" s="28" t="s">
        <v>185</v>
      </c>
      <c r="H196" s="26" t="s">
        <v>2</v>
      </c>
      <c r="I196" s="29">
        <v>14</v>
      </c>
      <c r="J196" s="37">
        <v>1105</v>
      </c>
      <c r="K196" s="17">
        <f t="shared" si="3"/>
        <v>15470</v>
      </c>
      <c r="L196" s="14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s="20" customFormat="1">
      <c r="A197" s="26">
        <v>60</v>
      </c>
      <c r="B197" s="27" t="s">
        <v>29</v>
      </c>
      <c r="C197" s="28" t="s">
        <v>30</v>
      </c>
      <c r="D197" s="28" t="s">
        <v>31</v>
      </c>
      <c r="E197" s="19">
        <v>2</v>
      </c>
      <c r="F197" s="28" t="s">
        <v>142</v>
      </c>
      <c r="G197" s="28" t="s">
        <v>183</v>
      </c>
      <c r="H197" s="26" t="s">
        <v>184</v>
      </c>
      <c r="I197" s="29">
        <v>2.6</v>
      </c>
      <c r="J197" s="35">
        <v>4160</v>
      </c>
      <c r="K197" s="17">
        <f t="shared" si="3"/>
        <v>10816</v>
      </c>
      <c r="L197" s="14"/>
      <c r="N197" s="22"/>
      <c r="O197" s="22"/>
      <c r="P197" s="22"/>
      <c r="Q197" s="22"/>
      <c r="R197" s="22"/>
      <c r="S197" s="22"/>
    </row>
    <row r="198" spans="1:26" s="20" customFormat="1" ht="26.4">
      <c r="A198" s="26">
        <v>61</v>
      </c>
      <c r="B198" s="27" t="s">
        <v>29</v>
      </c>
      <c r="C198" s="28" t="s">
        <v>30</v>
      </c>
      <c r="D198" s="28" t="s">
        <v>31</v>
      </c>
      <c r="E198" s="19">
        <v>2</v>
      </c>
      <c r="F198" s="28" t="s">
        <v>136</v>
      </c>
      <c r="G198" s="28" t="s">
        <v>183</v>
      </c>
      <c r="H198" s="26" t="s">
        <v>184</v>
      </c>
      <c r="I198" s="29">
        <v>1.3</v>
      </c>
      <c r="J198" s="35">
        <v>4160</v>
      </c>
      <c r="K198" s="17">
        <f t="shared" si="3"/>
        <v>5408</v>
      </c>
      <c r="L198" s="14"/>
      <c r="N198" s="22"/>
      <c r="O198" s="22"/>
      <c r="P198" s="22"/>
      <c r="Q198" s="22"/>
      <c r="R198" s="22"/>
      <c r="S198" s="22"/>
    </row>
    <row r="199" spans="1:26" s="20" customFormat="1">
      <c r="A199" s="26">
        <v>62</v>
      </c>
      <c r="B199" s="27" t="s">
        <v>29</v>
      </c>
      <c r="C199" s="28" t="s">
        <v>30</v>
      </c>
      <c r="D199" s="28" t="s">
        <v>31</v>
      </c>
      <c r="E199" s="19">
        <v>2</v>
      </c>
      <c r="F199" s="28" t="s">
        <v>127</v>
      </c>
      <c r="G199" s="28" t="s">
        <v>183</v>
      </c>
      <c r="H199" s="26" t="s">
        <v>184</v>
      </c>
      <c r="I199" s="29">
        <v>0.45</v>
      </c>
      <c r="J199" s="35">
        <v>4160</v>
      </c>
      <c r="K199" s="17">
        <f t="shared" si="3"/>
        <v>1872</v>
      </c>
      <c r="L199" s="14"/>
      <c r="N199" s="22"/>
      <c r="O199" s="22"/>
      <c r="P199" s="22"/>
      <c r="Q199" s="22"/>
      <c r="R199" s="22"/>
      <c r="S199" s="22"/>
    </row>
    <row r="200" spans="1:26" s="20" customFormat="1" ht="26.4">
      <c r="A200" s="26">
        <v>63</v>
      </c>
      <c r="B200" s="27" t="s">
        <v>29</v>
      </c>
      <c r="C200" s="28" t="s">
        <v>30</v>
      </c>
      <c r="D200" s="28" t="s">
        <v>31</v>
      </c>
      <c r="E200" s="19">
        <v>2</v>
      </c>
      <c r="F200" s="28" t="s">
        <v>138</v>
      </c>
      <c r="G200" s="28" t="s">
        <v>183</v>
      </c>
      <c r="H200" s="26" t="s">
        <v>184</v>
      </c>
      <c r="I200" s="29">
        <v>0.3</v>
      </c>
      <c r="J200" s="35">
        <v>4160</v>
      </c>
      <c r="K200" s="17">
        <f t="shared" si="3"/>
        <v>1248</v>
      </c>
      <c r="L200" s="14"/>
      <c r="N200" s="22"/>
      <c r="O200" s="22"/>
      <c r="P200" s="22"/>
      <c r="Q200" s="22"/>
      <c r="R200" s="22"/>
      <c r="S200" s="22"/>
    </row>
    <row r="201" spans="1:26" s="20" customFormat="1" ht="26.4">
      <c r="A201" s="26">
        <v>64</v>
      </c>
      <c r="B201" s="27" t="s">
        <v>29</v>
      </c>
      <c r="C201" s="28" t="s">
        <v>30</v>
      </c>
      <c r="D201" s="28" t="s">
        <v>37</v>
      </c>
      <c r="E201" s="19">
        <v>1</v>
      </c>
      <c r="F201" s="28" t="s">
        <v>64</v>
      </c>
      <c r="G201" s="38" t="s">
        <v>210</v>
      </c>
      <c r="H201" s="26" t="s">
        <v>201</v>
      </c>
      <c r="I201" s="29">
        <v>7</v>
      </c>
      <c r="J201" s="35">
        <v>300</v>
      </c>
      <c r="K201" s="17">
        <f t="shared" si="3"/>
        <v>2100</v>
      </c>
      <c r="L201" s="14"/>
      <c r="N201" s="22"/>
      <c r="O201" s="22"/>
      <c r="P201" s="22"/>
      <c r="Q201" s="22"/>
      <c r="R201" s="22"/>
      <c r="S201" s="22"/>
    </row>
    <row r="202" spans="1:26" s="20" customFormat="1" ht="26.4">
      <c r="A202" s="26">
        <v>65</v>
      </c>
      <c r="B202" s="27" t="s">
        <v>29</v>
      </c>
      <c r="C202" s="28" t="s">
        <v>30</v>
      </c>
      <c r="D202" s="28" t="s">
        <v>31</v>
      </c>
      <c r="E202" s="19">
        <v>1</v>
      </c>
      <c r="F202" s="28" t="s">
        <v>59</v>
      </c>
      <c r="G202" s="28" t="s">
        <v>6</v>
      </c>
      <c r="H202" s="26" t="s">
        <v>2</v>
      </c>
      <c r="I202" s="29">
        <v>39</v>
      </c>
      <c r="J202" s="35">
        <v>1170</v>
      </c>
      <c r="K202" s="17">
        <f t="shared" si="3"/>
        <v>45630</v>
      </c>
      <c r="L202" s="14"/>
      <c r="N202" s="22"/>
      <c r="O202" s="22"/>
      <c r="P202" s="22"/>
      <c r="Q202" s="22"/>
      <c r="R202" s="22"/>
      <c r="S202" s="22"/>
    </row>
    <row r="203" spans="1:26" ht="39.6">
      <c r="A203" s="26">
        <v>66</v>
      </c>
      <c r="B203" s="27" t="s">
        <v>29</v>
      </c>
      <c r="C203" s="28" t="s">
        <v>30</v>
      </c>
      <c r="D203" s="28" t="s">
        <v>33</v>
      </c>
      <c r="E203" s="19">
        <v>1</v>
      </c>
      <c r="F203" s="28" t="s">
        <v>89</v>
      </c>
      <c r="G203" s="28" t="s">
        <v>5</v>
      </c>
      <c r="H203" s="26" t="s">
        <v>2</v>
      </c>
      <c r="I203" s="29">
        <v>9.4</v>
      </c>
      <c r="J203" s="35">
        <v>1170</v>
      </c>
      <c r="K203" s="17">
        <f t="shared" si="3"/>
        <v>10998</v>
      </c>
      <c r="L203" s="14"/>
      <c r="N203" s="22"/>
      <c r="O203" s="22"/>
      <c r="P203" s="22"/>
      <c r="Q203" s="22"/>
      <c r="R203" s="22"/>
      <c r="S203" s="22"/>
    </row>
    <row r="204" spans="1:26" ht="26.4">
      <c r="A204" s="26">
        <v>67</v>
      </c>
      <c r="B204" s="27" t="s">
        <v>35</v>
      </c>
      <c r="C204" s="28" t="s">
        <v>30</v>
      </c>
      <c r="D204" s="28" t="s">
        <v>31</v>
      </c>
      <c r="E204" s="19">
        <v>1</v>
      </c>
      <c r="F204" s="28" t="s">
        <v>89</v>
      </c>
      <c r="G204" s="28" t="s">
        <v>6</v>
      </c>
      <c r="H204" s="26" t="s">
        <v>2</v>
      </c>
      <c r="I204" s="29">
        <v>25</v>
      </c>
      <c r="J204" s="35">
        <v>1170</v>
      </c>
      <c r="K204" s="17">
        <f t="shared" si="3"/>
        <v>29250</v>
      </c>
      <c r="L204" s="14"/>
      <c r="N204" s="22"/>
      <c r="O204" s="22"/>
      <c r="P204" s="22"/>
      <c r="Q204" s="22"/>
      <c r="R204" s="22"/>
      <c r="S204" s="22"/>
    </row>
    <row r="205" spans="1:26" ht="39.6">
      <c r="A205" s="26">
        <v>68</v>
      </c>
      <c r="B205" s="27" t="s">
        <v>29</v>
      </c>
      <c r="C205" s="28" t="s">
        <v>30</v>
      </c>
      <c r="D205" s="28" t="s">
        <v>33</v>
      </c>
      <c r="E205" s="19">
        <v>1</v>
      </c>
      <c r="F205" s="28" t="s">
        <v>46</v>
      </c>
      <c r="G205" s="28" t="s">
        <v>5</v>
      </c>
      <c r="H205" s="26" t="s">
        <v>2</v>
      </c>
      <c r="I205" s="29">
        <v>5.5</v>
      </c>
      <c r="J205" s="35">
        <v>1170</v>
      </c>
      <c r="K205" s="17">
        <f t="shared" si="3"/>
        <v>6435</v>
      </c>
      <c r="L205" s="14"/>
      <c r="N205" s="22"/>
      <c r="O205" s="22"/>
      <c r="P205" s="22"/>
      <c r="Q205" s="22"/>
      <c r="R205" s="22"/>
      <c r="S205" s="22"/>
    </row>
    <row r="206" spans="1:26" ht="26.4">
      <c r="A206" s="26">
        <v>69</v>
      </c>
      <c r="B206" s="27" t="s">
        <v>29</v>
      </c>
      <c r="C206" s="28" t="s">
        <v>30</v>
      </c>
      <c r="D206" s="28" t="s">
        <v>31</v>
      </c>
      <c r="E206" s="19">
        <v>1</v>
      </c>
      <c r="F206" s="28" t="s">
        <v>46</v>
      </c>
      <c r="G206" s="28" t="s">
        <v>6</v>
      </c>
      <c r="H206" s="26" t="s">
        <v>2</v>
      </c>
      <c r="I206" s="29">
        <v>6</v>
      </c>
      <c r="J206" s="35">
        <v>1170</v>
      </c>
      <c r="K206" s="17">
        <f t="shared" si="3"/>
        <v>7020</v>
      </c>
      <c r="L206" s="14"/>
      <c r="N206" s="22"/>
      <c r="O206" s="22"/>
      <c r="P206" s="22"/>
      <c r="Q206" s="22"/>
      <c r="R206" s="22"/>
      <c r="S206" s="22"/>
    </row>
    <row r="207" spans="1:26" ht="39.6">
      <c r="A207" s="26">
        <v>70</v>
      </c>
      <c r="B207" s="27" t="s">
        <v>29</v>
      </c>
      <c r="C207" s="28" t="s">
        <v>30</v>
      </c>
      <c r="D207" s="28" t="s">
        <v>33</v>
      </c>
      <c r="E207" s="19">
        <v>1</v>
      </c>
      <c r="F207" s="28" t="s">
        <v>47</v>
      </c>
      <c r="G207" s="28" t="s">
        <v>5</v>
      </c>
      <c r="H207" s="26" t="s">
        <v>2</v>
      </c>
      <c r="I207" s="29">
        <v>9.1</v>
      </c>
      <c r="J207" s="35">
        <v>1170</v>
      </c>
      <c r="K207" s="17">
        <f t="shared" ref="K207:K230" si="4">J207*I207</f>
        <v>10647</v>
      </c>
      <c r="L207" s="14"/>
      <c r="N207" s="22"/>
      <c r="O207" s="22"/>
      <c r="P207" s="22"/>
      <c r="Q207" s="22"/>
      <c r="R207" s="22"/>
      <c r="S207" s="22"/>
    </row>
    <row r="208" spans="1:26" ht="39.6">
      <c r="A208" s="26">
        <v>71</v>
      </c>
      <c r="B208" s="27" t="s">
        <v>29</v>
      </c>
      <c r="C208" s="28" t="s">
        <v>30</v>
      </c>
      <c r="D208" s="28" t="s">
        <v>33</v>
      </c>
      <c r="E208" s="19">
        <v>1</v>
      </c>
      <c r="F208" s="28" t="s">
        <v>61</v>
      </c>
      <c r="G208" s="28" t="s">
        <v>5</v>
      </c>
      <c r="H208" s="26" t="s">
        <v>2</v>
      </c>
      <c r="I208" s="29">
        <v>4.3</v>
      </c>
      <c r="J208" s="35">
        <v>1170</v>
      </c>
      <c r="K208" s="17">
        <f t="shared" si="4"/>
        <v>5031</v>
      </c>
      <c r="L208" s="14"/>
      <c r="N208" s="22"/>
      <c r="O208" s="22"/>
      <c r="P208" s="22"/>
      <c r="Q208" s="22"/>
      <c r="R208" s="22"/>
      <c r="S208" s="22"/>
    </row>
    <row r="209" spans="1:19" ht="39.6">
      <c r="A209" s="26">
        <v>72</v>
      </c>
      <c r="B209" s="27" t="s">
        <v>29</v>
      </c>
      <c r="C209" s="28" t="s">
        <v>30</v>
      </c>
      <c r="D209" s="28" t="s">
        <v>33</v>
      </c>
      <c r="E209" s="19">
        <v>1</v>
      </c>
      <c r="F209" s="28" t="s">
        <v>73</v>
      </c>
      <c r="G209" s="28" t="s">
        <v>5</v>
      </c>
      <c r="H209" s="26" t="s">
        <v>2</v>
      </c>
      <c r="I209" s="29">
        <v>10</v>
      </c>
      <c r="J209" s="35">
        <v>1170</v>
      </c>
      <c r="K209" s="17">
        <f t="shared" si="4"/>
        <v>11700</v>
      </c>
      <c r="L209" s="14"/>
      <c r="N209" s="22"/>
      <c r="O209" s="22"/>
      <c r="P209" s="22"/>
      <c r="Q209" s="22"/>
      <c r="R209" s="22"/>
      <c r="S209" s="22"/>
    </row>
    <row r="210" spans="1:19" ht="26.4">
      <c r="A210" s="26">
        <v>73</v>
      </c>
      <c r="B210" s="27" t="s">
        <v>29</v>
      </c>
      <c r="C210" s="28" t="s">
        <v>30</v>
      </c>
      <c r="D210" s="28" t="s">
        <v>31</v>
      </c>
      <c r="E210" s="19">
        <v>1</v>
      </c>
      <c r="F210" s="28" t="s">
        <v>73</v>
      </c>
      <c r="G210" s="28" t="s">
        <v>6</v>
      </c>
      <c r="H210" s="26" t="s">
        <v>2</v>
      </c>
      <c r="I210" s="29">
        <v>18.5</v>
      </c>
      <c r="J210" s="35">
        <v>1170</v>
      </c>
      <c r="K210" s="17">
        <f t="shared" si="4"/>
        <v>21645</v>
      </c>
      <c r="L210" s="14"/>
      <c r="N210" s="22"/>
      <c r="O210" s="22"/>
      <c r="P210" s="22"/>
      <c r="Q210" s="22"/>
      <c r="R210" s="22"/>
      <c r="S210" s="22"/>
    </row>
    <row r="211" spans="1:19" ht="39.6">
      <c r="A211" s="26">
        <v>74</v>
      </c>
      <c r="B211" s="27" t="s">
        <v>29</v>
      </c>
      <c r="C211" s="28" t="s">
        <v>30</v>
      </c>
      <c r="D211" s="28" t="s">
        <v>33</v>
      </c>
      <c r="E211" s="19">
        <v>1</v>
      </c>
      <c r="F211" s="28" t="s">
        <v>74</v>
      </c>
      <c r="G211" s="28" t="s">
        <v>5</v>
      </c>
      <c r="H211" s="26" t="s">
        <v>2</v>
      </c>
      <c r="I211" s="29">
        <v>161</v>
      </c>
      <c r="J211" s="35">
        <v>1170</v>
      </c>
      <c r="K211" s="17">
        <f t="shared" si="4"/>
        <v>188370</v>
      </c>
      <c r="L211" s="14"/>
      <c r="N211" s="22"/>
      <c r="O211" s="22"/>
      <c r="P211" s="22"/>
      <c r="Q211" s="22"/>
      <c r="R211" s="22"/>
      <c r="S211" s="22"/>
    </row>
    <row r="212" spans="1:19" ht="26.4">
      <c r="A212" s="26">
        <v>75</v>
      </c>
      <c r="B212" s="27" t="s">
        <v>29</v>
      </c>
      <c r="C212" s="28" t="s">
        <v>30</v>
      </c>
      <c r="D212" s="28" t="s">
        <v>31</v>
      </c>
      <c r="E212" s="19">
        <v>1</v>
      </c>
      <c r="F212" s="28" t="s">
        <v>74</v>
      </c>
      <c r="G212" s="28" t="s">
        <v>6</v>
      </c>
      <c r="H212" s="26" t="s">
        <v>2</v>
      </c>
      <c r="I212" s="29">
        <v>30</v>
      </c>
      <c r="J212" s="35">
        <v>1170</v>
      </c>
      <c r="K212" s="17">
        <f t="shared" si="4"/>
        <v>35100</v>
      </c>
      <c r="L212" s="14"/>
      <c r="N212" s="22"/>
      <c r="O212" s="22"/>
      <c r="P212" s="22"/>
      <c r="Q212" s="22"/>
      <c r="R212" s="22"/>
      <c r="S212" s="22"/>
    </row>
    <row r="213" spans="1:19" ht="39.6">
      <c r="A213" s="26">
        <v>76</v>
      </c>
      <c r="B213" s="27" t="s">
        <v>29</v>
      </c>
      <c r="C213" s="28" t="s">
        <v>30</v>
      </c>
      <c r="D213" s="28" t="s">
        <v>33</v>
      </c>
      <c r="E213" s="19">
        <v>1</v>
      </c>
      <c r="F213" s="28" t="s">
        <v>67</v>
      </c>
      <c r="G213" s="28" t="s">
        <v>5</v>
      </c>
      <c r="H213" s="26" t="s">
        <v>2</v>
      </c>
      <c r="I213" s="29">
        <v>106.5</v>
      </c>
      <c r="J213" s="35">
        <v>1170</v>
      </c>
      <c r="K213" s="17">
        <f t="shared" si="4"/>
        <v>124605</v>
      </c>
      <c r="L213" s="14"/>
      <c r="N213" s="22"/>
      <c r="O213" s="22"/>
      <c r="P213" s="22"/>
      <c r="Q213" s="22"/>
      <c r="R213" s="22"/>
      <c r="S213" s="22"/>
    </row>
    <row r="214" spans="1:19" ht="39.6">
      <c r="A214" s="26">
        <v>77</v>
      </c>
      <c r="B214" s="27" t="s">
        <v>29</v>
      </c>
      <c r="C214" s="28" t="s">
        <v>30</v>
      </c>
      <c r="D214" s="28" t="s">
        <v>33</v>
      </c>
      <c r="E214" s="19">
        <v>2</v>
      </c>
      <c r="F214" s="28" t="s">
        <v>125</v>
      </c>
      <c r="G214" s="28" t="s">
        <v>5</v>
      </c>
      <c r="H214" s="26" t="s">
        <v>2</v>
      </c>
      <c r="I214" s="29">
        <v>30.6</v>
      </c>
      <c r="J214" s="35">
        <v>1170</v>
      </c>
      <c r="K214" s="17">
        <f t="shared" si="4"/>
        <v>35802</v>
      </c>
      <c r="L214" s="14"/>
      <c r="N214" s="22"/>
      <c r="O214" s="22"/>
      <c r="P214" s="22"/>
      <c r="Q214" s="22"/>
      <c r="R214" s="22"/>
      <c r="S214" s="22"/>
    </row>
    <row r="215" spans="1:19" ht="26.4">
      <c r="A215" s="26">
        <v>78</v>
      </c>
      <c r="B215" s="27" t="s">
        <v>29</v>
      </c>
      <c r="C215" s="28" t="s">
        <v>30</v>
      </c>
      <c r="D215" s="28" t="s">
        <v>31</v>
      </c>
      <c r="E215" s="19">
        <v>2</v>
      </c>
      <c r="F215" s="28" t="s">
        <v>125</v>
      </c>
      <c r="G215" s="28" t="s">
        <v>6</v>
      </c>
      <c r="H215" s="26" t="s">
        <v>2</v>
      </c>
      <c r="I215" s="29">
        <v>37.200000000000003</v>
      </c>
      <c r="J215" s="35">
        <v>1170</v>
      </c>
      <c r="K215" s="17">
        <f t="shared" si="4"/>
        <v>43524</v>
      </c>
      <c r="L215" s="14"/>
    </row>
    <row r="216" spans="1:19" ht="39.6">
      <c r="A216" s="26">
        <v>79</v>
      </c>
      <c r="B216" s="27" t="s">
        <v>29</v>
      </c>
      <c r="C216" s="28" t="s">
        <v>30</v>
      </c>
      <c r="D216" s="28" t="s">
        <v>33</v>
      </c>
      <c r="E216" s="19">
        <v>2</v>
      </c>
      <c r="F216" s="28" t="s">
        <v>132</v>
      </c>
      <c r="G216" s="28" t="s">
        <v>5</v>
      </c>
      <c r="H216" s="26" t="s">
        <v>2</v>
      </c>
      <c r="I216" s="29">
        <v>30.6</v>
      </c>
      <c r="J216" s="35">
        <v>1170</v>
      </c>
      <c r="K216" s="17">
        <f t="shared" si="4"/>
        <v>35802</v>
      </c>
      <c r="L216" s="14"/>
    </row>
    <row r="217" spans="1:19" ht="26.4">
      <c r="A217" s="26">
        <v>80</v>
      </c>
      <c r="B217" s="27" t="s">
        <v>29</v>
      </c>
      <c r="C217" s="28" t="s">
        <v>30</v>
      </c>
      <c r="D217" s="28" t="s">
        <v>31</v>
      </c>
      <c r="E217" s="19">
        <v>2</v>
      </c>
      <c r="F217" s="28" t="s">
        <v>132</v>
      </c>
      <c r="G217" s="28" t="s">
        <v>6</v>
      </c>
      <c r="H217" s="26" t="s">
        <v>2</v>
      </c>
      <c r="I217" s="29">
        <v>37.200000000000003</v>
      </c>
      <c r="J217" s="35">
        <v>1170</v>
      </c>
      <c r="K217" s="17">
        <f t="shared" si="4"/>
        <v>43524</v>
      </c>
      <c r="L217" s="14"/>
    </row>
    <row r="218" spans="1:19" ht="39.6">
      <c r="A218" s="26">
        <v>81</v>
      </c>
      <c r="B218" s="27" t="s">
        <v>29</v>
      </c>
      <c r="C218" s="28" t="s">
        <v>30</v>
      </c>
      <c r="D218" s="28" t="s">
        <v>33</v>
      </c>
      <c r="E218" s="19">
        <v>2</v>
      </c>
      <c r="F218" s="28" t="s">
        <v>111</v>
      </c>
      <c r="G218" s="28" t="s">
        <v>5</v>
      </c>
      <c r="H218" s="26" t="s">
        <v>2</v>
      </c>
      <c r="I218" s="29">
        <v>9</v>
      </c>
      <c r="J218" s="35">
        <v>1170</v>
      </c>
      <c r="K218" s="17">
        <f t="shared" si="4"/>
        <v>10530</v>
      </c>
      <c r="L218" s="14"/>
    </row>
    <row r="219" spans="1:19" ht="39.6">
      <c r="A219" s="26">
        <v>82</v>
      </c>
      <c r="B219" s="27" t="s">
        <v>29</v>
      </c>
      <c r="C219" s="28" t="s">
        <v>30</v>
      </c>
      <c r="D219" s="28" t="s">
        <v>33</v>
      </c>
      <c r="E219" s="19">
        <v>2</v>
      </c>
      <c r="F219" s="28" t="s">
        <v>110</v>
      </c>
      <c r="G219" s="28" t="s">
        <v>5</v>
      </c>
      <c r="H219" s="26" t="s">
        <v>2</v>
      </c>
      <c r="I219" s="29">
        <v>5</v>
      </c>
      <c r="J219" s="35">
        <v>1170</v>
      </c>
      <c r="K219" s="17">
        <f t="shared" si="4"/>
        <v>5850</v>
      </c>
      <c r="L219" s="14"/>
    </row>
    <row r="220" spans="1:19" ht="26.4">
      <c r="A220" s="26">
        <v>83</v>
      </c>
      <c r="B220" s="27" t="s">
        <v>29</v>
      </c>
      <c r="C220" s="28" t="s">
        <v>30</v>
      </c>
      <c r="D220" s="28" t="s">
        <v>31</v>
      </c>
      <c r="E220" s="19">
        <v>2</v>
      </c>
      <c r="F220" s="28" t="s">
        <v>110</v>
      </c>
      <c r="G220" s="28" t="s">
        <v>6</v>
      </c>
      <c r="H220" s="26" t="s">
        <v>2</v>
      </c>
      <c r="I220" s="29">
        <v>4.8</v>
      </c>
      <c r="J220" s="35">
        <v>1170</v>
      </c>
      <c r="K220" s="17">
        <f t="shared" si="4"/>
        <v>5616</v>
      </c>
      <c r="L220" s="14"/>
    </row>
    <row r="221" spans="1:19" ht="15.6">
      <c r="A221" s="26">
        <v>84</v>
      </c>
      <c r="B221" s="27" t="s">
        <v>29</v>
      </c>
      <c r="C221" s="28" t="s">
        <v>30</v>
      </c>
      <c r="D221" s="28" t="s">
        <v>31</v>
      </c>
      <c r="E221" s="19">
        <v>1</v>
      </c>
      <c r="F221" s="28" t="s">
        <v>78</v>
      </c>
      <c r="G221" s="28" t="s">
        <v>199</v>
      </c>
      <c r="H221" s="26" t="s">
        <v>2</v>
      </c>
      <c r="I221" s="29">
        <v>2.73</v>
      </c>
      <c r="J221" s="36">
        <v>800</v>
      </c>
      <c r="K221" s="17">
        <f t="shared" si="4"/>
        <v>2184</v>
      </c>
      <c r="L221" s="14"/>
    </row>
    <row r="222" spans="1:19" ht="26.4">
      <c r="A222" s="26">
        <v>85</v>
      </c>
      <c r="B222" s="27" t="s">
        <v>29</v>
      </c>
      <c r="C222" s="28" t="s">
        <v>30</v>
      </c>
      <c r="D222" s="28" t="s">
        <v>31</v>
      </c>
      <c r="E222" s="19">
        <v>1</v>
      </c>
      <c r="F222" s="28" t="s">
        <v>76</v>
      </c>
      <c r="G222" s="28" t="s">
        <v>199</v>
      </c>
      <c r="H222" s="26" t="s">
        <v>2</v>
      </c>
      <c r="I222" s="29">
        <v>11</v>
      </c>
      <c r="J222" s="36">
        <v>800</v>
      </c>
      <c r="K222" s="17">
        <f t="shared" si="4"/>
        <v>8800</v>
      </c>
      <c r="L222" s="14"/>
    </row>
    <row r="223" spans="1:19" ht="15.6">
      <c r="A223" s="26">
        <v>86</v>
      </c>
      <c r="B223" s="27" t="s">
        <v>35</v>
      </c>
      <c r="C223" s="28" t="s">
        <v>30</v>
      </c>
      <c r="D223" s="28" t="s">
        <v>31</v>
      </c>
      <c r="E223" s="19">
        <v>1</v>
      </c>
      <c r="F223" s="28" t="s">
        <v>51</v>
      </c>
      <c r="G223" s="28" t="s">
        <v>199</v>
      </c>
      <c r="H223" s="26" t="s">
        <v>2</v>
      </c>
      <c r="I223" s="29">
        <v>5.46</v>
      </c>
      <c r="J223" s="36">
        <v>800</v>
      </c>
      <c r="K223" s="17">
        <f t="shared" si="4"/>
        <v>4368</v>
      </c>
      <c r="L223" s="14"/>
    </row>
    <row r="224" spans="1:19" s="20" customFormat="1" ht="15.6">
      <c r="A224" s="26">
        <v>87</v>
      </c>
      <c r="B224" s="27" t="s">
        <v>29</v>
      </c>
      <c r="C224" s="28" t="s">
        <v>30</v>
      </c>
      <c r="D224" s="28" t="s">
        <v>31</v>
      </c>
      <c r="E224" s="19">
        <v>1</v>
      </c>
      <c r="F224" s="28" t="s">
        <v>74</v>
      </c>
      <c r="G224" s="28" t="s">
        <v>199</v>
      </c>
      <c r="H224" s="26" t="s">
        <v>2</v>
      </c>
      <c r="I224" s="29">
        <v>2.73</v>
      </c>
      <c r="J224" s="36">
        <v>800</v>
      </c>
      <c r="K224" s="17">
        <f t="shared" si="4"/>
        <v>2184</v>
      </c>
      <c r="L224" s="14"/>
    </row>
    <row r="225" spans="1:12" s="20" customFormat="1" ht="26.4">
      <c r="A225" s="26">
        <v>88</v>
      </c>
      <c r="B225" s="27" t="s">
        <v>29</v>
      </c>
      <c r="C225" s="28" t="s">
        <v>30</v>
      </c>
      <c r="D225" s="28" t="s">
        <v>31</v>
      </c>
      <c r="E225" s="19">
        <v>1</v>
      </c>
      <c r="F225" s="28" t="s">
        <v>52</v>
      </c>
      <c r="G225" s="28" t="s">
        <v>199</v>
      </c>
      <c r="H225" s="26" t="s">
        <v>2</v>
      </c>
      <c r="I225" s="29">
        <v>11</v>
      </c>
      <c r="J225" s="36">
        <v>800</v>
      </c>
      <c r="K225" s="17">
        <f t="shared" si="4"/>
        <v>8800</v>
      </c>
      <c r="L225" s="14"/>
    </row>
    <row r="226" spans="1:12" s="20" customFormat="1" ht="26.4">
      <c r="A226" s="26">
        <v>89</v>
      </c>
      <c r="B226" s="27" t="s">
        <v>29</v>
      </c>
      <c r="C226" s="28" t="s">
        <v>30</v>
      </c>
      <c r="D226" s="28" t="s">
        <v>31</v>
      </c>
      <c r="E226" s="19">
        <v>2</v>
      </c>
      <c r="F226" s="28" t="s">
        <v>119</v>
      </c>
      <c r="G226" s="28" t="s">
        <v>199</v>
      </c>
      <c r="H226" s="26" t="s">
        <v>2</v>
      </c>
      <c r="I226" s="29">
        <v>2.73</v>
      </c>
      <c r="J226" s="36">
        <v>800</v>
      </c>
      <c r="K226" s="17">
        <f t="shared" si="4"/>
        <v>2184</v>
      </c>
      <c r="L226" s="14"/>
    </row>
    <row r="227" spans="1:12" s="20" customFormat="1" ht="15.6">
      <c r="A227" s="26">
        <v>90</v>
      </c>
      <c r="B227" s="27" t="s">
        <v>29</v>
      </c>
      <c r="C227" s="28" t="s">
        <v>30</v>
      </c>
      <c r="D227" s="28" t="s">
        <v>31</v>
      </c>
      <c r="E227" s="19">
        <v>2</v>
      </c>
      <c r="F227" s="28" t="s">
        <v>113</v>
      </c>
      <c r="G227" s="28" t="s">
        <v>199</v>
      </c>
      <c r="H227" s="26" t="s">
        <v>2</v>
      </c>
      <c r="I227" s="29">
        <v>2.73</v>
      </c>
      <c r="J227" s="36">
        <v>800</v>
      </c>
      <c r="K227" s="17">
        <f t="shared" si="4"/>
        <v>2184</v>
      </c>
      <c r="L227" s="14"/>
    </row>
    <row r="228" spans="1:12" s="20" customFormat="1" ht="52.8">
      <c r="A228" s="26">
        <v>91</v>
      </c>
      <c r="B228" s="27" t="s">
        <v>38</v>
      </c>
      <c r="C228" s="28" t="s">
        <v>30</v>
      </c>
      <c r="D228" s="28" t="s">
        <v>31</v>
      </c>
      <c r="E228" s="19">
        <v>2</v>
      </c>
      <c r="F228" s="28" t="s">
        <v>195</v>
      </c>
      <c r="G228" s="28" t="s">
        <v>199</v>
      </c>
      <c r="H228" s="26" t="s">
        <v>2</v>
      </c>
      <c r="I228" s="29">
        <v>5.46</v>
      </c>
      <c r="J228" s="36">
        <v>800</v>
      </c>
      <c r="K228" s="17">
        <f t="shared" si="4"/>
        <v>4368</v>
      </c>
      <c r="L228" s="14"/>
    </row>
    <row r="229" spans="1:12" s="20" customFormat="1" ht="30.6" customHeight="1">
      <c r="A229" s="26">
        <v>92</v>
      </c>
      <c r="B229" s="27" t="s">
        <v>34</v>
      </c>
      <c r="C229" s="28" t="s">
        <v>30</v>
      </c>
      <c r="D229" s="28"/>
      <c r="E229" s="39" t="s">
        <v>211</v>
      </c>
      <c r="F229" s="34" t="s">
        <v>212</v>
      </c>
      <c r="G229" s="38" t="s">
        <v>213</v>
      </c>
      <c r="H229" s="26" t="s">
        <v>214</v>
      </c>
      <c r="I229" s="29">
        <v>201</v>
      </c>
      <c r="J229" s="35">
        <v>450</v>
      </c>
      <c r="K229" s="17">
        <f t="shared" si="4"/>
        <v>90450</v>
      </c>
      <c r="L229" s="14"/>
    </row>
    <row r="230" spans="1:12" s="20" customFormat="1">
      <c r="A230" s="26">
        <v>93</v>
      </c>
      <c r="B230" s="27" t="s">
        <v>35</v>
      </c>
      <c r="C230" s="28" t="s">
        <v>30</v>
      </c>
      <c r="D230" s="28" t="s">
        <v>31</v>
      </c>
      <c r="E230" s="39" t="s">
        <v>211</v>
      </c>
      <c r="F230" s="34" t="s">
        <v>212</v>
      </c>
      <c r="G230" s="28" t="s">
        <v>4</v>
      </c>
      <c r="H230" s="26" t="s">
        <v>201</v>
      </c>
      <c r="I230" s="29">
        <v>386</v>
      </c>
      <c r="J230" s="35">
        <v>50</v>
      </c>
      <c r="K230" s="17">
        <f t="shared" si="4"/>
        <v>19300</v>
      </c>
      <c r="L230" s="14"/>
    </row>
    <row r="231" spans="1:12" s="20" customFormat="1" ht="45" customHeight="1">
      <c r="A231" s="62" t="s">
        <v>32</v>
      </c>
      <c r="B231" s="90"/>
      <c r="C231" s="91"/>
      <c r="D231" s="91"/>
      <c r="E231" s="91"/>
      <c r="F231" s="91"/>
      <c r="G231" s="91"/>
      <c r="H231" s="91"/>
      <c r="I231" s="91"/>
      <c r="J231" s="92"/>
      <c r="K231" s="18">
        <f>SUM(K138:K230)</f>
        <v>1612288.5</v>
      </c>
      <c r="L231" s="30"/>
    </row>
    <row r="232" spans="1:12" s="20" customFormat="1">
      <c r="A232" s="23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</row>
    <row r="233" spans="1:12" s="20" customForma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</row>
    <row r="234" spans="1:12" s="20" customForma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</row>
    <row r="235" spans="1:12" s="20" customFormat="1" ht="15" thickBot="1">
      <c r="A235" s="22"/>
      <c r="B235" s="24" t="s">
        <v>16</v>
      </c>
      <c r="C235" s="84" t="s">
        <v>207</v>
      </c>
      <c r="D235" s="84"/>
      <c r="E235" s="84"/>
      <c r="F235" s="84"/>
      <c r="G235" s="23"/>
      <c r="H235" s="81"/>
      <c r="I235" s="81"/>
      <c r="J235" s="23"/>
      <c r="K235" s="22"/>
      <c r="L235" s="22"/>
    </row>
    <row r="236" spans="1:12" s="20" customFormat="1">
      <c r="A236" s="23"/>
      <c r="B236" s="23"/>
      <c r="C236" s="86" t="s">
        <v>39</v>
      </c>
      <c r="D236" s="86"/>
      <c r="E236" s="86"/>
      <c r="F236" s="86"/>
      <c r="G236" s="23"/>
      <c r="H236" s="87">
        <v>45991</v>
      </c>
      <c r="I236" s="86"/>
      <c r="J236" s="23"/>
      <c r="K236" s="22"/>
      <c r="L236" s="22"/>
    </row>
    <row r="237" spans="1:12" s="20" customFormat="1" ht="15" thickBot="1">
      <c r="A237" s="23"/>
      <c r="B237" s="25" t="s">
        <v>41</v>
      </c>
      <c r="C237" s="84" t="s">
        <v>215</v>
      </c>
      <c r="D237" s="84"/>
      <c r="E237" s="84"/>
      <c r="F237" s="84"/>
      <c r="G237" s="23"/>
      <c r="H237" s="81"/>
      <c r="I237" s="81"/>
      <c r="J237" s="23"/>
      <c r="K237" s="22"/>
      <c r="L237" s="22"/>
    </row>
    <row r="238" spans="1:12" s="20" customFormat="1">
      <c r="A238" s="23"/>
      <c r="B238" s="23"/>
      <c r="C238" s="86" t="s">
        <v>39</v>
      </c>
      <c r="D238" s="86"/>
      <c r="E238" s="86"/>
      <c r="F238" s="86"/>
      <c r="G238" s="23"/>
      <c r="H238" s="87">
        <v>45991</v>
      </c>
      <c r="I238" s="86"/>
      <c r="J238" s="23"/>
      <c r="K238" s="22"/>
      <c r="L238" s="22"/>
    </row>
    <row r="239" spans="1:12" s="20" customFormat="1">
      <c r="A239" s="23"/>
      <c r="B239" s="23"/>
      <c r="C239" s="23"/>
      <c r="D239" s="23"/>
      <c r="E239" s="23"/>
      <c r="F239" s="23"/>
      <c r="G239" s="23"/>
      <c r="H239" s="88"/>
      <c r="I239" s="88"/>
      <c r="J239" s="23"/>
    </row>
    <row r="240" spans="1:12" s="20" customFormat="1" ht="15" thickBot="1">
      <c r="A240" s="23"/>
      <c r="B240" s="25" t="s">
        <v>208</v>
      </c>
      <c r="C240" s="84" t="s">
        <v>209</v>
      </c>
      <c r="D240" s="84"/>
      <c r="E240" s="84"/>
      <c r="F240" s="84"/>
      <c r="G240" s="23"/>
      <c r="H240" s="81"/>
      <c r="I240" s="81"/>
      <c r="J240" s="23"/>
    </row>
    <row r="241" spans="1:10" s="20" customFormat="1">
      <c r="A241" s="23"/>
      <c r="B241" s="23"/>
      <c r="C241" s="86" t="s">
        <v>39</v>
      </c>
      <c r="D241" s="86"/>
      <c r="E241" s="86"/>
      <c r="F241" s="86"/>
      <c r="G241" s="23"/>
      <c r="H241" s="87">
        <v>45991</v>
      </c>
      <c r="I241" s="86"/>
      <c r="J241" s="23"/>
    </row>
    <row r="242" spans="1:10" s="20" customForma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</row>
    <row r="243" spans="1:10" s="20" customFormat="1" ht="15" thickBot="1">
      <c r="A243" s="23"/>
      <c r="B243" s="25" t="s">
        <v>42</v>
      </c>
      <c r="C243" s="81"/>
      <c r="D243" s="81"/>
      <c r="E243" s="81"/>
      <c r="F243" s="81"/>
      <c r="G243" s="23"/>
      <c r="H243" s="81"/>
      <c r="I243" s="81"/>
      <c r="J243" s="23"/>
    </row>
    <row r="244" spans="1:10" s="20" customFormat="1">
      <c r="A244" s="23"/>
      <c r="B244" s="23"/>
      <c r="C244" s="86" t="s">
        <v>39</v>
      </c>
      <c r="D244" s="86"/>
      <c r="E244" s="86"/>
      <c r="F244" s="86"/>
      <c r="G244" s="23"/>
      <c r="H244" s="86" t="s">
        <v>40</v>
      </c>
      <c r="I244" s="86"/>
      <c r="J244" s="23"/>
    </row>
    <row r="245" spans="1:10" s="20" customForma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</row>
    <row r="246" spans="1:10" s="20" customFormat="1" ht="15" thickBot="1">
      <c r="A246" s="23"/>
      <c r="B246" s="24" t="s">
        <v>43</v>
      </c>
      <c r="C246" s="81"/>
      <c r="D246" s="81"/>
      <c r="E246" s="81"/>
      <c r="F246" s="81"/>
      <c r="G246" s="23"/>
      <c r="H246" s="81"/>
      <c r="I246" s="81"/>
      <c r="J246" s="23"/>
    </row>
    <row r="247" spans="1:10" s="20" customFormat="1">
      <c r="A247" s="23"/>
      <c r="B247" s="23"/>
      <c r="C247" s="86" t="s">
        <v>39</v>
      </c>
      <c r="D247" s="86"/>
      <c r="E247" s="86"/>
      <c r="F247" s="86"/>
      <c r="G247" s="23"/>
      <c r="H247" s="86" t="s">
        <v>40</v>
      </c>
      <c r="I247" s="86"/>
      <c r="J247" s="23"/>
    </row>
    <row r="248" spans="1:10" s="20" customFormat="1">
      <c r="A248" s="23"/>
      <c r="B248" s="21"/>
      <c r="C248" s="21"/>
      <c r="D248" s="21"/>
      <c r="E248" s="21"/>
      <c r="F248" s="21"/>
      <c r="G248" s="21"/>
      <c r="H248" s="21"/>
      <c r="I248" s="21"/>
      <c r="J248" s="21"/>
    </row>
    <row r="249" spans="1:10" s="20" customFormat="1">
      <c r="A249" s="21"/>
      <c r="B249" s="22"/>
      <c r="C249" s="22"/>
      <c r="D249" s="22"/>
      <c r="E249" s="22"/>
      <c r="F249" s="22"/>
      <c r="G249" s="22"/>
      <c r="H249" s="22"/>
      <c r="I249" s="22"/>
      <c r="J249" s="22"/>
    </row>
    <row r="250" spans="1:10">
      <c r="A250" s="22"/>
    </row>
    <row r="257" spans="1:13" s="20" customFormat="1">
      <c r="A257"/>
    </row>
    <row r="258" spans="1:13" s="20" customFormat="1"/>
    <row r="259" spans="1:13" s="20" customFormat="1">
      <c r="B259" s="40"/>
      <c r="C259" s="41" t="s">
        <v>11</v>
      </c>
      <c r="D259" s="41">
        <v>4</v>
      </c>
      <c r="E259" s="40"/>
      <c r="F259" s="40"/>
      <c r="G259" s="42" t="s">
        <v>12</v>
      </c>
      <c r="H259" s="41" t="s">
        <v>13</v>
      </c>
      <c r="I259" s="43">
        <v>45992</v>
      </c>
      <c r="J259" s="40"/>
      <c r="K259" s="40"/>
      <c r="L259" s="40"/>
      <c r="M259" s="40"/>
    </row>
    <row r="260" spans="1:13" s="20" customFormat="1">
      <c r="A260" s="40"/>
      <c r="B260" s="40"/>
      <c r="C260" s="44"/>
      <c r="D260" s="40"/>
      <c r="E260" s="40"/>
      <c r="F260" s="40"/>
      <c r="G260" s="40"/>
      <c r="H260" s="41" t="s">
        <v>14</v>
      </c>
      <c r="I260" s="43">
        <v>46006</v>
      </c>
      <c r="J260" s="40"/>
      <c r="K260" s="40"/>
      <c r="L260" s="40"/>
      <c r="M260" s="40"/>
    </row>
    <row r="261" spans="1:13" s="20" customForma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</row>
    <row r="262" spans="1:13" s="20" customFormat="1" ht="27.6">
      <c r="A262" s="40"/>
      <c r="B262" s="40"/>
      <c r="C262" s="41" t="s">
        <v>15</v>
      </c>
      <c r="D262" s="85" t="s">
        <v>145</v>
      </c>
      <c r="E262" s="85"/>
      <c r="F262" s="85"/>
      <c r="G262" s="40"/>
      <c r="H262" s="40"/>
      <c r="I262" s="40"/>
      <c r="J262" s="40"/>
      <c r="K262" s="40"/>
      <c r="L262" s="40"/>
      <c r="M262" s="40"/>
    </row>
    <row r="263" spans="1:13" s="20" customForma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</row>
    <row r="264" spans="1:13" s="20" customFormat="1">
      <c r="A264" s="40"/>
      <c r="B264" s="40"/>
      <c r="C264" s="41" t="s">
        <v>16</v>
      </c>
      <c r="D264" s="85" t="s">
        <v>146</v>
      </c>
      <c r="E264" s="85"/>
      <c r="F264" s="85"/>
      <c r="G264" s="40"/>
      <c r="H264" s="40"/>
      <c r="I264" s="40"/>
      <c r="J264" s="40"/>
      <c r="K264" s="40"/>
      <c r="L264" s="40"/>
      <c r="M264" s="40"/>
    </row>
    <row r="265" spans="1:13" s="20" customForma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</row>
    <row r="266" spans="1:13" s="20" customFormat="1">
      <c r="A266" s="40"/>
      <c r="B266" s="40"/>
      <c r="C266" s="41" t="s">
        <v>17</v>
      </c>
      <c r="D266" s="85" t="s">
        <v>18</v>
      </c>
      <c r="E266" s="85"/>
      <c r="F266" s="85"/>
      <c r="G266" s="40"/>
      <c r="H266" s="40"/>
      <c r="I266" s="40"/>
      <c r="J266" s="40"/>
      <c r="K266" s="40"/>
      <c r="L266" s="40"/>
      <c r="M266" s="40"/>
    </row>
    <row r="267" spans="1:13" s="20" customFormat="1">
      <c r="A267" s="40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</row>
    <row r="268" spans="1:13" s="20" customForma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</row>
    <row r="269" spans="1:13" s="20" customFormat="1" ht="26.4">
      <c r="A269" s="9" t="s">
        <v>19</v>
      </c>
      <c r="B269" s="9" t="s">
        <v>20</v>
      </c>
      <c r="C269" s="9" t="s">
        <v>21</v>
      </c>
      <c r="D269" s="9" t="s">
        <v>21</v>
      </c>
      <c r="E269" s="9" t="s">
        <v>22</v>
      </c>
      <c r="F269" s="9" t="s">
        <v>23</v>
      </c>
      <c r="G269" s="9" t="s">
        <v>0</v>
      </c>
      <c r="H269" s="9" t="s">
        <v>24</v>
      </c>
      <c r="I269" s="9" t="s">
        <v>25</v>
      </c>
      <c r="J269" s="9" t="s">
        <v>26</v>
      </c>
      <c r="K269" s="9" t="s">
        <v>27</v>
      </c>
      <c r="L269" s="9" t="s">
        <v>28</v>
      </c>
      <c r="M269" s="45"/>
    </row>
    <row r="270" spans="1:13" s="20" customFormat="1" ht="26.4">
      <c r="A270" s="26">
        <v>1</v>
      </c>
      <c r="B270" s="27" t="s">
        <v>29</v>
      </c>
      <c r="C270" s="28" t="s">
        <v>30</v>
      </c>
      <c r="D270" s="28" t="s">
        <v>31</v>
      </c>
      <c r="E270" s="19">
        <v>1</v>
      </c>
      <c r="F270" s="28" t="s">
        <v>51</v>
      </c>
      <c r="G270" s="28" t="s">
        <v>198</v>
      </c>
      <c r="H270" s="26" t="s">
        <v>2</v>
      </c>
      <c r="I270" s="19">
        <v>19.5</v>
      </c>
      <c r="J270" s="35">
        <v>195</v>
      </c>
      <c r="K270" s="17">
        <f>I270*J270</f>
        <v>3802.5</v>
      </c>
      <c r="L270" s="14"/>
      <c r="M270" s="40"/>
    </row>
    <row r="271" spans="1:13" s="20" customFormat="1" ht="26.4">
      <c r="A271" s="26">
        <v>2</v>
      </c>
      <c r="B271" s="27" t="s">
        <v>29</v>
      </c>
      <c r="C271" s="28" t="s">
        <v>30</v>
      </c>
      <c r="D271" s="28" t="s">
        <v>31</v>
      </c>
      <c r="E271" s="19">
        <v>2</v>
      </c>
      <c r="F271" s="28" t="s">
        <v>135</v>
      </c>
      <c r="G271" s="28" t="s">
        <v>198</v>
      </c>
      <c r="H271" s="26" t="s">
        <v>2</v>
      </c>
      <c r="I271" s="29">
        <v>3.5</v>
      </c>
      <c r="J271" s="35">
        <v>195</v>
      </c>
      <c r="K271" s="17">
        <f t="shared" ref="K271:K334" si="5">I271*J271</f>
        <v>682.5</v>
      </c>
      <c r="L271" s="14"/>
      <c r="M271" s="40"/>
    </row>
    <row r="272" spans="1:13" s="20" customFormat="1" ht="26.4">
      <c r="A272" s="26">
        <v>3</v>
      </c>
      <c r="B272" s="27" t="s">
        <v>29</v>
      </c>
      <c r="C272" s="28" t="s">
        <v>30</v>
      </c>
      <c r="D272" s="28" t="s">
        <v>31</v>
      </c>
      <c r="E272" s="19">
        <v>2</v>
      </c>
      <c r="F272" s="28" t="s">
        <v>139</v>
      </c>
      <c r="G272" s="28" t="s">
        <v>198</v>
      </c>
      <c r="H272" s="26" t="s">
        <v>2</v>
      </c>
      <c r="I272" s="29">
        <v>35</v>
      </c>
      <c r="J272" s="35">
        <v>195</v>
      </c>
      <c r="K272" s="17">
        <f t="shared" si="5"/>
        <v>6825</v>
      </c>
      <c r="L272" s="14"/>
      <c r="M272" s="40"/>
    </row>
    <row r="273" spans="1:13" s="20" customFormat="1" ht="26.4">
      <c r="A273" s="26">
        <v>4</v>
      </c>
      <c r="B273" s="27" t="s">
        <v>29</v>
      </c>
      <c r="C273" s="28" t="s">
        <v>30</v>
      </c>
      <c r="D273" s="28" t="s">
        <v>31</v>
      </c>
      <c r="E273" s="19">
        <v>3</v>
      </c>
      <c r="F273" s="28" t="s">
        <v>171</v>
      </c>
      <c r="G273" s="28" t="s">
        <v>198</v>
      </c>
      <c r="H273" s="26" t="s">
        <v>2</v>
      </c>
      <c r="I273" s="29">
        <v>28</v>
      </c>
      <c r="J273" s="35">
        <v>195</v>
      </c>
      <c r="K273" s="17">
        <f t="shared" si="5"/>
        <v>5460</v>
      </c>
      <c r="L273" s="14"/>
      <c r="M273" s="40"/>
    </row>
    <row r="274" spans="1:13" s="20" customFormat="1" ht="26.4">
      <c r="A274" s="26">
        <v>5</v>
      </c>
      <c r="B274" s="27" t="s">
        <v>29</v>
      </c>
      <c r="C274" s="28" t="s">
        <v>30</v>
      </c>
      <c r="D274" s="28" t="s">
        <v>31</v>
      </c>
      <c r="E274" s="19">
        <v>3</v>
      </c>
      <c r="F274" s="28" t="s">
        <v>170</v>
      </c>
      <c r="G274" s="28" t="s">
        <v>198</v>
      </c>
      <c r="H274" s="26" t="s">
        <v>2</v>
      </c>
      <c r="I274" s="29">
        <v>12</v>
      </c>
      <c r="J274" s="35">
        <v>195</v>
      </c>
      <c r="K274" s="17">
        <f t="shared" si="5"/>
        <v>2340</v>
      </c>
      <c r="L274" s="14"/>
      <c r="M274" s="40"/>
    </row>
    <row r="275" spans="1:13" s="20" customFormat="1" ht="26.4">
      <c r="A275" s="26">
        <v>6</v>
      </c>
      <c r="B275" s="27" t="s">
        <v>29</v>
      </c>
      <c r="C275" s="28" t="s">
        <v>30</v>
      </c>
      <c r="D275" s="28" t="s">
        <v>31</v>
      </c>
      <c r="E275" s="19">
        <v>3</v>
      </c>
      <c r="F275" s="28" t="s">
        <v>172</v>
      </c>
      <c r="G275" s="28" t="s">
        <v>198</v>
      </c>
      <c r="H275" s="26" t="s">
        <v>2</v>
      </c>
      <c r="I275" s="29">
        <v>34.799999999999997</v>
      </c>
      <c r="J275" s="35">
        <v>195</v>
      </c>
      <c r="K275" s="17">
        <f t="shared" si="5"/>
        <v>6785.9999999999991</v>
      </c>
      <c r="L275" s="14"/>
      <c r="M275" s="40"/>
    </row>
    <row r="276" spans="1:13" s="20" customFormat="1" ht="26.4">
      <c r="A276" s="26">
        <v>7</v>
      </c>
      <c r="B276" s="27" t="s">
        <v>29</v>
      </c>
      <c r="C276" s="28" t="s">
        <v>30</v>
      </c>
      <c r="D276" s="28" t="s">
        <v>31</v>
      </c>
      <c r="E276" s="19">
        <v>3</v>
      </c>
      <c r="F276" s="28" t="s">
        <v>169</v>
      </c>
      <c r="G276" s="28" t="s">
        <v>198</v>
      </c>
      <c r="H276" s="26" t="s">
        <v>2</v>
      </c>
      <c r="I276" s="29">
        <v>15</v>
      </c>
      <c r="J276" s="35">
        <v>195</v>
      </c>
      <c r="K276" s="17">
        <f t="shared" si="5"/>
        <v>2925</v>
      </c>
      <c r="L276" s="14"/>
      <c r="M276" s="40"/>
    </row>
    <row r="277" spans="1:13" s="20" customFormat="1" ht="26.4">
      <c r="A277" s="26">
        <v>8</v>
      </c>
      <c r="B277" s="27" t="s">
        <v>29</v>
      </c>
      <c r="C277" s="28" t="s">
        <v>30</v>
      </c>
      <c r="D277" s="28" t="s">
        <v>31</v>
      </c>
      <c r="E277" s="19">
        <v>3</v>
      </c>
      <c r="F277" s="28" t="s">
        <v>167</v>
      </c>
      <c r="G277" s="28" t="s">
        <v>198</v>
      </c>
      <c r="H277" s="26" t="s">
        <v>2</v>
      </c>
      <c r="I277" s="29">
        <v>28.4</v>
      </c>
      <c r="J277" s="35">
        <v>195</v>
      </c>
      <c r="K277" s="17">
        <f t="shared" si="5"/>
        <v>5538</v>
      </c>
      <c r="L277" s="14"/>
      <c r="M277" s="40"/>
    </row>
    <row r="278" spans="1:13" s="20" customFormat="1" ht="26.4">
      <c r="A278" s="26">
        <v>9</v>
      </c>
      <c r="B278" s="27" t="s">
        <v>29</v>
      </c>
      <c r="C278" s="28" t="s">
        <v>30</v>
      </c>
      <c r="D278" s="28" t="s">
        <v>31</v>
      </c>
      <c r="E278" s="19">
        <v>3</v>
      </c>
      <c r="F278" s="28" t="s">
        <v>166</v>
      </c>
      <c r="G278" s="28" t="s">
        <v>198</v>
      </c>
      <c r="H278" s="26" t="s">
        <v>2</v>
      </c>
      <c r="I278" s="29">
        <v>12.3</v>
      </c>
      <c r="J278" s="35">
        <v>195</v>
      </c>
      <c r="K278" s="17">
        <f t="shared" si="5"/>
        <v>2398.5</v>
      </c>
      <c r="L278" s="14"/>
      <c r="M278" s="40"/>
    </row>
    <row r="279" spans="1:13" s="20" customFormat="1" ht="26.4">
      <c r="A279" s="26">
        <v>10</v>
      </c>
      <c r="B279" s="27" t="s">
        <v>29</v>
      </c>
      <c r="C279" s="28" t="s">
        <v>30</v>
      </c>
      <c r="D279" s="28" t="s">
        <v>31</v>
      </c>
      <c r="E279" s="19">
        <v>3</v>
      </c>
      <c r="F279" s="28" t="s">
        <v>165</v>
      </c>
      <c r="G279" s="28" t="s">
        <v>198</v>
      </c>
      <c r="H279" s="26" t="s">
        <v>2</v>
      </c>
      <c r="I279" s="29">
        <v>34.799999999999997</v>
      </c>
      <c r="J279" s="35">
        <v>195</v>
      </c>
      <c r="K279" s="17">
        <f t="shared" si="5"/>
        <v>6785.9999999999991</v>
      </c>
      <c r="L279" s="14"/>
      <c r="M279" s="40"/>
    </row>
    <row r="280" spans="1:13" s="20" customFormat="1" ht="26.4">
      <c r="A280" s="26">
        <v>11</v>
      </c>
      <c r="B280" s="27" t="s">
        <v>29</v>
      </c>
      <c r="C280" s="28" t="s">
        <v>30</v>
      </c>
      <c r="D280" s="28" t="s">
        <v>31</v>
      </c>
      <c r="E280" s="19">
        <v>3</v>
      </c>
      <c r="F280" s="28" t="s">
        <v>164</v>
      </c>
      <c r="G280" s="28" t="s">
        <v>198</v>
      </c>
      <c r="H280" s="26" t="s">
        <v>2</v>
      </c>
      <c r="I280" s="29">
        <v>5.4</v>
      </c>
      <c r="J280" s="35">
        <v>195</v>
      </c>
      <c r="K280" s="17">
        <f t="shared" si="5"/>
        <v>1053</v>
      </c>
      <c r="L280" s="14"/>
      <c r="M280" s="40"/>
    </row>
    <row r="281" spans="1:13" s="20" customFormat="1" ht="26.4">
      <c r="A281" s="26">
        <v>12</v>
      </c>
      <c r="B281" s="27" t="s">
        <v>29</v>
      </c>
      <c r="C281" s="28" t="s">
        <v>30</v>
      </c>
      <c r="D281" s="28" t="s">
        <v>31</v>
      </c>
      <c r="E281" s="19">
        <v>3</v>
      </c>
      <c r="F281" s="28" t="s">
        <v>163</v>
      </c>
      <c r="G281" s="28" t="s">
        <v>198</v>
      </c>
      <c r="H281" s="26" t="s">
        <v>2</v>
      </c>
      <c r="I281" s="29">
        <v>12</v>
      </c>
      <c r="J281" s="35">
        <v>195</v>
      </c>
      <c r="K281" s="17">
        <f t="shared" si="5"/>
        <v>2340</v>
      </c>
      <c r="L281" s="14"/>
      <c r="M281" s="40"/>
    </row>
    <row r="282" spans="1:13" s="20" customFormat="1" ht="26.4">
      <c r="A282" s="26">
        <v>13</v>
      </c>
      <c r="B282" s="27" t="s">
        <v>29</v>
      </c>
      <c r="C282" s="28" t="s">
        <v>30</v>
      </c>
      <c r="D282" s="28" t="s">
        <v>31</v>
      </c>
      <c r="E282" s="19">
        <v>3</v>
      </c>
      <c r="F282" s="28" t="s">
        <v>178</v>
      </c>
      <c r="G282" s="28" t="s">
        <v>198</v>
      </c>
      <c r="H282" s="26" t="s">
        <v>2</v>
      </c>
      <c r="I282" s="29">
        <v>36</v>
      </c>
      <c r="J282" s="35">
        <v>195</v>
      </c>
      <c r="K282" s="17">
        <f t="shared" si="5"/>
        <v>7020</v>
      </c>
      <c r="L282" s="14"/>
      <c r="M282" s="40"/>
    </row>
    <row r="283" spans="1:13" s="20" customFormat="1" ht="39.6">
      <c r="A283" s="26">
        <v>14</v>
      </c>
      <c r="B283" s="27" t="s">
        <v>29</v>
      </c>
      <c r="C283" s="28" t="s">
        <v>30</v>
      </c>
      <c r="D283" s="28" t="s">
        <v>31</v>
      </c>
      <c r="E283" s="19">
        <v>3</v>
      </c>
      <c r="F283" s="28" t="s">
        <v>190</v>
      </c>
      <c r="G283" s="28" t="s">
        <v>198</v>
      </c>
      <c r="H283" s="26" t="s">
        <v>2</v>
      </c>
      <c r="I283" s="29">
        <v>13.7</v>
      </c>
      <c r="J283" s="35">
        <v>195</v>
      </c>
      <c r="K283" s="17">
        <f t="shared" si="5"/>
        <v>2671.5</v>
      </c>
      <c r="L283" s="14"/>
      <c r="M283" s="40"/>
    </row>
    <row r="284" spans="1:13" s="20" customFormat="1" ht="52.8">
      <c r="A284" s="26">
        <v>15</v>
      </c>
      <c r="B284" s="27" t="s">
        <v>29</v>
      </c>
      <c r="C284" s="28" t="s">
        <v>30</v>
      </c>
      <c r="D284" s="28" t="s">
        <v>31</v>
      </c>
      <c r="E284" s="19">
        <v>3</v>
      </c>
      <c r="F284" s="28" t="s">
        <v>189</v>
      </c>
      <c r="G284" s="28" t="s">
        <v>198</v>
      </c>
      <c r="H284" s="26" t="s">
        <v>2</v>
      </c>
      <c r="I284" s="29">
        <v>18</v>
      </c>
      <c r="J284" s="35">
        <v>195</v>
      </c>
      <c r="K284" s="17">
        <f t="shared" si="5"/>
        <v>3510</v>
      </c>
      <c r="L284" s="14"/>
      <c r="M284" s="40"/>
    </row>
    <row r="285" spans="1:13" s="20" customFormat="1" ht="26.4">
      <c r="A285" s="26">
        <v>16</v>
      </c>
      <c r="B285" s="27" t="s">
        <v>29</v>
      </c>
      <c r="C285" s="28" t="s">
        <v>30</v>
      </c>
      <c r="D285" s="28" t="s">
        <v>31</v>
      </c>
      <c r="E285" s="19">
        <v>3</v>
      </c>
      <c r="F285" s="28" t="s">
        <v>180</v>
      </c>
      <c r="G285" s="28" t="s">
        <v>198</v>
      </c>
      <c r="H285" s="26" t="s">
        <v>2</v>
      </c>
      <c r="I285" s="29">
        <v>77.5</v>
      </c>
      <c r="J285" s="35">
        <v>195</v>
      </c>
      <c r="K285" s="17">
        <f t="shared" si="5"/>
        <v>15112.5</v>
      </c>
      <c r="L285" s="14"/>
      <c r="M285" s="40"/>
    </row>
    <row r="286" spans="1:13" s="20" customFormat="1" ht="26.4">
      <c r="A286" s="26">
        <v>17</v>
      </c>
      <c r="B286" s="27" t="s">
        <v>29</v>
      </c>
      <c r="C286" s="28" t="s">
        <v>30</v>
      </c>
      <c r="D286" s="28" t="s">
        <v>31</v>
      </c>
      <c r="E286" s="19">
        <v>3</v>
      </c>
      <c r="F286" s="28" t="s">
        <v>179</v>
      </c>
      <c r="G286" s="28" t="s">
        <v>198</v>
      </c>
      <c r="H286" s="26" t="s">
        <v>2</v>
      </c>
      <c r="I286" s="29">
        <v>21</v>
      </c>
      <c r="J286" s="35">
        <v>195</v>
      </c>
      <c r="K286" s="17">
        <f t="shared" si="5"/>
        <v>4095</v>
      </c>
      <c r="L286" s="14"/>
      <c r="M286" s="40"/>
    </row>
    <row r="287" spans="1:13" s="20" customFormat="1" ht="26.4">
      <c r="A287" s="26">
        <v>18</v>
      </c>
      <c r="B287" s="27" t="s">
        <v>29</v>
      </c>
      <c r="C287" s="28" t="s">
        <v>30</v>
      </c>
      <c r="D287" s="28" t="s">
        <v>31</v>
      </c>
      <c r="E287" s="19">
        <v>3</v>
      </c>
      <c r="F287" s="28" t="s">
        <v>173</v>
      </c>
      <c r="G287" s="28" t="s">
        <v>198</v>
      </c>
      <c r="H287" s="26" t="s">
        <v>2</v>
      </c>
      <c r="I287" s="29">
        <v>40</v>
      </c>
      <c r="J287" s="35">
        <v>195</v>
      </c>
      <c r="K287" s="17">
        <f t="shared" si="5"/>
        <v>7800</v>
      </c>
      <c r="L287" s="14"/>
      <c r="M287" s="40"/>
    </row>
    <row r="288" spans="1:13" s="20" customFormat="1" ht="26.4">
      <c r="A288" s="26">
        <v>19</v>
      </c>
      <c r="B288" s="27" t="s">
        <v>29</v>
      </c>
      <c r="C288" s="28" t="s">
        <v>30</v>
      </c>
      <c r="D288" s="28" t="s">
        <v>31</v>
      </c>
      <c r="E288" s="19">
        <v>3</v>
      </c>
      <c r="F288" s="28" t="s">
        <v>168</v>
      </c>
      <c r="G288" s="28" t="s">
        <v>198</v>
      </c>
      <c r="H288" s="26" t="s">
        <v>2</v>
      </c>
      <c r="I288" s="29">
        <v>40</v>
      </c>
      <c r="J288" s="35">
        <v>195</v>
      </c>
      <c r="K288" s="17">
        <f t="shared" si="5"/>
        <v>7800</v>
      </c>
      <c r="L288" s="14"/>
      <c r="M288" s="40"/>
    </row>
    <row r="289" spans="1:13" s="20" customFormat="1" ht="26.4">
      <c r="A289" s="26">
        <v>20</v>
      </c>
      <c r="B289" s="27" t="s">
        <v>29</v>
      </c>
      <c r="C289" s="28" t="s">
        <v>30</v>
      </c>
      <c r="D289" s="28" t="s">
        <v>31</v>
      </c>
      <c r="E289" s="19">
        <v>-1</v>
      </c>
      <c r="F289" s="28" t="s">
        <v>44</v>
      </c>
      <c r="G289" s="28" t="s">
        <v>198</v>
      </c>
      <c r="H289" s="26" t="s">
        <v>2</v>
      </c>
      <c r="I289" s="29">
        <v>174.3</v>
      </c>
      <c r="J289" s="35">
        <v>195</v>
      </c>
      <c r="K289" s="17">
        <f t="shared" si="5"/>
        <v>33988.5</v>
      </c>
      <c r="L289" s="14"/>
      <c r="M289" s="40"/>
    </row>
    <row r="290" spans="1:13" s="20" customFormat="1" ht="39.6">
      <c r="A290" s="26">
        <v>21</v>
      </c>
      <c r="B290" s="27" t="s">
        <v>29</v>
      </c>
      <c r="C290" s="28" t="s">
        <v>30</v>
      </c>
      <c r="D290" s="28" t="s">
        <v>31</v>
      </c>
      <c r="E290" s="19">
        <v>-1</v>
      </c>
      <c r="F290" s="28" t="s">
        <v>193</v>
      </c>
      <c r="G290" s="28" t="s">
        <v>198</v>
      </c>
      <c r="H290" s="26" t="s">
        <v>2</v>
      </c>
      <c r="I290" s="29">
        <v>2.2000000000000002</v>
      </c>
      <c r="J290" s="35">
        <v>195</v>
      </c>
      <c r="K290" s="17">
        <f t="shared" si="5"/>
        <v>429.00000000000006</v>
      </c>
      <c r="L290" s="14"/>
      <c r="M290" s="40"/>
    </row>
    <row r="291" spans="1:13" s="20" customFormat="1" ht="15.6">
      <c r="A291" s="26">
        <v>22</v>
      </c>
      <c r="B291" s="27" t="s">
        <v>29</v>
      </c>
      <c r="C291" s="28" t="s">
        <v>30</v>
      </c>
      <c r="D291" s="28"/>
      <c r="E291" s="19"/>
      <c r="F291" s="28"/>
      <c r="G291" s="28"/>
      <c r="H291" s="26"/>
      <c r="I291" s="29"/>
      <c r="J291" s="36"/>
      <c r="K291" s="17">
        <f t="shared" si="5"/>
        <v>0</v>
      </c>
      <c r="L291" s="14"/>
      <c r="M291" s="40"/>
    </row>
    <row r="292" spans="1:13" s="20" customFormat="1" ht="26.4">
      <c r="A292" s="26">
        <v>23</v>
      </c>
      <c r="B292" s="27" t="s">
        <v>35</v>
      </c>
      <c r="C292" s="28" t="s">
        <v>30</v>
      </c>
      <c r="D292" s="28" t="s">
        <v>31</v>
      </c>
      <c r="E292" s="19">
        <v>2</v>
      </c>
      <c r="F292" s="28" t="s">
        <v>139</v>
      </c>
      <c r="G292" s="28" t="s">
        <v>197</v>
      </c>
      <c r="H292" s="26" t="s">
        <v>2</v>
      </c>
      <c r="I292" s="29">
        <v>35</v>
      </c>
      <c r="J292" s="35">
        <v>195</v>
      </c>
      <c r="K292" s="17">
        <f t="shared" si="5"/>
        <v>6825</v>
      </c>
      <c r="L292" s="14"/>
      <c r="M292" s="40"/>
    </row>
    <row r="293" spans="1:13" s="20" customFormat="1" ht="26.4">
      <c r="A293" s="26">
        <v>24</v>
      </c>
      <c r="B293" s="27" t="s">
        <v>29</v>
      </c>
      <c r="C293" s="28" t="s">
        <v>30</v>
      </c>
      <c r="D293" s="28" t="s">
        <v>31</v>
      </c>
      <c r="E293" s="19">
        <v>2</v>
      </c>
      <c r="F293" s="28" t="s">
        <v>137</v>
      </c>
      <c r="G293" s="28" t="s">
        <v>197</v>
      </c>
      <c r="H293" s="26" t="s">
        <v>2</v>
      </c>
      <c r="I293" s="29">
        <v>52</v>
      </c>
      <c r="J293" s="35">
        <v>195</v>
      </c>
      <c r="K293" s="17">
        <f t="shared" si="5"/>
        <v>10140</v>
      </c>
      <c r="L293" s="14"/>
      <c r="M293" s="40"/>
    </row>
    <row r="294" spans="1:13" s="20" customFormat="1" ht="26.4">
      <c r="A294" s="26">
        <v>25</v>
      </c>
      <c r="B294" s="27" t="s">
        <v>29</v>
      </c>
      <c r="C294" s="28" t="s">
        <v>30</v>
      </c>
      <c r="D294" s="28" t="s">
        <v>31</v>
      </c>
      <c r="E294" s="19">
        <v>2</v>
      </c>
      <c r="F294" s="28" t="s">
        <v>134</v>
      </c>
      <c r="G294" s="28" t="s">
        <v>197</v>
      </c>
      <c r="H294" s="26" t="s">
        <v>2</v>
      </c>
      <c r="I294" s="29">
        <v>35.5</v>
      </c>
      <c r="J294" s="35">
        <v>195</v>
      </c>
      <c r="K294" s="17">
        <f t="shared" si="5"/>
        <v>6922.5</v>
      </c>
      <c r="L294" s="14"/>
      <c r="M294" s="40"/>
    </row>
    <row r="295" spans="1:13" s="20" customFormat="1" ht="39.6">
      <c r="A295" s="26">
        <v>26</v>
      </c>
      <c r="B295" s="27" t="s">
        <v>29</v>
      </c>
      <c r="C295" s="28" t="s">
        <v>30</v>
      </c>
      <c r="D295" s="28" t="s">
        <v>31</v>
      </c>
      <c r="E295" s="19">
        <v>2</v>
      </c>
      <c r="F295" s="28" t="s">
        <v>192</v>
      </c>
      <c r="G295" s="28" t="s">
        <v>197</v>
      </c>
      <c r="H295" s="26" t="s">
        <v>2</v>
      </c>
      <c r="I295" s="29">
        <v>104.5</v>
      </c>
      <c r="J295" s="35">
        <v>195</v>
      </c>
      <c r="K295" s="17">
        <f t="shared" si="5"/>
        <v>20377.5</v>
      </c>
      <c r="L295" s="14"/>
      <c r="M295" s="40"/>
    </row>
    <row r="296" spans="1:13" s="20" customFormat="1" ht="26.4">
      <c r="A296" s="26">
        <v>27</v>
      </c>
      <c r="B296" s="27" t="s">
        <v>29</v>
      </c>
      <c r="C296" s="28" t="s">
        <v>30</v>
      </c>
      <c r="D296" s="28" t="s">
        <v>31</v>
      </c>
      <c r="E296" s="19">
        <v>2</v>
      </c>
      <c r="F296" s="28" t="s">
        <v>135</v>
      </c>
      <c r="G296" s="28" t="s">
        <v>197</v>
      </c>
      <c r="H296" s="26" t="s">
        <v>2</v>
      </c>
      <c r="I296" s="29">
        <v>97</v>
      </c>
      <c r="J296" s="35">
        <v>195</v>
      </c>
      <c r="K296" s="17">
        <f t="shared" si="5"/>
        <v>18915</v>
      </c>
      <c r="L296" s="14"/>
      <c r="M296" s="40"/>
    </row>
    <row r="297" spans="1:13" s="20" customFormat="1" ht="26.4">
      <c r="A297" s="26">
        <v>28</v>
      </c>
      <c r="B297" s="27" t="s">
        <v>29</v>
      </c>
      <c r="C297" s="28" t="s">
        <v>30</v>
      </c>
      <c r="D297" s="28" t="s">
        <v>31</v>
      </c>
      <c r="E297" s="19">
        <v>2</v>
      </c>
      <c r="F297" s="28" t="s">
        <v>122</v>
      </c>
      <c r="G297" s="28" t="s">
        <v>197</v>
      </c>
      <c r="H297" s="26" t="s">
        <v>2</v>
      </c>
      <c r="I297" s="29">
        <v>43</v>
      </c>
      <c r="J297" s="35">
        <v>195</v>
      </c>
      <c r="K297" s="17">
        <f t="shared" si="5"/>
        <v>8385</v>
      </c>
      <c r="L297" s="14"/>
      <c r="M297" s="40"/>
    </row>
    <row r="298" spans="1:13" s="20" customFormat="1" ht="26.4">
      <c r="A298" s="26">
        <v>29</v>
      </c>
      <c r="B298" s="27" t="s">
        <v>29</v>
      </c>
      <c r="C298" s="28" t="s">
        <v>30</v>
      </c>
      <c r="D298" s="28" t="s">
        <v>31</v>
      </c>
      <c r="E298" s="19">
        <v>2</v>
      </c>
      <c r="F298" s="28" t="s">
        <v>136</v>
      </c>
      <c r="G298" s="28" t="s">
        <v>197</v>
      </c>
      <c r="H298" s="26" t="s">
        <v>2</v>
      </c>
      <c r="I298" s="29">
        <v>38</v>
      </c>
      <c r="J298" s="35">
        <v>195</v>
      </c>
      <c r="K298" s="17">
        <f t="shared" si="5"/>
        <v>7410</v>
      </c>
      <c r="L298" s="14"/>
      <c r="M298" s="40"/>
    </row>
    <row r="299" spans="1:13" s="20" customFormat="1" ht="26.4">
      <c r="A299" s="26">
        <v>30</v>
      </c>
      <c r="B299" s="27" t="s">
        <v>29</v>
      </c>
      <c r="C299" s="28" t="s">
        <v>30</v>
      </c>
      <c r="D299" s="28" t="s">
        <v>31</v>
      </c>
      <c r="E299" s="19">
        <v>2</v>
      </c>
      <c r="F299" s="28" t="s">
        <v>141</v>
      </c>
      <c r="G299" s="28" t="s">
        <v>197</v>
      </c>
      <c r="H299" s="26" t="s">
        <v>2</v>
      </c>
      <c r="I299" s="29">
        <v>34.5</v>
      </c>
      <c r="J299" s="35">
        <v>195</v>
      </c>
      <c r="K299" s="17">
        <f t="shared" si="5"/>
        <v>6727.5</v>
      </c>
      <c r="L299" s="14"/>
      <c r="M299" s="40"/>
    </row>
    <row r="300" spans="1:13" s="20" customFormat="1" ht="26.4">
      <c r="A300" s="26">
        <v>31</v>
      </c>
      <c r="B300" s="27" t="s">
        <v>29</v>
      </c>
      <c r="C300" s="28" t="s">
        <v>30</v>
      </c>
      <c r="D300" s="28" t="s">
        <v>31</v>
      </c>
      <c r="E300" s="19">
        <v>2</v>
      </c>
      <c r="F300" s="28" t="s">
        <v>142</v>
      </c>
      <c r="G300" s="28" t="s">
        <v>197</v>
      </c>
      <c r="H300" s="26" t="s">
        <v>2</v>
      </c>
      <c r="I300" s="29">
        <v>126.5</v>
      </c>
      <c r="J300" s="35">
        <v>195</v>
      </c>
      <c r="K300" s="17">
        <f t="shared" si="5"/>
        <v>24667.5</v>
      </c>
      <c r="L300" s="14"/>
      <c r="M300" s="40"/>
    </row>
    <row r="301" spans="1:13" s="20" customFormat="1" ht="26.4">
      <c r="A301" s="26">
        <v>32</v>
      </c>
      <c r="B301" s="27" t="s">
        <v>29</v>
      </c>
      <c r="C301" s="28" t="s">
        <v>30</v>
      </c>
      <c r="D301" s="28" t="s">
        <v>31</v>
      </c>
      <c r="E301" s="19">
        <v>2</v>
      </c>
      <c r="F301" s="28" t="s">
        <v>123</v>
      </c>
      <c r="G301" s="28" t="s">
        <v>197</v>
      </c>
      <c r="H301" s="26" t="s">
        <v>2</v>
      </c>
      <c r="I301" s="29">
        <v>75.3</v>
      </c>
      <c r="J301" s="35">
        <v>195</v>
      </c>
      <c r="K301" s="17">
        <f t="shared" si="5"/>
        <v>14683.5</v>
      </c>
      <c r="L301" s="14"/>
      <c r="M301" s="40"/>
    </row>
    <row r="302" spans="1:13" s="20" customFormat="1" ht="26.4">
      <c r="A302" s="26">
        <v>33</v>
      </c>
      <c r="B302" s="27" t="s">
        <v>29</v>
      </c>
      <c r="C302" s="28" t="s">
        <v>30</v>
      </c>
      <c r="D302" s="28" t="s">
        <v>31</v>
      </c>
      <c r="E302" s="19">
        <v>2</v>
      </c>
      <c r="F302" s="28" t="s">
        <v>124</v>
      </c>
      <c r="G302" s="28" t="s">
        <v>197</v>
      </c>
      <c r="H302" s="26" t="s">
        <v>2</v>
      </c>
      <c r="I302" s="29">
        <v>15.5</v>
      </c>
      <c r="J302" s="35">
        <v>195</v>
      </c>
      <c r="K302" s="17">
        <f t="shared" si="5"/>
        <v>3022.5</v>
      </c>
      <c r="L302" s="14"/>
      <c r="M302" s="45"/>
    </row>
    <row r="303" spans="1:13" s="20" customFormat="1" ht="26.4">
      <c r="A303" s="26">
        <v>34</v>
      </c>
      <c r="B303" s="27" t="s">
        <v>29</v>
      </c>
      <c r="C303" s="28" t="s">
        <v>30</v>
      </c>
      <c r="D303" s="28" t="s">
        <v>31</v>
      </c>
      <c r="E303" s="19">
        <v>2</v>
      </c>
      <c r="F303" s="28" t="s">
        <v>125</v>
      </c>
      <c r="G303" s="28" t="s">
        <v>197</v>
      </c>
      <c r="H303" s="26" t="s">
        <v>2</v>
      </c>
      <c r="I303" s="29">
        <v>40</v>
      </c>
      <c r="J303" s="35">
        <v>195</v>
      </c>
      <c r="K303" s="17">
        <f t="shared" si="5"/>
        <v>7800</v>
      </c>
      <c r="L303" s="14"/>
    </row>
    <row r="304" spans="1:13" s="20" customFormat="1" ht="26.4">
      <c r="A304" s="26">
        <v>35</v>
      </c>
      <c r="B304" s="27" t="s">
        <v>29</v>
      </c>
      <c r="C304" s="28" t="s">
        <v>30</v>
      </c>
      <c r="D304" s="28" t="s">
        <v>31</v>
      </c>
      <c r="E304" s="19">
        <v>2</v>
      </c>
      <c r="F304" s="28" t="s">
        <v>126</v>
      </c>
      <c r="G304" s="28" t="s">
        <v>197</v>
      </c>
      <c r="H304" s="26" t="s">
        <v>2</v>
      </c>
      <c r="I304" s="29">
        <v>88.5</v>
      </c>
      <c r="J304" s="35">
        <v>195</v>
      </c>
      <c r="K304" s="17">
        <f t="shared" si="5"/>
        <v>17257.5</v>
      </c>
      <c r="L304" s="14"/>
    </row>
    <row r="305" spans="1:12" s="20" customFormat="1" ht="26.4">
      <c r="A305" s="26">
        <v>36</v>
      </c>
      <c r="B305" s="27" t="s">
        <v>29</v>
      </c>
      <c r="C305" s="28" t="s">
        <v>30</v>
      </c>
      <c r="D305" s="28" t="s">
        <v>31</v>
      </c>
      <c r="E305" s="19">
        <v>2</v>
      </c>
      <c r="F305" s="28" t="s">
        <v>127</v>
      </c>
      <c r="G305" s="28" t="s">
        <v>197</v>
      </c>
      <c r="H305" s="26" t="s">
        <v>2</v>
      </c>
      <c r="I305" s="29">
        <v>88.5</v>
      </c>
      <c r="J305" s="35">
        <v>195</v>
      </c>
      <c r="K305" s="17">
        <f t="shared" si="5"/>
        <v>17257.5</v>
      </c>
      <c r="L305" s="14"/>
    </row>
    <row r="306" spans="1:12" s="20" customFormat="1" ht="26.4">
      <c r="A306" s="26">
        <v>37</v>
      </c>
      <c r="B306" s="27" t="s">
        <v>29</v>
      </c>
      <c r="C306" s="28" t="s">
        <v>30</v>
      </c>
      <c r="D306" s="28" t="s">
        <v>31</v>
      </c>
      <c r="E306" s="19">
        <v>2</v>
      </c>
      <c r="F306" s="28" t="s">
        <v>128</v>
      </c>
      <c r="G306" s="28" t="s">
        <v>197</v>
      </c>
      <c r="H306" s="26" t="s">
        <v>2</v>
      </c>
      <c r="I306" s="29">
        <v>75.3</v>
      </c>
      <c r="J306" s="35">
        <v>195</v>
      </c>
      <c r="K306" s="17">
        <f t="shared" si="5"/>
        <v>14683.5</v>
      </c>
      <c r="L306" s="14"/>
    </row>
    <row r="307" spans="1:12" s="20" customFormat="1" ht="26.4">
      <c r="A307" s="26">
        <v>38</v>
      </c>
      <c r="B307" s="27" t="s">
        <v>29</v>
      </c>
      <c r="C307" s="28" t="s">
        <v>30</v>
      </c>
      <c r="D307" s="28" t="s">
        <v>31</v>
      </c>
      <c r="E307" s="19">
        <v>2</v>
      </c>
      <c r="F307" s="28" t="s">
        <v>129</v>
      </c>
      <c r="G307" s="28" t="s">
        <v>197</v>
      </c>
      <c r="H307" s="26" t="s">
        <v>2</v>
      </c>
      <c r="I307" s="29">
        <v>15.5</v>
      </c>
      <c r="J307" s="35">
        <v>195</v>
      </c>
      <c r="K307" s="17">
        <f t="shared" si="5"/>
        <v>3022.5</v>
      </c>
      <c r="L307" s="14"/>
    </row>
    <row r="308" spans="1:12" s="20" customFormat="1" ht="26.4">
      <c r="A308" s="26">
        <v>39</v>
      </c>
      <c r="B308" s="27" t="s">
        <v>29</v>
      </c>
      <c r="C308" s="28" t="s">
        <v>30</v>
      </c>
      <c r="D308" s="28" t="s">
        <v>31</v>
      </c>
      <c r="E308" s="19">
        <v>2</v>
      </c>
      <c r="F308" s="28" t="s">
        <v>132</v>
      </c>
      <c r="G308" s="28" t="s">
        <v>197</v>
      </c>
      <c r="H308" s="26" t="s">
        <v>2</v>
      </c>
      <c r="I308" s="29">
        <v>40</v>
      </c>
      <c r="J308" s="35">
        <v>195</v>
      </c>
      <c r="K308" s="17">
        <f t="shared" si="5"/>
        <v>7800</v>
      </c>
      <c r="L308" s="14"/>
    </row>
    <row r="309" spans="1:12" s="20" customFormat="1" ht="26.4">
      <c r="A309" s="26">
        <v>40</v>
      </c>
      <c r="B309" s="27" t="s">
        <v>29</v>
      </c>
      <c r="C309" s="28" t="s">
        <v>30</v>
      </c>
      <c r="D309" s="28" t="s">
        <v>31</v>
      </c>
      <c r="E309" s="19">
        <v>2</v>
      </c>
      <c r="F309" s="28" t="s">
        <v>130</v>
      </c>
      <c r="G309" s="28" t="s">
        <v>197</v>
      </c>
      <c r="H309" s="26" t="s">
        <v>2</v>
      </c>
      <c r="I309" s="29">
        <v>88.5</v>
      </c>
      <c r="J309" s="35">
        <v>195</v>
      </c>
      <c r="K309" s="17">
        <f t="shared" si="5"/>
        <v>17257.5</v>
      </c>
      <c r="L309" s="14"/>
    </row>
    <row r="310" spans="1:12" s="20" customFormat="1" ht="26.4">
      <c r="A310" s="26">
        <v>41</v>
      </c>
      <c r="B310" s="27" t="s">
        <v>29</v>
      </c>
      <c r="C310" s="28" t="s">
        <v>30</v>
      </c>
      <c r="D310" s="28" t="s">
        <v>31</v>
      </c>
      <c r="E310" s="19">
        <v>3</v>
      </c>
      <c r="F310" s="28" t="s">
        <v>131</v>
      </c>
      <c r="G310" s="28" t="s">
        <v>197</v>
      </c>
      <c r="H310" s="26" t="s">
        <v>2</v>
      </c>
      <c r="I310" s="29">
        <v>88.5</v>
      </c>
      <c r="J310" s="35">
        <v>195</v>
      </c>
      <c r="K310" s="17">
        <f t="shared" si="5"/>
        <v>17257.5</v>
      </c>
      <c r="L310" s="14"/>
    </row>
    <row r="311" spans="1:12" s="20" customFormat="1" ht="26.4">
      <c r="A311" s="26">
        <v>42</v>
      </c>
      <c r="B311" s="27" t="s">
        <v>35</v>
      </c>
      <c r="C311" s="28" t="s">
        <v>30</v>
      </c>
      <c r="D311" s="28" t="s">
        <v>31</v>
      </c>
      <c r="E311" s="19">
        <v>3</v>
      </c>
      <c r="F311" s="28" t="s">
        <v>174</v>
      </c>
      <c r="G311" s="28" t="s">
        <v>197</v>
      </c>
      <c r="H311" s="26" t="s">
        <v>2</v>
      </c>
      <c r="I311" s="29">
        <v>35.5</v>
      </c>
      <c r="J311" s="35">
        <v>195</v>
      </c>
      <c r="K311" s="17">
        <f t="shared" si="5"/>
        <v>6922.5</v>
      </c>
      <c r="L311" s="14"/>
    </row>
    <row r="312" spans="1:12" s="20" customFormat="1" ht="26.4">
      <c r="A312" s="26">
        <v>43</v>
      </c>
      <c r="B312" s="27" t="s">
        <v>35</v>
      </c>
      <c r="C312" s="28" t="s">
        <v>30</v>
      </c>
      <c r="D312" s="28" t="s">
        <v>31</v>
      </c>
      <c r="E312" s="19">
        <v>3</v>
      </c>
      <c r="F312" s="28" t="s">
        <v>175</v>
      </c>
      <c r="G312" s="28" t="s">
        <v>197</v>
      </c>
      <c r="H312" s="26" t="s">
        <v>2</v>
      </c>
      <c r="I312" s="29">
        <v>37</v>
      </c>
      <c r="J312" s="35">
        <v>195</v>
      </c>
      <c r="K312" s="17">
        <f t="shared" si="5"/>
        <v>7215</v>
      </c>
      <c r="L312" s="14"/>
    </row>
    <row r="313" spans="1:12" s="20" customFormat="1" ht="26.4">
      <c r="A313" s="26">
        <v>44</v>
      </c>
      <c r="B313" s="27" t="s">
        <v>29</v>
      </c>
      <c r="C313" s="28" t="s">
        <v>30</v>
      </c>
      <c r="D313" s="28" t="s">
        <v>31</v>
      </c>
      <c r="E313" s="19">
        <v>3</v>
      </c>
      <c r="F313" s="28" t="s">
        <v>163</v>
      </c>
      <c r="G313" s="28" t="s">
        <v>197</v>
      </c>
      <c r="H313" s="26" t="s">
        <v>2</v>
      </c>
      <c r="I313" s="29">
        <v>35.5</v>
      </c>
      <c r="J313" s="35">
        <v>195</v>
      </c>
      <c r="K313" s="17">
        <f t="shared" si="5"/>
        <v>6922.5</v>
      </c>
      <c r="L313" s="14"/>
    </row>
    <row r="314" spans="1:12" s="20" customFormat="1" ht="26.4">
      <c r="A314" s="26">
        <v>45</v>
      </c>
      <c r="B314" s="27" t="s">
        <v>29</v>
      </c>
      <c r="C314" s="28" t="s">
        <v>30</v>
      </c>
      <c r="D314" s="28" t="s">
        <v>31</v>
      </c>
      <c r="E314" s="19">
        <v>3</v>
      </c>
      <c r="F314" s="28" t="s">
        <v>177</v>
      </c>
      <c r="G314" s="28" t="s">
        <v>197</v>
      </c>
      <c r="H314" s="26" t="s">
        <v>2</v>
      </c>
      <c r="I314" s="29">
        <v>37</v>
      </c>
      <c r="J314" s="35">
        <v>195</v>
      </c>
      <c r="K314" s="17">
        <f t="shared" si="5"/>
        <v>7215</v>
      </c>
      <c r="L314" s="14"/>
    </row>
    <row r="315" spans="1:12" s="20" customFormat="1" ht="39.6">
      <c r="A315" s="26">
        <v>46</v>
      </c>
      <c r="B315" s="27" t="s">
        <v>29</v>
      </c>
      <c r="C315" s="28" t="s">
        <v>30</v>
      </c>
      <c r="D315" s="28" t="s">
        <v>31</v>
      </c>
      <c r="E315" s="19">
        <v>3</v>
      </c>
      <c r="F315" s="28" t="s">
        <v>190</v>
      </c>
      <c r="G315" s="28" t="s">
        <v>197</v>
      </c>
      <c r="H315" s="26" t="s">
        <v>2</v>
      </c>
      <c r="I315" s="29">
        <v>97</v>
      </c>
      <c r="J315" s="35">
        <v>195</v>
      </c>
      <c r="K315" s="17">
        <f t="shared" si="5"/>
        <v>18915</v>
      </c>
      <c r="L315" s="14"/>
    </row>
    <row r="316" spans="1:12" s="20" customFormat="1" ht="52.8">
      <c r="A316" s="26">
        <v>47</v>
      </c>
      <c r="B316" s="27" t="s">
        <v>29</v>
      </c>
      <c r="C316" s="28" t="s">
        <v>30</v>
      </c>
      <c r="D316" s="28" t="s">
        <v>31</v>
      </c>
      <c r="E316" s="19">
        <v>3</v>
      </c>
      <c r="F316" s="28" t="s">
        <v>189</v>
      </c>
      <c r="G316" s="28" t="s">
        <v>197</v>
      </c>
      <c r="H316" s="26" t="s">
        <v>2</v>
      </c>
      <c r="I316" s="29">
        <v>104.5</v>
      </c>
      <c r="J316" s="35">
        <v>195</v>
      </c>
      <c r="K316" s="17">
        <f t="shared" si="5"/>
        <v>20377.5</v>
      </c>
      <c r="L316" s="14"/>
    </row>
    <row r="317" spans="1:12" s="20" customFormat="1" ht="26.4">
      <c r="A317" s="26">
        <v>48</v>
      </c>
      <c r="B317" s="27" t="s">
        <v>29</v>
      </c>
      <c r="C317" s="28" t="s">
        <v>30</v>
      </c>
      <c r="D317" s="28" t="s">
        <v>31</v>
      </c>
      <c r="E317" s="19">
        <v>3</v>
      </c>
      <c r="F317" s="28" t="s">
        <v>176</v>
      </c>
      <c r="G317" s="28" t="s">
        <v>197</v>
      </c>
      <c r="H317" s="26" t="s">
        <v>2</v>
      </c>
      <c r="I317" s="29">
        <v>35</v>
      </c>
      <c r="J317" s="35">
        <v>195</v>
      </c>
      <c r="K317" s="17">
        <f t="shared" si="5"/>
        <v>6825</v>
      </c>
      <c r="L317" s="14"/>
    </row>
    <row r="318" spans="1:12" s="20" customFormat="1" ht="26.4">
      <c r="A318" s="26">
        <v>49</v>
      </c>
      <c r="B318" s="27" t="s">
        <v>29</v>
      </c>
      <c r="C318" s="28" t="s">
        <v>30</v>
      </c>
      <c r="D318" s="28" t="s">
        <v>31</v>
      </c>
      <c r="E318" s="19">
        <v>3</v>
      </c>
      <c r="F318" s="28" t="s">
        <v>177</v>
      </c>
      <c r="G318" s="28" t="s">
        <v>197</v>
      </c>
      <c r="H318" s="26" t="s">
        <v>2</v>
      </c>
      <c r="I318" s="29">
        <v>34.5</v>
      </c>
      <c r="J318" s="35">
        <v>195</v>
      </c>
      <c r="K318" s="17">
        <f t="shared" si="5"/>
        <v>6727.5</v>
      </c>
      <c r="L318" s="14"/>
    </row>
    <row r="319" spans="1:12" s="20" customFormat="1" ht="26.4">
      <c r="A319" s="26">
        <v>50</v>
      </c>
      <c r="B319" s="27" t="s">
        <v>29</v>
      </c>
      <c r="C319" s="28" t="s">
        <v>30</v>
      </c>
      <c r="D319" s="28" t="s">
        <v>31</v>
      </c>
      <c r="E319" s="19">
        <v>3</v>
      </c>
      <c r="F319" s="28" t="s">
        <v>170</v>
      </c>
      <c r="G319" s="28" t="s">
        <v>197</v>
      </c>
      <c r="H319" s="26" t="s">
        <v>2</v>
      </c>
      <c r="I319" s="29">
        <v>88.5</v>
      </c>
      <c r="J319" s="35">
        <v>195</v>
      </c>
      <c r="K319" s="17">
        <f t="shared" si="5"/>
        <v>17257.5</v>
      </c>
      <c r="L319" s="14"/>
    </row>
    <row r="320" spans="1:12" s="20" customFormat="1" ht="26.4">
      <c r="A320" s="26">
        <v>51</v>
      </c>
      <c r="B320" s="27" t="s">
        <v>29</v>
      </c>
      <c r="C320" s="28" t="s">
        <v>30</v>
      </c>
      <c r="D320" s="28" t="s">
        <v>31</v>
      </c>
      <c r="E320" s="19">
        <v>3</v>
      </c>
      <c r="F320" s="28" t="s">
        <v>171</v>
      </c>
      <c r="G320" s="28" t="s">
        <v>197</v>
      </c>
      <c r="H320" s="26" t="s">
        <v>2</v>
      </c>
      <c r="I320" s="29">
        <v>88.5</v>
      </c>
      <c r="J320" s="35">
        <v>195</v>
      </c>
      <c r="K320" s="17">
        <f t="shared" si="5"/>
        <v>17257.5</v>
      </c>
      <c r="L320" s="14"/>
    </row>
    <row r="321" spans="1:12" s="20" customFormat="1" ht="26.4">
      <c r="A321" s="26">
        <v>52</v>
      </c>
      <c r="B321" s="27" t="s">
        <v>29</v>
      </c>
      <c r="C321" s="28" t="s">
        <v>30</v>
      </c>
      <c r="D321" s="28" t="s">
        <v>31</v>
      </c>
      <c r="E321" s="19">
        <v>3</v>
      </c>
      <c r="F321" s="28" t="s">
        <v>173</v>
      </c>
      <c r="G321" s="28" t="s">
        <v>197</v>
      </c>
      <c r="H321" s="26" t="s">
        <v>2</v>
      </c>
      <c r="I321" s="29">
        <v>40</v>
      </c>
      <c r="J321" s="35">
        <v>195</v>
      </c>
      <c r="K321" s="17">
        <f t="shared" si="5"/>
        <v>7800</v>
      </c>
      <c r="L321" s="14"/>
    </row>
    <row r="322" spans="1:12" s="20" customFormat="1" ht="26.4">
      <c r="A322" s="26">
        <v>53</v>
      </c>
      <c r="B322" s="27" t="s">
        <v>29</v>
      </c>
      <c r="C322" s="28" t="s">
        <v>30</v>
      </c>
      <c r="D322" s="28" t="s">
        <v>31</v>
      </c>
      <c r="E322" s="19">
        <v>3</v>
      </c>
      <c r="F322" s="28" t="s">
        <v>172</v>
      </c>
      <c r="G322" s="28" t="s">
        <v>197</v>
      </c>
      <c r="H322" s="26" t="s">
        <v>2</v>
      </c>
      <c r="I322" s="29">
        <v>15.5</v>
      </c>
      <c r="J322" s="35">
        <v>195</v>
      </c>
      <c r="K322" s="17">
        <f t="shared" si="5"/>
        <v>3022.5</v>
      </c>
      <c r="L322" s="14"/>
    </row>
    <row r="323" spans="1:12" s="20" customFormat="1" ht="26.4">
      <c r="A323" s="26">
        <v>54</v>
      </c>
      <c r="B323" s="27" t="s">
        <v>29</v>
      </c>
      <c r="C323" s="28" t="s">
        <v>30</v>
      </c>
      <c r="D323" s="28" t="s">
        <v>31</v>
      </c>
      <c r="E323" s="19">
        <v>3</v>
      </c>
      <c r="F323" s="28" t="s">
        <v>169</v>
      </c>
      <c r="G323" s="28" t="s">
        <v>197</v>
      </c>
      <c r="H323" s="26" t="s">
        <v>2</v>
      </c>
      <c r="I323" s="29">
        <v>75.3</v>
      </c>
      <c r="J323" s="35">
        <v>195</v>
      </c>
      <c r="K323" s="17">
        <f t="shared" si="5"/>
        <v>14683.5</v>
      </c>
      <c r="L323" s="14"/>
    </row>
    <row r="324" spans="1:12" s="20" customFormat="1" ht="26.4">
      <c r="A324" s="26">
        <v>55</v>
      </c>
      <c r="B324" s="27" t="s">
        <v>29</v>
      </c>
      <c r="C324" s="28" t="s">
        <v>30</v>
      </c>
      <c r="D324" s="28" t="s">
        <v>31</v>
      </c>
      <c r="E324" s="19">
        <v>3</v>
      </c>
      <c r="F324" s="28" t="s">
        <v>164</v>
      </c>
      <c r="G324" s="28" t="s">
        <v>197</v>
      </c>
      <c r="H324" s="26" t="s">
        <v>2</v>
      </c>
      <c r="I324" s="29">
        <v>75.3</v>
      </c>
      <c r="J324" s="35">
        <v>195</v>
      </c>
      <c r="K324" s="17">
        <f t="shared" si="5"/>
        <v>14683.5</v>
      </c>
      <c r="L324" s="14"/>
    </row>
    <row r="325" spans="1:12" s="20" customFormat="1" ht="26.4">
      <c r="A325" s="26">
        <v>56</v>
      </c>
      <c r="B325" s="27" t="s">
        <v>29</v>
      </c>
      <c r="C325" s="28" t="s">
        <v>30</v>
      </c>
      <c r="D325" s="28" t="s">
        <v>31</v>
      </c>
      <c r="E325" s="19">
        <v>3</v>
      </c>
      <c r="F325" s="28" t="s">
        <v>165</v>
      </c>
      <c r="G325" s="28" t="s">
        <v>197</v>
      </c>
      <c r="H325" s="26" t="s">
        <v>2</v>
      </c>
      <c r="I325" s="29">
        <v>15.5</v>
      </c>
      <c r="J325" s="35">
        <v>195</v>
      </c>
      <c r="K325" s="17">
        <f t="shared" si="5"/>
        <v>3022.5</v>
      </c>
      <c r="L325" s="14"/>
    </row>
    <row r="326" spans="1:12" s="20" customFormat="1" ht="26.4">
      <c r="A326" s="26">
        <v>57</v>
      </c>
      <c r="B326" s="27" t="s">
        <v>29</v>
      </c>
      <c r="C326" s="28" t="s">
        <v>30</v>
      </c>
      <c r="D326" s="28" t="s">
        <v>31</v>
      </c>
      <c r="E326" s="19">
        <v>3</v>
      </c>
      <c r="F326" s="28" t="s">
        <v>168</v>
      </c>
      <c r="G326" s="28" t="s">
        <v>197</v>
      </c>
      <c r="H326" s="26" t="s">
        <v>2</v>
      </c>
      <c r="I326" s="29">
        <v>40</v>
      </c>
      <c r="J326" s="35">
        <v>195</v>
      </c>
      <c r="K326" s="17">
        <f t="shared" si="5"/>
        <v>7800</v>
      </c>
      <c r="L326" s="14"/>
    </row>
    <row r="327" spans="1:12" s="20" customFormat="1" ht="26.4">
      <c r="A327" s="26">
        <v>58</v>
      </c>
      <c r="B327" s="27" t="s">
        <v>29</v>
      </c>
      <c r="C327" s="28" t="s">
        <v>30</v>
      </c>
      <c r="D327" s="28" t="s">
        <v>31</v>
      </c>
      <c r="E327" s="19">
        <v>3</v>
      </c>
      <c r="F327" s="28" t="s">
        <v>166</v>
      </c>
      <c r="G327" s="28" t="s">
        <v>197</v>
      </c>
      <c r="H327" s="26" t="s">
        <v>2</v>
      </c>
      <c r="I327" s="29">
        <v>88.5</v>
      </c>
      <c r="J327" s="35">
        <v>195</v>
      </c>
      <c r="K327" s="17">
        <f t="shared" si="5"/>
        <v>17257.5</v>
      </c>
      <c r="L327" s="14"/>
    </row>
    <row r="328" spans="1:12" s="20" customFormat="1" ht="26.4">
      <c r="A328" s="26">
        <v>59</v>
      </c>
      <c r="B328" s="27" t="s">
        <v>29</v>
      </c>
      <c r="C328" s="28" t="s">
        <v>30</v>
      </c>
      <c r="D328" s="28" t="s">
        <v>31</v>
      </c>
      <c r="E328" s="19">
        <v>3</v>
      </c>
      <c r="F328" s="28" t="s">
        <v>167</v>
      </c>
      <c r="G328" s="28" t="s">
        <v>197</v>
      </c>
      <c r="H328" s="26" t="s">
        <v>2</v>
      </c>
      <c r="I328" s="29">
        <v>88.5</v>
      </c>
      <c r="J328" s="35">
        <v>195</v>
      </c>
      <c r="K328" s="17">
        <f t="shared" si="5"/>
        <v>17257.5</v>
      </c>
      <c r="L328" s="14"/>
    </row>
    <row r="329" spans="1:12" s="20" customFormat="1" ht="39.6">
      <c r="A329" s="26">
        <v>60</v>
      </c>
      <c r="B329" s="27" t="s">
        <v>29</v>
      </c>
      <c r="C329" s="28" t="s">
        <v>30</v>
      </c>
      <c r="D329" s="28" t="s">
        <v>31</v>
      </c>
      <c r="E329" s="19">
        <v>3</v>
      </c>
      <c r="F329" s="28" t="s">
        <v>190</v>
      </c>
      <c r="G329" s="28" t="s">
        <v>197</v>
      </c>
      <c r="H329" s="26" t="s">
        <v>2</v>
      </c>
      <c r="I329" s="29">
        <v>13.7</v>
      </c>
      <c r="J329" s="35">
        <v>195</v>
      </c>
      <c r="K329" s="17">
        <f t="shared" si="5"/>
        <v>2671.5</v>
      </c>
      <c r="L329" s="14"/>
    </row>
    <row r="330" spans="1:12" s="20" customFormat="1" ht="52.8">
      <c r="A330" s="26">
        <v>61</v>
      </c>
      <c r="B330" s="27" t="s">
        <v>29</v>
      </c>
      <c r="C330" s="28" t="s">
        <v>30</v>
      </c>
      <c r="D330" s="28" t="s">
        <v>31</v>
      </c>
      <c r="E330" s="19">
        <v>3</v>
      </c>
      <c r="F330" s="28" t="s">
        <v>189</v>
      </c>
      <c r="G330" s="28" t="s">
        <v>197</v>
      </c>
      <c r="H330" s="26" t="s">
        <v>2</v>
      </c>
      <c r="I330" s="29">
        <v>18</v>
      </c>
      <c r="J330" s="35">
        <v>195</v>
      </c>
      <c r="K330" s="17">
        <f t="shared" si="5"/>
        <v>3510</v>
      </c>
      <c r="L330" s="14"/>
    </row>
    <row r="331" spans="1:12" s="20" customFormat="1" ht="26.4">
      <c r="A331" s="26">
        <v>62</v>
      </c>
      <c r="B331" s="27" t="s">
        <v>29</v>
      </c>
      <c r="C331" s="28" t="s">
        <v>30</v>
      </c>
      <c r="D331" s="28" t="s">
        <v>31</v>
      </c>
      <c r="E331" s="19">
        <v>3</v>
      </c>
      <c r="F331" s="28" t="s">
        <v>180</v>
      </c>
      <c r="G331" s="28" t="s">
        <v>197</v>
      </c>
      <c r="H331" s="26" t="s">
        <v>2</v>
      </c>
      <c r="I331" s="29">
        <v>77.5</v>
      </c>
      <c r="J331" s="35">
        <v>195</v>
      </c>
      <c r="K331" s="17">
        <f t="shared" si="5"/>
        <v>15112.5</v>
      </c>
      <c r="L331" s="14"/>
    </row>
    <row r="332" spans="1:12" s="20" customFormat="1" ht="26.4">
      <c r="A332" s="26">
        <v>63</v>
      </c>
      <c r="B332" s="27" t="s">
        <v>29</v>
      </c>
      <c r="C332" s="28" t="s">
        <v>30</v>
      </c>
      <c r="D332" s="28" t="s">
        <v>31</v>
      </c>
      <c r="E332" s="19">
        <v>3</v>
      </c>
      <c r="F332" s="28" t="s">
        <v>179</v>
      </c>
      <c r="G332" s="28" t="s">
        <v>197</v>
      </c>
      <c r="H332" s="26" t="s">
        <v>2</v>
      </c>
      <c r="I332" s="29">
        <v>21</v>
      </c>
      <c r="J332" s="35">
        <v>195</v>
      </c>
      <c r="K332" s="17">
        <f t="shared" si="5"/>
        <v>4095</v>
      </c>
      <c r="L332" s="14"/>
    </row>
    <row r="333" spans="1:12" s="20" customFormat="1" ht="26.4">
      <c r="A333" s="26">
        <v>64</v>
      </c>
      <c r="B333" s="27" t="s">
        <v>29</v>
      </c>
      <c r="C333" s="28" t="s">
        <v>30</v>
      </c>
      <c r="D333" s="28" t="s">
        <v>31</v>
      </c>
      <c r="E333" s="19">
        <v>3</v>
      </c>
      <c r="F333" s="28" t="s">
        <v>173</v>
      </c>
      <c r="G333" s="28" t="s">
        <v>197</v>
      </c>
      <c r="H333" s="26" t="s">
        <v>2</v>
      </c>
      <c r="I333" s="29">
        <v>80.5</v>
      </c>
      <c r="J333" s="35">
        <v>195</v>
      </c>
      <c r="K333" s="17">
        <f t="shared" si="5"/>
        <v>15697.5</v>
      </c>
      <c r="L333" s="14"/>
    </row>
    <row r="334" spans="1:12" s="20" customFormat="1" ht="26.4">
      <c r="A334" s="26">
        <v>65</v>
      </c>
      <c r="B334" s="27" t="s">
        <v>29</v>
      </c>
      <c r="C334" s="28" t="s">
        <v>30</v>
      </c>
      <c r="D334" s="28" t="s">
        <v>31</v>
      </c>
      <c r="E334" s="19">
        <v>3</v>
      </c>
      <c r="F334" s="28" t="s">
        <v>168</v>
      </c>
      <c r="G334" s="28" t="s">
        <v>197</v>
      </c>
      <c r="H334" s="26" t="s">
        <v>2</v>
      </c>
      <c r="I334" s="29">
        <v>80.5</v>
      </c>
      <c r="J334" s="35">
        <v>195</v>
      </c>
      <c r="K334" s="17">
        <f t="shared" si="5"/>
        <v>15697.5</v>
      </c>
      <c r="L334" s="14"/>
    </row>
    <row r="335" spans="1:12" s="20" customFormat="1" ht="26.4">
      <c r="A335" s="26">
        <v>66</v>
      </c>
      <c r="B335" s="27" t="s">
        <v>29</v>
      </c>
      <c r="C335" s="28" t="s">
        <v>30</v>
      </c>
      <c r="D335" s="28" t="s">
        <v>31</v>
      </c>
      <c r="E335" s="19">
        <v>-1</v>
      </c>
      <c r="F335" s="28" t="s">
        <v>44</v>
      </c>
      <c r="G335" s="28" t="s">
        <v>197</v>
      </c>
      <c r="H335" s="26" t="s">
        <v>2</v>
      </c>
      <c r="I335" s="29">
        <v>166.3</v>
      </c>
      <c r="J335" s="35">
        <v>195</v>
      </c>
      <c r="K335" s="17">
        <f t="shared" ref="K335:K360" si="6">I335*J335</f>
        <v>32428.500000000004</v>
      </c>
      <c r="L335" s="14"/>
    </row>
    <row r="336" spans="1:12" s="20" customFormat="1" ht="26.4">
      <c r="A336" s="26">
        <v>67</v>
      </c>
      <c r="B336" s="27" t="s">
        <v>35</v>
      </c>
      <c r="C336" s="28" t="s">
        <v>30</v>
      </c>
      <c r="D336" s="28" t="s">
        <v>31</v>
      </c>
      <c r="E336" s="19">
        <v>-2</v>
      </c>
      <c r="F336" s="28" t="s">
        <v>44</v>
      </c>
      <c r="G336" s="28" t="s">
        <v>197</v>
      </c>
      <c r="H336" s="26" t="s">
        <v>2</v>
      </c>
      <c r="I336" s="29">
        <v>195.5</v>
      </c>
      <c r="J336" s="35">
        <v>195</v>
      </c>
      <c r="K336" s="17">
        <f t="shared" si="6"/>
        <v>38122.5</v>
      </c>
      <c r="L336" s="14"/>
    </row>
    <row r="337" spans="1:12" s="20" customFormat="1" ht="39.6">
      <c r="A337" s="26">
        <v>68</v>
      </c>
      <c r="B337" s="27" t="s">
        <v>29</v>
      </c>
      <c r="C337" s="28" t="s">
        <v>30</v>
      </c>
      <c r="D337" s="28" t="s">
        <v>31</v>
      </c>
      <c r="E337" s="19">
        <v>1</v>
      </c>
      <c r="F337" s="28" t="s">
        <v>51</v>
      </c>
      <c r="G337" s="28" t="s">
        <v>1</v>
      </c>
      <c r="H337" s="26" t="s">
        <v>2</v>
      </c>
      <c r="I337" s="29">
        <v>8.3000000000000007</v>
      </c>
      <c r="J337" s="35">
        <v>585</v>
      </c>
      <c r="K337" s="17">
        <f t="shared" si="6"/>
        <v>4855.5</v>
      </c>
      <c r="L337" s="14"/>
    </row>
    <row r="338" spans="1:12" s="20" customFormat="1" ht="39.6">
      <c r="A338" s="26">
        <v>69</v>
      </c>
      <c r="B338" s="27" t="s">
        <v>29</v>
      </c>
      <c r="C338" s="28" t="s">
        <v>30</v>
      </c>
      <c r="D338" s="28" t="s">
        <v>31</v>
      </c>
      <c r="E338" s="19">
        <v>2</v>
      </c>
      <c r="F338" s="28" t="s">
        <v>135</v>
      </c>
      <c r="G338" s="28" t="s">
        <v>1</v>
      </c>
      <c r="H338" s="26" t="s">
        <v>2</v>
      </c>
      <c r="I338" s="29">
        <v>3.5</v>
      </c>
      <c r="J338" s="35">
        <v>585</v>
      </c>
      <c r="K338" s="17">
        <f t="shared" si="6"/>
        <v>2047.5</v>
      </c>
      <c r="L338" s="14"/>
    </row>
    <row r="339" spans="1:12" s="20" customFormat="1" ht="39.6">
      <c r="A339" s="26">
        <v>70</v>
      </c>
      <c r="B339" s="27" t="s">
        <v>29</v>
      </c>
      <c r="C339" s="28" t="s">
        <v>30</v>
      </c>
      <c r="D339" s="28" t="s">
        <v>31</v>
      </c>
      <c r="E339" s="19">
        <v>3</v>
      </c>
      <c r="F339" s="28" t="s">
        <v>171</v>
      </c>
      <c r="G339" s="28" t="s">
        <v>1</v>
      </c>
      <c r="H339" s="26" t="s">
        <v>2</v>
      </c>
      <c r="I339" s="29">
        <v>17.2</v>
      </c>
      <c r="J339" s="35">
        <v>585</v>
      </c>
      <c r="K339" s="17">
        <f t="shared" si="6"/>
        <v>10062</v>
      </c>
      <c r="L339" s="14"/>
    </row>
    <row r="340" spans="1:12" s="20" customFormat="1" ht="39.6">
      <c r="A340" s="26">
        <v>71</v>
      </c>
      <c r="B340" s="27" t="s">
        <v>29</v>
      </c>
      <c r="C340" s="28" t="s">
        <v>30</v>
      </c>
      <c r="D340" s="28" t="s">
        <v>31</v>
      </c>
      <c r="E340" s="19">
        <v>3</v>
      </c>
      <c r="F340" s="28" t="s">
        <v>170</v>
      </c>
      <c r="G340" s="28" t="s">
        <v>1</v>
      </c>
      <c r="H340" s="26" t="s">
        <v>2</v>
      </c>
      <c r="I340" s="29">
        <v>12</v>
      </c>
      <c r="J340" s="35">
        <v>585</v>
      </c>
      <c r="K340" s="17">
        <f t="shared" si="6"/>
        <v>7020</v>
      </c>
      <c r="L340" s="14"/>
    </row>
    <row r="341" spans="1:12" s="20" customFormat="1" ht="39.6">
      <c r="A341" s="26">
        <v>72</v>
      </c>
      <c r="B341" s="27" t="s">
        <v>29</v>
      </c>
      <c r="C341" s="28" t="s">
        <v>30</v>
      </c>
      <c r="D341" s="28" t="s">
        <v>31</v>
      </c>
      <c r="E341" s="19">
        <v>3</v>
      </c>
      <c r="F341" s="28" t="s">
        <v>172</v>
      </c>
      <c r="G341" s="28" t="s">
        <v>1</v>
      </c>
      <c r="H341" s="26" t="s">
        <v>2</v>
      </c>
      <c r="I341" s="29">
        <v>20</v>
      </c>
      <c r="J341" s="35">
        <v>585</v>
      </c>
      <c r="K341" s="17">
        <f t="shared" si="6"/>
        <v>11700</v>
      </c>
      <c r="L341" s="14"/>
    </row>
    <row r="342" spans="1:12" s="20" customFormat="1" ht="39.6">
      <c r="A342" s="26">
        <v>73</v>
      </c>
      <c r="B342" s="27" t="s">
        <v>29</v>
      </c>
      <c r="C342" s="28" t="s">
        <v>30</v>
      </c>
      <c r="D342" s="28" t="s">
        <v>31</v>
      </c>
      <c r="E342" s="19">
        <v>3</v>
      </c>
      <c r="F342" s="28" t="s">
        <v>169</v>
      </c>
      <c r="G342" s="28" t="s">
        <v>1</v>
      </c>
      <c r="H342" s="26" t="s">
        <v>2</v>
      </c>
      <c r="I342" s="29">
        <v>15</v>
      </c>
      <c r="J342" s="35">
        <v>585</v>
      </c>
      <c r="K342" s="17">
        <f t="shared" si="6"/>
        <v>8775</v>
      </c>
      <c r="L342" s="14"/>
    </row>
    <row r="343" spans="1:12" s="20" customFormat="1" ht="39.6">
      <c r="A343" s="26">
        <v>74</v>
      </c>
      <c r="B343" s="27" t="s">
        <v>29</v>
      </c>
      <c r="C343" s="28" t="s">
        <v>30</v>
      </c>
      <c r="D343" s="28" t="s">
        <v>31</v>
      </c>
      <c r="E343" s="19">
        <v>3</v>
      </c>
      <c r="F343" s="28" t="s">
        <v>167</v>
      </c>
      <c r="G343" s="28" t="s">
        <v>1</v>
      </c>
      <c r="H343" s="26" t="s">
        <v>2</v>
      </c>
      <c r="I343" s="29">
        <v>28.4</v>
      </c>
      <c r="J343" s="35">
        <v>585</v>
      </c>
      <c r="K343" s="17">
        <f t="shared" si="6"/>
        <v>16614</v>
      </c>
      <c r="L343" s="14"/>
    </row>
    <row r="344" spans="1:12" s="20" customFormat="1" ht="39.6">
      <c r="A344" s="26">
        <v>75</v>
      </c>
      <c r="B344" s="27" t="s">
        <v>29</v>
      </c>
      <c r="C344" s="28" t="s">
        <v>30</v>
      </c>
      <c r="D344" s="28" t="s">
        <v>31</v>
      </c>
      <c r="E344" s="19">
        <v>3</v>
      </c>
      <c r="F344" s="28" t="s">
        <v>166</v>
      </c>
      <c r="G344" s="28" t="s">
        <v>1</v>
      </c>
      <c r="H344" s="26" t="s">
        <v>2</v>
      </c>
      <c r="I344" s="29">
        <v>12.3</v>
      </c>
      <c r="J344" s="35">
        <v>585</v>
      </c>
      <c r="K344" s="17">
        <f t="shared" si="6"/>
        <v>7195.5</v>
      </c>
      <c r="L344" s="14"/>
    </row>
    <row r="345" spans="1:12" s="20" customFormat="1" ht="39.6">
      <c r="A345" s="26">
        <v>76</v>
      </c>
      <c r="B345" s="27" t="s">
        <v>29</v>
      </c>
      <c r="C345" s="28" t="s">
        <v>30</v>
      </c>
      <c r="D345" s="28" t="s">
        <v>31</v>
      </c>
      <c r="E345" s="19">
        <v>3</v>
      </c>
      <c r="F345" s="28" t="s">
        <v>165</v>
      </c>
      <c r="G345" s="28" t="s">
        <v>1</v>
      </c>
      <c r="H345" s="26" t="s">
        <v>2</v>
      </c>
      <c r="I345" s="29">
        <v>20</v>
      </c>
      <c r="J345" s="35">
        <v>585</v>
      </c>
      <c r="K345" s="17">
        <f t="shared" si="6"/>
        <v>11700</v>
      </c>
      <c r="L345" s="14"/>
    </row>
    <row r="346" spans="1:12" s="20" customFormat="1" ht="39.6">
      <c r="A346" s="26">
        <v>77</v>
      </c>
      <c r="B346" s="27" t="s">
        <v>29</v>
      </c>
      <c r="C346" s="28" t="s">
        <v>30</v>
      </c>
      <c r="D346" s="28" t="s">
        <v>31</v>
      </c>
      <c r="E346" s="19">
        <v>3</v>
      </c>
      <c r="F346" s="28" t="s">
        <v>164</v>
      </c>
      <c r="G346" s="28" t="s">
        <v>1</v>
      </c>
      <c r="H346" s="26" t="s">
        <v>2</v>
      </c>
      <c r="I346" s="29">
        <v>5.4</v>
      </c>
      <c r="J346" s="35">
        <v>585</v>
      </c>
      <c r="K346" s="17">
        <f t="shared" si="6"/>
        <v>3159</v>
      </c>
      <c r="L346" s="14"/>
    </row>
    <row r="347" spans="1:12" s="20" customFormat="1" ht="39.6">
      <c r="A347" s="26">
        <v>78</v>
      </c>
      <c r="B347" s="27" t="s">
        <v>29</v>
      </c>
      <c r="C347" s="28" t="s">
        <v>30</v>
      </c>
      <c r="D347" s="28" t="s">
        <v>31</v>
      </c>
      <c r="E347" s="19">
        <v>3</v>
      </c>
      <c r="F347" s="28" t="s">
        <v>163</v>
      </c>
      <c r="G347" s="28" t="s">
        <v>1</v>
      </c>
      <c r="H347" s="26" t="s">
        <v>2</v>
      </c>
      <c r="I347" s="29">
        <v>12</v>
      </c>
      <c r="J347" s="35">
        <v>585</v>
      </c>
      <c r="K347" s="17">
        <f t="shared" si="6"/>
        <v>7020</v>
      </c>
      <c r="L347" s="14"/>
    </row>
    <row r="348" spans="1:12" s="20" customFormat="1" ht="39.6">
      <c r="A348" s="26">
        <v>79</v>
      </c>
      <c r="B348" s="27" t="s">
        <v>29</v>
      </c>
      <c r="C348" s="28" t="s">
        <v>30</v>
      </c>
      <c r="D348" s="28" t="s">
        <v>31</v>
      </c>
      <c r="E348" s="19">
        <v>3</v>
      </c>
      <c r="F348" s="28" t="s">
        <v>178</v>
      </c>
      <c r="G348" s="28" t="s">
        <v>1</v>
      </c>
      <c r="H348" s="26" t="s">
        <v>2</v>
      </c>
      <c r="I348" s="29">
        <v>36</v>
      </c>
      <c r="J348" s="35">
        <v>585</v>
      </c>
      <c r="K348" s="17">
        <f t="shared" si="6"/>
        <v>21060</v>
      </c>
      <c r="L348" s="14"/>
    </row>
    <row r="349" spans="1:12" s="20" customFormat="1">
      <c r="A349" s="26">
        <v>80</v>
      </c>
      <c r="B349" s="27" t="s">
        <v>29</v>
      </c>
      <c r="C349" s="28" t="s">
        <v>30</v>
      </c>
      <c r="D349" s="28" t="s">
        <v>31</v>
      </c>
      <c r="E349" s="19">
        <v>1</v>
      </c>
      <c r="F349" s="28" t="s">
        <v>51</v>
      </c>
      <c r="G349" s="28" t="s">
        <v>185</v>
      </c>
      <c r="H349" s="26" t="s">
        <v>2</v>
      </c>
      <c r="I349" s="29">
        <v>9</v>
      </c>
      <c r="J349" s="35">
        <v>1105</v>
      </c>
      <c r="K349" s="17">
        <f t="shared" si="6"/>
        <v>9945</v>
      </c>
      <c r="L349" s="14"/>
    </row>
    <row r="350" spans="1:12" s="20" customFormat="1">
      <c r="A350" s="26">
        <v>81</v>
      </c>
      <c r="B350" s="27" t="s">
        <v>29</v>
      </c>
      <c r="C350" s="28" t="s">
        <v>30</v>
      </c>
      <c r="D350" s="28" t="s">
        <v>31</v>
      </c>
      <c r="E350" s="19">
        <v>2</v>
      </c>
      <c r="F350" s="28" t="s">
        <v>135</v>
      </c>
      <c r="G350" s="28" t="s">
        <v>185</v>
      </c>
      <c r="H350" s="26" t="s">
        <v>2</v>
      </c>
      <c r="I350" s="29">
        <v>3.5</v>
      </c>
      <c r="J350" s="35">
        <v>1105</v>
      </c>
      <c r="K350" s="17">
        <f t="shared" si="6"/>
        <v>3867.5</v>
      </c>
      <c r="L350" s="14"/>
    </row>
    <row r="351" spans="1:12" s="20" customFormat="1">
      <c r="A351" s="26">
        <v>82</v>
      </c>
      <c r="B351" s="27" t="s">
        <v>29</v>
      </c>
      <c r="C351" s="28" t="s">
        <v>30</v>
      </c>
      <c r="D351" s="28" t="s">
        <v>31</v>
      </c>
      <c r="E351" s="19">
        <v>3</v>
      </c>
      <c r="F351" s="28" t="s">
        <v>172</v>
      </c>
      <c r="G351" s="28" t="s">
        <v>185</v>
      </c>
      <c r="H351" s="26" t="s">
        <v>2</v>
      </c>
      <c r="I351" s="29">
        <v>14</v>
      </c>
      <c r="J351" s="35">
        <v>1105</v>
      </c>
      <c r="K351" s="17">
        <f t="shared" si="6"/>
        <v>15470</v>
      </c>
      <c r="L351" s="14"/>
    </row>
    <row r="352" spans="1:12" s="20" customFormat="1">
      <c r="A352" s="26">
        <v>83</v>
      </c>
      <c r="B352" s="27" t="s">
        <v>29</v>
      </c>
      <c r="C352" s="28" t="s">
        <v>30</v>
      </c>
      <c r="D352" s="28" t="s">
        <v>31</v>
      </c>
      <c r="E352" s="19">
        <v>3</v>
      </c>
      <c r="F352" s="28" t="s">
        <v>169</v>
      </c>
      <c r="G352" s="28" t="s">
        <v>185</v>
      </c>
      <c r="H352" s="26" t="s">
        <v>2</v>
      </c>
      <c r="I352" s="29">
        <v>1.7</v>
      </c>
      <c r="J352" s="35">
        <v>1105</v>
      </c>
      <c r="K352" s="17">
        <f t="shared" si="6"/>
        <v>1878.5</v>
      </c>
      <c r="L352" s="14"/>
    </row>
    <row r="353" spans="1:12" s="20" customFormat="1">
      <c r="A353" s="26">
        <v>84</v>
      </c>
      <c r="B353" s="27" t="s">
        <v>29</v>
      </c>
      <c r="C353" s="28" t="s">
        <v>30</v>
      </c>
      <c r="D353" s="28" t="s">
        <v>31</v>
      </c>
      <c r="E353" s="19">
        <v>3</v>
      </c>
      <c r="F353" s="28" t="s">
        <v>167</v>
      </c>
      <c r="G353" s="28" t="s">
        <v>185</v>
      </c>
      <c r="H353" s="26" t="s">
        <v>2</v>
      </c>
      <c r="I353" s="29">
        <v>19.399999999999999</v>
      </c>
      <c r="J353" s="35">
        <v>1105</v>
      </c>
      <c r="K353" s="17">
        <f t="shared" si="6"/>
        <v>21437</v>
      </c>
      <c r="L353" s="14"/>
    </row>
    <row r="354" spans="1:12" s="20" customFormat="1">
      <c r="A354" s="26">
        <v>85</v>
      </c>
      <c r="B354" s="27" t="s">
        <v>29</v>
      </c>
      <c r="C354" s="28" t="s">
        <v>30</v>
      </c>
      <c r="D354" s="28" t="s">
        <v>31</v>
      </c>
      <c r="E354" s="19">
        <v>3</v>
      </c>
      <c r="F354" s="28" t="s">
        <v>113</v>
      </c>
      <c r="G354" s="28" t="s">
        <v>185</v>
      </c>
      <c r="H354" s="26" t="s">
        <v>2</v>
      </c>
      <c r="I354" s="29">
        <v>2.2999999999999998</v>
      </c>
      <c r="J354" s="35">
        <v>1105</v>
      </c>
      <c r="K354" s="17">
        <f t="shared" si="6"/>
        <v>2541.5</v>
      </c>
      <c r="L354" s="14"/>
    </row>
    <row r="355" spans="1:12" s="20" customFormat="1">
      <c r="A355" s="26">
        <v>86</v>
      </c>
      <c r="B355" s="27" t="s">
        <v>35</v>
      </c>
      <c r="C355" s="28" t="s">
        <v>30</v>
      </c>
      <c r="D355" s="28" t="s">
        <v>31</v>
      </c>
      <c r="E355" s="19">
        <v>3</v>
      </c>
      <c r="F355" s="28" t="s">
        <v>163</v>
      </c>
      <c r="G355" s="28" t="s">
        <v>185</v>
      </c>
      <c r="H355" s="26" t="s">
        <v>2</v>
      </c>
      <c r="I355" s="29">
        <v>9.6999999999999993</v>
      </c>
      <c r="J355" s="35">
        <v>1105</v>
      </c>
      <c r="K355" s="17">
        <f t="shared" si="6"/>
        <v>10718.5</v>
      </c>
      <c r="L355" s="14"/>
    </row>
    <row r="356" spans="1:12" s="20" customFormat="1">
      <c r="A356" s="26">
        <v>87</v>
      </c>
      <c r="B356" s="27" t="s">
        <v>29</v>
      </c>
      <c r="C356" s="28" t="s">
        <v>30</v>
      </c>
      <c r="D356" s="28" t="s">
        <v>31</v>
      </c>
      <c r="E356" s="19">
        <v>3</v>
      </c>
      <c r="F356" s="28" t="s">
        <v>165</v>
      </c>
      <c r="G356" s="28" t="s">
        <v>185</v>
      </c>
      <c r="H356" s="26" t="s">
        <v>2</v>
      </c>
      <c r="I356" s="29">
        <v>14</v>
      </c>
      <c r="J356" s="35">
        <v>1105</v>
      </c>
      <c r="K356" s="17">
        <f t="shared" si="6"/>
        <v>15470</v>
      </c>
      <c r="L356" s="14"/>
    </row>
    <row r="357" spans="1:12" s="20" customFormat="1" ht="26.4">
      <c r="A357" s="26">
        <v>88</v>
      </c>
      <c r="B357" s="27" t="s">
        <v>29</v>
      </c>
      <c r="C357" s="28" t="s">
        <v>30</v>
      </c>
      <c r="D357" s="28" t="s">
        <v>31</v>
      </c>
      <c r="E357" s="19">
        <v>3</v>
      </c>
      <c r="F357" s="28" t="s">
        <v>178</v>
      </c>
      <c r="G357" s="28" t="s">
        <v>185</v>
      </c>
      <c r="H357" s="26" t="s">
        <v>2</v>
      </c>
      <c r="I357" s="29">
        <v>1.6</v>
      </c>
      <c r="J357" s="35">
        <v>1105</v>
      </c>
      <c r="K357" s="17">
        <f t="shared" si="6"/>
        <v>1768</v>
      </c>
      <c r="L357" s="14"/>
    </row>
    <row r="358" spans="1:12" s="20" customFormat="1" ht="39.6">
      <c r="A358" s="26">
        <v>89</v>
      </c>
      <c r="B358" s="27" t="s">
        <v>29</v>
      </c>
      <c r="C358" s="28" t="s">
        <v>30</v>
      </c>
      <c r="D358" s="28" t="s">
        <v>31</v>
      </c>
      <c r="E358" s="19">
        <v>3</v>
      </c>
      <c r="F358" s="28" t="s">
        <v>190</v>
      </c>
      <c r="G358" s="28" t="s">
        <v>185</v>
      </c>
      <c r="H358" s="26" t="s">
        <v>2</v>
      </c>
      <c r="I358" s="29">
        <v>2.7</v>
      </c>
      <c r="J358" s="35">
        <v>1105</v>
      </c>
      <c r="K358" s="17">
        <f t="shared" si="6"/>
        <v>2983.5</v>
      </c>
      <c r="L358" s="14"/>
    </row>
    <row r="359" spans="1:12" s="20" customFormat="1" ht="52.8">
      <c r="A359" s="26">
        <v>90</v>
      </c>
      <c r="B359" s="27" t="s">
        <v>29</v>
      </c>
      <c r="C359" s="28" t="s">
        <v>30</v>
      </c>
      <c r="D359" s="28" t="s">
        <v>31</v>
      </c>
      <c r="E359" s="19">
        <v>3</v>
      </c>
      <c r="F359" s="28" t="s">
        <v>189</v>
      </c>
      <c r="G359" s="28" t="s">
        <v>185</v>
      </c>
      <c r="H359" s="26" t="s">
        <v>2</v>
      </c>
      <c r="I359" s="29">
        <v>9.3000000000000007</v>
      </c>
      <c r="J359" s="35">
        <v>1105</v>
      </c>
      <c r="K359" s="17">
        <f t="shared" si="6"/>
        <v>10276.5</v>
      </c>
      <c r="L359" s="14"/>
    </row>
    <row r="360" spans="1:12" s="20" customFormat="1">
      <c r="A360" s="26">
        <v>91</v>
      </c>
      <c r="B360" s="27" t="s">
        <v>29</v>
      </c>
      <c r="C360" s="28" t="s">
        <v>30</v>
      </c>
      <c r="D360" s="28" t="s">
        <v>31</v>
      </c>
      <c r="E360" s="19">
        <v>3</v>
      </c>
      <c r="F360" s="28" t="s">
        <v>180</v>
      </c>
      <c r="G360" s="28" t="s">
        <v>185</v>
      </c>
      <c r="H360" s="26" t="s">
        <v>2</v>
      </c>
      <c r="I360" s="29">
        <v>6.8</v>
      </c>
      <c r="J360" s="35">
        <v>1105</v>
      </c>
      <c r="K360" s="17">
        <f t="shared" si="6"/>
        <v>7514</v>
      </c>
      <c r="L360" s="14"/>
    </row>
    <row r="361" spans="1:12" s="20" customFormat="1">
      <c r="A361" s="26">
        <v>92</v>
      </c>
      <c r="B361" s="27" t="s">
        <v>29</v>
      </c>
      <c r="C361" s="28" t="s">
        <v>30</v>
      </c>
      <c r="D361" s="28" t="s">
        <v>31</v>
      </c>
      <c r="E361" s="19">
        <v>3</v>
      </c>
      <c r="F361" s="28" t="s">
        <v>173</v>
      </c>
      <c r="G361" s="28" t="s">
        <v>185</v>
      </c>
      <c r="H361" s="26" t="s">
        <v>2</v>
      </c>
      <c r="I361" s="29">
        <v>78.5</v>
      </c>
      <c r="J361" s="35">
        <v>1105</v>
      </c>
      <c r="K361" s="17">
        <f>J361*I361</f>
        <v>86742.5</v>
      </c>
      <c r="L361" s="14"/>
    </row>
    <row r="362" spans="1:12" s="20" customFormat="1">
      <c r="A362" s="26">
        <v>93</v>
      </c>
      <c r="B362" s="27" t="s">
        <v>29</v>
      </c>
      <c r="C362" s="28" t="s">
        <v>30</v>
      </c>
      <c r="D362" s="28" t="s">
        <v>31</v>
      </c>
      <c r="E362" s="19">
        <v>3</v>
      </c>
      <c r="F362" s="28" t="s">
        <v>168</v>
      </c>
      <c r="G362" s="28" t="s">
        <v>185</v>
      </c>
      <c r="H362" s="26" t="s">
        <v>2</v>
      </c>
      <c r="I362" s="29">
        <v>78.5</v>
      </c>
      <c r="J362" s="35">
        <v>1105</v>
      </c>
      <c r="K362" s="17">
        <f>J362*I362</f>
        <v>86742.5</v>
      </c>
      <c r="L362" s="14"/>
    </row>
    <row r="363" spans="1:12" s="20" customFormat="1" ht="39.6">
      <c r="A363" s="26">
        <v>94</v>
      </c>
      <c r="B363" s="27" t="s">
        <v>29</v>
      </c>
      <c r="C363" s="28" t="s">
        <v>30</v>
      </c>
      <c r="D363" s="28" t="s">
        <v>33</v>
      </c>
      <c r="E363" s="19">
        <v>1</v>
      </c>
      <c r="F363" s="28" t="s">
        <v>88</v>
      </c>
      <c r="G363" s="28" t="s">
        <v>5</v>
      </c>
      <c r="H363" s="26" t="s">
        <v>2</v>
      </c>
      <c r="I363" s="29">
        <v>5.3</v>
      </c>
      <c r="J363" s="35">
        <v>1170</v>
      </c>
      <c r="K363" s="17">
        <f t="shared" ref="K363:K383" si="7">J363*I363</f>
        <v>6201</v>
      </c>
      <c r="L363" s="14"/>
    </row>
    <row r="364" spans="1:12" s="20" customFormat="1" ht="26.4">
      <c r="A364" s="26">
        <v>95</v>
      </c>
      <c r="B364" s="27" t="s">
        <v>29</v>
      </c>
      <c r="C364" s="28" t="s">
        <v>30</v>
      </c>
      <c r="D364" s="28" t="s">
        <v>31</v>
      </c>
      <c r="E364" s="19">
        <v>1</v>
      </c>
      <c r="F364" s="28" t="s">
        <v>88</v>
      </c>
      <c r="G364" s="28" t="s">
        <v>6</v>
      </c>
      <c r="H364" s="26" t="s">
        <v>2</v>
      </c>
      <c r="I364" s="29">
        <v>37</v>
      </c>
      <c r="J364" s="35">
        <v>1170</v>
      </c>
      <c r="K364" s="17">
        <f t="shared" si="7"/>
        <v>43290</v>
      </c>
      <c r="L364" s="14"/>
    </row>
    <row r="365" spans="1:12" s="20" customFormat="1" ht="39.6">
      <c r="A365" s="26">
        <v>96</v>
      </c>
      <c r="B365" s="27" t="s">
        <v>29</v>
      </c>
      <c r="C365" s="28" t="s">
        <v>30</v>
      </c>
      <c r="D365" s="28" t="s">
        <v>33</v>
      </c>
      <c r="E365" s="19">
        <v>1</v>
      </c>
      <c r="F365" s="28" t="s">
        <v>79</v>
      </c>
      <c r="G365" s="28" t="s">
        <v>5</v>
      </c>
      <c r="H365" s="26" t="s">
        <v>2</v>
      </c>
      <c r="I365" s="29">
        <v>6.5</v>
      </c>
      <c r="J365" s="35">
        <v>1170</v>
      </c>
      <c r="K365" s="17">
        <f t="shared" si="7"/>
        <v>7605</v>
      </c>
      <c r="L365" s="14"/>
    </row>
    <row r="366" spans="1:12" s="20" customFormat="1" ht="26.4">
      <c r="A366" s="26">
        <v>97</v>
      </c>
      <c r="B366" s="27" t="s">
        <v>29</v>
      </c>
      <c r="C366" s="28" t="s">
        <v>30</v>
      </c>
      <c r="D366" s="28" t="s">
        <v>31</v>
      </c>
      <c r="E366" s="19">
        <v>1</v>
      </c>
      <c r="F366" s="28" t="s">
        <v>79</v>
      </c>
      <c r="G366" s="28" t="s">
        <v>6</v>
      </c>
      <c r="H366" s="26" t="s">
        <v>2</v>
      </c>
      <c r="I366" s="29">
        <v>9.5</v>
      </c>
      <c r="J366" s="35">
        <v>1170</v>
      </c>
      <c r="K366" s="17">
        <f t="shared" si="7"/>
        <v>11115</v>
      </c>
      <c r="L366" s="14"/>
    </row>
    <row r="367" spans="1:12" s="20" customFormat="1" ht="39.6">
      <c r="A367" s="26">
        <v>98</v>
      </c>
      <c r="B367" s="27" t="s">
        <v>29</v>
      </c>
      <c r="C367" s="28" t="s">
        <v>30</v>
      </c>
      <c r="D367" s="28" t="s">
        <v>33</v>
      </c>
      <c r="E367" s="19">
        <v>1</v>
      </c>
      <c r="F367" s="28" t="s">
        <v>84</v>
      </c>
      <c r="G367" s="28" t="s">
        <v>5</v>
      </c>
      <c r="H367" s="26" t="s">
        <v>2</v>
      </c>
      <c r="I367" s="29">
        <v>6.5</v>
      </c>
      <c r="J367" s="35">
        <v>1170</v>
      </c>
      <c r="K367" s="17">
        <f t="shared" si="7"/>
        <v>7605</v>
      </c>
      <c r="L367" s="14"/>
    </row>
    <row r="368" spans="1:12" s="20" customFormat="1" ht="26.4">
      <c r="A368" s="26">
        <v>99</v>
      </c>
      <c r="B368" s="27" t="s">
        <v>29</v>
      </c>
      <c r="C368" s="28" t="s">
        <v>30</v>
      </c>
      <c r="D368" s="28" t="s">
        <v>31</v>
      </c>
      <c r="E368" s="19">
        <v>1</v>
      </c>
      <c r="F368" s="28" t="s">
        <v>84</v>
      </c>
      <c r="G368" s="28" t="s">
        <v>6</v>
      </c>
      <c r="H368" s="26" t="s">
        <v>2</v>
      </c>
      <c r="I368" s="29">
        <v>9.5</v>
      </c>
      <c r="J368" s="35">
        <v>1170</v>
      </c>
      <c r="K368" s="17">
        <f t="shared" si="7"/>
        <v>11115</v>
      </c>
      <c r="L368" s="14"/>
    </row>
    <row r="369" spans="1:12" s="20" customFormat="1" ht="39.6">
      <c r="A369" s="26">
        <v>100</v>
      </c>
      <c r="B369" s="27" t="s">
        <v>29</v>
      </c>
      <c r="C369" s="28" t="s">
        <v>30</v>
      </c>
      <c r="D369" s="28" t="s">
        <v>33</v>
      </c>
      <c r="E369" s="19">
        <v>2</v>
      </c>
      <c r="F369" s="28" t="s">
        <v>129</v>
      </c>
      <c r="G369" s="28" t="s">
        <v>5</v>
      </c>
      <c r="H369" s="26" t="s">
        <v>2</v>
      </c>
      <c r="I369" s="29">
        <v>6.5</v>
      </c>
      <c r="J369" s="35">
        <v>1170</v>
      </c>
      <c r="K369" s="17">
        <f t="shared" si="7"/>
        <v>7605</v>
      </c>
      <c r="L369" s="14"/>
    </row>
    <row r="370" spans="1:12" s="20" customFormat="1" ht="26.4">
      <c r="A370" s="26">
        <v>101</v>
      </c>
      <c r="B370" s="27" t="s">
        <v>29</v>
      </c>
      <c r="C370" s="28" t="s">
        <v>30</v>
      </c>
      <c r="D370" s="28" t="s">
        <v>31</v>
      </c>
      <c r="E370" s="19">
        <v>2</v>
      </c>
      <c r="F370" s="28" t="s">
        <v>129</v>
      </c>
      <c r="G370" s="28" t="s">
        <v>6</v>
      </c>
      <c r="H370" s="26" t="s">
        <v>2</v>
      </c>
      <c r="I370" s="29">
        <v>15.2</v>
      </c>
      <c r="J370" s="35">
        <v>1170</v>
      </c>
      <c r="K370" s="17">
        <f t="shared" si="7"/>
        <v>17784</v>
      </c>
      <c r="L370" s="14"/>
    </row>
    <row r="371" spans="1:12" s="20" customFormat="1" ht="39.6">
      <c r="A371" s="26">
        <v>102</v>
      </c>
      <c r="B371" s="27" t="s">
        <v>29</v>
      </c>
      <c r="C371" s="28" t="s">
        <v>30</v>
      </c>
      <c r="D371" s="28" t="s">
        <v>33</v>
      </c>
      <c r="E371" s="19">
        <v>2</v>
      </c>
      <c r="F371" s="28" t="s">
        <v>124</v>
      </c>
      <c r="G371" s="28" t="s">
        <v>5</v>
      </c>
      <c r="H371" s="26" t="s">
        <v>2</v>
      </c>
      <c r="I371" s="29">
        <v>6.5</v>
      </c>
      <c r="J371" s="35">
        <v>1170</v>
      </c>
      <c r="K371" s="17">
        <f t="shared" si="7"/>
        <v>7605</v>
      </c>
      <c r="L371" s="14"/>
    </row>
    <row r="372" spans="1:12" s="20" customFormat="1" ht="26.4">
      <c r="A372" s="26">
        <v>103</v>
      </c>
      <c r="B372" s="27" t="s">
        <v>29</v>
      </c>
      <c r="C372" s="28" t="s">
        <v>30</v>
      </c>
      <c r="D372" s="28" t="s">
        <v>31</v>
      </c>
      <c r="E372" s="19">
        <v>2</v>
      </c>
      <c r="F372" s="28" t="s">
        <v>124</v>
      </c>
      <c r="G372" s="28" t="s">
        <v>6</v>
      </c>
      <c r="H372" s="26" t="s">
        <v>2</v>
      </c>
      <c r="I372" s="29">
        <v>15.2</v>
      </c>
      <c r="J372" s="35">
        <v>1170</v>
      </c>
      <c r="K372" s="17">
        <f t="shared" si="7"/>
        <v>17784</v>
      </c>
      <c r="L372" s="14"/>
    </row>
    <row r="373" spans="1:12" s="20" customFormat="1" ht="26.4">
      <c r="A373" s="26">
        <v>104</v>
      </c>
      <c r="B373" s="27" t="s">
        <v>29</v>
      </c>
      <c r="C373" s="28" t="s">
        <v>30</v>
      </c>
      <c r="D373" s="28" t="s">
        <v>31</v>
      </c>
      <c r="E373" s="19">
        <v>2</v>
      </c>
      <c r="F373" s="28" t="s">
        <v>138</v>
      </c>
      <c r="G373" s="28" t="s">
        <v>6</v>
      </c>
      <c r="H373" s="26" t="s">
        <v>2</v>
      </c>
      <c r="I373" s="29">
        <v>33</v>
      </c>
      <c r="J373" s="35">
        <v>1170</v>
      </c>
      <c r="K373" s="17">
        <f t="shared" si="7"/>
        <v>38610</v>
      </c>
      <c r="L373" s="14"/>
    </row>
    <row r="374" spans="1:12" s="20" customFormat="1" ht="39.6">
      <c r="A374" s="26">
        <v>105</v>
      </c>
      <c r="B374" s="27" t="s">
        <v>29</v>
      </c>
      <c r="C374" s="28" t="s">
        <v>30</v>
      </c>
      <c r="D374" s="28" t="s">
        <v>33</v>
      </c>
      <c r="E374" s="19">
        <v>2</v>
      </c>
      <c r="F374" s="28" t="s">
        <v>141</v>
      </c>
      <c r="G374" s="28" t="s">
        <v>5</v>
      </c>
      <c r="H374" s="26" t="s">
        <v>2</v>
      </c>
      <c r="I374" s="29">
        <v>5.8</v>
      </c>
      <c r="J374" s="35">
        <v>1170</v>
      </c>
      <c r="K374" s="17">
        <f t="shared" si="7"/>
        <v>6786</v>
      </c>
      <c r="L374" s="14"/>
    </row>
    <row r="375" spans="1:12" s="20" customFormat="1" ht="39.6">
      <c r="A375" s="26">
        <v>106</v>
      </c>
      <c r="B375" s="27" t="s">
        <v>29</v>
      </c>
      <c r="C375" s="28" t="s">
        <v>30</v>
      </c>
      <c r="D375" s="28" t="s">
        <v>33</v>
      </c>
      <c r="E375" s="19">
        <v>2</v>
      </c>
      <c r="F375" s="28" t="s">
        <v>139</v>
      </c>
      <c r="G375" s="28" t="s">
        <v>5</v>
      </c>
      <c r="H375" s="26" t="s">
        <v>2</v>
      </c>
      <c r="I375" s="29">
        <v>6</v>
      </c>
      <c r="J375" s="35">
        <v>1170</v>
      </c>
      <c r="K375" s="17">
        <f t="shared" si="7"/>
        <v>7020</v>
      </c>
      <c r="L375" s="14"/>
    </row>
    <row r="376" spans="1:12" s="20" customFormat="1" ht="39.6">
      <c r="A376" s="26">
        <v>107</v>
      </c>
      <c r="B376" s="27" t="s">
        <v>29</v>
      </c>
      <c r="C376" s="28" t="s">
        <v>30</v>
      </c>
      <c r="D376" s="28" t="s">
        <v>33</v>
      </c>
      <c r="E376" s="19">
        <v>2</v>
      </c>
      <c r="F376" s="28" t="s">
        <v>138</v>
      </c>
      <c r="G376" s="28" t="s">
        <v>5</v>
      </c>
      <c r="H376" s="26" t="s">
        <v>2</v>
      </c>
      <c r="I376" s="29">
        <v>5</v>
      </c>
      <c r="J376" s="35">
        <v>1170</v>
      </c>
      <c r="K376" s="17">
        <f t="shared" si="7"/>
        <v>5850</v>
      </c>
      <c r="L376" s="14"/>
    </row>
    <row r="377" spans="1:12" s="20" customFormat="1" ht="39.6">
      <c r="A377" s="26">
        <v>108</v>
      </c>
      <c r="B377" s="27" t="s">
        <v>29</v>
      </c>
      <c r="C377" s="28" t="s">
        <v>30</v>
      </c>
      <c r="D377" s="28" t="s">
        <v>33</v>
      </c>
      <c r="E377" s="19">
        <v>2</v>
      </c>
      <c r="F377" s="28" t="s">
        <v>122</v>
      </c>
      <c r="G377" s="28" t="s">
        <v>5</v>
      </c>
      <c r="H377" s="26" t="s">
        <v>2</v>
      </c>
      <c r="I377" s="29">
        <v>7.6</v>
      </c>
      <c r="J377" s="35">
        <v>1170</v>
      </c>
      <c r="K377" s="17">
        <f t="shared" si="7"/>
        <v>8892</v>
      </c>
      <c r="L377" s="14"/>
    </row>
    <row r="378" spans="1:12" s="20" customFormat="1" ht="39.6">
      <c r="A378" s="26">
        <v>109</v>
      </c>
      <c r="B378" s="27" t="s">
        <v>29</v>
      </c>
      <c r="C378" s="28" t="s">
        <v>30</v>
      </c>
      <c r="D378" s="28" t="s">
        <v>33</v>
      </c>
      <c r="E378" s="19">
        <v>3</v>
      </c>
      <c r="F378" s="28" t="s">
        <v>173</v>
      </c>
      <c r="G378" s="28" t="s">
        <v>5</v>
      </c>
      <c r="H378" s="26" t="s">
        <v>2</v>
      </c>
      <c r="I378" s="29">
        <v>30.6</v>
      </c>
      <c r="J378" s="35">
        <v>1170</v>
      </c>
      <c r="K378" s="17">
        <f t="shared" si="7"/>
        <v>35802</v>
      </c>
      <c r="L378" s="14"/>
    </row>
    <row r="379" spans="1:12" s="20" customFormat="1" ht="26.4">
      <c r="A379" s="26">
        <v>110</v>
      </c>
      <c r="B379" s="27" t="s">
        <v>29</v>
      </c>
      <c r="C379" s="28" t="s">
        <v>30</v>
      </c>
      <c r="D379" s="28" t="s">
        <v>31</v>
      </c>
      <c r="E379" s="19">
        <v>3</v>
      </c>
      <c r="F379" s="28" t="s">
        <v>173</v>
      </c>
      <c r="G379" s="28" t="s">
        <v>6</v>
      </c>
      <c r="H379" s="26" t="s">
        <v>2</v>
      </c>
      <c r="I379" s="29">
        <v>37.200000000000003</v>
      </c>
      <c r="J379" s="35">
        <v>1170</v>
      </c>
      <c r="K379" s="17">
        <f t="shared" si="7"/>
        <v>43524</v>
      </c>
      <c r="L379" s="14"/>
    </row>
    <row r="380" spans="1:12" s="20" customFormat="1" ht="39.6">
      <c r="A380" s="26">
        <v>111</v>
      </c>
      <c r="B380" s="27" t="s">
        <v>29</v>
      </c>
      <c r="C380" s="28" t="s">
        <v>30</v>
      </c>
      <c r="D380" s="28" t="s">
        <v>33</v>
      </c>
      <c r="E380" s="19">
        <v>3</v>
      </c>
      <c r="F380" s="28" t="s">
        <v>175</v>
      </c>
      <c r="G380" s="28" t="s">
        <v>5</v>
      </c>
      <c r="H380" s="26" t="s">
        <v>2</v>
      </c>
      <c r="I380" s="29">
        <v>5.74</v>
      </c>
      <c r="J380" s="35">
        <v>1170</v>
      </c>
      <c r="K380" s="17">
        <f t="shared" si="7"/>
        <v>6715.8</v>
      </c>
      <c r="L380" s="14"/>
    </row>
    <row r="381" spans="1:12" s="20" customFormat="1" ht="39.6">
      <c r="A381" s="26">
        <v>112</v>
      </c>
      <c r="B381" s="27" t="s">
        <v>29</v>
      </c>
      <c r="C381" s="28" t="s">
        <v>30</v>
      </c>
      <c r="D381" s="28" t="s">
        <v>33</v>
      </c>
      <c r="E381" s="19">
        <v>3</v>
      </c>
      <c r="F381" s="28" t="s">
        <v>176</v>
      </c>
      <c r="G381" s="28" t="s">
        <v>5</v>
      </c>
      <c r="H381" s="26" t="s">
        <v>2</v>
      </c>
      <c r="I381" s="29">
        <v>5.8</v>
      </c>
      <c r="J381" s="35">
        <v>1170</v>
      </c>
      <c r="K381" s="17">
        <f t="shared" si="7"/>
        <v>6786</v>
      </c>
      <c r="L381" s="14"/>
    </row>
    <row r="382" spans="1:12" s="20" customFormat="1" ht="39.6">
      <c r="A382" s="26">
        <v>113</v>
      </c>
      <c r="B382" s="27" t="s">
        <v>29</v>
      </c>
      <c r="C382" s="28"/>
      <c r="D382" s="28" t="s">
        <v>33</v>
      </c>
      <c r="E382" s="19">
        <v>3</v>
      </c>
      <c r="F382" s="28" t="s">
        <v>177</v>
      </c>
      <c r="G382" s="28" t="s">
        <v>5</v>
      </c>
      <c r="H382" s="26" t="s">
        <v>2</v>
      </c>
      <c r="I382" s="29">
        <v>5.74</v>
      </c>
      <c r="J382" s="35">
        <v>1170</v>
      </c>
      <c r="K382" s="17">
        <f t="shared" si="7"/>
        <v>6715.8</v>
      </c>
      <c r="L382" s="14"/>
    </row>
    <row r="383" spans="1:12" s="20" customFormat="1" ht="39.6">
      <c r="A383" s="26">
        <v>114</v>
      </c>
      <c r="B383" s="27" t="s">
        <v>29</v>
      </c>
      <c r="C383" s="28"/>
      <c r="D383" s="28" t="s">
        <v>33</v>
      </c>
      <c r="E383" s="19">
        <v>3</v>
      </c>
      <c r="F383" s="28" t="s">
        <v>178</v>
      </c>
      <c r="G383" s="28" t="s">
        <v>5</v>
      </c>
      <c r="H383" s="26" t="s">
        <v>2</v>
      </c>
      <c r="I383" s="29">
        <v>6.2</v>
      </c>
      <c r="J383" s="35">
        <v>1170</v>
      </c>
      <c r="K383" s="17">
        <f t="shared" si="7"/>
        <v>7254</v>
      </c>
      <c r="L383" s="14"/>
    </row>
    <row r="384" spans="1:12" ht="26.4">
      <c r="A384" s="26">
        <v>117</v>
      </c>
      <c r="B384" s="27" t="s">
        <v>29</v>
      </c>
      <c r="C384" s="28" t="s">
        <v>30</v>
      </c>
      <c r="D384" s="28" t="s">
        <v>31</v>
      </c>
      <c r="E384" s="19">
        <v>3</v>
      </c>
      <c r="F384" s="28" t="s">
        <v>178</v>
      </c>
      <c r="G384" s="28" t="s">
        <v>6</v>
      </c>
      <c r="H384" s="26" t="s">
        <v>2</v>
      </c>
      <c r="I384" s="29">
        <v>39.5</v>
      </c>
      <c r="J384" s="35">
        <v>1170</v>
      </c>
      <c r="K384" s="17">
        <f t="shared" ref="K384:K401" si="8">J384*I384</f>
        <v>46215</v>
      </c>
      <c r="L384" s="14"/>
    </row>
    <row r="385" spans="1:12" ht="39.6">
      <c r="A385" s="26">
        <v>118</v>
      </c>
      <c r="B385" s="27" t="s">
        <v>29</v>
      </c>
      <c r="C385" s="28" t="s">
        <v>30</v>
      </c>
      <c r="D385" s="28" t="s">
        <v>33</v>
      </c>
      <c r="E385" s="19">
        <v>3</v>
      </c>
      <c r="F385" s="28" t="s">
        <v>165</v>
      </c>
      <c r="G385" s="28" t="s">
        <v>5</v>
      </c>
      <c r="H385" s="26" t="s">
        <v>2</v>
      </c>
      <c r="I385" s="29">
        <v>6.7</v>
      </c>
      <c r="J385" s="35">
        <v>1170</v>
      </c>
      <c r="K385" s="17">
        <f>J388*I385</f>
        <v>7839</v>
      </c>
      <c r="L385" s="14"/>
    </row>
    <row r="386" spans="1:12" ht="26.4">
      <c r="A386" s="26">
        <v>119</v>
      </c>
      <c r="B386" s="27" t="s">
        <v>29</v>
      </c>
      <c r="C386" s="28" t="s">
        <v>30</v>
      </c>
      <c r="D386" s="28" t="s">
        <v>31</v>
      </c>
      <c r="E386" s="19">
        <v>3</v>
      </c>
      <c r="F386" s="28" t="s">
        <v>165</v>
      </c>
      <c r="G386" s="28" t="s">
        <v>6</v>
      </c>
      <c r="H386" s="26" t="s">
        <v>2</v>
      </c>
      <c r="I386" s="29">
        <v>15</v>
      </c>
      <c r="J386" s="35">
        <v>1170</v>
      </c>
      <c r="K386" s="17">
        <f t="shared" si="8"/>
        <v>17550</v>
      </c>
      <c r="L386" s="14"/>
    </row>
    <row r="387" spans="1:12" ht="39.6">
      <c r="A387" s="26">
        <v>120</v>
      </c>
      <c r="B387" s="27" t="s">
        <v>29</v>
      </c>
      <c r="C387" s="28" t="s">
        <v>30</v>
      </c>
      <c r="D387" s="28" t="s">
        <v>33</v>
      </c>
      <c r="E387" s="19">
        <v>3</v>
      </c>
      <c r="F387" s="28" t="s">
        <v>172</v>
      </c>
      <c r="G387" s="28" t="s">
        <v>5</v>
      </c>
      <c r="H387" s="26" t="s">
        <v>2</v>
      </c>
      <c r="I387" s="29">
        <v>6.7</v>
      </c>
      <c r="J387" s="35">
        <v>1170</v>
      </c>
      <c r="K387" s="17">
        <f t="shared" si="8"/>
        <v>7839</v>
      </c>
      <c r="L387" s="14"/>
    </row>
    <row r="388" spans="1:12" ht="26.4">
      <c r="A388" s="26">
        <v>121</v>
      </c>
      <c r="B388" s="27" t="s">
        <v>29</v>
      </c>
      <c r="C388" s="28" t="s">
        <v>30</v>
      </c>
      <c r="D388" s="28" t="s">
        <v>31</v>
      </c>
      <c r="E388" s="19">
        <v>3</v>
      </c>
      <c r="F388" s="28" t="s">
        <v>172</v>
      </c>
      <c r="G388" s="28" t="s">
        <v>6</v>
      </c>
      <c r="H388" s="26" t="s">
        <v>2</v>
      </c>
      <c r="I388" s="29">
        <v>15</v>
      </c>
      <c r="J388" s="35">
        <v>1170</v>
      </c>
      <c r="K388" s="17">
        <f t="shared" si="8"/>
        <v>17550</v>
      </c>
      <c r="L388" s="14"/>
    </row>
    <row r="389" spans="1:12">
      <c r="A389" s="26">
        <v>122</v>
      </c>
      <c r="B389" s="27" t="s">
        <v>29</v>
      </c>
      <c r="C389" s="28" t="s">
        <v>30</v>
      </c>
      <c r="D389" s="28" t="s">
        <v>31</v>
      </c>
      <c r="E389" s="19">
        <v>3</v>
      </c>
      <c r="F389" s="28" t="s">
        <v>167</v>
      </c>
      <c r="G389" s="28" t="s">
        <v>183</v>
      </c>
      <c r="H389" s="26" t="s">
        <v>184</v>
      </c>
      <c r="I389" s="29">
        <v>0.5</v>
      </c>
      <c r="J389" s="35">
        <v>4160</v>
      </c>
      <c r="K389" s="17">
        <f t="shared" si="8"/>
        <v>2080</v>
      </c>
      <c r="L389" s="14"/>
    </row>
    <row r="390" spans="1:12" ht="26.4">
      <c r="A390" s="26">
        <v>123</v>
      </c>
      <c r="B390" s="27" t="s">
        <v>29</v>
      </c>
      <c r="C390" s="28" t="s">
        <v>30</v>
      </c>
      <c r="D390" s="28" t="s">
        <v>31</v>
      </c>
      <c r="E390" s="19">
        <v>3</v>
      </c>
      <c r="F390" s="28" t="s">
        <v>178</v>
      </c>
      <c r="G390" s="28" t="s">
        <v>183</v>
      </c>
      <c r="H390" s="26" t="s">
        <v>184</v>
      </c>
      <c r="I390" s="29">
        <v>1.6</v>
      </c>
      <c r="J390" s="35">
        <v>4160</v>
      </c>
      <c r="K390" s="17">
        <f t="shared" si="8"/>
        <v>6656</v>
      </c>
      <c r="L390" s="14"/>
    </row>
    <row r="391" spans="1:12" ht="26.4">
      <c r="A391" s="26">
        <v>124</v>
      </c>
      <c r="B391" s="27" t="s">
        <v>29</v>
      </c>
      <c r="C391" s="28" t="s">
        <v>30</v>
      </c>
      <c r="D391" s="28" t="s">
        <v>33</v>
      </c>
      <c r="E391" s="19">
        <v>1</v>
      </c>
      <c r="F391" s="28" t="s">
        <v>63</v>
      </c>
      <c r="G391" s="28" t="s">
        <v>7</v>
      </c>
      <c r="H391" s="26" t="s">
        <v>2</v>
      </c>
      <c r="I391" s="29">
        <v>21</v>
      </c>
      <c r="J391" s="35">
        <v>180</v>
      </c>
      <c r="K391" s="17">
        <f>J391*I391</f>
        <v>3780</v>
      </c>
      <c r="L391" s="14"/>
    </row>
    <row r="392" spans="1:12" ht="39.6">
      <c r="A392" s="26">
        <v>125</v>
      </c>
      <c r="B392" s="27" t="s">
        <v>29</v>
      </c>
      <c r="C392" s="28" t="s">
        <v>30</v>
      </c>
      <c r="D392" s="28" t="s">
        <v>33</v>
      </c>
      <c r="E392" s="19">
        <v>2</v>
      </c>
      <c r="F392" s="28" t="s">
        <v>192</v>
      </c>
      <c r="G392" s="28" t="s">
        <v>7</v>
      </c>
      <c r="H392" s="26" t="s">
        <v>2</v>
      </c>
      <c r="I392" s="29">
        <v>80</v>
      </c>
      <c r="J392" s="35">
        <v>180</v>
      </c>
      <c r="K392" s="17">
        <f t="shared" si="8"/>
        <v>14400</v>
      </c>
      <c r="L392" s="14"/>
    </row>
    <row r="393" spans="1:12" ht="26.4">
      <c r="A393" s="26">
        <v>126</v>
      </c>
      <c r="B393" s="27" t="s">
        <v>29</v>
      </c>
      <c r="C393" s="28" t="s">
        <v>30</v>
      </c>
      <c r="D393" s="28" t="s">
        <v>33</v>
      </c>
      <c r="E393" s="19">
        <v>2</v>
      </c>
      <c r="F393" s="28" t="s">
        <v>135</v>
      </c>
      <c r="G393" s="28" t="s">
        <v>7</v>
      </c>
      <c r="H393" s="26" t="s">
        <v>2</v>
      </c>
      <c r="I393" s="29">
        <v>80</v>
      </c>
      <c r="J393" s="35">
        <v>180</v>
      </c>
      <c r="K393" s="17">
        <f t="shared" si="8"/>
        <v>14400</v>
      </c>
      <c r="L393" s="14"/>
    </row>
    <row r="394" spans="1:12" ht="26.4">
      <c r="A394" s="26">
        <v>127</v>
      </c>
      <c r="B394" s="27" t="s">
        <v>29</v>
      </c>
      <c r="C394" s="28" t="s">
        <v>30</v>
      </c>
      <c r="D394" s="28" t="s">
        <v>33</v>
      </c>
      <c r="E394" s="19">
        <v>2</v>
      </c>
      <c r="F394" s="28" t="s">
        <v>123</v>
      </c>
      <c r="G394" s="28" t="s">
        <v>7</v>
      </c>
      <c r="H394" s="26" t="s">
        <v>2</v>
      </c>
      <c r="I394" s="29">
        <v>21.4</v>
      </c>
      <c r="J394" s="35">
        <v>180</v>
      </c>
      <c r="K394" s="17">
        <f t="shared" si="8"/>
        <v>3851.9999999999995</v>
      </c>
      <c r="L394" s="14"/>
    </row>
    <row r="395" spans="1:12" ht="26.4">
      <c r="A395" s="26">
        <v>128</v>
      </c>
      <c r="B395" s="27" t="s">
        <v>29</v>
      </c>
      <c r="C395" s="28" t="s">
        <v>30</v>
      </c>
      <c r="D395" s="28" t="s">
        <v>33</v>
      </c>
      <c r="E395" s="19">
        <v>2</v>
      </c>
      <c r="F395" s="28" t="s">
        <v>126</v>
      </c>
      <c r="G395" s="28" t="s">
        <v>7</v>
      </c>
      <c r="H395" s="26" t="s">
        <v>2</v>
      </c>
      <c r="I395" s="29">
        <v>39.25</v>
      </c>
      <c r="J395" s="35">
        <v>180</v>
      </c>
      <c r="K395" s="17">
        <f t="shared" si="8"/>
        <v>7065</v>
      </c>
      <c r="L395" s="14"/>
    </row>
    <row r="396" spans="1:12" ht="26.4">
      <c r="A396" s="26">
        <v>129</v>
      </c>
      <c r="B396" s="27" t="s">
        <v>29</v>
      </c>
      <c r="C396" s="28" t="s">
        <v>30</v>
      </c>
      <c r="D396" s="28" t="s">
        <v>33</v>
      </c>
      <c r="E396" s="19">
        <v>2</v>
      </c>
      <c r="F396" s="28" t="s">
        <v>127</v>
      </c>
      <c r="G396" s="28" t="s">
        <v>7</v>
      </c>
      <c r="H396" s="26" t="s">
        <v>2</v>
      </c>
      <c r="I396" s="29">
        <v>39.25</v>
      </c>
      <c r="J396" s="35">
        <v>180</v>
      </c>
      <c r="K396" s="17">
        <f t="shared" si="8"/>
        <v>7065</v>
      </c>
      <c r="L396" s="14"/>
    </row>
    <row r="397" spans="1:12" ht="26.4">
      <c r="A397" s="26">
        <v>130</v>
      </c>
      <c r="B397" s="47" t="s">
        <v>29</v>
      </c>
      <c r="C397" s="48" t="s">
        <v>30</v>
      </c>
      <c r="D397" s="48" t="s">
        <v>33</v>
      </c>
      <c r="E397" s="49">
        <v>2</v>
      </c>
      <c r="F397" s="48" t="s">
        <v>128</v>
      </c>
      <c r="G397" s="48" t="s">
        <v>7</v>
      </c>
      <c r="H397" s="46" t="s">
        <v>2</v>
      </c>
      <c r="I397" s="29">
        <v>21.4</v>
      </c>
      <c r="J397" s="50">
        <v>180</v>
      </c>
      <c r="K397" s="51">
        <f t="shared" si="8"/>
        <v>3851.9999999999995</v>
      </c>
      <c r="L397" s="52"/>
    </row>
    <row r="398" spans="1:12" s="15" customFormat="1" ht="26.4">
      <c r="A398" s="26">
        <v>131</v>
      </c>
      <c r="B398" s="27" t="s">
        <v>29</v>
      </c>
      <c r="C398" s="28" t="s">
        <v>30</v>
      </c>
      <c r="D398" s="28" t="s">
        <v>33</v>
      </c>
      <c r="E398" s="19">
        <v>2</v>
      </c>
      <c r="F398" s="28" t="s">
        <v>130</v>
      </c>
      <c r="G398" s="28" t="s">
        <v>7</v>
      </c>
      <c r="H398" s="26" t="s">
        <v>2</v>
      </c>
      <c r="I398" s="15">
        <v>39.25</v>
      </c>
      <c r="J398" s="35">
        <v>180</v>
      </c>
      <c r="K398" s="51">
        <f t="shared" si="8"/>
        <v>7065</v>
      </c>
      <c r="L398" s="14"/>
    </row>
    <row r="399" spans="1:12" s="20" customFormat="1" ht="26.4">
      <c r="A399" s="26">
        <v>132</v>
      </c>
      <c r="B399" s="27" t="s">
        <v>29</v>
      </c>
      <c r="C399" s="28" t="s">
        <v>30</v>
      </c>
      <c r="D399" s="28" t="s">
        <v>33</v>
      </c>
      <c r="E399" s="19">
        <v>2</v>
      </c>
      <c r="F399" s="28" t="s">
        <v>131</v>
      </c>
      <c r="G399" s="28" t="s">
        <v>7</v>
      </c>
      <c r="H399" s="26" t="s">
        <v>2</v>
      </c>
      <c r="I399" s="15">
        <v>39.25</v>
      </c>
      <c r="J399" s="35">
        <v>180</v>
      </c>
      <c r="K399" s="51">
        <f t="shared" si="8"/>
        <v>7065</v>
      </c>
      <c r="L399" s="14"/>
    </row>
    <row r="400" spans="1:12" s="20" customFormat="1" ht="26.4">
      <c r="A400" s="26">
        <v>133</v>
      </c>
      <c r="B400" s="27" t="s">
        <v>29</v>
      </c>
      <c r="C400" s="28" t="s">
        <v>30</v>
      </c>
      <c r="D400" s="28" t="s">
        <v>33</v>
      </c>
      <c r="E400" s="19">
        <v>2</v>
      </c>
      <c r="F400" s="28" t="s">
        <v>137</v>
      </c>
      <c r="G400" s="28" t="s">
        <v>7</v>
      </c>
      <c r="H400" s="26" t="s">
        <v>2</v>
      </c>
      <c r="I400" s="15">
        <v>47.5</v>
      </c>
      <c r="J400" s="35">
        <v>180</v>
      </c>
      <c r="K400" s="51">
        <f t="shared" si="8"/>
        <v>8550</v>
      </c>
      <c r="L400" s="14"/>
    </row>
    <row r="401" spans="1:12" s="20" customFormat="1" ht="26.4">
      <c r="A401" s="26">
        <v>134</v>
      </c>
      <c r="B401" s="27" t="s">
        <v>29</v>
      </c>
      <c r="C401" s="28" t="s">
        <v>30</v>
      </c>
      <c r="D401" s="28" t="s">
        <v>33</v>
      </c>
      <c r="E401" s="19">
        <v>2</v>
      </c>
      <c r="F401" s="28" t="s">
        <v>142</v>
      </c>
      <c r="G401" s="28" t="s">
        <v>7</v>
      </c>
      <c r="H401" s="26" t="s">
        <v>2</v>
      </c>
      <c r="I401" s="53">
        <v>47.5</v>
      </c>
      <c r="J401" s="35">
        <v>180</v>
      </c>
      <c r="K401" s="51">
        <f t="shared" si="8"/>
        <v>8550</v>
      </c>
      <c r="L401" s="14"/>
    </row>
    <row r="402" spans="1:12" s="20" customFormat="1" ht="46.8" customHeight="1">
      <c r="A402" s="62" t="s">
        <v>32</v>
      </c>
      <c r="B402" s="90"/>
      <c r="C402" s="91"/>
      <c r="D402" s="91"/>
      <c r="E402" s="91"/>
      <c r="F402" s="91"/>
      <c r="G402" s="91"/>
      <c r="H402" s="91"/>
      <c r="I402" s="91"/>
      <c r="J402" s="92"/>
      <c r="K402" s="18">
        <v>1594003.1</v>
      </c>
      <c r="L402" s="30"/>
    </row>
    <row r="404" spans="1:12">
      <c r="C404" s="20"/>
    </row>
    <row r="406" spans="1:12" s="20" customFormat="1">
      <c r="A406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</row>
    <row r="407" spans="1:12" s="20" customFormat="1" ht="15" thickBot="1">
      <c r="A407" s="22"/>
      <c r="B407" s="24" t="s">
        <v>16</v>
      </c>
      <c r="C407" s="84" t="s">
        <v>207</v>
      </c>
      <c r="D407" s="84"/>
      <c r="E407" s="84"/>
      <c r="F407" s="84"/>
      <c r="G407" s="23"/>
      <c r="H407" s="81"/>
      <c r="I407" s="81"/>
      <c r="J407" s="23"/>
      <c r="K407" s="22"/>
      <c r="L407" s="22"/>
    </row>
    <row r="408" spans="1:12" s="20" customFormat="1">
      <c r="A408" s="23"/>
      <c r="B408" s="23"/>
      <c r="C408" s="86" t="s">
        <v>39</v>
      </c>
      <c r="D408" s="86"/>
      <c r="E408" s="86"/>
      <c r="F408" s="86"/>
      <c r="G408" s="23"/>
      <c r="H408" s="87">
        <v>46006</v>
      </c>
      <c r="I408" s="86"/>
      <c r="J408" s="23"/>
      <c r="K408" s="22"/>
      <c r="L408" s="22"/>
    </row>
    <row r="409" spans="1:12" s="20" customFormat="1" ht="15" thickBot="1">
      <c r="A409" s="23"/>
      <c r="B409" s="25" t="s">
        <v>41</v>
      </c>
      <c r="C409" s="84" t="s">
        <v>215</v>
      </c>
      <c r="D409" s="84"/>
      <c r="E409" s="84"/>
      <c r="F409" s="84"/>
      <c r="G409" s="23"/>
      <c r="H409" s="81"/>
      <c r="I409" s="81"/>
      <c r="J409" s="23"/>
      <c r="K409" s="22"/>
      <c r="L409" s="22"/>
    </row>
    <row r="410" spans="1:12" s="20" customFormat="1">
      <c r="A410" s="23"/>
      <c r="B410" s="23"/>
      <c r="C410" s="86" t="s">
        <v>39</v>
      </c>
      <c r="D410" s="86"/>
      <c r="E410" s="86"/>
      <c r="F410" s="86"/>
      <c r="G410" s="23"/>
      <c r="H410" s="87">
        <v>46006</v>
      </c>
      <c r="I410" s="86"/>
      <c r="J410" s="23"/>
      <c r="K410" s="22"/>
      <c r="L410" s="22"/>
    </row>
    <row r="411" spans="1:12" s="20" customFormat="1">
      <c r="A411" s="23"/>
      <c r="B411" s="23"/>
      <c r="C411" s="23"/>
      <c r="D411" s="23"/>
      <c r="E411" s="23"/>
      <c r="F411" s="23"/>
      <c r="G411" s="23"/>
      <c r="H411" s="88"/>
      <c r="I411" s="88"/>
      <c r="J411" s="23"/>
    </row>
    <row r="412" spans="1:12" s="20" customFormat="1" ht="15" thickBot="1">
      <c r="A412" s="23"/>
      <c r="B412" s="25" t="s">
        <v>208</v>
      </c>
      <c r="C412" s="84" t="s">
        <v>209</v>
      </c>
      <c r="D412" s="84"/>
      <c r="E412" s="84"/>
      <c r="F412" s="84"/>
      <c r="G412" s="23"/>
      <c r="H412" s="81"/>
      <c r="I412" s="81"/>
      <c r="J412" s="23"/>
    </row>
    <row r="413" spans="1:12" s="20" customFormat="1">
      <c r="A413" s="23"/>
      <c r="B413" s="23"/>
      <c r="C413" s="86" t="s">
        <v>39</v>
      </c>
      <c r="D413" s="86"/>
      <c r="E413" s="86"/>
      <c r="F413" s="86"/>
      <c r="G413" s="23"/>
      <c r="H413" s="87">
        <v>46006</v>
      </c>
      <c r="I413" s="86"/>
      <c r="J413" s="23"/>
    </row>
    <row r="414" spans="1:12" s="20" customForma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</row>
    <row r="415" spans="1:12" s="20" customFormat="1" ht="15" thickBot="1">
      <c r="A415" s="23"/>
      <c r="B415" s="25" t="s">
        <v>42</v>
      </c>
      <c r="C415" s="81"/>
      <c r="D415" s="81"/>
      <c r="E415" s="81"/>
      <c r="F415" s="81"/>
      <c r="G415" s="23"/>
      <c r="H415" s="81"/>
      <c r="I415" s="81"/>
      <c r="J415" s="23"/>
    </row>
    <row r="416" spans="1:12" s="20" customFormat="1">
      <c r="A416" s="23"/>
      <c r="B416" s="23"/>
      <c r="C416" s="86" t="s">
        <v>39</v>
      </c>
      <c r="D416" s="86"/>
      <c r="E416" s="86"/>
      <c r="F416" s="86"/>
      <c r="G416" s="23"/>
      <c r="H416" s="86" t="s">
        <v>40</v>
      </c>
      <c r="I416" s="86"/>
      <c r="J416" s="23"/>
    </row>
    <row r="417" spans="1:12" s="20" customForma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</row>
    <row r="418" spans="1:12" s="20" customFormat="1" ht="15" thickBot="1">
      <c r="A418" s="23"/>
      <c r="B418" s="24" t="s">
        <v>43</v>
      </c>
      <c r="C418" s="81"/>
      <c r="D418" s="81"/>
      <c r="E418" s="81"/>
      <c r="F418" s="81"/>
      <c r="G418" s="23"/>
      <c r="H418" s="81"/>
      <c r="I418" s="81"/>
      <c r="J418" s="23"/>
    </row>
    <row r="419" spans="1:12" s="20" customFormat="1">
      <c r="A419" s="23"/>
      <c r="B419" s="23"/>
      <c r="C419" s="86" t="s">
        <v>39</v>
      </c>
      <c r="D419" s="86"/>
      <c r="E419" s="86"/>
      <c r="F419" s="86"/>
      <c r="G419" s="23"/>
      <c r="H419" s="86" t="s">
        <v>40</v>
      </c>
      <c r="I419" s="86"/>
      <c r="J419" s="23"/>
    </row>
    <row r="420" spans="1:12" s="20" customFormat="1">
      <c r="A420" s="23"/>
      <c r="B420" s="21"/>
      <c r="C420" s="21"/>
      <c r="D420" s="21"/>
      <c r="E420" s="21"/>
      <c r="F420" s="21"/>
      <c r="G420" s="21"/>
      <c r="H420" s="21"/>
      <c r="I420" s="21"/>
      <c r="J420" s="21"/>
    </row>
    <row r="421" spans="1:12" s="20" customFormat="1">
      <c r="A421" s="21"/>
      <c r="B421" s="22"/>
      <c r="C421" s="22"/>
      <c r="D421" s="22"/>
      <c r="E421" s="22"/>
      <c r="F421" s="22"/>
      <c r="G421" s="22"/>
      <c r="H421" s="22"/>
      <c r="I421" s="22"/>
      <c r="J421" s="22"/>
    </row>
    <row r="422" spans="1:12" s="20" customFormat="1">
      <c r="A422" s="22"/>
    </row>
    <row r="423" spans="1:12" s="20" customFormat="1"/>
    <row r="424" spans="1:12" s="20" customFormat="1"/>
    <row r="425" spans="1:12">
      <c r="A425" s="20"/>
    </row>
    <row r="427" spans="1:12">
      <c r="B427" s="23"/>
      <c r="C427" s="5" t="s">
        <v>11</v>
      </c>
      <c r="D427" s="5">
        <v>5</v>
      </c>
      <c r="E427" s="23"/>
      <c r="F427" s="23"/>
      <c r="G427" s="6" t="s">
        <v>12</v>
      </c>
      <c r="H427" s="5" t="s">
        <v>13</v>
      </c>
      <c r="I427" s="7">
        <v>46007</v>
      </c>
      <c r="J427" s="23"/>
      <c r="K427" s="23"/>
      <c r="L427" s="23"/>
    </row>
    <row r="428" spans="1:12">
      <c r="A428" s="23"/>
      <c r="B428" s="23"/>
      <c r="C428" s="8"/>
      <c r="D428" s="23"/>
      <c r="E428" s="23"/>
      <c r="F428" s="23"/>
      <c r="G428" s="23"/>
      <c r="H428" s="5" t="s">
        <v>14</v>
      </c>
      <c r="I428" s="7">
        <v>46022</v>
      </c>
      <c r="J428" s="23"/>
      <c r="K428" s="23"/>
      <c r="L428" s="23"/>
    </row>
    <row r="429" spans="1:1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</row>
    <row r="430" spans="1:12" ht="27.6">
      <c r="A430" s="23"/>
      <c r="B430" s="23"/>
      <c r="C430" s="5" t="s">
        <v>15</v>
      </c>
      <c r="D430" s="89" t="s">
        <v>145</v>
      </c>
      <c r="E430" s="89"/>
      <c r="F430" s="89"/>
      <c r="G430" s="23"/>
      <c r="H430" s="23"/>
      <c r="I430" s="23"/>
      <c r="J430" s="23"/>
      <c r="K430" s="23"/>
      <c r="L430" s="23"/>
    </row>
    <row r="431" spans="1:1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</row>
    <row r="432" spans="1:12">
      <c r="A432" s="23"/>
      <c r="B432" s="23"/>
      <c r="C432" s="5" t="s">
        <v>16</v>
      </c>
      <c r="D432" s="89" t="s">
        <v>146</v>
      </c>
      <c r="E432" s="89"/>
      <c r="F432" s="89"/>
      <c r="G432" s="23"/>
      <c r="H432" s="23"/>
      <c r="I432" s="23"/>
      <c r="J432" s="23"/>
      <c r="K432" s="23"/>
      <c r="L432" s="23"/>
    </row>
    <row r="433" spans="1:1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</row>
    <row r="434" spans="1:12">
      <c r="A434" s="23"/>
      <c r="B434" s="23"/>
      <c r="C434" s="5" t="s">
        <v>17</v>
      </c>
      <c r="D434" s="89" t="s">
        <v>18</v>
      </c>
      <c r="E434" s="89"/>
      <c r="F434" s="89"/>
      <c r="G434" s="23"/>
      <c r="H434" s="23"/>
      <c r="I434" s="23"/>
      <c r="J434" s="23"/>
      <c r="K434" s="23"/>
      <c r="L434" s="23"/>
    </row>
    <row r="435" spans="1:12">
      <c r="A435" s="23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</row>
    <row r="436" spans="1:12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</row>
    <row r="437" spans="1:12" ht="26.4">
      <c r="A437" s="21"/>
      <c r="B437" s="9" t="s">
        <v>20</v>
      </c>
      <c r="C437" s="9" t="s">
        <v>21</v>
      </c>
      <c r="D437" s="9" t="s">
        <v>21</v>
      </c>
      <c r="E437" s="9" t="s">
        <v>22</v>
      </c>
      <c r="F437" s="9" t="s">
        <v>23</v>
      </c>
      <c r="G437" s="9" t="s">
        <v>0</v>
      </c>
      <c r="H437" s="9" t="s">
        <v>24</v>
      </c>
      <c r="I437" s="9" t="s">
        <v>25</v>
      </c>
      <c r="J437" s="9" t="s">
        <v>26</v>
      </c>
      <c r="K437" s="9" t="s">
        <v>27</v>
      </c>
      <c r="L437" s="9" t="s">
        <v>28</v>
      </c>
    </row>
    <row r="438" spans="1:12" ht="26.4">
      <c r="A438" s="9" t="s">
        <v>19</v>
      </c>
      <c r="B438" s="27" t="s">
        <v>29</v>
      </c>
      <c r="C438" s="28" t="s">
        <v>30</v>
      </c>
      <c r="D438" s="28" t="s">
        <v>31</v>
      </c>
      <c r="E438" s="19">
        <v>1</v>
      </c>
      <c r="F438" s="28" t="s">
        <v>84</v>
      </c>
      <c r="G438" s="28" t="s">
        <v>197</v>
      </c>
      <c r="H438" s="26" t="s">
        <v>2</v>
      </c>
      <c r="I438" s="29">
        <v>16.5</v>
      </c>
      <c r="J438" s="35">
        <v>195</v>
      </c>
      <c r="K438" s="17">
        <f>J438*I438</f>
        <v>3217.5</v>
      </c>
      <c r="L438" s="14"/>
    </row>
    <row r="439" spans="1:12" ht="26.4">
      <c r="A439" s="26">
        <v>1</v>
      </c>
      <c r="B439" s="27" t="s">
        <v>29</v>
      </c>
      <c r="C439" s="28" t="s">
        <v>30</v>
      </c>
      <c r="D439" s="28" t="s">
        <v>31</v>
      </c>
      <c r="E439" s="19">
        <v>1</v>
      </c>
      <c r="F439" s="28" t="s">
        <v>83</v>
      </c>
      <c r="G439" s="28" t="s">
        <v>197</v>
      </c>
      <c r="H439" s="26" t="s">
        <v>2</v>
      </c>
      <c r="I439" s="29">
        <v>56</v>
      </c>
      <c r="J439" s="35">
        <v>195</v>
      </c>
      <c r="K439" s="17">
        <f>J439*I439</f>
        <v>10920</v>
      </c>
      <c r="L439" s="14"/>
    </row>
    <row r="440" spans="1:12" ht="26.4">
      <c r="A440" s="26">
        <v>2</v>
      </c>
      <c r="B440" s="27" t="s">
        <v>29</v>
      </c>
      <c r="C440" s="28" t="s">
        <v>30</v>
      </c>
      <c r="D440" s="28" t="s">
        <v>31</v>
      </c>
      <c r="E440" s="19">
        <v>1</v>
      </c>
      <c r="F440" s="28" t="s">
        <v>86</v>
      </c>
      <c r="G440" s="28" t="s">
        <v>197</v>
      </c>
      <c r="H440" s="26" t="s">
        <v>2</v>
      </c>
      <c r="I440" s="29">
        <v>183.5</v>
      </c>
      <c r="J440" s="35">
        <v>195</v>
      </c>
      <c r="K440" s="17">
        <f>J440*I440</f>
        <v>35782.5</v>
      </c>
      <c r="L440" s="14"/>
    </row>
    <row r="441" spans="1:12" ht="26.4">
      <c r="A441" s="26">
        <v>3</v>
      </c>
      <c r="B441" s="27" t="s">
        <v>29</v>
      </c>
      <c r="C441" s="28" t="s">
        <v>30</v>
      </c>
      <c r="D441" s="28" t="s">
        <v>31</v>
      </c>
      <c r="E441" s="19">
        <v>1</v>
      </c>
      <c r="F441" s="28" t="s">
        <v>77</v>
      </c>
      <c r="G441" s="28" t="s">
        <v>197</v>
      </c>
      <c r="H441" s="26" t="s">
        <v>2</v>
      </c>
      <c r="I441" s="29">
        <v>13.6</v>
      </c>
      <c r="J441" s="35">
        <v>195</v>
      </c>
      <c r="K441" s="17">
        <f>J441*I441</f>
        <v>2652</v>
      </c>
      <c r="L441" s="14"/>
    </row>
    <row r="442" spans="1:12" ht="26.4">
      <c r="A442" s="26">
        <v>4</v>
      </c>
      <c r="B442" s="27" t="s">
        <v>29</v>
      </c>
      <c r="C442" s="28" t="s">
        <v>30</v>
      </c>
      <c r="D442" s="28" t="s">
        <v>31</v>
      </c>
      <c r="E442" s="19">
        <v>1</v>
      </c>
      <c r="F442" s="28" t="s">
        <v>76</v>
      </c>
      <c r="G442" s="28" t="s">
        <v>197</v>
      </c>
      <c r="H442" s="26" t="s">
        <v>2</v>
      </c>
      <c r="I442" s="29">
        <v>83.5</v>
      </c>
      <c r="J442" s="35">
        <v>195</v>
      </c>
      <c r="K442" s="17">
        <f>J442*I442</f>
        <v>16282.5</v>
      </c>
      <c r="L442" s="14"/>
    </row>
    <row r="443" spans="1:12" ht="26.4">
      <c r="A443" s="26">
        <v>5</v>
      </c>
      <c r="B443" s="27" t="s">
        <v>29</v>
      </c>
      <c r="C443" s="28" t="s">
        <v>30</v>
      </c>
      <c r="D443" s="28" t="s">
        <v>31</v>
      </c>
      <c r="E443" s="19">
        <v>1</v>
      </c>
      <c r="F443" s="28" t="s">
        <v>53</v>
      </c>
      <c r="G443" s="28" t="s">
        <v>197</v>
      </c>
      <c r="H443" s="26" t="s">
        <v>2</v>
      </c>
      <c r="I443" s="29">
        <v>32</v>
      </c>
      <c r="J443" s="35">
        <v>195</v>
      </c>
      <c r="K443" s="17">
        <f t="shared" ref="K443:K506" si="9">J443*I443</f>
        <v>6240</v>
      </c>
      <c r="L443" s="14"/>
    </row>
    <row r="444" spans="1:12" ht="26.4">
      <c r="A444" s="26">
        <v>6</v>
      </c>
      <c r="B444" s="27" t="s">
        <v>29</v>
      </c>
      <c r="C444" s="28" t="s">
        <v>30</v>
      </c>
      <c r="D444" s="28" t="s">
        <v>31</v>
      </c>
      <c r="E444" s="19">
        <v>1</v>
      </c>
      <c r="F444" s="28" t="s">
        <v>79</v>
      </c>
      <c r="G444" s="28" t="s">
        <v>197</v>
      </c>
      <c r="H444" s="26" t="s">
        <v>2</v>
      </c>
      <c r="I444" s="29">
        <v>16.5</v>
      </c>
      <c r="J444" s="35">
        <v>195</v>
      </c>
      <c r="K444" s="17">
        <f t="shared" si="9"/>
        <v>3217.5</v>
      </c>
      <c r="L444" s="14"/>
    </row>
    <row r="445" spans="1:12" ht="26.4">
      <c r="A445" s="26">
        <v>7</v>
      </c>
      <c r="B445" s="27" t="s">
        <v>29</v>
      </c>
      <c r="C445" s="28" t="s">
        <v>30</v>
      </c>
      <c r="D445" s="28" t="s">
        <v>31</v>
      </c>
      <c r="E445" s="19">
        <v>1</v>
      </c>
      <c r="F445" s="28" t="s">
        <v>78</v>
      </c>
      <c r="G445" s="28" t="s">
        <v>197</v>
      </c>
      <c r="H445" s="26" t="s">
        <v>2</v>
      </c>
      <c r="I445" s="29">
        <v>76.5</v>
      </c>
      <c r="J445" s="35">
        <v>195</v>
      </c>
      <c r="K445" s="17">
        <f t="shared" si="9"/>
        <v>14917.5</v>
      </c>
      <c r="L445" s="14"/>
    </row>
    <row r="446" spans="1:12" ht="26.4">
      <c r="A446" s="26">
        <v>8</v>
      </c>
      <c r="B446" s="27" t="s">
        <v>29</v>
      </c>
      <c r="C446" s="28" t="s">
        <v>30</v>
      </c>
      <c r="D446" s="28" t="s">
        <v>31</v>
      </c>
      <c r="E446" s="19">
        <v>1</v>
      </c>
      <c r="F446" s="28" t="s">
        <v>81</v>
      </c>
      <c r="G446" s="28" t="s">
        <v>197</v>
      </c>
      <c r="H446" s="26" t="s">
        <v>2</v>
      </c>
      <c r="I446" s="29">
        <v>184.5</v>
      </c>
      <c r="J446" s="35">
        <v>195</v>
      </c>
      <c r="K446" s="17">
        <f t="shared" si="9"/>
        <v>35977.5</v>
      </c>
      <c r="L446" s="14"/>
    </row>
    <row r="447" spans="1:12" ht="26.4">
      <c r="A447" s="26">
        <v>9</v>
      </c>
      <c r="B447" s="27" t="s">
        <v>29</v>
      </c>
      <c r="C447" s="28" t="s">
        <v>30</v>
      </c>
      <c r="D447" s="28" t="s">
        <v>31</v>
      </c>
      <c r="E447" s="19">
        <v>1</v>
      </c>
      <c r="F447" s="28" t="s">
        <v>80</v>
      </c>
      <c r="G447" s="28" t="s">
        <v>197</v>
      </c>
      <c r="H447" s="26" t="s">
        <v>2</v>
      </c>
      <c r="I447" s="29">
        <v>40.5</v>
      </c>
      <c r="J447" s="35">
        <v>195</v>
      </c>
      <c r="K447" s="17">
        <f t="shared" si="9"/>
        <v>7897.5</v>
      </c>
      <c r="L447" s="14"/>
    </row>
    <row r="448" spans="1:12" ht="26.4">
      <c r="A448" s="26">
        <v>10</v>
      </c>
      <c r="B448" s="27" t="s">
        <v>29</v>
      </c>
      <c r="C448" s="28" t="s">
        <v>30</v>
      </c>
      <c r="D448" s="28" t="s">
        <v>31</v>
      </c>
      <c r="E448" s="19">
        <v>1</v>
      </c>
      <c r="F448" s="28" t="s">
        <v>89</v>
      </c>
      <c r="G448" s="28" t="s">
        <v>197</v>
      </c>
      <c r="H448" s="26" t="s">
        <v>2</v>
      </c>
      <c r="I448" s="29">
        <v>42.5</v>
      </c>
      <c r="J448" s="35">
        <v>195</v>
      </c>
      <c r="K448" s="17">
        <f t="shared" si="9"/>
        <v>8287.5</v>
      </c>
      <c r="L448" s="14"/>
    </row>
    <row r="449" spans="1:12" ht="26.4">
      <c r="A449" s="26">
        <v>11</v>
      </c>
      <c r="B449" s="27" t="s">
        <v>29</v>
      </c>
      <c r="C449" s="28" t="s">
        <v>30</v>
      </c>
      <c r="D449" s="28" t="s">
        <v>31</v>
      </c>
      <c r="E449" s="19">
        <v>1</v>
      </c>
      <c r="F449" s="28" t="s">
        <v>94</v>
      </c>
      <c r="G449" s="28" t="s">
        <v>197</v>
      </c>
      <c r="H449" s="26" t="s">
        <v>2</v>
      </c>
      <c r="I449" s="29">
        <v>35.5</v>
      </c>
      <c r="J449" s="35">
        <v>195</v>
      </c>
      <c r="K449" s="17">
        <f t="shared" si="9"/>
        <v>6922.5</v>
      </c>
      <c r="L449" s="14"/>
    </row>
    <row r="450" spans="1:12" ht="26.4">
      <c r="A450" s="26">
        <v>12</v>
      </c>
      <c r="B450" s="27" t="s">
        <v>29</v>
      </c>
      <c r="C450" s="28" t="s">
        <v>30</v>
      </c>
      <c r="D450" s="28" t="s">
        <v>31</v>
      </c>
      <c r="E450" s="19">
        <v>1</v>
      </c>
      <c r="F450" s="28" t="s">
        <v>72</v>
      </c>
      <c r="G450" s="28" t="s">
        <v>197</v>
      </c>
      <c r="H450" s="26" t="s">
        <v>2</v>
      </c>
      <c r="I450" s="29">
        <v>65.400000000000006</v>
      </c>
      <c r="J450" s="35">
        <v>195</v>
      </c>
      <c r="K450" s="17">
        <f t="shared" si="9"/>
        <v>12753.000000000002</v>
      </c>
      <c r="L450" s="14"/>
    </row>
    <row r="451" spans="1:12" ht="26.4">
      <c r="A451" s="26">
        <v>13</v>
      </c>
      <c r="B451" s="27" t="s">
        <v>29</v>
      </c>
      <c r="C451" s="28" t="s">
        <v>30</v>
      </c>
      <c r="D451" s="28" t="s">
        <v>31</v>
      </c>
      <c r="E451" s="19">
        <v>1</v>
      </c>
      <c r="F451" s="28" t="s">
        <v>73</v>
      </c>
      <c r="G451" s="28" t="s">
        <v>197</v>
      </c>
      <c r="H451" s="26" t="s">
        <v>2</v>
      </c>
      <c r="I451" s="29">
        <v>14.5</v>
      </c>
      <c r="J451" s="35">
        <v>195</v>
      </c>
      <c r="K451" s="17">
        <f t="shared" si="9"/>
        <v>2827.5</v>
      </c>
      <c r="L451" s="14"/>
    </row>
    <row r="452" spans="1:12" ht="26.4">
      <c r="A452" s="26">
        <v>14</v>
      </c>
      <c r="B452" s="27" t="s">
        <v>29</v>
      </c>
      <c r="C452" s="28" t="s">
        <v>30</v>
      </c>
      <c r="D452" s="28" t="s">
        <v>31</v>
      </c>
      <c r="E452" s="19">
        <v>1</v>
      </c>
      <c r="F452" s="28" t="s">
        <v>52</v>
      </c>
      <c r="G452" s="28" t="s">
        <v>197</v>
      </c>
      <c r="H452" s="26" t="s">
        <v>2</v>
      </c>
      <c r="I452" s="29">
        <v>176</v>
      </c>
      <c r="J452" s="35">
        <v>195</v>
      </c>
      <c r="K452" s="17">
        <f t="shared" si="9"/>
        <v>34320</v>
      </c>
      <c r="L452" s="14"/>
    </row>
    <row r="453" spans="1:12" ht="26.4">
      <c r="A453" s="26">
        <v>15</v>
      </c>
      <c r="B453" s="27" t="s">
        <v>29</v>
      </c>
      <c r="C453" s="28" t="s">
        <v>30</v>
      </c>
      <c r="D453" s="28" t="s">
        <v>31</v>
      </c>
      <c r="E453" s="19">
        <v>1</v>
      </c>
      <c r="F453" s="28" t="s">
        <v>47</v>
      </c>
      <c r="G453" s="28" t="s">
        <v>197</v>
      </c>
      <c r="H453" s="26" t="s">
        <v>2</v>
      </c>
      <c r="I453" s="29">
        <v>45</v>
      </c>
      <c r="J453" s="35">
        <v>195</v>
      </c>
      <c r="K453" s="17">
        <f t="shared" si="9"/>
        <v>8775</v>
      </c>
      <c r="L453" s="14"/>
    </row>
    <row r="454" spans="1:12" ht="26.4">
      <c r="A454" s="26">
        <v>16</v>
      </c>
      <c r="B454" s="27" t="s">
        <v>29</v>
      </c>
      <c r="C454" s="28" t="s">
        <v>30</v>
      </c>
      <c r="D454" s="28" t="s">
        <v>31</v>
      </c>
      <c r="E454" s="19">
        <v>1</v>
      </c>
      <c r="F454" s="28" t="s">
        <v>46</v>
      </c>
      <c r="G454" s="28" t="s">
        <v>197</v>
      </c>
      <c r="H454" s="26" t="s">
        <v>2</v>
      </c>
      <c r="I454" s="29">
        <v>16.5</v>
      </c>
      <c r="J454" s="35">
        <v>195</v>
      </c>
      <c r="K454" s="17">
        <f t="shared" si="9"/>
        <v>3217.5</v>
      </c>
      <c r="L454" s="14"/>
    </row>
    <row r="455" spans="1:12" ht="26.4">
      <c r="A455" s="26">
        <v>17</v>
      </c>
      <c r="B455" s="27" t="s">
        <v>29</v>
      </c>
      <c r="C455" s="28" t="s">
        <v>30</v>
      </c>
      <c r="D455" s="28" t="s">
        <v>31</v>
      </c>
      <c r="E455" s="19">
        <v>1</v>
      </c>
      <c r="F455" s="28" t="s">
        <v>54</v>
      </c>
      <c r="G455" s="28" t="s">
        <v>197</v>
      </c>
      <c r="H455" s="26" t="s">
        <v>2</v>
      </c>
      <c r="I455" s="29">
        <v>32</v>
      </c>
      <c r="J455" s="35">
        <v>195</v>
      </c>
      <c r="K455" s="17">
        <f t="shared" si="9"/>
        <v>6240</v>
      </c>
      <c r="L455" s="14"/>
    </row>
    <row r="456" spans="1:12" ht="26.4">
      <c r="A456" s="26">
        <v>18</v>
      </c>
      <c r="B456" s="27" t="s">
        <v>29</v>
      </c>
      <c r="C456" s="28" t="s">
        <v>30</v>
      </c>
      <c r="D456" s="28" t="s">
        <v>31</v>
      </c>
      <c r="E456" s="19">
        <v>1</v>
      </c>
      <c r="F456" s="28" t="s">
        <v>49</v>
      </c>
      <c r="G456" s="28" t="s">
        <v>197</v>
      </c>
      <c r="H456" s="26" t="s">
        <v>2</v>
      </c>
      <c r="I456" s="29">
        <v>117</v>
      </c>
      <c r="J456" s="35">
        <v>195</v>
      </c>
      <c r="K456" s="17">
        <f t="shared" si="9"/>
        <v>22815</v>
      </c>
      <c r="L456" s="14"/>
    </row>
    <row r="457" spans="1:12" ht="26.4">
      <c r="A457" s="26">
        <v>19</v>
      </c>
      <c r="B457" s="27" t="s">
        <v>29</v>
      </c>
      <c r="C457" s="28" t="s">
        <v>30</v>
      </c>
      <c r="D457" s="28" t="s">
        <v>31</v>
      </c>
      <c r="E457" s="19">
        <v>1</v>
      </c>
      <c r="F457" s="28" t="s">
        <v>64</v>
      </c>
      <c r="G457" s="28" t="s">
        <v>197</v>
      </c>
      <c r="H457" s="26" t="s">
        <v>2</v>
      </c>
      <c r="I457" s="29">
        <v>442</v>
      </c>
      <c r="J457" s="35">
        <v>195</v>
      </c>
      <c r="K457" s="17">
        <f t="shared" si="9"/>
        <v>86190</v>
      </c>
      <c r="L457" s="14"/>
    </row>
    <row r="458" spans="1:12" ht="26.4">
      <c r="A458" s="26">
        <v>20</v>
      </c>
      <c r="B458" s="27" t="s">
        <v>29</v>
      </c>
      <c r="C458" s="28" t="s">
        <v>30</v>
      </c>
      <c r="D458" s="28" t="s">
        <v>31</v>
      </c>
      <c r="E458" s="19">
        <v>1</v>
      </c>
      <c r="F458" s="28" t="s">
        <v>74</v>
      </c>
      <c r="G458" s="28" t="s">
        <v>197</v>
      </c>
      <c r="H458" s="26" t="s">
        <v>2</v>
      </c>
      <c r="I458" s="29">
        <v>136.5</v>
      </c>
      <c r="J458" s="35">
        <v>195</v>
      </c>
      <c r="K458" s="17">
        <f t="shared" si="9"/>
        <v>26617.5</v>
      </c>
      <c r="L458" s="14"/>
    </row>
    <row r="459" spans="1:12" ht="26.4">
      <c r="A459" s="26">
        <v>21</v>
      </c>
      <c r="B459" s="27" t="s">
        <v>29</v>
      </c>
      <c r="C459" s="28" t="s">
        <v>30</v>
      </c>
      <c r="D459" s="28" t="s">
        <v>31</v>
      </c>
      <c r="E459" s="19">
        <v>1</v>
      </c>
      <c r="F459" s="28" t="s">
        <v>57</v>
      </c>
      <c r="G459" s="28" t="s">
        <v>197</v>
      </c>
      <c r="H459" s="26" t="s">
        <v>2</v>
      </c>
      <c r="I459" s="29">
        <v>73.5</v>
      </c>
      <c r="J459" s="35">
        <v>195</v>
      </c>
      <c r="K459" s="17">
        <f t="shared" si="9"/>
        <v>14332.5</v>
      </c>
      <c r="L459" s="14"/>
    </row>
    <row r="460" spans="1:12" ht="26.4">
      <c r="A460" s="26">
        <v>22</v>
      </c>
      <c r="B460" s="27" t="s">
        <v>35</v>
      </c>
      <c r="C460" s="28" t="s">
        <v>30</v>
      </c>
      <c r="D460" s="28" t="s">
        <v>31</v>
      </c>
      <c r="E460" s="19">
        <v>1</v>
      </c>
      <c r="F460" s="28" t="s">
        <v>91</v>
      </c>
      <c r="G460" s="28" t="s">
        <v>197</v>
      </c>
      <c r="H460" s="26" t="s">
        <v>2</v>
      </c>
      <c r="I460" s="29">
        <v>112</v>
      </c>
      <c r="J460" s="35">
        <v>195</v>
      </c>
      <c r="K460" s="17">
        <f t="shared" si="9"/>
        <v>21840</v>
      </c>
      <c r="L460" s="14"/>
    </row>
    <row r="461" spans="1:12" ht="26.4">
      <c r="A461" s="26">
        <v>23</v>
      </c>
      <c r="B461" s="27" t="s">
        <v>29</v>
      </c>
      <c r="C461" s="28" t="s">
        <v>30</v>
      </c>
      <c r="D461" s="28" t="s">
        <v>31</v>
      </c>
      <c r="E461" s="19">
        <v>1</v>
      </c>
      <c r="F461" s="28" t="s">
        <v>90</v>
      </c>
      <c r="G461" s="28" t="s">
        <v>197</v>
      </c>
      <c r="H461" s="26" t="s">
        <v>2</v>
      </c>
      <c r="I461" s="29">
        <v>95</v>
      </c>
      <c r="J461" s="35">
        <v>195</v>
      </c>
      <c r="K461" s="17">
        <f t="shared" si="9"/>
        <v>18525</v>
      </c>
      <c r="L461" s="14"/>
    </row>
    <row r="462" spans="1:12" ht="39.6">
      <c r="A462" s="26">
        <v>24</v>
      </c>
      <c r="B462" s="27" t="s">
        <v>29</v>
      </c>
      <c r="C462" s="28" t="s">
        <v>30</v>
      </c>
      <c r="D462" s="28" t="s">
        <v>31</v>
      </c>
      <c r="E462" s="19">
        <v>2</v>
      </c>
      <c r="F462" s="28" t="s">
        <v>194</v>
      </c>
      <c r="G462" s="28" t="s">
        <v>197</v>
      </c>
      <c r="H462" s="26" t="s">
        <v>2</v>
      </c>
      <c r="I462" s="29">
        <v>124</v>
      </c>
      <c r="J462" s="35">
        <v>195</v>
      </c>
      <c r="K462" s="17">
        <f t="shared" si="9"/>
        <v>24180</v>
      </c>
      <c r="L462" s="14"/>
    </row>
    <row r="463" spans="1:12" ht="26.4">
      <c r="A463" s="26">
        <v>25</v>
      </c>
      <c r="B463" s="27" t="s">
        <v>29</v>
      </c>
      <c r="C463" s="28" t="s">
        <v>30</v>
      </c>
      <c r="D463" s="28" t="s">
        <v>31</v>
      </c>
      <c r="E463" s="19">
        <v>2</v>
      </c>
      <c r="F463" s="28" t="s">
        <v>119</v>
      </c>
      <c r="G463" s="28" t="s">
        <v>197</v>
      </c>
      <c r="H463" s="26" t="s">
        <v>2</v>
      </c>
      <c r="I463" s="29">
        <v>65.400000000000006</v>
      </c>
      <c r="J463" s="35">
        <v>195</v>
      </c>
      <c r="K463" s="17">
        <f t="shared" si="9"/>
        <v>12753.000000000002</v>
      </c>
      <c r="L463" s="14"/>
    </row>
    <row r="464" spans="1:12" ht="26.4">
      <c r="A464" s="26">
        <v>26</v>
      </c>
      <c r="B464" s="27" t="s">
        <v>29</v>
      </c>
      <c r="C464" s="28" t="s">
        <v>30</v>
      </c>
      <c r="D464" s="28" t="s">
        <v>31</v>
      </c>
      <c r="E464" s="19">
        <v>2</v>
      </c>
      <c r="F464" s="28" t="s">
        <v>96</v>
      </c>
      <c r="G464" s="28" t="s">
        <v>197</v>
      </c>
      <c r="H464" s="26" t="s">
        <v>2</v>
      </c>
      <c r="I464" s="29">
        <v>94</v>
      </c>
      <c r="J464" s="35">
        <v>195</v>
      </c>
      <c r="K464" s="17">
        <f t="shared" si="9"/>
        <v>18330</v>
      </c>
      <c r="L464" s="14"/>
    </row>
    <row r="465" spans="1:12" ht="26.4">
      <c r="A465" s="26">
        <v>27</v>
      </c>
      <c r="B465" s="27" t="s">
        <v>29</v>
      </c>
      <c r="C465" s="28" t="s">
        <v>30</v>
      </c>
      <c r="D465" s="28" t="s">
        <v>31</v>
      </c>
      <c r="E465" s="19">
        <v>2</v>
      </c>
      <c r="F465" s="28" t="s">
        <v>112</v>
      </c>
      <c r="G465" s="28" t="s">
        <v>197</v>
      </c>
      <c r="H465" s="26" t="s">
        <v>2</v>
      </c>
      <c r="I465" s="29">
        <v>27.5</v>
      </c>
      <c r="J465" s="35">
        <v>195</v>
      </c>
      <c r="K465" s="17">
        <f t="shared" si="9"/>
        <v>5362.5</v>
      </c>
      <c r="L465" s="14"/>
    </row>
    <row r="466" spans="1:12" ht="52.8">
      <c r="A466" s="26">
        <v>28</v>
      </c>
      <c r="B466" s="27" t="s">
        <v>29</v>
      </c>
      <c r="C466" s="28" t="s">
        <v>30</v>
      </c>
      <c r="D466" s="28" t="s">
        <v>31</v>
      </c>
      <c r="E466" s="19">
        <v>2</v>
      </c>
      <c r="F466" s="28" t="s">
        <v>196</v>
      </c>
      <c r="G466" s="28" t="s">
        <v>197</v>
      </c>
      <c r="H466" s="26" t="s">
        <v>2</v>
      </c>
      <c r="I466" s="29">
        <v>109</v>
      </c>
      <c r="J466" s="35">
        <v>195</v>
      </c>
      <c r="K466" s="17">
        <f t="shared" si="9"/>
        <v>21255</v>
      </c>
      <c r="L466" s="14"/>
    </row>
    <row r="467" spans="1:12" ht="26.4">
      <c r="A467" s="26">
        <v>29</v>
      </c>
      <c r="B467" s="27" t="s">
        <v>29</v>
      </c>
      <c r="C467" s="28" t="s">
        <v>30</v>
      </c>
      <c r="D467" s="28" t="s">
        <v>31</v>
      </c>
      <c r="E467" s="19">
        <v>2</v>
      </c>
      <c r="F467" s="28" t="s">
        <v>98</v>
      </c>
      <c r="G467" s="28" t="s">
        <v>197</v>
      </c>
      <c r="H467" s="26" t="s">
        <v>2</v>
      </c>
      <c r="I467" s="29">
        <v>94</v>
      </c>
      <c r="J467" s="35">
        <v>195</v>
      </c>
      <c r="K467" s="17">
        <f t="shared" si="9"/>
        <v>18330</v>
      </c>
      <c r="L467" s="14"/>
    </row>
    <row r="468" spans="1:12" ht="26.4">
      <c r="A468" s="26">
        <v>30</v>
      </c>
      <c r="B468" s="27" t="s">
        <v>29</v>
      </c>
      <c r="C468" s="28" t="s">
        <v>30</v>
      </c>
      <c r="D468" s="28" t="s">
        <v>31</v>
      </c>
      <c r="E468" s="19">
        <v>2</v>
      </c>
      <c r="F468" s="28" t="s">
        <v>113</v>
      </c>
      <c r="G468" s="28" t="s">
        <v>197</v>
      </c>
      <c r="H468" s="26" t="s">
        <v>2</v>
      </c>
      <c r="I468" s="29">
        <v>27.5</v>
      </c>
      <c r="J468" s="35">
        <v>195</v>
      </c>
      <c r="K468" s="17">
        <f t="shared" si="9"/>
        <v>5362.5</v>
      </c>
      <c r="L468" s="14"/>
    </row>
    <row r="469" spans="1:12" ht="26.4">
      <c r="A469" s="26">
        <v>31</v>
      </c>
      <c r="B469" s="27" t="s">
        <v>29</v>
      </c>
      <c r="C469" s="28" t="s">
        <v>30</v>
      </c>
      <c r="D469" s="28" t="s">
        <v>31</v>
      </c>
      <c r="E469" s="19">
        <v>2</v>
      </c>
      <c r="F469" s="28" t="s">
        <v>97</v>
      </c>
      <c r="G469" s="28" t="s">
        <v>197</v>
      </c>
      <c r="H469" s="26" t="s">
        <v>2</v>
      </c>
      <c r="I469" s="29">
        <v>110</v>
      </c>
      <c r="J469" s="35">
        <v>195</v>
      </c>
      <c r="K469" s="17">
        <f t="shared" si="9"/>
        <v>21450</v>
      </c>
      <c r="L469" s="14"/>
    </row>
    <row r="470" spans="1:12" ht="26.4">
      <c r="A470" s="26">
        <v>32</v>
      </c>
      <c r="B470" s="27" t="s">
        <v>29</v>
      </c>
      <c r="C470" s="28" t="s">
        <v>30</v>
      </c>
      <c r="D470" s="28" t="s">
        <v>31</v>
      </c>
      <c r="E470" s="19">
        <v>2</v>
      </c>
      <c r="F470" s="28" t="s">
        <v>105</v>
      </c>
      <c r="G470" s="28" t="s">
        <v>197</v>
      </c>
      <c r="H470" s="26" t="s">
        <v>2</v>
      </c>
      <c r="I470" s="29">
        <v>76.5</v>
      </c>
      <c r="J470" s="35">
        <v>195</v>
      </c>
      <c r="K470" s="17">
        <f t="shared" si="9"/>
        <v>14917.5</v>
      </c>
      <c r="L470" s="14"/>
    </row>
    <row r="471" spans="1:12" ht="26.4">
      <c r="A471" s="26">
        <v>33</v>
      </c>
      <c r="B471" s="27" t="s">
        <v>29</v>
      </c>
      <c r="C471" s="28" t="s">
        <v>30</v>
      </c>
      <c r="D471" s="28" t="s">
        <v>31</v>
      </c>
      <c r="E471" s="19">
        <v>2</v>
      </c>
      <c r="F471" s="28" t="s">
        <v>102</v>
      </c>
      <c r="G471" s="28" t="s">
        <v>197</v>
      </c>
      <c r="H471" s="26" t="s">
        <v>2</v>
      </c>
      <c r="I471" s="29">
        <v>75</v>
      </c>
      <c r="J471" s="35">
        <v>195</v>
      </c>
      <c r="K471" s="17">
        <f t="shared" si="9"/>
        <v>14625</v>
      </c>
      <c r="L471" s="14"/>
    </row>
    <row r="472" spans="1:12" ht="26.4">
      <c r="A472" s="26">
        <v>34</v>
      </c>
      <c r="B472" s="27" t="s">
        <v>29</v>
      </c>
      <c r="C472" s="28" t="s">
        <v>30</v>
      </c>
      <c r="D472" s="28" t="s">
        <v>31</v>
      </c>
      <c r="E472" s="19">
        <v>2</v>
      </c>
      <c r="F472" s="28" t="s">
        <v>118</v>
      </c>
      <c r="G472" s="28" t="s">
        <v>197</v>
      </c>
      <c r="H472" s="26" t="s">
        <v>2</v>
      </c>
      <c r="I472" s="29">
        <v>186</v>
      </c>
      <c r="J472" s="35">
        <v>195</v>
      </c>
      <c r="K472" s="17">
        <f t="shared" si="9"/>
        <v>36270</v>
      </c>
      <c r="L472" s="14"/>
    </row>
    <row r="473" spans="1:12" ht="26.4">
      <c r="A473" s="26">
        <v>35</v>
      </c>
      <c r="B473" s="27" t="s">
        <v>29</v>
      </c>
      <c r="C473" s="28" t="s">
        <v>30</v>
      </c>
      <c r="D473" s="28" t="s">
        <v>31</v>
      </c>
      <c r="E473" s="19">
        <v>2</v>
      </c>
      <c r="F473" s="28" t="s">
        <v>179</v>
      </c>
      <c r="G473" s="28" t="s">
        <v>197</v>
      </c>
      <c r="H473" s="26" t="s">
        <v>2</v>
      </c>
      <c r="I473" s="29">
        <v>12.6</v>
      </c>
      <c r="J473" s="35">
        <v>195</v>
      </c>
      <c r="K473" s="17">
        <f t="shared" si="9"/>
        <v>2457</v>
      </c>
      <c r="L473" s="14"/>
    </row>
    <row r="474" spans="1:12" ht="26.4">
      <c r="A474" s="26">
        <v>36</v>
      </c>
      <c r="B474" s="27" t="s">
        <v>29</v>
      </c>
      <c r="C474" s="28" t="s">
        <v>30</v>
      </c>
      <c r="D474" s="28" t="s">
        <v>31</v>
      </c>
      <c r="E474" s="19">
        <v>1</v>
      </c>
      <c r="F474" s="28" t="s">
        <v>55</v>
      </c>
      <c r="G474" s="28" t="s">
        <v>198</v>
      </c>
      <c r="H474" s="26" t="s">
        <v>2</v>
      </c>
      <c r="I474" s="29">
        <v>56</v>
      </c>
      <c r="J474" s="35">
        <v>195</v>
      </c>
      <c r="K474" s="17">
        <f t="shared" si="9"/>
        <v>10920</v>
      </c>
      <c r="L474" s="14"/>
    </row>
    <row r="475" spans="1:12" ht="26.4">
      <c r="A475" s="26">
        <v>37</v>
      </c>
      <c r="B475" s="27" t="s">
        <v>29</v>
      </c>
      <c r="C475" s="28" t="s">
        <v>30</v>
      </c>
      <c r="D475" s="28" t="s">
        <v>31</v>
      </c>
      <c r="E475" s="19">
        <v>1</v>
      </c>
      <c r="F475" s="28" t="s">
        <v>67</v>
      </c>
      <c r="G475" s="28" t="s">
        <v>198</v>
      </c>
      <c r="H475" s="26" t="s">
        <v>2</v>
      </c>
      <c r="I475" s="29">
        <v>23</v>
      </c>
      <c r="J475" s="35">
        <v>195</v>
      </c>
      <c r="K475" s="17">
        <f t="shared" si="9"/>
        <v>4485</v>
      </c>
      <c r="L475" s="14"/>
    </row>
    <row r="476" spans="1:12" ht="26.4">
      <c r="A476" s="26">
        <v>38</v>
      </c>
      <c r="B476" s="27" t="s">
        <v>29</v>
      </c>
      <c r="C476" s="28" t="s">
        <v>30</v>
      </c>
      <c r="D476" s="28" t="s">
        <v>31</v>
      </c>
      <c r="E476" s="19">
        <v>1</v>
      </c>
      <c r="F476" s="28" t="s">
        <v>74</v>
      </c>
      <c r="G476" s="28" t="s">
        <v>198</v>
      </c>
      <c r="H476" s="26" t="s">
        <v>2</v>
      </c>
      <c r="I476" s="29">
        <v>23.7</v>
      </c>
      <c r="J476" s="35">
        <v>195</v>
      </c>
      <c r="K476" s="17">
        <f t="shared" si="9"/>
        <v>4621.5</v>
      </c>
      <c r="L476" s="14"/>
    </row>
    <row r="477" spans="1:12" ht="26.4">
      <c r="A477" s="26">
        <v>39</v>
      </c>
      <c r="B477" s="27" t="s">
        <v>29</v>
      </c>
      <c r="C477" s="28" t="s">
        <v>30</v>
      </c>
      <c r="D477" s="28" t="s">
        <v>31</v>
      </c>
      <c r="E477" s="19">
        <v>1</v>
      </c>
      <c r="F477" s="28" t="s">
        <v>57</v>
      </c>
      <c r="G477" s="28" t="s">
        <v>198</v>
      </c>
      <c r="H477" s="26" t="s">
        <v>2</v>
      </c>
      <c r="I477" s="29">
        <v>3</v>
      </c>
      <c r="J477" s="35">
        <v>195</v>
      </c>
      <c r="K477" s="17">
        <f t="shared" si="9"/>
        <v>585</v>
      </c>
      <c r="L477" s="14"/>
    </row>
    <row r="478" spans="1:12" ht="26.4">
      <c r="A478" s="26">
        <v>40</v>
      </c>
      <c r="B478" s="27" t="s">
        <v>29</v>
      </c>
      <c r="C478" s="28" t="s">
        <v>30</v>
      </c>
      <c r="D478" s="28" t="s">
        <v>31</v>
      </c>
      <c r="E478" s="19">
        <v>2</v>
      </c>
      <c r="F478" s="28" t="s">
        <v>142</v>
      </c>
      <c r="G478" s="28" t="s">
        <v>198</v>
      </c>
      <c r="H478" s="26" t="s">
        <v>2</v>
      </c>
      <c r="I478" s="29">
        <v>20</v>
      </c>
      <c r="J478" s="35">
        <v>195</v>
      </c>
      <c r="K478" s="17">
        <f t="shared" si="9"/>
        <v>3900</v>
      </c>
      <c r="L478" s="14"/>
    </row>
    <row r="479" spans="1:12" ht="26.4">
      <c r="A479" s="26">
        <v>41</v>
      </c>
      <c r="B479" s="27" t="s">
        <v>35</v>
      </c>
      <c r="C479" s="28" t="s">
        <v>30</v>
      </c>
      <c r="D479" s="28" t="s">
        <v>31</v>
      </c>
      <c r="E479" s="19">
        <v>2</v>
      </c>
      <c r="F479" s="28" t="s">
        <v>113</v>
      </c>
      <c r="G479" s="28" t="s">
        <v>198</v>
      </c>
      <c r="H479" s="26" t="s">
        <v>2</v>
      </c>
      <c r="I479" s="29">
        <v>27</v>
      </c>
      <c r="J479" s="35">
        <v>195</v>
      </c>
      <c r="K479" s="17">
        <f t="shared" si="9"/>
        <v>5265</v>
      </c>
      <c r="L479" s="14"/>
    </row>
    <row r="480" spans="1:12" ht="26.4">
      <c r="A480" s="26">
        <v>42</v>
      </c>
      <c r="B480" s="27" t="s">
        <v>35</v>
      </c>
      <c r="C480" s="28" t="s">
        <v>30</v>
      </c>
      <c r="D480" s="28" t="s">
        <v>31</v>
      </c>
      <c r="E480" s="19">
        <v>2</v>
      </c>
      <c r="F480" s="28" t="s">
        <v>96</v>
      </c>
      <c r="G480" s="28" t="s">
        <v>198</v>
      </c>
      <c r="H480" s="26" t="s">
        <v>2</v>
      </c>
      <c r="I480" s="29">
        <v>24</v>
      </c>
      <c r="J480" s="35">
        <v>195</v>
      </c>
      <c r="K480" s="17">
        <f t="shared" si="9"/>
        <v>4680</v>
      </c>
      <c r="L480" s="14"/>
    </row>
    <row r="481" spans="1:12" ht="26.4">
      <c r="A481" s="26">
        <v>43</v>
      </c>
      <c r="B481" s="27" t="s">
        <v>29</v>
      </c>
      <c r="C481" s="28" t="s">
        <v>30</v>
      </c>
      <c r="D481" s="28" t="s">
        <v>31</v>
      </c>
      <c r="E481" s="19">
        <v>2</v>
      </c>
      <c r="F481" s="28" t="s">
        <v>99</v>
      </c>
      <c r="G481" s="28" t="s">
        <v>198</v>
      </c>
      <c r="H481" s="26" t="s">
        <v>2</v>
      </c>
      <c r="I481" s="29">
        <v>7.2</v>
      </c>
      <c r="J481" s="35">
        <v>195</v>
      </c>
      <c r="K481" s="17">
        <f t="shared" si="9"/>
        <v>1404</v>
      </c>
      <c r="L481" s="14"/>
    </row>
    <row r="482" spans="1:12" ht="26.4">
      <c r="A482" s="26">
        <v>44</v>
      </c>
      <c r="B482" s="27" t="s">
        <v>29</v>
      </c>
      <c r="C482" s="28" t="s">
        <v>30</v>
      </c>
      <c r="D482" s="28" t="s">
        <v>31</v>
      </c>
      <c r="E482" s="19">
        <v>2</v>
      </c>
      <c r="F482" s="28" t="s">
        <v>112</v>
      </c>
      <c r="G482" s="28" t="s">
        <v>198</v>
      </c>
      <c r="H482" s="26" t="s">
        <v>2</v>
      </c>
      <c r="I482" s="29">
        <v>15.3</v>
      </c>
      <c r="J482" s="35">
        <v>195</v>
      </c>
      <c r="K482" s="17">
        <f t="shared" si="9"/>
        <v>2983.5</v>
      </c>
      <c r="L482" s="14"/>
    </row>
    <row r="483" spans="1:12" ht="52.8">
      <c r="A483" s="26">
        <v>45</v>
      </c>
      <c r="B483" s="27" t="s">
        <v>29</v>
      </c>
      <c r="C483" s="28" t="s">
        <v>30</v>
      </c>
      <c r="D483" s="28" t="s">
        <v>31</v>
      </c>
      <c r="E483" s="19">
        <v>2</v>
      </c>
      <c r="F483" s="28" t="s">
        <v>196</v>
      </c>
      <c r="G483" s="28" t="s">
        <v>198</v>
      </c>
      <c r="H483" s="26" t="s">
        <v>2</v>
      </c>
      <c r="I483" s="29">
        <v>20</v>
      </c>
      <c r="J483" s="35">
        <v>195</v>
      </c>
      <c r="K483" s="17">
        <f t="shared" si="9"/>
        <v>3900</v>
      </c>
      <c r="L483" s="14"/>
    </row>
    <row r="484" spans="1:12" ht="26.4">
      <c r="A484" s="26">
        <v>46</v>
      </c>
      <c r="B484" s="27" t="s">
        <v>29</v>
      </c>
      <c r="C484" s="28" t="s">
        <v>30</v>
      </c>
      <c r="D484" s="28" t="s">
        <v>31</v>
      </c>
      <c r="E484" s="19">
        <v>2</v>
      </c>
      <c r="F484" s="28" t="s">
        <v>98</v>
      </c>
      <c r="G484" s="28" t="s">
        <v>198</v>
      </c>
      <c r="H484" s="26" t="s">
        <v>2</v>
      </c>
      <c r="I484" s="29">
        <v>23</v>
      </c>
      <c r="J484" s="35">
        <v>195</v>
      </c>
      <c r="K484" s="17">
        <f t="shared" si="9"/>
        <v>4485</v>
      </c>
      <c r="L484" s="14"/>
    </row>
    <row r="485" spans="1:12" ht="26.4">
      <c r="A485" s="26">
        <v>47</v>
      </c>
      <c r="B485" s="27" t="s">
        <v>29</v>
      </c>
      <c r="C485" s="28" t="s">
        <v>30</v>
      </c>
      <c r="D485" s="28" t="s">
        <v>31</v>
      </c>
      <c r="E485" s="19">
        <v>2</v>
      </c>
      <c r="F485" s="28" t="s">
        <v>116</v>
      </c>
      <c r="G485" s="28" t="s">
        <v>198</v>
      </c>
      <c r="H485" s="26" t="s">
        <v>2</v>
      </c>
      <c r="I485" s="29">
        <v>31</v>
      </c>
      <c r="J485" s="35">
        <v>195</v>
      </c>
      <c r="K485" s="17">
        <f t="shared" si="9"/>
        <v>6045</v>
      </c>
      <c r="L485" s="14"/>
    </row>
    <row r="486" spans="1:12" ht="26.4">
      <c r="A486" s="26">
        <v>48</v>
      </c>
      <c r="B486" s="27" t="s">
        <v>29</v>
      </c>
      <c r="C486" s="28" t="s">
        <v>30</v>
      </c>
      <c r="D486" s="28" t="s">
        <v>31</v>
      </c>
      <c r="E486" s="19">
        <v>2</v>
      </c>
      <c r="F486" s="28" t="s">
        <v>97</v>
      </c>
      <c r="G486" s="28" t="s">
        <v>198</v>
      </c>
      <c r="H486" s="26" t="s">
        <v>2</v>
      </c>
      <c r="I486" s="29">
        <v>10</v>
      </c>
      <c r="J486" s="35">
        <v>195</v>
      </c>
      <c r="K486" s="17">
        <f t="shared" si="9"/>
        <v>1950</v>
      </c>
      <c r="L486" s="14"/>
    </row>
    <row r="487" spans="1:12" ht="26.4">
      <c r="A487" s="26">
        <v>49</v>
      </c>
      <c r="B487" s="27" t="s">
        <v>29</v>
      </c>
      <c r="C487" s="28" t="s">
        <v>30</v>
      </c>
      <c r="D487" s="28" t="s">
        <v>31</v>
      </c>
      <c r="E487" s="19">
        <v>2</v>
      </c>
      <c r="F487" s="28" t="s">
        <v>105</v>
      </c>
      <c r="G487" s="28" t="s">
        <v>198</v>
      </c>
      <c r="H487" s="26" t="s">
        <v>2</v>
      </c>
      <c r="I487" s="29">
        <v>27</v>
      </c>
      <c r="J487" s="35">
        <v>195</v>
      </c>
      <c r="K487" s="17">
        <f t="shared" si="9"/>
        <v>5265</v>
      </c>
      <c r="L487" s="14"/>
    </row>
    <row r="488" spans="1:12" ht="26.4">
      <c r="A488" s="26">
        <v>50</v>
      </c>
      <c r="B488" s="27" t="s">
        <v>29</v>
      </c>
      <c r="C488" s="28" t="s">
        <v>30</v>
      </c>
      <c r="D488" s="28" t="s">
        <v>31</v>
      </c>
      <c r="E488" s="19">
        <v>2</v>
      </c>
      <c r="F488" s="28" t="s">
        <v>118</v>
      </c>
      <c r="G488" s="28" t="s">
        <v>198</v>
      </c>
      <c r="H488" s="26" t="s">
        <v>2</v>
      </c>
      <c r="I488" s="29">
        <v>20</v>
      </c>
      <c r="J488" s="35">
        <v>195</v>
      </c>
      <c r="K488" s="17">
        <f t="shared" si="9"/>
        <v>3900</v>
      </c>
      <c r="L488" s="14"/>
    </row>
    <row r="489" spans="1:12" ht="26.4">
      <c r="A489" s="26">
        <v>51</v>
      </c>
      <c r="B489" s="27" t="s">
        <v>29</v>
      </c>
      <c r="C489" s="28" t="s">
        <v>30</v>
      </c>
      <c r="D489" s="28" t="s">
        <v>31</v>
      </c>
      <c r="E489" s="19">
        <v>3</v>
      </c>
      <c r="F489" s="28" t="s">
        <v>179</v>
      </c>
      <c r="G489" s="28" t="s">
        <v>198</v>
      </c>
      <c r="H489" s="26" t="s">
        <v>2</v>
      </c>
      <c r="I489" s="29">
        <v>12.6</v>
      </c>
      <c r="J489" s="35">
        <v>195</v>
      </c>
      <c r="K489" s="17">
        <f t="shared" si="9"/>
        <v>2457</v>
      </c>
      <c r="L489" s="14"/>
    </row>
    <row r="490" spans="1:12" ht="52.8">
      <c r="A490" s="26">
        <v>52</v>
      </c>
      <c r="B490" s="27" t="s">
        <v>29</v>
      </c>
      <c r="C490" s="28" t="s">
        <v>30</v>
      </c>
      <c r="D490" s="28" t="s">
        <v>33</v>
      </c>
      <c r="E490" s="19">
        <v>3</v>
      </c>
      <c r="F490" s="28" t="s">
        <v>189</v>
      </c>
      <c r="G490" s="28" t="s">
        <v>7</v>
      </c>
      <c r="H490" s="26" t="s">
        <v>2</v>
      </c>
      <c r="I490" s="29">
        <v>80</v>
      </c>
      <c r="J490" s="35">
        <v>180</v>
      </c>
      <c r="K490" s="17">
        <f t="shared" si="9"/>
        <v>14400</v>
      </c>
      <c r="L490" s="14"/>
    </row>
    <row r="491" spans="1:12" ht="39.6">
      <c r="A491" s="26">
        <v>53</v>
      </c>
      <c r="B491" s="27" t="s">
        <v>29</v>
      </c>
      <c r="C491" s="28" t="s">
        <v>30</v>
      </c>
      <c r="D491" s="28" t="s">
        <v>33</v>
      </c>
      <c r="E491" s="19">
        <v>3</v>
      </c>
      <c r="F491" s="28" t="s">
        <v>190</v>
      </c>
      <c r="G491" s="28" t="s">
        <v>7</v>
      </c>
      <c r="H491" s="26" t="s">
        <v>2</v>
      </c>
      <c r="I491" s="29">
        <v>73</v>
      </c>
      <c r="J491" s="35">
        <v>180</v>
      </c>
      <c r="K491" s="17">
        <f t="shared" si="9"/>
        <v>13140</v>
      </c>
      <c r="L491" s="14"/>
    </row>
    <row r="492" spans="1:12" ht="26.4">
      <c r="A492" s="26">
        <v>54</v>
      </c>
      <c r="B492" s="27" t="s">
        <v>29</v>
      </c>
      <c r="C492" s="28" t="s">
        <v>30</v>
      </c>
      <c r="D492" s="28" t="s">
        <v>33</v>
      </c>
      <c r="E492" s="19">
        <v>3</v>
      </c>
      <c r="F492" s="28" t="s">
        <v>179</v>
      </c>
      <c r="G492" s="28" t="s">
        <v>7</v>
      </c>
      <c r="H492" s="26" t="s">
        <v>2</v>
      </c>
      <c r="I492" s="29">
        <v>95</v>
      </c>
      <c r="J492" s="35">
        <v>180</v>
      </c>
      <c r="K492" s="17">
        <f t="shared" si="9"/>
        <v>17100</v>
      </c>
      <c r="L492" s="14"/>
    </row>
    <row r="493" spans="1:12" ht="26.4">
      <c r="A493" s="26">
        <v>55</v>
      </c>
      <c r="B493" s="27" t="s">
        <v>29</v>
      </c>
      <c r="C493" s="28" t="s">
        <v>30</v>
      </c>
      <c r="D493" s="28" t="s">
        <v>33</v>
      </c>
      <c r="E493" s="19">
        <v>3</v>
      </c>
      <c r="F493" s="28" t="s">
        <v>164</v>
      </c>
      <c r="G493" s="28" t="s">
        <v>7</v>
      </c>
      <c r="H493" s="26" t="s">
        <v>2</v>
      </c>
      <c r="I493" s="29">
        <v>21.4</v>
      </c>
      <c r="J493" s="35">
        <v>180</v>
      </c>
      <c r="K493" s="17">
        <f t="shared" si="9"/>
        <v>3851.9999999999995</v>
      </c>
      <c r="L493" s="14"/>
    </row>
    <row r="494" spans="1:12" ht="26.4">
      <c r="A494" s="26">
        <v>56</v>
      </c>
      <c r="B494" s="27" t="s">
        <v>29</v>
      </c>
      <c r="C494" s="28" t="s">
        <v>30</v>
      </c>
      <c r="D494" s="28" t="s">
        <v>33</v>
      </c>
      <c r="E494" s="19">
        <v>3</v>
      </c>
      <c r="F494" s="28" t="s">
        <v>166</v>
      </c>
      <c r="G494" s="28" t="s">
        <v>7</v>
      </c>
      <c r="H494" s="26" t="s">
        <v>2</v>
      </c>
      <c r="I494" s="29">
        <v>78.5</v>
      </c>
      <c r="J494" s="35">
        <v>180</v>
      </c>
      <c r="K494" s="17">
        <f t="shared" si="9"/>
        <v>14130</v>
      </c>
      <c r="L494" s="14"/>
    </row>
    <row r="495" spans="1:12" ht="26.4">
      <c r="A495" s="26">
        <v>57</v>
      </c>
      <c r="B495" s="27" t="s">
        <v>29</v>
      </c>
      <c r="C495" s="28" t="s">
        <v>30</v>
      </c>
      <c r="D495" s="28" t="s">
        <v>33</v>
      </c>
      <c r="E495" s="19">
        <v>3</v>
      </c>
      <c r="F495" s="28" t="s">
        <v>169</v>
      </c>
      <c r="G495" s="28" t="s">
        <v>7</v>
      </c>
      <c r="H495" s="26" t="s">
        <v>2</v>
      </c>
      <c r="I495" s="29">
        <v>21.4</v>
      </c>
      <c r="J495" s="35">
        <v>180</v>
      </c>
      <c r="K495" s="17">
        <f t="shared" si="9"/>
        <v>3851.9999999999995</v>
      </c>
      <c r="L495" s="14"/>
    </row>
    <row r="496" spans="1:12" ht="26.4">
      <c r="A496" s="26">
        <v>58</v>
      </c>
      <c r="B496" s="27" t="s">
        <v>29</v>
      </c>
      <c r="C496" s="28" t="s">
        <v>30</v>
      </c>
      <c r="D496" s="28" t="s">
        <v>33</v>
      </c>
      <c r="E496" s="19">
        <v>3</v>
      </c>
      <c r="F496" s="28" t="s">
        <v>170</v>
      </c>
      <c r="G496" s="28" t="s">
        <v>7</v>
      </c>
      <c r="H496" s="26" t="s">
        <v>2</v>
      </c>
      <c r="I496" s="29">
        <v>78.5</v>
      </c>
      <c r="J496" s="35">
        <v>180</v>
      </c>
      <c r="K496" s="17">
        <f t="shared" si="9"/>
        <v>14130</v>
      </c>
      <c r="L496" s="14"/>
    </row>
    <row r="497" spans="1:12" ht="52.8">
      <c r="A497" s="26">
        <v>59</v>
      </c>
      <c r="B497" s="27" t="s">
        <v>29</v>
      </c>
      <c r="C497" s="28" t="s">
        <v>30</v>
      </c>
      <c r="D497" s="28" t="s">
        <v>33</v>
      </c>
      <c r="E497" s="19">
        <v>2</v>
      </c>
      <c r="F497" s="28" t="s">
        <v>196</v>
      </c>
      <c r="G497" s="28" t="s">
        <v>7</v>
      </c>
      <c r="H497" s="26" t="s">
        <v>2</v>
      </c>
      <c r="I497" s="29">
        <v>64.5</v>
      </c>
      <c r="J497" s="35">
        <v>180</v>
      </c>
      <c r="K497" s="17">
        <f t="shared" si="9"/>
        <v>11610</v>
      </c>
      <c r="L497" s="14"/>
    </row>
    <row r="498" spans="1:12" ht="52.8">
      <c r="A498" s="26">
        <v>60</v>
      </c>
      <c r="B498" s="27" t="s">
        <v>29</v>
      </c>
      <c r="C498" s="28" t="s">
        <v>30</v>
      </c>
      <c r="D498" s="28" t="s">
        <v>33</v>
      </c>
      <c r="E498" s="19">
        <v>2</v>
      </c>
      <c r="F498" s="28" t="s">
        <v>195</v>
      </c>
      <c r="G498" s="28" t="s">
        <v>7</v>
      </c>
      <c r="H498" s="26" t="s">
        <v>2</v>
      </c>
      <c r="I498" s="29">
        <v>64.2</v>
      </c>
      <c r="J498" s="35">
        <v>180</v>
      </c>
      <c r="K498" s="17">
        <f t="shared" si="9"/>
        <v>11556</v>
      </c>
      <c r="L498" s="14"/>
    </row>
    <row r="499" spans="1:12" ht="26.4">
      <c r="A499" s="26">
        <v>61</v>
      </c>
      <c r="B499" s="27" t="s">
        <v>29</v>
      </c>
      <c r="C499" s="28" t="s">
        <v>30</v>
      </c>
      <c r="D499" s="28" t="s">
        <v>33</v>
      </c>
      <c r="E499" s="19">
        <v>2</v>
      </c>
      <c r="F499" s="28" t="s">
        <v>97</v>
      </c>
      <c r="G499" s="28" t="s">
        <v>7</v>
      </c>
      <c r="H499" s="26" t="s">
        <v>2</v>
      </c>
      <c r="I499" s="29">
        <v>64.5</v>
      </c>
      <c r="J499" s="35">
        <v>180</v>
      </c>
      <c r="K499" s="17">
        <f t="shared" si="9"/>
        <v>11610</v>
      </c>
      <c r="L499" s="14"/>
    </row>
    <row r="500" spans="1:12" ht="39.6">
      <c r="A500" s="26">
        <v>62</v>
      </c>
      <c r="B500" s="27" t="s">
        <v>29</v>
      </c>
      <c r="C500" s="28" t="s">
        <v>30</v>
      </c>
      <c r="D500" s="28" t="s">
        <v>31</v>
      </c>
      <c r="E500" s="19">
        <v>1</v>
      </c>
      <c r="F500" s="28" t="s">
        <v>55</v>
      </c>
      <c r="G500" s="28" t="s">
        <v>1</v>
      </c>
      <c r="H500" s="26" t="s">
        <v>2</v>
      </c>
      <c r="I500" s="29">
        <v>33</v>
      </c>
      <c r="J500" s="35">
        <v>585</v>
      </c>
      <c r="K500" s="17">
        <f t="shared" si="9"/>
        <v>19305</v>
      </c>
      <c r="L500" s="14"/>
    </row>
    <row r="501" spans="1:12" ht="39.6">
      <c r="A501" s="26">
        <v>63</v>
      </c>
      <c r="B501" s="27" t="s">
        <v>29</v>
      </c>
      <c r="C501" s="28" t="s">
        <v>30</v>
      </c>
      <c r="D501" s="28" t="s">
        <v>31</v>
      </c>
      <c r="E501" s="19">
        <v>1</v>
      </c>
      <c r="F501" s="28" t="s">
        <v>66</v>
      </c>
      <c r="G501" s="28" t="s">
        <v>1</v>
      </c>
      <c r="H501" s="26" t="s">
        <v>2</v>
      </c>
      <c r="I501" s="29">
        <v>23</v>
      </c>
      <c r="J501" s="35">
        <v>585</v>
      </c>
      <c r="K501" s="17">
        <f t="shared" si="9"/>
        <v>13455</v>
      </c>
      <c r="L501" s="14"/>
    </row>
    <row r="502" spans="1:12" ht="39.6">
      <c r="A502" s="26">
        <v>64</v>
      </c>
      <c r="B502" s="27" t="s">
        <v>29</v>
      </c>
      <c r="C502" s="28" t="s">
        <v>30</v>
      </c>
      <c r="D502" s="28" t="s">
        <v>31</v>
      </c>
      <c r="E502" s="19">
        <v>1</v>
      </c>
      <c r="F502" s="28" t="s">
        <v>74</v>
      </c>
      <c r="G502" s="28" t="s">
        <v>1</v>
      </c>
      <c r="H502" s="26" t="s">
        <v>2</v>
      </c>
      <c r="I502" s="29">
        <v>23.7</v>
      </c>
      <c r="J502" s="35">
        <v>585</v>
      </c>
      <c r="K502" s="17">
        <f t="shared" si="9"/>
        <v>13864.5</v>
      </c>
      <c r="L502" s="14"/>
    </row>
    <row r="503" spans="1:12" ht="39.6">
      <c r="A503" s="26">
        <v>65</v>
      </c>
      <c r="B503" s="27" t="s">
        <v>29</v>
      </c>
      <c r="C503" s="28" t="s">
        <v>30</v>
      </c>
      <c r="D503" s="28" t="s">
        <v>31</v>
      </c>
      <c r="E503" s="19">
        <v>1</v>
      </c>
      <c r="F503" s="28" t="s">
        <v>57</v>
      </c>
      <c r="G503" s="28" t="s">
        <v>1</v>
      </c>
      <c r="H503" s="26" t="s">
        <v>2</v>
      </c>
      <c r="I503" s="29">
        <v>2.9</v>
      </c>
      <c r="J503" s="35">
        <v>585</v>
      </c>
      <c r="K503" s="17">
        <f t="shared" si="9"/>
        <v>1696.5</v>
      </c>
      <c r="L503" s="14"/>
    </row>
    <row r="504" spans="1:12" ht="39.6">
      <c r="A504" s="26">
        <v>66</v>
      </c>
      <c r="B504" s="27" t="s">
        <v>35</v>
      </c>
      <c r="C504" s="28" t="s">
        <v>30</v>
      </c>
      <c r="D504" s="28" t="s">
        <v>31</v>
      </c>
      <c r="E504" s="19">
        <v>2</v>
      </c>
      <c r="F504" s="28" t="s">
        <v>142</v>
      </c>
      <c r="G504" s="28" t="s">
        <v>1</v>
      </c>
      <c r="H504" s="26" t="s">
        <v>2</v>
      </c>
      <c r="I504" s="29">
        <v>12.6</v>
      </c>
      <c r="J504" s="35">
        <v>585</v>
      </c>
      <c r="K504" s="17">
        <f t="shared" si="9"/>
        <v>7371</v>
      </c>
      <c r="L504" s="14"/>
    </row>
    <row r="505" spans="1:12" ht="39.6">
      <c r="A505" s="26">
        <v>67</v>
      </c>
      <c r="B505" s="27" t="s">
        <v>29</v>
      </c>
      <c r="C505" s="28" t="s">
        <v>30</v>
      </c>
      <c r="D505" s="28" t="s">
        <v>31</v>
      </c>
      <c r="E505" s="19">
        <v>2</v>
      </c>
      <c r="F505" s="28" t="s">
        <v>113</v>
      </c>
      <c r="G505" s="28" t="s">
        <v>1</v>
      </c>
      <c r="H505" s="26" t="s">
        <v>2</v>
      </c>
      <c r="I505" s="29">
        <v>27</v>
      </c>
      <c r="J505" s="35">
        <v>585</v>
      </c>
      <c r="K505" s="17">
        <f t="shared" si="9"/>
        <v>15795</v>
      </c>
      <c r="L505" s="14"/>
    </row>
    <row r="506" spans="1:12" ht="39.6">
      <c r="A506" s="26">
        <v>68</v>
      </c>
      <c r="B506" s="27" t="s">
        <v>29</v>
      </c>
      <c r="C506" s="28" t="s">
        <v>30</v>
      </c>
      <c r="D506" s="28" t="s">
        <v>31</v>
      </c>
      <c r="E506" s="19">
        <v>2</v>
      </c>
      <c r="F506" s="28" t="s">
        <v>96</v>
      </c>
      <c r="G506" s="28" t="s">
        <v>1</v>
      </c>
      <c r="H506" s="26" t="s">
        <v>2</v>
      </c>
      <c r="I506" s="29">
        <v>24</v>
      </c>
      <c r="J506" s="35">
        <v>585</v>
      </c>
      <c r="K506" s="17">
        <f t="shared" si="9"/>
        <v>14040</v>
      </c>
      <c r="L506" s="14"/>
    </row>
    <row r="507" spans="1:12" ht="39.6">
      <c r="A507" s="26">
        <v>69</v>
      </c>
      <c r="B507" s="27" t="s">
        <v>29</v>
      </c>
      <c r="C507" s="28" t="s">
        <v>30</v>
      </c>
      <c r="D507" s="28" t="s">
        <v>31</v>
      </c>
      <c r="E507" s="19">
        <v>2</v>
      </c>
      <c r="F507" s="28" t="s">
        <v>99</v>
      </c>
      <c r="G507" s="28" t="s">
        <v>1</v>
      </c>
      <c r="H507" s="26" t="s">
        <v>2</v>
      </c>
      <c r="I507" s="29">
        <v>7.2</v>
      </c>
      <c r="J507" s="35">
        <v>585</v>
      </c>
      <c r="K507" s="17">
        <f t="shared" ref="K507:K539" si="10">J507*I507</f>
        <v>4212</v>
      </c>
      <c r="L507" s="14"/>
    </row>
    <row r="508" spans="1:12" ht="39.6">
      <c r="A508" s="26">
        <v>70</v>
      </c>
      <c r="B508" s="27" t="s">
        <v>29</v>
      </c>
      <c r="C508" s="28" t="s">
        <v>30</v>
      </c>
      <c r="D508" s="28" t="s">
        <v>31</v>
      </c>
      <c r="E508" s="19">
        <v>2</v>
      </c>
      <c r="F508" s="28" t="s">
        <v>112</v>
      </c>
      <c r="G508" s="28" t="s">
        <v>1</v>
      </c>
      <c r="H508" s="26" t="s">
        <v>2</v>
      </c>
      <c r="I508" s="29">
        <v>27.5</v>
      </c>
      <c r="J508" s="35">
        <v>585</v>
      </c>
      <c r="K508" s="17">
        <f t="shared" si="10"/>
        <v>16087.5</v>
      </c>
      <c r="L508" s="14"/>
    </row>
    <row r="509" spans="1:12" ht="52.8">
      <c r="A509" s="26">
        <v>71</v>
      </c>
      <c r="B509" s="27" t="s">
        <v>29</v>
      </c>
      <c r="C509" s="28" t="s">
        <v>30</v>
      </c>
      <c r="D509" s="28" t="s">
        <v>31</v>
      </c>
      <c r="E509" s="19">
        <v>2</v>
      </c>
      <c r="F509" s="28" t="s">
        <v>196</v>
      </c>
      <c r="G509" s="28" t="s">
        <v>1</v>
      </c>
      <c r="H509" s="26" t="s">
        <v>2</v>
      </c>
      <c r="I509" s="29">
        <v>20</v>
      </c>
      <c r="J509" s="35">
        <v>585</v>
      </c>
      <c r="K509" s="17">
        <f t="shared" si="10"/>
        <v>11700</v>
      </c>
      <c r="L509" s="14"/>
    </row>
    <row r="510" spans="1:12" ht="39.6">
      <c r="A510" s="26">
        <v>72</v>
      </c>
      <c r="B510" s="27" t="s">
        <v>29</v>
      </c>
      <c r="C510" s="28" t="s">
        <v>30</v>
      </c>
      <c r="D510" s="28" t="s">
        <v>31</v>
      </c>
      <c r="E510" s="19">
        <v>2</v>
      </c>
      <c r="F510" s="28" t="s">
        <v>98</v>
      </c>
      <c r="G510" s="28" t="s">
        <v>1</v>
      </c>
      <c r="H510" s="26" t="s">
        <v>2</v>
      </c>
      <c r="I510" s="29">
        <v>16</v>
      </c>
      <c r="J510" s="35">
        <v>585</v>
      </c>
      <c r="K510" s="17">
        <f t="shared" si="10"/>
        <v>9360</v>
      </c>
      <c r="L510" s="14"/>
    </row>
    <row r="511" spans="1:12" ht="39.6">
      <c r="A511" s="26">
        <v>73</v>
      </c>
      <c r="B511" s="27" t="s">
        <v>29</v>
      </c>
      <c r="C511" s="28" t="s">
        <v>30</v>
      </c>
      <c r="D511" s="28" t="s">
        <v>31</v>
      </c>
      <c r="E511" s="19">
        <v>2</v>
      </c>
      <c r="F511" s="28" t="s">
        <v>116</v>
      </c>
      <c r="G511" s="28" t="s">
        <v>1</v>
      </c>
      <c r="H511" s="26" t="s">
        <v>2</v>
      </c>
      <c r="I511" s="29">
        <v>31</v>
      </c>
      <c r="J511" s="35">
        <v>585</v>
      </c>
      <c r="K511" s="17">
        <f t="shared" si="10"/>
        <v>18135</v>
      </c>
      <c r="L511" s="14"/>
    </row>
    <row r="512" spans="1:12" ht="39.6">
      <c r="A512" s="26">
        <v>74</v>
      </c>
      <c r="B512" s="27" t="s">
        <v>29</v>
      </c>
      <c r="C512" s="28" t="s">
        <v>30</v>
      </c>
      <c r="D512" s="28" t="s">
        <v>31</v>
      </c>
      <c r="E512" s="19">
        <v>2</v>
      </c>
      <c r="F512" s="28" t="s">
        <v>114</v>
      </c>
      <c r="G512" s="28" t="s">
        <v>1</v>
      </c>
      <c r="H512" s="26" t="s">
        <v>2</v>
      </c>
      <c r="I512" s="29">
        <v>2</v>
      </c>
      <c r="J512" s="35">
        <v>585</v>
      </c>
      <c r="K512" s="17">
        <f t="shared" si="10"/>
        <v>1170</v>
      </c>
      <c r="L512" s="14"/>
    </row>
    <row r="513" spans="1:12" ht="39.6">
      <c r="A513" s="26">
        <v>75</v>
      </c>
      <c r="B513" s="27" t="s">
        <v>29</v>
      </c>
      <c r="C513" s="28" t="s">
        <v>30</v>
      </c>
      <c r="D513" s="28" t="s">
        <v>31</v>
      </c>
      <c r="E513" s="19">
        <v>2</v>
      </c>
      <c r="F513" s="28" t="s">
        <v>97</v>
      </c>
      <c r="G513" s="28" t="s">
        <v>1</v>
      </c>
      <c r="H513" s="26" t="s">
        <v>2</v>
      </c>
      <c r="I513" s="29">
        <v>10</v>
      </c>
      <c r="J513" s="35">
        <v>585</v>
      </c>
      <c r="K513" s="17">
        <f t="shared" si="10"/>
        <v>5850</v>
      </c>
      <c r="L513" s="14"/>
    </row>
    <row r="514" spans="1:12" ht="39.6">
      <c r="A514" s="26">
        <v>76</v>
      </c>
      <c r="B514" s="27" t="s">
        <v>29</v>
      </c>
      <c r="C514" s="28" t="s">
        <v>30</v>
      </c>
      <c r="D514" s="28" t="s">
        <v>31</v>
      </c>
      <c r="E514" s="19">
        <v>2</v>
      </c>
      <c r="F514" s="28" t="s">
        <v>105</v>
      </c>
      <c r="G514" s="28" t="s">
        <v>1</v>
      </c>
      <c r="H514" s="26" t="s">
        <v>2</v>
      </c>
      <c r="I514" s="29">
        <v>27</v>
      </c>
      <c r="J514" s="35">
        <v>585</v>
      </c>
      <c r="K514" s="17">
        <f t="shared" si="10"/>
        <v>15795</v>
      </c>
      <c r="L514" s="14"/>
    </row>
    <row r="515" spans="1:12" ht="39.6">
      <c r="A515" s="26">
        <v>77</v>
      </c>
      <c r="B515" s="27" t="s">
        <v>29</v>
      </c>
      <c r="C515" s="28" t="s">
        <v>30</v>
      </c>
      <c r="D515" s="28" t="s">
        <v>31</v>
      </c>
      <c r="E515" s="19">
        <v>2</v>
      </c>
      <c r="F515" s="28" t="s">
        <v>118</v>
      </c>
      <c r="G515" s="28" t="s">
        <v>1</v>
      </c>
      <c r="H515" s="26" t="s">
        <v>2</v>
      </c>
      <c r="I515" s="29">
        <v>20</v>
      </c>
      <c r="J515" s="35">
        <v>585</v>
      </c>
      <c r="K515" s="17">
        <f t="shared" si="10"/>
        <v>11700</v>
      </c>
      <c r="L515" s="14"/>
    </row>
    <row r="516" spans="1:12" ht="39.6">
      <c r="A516" s="26">
        <v>78</v>
      </c>
      <c r="B516" s="27" t="s">
        <v>29</v>
      </c>
      <c r="C516" s="28" t="s">
        <v>30</v>
      </c>
      <c r="D516" s="28" t="s">
        <v>31</v>
      </c>
      <c r="E516" s="19">
        <v>3</v>
      </c>
      <c r="F516" s="28" t="s">
        <v>179</v>
      </c>
      <c r="G516" s="28" t="s">
        <v>1</v>
      </c>
      <c r="H516" s="26" t="s">
        <v>2</v>
      </c>
      <c r="I516" s="29">
        <v>12.6</v>
      </c>
      <c r="J516" s="35">
        <v>585</v>
      </c>
      <c r="K516" s="17">
        <f t="shared" si="10"/>
        <v>7371</v>
      </c>
      <c r="L516" s="14"/>
    </row>
    <row r="517" spans="1:12">
      <c r="A517" s="26">
        <v>79</v>
      </c>
      <c r="B517" s="27" t="s">
        <v>29</v>
      </c>
      <c r="C517" s="28" t="s">
        <v>30</v>
      </c>
      <c r="D517" s="28" t="s">
        <v>31</v>
      </c>
      <c r="E517" s="19">
        <v>2</v>
      </c>
      <c r="F517" s="28" t="s">
        <v>142</v>
      </c>
      <c r="G517" s="28" t="s">
        <v>185</v>
      </c>
      <c r="H517" s="26" t="s">
        <v>2</v>
      </c>
      <c r="I517" s="29">
        <v>4.2</v>
      </c>
      <c r="J517" s="35">
        <v>1105</v>
      </c>
      <c r="K517" s="17">
        <f t="shared" si="10"/>
        <v>4641</v>
      </c>
      <c r="L517" s="14"/>
    </row>
    <row r="518" spans="1:12">
      <c r="A518" s="26">
        <v>80</v>
      </c>
      <c r="B518" s="27" t="s">
        <v>29</v>
      </c>
      <c r="C518" s="28" t="s">
        <v>30</v>
      </c>
      <c r="D518" s="28" t="s">
        <v>31</v>
      </c>
      <c r="E518" s="19">
        <v>2</v>
      </c>
      <c r="F518" s="28" t="s">
        <v>113</v>
      </c>
      <c r="G518" s="28" t="s">
        <v>185</v>
      </c>
      <c r="H518" s="26" t="s">
        <v>2</v>
      </c>
      <c r="I518" s="29">
        <v>25</v>
      </c>
      <c r="J518" s="35">
        <v>1105</v>
      </c>
      <c r="K518" s="17">
        <f t="shared" si="10"/>
        <v>27625</v>
      </c>
      <c r="L518" s="14"/>
    </row>
    <row r="519" spans="1:12">
      <c r="A519" s="26">
        <v>81</v>
      </c>
      <c r="B519" s="27" t="s">
        <v>29</v>
      </c>
      <c r="C519" s="28" t="s">
        <v>30</v>
      </c>
      <c r="D519" s="28" t="s">
        <v>31</v>
      </c>
      <c r="E519" s="19">
        <v>2</v>
      </c>
      <c r="F519" s="28" t="s">
        <v>97</v>
      </c>
      <c r="G519" s="28" t="s">
        <v>185</v>
      </c>
      <c r="H519" s="26" t="s">
        <v>2</v>
      </c>
      <c r="I519" s="29">
        <v>13.5</v>
      </c>
      <c r="J519" s="35">
        <v>1105</v>
      </c>
      <c r="K519" s="17">
        <f t="shared" si="10"/>
        <v>14917.5</v>
      </c>
      <c r="L519" s="14"/>
    </row>
    <row r="520" spans="1:12">
      <c r="A520" s="26">
        <v>82</v>
      </c>
      <c r="B520" s="27" t="s">
        <v>29</v>
      </c>
      <c r="C520" s="28" t="s">
        <v>30</v>
      </c>
      <c r="D520" s="28" t="s">
        <v>31</v>
      </c>
      <c r="E520" s="19">
        <v>2</v>
      </c>
      <c r="F520" s="28" t="s">
        <v>99</v>
      </c>
      <c r="G520" s="28" t="s">
        <v>185</v>
      </c>
      <c r="H520" s="26" t="s">
        <v>2</v>
      </c>
      <c r="I520" s="29">
        <v>5</v>
      </c>
      <c r="J520" s="35">
        <v>1105</v>
      </c>
      <c r="K520" s="17">
        <f t="shared" si="10"/>
        <v>5525</v>
      </c>
      <c r="L520" s="14"/>
    </row>
    <row r="521" spans="1:12">
      <c r="A521" s="26">
        <v>83</v>
      </c>
      <c r="B521" s="27" t="s">
        <v>29</v>
      </c>
      <c r="C521" s="28" t="s">
        <v>30</v>
      </c>
      <c r="D521" s="28" t="s">
        <v>31</v>
      </c>
      <c r="E521" s="19">
        <v>2</v>
      </c>
      <c r="F521" s="28" t="s">
        <v>97</v>
      </c>
      <c r="G521" s="28" t="s">
        <v>183</v>
      </c>
      <c r="H521" s="26" t="s">
        <v>184</v>
      </c>
      <c r="I521" s="29">
        <v>1.8</v>
      </c>
      <c r="J521" s="35">
        <v>4160</v>
      </c>
      <c r="K521" s="17">
        <f t="shared" si="10"/>
        <v>7488</v>
      </c>
      <c r="L521" s="14"/>
    </row>
    <row r="522" spans="1:12">
      <c r="A522" s="26">
        <v>84</v>
      </c>
      <c r="B522" s="27" t="s">
        <v>29</v>
      </c>
      <c r="C522" s="28" t="s">
        <v>30</v>
      </c>
      <c r="D522" s="28" t="s">
        <v>31</v>
      </c>
      <c r="E522" s="19">
        <v>2</v>
      </c>
      <c r="F522" s="28" t="s">
        <v>116</v>
      </c>
      <c r="G522" s="28" t="s">
        <v>183</v>
      </c>
      <c r="H522" s="26" t="s">
        <v>184</v>
      </c>
      <c r="I522" s="29">
        <v>1.7</v>
      </c>
      <c r="J522" s="35">
        <v>4160</v>
      </c>
      <c r="K522" s="17">
        <f t="shared" si="10"/>
        <v>7072</v>
      </c>
      <c r="L522" s="14"/>
    </row>
    <row r="523" spans="1:12">
      <c r="A523" s="26">
        <v>85</v>
      </c>
      <c r="B523" s="27" t="s">
        <v>35</v>
      </c>
      <c r="C523" s="28" t="s">
        <v>30</v>
      </c>
      <c r="D523" s="28" t="s">
        <v>31</v>
      </c>
      <c r="E523" s="19">
        <v>3</v>
      </c>
      <c r="F523" s="28" t="s">
        <v>179</v>
      </c>
      <c r="G523" s="28" t="s">
        <v>183</v>
      </c>
      <c r="H523" s="26" t="s">
        <v>184</v>
      </c>
      <c r="I523" s="29">
        <v>2</v>
      </c>
      <c r="J523" s="35">
        <v>4160</v>
      </c>
      <c r="K523" s="17">
        <f t="shared" si="10"/>
        <v>8320</v>
      </c>
      <c r="L523" s="14"/>
    </row>
    <row r="524" spans="1:12">
      <c r="A524" s="26">
        <v>86</v>
      </c>
      <c r="B524" s="27" t="s">
        <v>29</v>
      </c>
      <c r="C524" s="28" t="s">
        <v>30</v>
      </c>
      <c r="D524" s="28" t="s">
        <v>31</v>
      </c>
      <c r="E524" s="19">
        <v>1</v>
      </c>
      <c r="F524" s="28" t="s">
        <v>74</v>
      </c>
      <c r="G524" s="28" t="s">
        <v>199</v>
      </c>
      <c r="H524" s="26" t="s">
        <v>2</v>
      </c>
      <c r="I524" s="29">
        <v>3.5</v>
      </c>
      <c r="J524" s="35">
        <v>800</v>
      </c>
      <c r="K524" s="17">
        <f t="shared" si="10"/>
        <v>2800</v>
      </c>
      <c r="L524" s="14"/>
    </row>
    <row r="525" spans="1:12">
      <c r="A525" s="26">
        <v>87</v>
      </c>
      <c r="B525" s="27" t="s">
        <v>29</v>
      </c>
      <c r="C525" s="28" t="s">
        <v>30</v>
      </c>
      <c r="D525" s="28" t="s">
        <v>31</v>
      </c>
      <c r="E525" s="19">
        <v>1</v>
      </c>
      <c r="F525" s="28" t="s">
        <v>55</v>
      </c>
      <c r="G525" s="28" t="s">
        <v>199</v>
      </c>
      <c r="H525" s="26" t="s">
        <v>2</v>
      </c>
      <c r="I525" s="29">
        <v>1.17</v>
      </c>
      <c r="J525" s="35">
        <v>800</v>
      </c>
      <c r="K525" s="17">
        <f t="shared" si="10"/>
        <v>936</v>
      </c>
      <c r="L525" s="14"/>
    </row>
    <row r="526" spans="1:12">
      <c r="A526" s="26">
        <v>88</v>
      </c>
      <c r="B526" s="27" t="s">
        <v>29</v>
      </c>
      <c r="C526" s="28" t="s">
        <v>30</v>
      </c>
      <c r="D526" s="28" t="s">
        <v>31</v>
      </c>
      <c r="E526" s="19">
        <v>1</v>
      </c>
      <c r="F526" s="28" t="s">
        <v>57</v>
      </c>
      <c r="G526" s="28" t="s">
        <v>199</v>
      </c>
      <c r="H526" s="26" t="s">
        <v>2</v>
      </c>
      <c r="I526" s="29">
        <v>1.19</v>
      </c>
      <c r="J526" s="35">
        <v>800</v>
      </c>
      <c r="K526" s="17">
        <f t="shared" si="10"/>
        <v>952</v>
      </c>
      <c r="L526" s="14"/>
    </row>
    <row r="527" spans="1:12">
      <c r="A527" s="26">
        <v>89</v>
      </c>
      <c r="B527" s="27" t="s">
        <v>29</v>
      </c>
      <c r="C527" s="28" t="s">
        <v>30</v>
      </c>
      <c r="D527" s="28" t="s">
        <v>31</v>
      </c>
      <c r="E527" s="19">
        <v>2</v>
      </c>
      <c r="F527" s="28" t="s">
        <v>97</v>
      </c>
      <c r="G527" s="28" t="s">
        <v>199</v>
      </c>
      <c r="H527" s="26" t="s">
        <v>2</v>
      </c>
      <c r="I527" s="29">
        <v>6.6</v>
      </c>
      <c r="J527" s="35">
        <v>800</v>
      </c>
      <c r="K527" s="17">
        <f t="shared" si="10"/>
        <v>5280</v>
      </c>
      <c r="L527" s="14"/>
    </row>
    <row r="528" spans="1:12" ht="26.4">
      <c r="A528" s="26">
        <v>90</v>
      </c>
      <c r="B528" s="27" t="s">
        <v>38</v>
      </c>
      <c r="C528" s="28" t="s">
        <v>30</v>
      </c>
      <c r="D528" s="28" t="s">
        <v>31</v>
      </c>
      <c r="E528" s="19">
        <v>2</v>
      </c>
      <c r="F528" s="28" t="s">
        <v>96</v>
      </c>
      <c r="G528" s="28" t="s">
        <v>199</v>
      </c>
      <c r="H528" s="26" t="s">
        <v>2</v>
      </c>
      <c r="I528" s="29">
        <v>5.5</v>
      </c>
      <c r="J528" s="35">
        <v>800</v>
      </c>
      <c r="K528" s="17">
        <f t="shared" si="10"/>
        <v>4400</v>
      </c>
      <c r="L528" s="14"/>
    </row>
    <row r="529" spans="1:12">
      <c r="A529" s="26">
        <v>91</v>
      </c>
      <c r="B529" s="27" t="s">
        <v>34</v>
      </c>
      <c r="C529" s="28" t="s">
        <v>30</v>
      </c>
      <c r="D529" s="28" t="s">
        <v>31</v>
      </c>
      <c r="E529" s="39">
        <v>2</v>
      </c>
      <c r="F529" s="28" t="s">
        <v>116</v>
      </c>
      <c r="G529" s="28" t="s">
        <v>199</v>
      </c>
      <c r="H529" s="26" t="s">
        <v>2</v>
      </c>
      <c r="I529" s="29">
        <v>4.9000000000000004</v>
      </c>
      <c r="J529" s="35">
        <v>800</v>
      </c>
      <c r="K529" s="17">
        <f t="shared" si="10"/>
        <v>3920.0000000000005</v>
      </c>
      <c r="L529" s="14"/>
    </row>
    <row r="530" spans="1:12">
      <c r="A530" s="26">
        <v>92</v>
      </c>
      <c r="B530" s="27" t="s">
        <v>35</v>
      </c>
      <c r="C530" s="28" t="s">
        <v>30</v>
      </c>
      <c r="D530" s="28" t="s">
        <v>31</v>
      </c>
      <c r="E530" s="39">
        <v>2</v>
      </c>
      <c r="F530" s="28" t="s">
        <v>105</v>
      </c>
      <c r="G530" s="28" t="s">
        <v>199</v>
      </c>
      <c r="H530" s="26" t="s">
        <v>2</v>
      </c>
      <c r="I530" s="29">
        <v>5.5</v>
      </c>
      <c r="J530" s="35">
        <v>800</v>
      </c>
      <c r="K530" s="17">
        <f t="shared" si="10"/>
        <v>4400</v>
      </c>
      <c r="L530" s="14"/>
    </row>
    <row r="531" spans="1:12">
      <c r="A531" s="26">
        <v>93</v>
      </c>
      <c r="B531" s="27" t="s">
        <v>29</v>
      </c>
      <c r="C531" s="28" t="s">
        <v>30</v>
      </c>
      <c r="D531" s="28" t="s">
        <v>33</v>
      </c>
      <c r="E531" s="19">
        <v>2</v>
      </c>
      <c r="F531" s="28" t="s">
        <v>102</v>
      </c>
      <c r="G531" s="28" t="s">
        <v>199</v>
      </c>
      <c r="H531" s="26" t="s">
        <v>2</v>
      </c>
      <c r="I531" s="29">
        <v>2.7</v>
      </c>
      <c r="J531" s="35">
        <v>800</v>
      </c>
      <c r="K531" s="17">
        <f t="shared" si="10"/>
        <v>2160</v>
      </c>
      <c r="L531" s="14"/>
    </row>
    <row r="532" spans="1:12" ht="26.4">
      <c r="A532" s="26">
        <v>118</v>
      </c>
      <c r="B532" s="27" t="s">
        <v>29</v>
      </c>
      <c r="C532" s="28" t="s">
        <v>30</v>
      </c>
      <c r="D532" s="28" t="s">
        <v>37</v>
      </c>
      <c r="E532" s="19">
        <v>2</v>
      </c>
      <c r="F532" s="28" t="s">
        <v>142</v>
      </c>
      <c r="G532" s="54" t="s">
        <v>200</v>
      </c>
      <c r="H532" s="26" t="s">
        <v>204</v>
      </c>
      <c r="I532" s="29">
        <v>8.5</v>
      </c>
      <c r="J532" s="35">
        <v>300</v>
      </c>
      <c r="K532" s="17">
        <f t="shared" si="10"/>
        <v>2550</v>
      </c>
      <c r="L532" s="14"/>
    </row>
    <row r="533" spans="1:12" ht="52.8">
      <c r="A533" s="26">
        <v>119</v>
      </c>
      <c r="B533" s="27" t="s">
        <v>29</v>
      </c>
      <c r="C533" s="28" t="s">
        <v>30</v>
      </c>
      <c r="D533" s="28" t="s">
        <v>37</v>
      </c>
      <c r="E533" s="19">
        <v>2</v>
      </c>
      <c r="F533" s="28" t="s">
        <v>196</v>
      </c>
      <c r="G533" s="54" t="s">
        <v>200</v>
      </c>
      <c r="H533" s="26" t="s">
        <v>204</v>
      </c>
      <c r="I533" s="29">
        <v>3</v>
      </c>
      <c r="J533" s="35">
        <v>300</v>
      </c>
      <c r="K533" s="17">
        <f t="shared" si="10"/>
        <v>900</v>
      </c>
      <c r="L533" s="14"/>
    </row>
    <row r="534" spans="1:12" ht="26.4">
      <c r="A534" s="26">
        <v>120</v>
      </c>
      <c r="B534" s="27" t="s">
        <v>29</v>
      </c>
      <c r="C534" s="28" t="s">
        <v>30</v>
      </c>
      <c r="D534" s="28" t="s">
        <v>37</v>
      </c>
      <c r="E534" s="19">
        <v>2</v>
      </c>
      <c r="F534" s="28" t="s">
        <v>118</v>
      </c>
      <c r="G534" s="54" t="s">
        <v>200</v>
      </c>
      <c r="H534" s="26" t="s">
        <v>204</v>
      </c>
      <c r="I534" s="29">
        <v>6.7</v>
      </c>
      <c r="J534" s="35">
        <v>300</v>
      </c>
      <c r="K534" s="17">
        <f t="shared" si="10"/>
        <v>2010</v>
      </c>
      <c r="L534" s="14"/>
    </row>
    <row r="535" spans="1:12" ht="26.4">
      <c r="A535" s="26">
        <v>121</v>
      </c>
      <c r="B535" s="27" t="s">
        <v>29</v>
      </c>
      <c r="C535" s="28" t="s">
        <v>30</v>
      </c>
      <c r="D535" s="28" t="s">
        <v>37</v>
      </c>
      <c r="E535" s="19">
        <v>2</v>
      </c>
      <c r="F535" s="28" t="s">
        <v>113</v>
      </c>
      <c r="G535" s="54" t="s">
        <v>200</v>
      </c>
      <c r="H535" s="26" t="s">
        <v>204</v>
      </c>
      <c r="I535" s="29">
        <v>5.6</v>
      </c>
      <c r="J535" s="35">
        <v>300</v>
      </c>
      <c r="K535" s="17">
        <f t="shared" si="10"/>
        <v>1680</v>
      </c>
      <c r="L535" s="14"/>
    </row>
    <row r="536" spans="1:12" ht="26.4">
      <c r="A536" s="26">
        <v>122</v>
      </c>
      <c r="B536" s="27" t="s">
        <v>29</v>
      </c>
      <c r="C536" s="28" t="s">
        <v>30</v>
      </c>
      <c r="D536" s="28" t="s">
        <v>37</v>
      </c>
      <c r="E536" s="19">
        <v>1</v>
      </c>
      <c r="F536" s="28" t="s">
        <v>56</v>
      </c>
      <c r="G536" s="54" t="s">
        <v>200</v>
      </c>
      <c r="H536" s="26" t="s">
        <v>204</v>
      </c>
      <c r="I536" s="29">
        <v>6.4</v>
      </c>
      <c r="J536" s="35">
        <v>300</v>
      </c>
      <c r="K536" s="17">
        <f t="shared" si="10"/>
        <v>1920</v>
      </c>
      <c r="L536" s="14"/>
    </row>
    <row r="537" spans="1:12" ht="26.4">
      <c r="A537" s="26">
        <v>123</v>
      </c>
      <c r="B537" s="27" t="s">
        <v>29</v>
      </c>
      <c r="C537" s="28" t="s">
        <v>30</v>
      </c>
      <c r="D537" s="28" t="s">
        <v>37</v>
      </c>
      <c r="E537" s="19">
        <v>1</v>
      </c>
      <c r="F537" s="28" t="s">
        <v>57</v>
      </c>
      <c r="G537" s="54" t="s">
        <v>200</v>
      </c>
      <c r="H537" s="26" t="s">
        <v>204</v>
      </c>
      <c r="I537" s="29">
        <v>8.8000000000000007</v>
      </c>
      <c r="J537" s="35">
        <v>300</v>
      </c>
      <c r="K537" s="17">
        <f t="shared" si="10"/>
        <v>2640</v>
      </c>
      <c r="L537" s="14"/>
    </row>
    <row r="538" spans="1:12">
      <c r="A538" s="26">
        <v>124</v>
      </c>
      <c r="B538" s="27" t="s">
        <v>29</v>
      </c>
      <c r="C538" s="28" t="s">
        <v>30</v>
      </c>
      <c r="D538" s="28"/>
      <c r="E538" s="55"/>
      <c r="F538" s="34" t="s">
        <v>212</v>
      </c>
      <c r="G538" s="38" t="s">
        <v>213</v>
      </c>
      <c r="H538" s="26" t="s">
        <v>187</v>
      </c>
      <c r="I538" s="29">
        <v>82</v>
      </c>
      <c r="J538" s="35">
        <v>450</v>
      </c>
      <c r="K538" s="17">
        <f t="shared" si="10"/>
        <v>36900</v>
      </c>
      <c r="L538" s="14"/>
    </row>
    <row r="539" spans="1:12">
      <c r="A539" s="26">
        <v>125</v>
      </c>
      <c r="B539" s="27" t="s">
        <v>29</v>
      </c>
      <c r="C539" s="28" t="s">
        <v>30</v>
      </c>
      <c r="D539" s="28" t="s">
        <v>31</v>
      </c>
      <c r="E539" s="19"/>
      <c r="F539" s="34" t="s">
        <v>212</v>
      </c>
      <c r="G539" s="28" t="s">
        <v>4</v>
      </c>
      <c r="H539" s="26" t="s">
        <v>204</v>
      </c>
      <c r="I539" s="29">
        <v>95</v>
      </c>
      <c r="J539" s="35">
        <v>50</v>
      </c>
      <c r="K539" s="17">
        <f t="shared" si="10"/>
        <v>4750</v>
      </c>
      <c r="L539" s="14"/>
    </row>
    <row r="540" spans="1:12" ht="40.200000000000003" customHeight="1">
      <c r="A540" s="62" t="s">
        <v>32</v>
      </c>
      <c r="B540" s="90"/>
      <c r="C540" s="91"/>
      <c r="D540" s="91"/>
      <c r="E540" s="91"/>
      <c r="F540" s="91"/>
      <c r="G540" s="91"/>
      <c r="H540" s="91"/>
      <c r="I540" s="91"/>
      <c r="J540" s="92"/>
      <c r="K540" s="18">
        <f>SUM(K438:K539)</f>
        <v>1128980</v>
      </c>
      <c r="L540" s="30"/>
    </row>
    <row r="544" spans="1:12" s="20" customFormat="1">
      <c r="A544"/>
    </row>
    <row r="545" spans="1:12" s="20" customFormat="1"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</row>
    <row r="546" spans="1:12" s="20" customFormat="1" ht="15" thickBot="1">
      <c r="A546" s="22"/>
      <c r="B546" s="24" t="s">
        <v>16</v>
      </c>
      <c r="C546" s="84" t="s">
        <v>207</v>
      </c>
      <c r="D546" s="84"/>
      <c r="E546" s="84"/>
      <c r="F546" s="84"/>
      <c r="G546" s="23"/>
      <c r="H546" s="81"/>
      <c r="I546" s="81"/>
      <c r="J546" s="23"/>
      <c r="K546" s="22"/>
      <c r="L546" s="22"/>
    </row>
    <row r="547" spans="1:12" s="20" customFormat="1">
      <c r="A547" s="23"/>
      <c r="B547" s="23"/>
      <c r="C547" s="86" t="s">
        <v>39</v>
      </c>
      <c r="D547" s="86"/>
      <c r="E547" s="86"/>
      <c r="F547" s="86"/>
      <c r="G547" s="23"/>
      <c r="H547" s="87">
        <v>46022</v>
      </c>
      <c r="I547" s="86"/>
      <c r="J547" s="23"/>
      <c r="K547" s="22"/>
      <c r="L547" s="22"/>
    </row>
    <row r="548" spans="1:12" s="20" customFormat="1" ht="15" thickBot="1">
      <c r="A548" s="23"/>
      <c r="B548" s="25" t="s">
        <v>41</v>
      </c>
      <c r="C548" s="84" t="s">
        <v>215</v>
      </c>
      <c r="D548" s="84"/>
      <c r="E548" s="84"/>
      <c r="F548" s="84"/>
      <c r="G548" s="23"/>
      <c r="H548" s="81"/>
      <c r="I548" s="81"/>
      <c r="J548" s="23"/>
      <c r="K548" s="22"/>
      <c r="L548" s="22"/>
    </row>
    <row r="549" spans="1:12" s="20" customFormat="1">
      <c r="A549" s="23"/>
      <c r="B549" s="23"/>
      <c r="C549" s="86" t="s">
        <v>39</v>
      </c>
      <c r="D549" s="86"/>
      <c r="E549" s="86"/>
      <c r="F549" s="86"/>
      <c r="G549" s="23"/>
      <c r="H549" s="87">
        <v>46022</v>
      </c>
      <c r="I549" s="86"/>
      <c r="J549" s="23"/>
      <c r="K549" s="22"/>
      <c r="L549" s="22"/>
    </row>
    <row r="550" spans="1:12" s="20" customFormat="1">
      <c r="A550" s="23"/>
      <c r="B550" s="23"/>
      <c r="C550" s="23"/>
      <c r="D550" s="23"/>
      <c r="E550" s="23"/>
      <c r="F550" s="23"/>
      <c r="G550" s="23"/>
      <c r="H550" s="88"/>
      <c r="I550" s="88"/>
      <c r="J550" s="23"/>
    </row>
    <row r="551" spans="1:12" s="20" customFormat="1" ht="15" thickBot="1">
      <c r="A551" s="23"/>
      <c r="B551" s="25" t="s">
        <v>208</v>
      </c>
      <c r="C551" s="84" t="s">
        <v>209</v>
      </c>
      <c r="D551" s="84"/>
      <c r="E551" s="84"/>
      <c r="F551" s="84"/>
      <c r="G551" s="23"/>
      <c r="H551" s="81"/>
      <c r="I551" s="81"/>
      <c r="J551" s="23"/>
    </row>
    <row r="552" spans="1:12" s="20" customFormat="1">
      <c r="A552" s="23"/>
      <c r="B552" s="23"/>
      <c r="C552" s="86" t="s">
        <v>39</v>
      </c>
      <c r="D552" s="86"/>
      <c r="E552" s="86"/>
      <c r="F552" s="86"/>
      <c r="G552" s="23"/>
      <c r="H552" s="87">
        <v>46022</v>
      </c>
      <c r="I552" s="86"/>
      <c r="J552" s="23"/>
    </row>
    <row r="553" spans="1:12" s="20" customForma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</row>
    <row r="554" spans="1:12" s="20" customFormat="1" ht="15" thickBot="1">
      <c r="A554" s="23"/>
      <c r="B554" s="25" t="s">
        <v>42</v>
      </c>
      <c r="C554" s="81"/>
      <c r="D554" s="81"/>
      <c r="E554" s="81"/>
      <c r="F554" s="81"/>
      <c r="G554" s="23"/>
      <c r="H554" s="81"/>
      <c r="I554" s="81"/>
      <c r="J554" s="23"/>
    </row>
    <row r="555" spans="1:12" s="20" customFormat="1">
      <c r="A555" s="23"/>
      <c r="B555" s="23"/>
      <c r="C555" s="86" t="s">
        <v>39</v>
      </c>
      <c r="D555" s="86"/>
      <c r="E555" s="86"/>
      <c r="F555" s="86"/>
      <c r="G555" s="23"/>
      <c r="H555" s="86" t="s">
        <v>40</v>
      </c>
      <c r="I555" s="86"/>
      <c r="J555" s="23"/>
    </row>
    <row r="556" spans="1:12" s="20" customForma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</row>
    <row r="557" spans="1:12" s="20" customFormat="1" ht="15" thickBot="1">
      <c r="A557" s="23"/>
      <c r="B557" s="24" t="s">
        <v>43</v>
      </c>
      <c r="C557" s="81"/>
      <c r="D557" s="81"/>
      <c r="E557" s="81"/>
      <c r="F557" s="81"/>
      <c r="G557" s="23"/>
      <c r="H557" s="81"/>
      <c r="I557" s="81"/>
      <c r="J557" s="23"/>
    </row>
    <row r="558" spans="1:12" s="20" customFormat="1">
      <c r="A558" s="23"/>
      <c r="B558" s="23"/>
      <c r="C558" s="86" t="s">
        <v>39</v>
      </c>
      <c r="D558" s="86"/>
      <c r="E558" s="86"/>
      <c r="F558" s="86"/>
      <c r="G558" s="23"/>
      <c r="H558" s="86" t="s">
        <v>40</v>
      </c>
      <c r="I558" s="86"/>
      <c r="J558" s="23"/>
    </row>
    <row r="559" spans="1:12" s="20" customFormat="1">
      <c r="A559" s="23"/>
      <c r="B559" s="21"/>
      <c r="C559" s="21"/>
      <c r="D559" s="21"/>
      <c r="E559" s="21"/>
      <c r="F559" s="21"/>
      <c r="G559" s="21"/>
      <c r="H559" s="21"/>
      <c r="I559" s="21"/>
      <c r="J559" s="21"/>
    </row>
    <row r="560" spans="1:12" s="20" customFormat="1">
      <c r="A560" s="21"/>
      <c r="B560" s="22"/>
      <c r="C560" s="22"/>
      <c r="D560" s="22"/>
      <c r="E560" s="22"/>
      <c r="F560" s="22"/>
      <c r="G560" s="22"/>
      <c r="H560" s="22"/>
      <c r="I560" s="22"/>
      <c r="J560" s="22"/>
    </row>
    <row r="561" spans="1:12" s="20" customFormat="1">
      <c r="A561" s="22"/>
    </row>
    <row r="562" spans="1:12" s="20" customFormat="1"/>
    <row r="563" spans="1:12">
      <c r="A563" s="20"/>
    </row>
    <row r="566" spans="1:12">
      <c r="B566" s="23"/>
      <c r="C566" s="5" t="s">
        <v>11</v>
      </c>
      <c r="D566" s="5">
        <v>6</v>
      </c>
      <c r="E566" s="23"/>
      <c r="F566" s="23"/>
      <c r="G566" s="6" t="s">
        <v>12</v>
      </c>
      <c r="H566" s="5" t="s">
        <v>13</v>
      </c>
      <c r="I566" s="7">
        <v>46048</v>
      </c>
      <c r="J566" s="23"/>
      <c r="K566" s="23"/>
      <c r="L566" s="23"/>
    </row>
    <row r="567" spans="1:12">
      <c r="A567" s="23"/>
      <c r="B567" s="23"/>
      <c r="C567" s="8"/>
      <c r="D567" s="23"/>
      <c r="E567" s="23"/>
      <c r="F567" s="23"/>
      <c r="G567" s="23"/>
      <c r="H567" s="5" t="s">
        <v>14</v>
      </c>
      <c r="I567" s="7">
        <v>46032</v>
      </c>
      <c r="J567" s="23"/>
      <c r="K567" s="23"/>
      <c r="L567" s="23"/>
    </row>
    <row r="568" spans="1:1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</row>
    <row r="569" spans="1:12" ht="27.6">
      <c r="A569" s="23"/>
      <c r="B569" s="23"/>
      <c r="C569" s="5" t="s">
        <v>15</v>
      </c>
      <c r="D569" s="89" t="s">
        <v>145</v>
      </c>
      <c r="E569" s="89"/>
      <c r="F569" s="89"/>
      <c r="G569" s="23"/>
      <c r="H569" s="23"/>
      <c r="I569" s="23"/>
      <c r="J569" s="23"/>
      <c r="K569" s="23"/>
      <c r="L569" s="23"/>
    </row>
    <row r="570" spans="1:1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</row>
    <row r="571" spans="1:12">
      <c r="A571" s="23"/>
      <c r="B571" s="23"/>
      <c r="C571" s="5" t="s">
        <v>16</v>
      </c>
      <c r="D571" s="89" t="s">
        <v>146</v>
      </c>
      <c r="E571" s="89"/>
      <c r="F571" s="89"/>
      <c r="G571" s="23"/>
      <c r="H571" s="23"/>
      <c r="I571" s="23"/>
      <c r="J571" s="23"/>
      <c r="K571" s="23"/>
      <c r="L571" s="23"/>
    </row>
    <row r="572" spans="1:1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</row>
    <row r="573" spans="1:12">
      <c r="A573" s="23"/>
      <c r="B573" s="23"/>
      <c r="C573" s="5" t="s">
        <v>17</v>
      </c>
      <c r="D573" s="89" t="s">
        <v>18</v>
      </c>
      <c r="E573" s="89"/>
      <c r="F573" s="89"/>
      <c r="G573" s="23"/>
      <c r="H573" s="23"/>
      <c r="I573" s="23"/>
      <c r="J573" s="23"/>
      <c r="K573" s="23"/>
      <c r="L573" s="23"/>
    </row>
    <row r="574" spans="1:12">
      <c r="A574" s="23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</row>
    <row r="575" spans="1:12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</row>
    <row r="576" spans="1:12" ht="26.4">
      <c r="A576" s="21"/>
      <c r="B576" s="9" t="s">
        <v>20</v>
      </c>
      <c r="C576" s="9" t="s">
        <v>21</v>
      </c>
      <c r="D576" s="9" t="s">
        <v>21</v>
      </c>
      <c r="E576" s="9" t="s">
        <v>22</v>
      </c>
      <c r="F576" s="9" t="s">
        <v>23</v>
      </c>
      <c r="G576" s="9" t="s">
        <v>0</v>
      </c>
      <c r="H576" s="9" t="s">
        <v>24</v>
      </c>
      <c r="I576" s="9" t="s">
        <v>25</v>
      </c>
      <c r="J576" s="9" t="s">
        <v>26</v>
      </c>
      <c r="K576" s="9" t="s">
        <v>27</v>
      </c>
      <c r="L576" s="9" t="s">
        <v>28</v>
      </c>
    </row>
    <row r="577" spans="1:12" ht="26.4">
      <c r="A577" s="9" t="s">
        <v>19</v>
      </c>
      <c r="B577" s="27" t="s">
        <v>29</v>
      </c>
      <c r="C577" s="28" t="s">
        <v>30</v>
      </c>
      <c r="D577" s="20"/>
      <c r="E577" s="19">
        <v>1</v>
      </c>
      <c r="F577" s="28" t="s">
        <v>48</v>
      </c>
      <c r="G577" s="28" t="s">
        <v>197</v>
      </c>
      <c r="H577" s="26" t="s">
        <v>2</v>
      </c>
      <c r="I577" s="29">
        <v>159</v>
      </c>
      <c r="J577" s="35">
        <v>195</v>
      </c>
      <c r="K577" s="17">
        <f>J577*I577</f>
        <v>31005</v>
      </c>
      <c r="L577" s="14"/>
    </row>
    <row r="578" spans="1:12" ht="26.4">
      <c r="A578" s="26">
        <v>1</v>
      </c>
      <c r="B578" s="27" t="s">
        <v>29</v>
      </c>
      <c r="C578" s="28" t="s">
        <v>30</v>
      </c>
      <c r="D578" s="20"/>
      <c r="E578" s="19">
        <v>1</v>
      </c>
      <c r="F578" s="28" t="s">
        <v>79</v>
      </c>
      <c r="G578" s="28" t="s">
        <v>197</v>
      </c>
      <c r="H578" t="s">
        <v>2</v>
      </c>
      <c r="I578" s="29">
        <v>2.7</v>
      </c>
      <c r="J578" s="35">
        <v>195</v>
      </c>
      <c r="K578" s="17">
        <f>J578*I578</f>
        <v>526.5</v>
      </c>
      <c r="L578" s="14"/>
    </row>
    <row r="579" spans="1:12" ht="26.4">
      <c r="A579" s="26">
        <v>2</v>
      </c>
      <c r="B579" s="27" t="s">
        <v>29</v>
      </c>
      <c r="C579" s="28" t="s">
        <v>30</v>
      </c>
      <c r="D579" s="28" t="s">
        <v>31</v>
      </c>
      <c r="E579" s="19">
        <v>1</v>
      </c>
      <c r="F579" s="28" t="s">
        <v>94</v>
      </c>
      <c r="G579" s="28" t="s">
        <v>197</v>
      </c>
      <c r="H579" s="26" t="s">
        <v>2</v>
      </c>
      <c r="I579" s="29">
        <v>3.5</v>
      </c>
      <c r="J579" s="35">
        <v>195</v>
      </c>
      <c r="K579" s="17">
        <f>J579*I579</f>
        <v>682.5</v>
      </c>
      <c r="L579" s="14"/>
    </row>
    <row r="580" spans="1:12" ht="26.4">
      <c r="A580" s="26">
        <v>3</v>
      </c>
      <c r="B580" s="27" t="s">
        <v>29</v>
      </c>
      <c r="C580" s="28" t="s">
        <v>30</v>
      </c>
      <c r="E580" s="19">
        <v>1</v>
      </c>
      <c r="F580" s="28" t="s">
        <v>80</v>
      </c>
      <c r="G580" s="28" t="s">
        <v>197</v>
      </c>
      <c r="H580" s="26" t="s">
        <v>2</v>
      </c>
      <c r="I580" s="29">
        <v>6.8</v>
      </c>
      <c r="J580" s="35">
        <v>195</v>
      </c>
      <c r="K580" s="17">
        <f>J580*I580</f>
        <v>1326</v>
      </c>
      <c r="L580" s="14"/>
    </row>
    <row r="581" spans="1:12" ht="26.4">
      <c r="A581" s="26">
        <v>4</v>
      </c>
      <c r="B581" s="27" t="s">
        <v>29</v>
      </c>
      <c r="C581" s="28" t="s">
        <v>30</v>
      </c>
      <c r="D581" s="28" t="s">
        <v>31</v>
      </c>
      <c r="E581" s="19">
        <v>1</v>
      </c>
      <c r="F581" s="28" t="s">
        <v>77</v>
      </c>
      <c r="G581" s="28" t="s">
        <v>197</v>
      </c>
      <c r="H581" s="26" t="s">
        <v>2</v>
      </c>
      <c r="I581" s="29">
        <v>5</v>
      </c>
      <c r="J581" s="35">
        <v>195</v>
      </c>
      <c r="K581" s="17">
        <f>J581*I581</f>
        <v>975</v>
      </c>
      <c r="L581" s="14"/>
    </row>
    <row r="582" spans="1:12" ht="26.4">
      <c r="A582" s="26">
        <v>5</v>
      </c>
      <c r="B582" s="27" t="s">
        <v>29</v>
      </c>
      <c r="C582" s="28" t="s">
        <v>30</v>
      </c>
      <c r="D582" s="28" t="s">
        <v>31</v>
      </c>
      <c r="E582" s="19">
        <v>1</v>
      </c>
      <c r="F582" s="28" t="s">
        <v>90</v>
      </c>
      <c r="G582" s="28" t="s">
        <v>197</v>
      </c>
      <c r="H582" s="26" t="s">
        <v>2</v>
      </c>
      <c r="I582" s="29">
        <v>2.7</v>
      </c>
      <c r="J582" s="35">
        <v>195</v>
      </c>
      <c r="K582" s="17">
        <f t="shared" ref="K582:K645" si="11">J582*I582</f>
        <v>526.5</v>
      </c>
      <c r="L582" s="14"/>
    </row>
    <row r="583" spans="1:12" ht="26.4">
      <c r="A583" s="26">
        <v>6</v>
      </c>
      <c r="B583" s="27" t="s">
        <v>29</v>
      </c>
      <c r="C583" s="28" t="s">
        <v>30</v>
      </c>
      <c r="D583" s="28" t="s">
        <v>31</v>
      </c>
      <c r="E583" s="19">
        <v>1</v>
      </c>
      <c r="F583" s="28" t="s">
        <v>66</v>
      </c>
      <c r="G583" s="28" t="s">
        <v>197</v>
      </c>
      <c r="H583" s="26" t="s">
        <v>2</v>
      </c>
      <c r="I583" s="29">
        <v>1.76</v>
      </c>
      <c r="J583" s="35">
        <v>195</v>
      </c>
      <c r="K583" s="17">
        <f t="shared" si="11"/>
        <v>343.2</v>
      </c>
      <c r="L583" s="14"/>
    </row>
    <row r="584" spans="1:12" ht="26.4">
      <c r="A584" s="26">
        <v>7</v>
      </c>
      <c r="B584" s="27" t="s">
        <v>29</v>
      </c>
      <c r="C584" s="28" t="s">
        <v>30</v>
      </c>
      <c r="D584" s="28" t="s">
        <v>31</v>
      </c>
      <c r="E584" s="19">
        <v>2</v>
      </c>
      <c r="F584" s="28" t="s">
        <v>113</v>
      </c>
      <c r="G584" s="28" t="s">
        <v>197</v>
      </c>
      <c r="H584" s="26" t="s">
        <v>2</v>
      </c>
      <c r="I584" s="29">
        <v>78</v>
      </c>
      <c r="J584" s="35">
        <v>195</v>
      </c>
      <c r="K584" s="17">
        <f t="shared" si="11"/>
        <v>15210</v>
      </c>
      <c r="L584" s="14"/>
    </row>
    <row r="585" spans="1:12" ht="26.4">
      <c r="A585" s="26">
        <v>8</v>
      </c>
      <c r="B585" s="27" t="s">
        <v>29</v>
      </c>
      <c r="C585" s="28" t="s">
        <v>30</v>
      </c>
      <c r="D585" s="28" t="s">
        <v>31</v>
      </c>
      <c r="E585" s="19">
        <v>2</v>
      </c>
      <c r="F585" s="28" t="s">
        <v>116</v>
      </c>
      <c r="G585" s="28" t="s">
        <v>197</v>
      </c>
      <c r="H585" s="26" t="s">
        <v>2</v>
      </c>
      <c r="I585" s="29">
        <v>6.8</v>
      </c>
      <c r="J585" s="35">
        <v>195</v>
      </c>
      <c r="K585" s="17">
        <f t="shared" si="11"/>
        <v>1326</v>
      </c>
      <c r="L585" s="14"/>
    </row>
    <row r="586" spans="1:12" ht="26.4">
      <c r="A586" s="26">
        <v>9</v>
      </c>
      <c r="B586" s="27" t="s">
        <v>29</v>
      </c>
      <c r="C586" s="28" t="s">
        <v>30</v>
      </c>
      <c r="D586" s="28" t="s">
        <v>31</v>
      </c>
      <c r="E586" s="19">
        <v>2</v>
      </c>
      <c r="F586" s="28" t="s">
        <v>125</v>
      </c>
      <c r="G586" s="28" t="s">
        <v>197</v>
      </c>
      <c r="H586" s="26" t="s">
        <v>2</v>
      </c>
      <c r="I586" s="29">
        <v>6.8</v>
      </c>
      <c r="J586" s="35">
        <v>195</v>
      </c>
      <c r="K586" s="17">
        <f t="shared" si="11"/>
        <v>1326</v>
      </c>
      <c r="L586" s="14"/>
    </row>
    <row r="587" spans="1:12" ht="26.4">
      <c r="A587" s="26">
        <v>10</v>
      </c>
      <c r="B587" s="27" t="s">
        <v>29</v>
      </c>
      <c r="C587" s="28" t="s">
        <v>30</v>
      </c>
      <c r="D587" s="28" t="s">
        <v>31</v>
      </c>
      <c r="E587" s="19">
        <v>2</v>
      </c>
      <c r="F587" s="28" t="s">
        <v>141</v>
      </c>
      <c r="G587" s="28" t="s">
        <v>197</v>
      </c>
      <c r="H587" s="26" t="s">
        <v>2</v>
      </c>
      <c r="I587" s="29">
        <v>3.3</v>
      </c>
      <c r="J587" s="35">
        <v>195</v>
      </c>
      <c r="K587" s="17">
        <f t="shared" si="11"/>
        <v>643.5</v>
      </c>
      <c r="L587" s="14"/>
    </row>
    <row r="588" spans="1:12" ht="26.4">
      <c r="A588" s="26">
        <v>11</v>
      </c>
      <c r="B588" s="27" t="s">
        <v>29</v>
      </c>
      <c r="C588" s="28" t="s">
        <v>30</v>
      </c>
      <c r="D588" s="28" t="s">
        <v>31</v>
      </c>
      <c r="E588" s="19">
        <v>2</v>
      </c>
      <c r="F588" s="28" t="s">
        <v>124</v>
      </c>
      <c r="G588" s="28" t="s">
        <v>197</v>
      </c>
      <c r="H588" s="26" t="s">
        <v>2</v>
      </c>
      <c r="I588" s="29">
        <v>2.7</v>
      </c>
      <c r="J588" s="35">
        <v>195</v>
      </c>
      <c r="K588" s="17">
        <f t="shared" si="11"/>
        <v>526.5</v>
      </c>
      <c r="L588" s="14"/>
    </row>
    <row r="589" spans="1:12" ht="26.4">
      <c r="A589" s="26">
        <v>12</v>
      </c>
      <c r="B589" s="27" t="s">
        <v>29</v>
      </c>
      <c r="C589" s="28" t="s">
        <v>30</v>
      </c>
      <c r="D589" s="28" t="s">
        <v>31</v>
      </c>
      <c r="E589" s="19">
        <v>2</v>
      </c>
      <c r="F589" s="28" t="s">
        <v>129</v>
      </c>
      <c r="G589" s="28" t="s">
        <v>197</v>
      </c>
      <c r="H589" s="26" t="s">
        <v>2</v>
      </c>
      <c r="I589" s="29">
        <v>2.7</v>
      </c>
      <c r="J589" s="35">
        <v>195</v>
      </c>
      <c r="K589" s="17">
        <f t="shared" si="11"/>
        <v>526.5</v>
      </c>
      <c r="L589" s="14"/>
    </row>
    <row r="590" spans="1:12" ht="26.4">
      <c r="A590" s="26">
        <v>13</v>
      </c>
      <c r="B590" s="27" t="s">
        <v>29</v>
      </c>
      <c r="C590" s="28" t="s">
        <v>30</v>
      </c>
      <c r="D590" s="28" t="s">
        <v>31</v>
      </c>
      <c r="E590" s="19">
        <v>1</v>
      </c>
      <c r="F590" s="28" t="s">
        <v>70</v>
      </c>
      <c r="G590" s="28" t="s">
        <v>197</v>
      </c>
      <c r="H590" s="26" t="s">
        <v>2</v>
      </c>
      <c r="I590" s="29">
        <v>100</v>
      </c>
      <c r="J590" s="35">
        <v>195</v>
      </c>
      <c r="K590" s="17">
        <f t="shared" si="11"/>
        <v>19500</v>
      </c>
      <c r="L590" s="14"/>
    </row>
    <row r="591" spans="1:12" ht="26.4">
      <c r="A591" s="26">
        <v>14</v>
      </c>
      <c r="B591" s="27" t="s">
        <v>29</v>
      </c>
      <c r="C591" s="28" t="s">
        <v>30</v>
      </c>
      <c r="D591" s="28" t="s">
        <v>31</v>
      </c>
      <c r="E591" s="19">
        <v>2</v>
      </c>
      <c r="F591" s="28" t="s">
        <v>120</v>
      </c>
      <c r="G591" s="28" t="s">
        <v>197</v>
      </c>
      <c r="H591" s="26" t="s">
        <v>2</v>
      </c>
      <c r="I591" s="29">
        <v>100</v>
      </c>
      <c r="J591" s="35">
        <v>195</v>
      </c>
      <c r="K591" s="17">
        <f t="shared" si="11"/>
        <v>19500</v>
      </c>
      <c r="L591" s="14"/>
    </row>
    <row r="592" spans="1:12" ht="26.4">
      <c r="A592" s="26">
        <v>15</v>
      </c>
      <c r="B592" s="27" t="s">
        <v>29</v>
      </c>
      <c r="C592" s="28" t="s">
        <v>30</v>
      </c>
      <c r="D592" s="28" t="s">
        <v>31</v>
      </c>
      <c r="E592" s="19">
        <v>3</v>
      </c>
      <c r="F592" s="28" t="s">
        <v>161</v>
      </c>
      <c r="G592" s="28" t="s">
        <v>197</v>
      </c>
      <c r="H592" s="26" t="s">
        <v>2</v>
      </c>
      <c r="I592" s="29">
        <v>100</v>
      </c>
      <c r="J592" s="35">
        <v>195</v>
      </c>
      <c r="K592" s="17">
        <f>J596*I592</f>
        <v>19500</v>
      </c>
      <c r="L592" s="14"/>
    </row>
    <row r="593" spans="1:12" ht="26.4">
      <c r="A593" s="26">
        <v>16</v>
      </c>
      <c r="B593" s="27" t="s">
        <v>29</v>
      </c>
      <c r="C593" s="28" t="s">
        <v>30</v>
      </c>
      <c r="D593" s="28" t="s">
        <v>31</v>
      </c>
      <c r="E593" s="19">
        <v>2</v>
      </c>
      <c r="F593" s="28" t="s">
        <v>112</v>
      </c>
      <c r="G593" s="28" t="s">
        <v>197</v>
      </c>
      <c r="H593" s="26" t="s">
        <v>2</v>
      </c>
      <c r="I593" s="29">
        <v>7.5</v>
      </c>
      <c r="J593" s="35">
        <v>195</v>
      </c>
      <c r="K593" s="17">
        <f t="shared" si="11"/>
        <v>1462.5</v>
      </c>
      <c r="L593" s="14"/>
    </row>
    <row r="594" spans="1:12" ht="26.4">
      <c r="A594" s="26">
        <v>17</v>
      </c>
      <c r="B594" s="27" t="s">
        <v>29</v>
      </c>
      <c r="C594" s="28" t="s">
        <v>30</v>
      </c>
      <c r="D594" s="28" t="s">
        <v>31</v>
      </c>
      <c r="E594" s="19">
        <v>2</v>
      </c>
      <c r="F594" s="28" t="s">
        <v>144</v>
      </c>
      <c r="G594" s="28" t="s">
        <v>197</v>
      </c>
      <c r="H594" s="26" t="s">
        <v>2</v>
      </c>
      <c r="I594" s="29">
        <v>150</v>
      </c>
      <c r="J594" s="35">
        <v>195</v>
      </c>
      <c r="K594" s="17">
        <f t="shared" si="11"/>
        <v>29250</v>
      </c>
      <c r="L594" s="14"/>
    </row>
    <row r="595" spans="1:12" ht="26.4">
      <c r="A595" s="26">
        <v>18</v>
      </c>
      <c r="B595" s="27" t="s">
        <v>29</v>
      </c>
      <c r="C595" s="28" t="s">
        <v>30</v>
      </c>
      <c r="D595" s="28" t="s">
        <v>31</v>
      </c>
      <c r="E595" s="19">
        <v>2</v>
      </c>
      <c r="F595" s="28" t="s">
        <v>112</v>
      </c>
      <c r="G595" s="28" t="s">
        <v>197</v>
      </c>
      <c r="H595" s="26" t="s">
        <v>2</v>
      </c>
      <c r="I595" s="29">
        <v>150</v>
      </c>
      <c r="J595" s="35">
        <v>195</v>
      </c>
      <c r="K595" s="17">
        <f t="shared" si="11"/>
        <v>29250</v>
      </c>
    </row>
    <row r="596" spans="1:12" ht="26.4">
      <c r="A596" s="26">
        <v>19</v>
      </c>
      <c r="B596" s="27" t="s">
        <v>29</v>
      </c>
      <c r="C596" s="28" t="s">
        <v>30</v>
      </c>
      <c r="D596" s="28" t="s">
        <v>31</v>
      </c>
      <c r="E596" s="19">
        <v>2</v>
      </c>
      <c r="F596" s="28" t="s">
        <v>116</v>
      </c>
      <c r="G596" s="28" t="s">
        <v>197</v>
      </c>
      <c r="H596" s="26" t="s">
        <v>2</v>
      </c>
      <c r="I596" s="29">
        <v>256</v>
      </c>
      <c r="J596" s="35">
        <v>195</v>
      </c>
      <c r="K596" s="17">
        <v>0</v>
      </c>
      <c r="L596" s="14"/>
    </row>
    <row r="597" spans="1:12" ht="26.4">
      <c r="A597" s="26">
        <v>20</v>
      </c>
      <c r="B597" s="27" t="s">
        <v>29</v>
      </c>
      <c r="C597" s="28" t="s">
        <v>30</v>
      </c>
      <c r="D597" s="28" t="s">
        <v>31</v>
      </c>
      <c r="E597" s="19">
        <v>3</v>
      </c>
      <c r="F597" s="28" t="s">
        <v>148</v>
      </c>
      <c r="G597" s="28" t="s">
        <v>197</v>
      </c>
      <c r="H597" s="26" t="s">
        <v>2</v>
      </c>
      <c r="I597" s="29">
        <v>76</v>
      </c>
      <c r="J597" s="35">
        <v>195</v>
      </c>
      <c r="K597" s="17">
        <f t="shared" si="11"/>
        <v>14820</v>
      </c>
      <c r="L597" s="14"/>
    </row>
    <row r="598" spans="1:12" ht="26.4">
      <c r="A598" s="26">
        <v>21</v>
      </c>
      <c r="B598" s="27" t="s">
        <v>29</v>
      </c>
      <c r="C598" s="28" t="s">
        <v>30</v>
      </c>
      <c r="D598" s="28" t="s">
        <v>31</v>
      </c>
      <c r="E598" s="19">
        <v>3</v>
      </c>
      <c r="F598" s="28" t="s">
        <v>149</v>
      </c>
      <c r="G598" s="28" t="s">
        <v>197</v>
      </c>
      <c r="H598" s="26" t="s">
        <v>2</v>
      </c>
      <c r="I598" s="29">
        <v>105</v>
      </c>
      <c r="J598" s="35">
        <v>195</v>
      </c>
      <c r="K598" s="17">
        <f t="shared" si="11"/>
        <v>20475</v>
      </c>
      <c r="L598" s="14"/>
    </row>
    <row r="599" spans="1:12" ht="26.4">
      <c r="A599" s="26">
        <v>22</v>
      </c>
      <c r="B599" s="27" t="s">
        <v>29</v>
      </c>
      <c r="C599" s="28" t="s">
        <v>30</v>
      </c>
      <c r="D599" s="28" t="s">
        <v>31</v>
      </c>
      <c r="E599" s="19">
        <v>3</v>
      </c>
      <c r="F599" s="28" t="s">
        <v>168</v>
      </c>
      <c r="G599" s="28" t="s">
        <v>197</v>
      </c>
      <c r="H599" s="26" t="s">
        <v>2</v>
      </c>
      <c r="I599" s="29">
        <v>6.8</v>
      </c>
      <c r="J599" s="35">
        <v>195</v>
      </c>
      <c r="K599" s="17">
        <v>0</v>
      </c>
      <c r="L599" s="14"/>
    </row>
    <row r="600" spans="1:12" ht="26.4">
      <c r="A600" s="26">
        <v>23</v>
      </c>
      <c r="B600" s="27" t="s">
        <v>29</v>
      </c>
      <c r="C600" s="28" t="s">
        <v>30</v>
      </c>
      <c r="D600" s="28" t="s">
        <v>31</v>
      </c>
      <c r="E600" s="19">
        <v>3</v>
      </c>
      <c r="F600" s="28" t="s">
        <v>173</v>
      </c>
      <c r="G600" s="28" t="s">
        <v>197</v>
      </c>
      <c r="H600" s="26" t="s">
        <v>2</v>
      </c>
      <c r="I600" s="29">
        <v>6.8</v>
      </c>
      <c r="J600" s="35">
        <v>195</v>
      </c>
      <c r="K600" s="17">
        <f t="shared" si="11"/>
        <v>1326</v>
      </c>
      <c r="L600" s="14"/>
    </row>
    <row r="601" spans="1:12" ht="26.4">
      <c r="A601" s="26">
        <v>24</v>
      </c>
      <c r="B601" s="27" t="s">
        <v>29</v>
      </c>
      <c r="C601" s="28" t="s">
        <v>30</v>
      </c>
      <c r="D601" s="28" t="s">
        <v>31</v>
      </c>
      <c r="E601" s="19">
        <v>3</v>
      </c>
      <c r="F601" s="28" t="s">
        <v>177</v>
      </c>
      <c r="G601" s="28" t="s">
        <v>197</v>
      </c>
      <c r="H601" s="26" t="s">
        <v>2</v>
      </c>
      <c r="I601" s="29">
        <v>3.3</v>
      </c>
      <c r="J601" s="35">
        <v>195</v>
      </c>
      <c r="K601" s="17">
        <f t="shared" si="11"/>
        <v>643.5</v>
      </c>
      <c r="L601" s="14"/>
    </row>
    <row r="602" spans="1:12" ht="26.4">
      <c r="A602" s="26">
        <v>25</v>
      </c>
      <c r="B602" s="27" t="s">
        <v>29</v>
      </c>
      <c r="C602" s="28" t="s">
        <v>30</v>
      </c>
      <c r="D602" s="28" t="s">
        <v>31</v>
      </c>
      <c r="E602" s="19">
        <v>3</v>
      </c>
      <c r="F602" s="28" t="s">
        <v>147</v>
      </c>
      <c r="G602" s="28" t="s">
        <v>197</v>
      </c>
      <c r="H602" s="26" t="s">
        <v>2</v>
      </c>
      <c r="I602" s="29">
        <v>100</v>
      </c>
      <c r="J602" s="35">
        <v>195</v>
      </c>
      <c r="K602" s="17">
        <f t="shared" si="11"/>
        <v>19500</v>
      </c>
      <c r="L602" s="14"/>
    </row>
    <row r="603" spans="1:12" ht="26.4">
      <c r="A603" s="26">
        <v>26</v>
      </c>
      <c r="B603" s="27" t="s">
        <v>29</v>
      </c>
      <c r="C603" s="28" t="s">
        <v>30</v>
      </c>
      <c r="D603" s="28" t="s">
        <v>31</v>
      </c>
      <c r="E603" s="19">
        <v>3</v>
      </c>
      <c r="F603" s="28" t="s">
        <v>153</v>
      </c>
      <c r="G603" s="28" t="s">
        <v>197</v>
      </c>
      <c r="H603" s="26" t="s">
        <v>2</v>
      </c>
      <c r="I603" s="29">
        <v>107</v>
      </c>
      <c r="J603" s="35">
        <v>195</v>
      </c>
      <c r="K603" s="17">
        <f t="shared" si="11"/>
        <v>20865</v>
      </c>
      <c r="L603" s="14"/>
    </row>
    <row r="604" spans="1:12" ht="26.4">
      <c r="A604" s="26">
        <v>27</v>
      </c>
      <c r="B604" s="27" t="s">
        <v>29</v>
      </c>
      <c r="C604" s="28" t="s">
        <v>30</v>
      </c>
      <c r="D604" s="28" t="s">
        <v>31</v>
      </c>
      <c r="E604" s="19">
        <v>3</v>
      </c>
      <c r="F604" s="28" t="s">
        <v>150</v>
      </c>
      <c r="G604" s="28" t="s">
        <v>197</v>
      </c>
      <c r="H604" s="26" t="s">
        <v>2</v>
      </c>
      <c r="I604" s="29">
        <v>106</v>
      </c>
      <c r="J604" s="35">
        <v>195</v>
      </c>
      <c r="K604" s="17">
        <f t="shared" si="11"/>
        <v>20670</v>
      </c>
      <c r="L604" s="14"/>
    </row>
    <row r="605" spans="1:12" ht="52.8">
      <c r="A605" s="26">
        <v>28</v>
      </c>
      <c r="B605" s="27" t="s">
        <v>29</v>
      </c>
      <c r="C605" s="28" t="s">
        <v>30</v>
      </c>
      <c r="D605" s="28" t="s">
        <v>31</v>
      </c>
      <c r="E605" s="19">
        <v>3</v>
      </c>
      <c r="F605" s="28" t="s">
        <v>191</v>
      </c>
      <c r="G605" s="28" t="s">
        <v>197</v>
      </c>
      <c r="H605" s="26" t="s">
        <v>2</v>
      </c>
      <c r="I605" s="29">
        <v>136</v>
      </c>
      <c r="J605" s="35">
        <v>195</v>
      </c>
      <c r="K605" s="17">
        <f t="shared" si="11"/>
        <v>26520</v>
      </c>
      <c r="L605" s="14"/>
    </row>
    <row r="606" spans="1:12" ht="26.4">
      <c r="A606" s="26">
        <v>29</v>
      </c>
      <c r="B606" s="27" t="s">
        <v>29</v>
      </c>
      <c r="C606" s="28" t="s">
        <v>30</v>
      </c>
      <c r="D606" s="28" t="s">
        <v>31</v>
      </c>
      <c r="E606" s="19">
        <v>3</v>
      </c>
      <c r="F606" s="28" t="s">
        <v>165</v>
      </c>
      <c r="G606" s="28" t="s">
        <v>197</v>
      </c>
      <c r="H606" s="26" t="s">
        <v>2</v>
      </c>
      <c r="I606" s="29">
        <v>3</v>
      </c>
      <c r="J606" s="35">
        <v>195</v>
      </c>
      <c r="K606" s="17">
        <f t="shared" si="11"/>
        <v>585</v>
      </c>
      <c r="L606" s="14"/>
    </row>
    <row r="607" spans="1:12" ht="26.4">
      <c r="A607" s="26">
        <v>30</v>
      </c>
      <c r="B607" s="27" t="s">
        <v>29</v>
      </c>
      <c r="C607" s="28" t="s">
        <v>30</v>
      </c>
      <c r="D607" s="28" t="s">
        <v>31</v>
      </c>
      <c r="E607" s="19">
        <v>3</v>
      </c>
      <c r="F607" s="28" t="s">
        <v>172</v>
      </c>
      <c r="G607" s="28" t="s">
        <v>197</v>
      </c>
      <c r="H607" s="26" t="s">
        <v>2</v>
      </c>
      <c r="I607" s="29">
        <v>3</v>
      </c>
      <c r="J607" s="35">
        <v>195</v>
      </c>
      <c r="K607" s="17">
        <f t="shared" si="11"/>
        <v>585</v>
      </c>
      <c r="L607" s="14"/>
    </row>
    <row r="608" spans="1:12" ht="26.4">
      <c r="A608" s="26">
        <v>31</v>
      </c>
      <c r="B608" s="27" t="s">
        <v>29</v>
      </c>
      <c r="C608" s="28" t="s">
        <v>30</v>
      </c>
      <c r="D608" s="28" t="s">
        <v>31</v>
      </c>
      <c r="E608" s="19">
        <v>3</v>
      </c>
      <c r="F608" s="28" t="s">
        <v>155</v>
      </c>
      <c r="G608" s="28" t="s">
        <v>197</v>
      </c>
      <c r="H608" s="26" t="s">
        <v>2</v>
      </c>
      <c r="I608" s="29">
        <v>41</v>
      </c>
      <c r="J608" s="35">
        <v>195</v>
      </c>
      <c r="K608" s="17">
        <f t="shared" si="11"/>
        <v>7995</v>
      </c>
      <c r="L608" s="14"/>
    </row>
    <row r="609" spans="1:12" ht="26.4">
      <c r="A609" s="26">
        <v>32</v>
      </c>
      <c r="B609" s="27" t="s">
        <v>29</v>
      </c>
      <c r="C609" s="28" t="s">
        <v>30</v>
      </c>
      <c r="D609" s="28" t="s">
        <v>31</v>
      </c>
      <c r="E609" s="19">
        <v>3</v>
      </c>
      <c r="F609" s="28" t="s">
        <v>151</v>
      </c>
      <c r="G609" s="28" t="s">
        <v>197</v>
      </c>
      <c r="H609" s="26" t="s">
        <v>2</v>
      </c>
      <c r="I609" s="29">
        <v>103</v>
      </c>
      <c r="J609" s="35">
        <v>195</v>
      </c>
      <c r="K609" s="17">
        <f t="shared" si="11"/>
        <v>20085</v>
      </c>
      <c r="L609" s="14"/>
    </row>
    <row r="610" spans="1:12" ht="26.4">
      <c r="A610" s="26">
        <v>33</v>
      </c>
      <c r="B610" s="27" t="s">
        <v>29</v>
      </c>
      <c r="C610" s="28" t="s">
        <v>30</v>
      </c>
      <c r="D610" s="28" t="s">
        <v>31</v>
      </c>
      <c r="E610" s="19">
        <v>1</v>
      </c>
      <c r="F610" s="28" t="s">
        <v>68</v>
      </c>
      <c r="G610" s="28" t="s">
        <v>197</v>
      </c>
      <c r="H610" s="26" t="s">
        <v>2</v>
      </c>
      <c r="I610" s="29">
        <v>85.3</v>
      </c>
      <c r="J610" s="35">
        <v>195</v>
      </c>
      <c r="K610" s="17">
        <f t="shared" si="11"/>
        <v>16633.5</v>
      </c>
      <c r="L610" s="14"/>
    </row>
    <row r="611" spans="1:12" ht="26.4">
      <c r="A611" s="26">
        <v>34</v>
      </c>
      <c r="B611" s="27" t="s">
        <v>29</v>
      </c>
      <c r="C611" s="28" t="s">
        <v>30</v>
      </c>
      <c r="D611" s="28" t="s">
        <v>31</v>
      </c>
      <c r="E611" s="19">
        <v>2</v>
      </c>
      <c r="F611" s="28" t="s">
        <v>117</v>
      </c>
      <c r="G611" s="28" t="s">
        <v>197</v>
      </c>
      <c r="H611" s="26" t="s">
        <v>2</v>
      </c>
      <c r="I611" s="29">
        <v>85.3</v>
      </c>
      <c r="J611" s="35">
        <v>195</v>
      </c>
      <c r="K611" s="17">
        <f t="shared" si="11"/>
        <v>16633.5</v>
      </c>
      <c r="L611" s="14"/>
    </row>
    <row r="612" spans="1:12" ht="26.4">
      <c r="A612" s="26">
        <v>35</v>
      </c>
      <c r="B612" s="27" t="s">
        <v>29</v>
      </c>
      <c r="C612" s="28" t="s">
        <v>30</v>
      </c>
      <c r="D612" s="28" t="s">
        <v>31</v>
      </c>
      <c r="E612" s="19">
        <v>3</v>
      </c>
      <c r="F612" s="28" t="s">
        <v>159</v>
      </c>
      <c r="G612" s="28" t="s">
        <v>197</v>
      </c>
      <c r="H612" s="26" t="s">
        <v>2</v>
      </c>
      <c r="I612" s="29">
        <v>85.3</v>
      </c>
      <c r="J612" s="35">
        <v>195</v>
      </c>
      <c r="K612" s="17">
        <f t="shared" si="11"/>
        <v>16633.5</v>
      </c>
      <c r="L612" s="14"/>
    </row>
    <row r="613" spans="1:12" ht="26.4">
      <c r="A613" s="26">
        <v>36</v>
      </c>
      <c r="B613" s="27" t="s">
        <v>29</v>
      </c>
      <c r="C613" s="28" t="s">
        <v>30</v>
      </c>
      <c r="D613" s="28" t="s">
        <v>31</v>
      </c>
      <c r="E613" s="19">
        <v>1</v>
      </c>
      <c r="F613" s="28" t="s">
        <v>77</v>
      </c>
      <c r="G613" s="28" t="s">
        <v>198</v>
      </c>
      <c r="H613" s="26" t="s">
        <v>2</v>
      </c>
      <c r="I613" s="29">
        <v>5</v>
      </c>
      <c r="J613" s="35">
        <v>195</v>
      </c>
      <c r="K613" s="17">
        <f t="shared" si="11"/>
        <v>975</v>
      </c>
      <c r="L613" s="14"/>
    </row>
    <row r="614" spans="1:12" ht="26.4">
      <c r="A614" s="26">
        <v>37</v>
      </c>
      <c r="B614" s="27" t="s">
        <v>29</v>
      </c>
      <c r="C614" s="28" t="s">
        <v>30</v>
      </c>
      <c r="D614" s="28" t="s">
        <v>31</v>
      </c>
      <c r="E614" s="19">
        <v>1</v>
      </c>
      <c r="F614" s="28" t="s">
        <v>66</v>
      </c>
      <c r="G614" s="28" t="s">
        <v>198</v>
      </c>
      <c r="H614" s="26" t="s">
        <v>2</v>
      </c>
      <c r="I614" s="29">
        <v>17.600000000000001</v>
      </c>
      <c r="J614" s="35">
        <v>195</v>
      </c>
      <c r="K614" s="17">
        <f t="shared" si="11"/>
        <v>3432.0000000000005</v>
      </c>
      <c r="L614" s="14"/>
    </row>
    <row r="615" spans="1:12" ht="26.4">
      <c r="A615" s="26">
        <v>38</v>
      </c>
      <c r="B615" s="27" t="s">
        <v>29</v>
      </c>
      <c r="C615" s="28" t="s">
        <v>30</v>
      </c>
      <c r="D615" s="28" t="s">
        <v>31</v>
      </c>
      <c r="E615" s="19">
        <v>1</v>
      </c>
      <c r="F615" s="28" t="s">
        <v>70</v>
      </c>
      <c r="G615" s="28" t="s">
        <v>198</v>
      </c>
      <c r="H615" s="26" t="s">
        <v>2</v>
      </c>
      <c r="I615" s="29">
        <v>100</v>
      </c>
      <c r="J615" s="35">
        <v>195</v>
      </c>
      <c r="K615" s="17">
        <f t="shared" si="11"/>
        <v>19500</v>
      </c>
      <c r="L615" s="14"/>
    </row>
    <row r="616" spans="1:12" ht="26.4">
      <c r="A616" s="26">
        <v>39</v>
      </c>
      <c r="B616" s="27" t="s">
        <v>29</v>
      </c>
      <c r="C616" s="28" t="s">
        <v>30</v>
      </c>
      <c r="D616" s="28" t="s">
        <v>31</v>
      </c>
      <c r="E616" s="19">
        <v>2</v>
      </c>
      <c r="F616" s="28" t="s">
        <v>120</v>
      </c>
      <c r="G616" s="28" t="s">
        <v>198</v>
      </c>
      <c r="H616" s="26" t="s">
        <v>2</v>
      </c>
      <c r="I616" s="29">
        <v>100</v>
      </c>
      <c r="J616" s="35">
        <v>195</v>
      </c>
      <c r="K616" s="17">
        <f t="shared" si="11"/>
        <v>19500</v>
      </c>
      <c r="L616" s="14"/>
    </row>
    <row r="617" spans="1:12" ht="26.4">
      <c r="A617" s="26">
        <v>40</v>
      </c>
      <c r="B617" s="27" t="s">
        <v>29</v>
      </c>
      <c r="C617" s="28" t="s">
        <v>30</v>
      </c>
      <c r="D617" s="28" t="s">
        <v>31</v>
      </c>
      <c r="E617" s="19">
        <v>3</v>
      </c>
      <c r="F617" s="28" t="s">
        <v>161</v>
      </c>
      <c r="G617" s="28" t="s">
        <v>198</v>
      </c>
      <c r="H617" s="26" t="s">
        <v>2</v>
      </c>
      <c r="I617" s="29">
        <v>100</v>
      </c>
      <c r="J617" s="35">
        <v>195</v>
      </c>
      <c r="K617" s="17">
        <f t="shared" si="11"/>
        <v>19500</v>
      </c>
      <c r="L617" s="14"/>
    </row>
    <row r="618" spans="1:12" ht="26.4">
      <c r="A618" s="26">
        <v>41</v>
      </c>
      <c r="B618" s="27" t="s">
        <v>29</v>
      </c>
      <c r="C618" s="28" t="s">
        <v>30</v>
      </c>
      <c r="D618" s="28" t="s">
        <v>31</v>
      </c>
      <c r="E618" s="19">
        <v>3</v>
      </c>
      <c r="F618" s="28" t="s">
        <v>160</v>
      </c>
      <c r="G618" s="28" t="s">
        <v>198</v>
      </c>
      <c r="H618" s="26" t="s">
        <v>2</v>
      </c>
      <c r="I618" s="29">
        <v>115</v>
      </c>
      <c r="J618" s="35">
        <v>195</v>
      </c>
      <c r="K618" s="17">
        <f t="shared" si="11"/>
        <v>22425</v>
      </c>
      <c r="L618" s="14"/>
    </row>
    <row r="619" spans="1:12" ht="26.4">
      <c r="A619" s="26">
        <v>42</v>
      </c>
      <c r="B619" s="27" t="s">
        <v>29</v>
      </c>
      <c r="C619" s="28" t="s">
        <v>30</v>
      </c>
      <c r="D619" s="28" t="s">
        <v>31</v>
      </c>
      <c r="E619" s="19">
        <v>3</v>
      </c>
      <c r="F619" s="28" t="s">
        <v>171</v>
      </c>
      <c r="G619" s="28" t="s">
        <v>198</v>
      </c>
      <c r="H619" s="26" t="s">
        <v>2</v>
      </c>
      <c r="I619" s="29">
        <v>38</v>
      </c>
      <c r="J619" s="35">
        <v>195</v>
      </c>
      <c r="K619" s="17">
        <f t="shared" si="11"/>
        <v>7410</v>
      </c>
      <c r="L619" s="14"/>
    </row>
    <row r="620" spans="1:12" ht="26.4">
      <c r="A620" s="26">
        <v>43</v>
      </c>
      <c r="B620" s="27" t="s">
        <v>29</v>
      </c>
      <c r="C620" s="28" t="s">
        <v>30</v>
      </c>
      <c r="D620" s="28" t="s">
        <v>31</v>
      </c>
      <c r="E620" s="19">
        <v>3</v>
      </c>
      <c r="F620" s="28" t="s">
        <v>149</v>
      </c>
      <c r="G620" s="28" t="s">
        <v>198</v>
      </c>
      <c r="H620" s="26" t="s">
        <v>2</v>
      </c>
      <c r="I620" s="29">
        <v>41.3</v>
      </c>
      <c r="J620" s="35">
        <v>195</v>
      </c>
      <c r="K620" s="17">
        <f t="shared" si="11"/>
        <v>8053.4999999999991</v>
      </c>
      <c r="L620" s="14"/>
    </row>
    <row r="621" spans="1:12" ht="26.4">
      <c r="A621" s="26">
        <v>44</v>
      </c>
      <c r="B621" s="27" t="s">
        <v>29</v>
      </c>
      <c r="C621" s="28" t="s">
        <v>30</v>
      </c>
      <c r="D621" s="28" t="s">
        <v>31</v>
      </c>
      <c r="E621" s="19">
        <v>3</v>
      </c>
      <c r="F621" s="28" t="s">
        <v>182</v>
      </c>
      <c r="G621" s="28" t="s">
        <v>198</v>
      </c>
      <c r="H621" s="26" t="s">
        <v>2</v>
      </c>
      <c r="I621" s="29">
        <v>51</v>
      </c>
      <c r="J621" s="35">
        <v>195</v>
      </c>
      <c r="K621" s="17">
        <f t="shared" si="11"/>
        <v>9945</v>
      </c>
      <c r="L621" s="14"/>
    </row>
    <row r="622" spans="1:12" ht="26.4">
      <c r="A622" s="26">
        <v>45</v>
      </c>
      <c r="B622" s="27" t="s">
        <v>29</v>
      </c>
      <c r="C622" s="28" t="s">
        <v>30</v>
      </c>
      <c r="D622" s="28" t="s">
        <v>31</v>
      </c>
      <c r="E622" s="19">
        <v>3</v>
      </c>
      <c r="F622" s="28" t="s">
        <v>147</v>
      </c>
      <c r="G622" s="28" t="s">
        <v>198</v>
      </c>
      <c r="H622" s="26" t="s">
        <v>2</v>
      </c>
      <c r="I622" s="29">
        <v>5</v>
      </c>
      <c r="J622" s="35">
        <v>195</v>
      </c>
      <c r="K622" s="17">
        <f t="shared" si="11"/>
        <v>975</v>
      </c>
      <c r="L622" s="14"/>
    </row>
    <row r="623" spans="1:12" ht="26.4">
      <c r="A623" s="26">
        <v>46</v>
      </c>
      <c r="B623" s="27" t="s">
        <v>29</v>
      </c>
      <c r="C623" s="28" t="s">
        <v>30</v>
      </c>
      <c r="D623" s="28" t="s">
        <v>31</v>
      </c>
      <c r="E623" s="19">
        <v>3</v>
      </c>
      <c r="F623" s="28" t="s">
        <v>153</v>
      </c>
      <c r="G623" s="28" t="s">
        <v>198</v>
      </c>
      <c r="H623" s="26" t="s">
        <v>2</v>
      </c>
      <c r="I623" s="29">
        <v>11</v>
      </c>
      <c r="J623" s="35">
        <v>195</v>
      </c>
      <c r="K623" s="17">
        <f t="shared" si="11"/>
        <v>2145</v>
      </c>
      <c r="L623" s="14"/>
    </row>
    <row r="624" spans="1:12" ht="26.4">
      <c r="A624" s="26">
        <v>47</v>
      </c>
      <c r="B624" s="27" t="s">
        <v>29</v>
      </c>
      <c r="C624" s="28" t="s">
        <v>30</v>
      </c>
      <c r="D624" s="28" t="s">
        <v>31</v>
      </c>
      <c r="E624" s="19">
        <v>3</v>
      </c>
      <c r="F624" s="28" t="s">
        <v>150</v>
      </c>
      <c r="G624" s="28" t="s">
        <v>198</v>
      </c>
      <c r="H624" s="26" t="s">
        <v>2</v>
      </c>
      <c r="I624" s="29">
        <v>27.5</v>
      </c>
      <c r="J624" s="35">
        <v>195</v>
      </c>
      <c r="K624" s="17">
        <f t="shared" si="11"/>
        <v>5362.5</v>
      </c>
      <c r="L624" s="14"/>
    </row>
    <row r="625" spans="1:12" ht="52.8">
      <c r="A625" s="26">
        <v>48</v>
      </c>
      <c r="B625" s="27" t="s">
        <v>29</v>
      </c>
      <c r="C625" s="28" t="s">
        <v>30</v>
      </c>
      <c r="D625" s="28" t="s">
        <v>31</v>
      </c>
      <c r="E625" s="19">
        <v>3</v>
      </c>
      <c r="F625" s="28" t="s">
        <v>191</v>
      </c>
      <c r="G625" s="28" t="s">
        <v>198</v>
      </c>
      <c r="H625" s="26" t="s">
        <v>2</v>
      </c>
      <c r="I625" s="29">
        <v>19.5</v>
      </c>
      <c r="J625" s="35">
        <v>195</v>
      </c>
      <c r="K625" s="17">
        <f t="shared" si="11"/>
        <v>3802.5</v>
      </c>
      <c r="L625" s="14"/>
    </row>
    <row r="626" spans="1:12" ht="26.4">
      <c r="A626" s="26">
        <v>49</v>
      </c>
      <c r="B626" s="27" t="s">
        <v>29</v>
      </c>
      <c r="C626" s="28" t="s">
        <v>30</v>
      </c>
      <c r="D626" s="28" t="s">
        <v>31</v>
      </c>
      <c r="E626" s="19">
        <v>3</v>
      </c>
      <c r="F626" s="28" t="s">
        <v>155</v>
      </c>
      <c r="G626" s="28" t="s">
        <v>198</v>
      </c>
      <c r="H626" s="26" t="s">
        <v>2</v>
      </c>
      <c r="I626" s="29">
        <v>41</v>
      </c>
      <c r="J626" s="35">
        <v>195</v>
      </c>
      <c r="K626" s="17">
        <f t="shared" si="11"/>
        <v>7995</v>
      </c>
      <c r="L626" s="14"/>
    </row>
    <row r="627" spans="1:12" ht="26.4">
      <c r="A627" s="26">
        <v>50</v>
      </c>
      <c r="B627" s="27" t="s">
        <v>29</v>
      </c>
      <c r="C627" s="28" t="s">
        <v>30</v>
      </c>
      <c r="D627" s="28" t="s">
        <v>31</v>
      </c>
      <c r="E627" s="19">
        <v>3</v>
      </c>
      <c r="F627" s="28" t="s">
        <v>151</v>
      </c>
      <c r="G627" s="28" t="s">
        <v>198</v>
      </c>
      <c r="H627" s="26" t="s">
        <v>2</v>
      </c>
      <c r="I627" s="29">
        <v>31</v>
      </c>
      <c r="J627" s="35">
        <v>195</v>
      </c>
      <c r="K627" s="17">
        <f t="shared" si="11"/>
        <v>6045</v>
      </c>
      <c r="L627" s="14"/>
    </row>
    <row r="628" spans="1:12" ht="39.6">
      <c r="A628" s="26">
        <v>51</v>
      </c>
      <c r="B628" s="27" t="s">
        <v>29</v>
      </c>
      <c r="C628" s="28" t="s">
        <v>30</v>
      </c>
      <c r="D628" s="28" t="s">
        <v>31</v>
      </c>
      <c r="E628" s="19">
        <v>1</v>
      </c>
      <c r="F628" s="28" t="s">
        <v>79</v>
      </c>
      <c r="G628" s="28" t="s">
        <v>3</v>
      </c>
      <c r="H628" s="26" t="s">
        <v>2</v>
      </c>
      <c r="I628" s="29">
        <v>2.7</v>
      </c>
      <c r="J628" s="35">
        <v>195</v>
      </c>
      <c r="K628" s="17">
        <f t="shared" si="11"/>
        <v>526.5</v>
      </c>
      <c r="L628" s="14"/>
    </row>
    <row r="629" spans="1:12" ht="39.6">
      <c r="A629" s="26">
        <v>52</v>
      </c>
      <c r="B629" s="27" t="s">
        <v>29</v>
      </c>
      <c r="C629" s="28" t="s">
        <v>30</v>
      </c>
      <c r="D629" s="28" t="s">
        <v>31</v>
      </c>
      <c r="E629" s="19">
        <v>1</v>
      </c>
      <c r="F629" s="28" t="s">
        <v>94</v>
      </c>
      <c r="G629" s="28" t="s">
        <v>1</v>
      </c>
      <c r="H629" s="26" t="s">
        <v>2</v>
      </c>
      <c r="I629" s="29">
        <v>3.5</v>
      </c>
      <c r="J629" s="35">
        <v>585</v>
      </c>
      <c r="K629" s="17">
        <f t="shared" si="11"/>
        <v>2047.5</v>
      </c>
      <c r="L629" s="14"/>
    </row>
    <row r="630" spans="1:12" ht="39.6">
      <c r="A630" s="26">
        <v>53</v>
      </c>
      <c r="B630" s="27" t="s">
        <v>29</v>
      </c>
      <c r="C630" s="28" t="s">
        <v>30</v>
      </c>
      <c r="D630" s="28" t="s">
        <v>31</v>
      </c>
      <c r="E630" s="19">
        <v>1</v>
      </c>
      <c r="F630" s="28" t="s">
        <v>80</v>
      </c>
      <c r="G630" s="28" t="s">
        <v>1</v>
      </c>
      <c r="H630" s="26" t="s">
        <v>2</v>
      </c>
      <c r="I630" s="29">
        <v>6.8</v>
      </c>
      <c r="J630" s="35">
        <v>585</v>
      </c>
      <c r="K630" s="17">
        <f t="shared" si="11"/>
        <v>3978</v>
      </c>
      <c r="L630" s="14"/>
    </row>
    <row r="631" spans="1:12" ht="39.6">
      <c r="A631" s="26">
        <v>54</v>
      </c>
      <c r="B631" s="27" t="s">
        <v>29</v>
      </c>
      <c r="C631" s="28" t="s">
        <v>30</v>
      </c>
      <c r="D631" s="28" t="s">
        <v>31</v>
      </c>
      <c r="E631" s="19">
        <v>1</v>
      </c>
      <c r="F631" s="28" t="s">
        <v>90</v>
      </c>
      <c r="G631" s="28" t="s">
        <v>1</v>
      </c>
      <c r="H631" s="26" t="s">
        <v>2</v>
      </c>
      <c r="I631" s="29">
        <v>2.7</v>
      </c>
      <c r="J631" s="35">
        <v>585</v>
      </c>
      <c r="K631" s="17">
        <f t="shared" si="11"/>
        <v>1579.5</v>
      </c>
      <c r="L631" s="14"/>
    </row>
    <row r="632" spans="1:12" ht="39.6">
      <c r="A632" s="26">
        <v>55</v>
      </c>
      <c r="B632" s="27" t="s">
        <v>29</v>
      </c>
      <c r="C632" s="28" t="s">
        <v>30</v>
      </c>
      <c r="D632" s="28" t="s">
        <v>31</v>
      </c>
      <c r="E632" s="19">
        <v>1</v>
      </c>
      <c r="F632" s="28" t="s">
        <v>77</v>
      </c>
      <c r="G632" s="28" t="s">
        <v>1</v>
      </c>
      <c r="H632" s="26" t="s">
        <v>2</v>
      </c>
      <c r="I632" s="29">
        <v>5</v>
      </c>
      <c r="J632" s="35">
        <v>585</v>
      </c>
      <c r="K632" s="17">
        <f t="shared" si="11"/>
        <v>2925</v>
      </c>
      <c r="L632" s="14"/>
    </row>
    <row r="633" spans="1:12" ht="39.6">
      <c r="A633" s="26">
        <v>56</v>
      </c>
      <c r="B633" s="27" t="s">
        <v>29</v>
      </c>
      <c r="C633" s="28" t="s">
        <v>30</v>
      </c>
      <c r="D633" s="28" t="s">
        <v>31</v>
      </c>
      <c r="E633" s="19">
        <v>1</v>
      </c>
      <c r="F633" s="28" t="s">
        <v>66</v>
      </c>
      <c r="G633" s="28" t="s">
        <v>1</v>
      </c>
      <c r="H633" s="26" t="s">
        <v>2</v>
      </c>
      <c r="I633" s="29">
        <v>17.600000000000001</v>
      </c>
      <c r="J633" s="35">
        <v>585</v>
      </c>
      <c r="K633" s="17">
        <f t="shared" si="11"/>
        <v>10296</v>
      </c>
      <c r="L633" s="14"/>
    </row>
    <row r="634" spans="1:12" ht="39.6">
      <c r="A634" s="26">
        <v>57</v>
      </c>
      <c r="B634" s="27" t="s">
        <v>29</v>
      </c>
      <c r="C634" s="28" t="s">
        <v>30</v>
      </c>
      <c r="D634" s="28" t="s">
        <v>31</v>
      </c>
      <c r="E634" s="19">
        <v>1</v>
      </c>
      <c r="F634" s="28" t="s">
        <v>70</v>
      </c>
      <c r="G634" s="28" t="s">
        <v>1</v>
      </c>
      <c r="H634" s="26" t="s">
        <v>2</v>
      </c>
      <c r="I634" s="29">
        <v>7</v>
      </c>
      <c r="J634" s="35">
        <v>585</v>
      </c>
      <c r="K634" s="17">
        <f t="shared" si="11"/>
        <v>4095</v>
      </c>
      <c r="L634" s="14"/>
    </row>
    <row r="635" spans="1:12" ht="39.6">
      <c r="A635" s="26">
        <v>58</v>
      </c>
      <c r="B635" s="27" t="s">
        <v>29</v>
      </c>
      <c r="C635" s="28" t="s">
        <v>30</v>
      </c>
      <c r="D635" s="28" t="s">
        <v>31</v>
      </c>
      <c r="E635" s="19">
        <v>2</v>
      </c>
      <c r="F635" s="28" t="s">
        <v>120</v>
      </c>
      <c r="G635" s="28" t="s">
        <v>1</v>
      </c>
      <c r="H635" s="26" t="s">
        <v>2</v>
      </c>
      <c r="I635" s="29">
        <v>7</v>
      </c>
      <c r="J635" s="35">
        <v>585</v>
      </c>
      <c r="K635" s="17">
        <f t="shared" si="11"/>
        <v>4095</v>
      </c>
      <c r="L635" s="14"/>
    </row>
    <row r="636" spans="1:12" ht="39.6">
      <c r="A636" s="26">
        <v>59</v>
      </c>
      <c r="B636" s="27" t="s">
        <v>29</v>
      </c>
      <c r="C636" s="28" t="s">
        <v>30</v>
      </c>
      <c r="D636" s="28" t="s">
        <v>31</v>
      </c>
      <c r="E636" s="19">
        <v>3</v>
      </c>
      <c r="F636" s="28" t="s">
        <v>161</v>
      </c>
      <c r="G636" s="28" t="s">
        <v>1</v>
      </c>
      <c r="H636" s="26" t="s">
        <v>2</v>
      </c>
      <c r="I636" s="29">
        <v>7</v>
      </c>
      <c r="J636" s="35">
        <v>585</v>
      </c>
      <c r="K636" s="17">
        <f t="shared" si="11"/>
        <v>4095</v>
      </c>
      <c r="L636" s="14"/>
    </row>
    <row r="637" spans="1:12" ht="39.6">
      <c r="A637" s="26">
        <v>60</v>
      </c>
      <c r="B637" s="27" t="s">
        <v>29</v>
      </c>
      <c r="C637" s="28" t="s">
        <v>30</v>
      </c>
      <c r="D637" s="28" t="s">
        <v>31</v>
      </c>
      <c r="E637" s="19">
        <v>1</v>
      </c>
      <c r="F637" s="28" t="s">
        <v>71</v>
      </c>
      <c r="G637" s="28" t="s">
        <v>1</v>
      </c>
      <c r="H637" s="26" t="s">
        <v>2</v>
      </c>
      <c r="I637" s="29">
        <v>13.5</v>
      </c>
      <c r="J637" s="35">
        <v>585</v>
      </c>
      <c r="K637" s="17">
        <f t="shared" si="11"/>
        <v>7897.5</v>
      </c>
      <c r="L637" s="14"/>
    </row>
    <row r="638" spans="1:12" ht="39.6">
      <c r="A638" s="26">
        <v>61</v>
      </c>
      <c r="B638" s="27" t="s">
        <v>29</v>
      </c>
      <c r="C638" s="28" t="s">
        <v>30</v>
      </c>
      <c r="D638" s="28" t="s">
        <v>31</v>
      </c>
      <c r="E638" s="19">
        <v>2</v>
      </c>
      <c r="F638" s="28" t="s">
        <v>116</v>
      </c>
      <c r="G638" s="28" t="s">
        <v>1</v>
      </c>
      <c r="H638" s="26" t="s">
        <v>2</v>
      </c>
      <c r="I638" s="29">
        <v>6.8</v>
      </c>
      <c r="J638" s="35">
        <v>585</v>
      </c>
      <c r="K638" s="17">
        <f t="shared" si="11"/>
        <v>3978</v>
      </c>
      <c r="L638" s="14"/>
    </row>
    <row r="639" spans="1:12" ht="39.6">
      <c r="A639" s="26">
        <v>62</v>
      </c>
      <c r="B639" s="27" t="s">
        <v>29</v>
      </c>
      <c r="C639" s="28" t="s">
        <v>30</v>
      </c>
      <c r="D639" s="28" t="s">
        <v>31</v>
      </c>
      <c r="E639" s="19">
        <v>2</v>
      </c>
      <c r="F639" s="28" t="s">
        <v>125</v>
      </c>
      <c r="G639" s="28" t="s">
        <v>1</v>
      </c>
      <c r="H639" s="26" t="s">
        <v>2</v>
      </c>
      <c r="I639" s="29">
        <v>6.8</v>
      </c>
      <c r="J639" s="35">
        <v>585</v>
      </c>
      <c r="K639" s="17">
        <f t="shared" si="11"/>
        <v>3978</v>
      </c>
      <c r="L639" s="14"/>
    </row>
    <row r="640" spans="1:12" ht="39.6">
      <c r="A640" s="26">
        <v>63</v>
      </c>
      <c r="B640" s="27" t="s">
        <v>29</v>
      </c>
      <c r="C640" s="28" t="s">
        <v>30</v>
      </c>
      <c r="D640" s="28" t="s">
        <v>31</v>
      </c>
      <c r="E640" s="19">
        <v>2</v>
      </c>
      <c r="F640" s="28" t="s">
        <v>124</v>
      </c>
      <c r="G640" s="28" t="s">
        <v>1</v>
      </c>
      <c r="H640" s="26" t="s">
        <v>2</v>
      </c>
      <c r="I640" s="29">
        <v>2.7</v>
      </c>
      <c r="J640" s="35">
        <v>585</v>
      </c>
      <c r="K640" s="17">
        <f t="shared" si="11"/>
        <v>1579.5</v>
      </c>
      <c r="L640" s="14"/>
    </row>
    <row r="641" spans="1:12" ht="39.6">
      <c r="A641" s="26">
        <v>64</v>
      </c>
      <c r="B641" s="27" t="s">
        <v>29</v>
      </c>
      <c r="C641" s="28" t="s">
        <v>30</v>
      </c>
      <c r="D641" s="28" t="s">
        <v>31</v>
      </c>
      <c r="E641" s="19">
        <v>2</v>
      </c>
      <c r="F641" s="28" t="s">
        <v>129</v>
      </c>
      <c r="G641" s="28" t="s">
        <v>1</v>
      </c>
      <c r="H641" s="26" t="s">
        <v>2</v>
      </c>
      <c r="I641" s="29">
        <v>2.7</v>
      </c>
      <c r="J641" s="35">
        <v>585</v>
      </c>
      <c r="K641" s="17">
        <f t="shared" si="11"/>
        <v>1579.5</v>
      </c>
      <c r="L641" s="14"/>
    </row>
    <row r="642" spans="1:12" ht="39.6">
      <c r="A642" s="26">
        <v>65</v>
      </c>
      <c r="B642" s="27" t="s">
        <v>29</v>
      </c>
      <c r="C642" s="28" t="s">
        <v>30</v>
      </c>
      <c r="D642" s="28" t="s">
        <v>31</v>
      </c>
      <c r="E642" s="19">
        <v>2</v>
      </c>
      <c r="F642" s="28" t="s">
        <v>112</v>
      </c>
      <c r="G642" s="28" t="s">
        <v>1</v>
      </c>
      <c r="H642" s="26" t="s">
        <v>2</v>
      </c>
      <c r="I642" s="29">
        <v>15</v>
      </c>
      <c r="J642" s="35">
        <v>585</v>
      </c>
      <c r="K642" s="17">
        <f t="shared" si="11"/>
        <v>8775</v>
      </c>
      <c r="L642" s="14"/>
    </row>
    <row r="643" spans="1:12" ht="39.6">
      <c r="A643" s="26">
        <v>66</v>
      </c>
      <c r="B643" s="27" t="s">
        <v>29</v>
      </c>
      <c r="C643" s="28" t="s">
        <v>30</v>
      </c>
      <c r="D643" s="28" t="s">
        <v>31</v>
      </c>
      <c r="E643" s="19">
        <v>2</v>
      </c>
      <c r="F643" s="28" t="s">
        <v>121</v>
      </c>
      <c r="G643" s="28" t="s">
        <v>1</v>
      </c>
      <c r="H643" s="26" t="s">
        <v>2</v>
      </c>
      <c r="I643" s="29">
        <v>13.5</v>
      </c>
      <c r="J643" s="35">
        <v>585</v>
      </c>
      <c r="K643" s="17">
        <f t="shared" si="11"/>
        <v>7897.5</v>
      </c>
      <c r="L643" s="14"/>
    </row>
    <row r="644" spans="1:12" ht="39.6">
      <c r="A644" s="26">
        <v>67</v>
      </c>
      <c r="B644" s="27" t="s">
        <v>29</v>
      </c>
      <c r="C644" s="28" t="s">
        <v>30</v>
      </c>
      <c r="D644" s="28" t="s">
        <v>31</v>
      </c>
      <c r="E644" s="19">
        <v>3</v>
      </c>
      <c r="F644" s="28" t="s">
        <v>160</v>
      </c>
      <c r="G644" s="28" t="s">
        <v>1</v>
      </c>
      <c r="H644" s="26" t="s">
        <v>2</v>
      </c>
      <c r="I644" s="29">
        <v>77.5</v>
      </c>
      <c r="J644" s="35">
        <v>585</v>
      </c>
      <c r="K644" s="17">
        <f t="shared" si="11"/>
        <v>45337.5</v>
      </c>
      <c r="L644" s="14"/>
    </row>
    <row r="645" spans="1:12" ht="39.6">
      <c r="A645" s="26">
        <v>68</v>
      </c>
      <c r="B645" s="27" t="s">
        <v>29</v>
      </c>
      <c r="C645" s="28" t="s">
        <v>30</v>
      </c>
      <c r="D645" s="28" t="s">
        <v>31</v>
      </c>
      <c r="E645" s="19">
        <v>3</v>
      </c>
      <c r="F645" s="28" t="s">
        <v>149</v>
      </c>
      <c r="G645" s="28" t="s">
        <v>1</v>
      </c>
      <c r="H645" s="26" t="s">
        <v>2</v>
      </c>
      <c r="I645" s="29">
        <v>23.7</v>
      </c>
      <c r="J645" s="35">
        <v>585</v>
      </c>
      <c r="K645" s="17">
        <f t="shared" si="11"/>
        <v>13864.5</v>
      </c>
      <c r="L645" s="14"/>
    </row>
    <row r="646" spans="1:12" ht="39.6">
      <c r="A646" s="26">
        <v>69</v>
      </c>
      <c r="B646" s="27" t="s">
        <v>29</v>
      </c>
      <c r="C646" s="28" t="s">
        <v>30</v>
      </c>
      <c r="D646" s="28" t="s">
        <v>31</v>
      </c>
      <c r="E646" s="19">
        <v>3</v>
      </c>
      <c r="F646" s="28" t="s">
        <v>148</v>
      </c>
      <c r="G646" s="28" t="s">
        <v>1</v>
      </c>
      <c r="H646" s="26" t="s">
        <v>2</v>
      </c>
      <c r="I646" s="29">
        <v>33.5</v>
      </c>
      <c r="J646" s="35">
        <v>585</v>
      </c>
      <c r="K646" s="17">
        <f t="shared" ref="K646:K676" si="12">J646*I646</f>
        <v>19597.5</v>
      </c>
      <c r="L646" s="14"/>
    </row>
    <row r="647" spans="1:12" ht="39.6">
      <c r="A647" s="26">
        <v>70</v>
      </c>
      <c r="B647" s="27" t="s">
        <v>29</v>
      </c>
      <c r="C647" s="28" t="s">
        <v>30</v>
      </c>
      <c r="D647" s="28" t="s">
        <v>31</v>
      </c>
      <c r="E647" s="19">
        <v>3</v>
      </c>
      <c r="F647" s="28" t="s">
        <v>182</v>
      </c>
      <c r="G647" s="28" t="s">
        <v>1</v>
      </c>
      <c r="H647" s="26" t="s">
        <v>2</v>
      </c>
      <c r="I647" s="29">
        <v>36</v>
      </c>
      <c r="J647" s="35">
        <v>585</v>
      </c>
      <c r="K647" s="17">
        <f t="shared" si="12"/>
        <v>21060</v>
      </c>
      <c r="L647" s="14"/>
    </row>
    <row r="648" spans="1:12" ht="39.6">
      <c r="A648" s="26">
        <v>71</v>
      </c>
      <c r="B648" s="27" t="s">
        <v>29</v>
      </c>
      <c r="C648" s="28" t="s">
        <v>30</v>
      </c>
      <c r="D648" s="28" t="s">
        <v>31</v>
      </c>
      <c r="E648" s="19">
        <v>3</v>
      </c>
      <c r="F648" s="28" t="s">
        <v>168</v>
      </c>
      <c r="G648" s="28" t="s">
        <v>1</v>
      </c>
      <c r="H648" s="26" t="s">
        <v>2</v>
      </c>
      <c r="I648" s="29">
        <v>6.8</v>
      </c>
      <c r="J648" s="35">
        <v>585</v>
      </c>
      <c r="K648" s="17">
        <f t="shared" si="12"/>
        <v>3978</v>
      </c>
      <c r="L648" s="14"/>
    </row>
    <row r="649" spans="1:12" ht="39.6">
      <c r="A649" s="26">
        <v>72</v>
      </c>
      <c r="B649" s="27" t="s">
        <v>29</v>
      </c>
      <c r="C649" s="28" t="s">
        <v>30</v>
      </c>
      <c r="D649" s="28" t="s">
        <v>31</v>
      </c>
      <c r="E649" s="19">
        <v>3</v>
      </c>
      <c r="F649" s="28" t="s">
        <v>173</v>
      </c>
      <c r="G649" s="28" t="s">
        <v>1</v>
      </c>
      <c r="H649" s="26" t="s">
        <v>2</v>
      </c>
      <c r="I649" s="29">
        <v>6.8</v>
      </c>
      <c r="J649" s="35">
        <v>585</v>
      </c>
      <c r="K649" s="17">
        <f t="shared" si="12"/>
        <v>3978</v>
      </c>
      <c r="L649" s="14"/>
    </row>
    <row r="650" spans="1:12" ht="39.6">
      <c r="A650" s="26">
        <v>73</v>
      </c>
      <c r="B650" s="27" t="s">
        <v>29</v>
      </c>
      <c r="C650" s="28" t="s">
        <v>30</v>
      </c>
      <c r="D650" s="28" t="s">
        <v>31</v>
      </c>
      <c r="E650" s="19">
        <v>3</v>
      </c>
      <c r="F650" s="28" t="s">
        <v>177</v>
      </c>
      <c r="G650" s="28" t="s">
        <v>1</v>
      </c>
      <c r="H650" s="26" t="s">
        <v>2</v>
      </c>
      <c r="I650" s="29">
        <v>3.3</v>
      </c>
      <c r="J650" s="35">
        <v>585</v>
      </c>
      <c r="K650" s="17">
        <f t="shared" si="12"/>
        <v>1930.5</v>
      </c>
      <c r="L650" s="14"/>
    </row>
    <row r="651" spans="1:12" ht="39.6">
      <c r="A651" s="26">
        <v>74</v>
      </c>
      <c r="B651" s="27" t="s">
        <v>29</v>
      </c>
      <c r="C651" s="28" t="s">
        <v>30</v>
      </c>
      <c r="D651" s="28" t="s">
        <v>31</v>
      </c>
      <c r="E651" s="19">
        <v>3</v>
      </c>
      <c r="F651" s="28" t="s">
        <v>150</v>
      </c>
      <c r="G651" s="28" t="s">
        <v>1</v>
      </c>
      <c r="H651" s="26" t="s">
        <v>2</v>
      </c>
      <c r="I651" s="29">
        <v>18</v>
      </c>
      <c r="J651" s="35">
        <v>585</v>
      </c>
      <c r="K651" s="17">
        <f t="shared" si="12"/>
        <v>10530</v>
      </c>
      <c r="L651" s="14"/>
    </row>
    <row r="652" spans="1:12" ht="52.8">
      <c r="A652" s="26">
        <v>75</v>
      </c>
      <c r="B652" s="27" t="s">
        <v>29</v>
      </c>
      <c r="C652" s="28" t="s">
        <v>30</v>
      </c>
      <c r="D652" s="28" t="s">
        <v>31</v>
      </c>
      <c r="E652" s="19">
        <v>3</v>
      </c>
      <c r="F652" s="28" t="s">
        <v>191</v>
      </c>
      <c r="G652" s="28" t="s">
        <v>1</v>
      </c>
      <c r="H652" s="26" t="s">
        <v>2</v>
      </c>
      <c r="I652" s="29">
        <v>3.6</v>
      </c>
      <c r="J652" s="35">
        <v>585</v>
      </c>
      <c r="K652" s="17">
        <f t="shared" si="12"/>
        <v>2106</v>
      </c>
      <c r="L652" s="14"/>
    </row>
    <row r="653" spans="1:12" ht="39.6">
      <c r="A653" s="26">
        <v>76</v>
      </c>
      <c r="B653" s="27" t="s">
        <v>29</v>
      </c>
      <c r="C653" s="28" t="s">
        <v>30</v>
      </c>
      <c r="D653" s="28" t="s">
        <v>31</v>
      </c>
      <c r="E653" s="19">
        <v>3</v>
      </c>
      <c r="F653" s="28" t="s">
        <v>165</v>
      </c>
      <c r="G653" s="28" t="s">
        <v>1</v>
      </c>
      <c r="H653" s="26" t="s">
        <v>2</v>
      </c>
      <c r="I653" s="29">
        <v>3</v>
      </c>
      <c r="J653" s="35">
        <v>585</v>
      </c>
      <c r="K653" s="17">
        <f t="shared" si="12"/>
        <v>1755</v>
      </c>
      <c r="L653" s="14"/>
    </row>
    <row r="654" spans="1:12" ht="39.6">
      <c r="A654" s="26">
        <v>77</v>
      </c>
      <c r="B654" s="27" t="s">
        <v>29</v>
      </c>
      <c r="C654" s="28" t="s">
        <v>30</v>
      </c>
      <c r="D654" s="28" t="s">
        <v>31</v>
      </c>
      <c r="E654" s="19">
        <v>3</v>
      </c>
      <c r="F654" s="28" t="s">
        <v>172</v>
      </c>
      <c r="G654" s="28" t="s">
        <v>1</v>
      </c>
      <c r="H654" s="26" t="s">
        <v>2</v>
      </c>
      <c r="I654" s="29">
        <v>3</v>
      </c>
      <c r="J654" s="35">
        <v>585</v>
      </c>
      <c r="K654" s="17">
        <f t="shared" si="12"/>
        <v>1755</v>
      </c>
      <c r="L654" s="14"/>
    </row>
    <row r="655" spans="1:12" ht="66">
      <c r="A655" s="26">
        <v>78</v>
      </c>
      <c r="B655" s="27" t="s">
        <v>29</v>
      </c>
      <c r="C655" s="28" t="s">
        <v>30</v>
      </c>
      <c r="D655" s="28" t="s">
        <v>31</v>
      </c>
      <c r="E655" s="19">
        <v>3</v>
      </c>
      <c r="F655" s="28" t="s">
        <v>188</v>
      </c>
      <c r="G655" s="28" t="s">
        <v>1</v>
      </c>
      <c r="H655" s="26" t="s">
        <v>2</v>
      </c>
      <c r="I655" s="29">
        <v>22</v>
      </c>
      <c r="J655" s="35">
        <v>585</v>
      </c>
      <c r="K655" s="17">
        <f t="shared" si="12"/>
        <v>12870</v>
      </c>
      <c r="L655" s="14"/>
    </row>
    <row r="656" spans="1:12" ht="39.6">
      <c r="A656" s="26">
        <v>79</v>
      </c>
      <c r="B656" s="27" t="s">
        <v>29</v>
      </c>
      <c r="C656" s="28" t="s">
        <v>30</v>
      </c>
      <c r="D656" s="28" t="s">
        <v>31</v>
      </c>
      <c r="E656" s="19">
        <v>3</v>
      </c>
      <c r="F656" s="28" t="s">
        <v>157</v>
      </c>
      <c r="G656" s="28" t="s">
        <v>1</v>
      </c>
      <c r="H656" s="26" t="s">
        <v>2</v>
      </c>
      <c r="I656" s="29">
        <v>32</v>
      </c>
      <c r="J656" s="35">
        <v>585</v>
      </c>
      <c r="K656" s="17">
        <f t="shared" si="12"/>
        <v>18720</v>
      </c>
      <c r="L656" s="14"/>
    </row>
    <row r="657" spans="1:12" ht="39.6">
      <c r="A657" s="26">
        <v>80</v>
      </c>
      <c r="B657" s="27" t="s">
        <v>29</v>
      </c>
      <c r="C657" s="28" t="s">
        <v>30</v>
      </c>
      <c r="D657" s="28" t="s">
        <v>31</v>
      </c>
      <c r="E657" s="19">
        <v>3</v>
      </c>
      <c r="F657" s="28" t="s">
        <v>155</v>
      </c>
      <c r="G657" s="28" t="s">
        <v>1</v>
      </c>
      <c r="H657" s="26" t="s">
        <v>2</v>
      </c>
      <c r="I657" s="29">
        <v>73</v>
      </c>
      <c r="J657" s="35">
        <v>585</v>
      </c>
      <c r="K657" s="17">
        <f t="shared" si="12"/>
        <v>42705</v>
      </c>
      <c r="L657" s="14"/>
    </row>
    <row r="658" spans="1:12" ht="39.6">
      <c r="A658" s="26">
        <v>81</v>
      </c>
      <c r="B658" s="27" t="s">
        <v>29</v>
      </c>
      <c r="C658" s="28" t="s">
        <v>30</v>
      </c>
      <c r="D658" s="28" t="s">
        <v>31</v>
      </c>
      <c r="E658" s="19">
        <v>3</v>
      </c>
      <c r="F658" s="28" t="s">
        <v>151</v>
      </c>
      <c r="G658" s="28" t="s">
        <v>1</v>
      </c>
      <c r="H658" s="26" t="s">
        <v>2</v>
      </c>
      <c r="I658" s="29">
        <v>22</v>
      </c>
      <c r="J658" s="35">
        <v>585</v>
      </c>
      <c r="K658" s="17">
        <f t="shared" si="12"/>
        <v>12870</v>
      </c>
      <c r="L658" s="14"/>
    </row>
    <row r="659" spans="1:12" ht="39.6">
      <c r="A659" s="26">
        <v>82</v>
      </c>
      <c r="B659" s="27" t="s">
        <v>29</v>
      </c>
      <c r="C659" s="28" t="s">
        <v>30</v>
      </c>
      <c r="D659" s="28" t="s">
        <v>31</v>
      </c>
      <c r="E659" s="19">
        <v>3</v>
      </c>
      <c r="F659" s="28" t="s">
        <v>160</v>
      </c>
      <c r="G659" s="28" t="s">
        <v>1</v>
      </c>
      <c r="H659" s="26" t="s">
        <v>2</v>
      </c>
      <c r="I659" s="29">
        <v>28</v>
      </c>
      <c r="J659" s="35">
        <v>585</v>
      </c>
      <c r="K659" s="17">
        <f t="shared" si="12"/>
        <v>16380</v>
      </c>
      <c r="L659" s="14"/>
    </row>
    <row r="660" spans="1:12" ht="39.6">
      <c r="A660" s="26">
        <v>83</v>
      </c>
      <c r="B660" s="27" t="s">
        <v>29</v>
      </c>
      <c r="C660" s="28" t="s">
        <v>30</v>
      </c>
      <c r="D660" s="28" t="s">
        <v>31</v>
      </c>
      <c r="E660" s="19">
        <v>3</v>
      </c>
      <c r="F660" s="28" t="s">
        <v>162</v>
      </c>
      <c r="G660" s="28" t="s">
        <v>1</v>
      </c>
      <c r="H660" s="26" t="s">
        <v>2</v>
      </c>
      <c r="I660" s="29">
        <v>18</v>
      </c>
      <c r="J660" s="35">
        <v>585</v>
      </c>
      <c r="K660" s="17">
        <f t="shared" si="12"/>
        <v>10530</v>
      </c>
      <c r="L660" s="14"/>
    </row>
    <row r="661" spans="1:12">
      <c r="A661" s="26">
        <v>84</v>
      </c>
      <c r="B661" s="27" t="s">
        <v>29</v>
      </c>
      <c r="C661" s="28" t="s">
        <v>30</v>
      </c>
      <c r="D661" s="28" t="s">
        <v>31</v>
      </c>
      <c r="E661" s="19">
        <v>1</v>
      </c>
      <c r="F661" s="28" t="s">
        <v>66</v>
      </c>
      <c r="G661" s="28" t="s">
        <v>185</v>
      </c>
      <c r="H661" s="26" t="s">
        <v>2</v>
      </c>
      <c r="I661" s="29">
        <v>9.6</v>
      </c>
      <c r="J661" s="35">
        <v>1105</v>
      </c>
      <c r="K661" s="17">
        <f t="shared" si="12"/>
        <v>10608</v>
      </c>
      <c r="L661" s="14"/>
    </row>
    <row r="662" spans="1:12">
      <c r="A662" s="26">
        <v>85</v>
      </c>
      <c r="B662" s="27" t="s">
        <v>29</v>
      </c>
      <c r="C662" s="28" t="s">
        <v>30</v>
      </c>
      <c r="D662" s="28" t="s">
        <v>31</v>
      </c>
      <c r="E662" s="19">
        <v>1</v>
      </c>
      <c r="F662" s="28" t="s">
        <v>71</v>
      </c>
      <c r="G662" s="28" t="s">
        <v>185</v>
      </c>
      <c r="H662" s="26" t="s">
        <v>2</v>
      </c>
      <c r="I662" s="29">
        <v>13.5</v>
      </c>
      <c r="J662" s="35">
        <v>1105</v>
      </c>
      <c r="K662" s="17">
        <f t="shared" si="12"/>
        <v>14917.5</v>
      </c>
      <c r="L662" s="14"/>
    </row>
    <row r="663" spans="1:12">
      <c r="A663" s="26">
        <v>86</v>
      </c>
      <c r="B663" s="27" t="s">
        <v>29</v>
      </c>
      <c r="C663" s="28" t="s">
        <v>30</v>
      </c>
      <c r="D663" s="28" t="s">
        <v>31</v>
      </c>
      <c r="E663" s="19">
        <v>2</v>
      </c>
      <c r="F663" s="28" t="s">
        <v>112</v>
      </c>
      <c r="G663" s="28" t="s">
        <v>185</v>
      </c>
      <c r="H663" s="26" t="s">
        <v>2</v>
      </c>
      <c r="I663" s="29">
        <v>14</v>
      </c>
      <c r="J663" s="35">
        <v>1105</v>
      </c>
      <c r="K663" s="17">
        <f t="shared" si="12"/>
        <v>15470</v>
      </c>
      <c r="L663" s="14"/>
    </row>
    <row r="664" spans="1:12">
      <c r="A664" s="26">
        <v>87</v>
      </c>
      <c r="B664" s="27" t="s">
        <v>29</v>
      </c>
      <c r="C664" s="28" t="s">
        <v>30</v>
      </c>
      <c r="D664" s="28" t="s">
        <v>31</v>
      </c>
      <c r="E664" s="19">
        <v>2</v>
      </c>
      <c r="F664" s="28" t="s">
        <v>121</v>
      </c>
      <c r="G664" s="28" t="s">
        <v>185</v>
      </c>
      <c r="H664" s="26" t="s">
        <v>2</v>
      </c>
      <c r="I664" s="29">
        <v>13.5</v>
      </c>
      <c r="J664" s="35">
        <v>1105</v>
      </c>
      <c r="K664" s="17">
        <f t="shared" si="12"/>
        <v>14917.5</v>
      </c>
      <c r="L664" s="14"/>
    </row>
    <row r="665" spans="1:12">
      <c r="A665" s="26">
        <v>88</v>
      </c>
      <c r="B665" s="27" t="s">
        <v>29</v>
      </c>
      <c r="C665" s="28" t="s">
        <v>30</v>
      </c>
      <c r="D665" s="28" t="s">
        <v>31</v>
      </c>
      <c r="E665" s="19">
        <v>3</v>
      </c>
      <c r="F665" s="28" t="s">
        <v>160</v>
      </c>
      <c r="G665" s="28" t="s">
        <v>185</v>
      </c>
      <c r="H665" s="26" t="s">
        <v>2</v>
      </c>
      <c r="I665" s="29">
        <v>2.4</v>
      </c>
      <c r="J665" s="35">
        <v>1105</v>
      </c>
      <c r="K665" s="17">
        <f t="shared" si="12"/>
        <v>2652</v>
      </c>
      <c r="L665" s="14"/>
    </row>
    <row r="666" spans="1:12">
      <c r="A666" s="26">
        <v>89</v>
      </c>
      <c r="B666" s="27" t="s">
        <v>29</v>
      </c>
      <c r="C666" s="28" t="s">
        <v>30</v>
      </c>
      <c r="D666" s="28" t="s">
        <v>31</v>
      </c>
      <c r="E666" s="19">
        <v>3</v>
      </c>
      <c r="F666" s="28" t="s">
        <v>151</v>
      </c>
      <c r="G666" s="28" t="s">
        <v>185</v>
      </c>
      <c r="H666" s="26" t="s">
        <v>2</v>
      </c>
      <c r="I666" s="29">
        <v>8</v>
      </c>
      <c r="J666" s="35">
        <v>1105</v>
      </c>
      <c r="K666" s="17">
        <f t="shared" si="12"/>
        <v>8840</v>
      </c>
      <c r="L666" s="14"/>
    </row>
    <row r="667" spans="1:12">
      <c r="A667" s="26">
        <v>90</v>
      </c>
      <c r="B667" s="27" t="s">
        <v>29</v>
      </c>
      <c r="C667" s="28" t="s">
        <v>30</v>
      </c>
      <c r="D667" s="28" t="s">
        <v>31</v>
      </c>
      <c r="E667" s="19">
        <v>3</v>
      </c>
      <c r="F667" s="28" t="s">
        <v>154</v>
      </c>
      <c r="G667" s="28" t="s">
        <v>185</v>
      </c>
      <c r="H667" s="26" t="s">
        <v>2</v>
      </c>
      <c r="I667" s="29">
        <v>14</v>
      </c>
      <c r="J667" s="35">
        <v>1105</v>
      </c>
      <c r="K667" s="17">
        <f t="shared" si="12"/>
        <v>15470</v>
      </c>
      <c r="L667" s="14"/>
    </row>
    <row r="668" spans="1:12">
      <c r="A668" s="26">
        <v>91</v>
      </c>
      <c r="B668" s="27" t="s">
        <v>29</v>
      </c>
      <c r="C668" s="28" t="s">
        <v>30</v>
      </c>
      <c r="D668" s="28" t="s">
        <v>31</v>
      </c>
      <c r="E668" s="39">
        <v>3</v>
      </c>
      <c r="F668" s="28" t="s">
        <v>162</v>
      </c>
      <c r="G668" s="28" t="s">
        <v>185</v>
      </c>
      <c r="H668" s="26" t="s">
        <v>2</v>
      </c>
      <c r="I668" s="29">
        <v>18</v>
      </c>
      <c r="J668" s="35">
        <v>1105</v>
      </c>
      <c r="K668" s="17">
        <f t="shared" si="12"/>
        <v>19890</v>
      </c>
      <c r="L668" s="14"/>
    </row>
    <row r="669" spans="1:12" ht="66">
      <c r="A669" s="26">
        <v>92</v>
      </c>
      <c r="B669" s="27" t="s">
        <v>29</v>
      </c>
      <c r="C669" s="28" t="s">
        <v>30</v>
      </c>
      <c r="D669" s="28" t="s">
        <v>31</v>
      </c>
      <c r="E669" s="39">
        <v>3</v>
      </c>
      <c r="F669" s="28" t="s">
        <v>188</v>
      </c>
      <c r="G669" s="28" t="s">
        <v>185</v>
      </c>
      <c r="H669" s="26" t="s">
        <v>2</v>
      </c>
      <c r="I669" s="29">
        <v>22</v>
      </c>
      <c r="J669" s="35">
        <v>1105</v>
      </c>
      <c r="K669" s="17">
        <f t="shared" si="12"/>
        <v>24310</v>
      </c>
      <c r="L669" s="14"/>
    </row>
    <row r="670" spans="1:12" ht="26.4">
      <c r="A670" s="26">
        <v>93</v>
      </c>
      <c r="B670" s="27" t="s">
        <v>29</v>
      </c>
      <c r="C670" s="28" t="s">
        <v>30</v>
      </c>
      <c r="D670" s="28" t="s">
        <v>31</v>
      </c>
      <c r="E670" s="19">
        <v>1</v>
      </c>
      <c r="F670" s="28" t="s">
        <v>77</v>
      </c>
      <c r="G670" s="28" t="s">
        <v>183</v>
      </c>
      <c r="H670" s="26" t="s">
        <v>184</v>
      </c>
      <c r="I670" s="29">
        <v>0.3</v>
      </c>
      <c r="J670" s="35">
        <v>4160</v>
      </c>
      <c r="K670" s="17">
        <f t="shared" si="12"/>
        <v>1248</v>
      </c>
      <c r="L670" s="14"/>
    </row>
    <row r="671" spans="1:12">
      <c r="A671" s="26">
        <v>94</v>
      </c>
      <c r="B671" s="27" t="s">
        <v>29</v>
      </c>
      <c r="C671" s="28" t="s">
        <v>30</v>
      </c>
      <c r="D671" s="28" t="s">
        <v>31</v>
      </c>
      <c r="E671" s="19">
        <v>3</v>
      </c>
      <c r="F671" s="28" t="s">
        <v>160</v>
      </c>
      <c r="G671" s="28" t="s">
        <v>183</v>
      </c>
      <c r="H671" s="26" t="s">
        <v>184</v>
      </c>
      <c r="I671" s="29">
        <v>5.9</v>
      </c>
      <c r="J671" s="35">
        <v>4160</v>
      </c>
      <c r="K671" s="17">
        <f t="shared" si="12"/>
        <v>24544</v>
      </c>
      <c r="L671" s="14"/>
    </row>
    <row r="672" spans="1:12" s="16" customFormat="1" ht="39.6">
      <c r="A672" s="26">
        <v>95</v>
      </c>
      <c r="B672" s="27" t="s">
        <v>29</v>
      </c>
      <c r="C672" s="28" t="s">
        <v>30</v>
      </c>
      <c r="D672" s="28" t="s">
        <v>33</v>
      </c>
      <c r="E672" s="19">
        <v>2</v>
      </c>
      <c r="F672" s="28" t="s">
        <v>194</v>
      </c>
      <c r="G672" s="56" t="s">
        <v>7</v>
      </c>
      <c r="H672" s="26" t="s">
        <v>2</v>
      </c>
      <c r="I672" s="29">
        <v>89.5</v>
      </c>
      <c r="J672" s="35">
        <v>180</v>
      </c>
      <c r="K672" s="17">
        <f t="shared" si="12"/>
        <v>16110</v>
      </c>
      <c r="L672" s="14"/>
    </row>
    <row r="673" spans="1:12" s="16" customFormat="1" ht="28.8">
      <c r="A673" s="26">
        <v>96</v>
      </c>
      <c r="B673" s="27" t="s">
        <v>29</v>
      </c>
      <c r="C673" s="28" t="s">
        <v>30</v>
      </c>
      <c r="D673" s="28" t="s">
        <v>33</v>
      </c>
      <c r="E673" s="19">
        <v>2</v>
      </c>
      <c r="F673" s="28" t="s">
        <v>96</v>
      </c>
      <c r="G673" s="56" t="s">
        <v>7</v>
      </c>
      <c r="H673" s="26" t="s">
        <v>2</v>
      </c>
      <c r="I673" s="29">
        <v>40</v>
      </c>
      <c r="J673" s="35">
        <v>180</v>
      </c>
      <c r="K673" s="17">
        <f t="shared" si="12"/>
        <v>7200</v>
      </c>
      <c r="L673" s="14"/>
    </row>
    <row r="674" spans="1:12" s="16" customFormat="1" ht="28.8">
      <c r="A674" s="26">
        <v>97</v>
      </c>
      <c r="B674" s="27" t="s">
        <v>29</v>
      </c>
      <c r="C674" s="28" t="s">
        <v>30</v>
      </c>
      <c r="D674" s="28" t="s">
        <v>33</v>
      </c>
      <c r="E674" s="19">
        <v>2</v>
      </c>
      <c r="F674" s="28" t="s">
        <v>98</v>
      </c>
      <c r="G674" s="56" t="s">
        <v>7</v>
      </c>
      <c r="H674" s="26" t="s">
        <v>2</v>
      </c>
      <c r="I674" s="29">
        <v>63.5</v>
      </c>
      <c r="J674" s="35">
        <v>180</v>
      </c>
      <c r="K674" s="17">
        <f t="shared" si="12"/>
        <v>11430</v>
      </c>
      <c r="L674" s="14"/>
    </row>
    <row r="675" spans="1:12" s="16" customFormat="1" ht="28.8">
      <c r="A675" s="26">
        <v>98</v>
      </c>
      <c r="B675" s="27" t="s">
        <v>29</v>
      </c>
      <c r="C675" s="28" t="s">
        <v>30</v>
      </c>
      <c r="D675" s="28" t="s">
        <v>33</v>
      </c>
      <c r="E675" s="19">
        <v>3</v>
      </c>
      <c r="F675" s="28" t="s">
        <v>147</v>
      </c>
      <c r="G675" s="56" t="s">
        <v>7</v>
      </c>
      <c r="H675" s="26" t="s">
        <v>2</v>
      </c>
      <c r="I675" s="29">
        <v>63.5</v>
      </c>
      <c r="J675" s="35">
        <v>180</v>
      </c>
      <c r="K675" s="17">
        <f t="shared" si="12"/>
        <v>11430</v>
      </c>
      <c r="L675" s="14"/>
    </row>
    <row r="676" spans="1:12" s="16" customFormat="1" ht="52.8">
      <c r="A676" s="26">
        <v>99</v>
      </c>
      <c r="B676" s="27" t="s">
        <v>29</v>
      </c>
      <c r="C676" s="28" t="s">
        <v>30</v>
      </c>
      <c r="D676" s="28" t="s">
        <v>33</v>
      </c>
      <c r="E676" s="19">
        <v>3</v>
      </c>
      <c r="F676" s="28" t="s">
        <v>191</v>
      </c>
      <c r="G676" s="56" t="s">
        <v>7</v>
      </c>
      <c r="H676" s="26" t="s">
        <v>2</v>
      </c>
      <c r="I676" s="29">
        <v>88.5</v>
      </c>
      <c r="J676" s="35">
        <v>180</v>
      </c>
      <c r="K676" s="17">
        <f t="shared" si="12"/>
        <v>15930</v>
      </c>
      <c r="L676" s="14"/>
    </row>
    <row r="677" spans="1:12" s="16" customFormat="1" ht="28.8">
      <c r="A677" s="26">
        <v>102</v>
      </c>
      <c r="B677" s="27" t="s">
        <v>29</v>
      </c>
      <c r="C677" s="28" t="s">
        <v>30</v>
      </c>
      <c r="D677" s="28" t="s">
        <v>31</v>
      </c>
      <c r="E677" s="19">
        <v>3</v>
      </c>
      <c r="F677" s="28" t="s">
        <v>148</v>
      </c>
      <c r="G677" s="56" t="s">
        <v>7</v>
      </c>
      <c r="H677" s="26" t="s">
        <v>2</v>
      </c>
      <c r="I677" s="29">
        <v>29.5</v>
      </c>
      <c r="J677" s="35">
        <v>180</v>
      </c>
      <c r="K677" s="17">
        <f t="shared" ref="K677:K691" si="13">J677*I677</f>
        <v>5310</v>
      </c>
      <c r="L677" s="14"/>
    </row>
    <row r="678" spans="1:12" s="16" customFormat="1" ht="28.8">
      <c r="A678" s="26">
        <v>103</v>
      </c>
      <c r="B678" s="27" t="s">
        <v>29</v>
      </c>
      <c r="C678" s="28" t="s">
        <v>30</v>
      </c>
      <c r="D678" s="28" t="s">
        <v>31</v>
      </c>
      <c r="E678" s="19">
        <v>3</v>
      </c>
      <c r="F678" s="28" t="s">
        <v>149</v>
      </c>
      <c r="G678" s="56" t="s">
        <v>7</v>
      </c>
      <c r="H678" s="26" t="s">
        <v>2</v>
      </c>
      <c r="I678" s="29">
        <v>64</v>
      </c>
      <c r="J678" s="35">
        <v>180</v>
      </c>
      <c r="K678" s="17">
        <f t="shared" si="13"/>
        <v>11520</v>
      </c>
      <c r="L678" s="14"/>
    </row>
    <row r="679" spans="1:12" s="16" customFormat="1" ht="28.8">
      <c r="A679" s="26">
        <v>104</v>
      </c>
      <c r="B679" s="27" t="s">
        <v>29</v>
      </c>
      <c r="C679" s="28" t="s">
        <v>30</v>
      </c>
      <c r="D679" s="28" t="s">
        <v>31</v>
      </c>
      <c r="E679" s="19">
        <v>3</v>
      </c>
      <c r="F679" s="28" t="s">
        <v>150</v>
      </c>
      <c r="G679" s="56" t="s">
        <v>7</v>
      </c>
      <c r="H679" s="26" t="s">
        <v>2</v>
      </c>
      <c r="I679" s="29">
        <v>62</v>
      </c>
      <c r="J679" s="35">
        <v>180</v>
      </c>
      <c r="K679" s="17">
        <f t="shared" si="13"/>
        <v>11160</v>
      </c>
      <c r="L679" s="14"/>
    </row>
    <row r="680" spans="1:12" s="16" customFormat="1" ht="28.8">
      <c r="A680" s="26">
        <v>105</v>
      </c>
      <c r="B680" s="27" t="s">
        <v>29</v>
      </c>
      <c r="C680" s="28" t="s">
        <v>30</v>
      </c>
      <c r="D680" s="28" t="s">
        <v>31</v>
      </c>
      <c r="E680" s="19">
        <v>3</v>
      </c>
      <c r="F680" s="28" t="s">
        <v>153</v>
      </c>
      <c r="G680" s="56" t="s">
        <v>7</v>
      </c>
      <c r="H680" s="26" t="s">
        <v>2</v>
      </c>
      <c r="I680" s="29">
        <v>59</v>
      </c>
      <c r="J680" s="35">
        <v>180</v>
      </c>
      <c r="K680" s="17">
        <f t="shared" si="13"/>
        <v>10620</v>
      </c>
      <c r="L680" s="14"/>
    </row>
    <row r="681" spans="1:12" s="16" customFormat="1" ht="26.4">
      <c r="A681" s="26">
        <v>106</v>
      </c>
      <c r="B681" s="27" t="s">
        <v>29</v>
      </c>
      <c r="C681" s="28" t="s">
        <v>30</v>
      </c>
      <c r="D681" s="28" t="s">
        <v>31</v>
      </c>
      <c r="E681" s="19">
        <v>1</v>
      </c>
      <c r="F681" s="28" t="s">
        <v>55</v>
      </c>
      <c r="G681" s="28" t="s">
        <v>6</v>
      </c>
      <c r="H681" s="26" t="s">
        <v>2</v>
      </c>
      <c r="I681" s="29">
        <v>56</v>
      </c>
      <c r="J681" s="35">
        <v>1170</v>
      </c>
      <c r="K681" s="17">
        <f t="shared" si="13"/>
        <v>65520</v>
      </c>
      <c r="L681" s="14"/>
    </row>
    <row r="682" spans="1:12" s="16" customFormat="1" ht="26.4">
      <c r="A682" s="26">
        <v>107</v>
      </c>
      <c r="B682" s="27" t="s">
        <v>29</v>
      </c>
      <c r="C682" s="28" t="s">
        <v>30</v>
      </c>
      <c r="D682" s="28" t="s">
        <v>31</v>
      </c>
      <c r="E682" s="19">
        <v>1</v>
      </c>
      <c r="F682" s="28" t="s">
        <v>56</v>
      </c>
      <c r="G682" s="28" t="s">
        <v>6</v>
      </c>
      <c r="H682" s="26" t="s">
        <v>2</v>
      </c>
      <c r="I682" s="29">
        <v>53.6</v>
      </c>
      <c r="J682" s="35">
        <v>1170</v>
      </c>
      <c r="K682" s="17">
        <f t="shared" si="13"/>
        <v>62712</v>
      </c>
      <c r="L682" s="14"/>
    </row>
    <row r="683" spans="1:12" s="16" customFormat="1" ht="26.4">
      <c r="A683" s="26">
        <v>108</v>
      </c>
      <c r="B683" s="27" t="s">
        <v>29</v>
      </c>
      <c r="C683" s="28" t="s">
        <v>30</v>
      </c>
      <c r="D683" s="28" t="s">
        <v>31</v>
      </c>
      <c r="E683" s="19">
        <v>2</v>
      </c>
      <c r="F683" s="28" t="s">
        <v>112</v>
      </c>
      <c r="G683" s="28" t="s">
        <v>6</v>
      </c>
      <c r="H683" s="26" t="s">
        <v>2</v>
      </c>
      <c r="I683" s="29">
        <v>45.5</v>
      </c>
      <c r="J683" s="35">
        <v>1170</v>
      </c>
      <c r="K683" s="17">
        <f t="shared" si="13"/>
        <v>53235</v>
      </c>
      <c r="L683" s="14"/>
    </row>
    <row r="684" spans="1:12" s="16" customFormat="1" ht="26.4">
      <c r="A684" s="26">
        <v>109</v>
      </c>
      <c r="B684" s="27" t="s">
        <v>29</v>
      </c>
      <c r="C684" s="28" t="s">
        <v>30</v>
      </c>
      <c r="D684" s="28" t="s">
        <v>31</v>
      </c>
      <c r="E684" s="19">
        <v>3</v>
      </c>
      <c r="F684" s="28" t="s">
        <v>157</v>
      </c>
      <c r="G684" s="28" t="s">
        <v>6</v>
      </c>
      <c r="H684" s="26" t="s">
        <v>2</v>
      </c>
      <c r="I684" s="29">
        <v>58</v>
      </c>
      <c r="J684" s="35">
        <v>1170</v>
      </c>
      <c r="K684" s="17">
        <f t="shared" si="13"/>
        <v>67860</v>
      </c>
      <c r="L684" s="14"/>
    </row>
    <row r="685" spans="1:12" s="16" customFormat="1">
      <c r="A685" s="26">
        <v>110</v>
      </c>
      <c r="B685" s="27" t="s">
        <v>29</v>
      </c>
      <c r="C685" s="28" t="s">
        <v>30</v>
      </c>
      <c r="D685" s="28" t="s">
        <v>31</v>
      </c>
      <c r="E685" s="19">
        <v>1</v>
      </c>
      <c r="F685" s="28" t="s">
        <v>70</v>
      </c>
      <c r="G685" s="28" t="s">
        <v>200</v>
      </c>
      <c r="H685" s="26" t="s">
        <v>216</v>
      </c>
      <c r="I685" s="29">
        <v>10.5</v>
      </c>
      <c r="J685" s="35">
        <v>300</v>
      </c>
      <c r="K685" s="17">
        <f t="shared" si="13"/>
        <v>3150</v>
      </c>
      <c r="L685" s="14"/>
    </row>
    <row r="686" spans="1:12" s="16" customFormat="1">
      <c r="A686" s="26">
        <v>111</v>
      </c>
      <c r="B686" s="27" t="s">
        <v>29</v>
      </c>
      <c r="C686" s="28" t="s">
        <v>30</v>
      </c>
      <c r="D686" s="28" t="s">
        <v>31</v>
      </c>
      <c r="E686" s="19">
        <v>2</v>
      </c>
      <c r="F686" s="28" t="s">
        <v>120</v>
      </c>
      <c r="G686" s="28" t="s">
        <v>200</v>
      </c>
      <c r="H686" s="26" t="s">
        <v>216</v>
      </c>
      <c r="I686" s="29">
        <v>10.5</v>
      </c>
      <c r="J686" s="35">
        <v>300</v>
      </c>
      <c r="K686" s="17">
        <f t="shared" si="13"/>
        <v>3150</v>
      </c>
      <c r="L686" s="14"/>
    </row>
    <row r="687" spans="1:12" s="16" customFormat="1">
      <c r="A687" s="26">
        <v>112</v>
      </c>
      <c r="B687" s="27" t="s">
        <v>29</v>
      </c>
      <c r="C687" s="28" t="s">
        <v>30</v>
      </c>
      <c r="D687" s="28" t="s">
        <v>31</v>
      </c>
      <c r="E687" s="19">
        <v>2</v>
      </c>
      <c r="F687" s="28" t="s">
        <v>117</v>
      </c>
      <c r="G687" s="28" t="s">
        <v>200</v>
      </c>
      <c r="H687" s="26" t="s">
        <v>216</v>
      </c>
      <c r="I687" s="29">
        <v>9</v>
      </c>
      <c r="J687" s="35">
        <v>300</v>
      </c>
      <c r="K687" s="17">
        <f t="shared" si="13"/>
        <v>2700</v>
      </c>
      <c r="L687" s="14"/>
    </row>
    <row r="688" spans="1:12" s="16" customFormat="1">
      <c r="A688" s="26">
        <v>113</v>
      </c>
      <c r="B688" s="27" t="s">
        <v>29</v>
      </c>
      <c r="C688" s="28" t="s">
        <v>30</v>
      </c>
      <c r="D688" s="28" t="s">
        <v>31</v>
      </c>
      <c r="E688" s="19">
        <v>3</v>
      </c>
      <c r="F688" s="28" t="s">
        <v>159</v>
      </c>
      <c r="G688" s="28" t="s">
        <v>200</v>
      </c>
      <c r="H688" s="26" t="s">
        <v>216</v>
      </c>
      <c r="I688" s="29">
        <v>9</v>
      </c>
      <c r="J688" s="35"/>
      <c r="K688" s="17">
        <f t="shared" si="13"/>
        <v>0</v>
      </c>
      <c r="L688" s="14"/>
    </row>
    <row r="689" spans="1:12" s="16" customFormat="1">
      <c r="A689" s="26">
        <v>114</v>
      </c>
      <c r="B689" s="27" t="s">
        <v>29</v>
      </c>
      <c r="C689" s="28" t="s">
        <v>30</v>
      </c>
      <c r="D689" s="28" t="s">
        <v>31</v>
      </c>
      <c r="E689" s="19">
        <v>3</v>
      </c>
      <c r="F689" s="28" t="s">
        <v>149</v>
      </c>
      <c r="G689" s="28" t="s">
        <v>200</v>
      </c>
      <c r="H689" s="26" t="s">
        <v>216</v>
      </c>
      <c r="I689" s="29">
        <v>6.4</v>
      </c>
      <c r="J689" s="35"/>
      <c r="K689" s="17">
        <f t="shared" si="13"/>
        <v>0</v>
      </c>
      <c r="L689" s="14"/>
    </row>
    <row r="690" spans="1:12" s="16" customFormat="1">
      <c r="A690" s="26">
        <v>115</v>
      </c>
      <c r="B690" s="27" t="s">
        <v>29</v>
      </c>
      <c r="C690" s="28" t="s">
        <v>30</v>
      </c>
      <c r="D690" s="28"/>
      <c r="E690" s="19"/>
      <c r="F690" s="34" t="s">
        <v>212</v>
      </c>
      <c r="G690" s="38" t="s">
        <v>213</v>
      </c>
      <c r="H690" s="26" t="s">
        <v>187</v>
      </c>
      <c r="I690" s="29">
        <v>39</v>
      </c>
      <c r="J690" s="35">
        <v>450</v>
      </c>
      <c r="K690" s="17">
        <f t="shared" si="13"/>
        <v>17550</v>
      </c>
      <c r="L690" s="14"/>
    </row>
    <row r="691" spans="1:12" s="16" customFormat="1">
      <c r="A691" s="26">
        <v>116</v>
      </c>
      <c r="B691" s="27" t="s">
        <v>29</v>
      </c>
      <c r="C691" s="28" t="s">
        <v>30</v>
      </c>
      <c r="D691" s="28"/>
      <c r="E691" s="57"/>
      <c r="F691" s="34" t="s">
        <v>212</v>
      </c>
      <c r="G691" s="28" t="s">
        <v>4</v>
      </c>
      <c r="H691" s="26" t="s">
        <v>204</v>
      </c>
      <c r="I691" s="58">
        <v>392</v>
      </c>
      <c r="J691" s="35">
        <v>50</v>
      </c>
      <c r="K691" s="17">
        <f t="shared" si="13"/>
        <v>19600</v>
      </c>
      <c r="L691" s="14"/>
    </row>
    <row r="692" spans="1:12" s="20" customFormat="1" ht="50.4" customHeight="1">
      <c r="A692" s="62" t="s">
        <v>32</v>
      </c>
      <c r="B692" s="90"/>
      <c r="C692" s="91"/>
      <c r="D692" s="91"/>
      <c r="E692" s="91"/>
      <c r="F692" s="91"/>
      <c r="G692" s="91"/>
      <c r="H692" s="91"/>
      <c r="I692" s="91"/>
      <c r="J692" s="92"/>
      <c r="K692" s="18">
        <f>SUM(K577:K691)</f>
        <v>1372784.7</v>
      </c>
      <c r="L692" s="30"/>
    </row>
    <row r="697" spans="1:12" s="20" customFormat="1" ht="15" thickBot="1">
      <c r="A697"/>
      <c r="B697" s="24" t="s">
        <v>16</v>
      </c>
      <c r="C697" s="84" t="s">
        <v>207</v>
      </c>
      <c r="D697" s="84"/>
      <c r="E697" s="84"/>
      <c r="F697" s="84"/>
      <c r="G697" s="23"/>
      <c r="H697" s="81"/>
      <c r="I697" s="81"/>
      <c r="J697" s="23"/>
      <c r="K697" s="22"/>
      <c r="L697" s="22"/>
    </row>
    <row r="698" spans="1:12" s="20" customFormat="1">
      <c r="A698" s="23"/>
      <c r="B698" s="23"/>
      <c r="C698" s="86" t="s">
        <v>39</v>
      </c>
      <c r="D698" s="86"/>
      <c r="E698" s="86"/>
      <c r="F698" s="86"/>
      <c r="G698" s="23"/>
      <c r="H698" s="87">
        <v>45667</v>
      </c>
      <c r="I698" s="86"/>
      <c r="J698" s="23"/>
      <c r="K698" s="22"/>
      <c r="L698" s="22"/>
    </row>
    <row r="699" spans="1:12" s="20" customFormat="1" ht="15" thickBot="1">
      <c r="A699" s="23"/>
      <c r="B699" s="25" t="s">
        <v>41</v>
      </c>
      <c r="C699" s="84" t="s">
        <v>215</v>
      </c>
      <c r="D699" s="84"/>
      <c r="E699" s="84"/>
      <c r="F699" s="84"/>
      <c r="G699" s="23"/>
      <c r="H699" s="81"/>
      <c r="I699" s="81"/>
      <c r="J699" s="23"/>
      <c r="K699" s="22"/>
      <c r="L699" s="22"/>
    </row>
    <row r="700" spans="1:12" s="20" customFormat="1">
      <c r="A700" s="23"/>
      <c r="B700" s="23"/>
      <c r="C700" s="86" t="s">
        <v>39</v>
      </c>
      <c r="D700" s="86"/>
      <c r="E700" s="86"/>
      <c r="F700" s="86"/>
      <c r="G700" s="23"/>
      <c r="H700" s="87">
        <v>45667</v>
      </c>
      <c r="I700" s="86"/>
      <c r="J700" s="23"/>
      <c r="K700" s="22"/>
      <c r="L700" s="22"/>
    </row>
    <row r="701" spans="1:12" s="20" customFormat="1">
      <c r="A701" s="23"/>
      <c r="B701" s="23"/>
      <c r="C701" s="23"/>
      <c r="D701" s="23"/>
      <c r="E701" s="23"/>
      <c r="F701" s="23"/>
      <c r="G701" s="23"/>
      <c r="H701" s="88"/>
      <c r="I701" s="88"/>
      <c r="J701" s="23"/>
    </row>
    <row r="702" spans="1:12" s="20" customFormat="1" ht="15" thickBot="1">
      <c r="A702" s="23"/>
      <c r="B702" s="25" t="s">
        <v>208</v>
      </c>
      <c r="C702" s="84" t="s">
        <v>209</v>
      </c>
      <c r="D702" s="84"/>
      <c r="E702" s="84"/>
      <c r="F702" s="84"/>
      <c r="G702" s="23"/>
      <c r="H702" s="81"/>
      <c r="I702" s="81"/>
      <c r="J702" s="23"/>
    </row>
    <row r="703" spans="1:12" s="20" customFormat="1">
      <c r="A703" s="23"/>
      <c r="B703" s="23"/>
      <c r="C703" s="86" t="s">
        <v>39</v>
      </c>
      <c r="D703" s="86"/>
      <c r="E703" s="86"/>
      <c r="F703" s="86"/>
      <c r="G703" s="23"/>
      <c r="H703" s="87">
        <v>45667</v>
      </c>
      <c r="I703" s="86"/>
      <c r="J703" s="23"/>
    </row>
    <row r="704" spans="1:12" s="20" customForma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</row>
    <row r="705" spans="1:12" s="20" customFormat="1" ht="15" thickBot="1">
      <c r="A705" s="23"/>
      <c r="B705" s="25" t="s">
        <v>42</v>
      </c>
      <c r="C705" s="81"/>
      <c r="D705" s="81"/>
      <c r="E705" s="81"/>
      <c r="F705" s="81"/>
      <c r="G705" s="23"/>
      <c r="H705" s="81"/>
      <c r="I705" s="81"/>
      <c r="J705" s="23"/>
    </row>
    <row r="706" spans="1:12" s="20" customFormat="1">
      <c r="A706" s="23"/>
      <c r="B706" s="23"/>
      <c r="C706" s="86" t="s">
        <v>39</v>
      </c>
      <c r="D706" s="86"/>
      <c r="E706" s="86"/>
      <c r="F706" s="86"/>
      <c r="G706" s="23"/>
      <c r="H706" s="86" t="s">
        <v>40</v>
      </c>
      <c r="I706" s="86"/>
      <c r="J706" s="23"/>
    </row>
    <row r="707" spans="1:12" s="20" customForma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</row>
    <row r="708" spans="1:12" s="20" customFormat="1" ht="15" thickBot="1">
      <c r="A708" s="23"/>
      <c r="B708" s="24" t="s">
        <v>43</v>
      </c>
      <c r="C708" s="81"/>
      <c r="D708" s="81"/>
      <c r="E708" s="81"/>
      <c r="F708" s="81"/>
      <c r="G708" s="23"/>
      <c r="H708" s="81"/>
      <c r="I708" s="81"/>
      <c r="J708" s="23"/>
    </row>
    <row r="709" spans="1:12" s="20" customFormat="1">
      <c r="A709" s="23"/>
      <c r="B709" s="23"/>
      <c r="C709" s="86" t="s">
        <v>39</v>
      </c>
      <c r="D709" s="86"/>
      <c r="E709" s="86"/>
      <c r="F709" s="86"/>
      <c r="G709" s="23"/>
      <c r="H709" s="86" t="s">
        <v>40</v>
      </c>
      <c r="I709" s="86"/>
      <c r="J709" s="23"/>
    </row>
    <row r="710" spans="1:12" s="20" customFormat="1">
      <c r="A710" s="23"/>
      <c r="B710" s="21"/>
      <c r="C710" s="21"/>
      <c r="D710" s="21"/>
      <c r="E710" s="21"/>
      <c r="F710" s="21"/>
      <c r="G710" s="21"/>
      <c r="H710" s="21"/>
      <c r="I710" s="21"/>
      <c r="J710" s="21"/>
    </row>
    <row r="711" spans="1:12" s="20" customFormat="1">
      <c r="A711" s="21"/>
      <c r="B711" s="22"/>
      <c r="C711" s="22"/>
      <c r="D711" s="22"/>
      <c r="E711" s="22"/>
      <c r="F711" s="22"/>
      <c r="G711" s="22"/>
      <c r="H711" s="22"/>
      <c r="I711" s="22"/>
      <c r="J711" s="22"/>
    </row>
    <row r="712" spans="1:12">
      <c r="A712" s="22"/>
    </row>
    <row r="717" spans="1:12" s="20" customFormat="1" ht="36" customHeight="1">
      <c r="A717"/>
      <c r="B717" s="40"/>
      <c r="C717" s="41" t="s">
        <v>11</v>
      </c>
      <c r="D717" s="41">
        <v>7</v>
      </c>
      <c r="E717" s="40"/>
      <c r="F717" s="40"/>
      <c r="G717" s="42" t="s">
        <v>12</v>
      </c>
      <c r="H717" s="41" t="s">
        <v>13</v>
      </c>
      <c r="I717" s="43" t="s">
        <v>217</v>
      </c>
      <c r="J717" s="40"/>
      <c r="K717" s="40"/>
      <c r="L717" s="40"/>
    </row>
    <row r="718" spans="1:12" s="20" customFormat="1">
      <c r="A718" s="40"/>
      <c r="B718" s="40"/>
      <c r="C718" s="44"/>
      <c r="D718" s="40"/>
      <c r="E718" s="40"/>
      <c r="F718" s="40"/>
      <c r="G718" s="40"/>
      <c r="H718" s="41" t="s">
        <v>14</v>
      </c>
      <c r="I718" s="43">
        <v>46047</v>
      </c>
      <c r="J718" s="40"/>
      <c r="K718" s="40"/>
      <c r="L718" s="40"/>
    </row>
    <row r="719" spans="1:12" s="20" customForma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</row>
    <row r="720" spans="1:12" s="20" customFormat="1" ht="27.6">
      <c r="A720" s="40"/>
      <c r="B720" s="40"/>
      <c r="C720" s="41" t="s">
        <v>15</v>
      </c>
      <c r="D720" s="85" t="s">
        <v>145</v>
      </c>
      <c r="E720" s="85"/>
      <c r="F720" s="85"/>
      <c r="G720" s="40"/>
      <c r="H720" s="40"/>
      <c r="I720" s="40"/>
      <c r="J720" s="40"/>
      <c r="K720" s="40"/>
      <c r="L720" s="40"/>
    </row>
    <row r="721" spans="1:12" s="20" customForma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</row>
    <row r="722" spans="1:12" s="20" customFormat="1">
      <c r="A722" s="40"/>
      <c r="B722" s="40"/>
      <c r="C722" s="41" t="s">
        <v>16</v>
      </c>
      <c r="D722" s="85" t="s">
        <v>146</v>
      </c>
      <c r="E722" s="85"/>
      <c r="F722" s="85"/>
      <c r="G722" s="40"/>
      <c r="H722" s="40"/>
      <c r="I722" s="40"/>
      <c r="J722" s="40"/>
      <c r="K722" s="40"/>
      <c r="L722" s="40"/>
    </row>
    <row r="723" spans="1:12" s="20" customForma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</row>
    <row r="724" spans="1:12" s="20" customFormat="1">
      <c r="A724" s="40"/>
      <c r="B724" s="40"/>
      <c r="C724" s="41" t="s">
        <v>17</v>
      </c>
      <c r="D724" s="85" t="s">
        <v>18</v>
      </c>
      <c r="E724" s="85"/>
      <c r="F724" s="85"/>
      <c r="G724" s="40"/>
      <c r="H724" s="40"/>
      <c r="I724" s="40"/>
      <c r="J724" s="40"/>
      <c r="K724" s="40"/>
      <c r="L724" s="40"/>
    </row>
    <row r="725" spans="1:12" s="20" customFormat="1">
      <c r="A725" s="40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</row>
    <row r="726" spans="1:12" s="20" customForma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</row>
    <row r="727" spans="1:12" s="20" customFormat="1" ht="26.4">
      <c r="A727" s="45"/>
      <c r="B727" s="9" t="s">
        <v>20</v>
      </c>
      <c r="C727" s="9" t="s">
        <v>21</v>
      </c>
      <c r="D727" s="9" t="s">
        <v>21</v>
      </c>
      <c r="E727" s="9" t="s">
        <v>22</v>
      </c>
      <c r="F727" s="9" t="s">
        <v>23</v>
      </c>
      <c r="G727" s="9" t="s">
        <v>0</v>
      </c>
      <c r="H727" s="9" t="s">
        <v>24</v>
      </c>
      <c r="I727" s="9" t="s">
        <v>25</v>
      </c>
      <c r="J727" s="9" t="s">
        <v>26</v>
      </c>
      <c r="K727" s="9" t="s">
        <v>27</v>
      </c>
      <c r="L727" s="9" t="s">
        <v>28</v>
      </c>
    </row>
    <row r="728" spans="1:12" s="20" customFormat="1" ht="66">
      <c r="A728" s="9" t="s">
        <v>19</v>
      </c>
      <c r="B728" s="27" t="s">
        <v>29</v>
      </c>
      <c r="C728" s="28" t="s">
        <v>30</v>
      </c>
      <c r="D728" s="28" t="s">
        <v>31</v>
      </c>
      <c r="E728" s="19">
        <v>1</v>
      </c>
      <c r="F728" s="28" t="s">
        <v>133</v>
      </c>
      <c r="G728" s="28" t="s">
        <v>197</v>
      </c>
      <c r="H728" s="26" t="s">
        <v>2</v>
      </c>
      <c r="I728" s="29">
        <v>34</v>
      </c>
      <c r="J728" s="35">
        <v>195</v>
      </c>
      <c r="K728" s="17">
        <f>J728*I728</f>
        <v>6630</v>
      </c>
      <c r="L728" s="14"/>
    </row>
    <row r="729" spans="1:12" s="20" customFormat="1" ht="26.4">
      <c r="A729" s="26">
        <v>1</v>
      </c>
      <c r="B729" s="27" t="s">
        <v>29</v>
      </c>
      <c r="C729" s="28" t="s">
        <v>30</v>
      </c>
      <c r="D729" s="28" t="s">
        <v>31</v>
      </c>
      <c r="E729" s="19">
        <v>1</v>
      </c>
      <c r="F729" s="28" t="s">
        <v>62</v>
      </c>
      <c r="G729" s="28" t="s">
        <v>197</v>
      </c>
      <c r="H729" s="59" t="s">
        <v>2</v>
      </c>
      <c r="I729" s="29">
        <v>49</v>
      </c>
      <c r="J729" s="35">
        <v>195</v>
      </c>
      <c r="K729" s="17">
        <f>J729*I729</f>
        <v>9555</v>
      </c>
      <c r="L729" s="14"/>
    </row>
    <row r="730" spans="1:12" s="20" customFormat="1" ht="26.4">
      <c r="A730" s="26">
        <v>2</v>
      </c>
      <c r="B730" s="27" t="s">
        <v>29</v>
      </c>
      <c r="C730" s="28" t="s">
        <v>30</v>
      </c>
      <c r="D730" s="28" t="s">
        <v>31</v>
      </c>
      <c r="E730" s="19">
        <v>1</v>
      </c>
      <c r="F730" s="28" t="s">
        <v>51</v>
      </c>
      <c r="G730" s="28" t="s">
        <v>197</v>
      </c>
      <c r="H730" s="26" t="s">
        <v>2</v>
      </c>
      <c r="I730" s="29">
        <v>101</v>
      </c>
      <c r="J730" s="35">
        <v>195</v>
      </c>
      <c r="K730" s="17">
        <f>J730*I730</f>
        <v>19695</v>
      </c>
      <c r="L730" s="14"/>
    </row>
    <row r="731" spans="1:12" s="20" customFormat="1" ht="26.4">
      <c r="A731" s="26">
        <v>3</v>
      </c>
      <c r="B731" s="27" t="s">
        <v>29</v>
      </c>
      <c r="C731" s="28" t="s">
        <v>30</v>
      </c>
      <c r="D731" s="28" t="s">
        <v>31</v>
      </c>
      <c r="E731" s="19">
        <v>1</v>
      </c>
      <c r="F731" s="28" t="s">
        <v>60</v>
      </c>
      <c r="G731" s="28" t="s">
        <v>197</v>
      </c>
      <c r="H731" s="26" t="s">
        <v>2</v>
      </c>
      <c r="I731" s="29">
        <v>30</v>
      </c>
      <c r="J731" s="35">
        <v>195</v>
      </c>
      <c r="K731" s="17">
        <f>J731*I731</f>
        <v>5850</v>
      </c>
      <c r="L731" s="14"/>
    </row>
    <row r="732" spans="1:12" s="20" customFormat="1" ht="26.4">
      <c r="A732" s="26">
        <v>4</v>
      </c>
      <c r="B732" s="27" t="s">
        <v>29</v>
      </c>
      <c r="C732" s="28" t="s">
        <v>30</v>
      </c>
      <c r="D732" s="28" t="s">
        <v>31</v>
      </c>
      <c r="E732" s="19">
        <v>1</v>
      </c>
      <c r="F732" s="28" t="s">
        <v>50</v>
      </c>
      <c r="G732" s="28" t="s">
        <v>197</v>
      </c>
      <c r="H732" s="26" t="s">
        <v>2</v>
      </c>
      <c r="I732" s="29">
        <v>102</v>
      </c>
      <c r="J732" s="35">
        <v>195</v>
      </c>
      <c r="K732" s="17">
        <f>J732*I732</f>
        <v>19890</v>
      </c>
      <c r="L732" s="14"/>
    </row>
    <row r="733" spans="1:12" s="20" customFormat="1" ht="26.4">
      <c r="A733" s="26">
        <v>5</v>
      </c>
      <c r="B733" s="27" t="s">
        <v>29</v>
      </c>
      <c r="C733" s="28" t="s">
        <v>30</v>
      </c>
      <c r="D733" s="28" t="s">
        <v>31</v>
      </c>
      <c r="E733" s="19">
        <v>1</v>
      </c>
      <c r="F733" s="28" t="s">
        <v>52</v>
      </c>
      <c r="G733" s="28" t="s">
        <v>197</v>
      </c>
      <c r="H733" s="26" t="s">
        <v>2</v>
      </c>
      <c r="I733" s="29">
        <v>55</v>
      </c>
      <c r="J733" s="35">
        <v>195</v>
      </c>
      <c r="K733" s="17">
        <f t="shared" ref="K733:K796" si="14">J733*I733</f>
        <v>10725</v>
      </c>
      <c r="L733" s="14"/>
    </row>
    <row r="734" spans="1:12" s="20" customFormat="1" ht="26.4">
      <c r="A734" s="26">
        <v>6</v>
      </c>
      <c r="B734" s="27" t="s">
        <v>29</v>
      </c>
      <c r="C734" s="28" t="s">
        <v>30</v>
      </c>
      <c r="D734" s="28" t="s">
        <v>31</v>
      </c>
      <c r="E734" s="19">
        <v>2</v>
      </c>
      <c r="F734" s="28" t="s">
        <v>109</v>
      </c>
      <c r="G734" s="28" t="s">
        <v>197</v>
      </c>
      <c r="H734" s="26" t="s">
        <v>2</v>
      </c>
      <c r="I734" s="29">
        <v>51</v>
      </c>
      <c r="J734" s="35">
        <v>195</v>
      </c>
      <c r="K734" s="17">
        <f t="shared" si="14"/>
        <v>9945</v>
      </c>
      <c r="L734" s="14"/>
    </row>
    <row r="735" spans="1:12" s="20" customFormat="1" ht="26.4">
      <c r="A735" s="26">
        <v>7</v>
      </c>
      <c r="B735" s="27" t="s">
        <v>29</v>
      </c>
      <c r="C735" s="28" t="s">
        <v>30</v>
      </c>
      <c r="D735" s="28" t="s">
        <v>31</v>
      </c>
      <c r="E735" s="19">
        <v>2</v>
      </c>
      <c r="F735" s="28" t="s">
        <v>104</v>
      </c>
      <c r="G735" s="28" t="s">
        <v>197</v>
      </c>
      <c r="H735" s="26" t="s">
        <v>2</v>
      </c>
      <c r="I735" s="29">
        <v>25</v>
      </c>
      <c r="J735" s="35">
        <v>195</v>
      </c>
      <c r="K735" s="17">
        <f t="shared" si="14"/>
        <v>4875</v>
      </c>
      <c r="L735" s="14"/>
    </row>
    <row r="736" spans="1:12" s="20" customFormat="1" ht="26.4">
      <c r="A736" s="26">
        <v>8</v>
      </c>
      <c r="B736" s="27" t="s">
        <v>29</v>
      </c>
      <c r="C736" s="28" t="s">
        <v>30</v>
      </c>
      <c r="D736" s="28" t="s">
        <v>31</v>
      </c>
      <c r="E736" s="19">
        <v>2</v>
      </c>
      <c r="F736" s="28" t="s">
        <v>103</v>
      </c>
      <c r="G736" s="28" t="s">
        <v>197</v>
      </c>
      <c r="H736" s="26" t="s">
        <v>2</v>
      </c>
      <c r="I736" s="29">
        <v>30.5</v>
      </c>
      <c r="J736" s="35">
        <v>195</v>
      </c>
      <c r="K736" s="17">
        <f t="shared" si="14"/>
        <v>5947.5</v>
      </c>
      <c r="L736" s="14"/>
    </row>
    <row r="737" spans="1:12" s="20" customFormat="1" ht="26.4">
      <c r="A737" s="26">
        <v>9</v>
      </c>
      <c r="B737" s="27" t="s">
        <v>29</v>
      </c>
      <c r="C737" s="28" t="s">
        <v>30</v>
      </c>
      <c r="D737" s="28" t="s">
        <v>31</v>
      </c>
      <c r="E737" s="19">
        <v>2</v>
      </c>
      <c r="F737" s="28" t="s">
        <v>101</v>
      </c>
      <c r="G737" s="28" t="s">
        <v>197</v>
      </c>
      <c r="H737" s="26" t="s">
        <v>2</v>
      </c>
      <c r="I737" s="29">
        <v>29.5</v>
      </c>
      <c r="J737" s="35">
        <v>195</v>
      </c>
      <c r="K737" s="17">
        <f t="shared" si="14"/>
        <v>5752.5</v>
      </c>
      <c r="L737" s="14"/>
    </row>
    <row r="738" spans="1:12" s="20" customFormat="1" ht="26.4">
      <c r="A738" s="26">
        <v>10</v>
      </c>
      <c r="B738" s="27" t="s">
        <v>29</v>
      </c>
      <c r="C738" s="28" t="s">
        <v>30</v>
      </c>
      <c r="D738" s="28" t="s">
        <v>31</v>
      </c>
      <c r="E738" s="19">
        <v>2</v>
      </c>
      <c r="F738" s="28" t="s">
        <v>96</v>
      </c>
      <c r="G738" s="28" t="s">
        <v>197</v>
      </c>
      <c r="H738" s="26" t="s">
        <v>2</v>
      </c>
      <c r="I738" s="29">
        <v>12</v>
      </c>
      <c r="J738" s="35">
        <v>195</v>
      </c>
      <c r="K738" s="17">
        <f t="shared" si="14"/>
        <v>2340</v>
      </c>
      <c r="L738" s="14"/>
    </row>
    <row r="739" spans="1:12" s="20" customFormat="1" ht="26.4">
      <c r="A739" s="26">
        <v>11</v>
      </c>
      <c r="B739" s="27" t="s">
        <v>29</v>
      </c>
      <c r="C739" s="28" t="s">
        <v>30</v>
      </c>
      <c r="D739" s="28" t="s">
        <v>31</v>
      </c>
      <c r="E739" s="19">
        <v>2</v>
      </c>
      <c r="F739" s="28" t="s">
        <v>108</v>
      </c>
      <c r="G739" s="28" t="s">
        <v>197</v>
      </c>
      <c r="H739" s="26" t="s">
        <v>2</v>
      </c>
      <c r="I739" s="29">
        <v>76.5</v>
      </c>
      <c r="J739" s="35">
        <v>195</v>
      </c>
      <c r="K739" s="17">
        <f t="shared" si="14"/>
        <v>14917.5</v>
      </c>
      <c r="L739" s="14"/>
    </row>
    <row r="740" spans="1:12" s="20" customFormat="1" ht="26.4">
      <c r="A740" s="26">
        <v>12</v>
      </c>
      <c r="B740" s="27" t="s">
        <v>29</v>
      </c>
      <c r="C740" s="28" t="s">
        <v>30</v>
      </c>
      <c r="D740" s="28" t="s">
        <v>31</v>
      </c>
      <c r="E740" s="19">
        <v>3</v>
      </c>
      <c r="F740" s="28" t="s">
        <v>182</v>
      </c>
      <c r="G740" s="28" t="s">
        <v>197</v>
      </c>
      <c r="H740" s="26" t="s">
        <v>2</v>
      </c>
      <c r="I740" s="29">
        <v>276.5</v>
      </c>
      <c r="J740" s="35">
        <v>195</v>
      </c>
      <c r="K740" s="17">
        <f t="shared" si="14"/>
        <v>53917.5</v>
      </c>
      <c r="L740" s="14"/>
    </row>
    <row r="741" spans="1:12" s="20" customFormat="1" ht="27.6">
      <c r="A741" s="26">
        <v>13</v>
      </c>
      <c r="B741" s="27" t="s">
        <v>29</v>
      </c>
      <c r="C741" s="28" t="s">
        <v>30</v>
      </c>
      <c r="D741" s="28" t="s">
        <v>31</v>
      </c>
      <c r="E741" s="19">
        <v>3</v>
      </c>
      <c r="F741" s="28" t="s">
        <v>181</v>
      </c>
      <c r="G741" s="28" t="s">
        <v>197</v>
      </c>
      <c r="H741" s="26" t="s">
        <v>2</v>
      </c>
      <c r="I741" s="29">
        <v>198</v>
      </c>
      <c r="J741" s="35">
        <v>195</v>
      </c>
      <c r="K741" s="17">
        <f t="shared" si="14"/>
        <v>38610</v>
      </c>
      <c r="L741" s="14" t="s">
        <v>218</v>
      </c>
    </row>
    <row r="742" spans="1:12" s="20" customFormat="1" ht="26.4">
      <c r="A742" s="26">
        <v>14</v>
      </c>
      <c r="B742" s="27" t="s">
        <v>29</v>
      </c>
      <c r="C742" s="28" t="s">
        <v>30</v>
      </c>
      <c r="D742" s="28" t="s">
        <v>31</v>
      </c>
      <c r="E742" s="19">
        <v>3</v>
      </c>
      <c r="F742" s="28" t="s">
        <v>154</v>
      </c>
      <c r="G742" s="28" t="s">
        <v>197</v>
      </c>
      <c r="H742" s="26" t="s">
        <v>2</v>
      </c>
      <c r="I742" s="29">
        <v>34</v>
      </c>
      <c r="J742" s="35">
        <v>195</v>
      </c>
      <c r="K742" s="17">
        <f t="shared" si="14"/>
        <v>6630</v>
      </c>
      <c r="L742" s="14"/>
    </row>
    <row r="743" spans="1:12" s="20" customFormat="1" ht="26.4">
      <c r="A743" s="26">
        <v>15</v>
      </c>
      <c r="B743" s="27" t="s">
        <v>29</v>
      </c>
      <c r="C743" s="28" t="s">
        <v>30</v>
      </c>
      <c r="D743" s="28" t="s">
        <v>31</v>
      </c>
      <c r="E743" s="19">
        <v>3</v>
      </c>
      <c r="F743" s="28" t="s">
        <v>152</v>
      </c>
      <c r="G743" s="28" t="s">
        <v>197</v>
      </c>
      <c r="H743" s="26" t="s">
        <v>2</v>
      </c>
      <c r="I743" s="29">
        <v>101</v>
      </c>
      <c r="J743" s="35">
        <v>195</v>
      </c>
      <c r="K743" s="17">
        <f>J747*I743</f>
        <v>19695</v>
      </c>
      <c r="L743" s="14"/>
    </row>
    <row r="744" spans="1:12" s="20" customFormat="1" ht="27.6">
      <c r="A744" s="26">
        <v>16</v>
      </c>
      <c r="B744" s="27" t="s">
        <v>29</v>
      </c>
      <c r="C744" s="28" t="s">
        <v>30</v>
      </c>
      <c r="D744" s="28" t="s">
        <v>31</v>
      </c>
      <c r="E744" s="19">
        <v>1</v>
      </c>
      <c r="F744" s="28" t="s">
        <v>93</v>
      </c>
      <c r="G744" s="28" t="s">
        <v>197</v>
      </c>
      <c r="H744" s="26" t="s">
        <v>2</v>
      </c>
      <c r="I744" s="29">
        <v>223</v>
      </c>
      <c r="J744" s="35">
        <v>195</v>
      </c>
      <c r="K744" s="17">
        <f t="shared" si="14"/>
        <v>43485</v>
      </c>
      <c r="L744" s="14" t="s">
        <v>219</v>
      </c>
    </row>
    <row r="745" spans="1:12" s="20" customFormat="1" ht="27.6">
      <c r="A745" s="26">
        <v>17</v>
      </c>
      <c r="B745" s="27" t="s">
        <v>29</v>
      </c>
      <c r="C745" s="28" t="s">
        <v>30</v>
      </c>
      <c r="D745" s="28" t="s">
        <v>31</v>
      </c>
      <c r="E745" s="19">
        <v>2</v>
      </c>
      <c r="F745" s="28" t="s">
        <v>140</v>
      </c>
      <c r="G745" s="28" t="s">
        <v>197</v>
      </c>
      <c r="H745" s="26" t="s">
        <v>220</v>
      </c>
      <c r="I745" s="29">
        <v>296</v>
      </c>
      <c r="J745" s="35">
        <v>195</v>
      </c>
      <c r="K745" s="17">
        <f t="shared" si="14"/>
        <v>57720</v>
      </c>
      <c r="L745" s="14" t="s">
        <v>221</v>
      </c>
    </row>
    <row r="746" spans="1:12" s="20" customFormat="1" ht="26.4">
      <c r="A746" s="26">
        <v>18</v>
      </c>
      <c r="B746" s="27" t="s">
        <v>29</v>
      </c>
      <c r="C746" s="28" t="s">
        <v>30</v>
      </c>
      <c r="D746" s="28" t="s">
        <v>31</v>
      </c>
      <c r="E746" s="19">
        <v>3</v>
      </c>
      <c r="F746" s="28" t="s">
        <v>156</v>
      </c>
      <c r="G746" s="28" t="s">
        <v>197</v>
      </c>
      <c r="H746" s="26" t="s">
        <v>2</v>
      </c>
      <c r="I746" s="29">
        <v>85</v>
      </c>
      <c r="J746" s="35">
        <v>195</v>
      </c>
      <c r="K746" s="17">
        <f t="shared" si="14"/>
        <v>16575</v>
      </c>
      <c r="L746" s="15"/>
    </row>
    <row r="747" spans="1:12" s="20" customFormat="1" ht="66">
      <c r="A747" s="26">
        <v>19</v>
      </c>
      <c r="B747" s="27" t="s">
        <v>29</v>
      </c>
      <c r="C747" s="28" t="s">
        <v>30</v>
      </c>
      <c r="D747" s="28" t="s">
        <v>31</v>
      </c>
      <c r="E747" s="19">
        <v>1</v>
      </c>
      <c r="F747" s="28" t="s">
        <v>133</v>
      </c>
      <c r="G747" s="28" t="s">
        <v>198</v>
      </c>
      <c r="H747" s="26" t="s">
        <v>220</v>
      </c>
      <c r="I747" s="29">
        <v>24</v>
      </c>
      <c r="J747" s="35">
        <v>195</v>
      </c>
      <c r="K747" s="17">
        <v>0</v>
      </c>
      <c r="L747" s="14"/>
    </row>
    <row r="748" spans="1:12" s="20" customFormat="1" ht="26.4">
      <c r="A748" s="26">
        <v>20</v>
      </c>
      <c r="B748" s="27" t="s">
        <v>29</v>
      </c>
      <c r="C748" s="28" t="s">
        <v>30</v>
      </c>
      <c r="D748" s="28" t="s">
        <v>31</v>
      </c>
      <c r="E748" s="19">
        <v>1</v>
      </c>
      <c r="F748" s="28" t="s">
        <v>62</v>
      </c>
      <c r="G748" s="28" t="s">
        <v>198</v>
      </c>
      <c r="H748" s="26" t="s">
        <v>2</v>
      </c>
      <c r="I748" s="29">
        <v>49</v>
      </c>
      <c r="J748" s="35">
        <v>195</v>
      </c>
      <c r="K748" s="17">
        <f t="shared" si="14"/>
        <v>9555</v>
      </c>
      <c r="L748" s="14"/>
    </row>
    <row r="749" spans="1:12" s="20" customFormat="1" ht="26.4">
      <c r="A749" s="26">
        <v>21</v>
      </c>
      <c r="B749" s="27" t="s">
        <v>29</v>
      </c>
      <c r="C749" s="28" t="s">
        <v>30</v>
      </c>
      <c r="D749" s="28" t="s">
        <v>31</v>
      </c>
      <c r="E749" s="19">
        <v>1</v>
      </c>
      <c r="F749" s="28" t="s">
        <v>71</v>
      </c>
      <c r="G749" s="28" t="s">
        <v>198</v>
      </c>
      <c r="H749" s="26" t="s">
        <v>2</v>
      </c>
      <c r="I749" s="29">
        <v>33.5</v>
      </c>
      <c r="J749" s="35">
        <v>195</v>
      </c>
      <c r="K749" s="17">
        <f t="shared" si="14"/>
        <v>6532.5</v>
      </c>
      <c r="L749" s="14"/>
    </row>
    <row r="750" spans="1:12" s="20" customFormat="1" ht="26.4">
      <c r="A750" s="26">
        <v>22</v>
      </c>
      <c r="B750" s="27" t="s">
        <v>29</v>
      </c>
      <c r="C750" s="28" t="s">
        <v>30</v>
      </c>
      <c r="D750" s="28" t="s">
        <v>31</v>
      </c>
      <c r="E750" s="19">
        <v>1</v>
      </c>
      <c r="F750" s="28" t="s">
        <v>60</v>
      </c>
      <c r="G750" s="28" t="s">
        <v>198</v>
      </c>
      <c r="H750" s="26" t="s">
        <v>2</v>
      </c>
      <c r="I750" s="29">
        <v>30</v>
      </c>
      <c r="J750" s="35">
        <v>195</v>
      </c>
      <c r="K750" s="17">
        <v>0</v>
      </c>
      <c r="L750" s="14"/>
    </row>
    <row r="751" spans="1:12" s="20" customFormat="1" ht="26.4">
      <c r="A751" s="26">
        <v>23</v>
      </c>
      <c r="B751" s="27" t="s">
        <v>29</v>
      </c>
      <c r="C751" s="28" t="s">
        <v>30</v>
      </c>
      <c r="D751" s="28" t="s">
        <v>31</v>
      </c>
      <c r="E751" s="19">
        <v>1</v>
      </c>
      <c r="F751" s="28" t="s">
        <v>50</v>
      </c>
      <c r="G751" s="28" t="s">
        <v>198</v>
      </c>
      <c r="H751" s="26" t="s">
        <v>2</v>
      </c>
      <c r="I751" s="29">
        <v>102</v>
      </c>
      <c r="J751" s="35">
        <v>195</v>
      </c>
      <c r="K751" s="17">
        <f t="shared" si="14"/>
        <v>19890</v>
      </c>
      <c r="L751" s="14"/>
    </row>
    <row r="752" spans="1:12" s="20" customFormat="1" ht="26.4">
      <c r="A752" s="26">
        <v>24</v>
      </c>
      <c r="B752" s="27" t="s">
        <v>29</v>
      </c>
      <c r="C752" s="28" t="s">
        <v>30</v>
      </c>
      <c r="D752" s="28" t="s">
        <v>31</v>
      </c>
      <c r="E752" s="19">
        <v>1</v>
      </c>
      <c r="F752" s="28" t="s">
        <v>93</v>
      </c>
      <c r="G752" s="28" t="s">
        <v>198</v>
      </c>
      <c r="H752" s="26" t="s">
        <v>2</v>
      </c>
      <c r="I752" s="29">
        <v>9.6999999999999993</v>
      </c>
      <c r="J752" s="35">
        <v>195</v>
      </c>
      <c r="K752" s="17">
        <f t="shared" si="14"/>
        <v>1891.4999999999998</v>
      </c>
      <c r="L752" s="14"/>
    </row>
    <row r="753" spans="1:12" s="20" customFormat="1" ht="36" customHeight="1">
      <c r="A753" s="26">
        <v>25</v>
      </c>
      <c r="B753" s="27" t="s">
        <v>29</v>
      </c>
      <c r="C753" s="28" t="s">
        <v>30</v>
      </c>
      <c r="D753" s="28" t="s">
        <v>31</v>
      </c>
      <c r="E753" s="19">
        <v>2</v>
      </c>
      <c r="F753" s="28" t="s">
        <v>109</v>
      </c>
      <c r="G753" s="28" t="s">
        <v>198</v>
      </c>
      <c r="H753" s="26" t="s">
        <v>2</v>
      </c>
      <c r="I753" s="29">
        <v>18.7</v>
      </c>
      <c r="J753" s="35">
        <v>195</v>
      </c>
      <c r="K753" s="17">
        <f t="shared" si="14"/>
        <v>3646.5</v>
      </c>
      <c r="L753" s="14"/>
    </row>
    <row r="754" spans="1:12" s="20" customFormat="1" ht="26.4">
      <c r="A754" s="26">
        <v>26</v>
      </c>
      <c r="B754" s="27" t="s">
        <v>29</v>
      </c>
      <c r="C754" s="28" t="s">
        <v>30</v>
      </c>
      <c r="D754" s="28" t="s">
        <v>31</v>
      </c>
      <c r="E754" s="19">
        <v>2</v>
      </c>
      <c r="F754" s="28" t="s">
        <v>104</v>
      </c>
      <c r="G754" s="28" t="s">
        <v>198</v>
      </c>
      <c r="H754" s="26" t="s">
        <v>2</v>
      </c>
      <c r="I754" s="29">
        <v>25</v>
      </c>
      <c r="J754" s="35">
        <v>195</v>
      </c>
      <c r="K754" s="17">
        <f t="shared" si="14"/>
        <v>4875</v>
      </c>
      <c r="L754" s="14"/>
    </row>
    <row r="755" spans="1:12" s="20" customFormat="1" ht="26.4">
      <c r="A755" s="26">
        <v>27</v>
      </c>
      <c r="B755" s="27" t="s">
        <v>29</v>
      </c>
      <c r="C755" s="28" t="s">
        <v>30</v>
      </c>
      <c r="D755" s="28" t="s">
        <v>31</v>
      </c>
      <c r="E755" s="19">
        <v>2</v>
      </c>
      <c r="F755" s="28" t="s">
        <v>103</v>
      </c>
      <c r="G755" s="28" t="s">
        <v>198</v>
      </c>
      <c r="H755" s="26" t="s">
        <v>220</v>
      </c>
      <c r="I755" s="29">
        <v>30.5</v>
      </c>
      <c r="J755" s="35">
        <v>195</v>
      </c>
      <c r="K755" s="17">
        <f t="shared" si="14"/>
        <v>5947.5</v>
      </c>
      <c r="L755" s="14"/>
    </row>
    <row r="756" spans="1:12" s="20" customFormat="1" ht="26.4">
      <c r="A756" s="26">
        <v>28</v>
      </c>
      <c r="B756" s="27" t="s">
        <v>29</v>
      </c>
      <c r="C756" s="28" t="s">
        <v>30</v>
      </c>
      <c r="D756" s="28" t="s">
        <v>31</v>
      </c>
      <c r="E756" s="19">
        <v>2</v>
      </c>
      <c r="F756" s="28" t="s">
        <v>101</v>
      </c>
      <c r="G756" s="28" t="s">
        <v>198</v>
      </c>
      <c r="H756" s="26" t="s">
        <v>2</v>
      </c>
      <c r="I756" s="29">
        <v>24.5</v>
      </c>
      <c r="J756" s="35">
        <v>195</v>
      </c>
      <c r="K756" s="17">
        <f t="shared" si="14"/>
        <v>4777.5</v>
      </c>
      <c r="L756" s="14"/>
    </row>
    <row r="757" spans="1:12" s="20" customFormat="1" ht="26.4">
      <c r="A757" s="26">
        <v>29</v>
      </c>
      <c r="B757" s="27" t="s">
        <v>29</v>
      </c>
      <c r="C757" s="28" t="s">
        <v>30</v>
      </c>
      <c r="D757" s="28" t="s">
        <v>31</v>
      </c>
      <c r="E757" s="19">
        <v>2</v>
      </c>
      <c r="F757" s="28" t="s">
        <v>121</v>
      </c>
      <c r="G757" s="28" t="s">
        <v>198</v>
      </c>
      <c r="H757" s="26" t="s">
        <v>2</v>
      </c>
      <c r="I757" s="29">
        <v>23.5</v>
      </c>
      <c r="J757" s="35">
        <v>195</v>
      </c>
      <c r="K757" s="17">
        <f t="shared" si="14"/>
        <v>4582.5</v>
      </c>
      <c r="L757" s="14"/>
    </row>
    <row r="758" spans="1:12" s="20" customFormat="1" ht="26.4">
      <c r="A758" s="26">
        <v>30</v>
      </c>
      <c r="B758" s="27" t="s">
        <v>29</v>
      </c>
      <c r="C758" s="28" t="s">
        <v>30</v>
      </c>
      <c r="D758" s="28" t="s">
        <v>31</v>
      </c>
      <c r="E758" s="19">
        <v>2</v>
      </c>
      <c r="F758" s="28" t="s">
        <v>108</v>
      </c>
      <c r="G758" s="28" t="s">
        <v>198</v>
      </c>
      <c r="H758" s="26" t="s">
        <v>2</v>
      </c>
      <c r="I758" s="29">
        <v>25</v>
      </c>
      <c r="J758" s="35">
        <v>195</v>
      </c>
      <c r="K758" s="17">
        <f t="shared" si="14"/>
        <v>4875</v>
      </c>
      <c r="L758" s="14"/>
    </row>
    <row r="759" spans="1:12" s="20" customFormat="1" ht="26.4">
      <c r="A759" s="26">
        <v>31</v>
      </c>
      <c r="B759" s="27" t="s">
        <v>29</v>
      </c>
      <c r="C759" s="28" t="s">
        <v>30</v>
      </c>
      <c r="D759" s="28" t="s">
        <v>31</v>
      </c>
      <c r="E759" s="19">
        <v>3</v>
      </c>
      <c r="F759" s="28" t="s">
        <v>154</v>
      </c>
      <c r="G759" s="28" t="s">
        <v>198</v>
      </c>
      <c r="H759" s="26" t="s">
        <v>2</v>
      </c>
      <c r="I759" s="29">
        <v>34</v>
      </c>
      <c r="J759" s="35">
        <v>195</v>
      </c>
      <c r="K759" s="17">
        <f t="shared" si="14"/>
        <v>6630</v>
      </c>
      <c r="L759" s="14"/>
    </row>
    <row r="760" spans="1:12" s="20" customFormat="1" ht="26.4">
      <c r="A760" s="26">
        <v>32</v>
      </c>
      <c r="B760" s="27" t="s">
        <v>29</v>
      </c>
      <c r="C760" s="28" t="s">
        <v>30</v>
      </c>
      <c r="D760" s="28" t="s">
        <v>31</v>
      </c>
      <c r="E760" s="19">
        <v>3</v>
      </c>
      <c r="F760" s="28" t="s">
        <v>152</v>
      </c>
      <c r="G760" s="28" t="s">
        <v>198</v>
      </c>
      <c r="H760" s="26" t="s">
        <v>2</v>
      </c>
      <c r="I760" s="29">
        <v>43.5</v>
      </c>
      <c r="J760" s="35">
        <v>195</v>
      </c>
      <c r="K760" s="17">
        <f t="shared" si="14"/>
        <v>8482.5</v>
      </c>
      <c r="L760" s="14"/>
    </row>
    <row r="761" spans="1:12" s="20" customFormat="1" ht="66">
      <c r="A761" s="26">
        <v>33</v>
      </c>
      <c r="B761" s="27" t="s">
        <v>29</v>
      </c>
      <c r="C761" s="28" t="s">
        <v>30</v>
      </c>
      <c r="D761" s="28" t="s">
        <v>31</v>
      </c>
      <c r="E761" s="19">
        <v>3</v>
      </c>
      <c r="F761" s="28" t="s">
        <v>188</v>
      </c>
      <c r="G761" s="28" t="s">
        <v>198</v>
      </c>
      <c r="H761" s="26" t="s">
        <v>2</v>
      </c>
      <c r="I761" s="29">
        <v>22</v>
      </c>
      <c r="J761" s="35">
        <v>195</v>
      </c>
      <c r="K761" s="17">
        <f t="shared" si="14"/>
        <v>4290</v>
      </c>
      <c r="L761" s="14"/>
    </row>
    <row r="762" spans="1:12" s="20" customFormat="1" ht="26.4">
      <c r="A762" s="26">
        <v>34</v>
      </c>
      <c r="B762" s="27" t="s">
        <v>29</v>
      </c>
      <c r="C762" s="28" t="s">
        <v>30</v>
      </c>
      <c r="D762" s="28" t="s">
        <v>31</v>
      </c>
      <c r="E762" s="19">
        <v>3</v>
      </c>
      <c r="F762" s="28" t="s">
        <v>162</v>
      </c>
      <c r="G762" s="28" t="s">
        <v>198</v>
      </c>
      <c r="H762" s="26" t="s">
        <v>2</v>
      </c>
      <c r="I762" s="29">
        <v>23</v>
      </c>
      <c r="J762" s="35">
        <v>195</v>
      </c>
      <c r="K762" s="17">
        <f t="shared" si="14"/>
        <v>4485</v>
      </c>
      <c r="L762" s="14"/>
    </row>
    <row r="763" spans="1:12" s="20" customFormat="1" ht="39.6">
      <c r="A763" s="26">
        <v>35</v>
      </c>
      <c r="B763" s="27" t="s">
        <v>29</v>
      </c>
      <c r="C763" s="28" t="s">
        <v>30</v>
      </c>
      <c r="D763" s="28" t="s">
        <v>31</v>
      </c>
      <c r="E763" s="19">
        <v>1</v>
      </c>
      <c r="F763" s="28" t="s">
        <v>62</v>
      </c>
      <c r="G763" s="28" t="s">
        <v>1</v>
      </c>
      <c r="H763" s="26" t="s">
        <v>2</v>
      </c>
      <c r="I763" s="29">
        <v>4.5</v>
      </c>
      <c r="J763" s="35">
        <v>585</v>
      </c>
      <c r="K763" s="17">
        <f t="shared" si="14"/>
        <v>2632.5</v>
      </c>
      <c r="L763" s="14"/>
    </row>
    <row r="764" spans="1:12" s="20" customFormat="1" ht="39.6">
      <c r="A764" s="26">
        <v>36</v>
      </c>
      <c r="B764" s="27" t="s">
        <v>29</v>
      </c>
      <c r="C764" s="28" t="s">
        <v>30</v>
      </c>
      <c r="D764" s="28" t="s">
        <v>31</v>
      </c>
      <c r="E764" s="19">
        <v>1</v>
      </c>
      <c r="F764" s="28" t="s">
        <v>50</v>
      </c>
      <c r="G764" s="28" t="s">
        <v>1</v>
      </c>
      <c r="H764" s="26" t="s">
        <v>2</v>
      </c>
      <c r="I764" s="29">
        <v>10.5</v>
      </c>
      <c r="J764" s="35">
        <v>585</v>
      </c>
      <c r="K764" s="17">
        <f t="shared" si="14"/>
        <v>6142.5</v>
      </c>
      <c r="L764" s="14"/>
    </row>
    <row r="765" spans="1:12" s="20" customFormat="1" ht="39.6">
      <c r="A765" s="26">
        <v>37</v>
      </c>
      <c r="B765" s="27" t="s">
        <v>29</v>
      </c>
      <c r="C765" s="28" t="s">
        <v>30</v>
      </c>
      <c r="D765" s="28" t="s">
        <v>31</v>
      </c>
      <c r="E765" s="19">
        <v>2</v>
      </c>
      <c r="F765" s="28" t="s">
        <v>96</v>
      </c>
      <c r="G765" s="28" t="s">
        <v>1</v>
      </c>
      <c r="H765" s="26" t="s">
        <v>2</v>
      </c>
      <c r="I765" s="29">
        <v>16</v>
      </c>
      <c r="J765" s="35">
        <v>585</v>
      </c>
      <c r="K765" s="17">
        <f t="shared" si="14"/>
        <v>9360</v>
      </c>
      <c r="L765" s="14"/>
    </row>
    <row r="766" spans="1:12" s="20" customFormat="1" ht="39.6">
      <c r="A766" s="26">
        <v>38</v>
      </c>
      <c r="B766" s="27" t="s">
        <v>29</v>
      </c>
      <c r="C766" s="28" t="s">
        <v>30</v>
      </c>
      <c r="D766" s="28" t="s">
        <v>31</v>
      </c>
      <c r="E766" s="19">
        <v>2</v>
      </c>
      <c r="F766" s="28" t="s">
        <v>109</v>
      </c>
      <c r="G766" s="28" t="s">
        <v>1</v>
      </c>
      <c r="H766" s="26" t="s">
        <v>2</v>
      </c>
      <c r="I766" s="29">
        <v>18.7</v>
      </c>
      <c r="J766" s="35">
        <v>585</v>
      </c>
      <c r="K766" s="17">
        <f t="shared" si="14"/>
        <v>10939.5</v>
      </c>
      <c r="L766" s="14"/>
    </row>
    <row r="767" spans="1:12" s="20" customFormat="1" ht="39.6">
      <c r="A767" s="26">
        <v>39</v>
      </c>
      <c r="B767" s="27" t="s">
        <v>29</v>
      </c>
      <c r="C767" s="28" t="s">
        <v>30</v>
      </c>
      <c r="D767" s="28" t="s">
        <v>31</v>
      </c>
      <c r="E767" s="19">
        <v>2</v>
      </c>
      <c r="F767" s="28" t="s">
        <v>104</v>
      </c>
      <c r="G767" s="28" t="s">
        <v>1</v>
      </c>
      <c r="H767" s="26" t="s">
        <v>2</v>
      </c>
      <c r="I767" s="29">
        <v>24.5</v>
      </c>
      <c r="J767" s="35">
        <v>585</v>
      </c>
      <c r="K767" s="17">
        <f t="shared" si="14"/>
        <v>14332.5</v>
      </c>
      <c r="L767" s="14"/>
    </row>
    <row r="768" spans="1:12" s="20" customFormat="1" ht="39.6">
      <c r="A768" s="26">
        <v>40</v>
      </c>
      <c r="B768" s="27" t="s">
        <v>29</v>
      </c>
      <c r="C768" s="28" t="s">
        <v>30</v>
      </c>
      <c r="D768" s="28" t="s">
        <v>31</v>
      </c>
      <c r="E768" s="19">
        <v>2</v>
      </c>
      <c r="F768" s="28" t="s">
        <v>103</v>
      </c>
      <c r="G768" s="28" t="s">
        <v>1</v>
      </c>
      <c r="H768" s="26" t="s">
        <v>2</v>
      </c>
      <c r="I768" s="29">
        <v>29</v>
      </c>
      <c r="J768" s="35">
        <v>585</v>
      </c>
      <c r="K768" s="17">
        <f t="shared" si="14"/>
        <v>16965</v>
      </c>
      <c r="L768" s="14"/>
    </row>
    <row r="769" spans="1:12" s="20" customFormat="1" ht="39.6">
      <c r="A769" s="26">
        <v>41</v>
      </c>
      <c r="B769" s="27" t="s">
        <v>29</v>
      </c>
      <c r="C769" s="28" t="s">
        <v>30</v>
      </c>
      <c r="D769" s="28" t="s">
        <v>31</v>
      </c>
      <c r="E769" s="19">
        <v>2</v>
      </c>
      <c r="F769" s="28" t="s">
        <v>101</v>
      </c>
      <c r="G769" s="28" t="s">
        <v>1</v>
      </c>
      <c r="H769" s="26" t="s">
        <v>2</v>
      </c>
      <c r="I769" s="29">
        <v>12.8</v>
      </c>
      <c r="J769" s="35">
        <v>585</v>
      </c>
      <c r="K769" s="17">
        <f t="shared" si="14"/>
        <v>7488</v>
      </c>
      <c r="L769" s="14"/>
    </row>
    <row r="770" spans="1:12" s="20" customFormat="1" ht="39.6">
      <c r="A770" s="26">
        <v>42</v>
      </c>
      <c r="B770" s="27" t="s">
        <v>29</v>
      </c>
      <c r="C770" s="28" t="s">
        <v>30</v>
      </c>
      <c r="D770" s="28" t="s">
        <v>31</v>
      </c>
      <c r="E770" s="19">
        <v>3</v>
      </c>
      <c r="F770" s="28" t="s">
        <v>154</v>
      </c>
      <c r="G770" s="28" t="s">
        <v>1</v>
      </c>
      <c r="H770" s="26" t="s">
        <v>2</v>
      </c>
      <c r="I770" s="29">
        <v>14</v>
      </c>
      <c r="J770" s="35">
        <v>585</v>
      </c>
      <c r="K770" s="17">
        <f t="shared" si="14"/>
        <v>8190</v>
      </c>
      <c r="L770" s="14"/>
    </row>
    <row r="771" spans="1:12" s="20" customFormat="1" ht="39.6">
      <c r="A771" s="26">
        <v>43</v>
      </c>
      <c r="B771" s="27" t="s">
        <v>29</v>
      </c>
      <c r="C771" s="28" t="s">
        <v>30</v>
      </c>
      <c r="D771" s="28" t="s">
        <v>31</v>
      </c>
      <c r="E771" s="19">
        <v>3</v>
      </c>
      <c r="F771" s="28" t="s">
        <v>152</v>
      </c>
      <c r="G771" s="28" t="s">
        <v>1</v>
      </c>
      <c r="H771" s="26" t="s">
        <v>2</v>
      </c>
      <c r="I771" s="29">
        <v>23.5</v>
      </c>
      <c r="J771" s="35">
        <v>585</v>
      </c>
      <c r="K771" s="17">
        <f t="shared" si="14"/>
        <v>13747.5</v>
      </c>
      <c r="L771" s="14"/>
    </row>
    <row r="772" spans="1:12" s="20" customFormat="1" ht="26.4">
      <c r="A772" s="26">
        <v>44</v>
      </c>
      <c r="B772" s="27" t="s">
        <v>29</v>
      </c>
      <c r="C772" s="28" t="s">
        <v>30</v>
      </c>
      <c r="D772" s="28" t="s">
        <v>31</v>
      </c>
      <c r="E772" s="19">
        <v>-1</v>
      </c>
      <c r="F772" s="28" t="s">
        <v>222</v>
      </c>
      <c r="G772" s="28" t="s">
        <v>197</v>
      </c>
      <c r="H772" s="26" t="s">
        <v>2</v>
      </c>
      <c r="I772" s="29">
        <v>564</v>
      </c>
      <c r="J772" s="35">
        <v>195</v>
      </c>
      <c r="K772" s="17">
        <f t="shared" si="14"/>
        <v>109980</v>
      </c>
      <c r="L772" s="14" t="s">
        <v>223</v>
      </c>
    </row>
    <row r="773" spans="1:12" s="20" customFormat="1" ht="26.4">
      <c r="A773" s="26">
        <v>45</v>
      </c>
      <c r="B773" s="27" t="s">
        <v>29</v>
      </c>
      <c r="C773" s="28" t="s">
        <v>30</v>
      </c>
      <c r="D773" s="28" t="s">
        <v>31</v>
      </c>
      <c r="E773" s="19">
        <v>-1</v>
      </c>
      <c r="F773" s="28" t="s">
        <v>224</v>
      </c>
      <c r="G773" s="28" t="s">
        <v>197</v>
      </c>
      <c r="H773" s="26" t="s">
        <v>2</v>
      </c>
      <c r="I773" s="29">
        <v>164</v>
      </c>
      <c r="J773" s="35">
        <v>195</v>
      </c>
      <c r="K773" s="17">
        <f t="shared" si="14"/>
        <v>31980</v>
      </c>
      <c r="L773" s="14" t="s">
        <v>223</v>
      </c>
    </row>
    <row r="774" spans="1:12" s="20" customFormat="1" ht="69">
      <c r="A774" s="26">
        <v>46</v>
      </c>
      <c r="B774" s="27" t="s">
        <v>29</v>
      </c>
      <c r="C774" s="28" t="s">
        <v>30</v>
      </c>
      <c r="D774" s="28" t="s">
        <v>31</v>
      </c>
      <c r="E774" s="19">
        <v>-1</v>
      </c>
      <c r="F774" s="28" t="s">
        <v>225</v>
      </c>
      <c r="G774" s="28" t="s">
        <v>185</v>
      </c>
      <c r="H774" s="26" t="s">
        <v>2</v>
      </c>
      <c r="I774" s="29">
        <v>9</v>
      </c>
      <c r="J774" s="35">
        <v>1105</v>
      </c>
      <c r="K774" s="17">
        <f t="shared" si="14"/>
        <v>9945</v>
      </c>
      <c r="L774" s="14" t="s">
        <v>226</v>
      </c>
    </row>
    <row r="775" spans="1:12" s="20" customFormat="1">
      <c r="A775" s="26">
        <v>47</v>
      </c>
      <c r="B775" s="27" t="s">
        <v>29</v>
      </c>
      <c r="C775" s="28" t="s">
        <v>30</v>
      </c>
      <c r="D775" s="28" t="s">
        <v>31</v>
      </c>
      <c r="E775" s="19">
        <v>1</v>
      </c>
      <c r="F775" s="28" t="s">
        <v>60</v>
      </c>
      <c r="G775" s="28" t="s">
        <v>185</v>
      </c>
      <c r="H775" s="26" t="s">
        <v>184</v>
      </c>
      <c r="I775" s="29">
        <v>15</v>
      </c>
      <c r="J775" s="35">
        <v>1105</v>
      </c>
      <c r="K775" s="17">
        <f t="shared" si="14"/>
        <v>16575</v>
      </c>
      <c r="L775" s="14"/>
    </row>
    <row r="776" spans="1:12" s="20" customFormat="1">
      <c r="A776" s="26">
        <v>48</v>
      </c>
      <c r="B776" s="27" t="s">
        <v>29</v>
      </c>
      <c r="C776" s="28" t="s">
        <v>30</v>
      </c>
      <c r="D776" s="28" t="s">
        <v>31</v>
      </c>
      <c r="E776" s="19">
        <v>1</v>
      </c>
      <c r="F776" s="28" t="s">
        <v>62</v>
      </c>
      <c r="G776" s="28" t="s">
        <v>185</v>
      </c>
      <c r="H776" s="26" t="s">
        <v>184</v>
      </c>
      <c r="I776" s="29">
        <v>4.5</v>
      </c>
      <c r="J776" s="35">
        <v>1105</v>
      </c>
      <c r="K776" s="17">
        <f t="shared" si="14"/>
        <v>4972.5</v>
      </c>
      <c r="L776" s="14"/>
    </row>
    <row r="777" spans="1:12" s="20" customFormat="1">
      <c r="A777" s="26">
        <v>49</v>
      </c>
      <c r="B777" s="27" t="s">
        <v>29</v>
      </c>
      <c r="C777" s="28" t="s">
        <v>30</v>
      </c>
      <c r="D777" s="28" t="s">
        <v>31</v>
      </c>
      <c r="E777" s="19">
        <v>2</v>
      </c>
      <c r="F777" s="28" t="s">
        <v>50</v>
      </c>
      <c r="G777" s="28" t="s">
        <v>185</v>
      </c>
      <c r="H777" s="26" t="s">
        <v>184</v>
      </c>
      <c r="I777" s="29">
        <v>6.5</v>
      </c>
      <c r="J777" s="35">
        <v>1105</v>
      </c>
      <c r="K777" s="17">
        <f t="shared" si="14"/>
        <v>7182.5</v>
      </c>
      <c r="L777" s="14"/>
    </row>
    <row r="778" spans="1:12" s="20" customFormat="1" ht="26.4">
      <c r="A778" s="26">
        <v>50</v>
      </c>
      <c r="B778" s="27" t="s">
        <v>29</v>
      </c>
      <c r="C778" s="28" t="s">
        <v>30</v>
      </c>
      <c r="D778" s="28" t="s">
        <v>31</v>
      </c>
      <c r="E778" s="19">
        <v>2</v>
      </c>
      <c r="F778" s="28" t="s">
        <v>96</v>
      </c>
      <c r="G778" s="28" t="s">
        <v>185</v>
      </c>
      <c r="H778" s="26" t="s">
        <v>184</v>
      </c>
      <c r="I778" s="29">
        <v>16</v>
      </c>
      <c r="J778" s="35">
        <v>1105</v>
      </c>
      <c r="K778" s="17">
        <f t="shared" si="14"/>
        <v>17680</v>
      </c>
      <c r="L778" s="14"/>
    </row>
    <row r="779" spans="1:12" s="20" customFormat="1" ht="26.4">
      <c r="A779" s="26">
        <v>51</v>
      </c>
      <c r="B779" s="27" t="s">
        <v>29</v>
      </c>
      <c r="C779" s="28" t="s">
        <v>30</v>
      </c>
      <c r="D779" s="28" t="s">
        <v>31</v>
      </c>
      <c r="E779" s="19">
        <v>2</v>
      </c>
      <c r="F779" s="28" t="s">
        <v>109</v>
      </c>
      <c r="G779" s="28" t="s">
        <v>185</v>
      </c>
      <c r="H779" s="26" t="s">
        <v>184</v>
      </c>
      <c r="I779" s="29">
        <v>15</v>
      </c>
      <c r="J779" s="35">
        <v>1105</v>
      </c>
      <c r="K779" s="17">
        <f t="shared" si="14"/>
        <v>16575</v>
      </c>
      <c r="L779" s="14"/>
    </row>
    <row r="780" spans="1:12" s="20" customFormat="1">
      <c r="A780" s="26">
        <v>52</v>
      </c>
      <c r="B780" s="27" t="s">
        <v>29</v>
      </c>
      <c r="C780" s="28" t="s">
        <v>30</v>
      </c>
      <c r="D780" s="28" t="s">
        <v>31</v>
      </c>
      <c r="E780" s="19">
        <v>2</v>
      </c>
      <c r="F780" s="28" t="s">
        <v>104</v>
      </c>
      <c r="G780" s="28" t="s">
        <v>185</v>
      </c>
      <c r="H780" s="26" t="s">
        <v>184</v>
      </c>
      <c r="I780" s="29">
        <v>34.700000000000003</v>
      </c>
      <c r="J780" s="35">
        <v>1105</v>
      </c>
      <c r="K780" s="17">
        <f t="shared" si="14"/>
        <v>38343.5</v>
      </c>
      <c r="L780" s="14"/>
    </row>
    <row r="781" spans="1:12" s="20" customFormat="1">
      <c r="A781" s="26">
        <v>53</v>
      </c>
      <c r="B781" s="27" t="s">
        <v>29</v>
      </c>
      <c r="C781" s="28" t="s">
        <v>30</v>
      </c>
      <c r="D781" s="28" t="s">
        <v>31</v>
      </c>
      <c r="E781" s="19">
        <v>2</v>
      </c>
      <c r="F781" s="28" t="s">
        <v>103</v>
      </c>
      <c r="G781" s="28" t="s">
        <v>185</v>
      </c>
      <c r="H781" s="26" t="s">
        <v>184</v>
      </c>
      <c r="I781" s="29">
        <v>28.8</v>
      </c>
      <c r="J781" s="35">
        <v>1105</v>
      </c>
      <c r="K781" s="17">
        <f t="shared" si="14"/>
        <v>31824</v>
      </c>
      <c r="L781" s="14"/>
    </row>
    <row r="782" spans="1:12" s="20" customFormat="1" ht="26.4">
      <c r="A782" s="26">
        <v>54</v>
      </c>
      <c r="B782" s="27" t="s">
        <v>29</v>
      </c>
      <c r="C782" s="28" t="s">
        <v>30</v>
      </c>
      <c r="D782" s="28" t="s">
        <v>31</v>
      </c>
      <c r="E782" s="19">
        <v>2</v>
      </c>
      <c r="F782" s="28" t="s">
        <v>101</v>
      </c>
      <c r="G782" s="28" t="s">
        <v>185</v>
      </c>
      <c r="H782" s="26" t="s">
        <v>184</v>
      </c>
      <c r="I782" s="29">
        <v>13</v>
      </c>
      <c r="J782" s="35">
        <v>1105</v>
      </c>
      <c r="K782" s="17">
        <f t="shared" si="14"/>
        <v>14365</v>
      </c>
      <c r="L782" s="14"/>
    </row>
    <row r="783" spans="1:12" s="20" customFormat="1">
      <c r="A783" s="26">
        <v>55</v>
      </c>
      <c r="B783" s="27" t="s">
        <v>29</v>
      </c>
      <c r="C783" s="28" t="s">
        <v>30</v>
      </c>
      <c r="D783" s="28" t="s">
        <v>31</v>
      </c>
      <c r="E783" s="19">
        <v>2</v>
      </c>
      <c r="F783" s="28" t="s">
        <v>106</v>
      </c>
      <c r="G783" s="28" t="s">
        <v>185</v>
      </c>
      <c r="H783" s="26" t="s">
        <v>184</v>
      </c>
      <c r="I783" s="29">
        <v>21.5</v>
      </c>
      <c r="J783" s="35">
        <v>1105</v>
      </c>
      <c r="K783" s="17">
        <f t="shared" si="14"/>
        <v>23757.5</v>
      </c>
      <c r="L783" s="14"/>
    </row>
    <row r="784" spans="1:12" s="20" customFormat="1" ht="26.4">
      <c r="A784" s="26">
        <v>56</v>
      </c>
      <c r="B784" s="27" t="s">
        <v>29</v>
      </c>
      <c r="C784" s="28" t="s">
        <v>30</v>
      </c>
      <c r="D784" s="28" t="s">
        <v>31</v>
      </c>
      <c r="E784" s="19">
        <v>3</v>
      </c>
      <c r="F784" s="28" t="s">
        <v>158</v>
      </c>
      <c r="G784" s="28" t="s">
        <v>185</v>
      </c>
      <c r="H784" s="26" t="s">
        <v>184</v>
      </c>
      <c r="I784" s="29">
        <v>22.7</v>
      </c>
      <c r="J784" s="35">
        <v>1105</v>
      </c>
      <c r="K784" s="17">
        <f t="shared" si="14"/>
        <v>25083.5</v>
      </c>
      <c r="L784" s="14"/>
    </row>
    <row r="785" spans="1:12" s="20" customFormat="1">
      <c r="A785" s="26">
        <v>57</v>
      </c>
      <c r="B785" s="27" t="s">
        <v>29</v>
      </c>
      <c r="C785" s="28" t="s">
        <v>30</v>
      </c>
      <c r="D785" s="28" t="s">
        <v>31</v>
      </c>
      <c r="E785" s="19">
        <v>1</v>
      </c>
      <c r="F785" s="28" t="s">
        <v>50</v>
      </c>
      <c r="G785" s="28" t="s">
        <v>200</v>
      </c>
      <c r="H785" s="26" t="s">
        <v>216</v>
      </c>
      <c r="I785" s="29">
        <v>18.3</v>
      </c>
      <c r="J785" s="35">
        <v>300</v>
      </c>
      <c r="K785" s="17">
        <f t="shared" si="14"/>
        <v>5490</v>
      </c>
      <c r="L785" s="14"/>
    </row>
    <row r="786" spans="1:12" s="20" customFormat="1" ht="27.6">
      <c r="A786" s="26">
        <v>58</v>
      </c>
      <c r="B786" s="27" t="s">
        <v>29</v>
      </c>
      <c r="C786" s="28" t="s">
        <v>30</v>
      </c>
      <c r="D786" s="28" t="s">
        <v>31</v>
      </c>
      <c r="E786" s="19">
        <v>2</v>
      </c>
      <c r="F786" s="28" t="s">
        <v>140</v>
      </c>
      <c r="G786" s="28" t="s">
        <v>200</v>
      </c>
      <c r="H786" s="26" t="s">
        <v>216</v>
      </c>
      <c r="I786" s="29">
        <v>22</v>
      </c>
      <c r="J786" s="35">
        <v>300</v>
      </c>
      <c r="K786" s="17">
        <f t="shared" si="14"/>
        <v>6600</v>
      </c>
      <c r="L786" s="14" t="s">
        <v>227</v>
      </c>
    </row>
    <row r="787" spans="1:12" s="20" customFormat="1">
      <c r="A787" s="26">
        <v>59</v>
      </c>
      <c r="B787" s="27" t="s">
        <v>29</v>
      </c>
      <c r="C787" s="28" t="s">
        <v>30</v>
      </c>
      <c r="D787" s="28" t="s">
        <v>31</v>
      </c>
      <c r="E787" s="19">
        <v>3</v>
      </c>
      <c r="F787" s="28" t="s">
        <v>154</v>
      </c>
      <c r="G787" s="28" t="s">
        <v>200</v>
      </c>
      <c r="H787" s="26" t="s">
        <v>216</v>
      </c>
      <c r="I787" s="29">
        <v>3.1</v>
      </c>
      <c r="J787" s="35">
        <v>300</v>
      </c>
      <c r="K787" s="17">
        <f t="shared" si="14"/>
        <v>930</v>
      </c>
      <c r="L787" s="14"/>
    </row>
    <row r="788" spans="1:12" s="20" customFormat="1" ht="26.4">
      <c r="A788" s="26">
        <v>60</v>
      </c>
      <c r="B788" s="27" t="s">
        <v>35</v>
      </c>
      <c r="C788" s="28" t="s">
        <v>30</v>
      </c>
      <c r="D788" s="28" t="s">
        <v>36</v>
      </c>
      <c r="E788" s="19">
        <v>1</v>
      </c>
      <c r="F788" s="28" t="s">
        <v>80</v>
      </c>
      <c r="G788" s="28" t="s">
        <v>8</v>
      </c>
      <c r="H788" s="26" t="s">
        <v>2</v>
      </c>
      <c r="I788" s="29">
        <v>30</v>
      </c>
      <c r="J788" s="35">
        <v>70</v>
      </c>
      <c r="K788" s="17">
        <f t="shared" si="14"/>
        <v>2100</v>
      </c>
      <c r="L788" s="14"/>
    </row>
    <row r="789" spans="1:12" s="20" customFormat="1" ht="26.4">
      <c r="A789" s="26">
        <v>61</v>
      </c>
      <c r="B789" s="27" t="s">
        <v>35</v>
      </c>
      <c r="C789" s="28" t="s">
        <v>30</v>
      </c>
      <c r="D789" s="28" t="s">
        <v>36</v>
      </c>
      <c r="E789" s="19">
        <v>1</v>
      </c>
      <c r="F789" s="28" t="s">
        <v>94</v>
      </c>
      <c r="G789" s="28" t="s">
        <v>8</v>
      </c>
      <c r="H789" s="26" t="s">
        <v>2</v>
      </c>
      <c r="I789" s="29">
        <v>6.3</v>
      </c>
      <c r="J789" s="35">
        <v>70</v>
      </c>
      <c r="K789" s="17">
        <f t="shared" si="14"/>
        <v>441</v>
      </c>
      <c r="L789" s="14"/>
    </row>
    <row r="790" spans="1:12" s="20" customFormat="1" ht="26.4">
      <c r="A790" s="26">
        <v>62</v>
      </c>
      <c r="B790" s="27" t="s">
        <v>35</v>
      </c>
      <c r="C790" s="28" t="s">
        <v>30</v>
      </c>
      <c r="D790" s="28" t="s">
        <v>36</v>
      </c>
      <c r="E790" s="19">
        <v>1</v>
      </c>
      <c r="F790" s="28" t="s">
        <v>77</v>
      </c>
      <c r="G790" s="28" t="s">
        <v>8</v>
      </c>
      <c r="H790" s="26" t="s">
        <v>2</v>
      </c>
      <c r="I790" s="29">
        <v>6.2</v>
      </c>
      <c r="J790" s="35">
        <v>70</v>
      </c>
      <c r="K790" s="17">
        <f t="shared" si="14"/>
        <v>434</v>
      </c>
      <c r="L790" s="14"/>
    </row>
    <row r="791" spans="1:12" s="20" customFormat="1" ht="26.4">
      <c r="A791" s="26">
        <v>63</v>
      </c>
      <c r="B791" s="27" t="s">
        <v>35</v>
      </c>
      <c r="C791" s="28" t="s">
        <v>30</v>
      </c>
      <c r="D791" s="28" t="s">
        <v>36</v>
      </c>
      <c r="E791" s="19">
        <v>1</v>
      </c>
      <c r="F791" s="28" t="s">
        <v>79</v>
      </c>
      <c r="G791" s="28" t="s">
        <v>8</v>
      </c>
      <c r="H791" s="26" t="s">
        <v>2</v>
      </c>
      <c r="I791" s="29">
        <v>5.5</v>
      </c>
      <c r="J791" s="35">
        <v>70</v>
      </c>
      <c r="K791" s="17">
        <f t="shared" si="14"/>
        <v>385</v>
      </c>
      <c r="L791" s="14"/>
    </row>
    <row r="792" spans="1:12" s="20" customFormat="1" ht="26.4">
      <c r="A792" s="26">
        <v>64</v>
      </c>
      <c r="B792" s="27" t="s">
        <v>35</v>
      </c>
      <c r="C792" s="28" t="s">
        <v>30</v>
      </c>
      <c r="D792" s="28" t="s">
        <v>36</v>
      </c>
      <c r="E792" s="19">
        <v>2</v>
      </c>
      <c r="F792" s="28" t="s">
        <v>116</v>
      </c>
      <c r="G792" s="28" t="s">
        <v>8</v>
      </c>
      <c r="H792" s="26" t="s">
        <v>2</v>
      </c>
      <c r="I792" s="29">
        <v>30</v>
      </c>
      <c r="J792" s="35">
        <v>70</v>
      </c>
      <c r="K792" s="17">
        <f t="shared" si="14"/>
        <v>2100</v>
      </c>
      <c r="L792" s="14"/>
    </row>
    <row r="793" spans="1:12" s="20" customFormat="1" ht="26.4">
      <c r="A793" s="26">
        <v>65</v>
      </c>
      <c r="B793" s="27" t="s">
        <v>35</v>
      </c>
      <c r="C793" s="28" t="s">
        <v>30</v>
      </c>
      <c r="D793" s="28" t="s">
        <v>36</v>
      </c>
      <c r="E793" s="19">
        <v>2</v>
      </c>
      <c r="F793" s="28" t="s">
        <v>120</v>
      </c>
      <c r="G793" s="28" t="s">
        <v>8</v>
      </c>
      <c r="H793" s="26" t="s">
        <v>2</v>
      </c>
      <c r="I793" s="29">
        <v>30</v>
      </c>
      <c r="J793" s="35">
        <v>70</v>
      </c>
      <c r="K793" s="17">
        <f t="shared" si="14"/>
        <v>2100</v>
      </c>
      <c r="L793" s="14"/>
    </row>
    <row r="794" spans="1:12" s="20" customFormat="1" ht="26.4">
      <c r="A794" s="26">
        <v>66</v>
      </c>
      <c r="B794" s="27" t="s">
        <v>35</v>
      </c>
      <c r="C794" s="28" t="s">
        <v>30</v>
      </c>
      <c r="D794" s="28" t="s">
        <v>36</v>
      </c>
      <c r="E794" s="19">
        <v>2</v>
      </c>
      <c r="F794" s="28" t="s">
        <v>141</v>
      </c>
      <c r="G794" s="28" t="s">
        <v>8</v>
      </c>
      <c r="H794" s="26" t="s">
        <v>2</v>
      </c>
      <c r="I794" s="29">
        <v>5.5</v>
      </c>
      <c r="J794" s="35">
        <v>70</v>
      </c>
      <c r="K794" s="17">
        <f t="shared" si="14"/>
        <v>385</v>
      </c>
      <c r="L794" s="14"/>
    </row>
    <row r="795" spans="1:12" s="20" customFormat="1" ht="26.4">
      <c r="A795" s="26">
        <v>67</v>
      </c>
      <c r="B795" s="27" t="s">
        <v>35</v>
      </c>
      <c r="C795" s="28" t="s">
        <v>30</v>
      </c>
      <c r="D795" s="28" t="s">
        <v>36</v>
      </c>
      <c r="E795" s="19">
        <v>3</v>
      </c>
      <c r="F795" s="28" t="s">
        <v>173</v>
      </c>
      <c r="G795" s="28" t="s">
        <v>8</v>
      </c>
      <c r="H795" s="26" t="s">
        <v>2</v>
      </c>
      <c r="I795" s="29">
        <v>30</v>
      </c>
      <c r="J795" s="35">
        <v>70</v>
      </c>
      <c r="K795" s="17">
        <f t="shared" si="14"/>
        <v>2100</v>
      </c>
      <c r="L795" s="14"/>
    </row>
    <row r="796" spans="1:12" s="20" customFormat="1" ht="26.4">
      <c r="A796" s="26">
        <v>68</v>
      </c>
      <c r="B796" s="27" t="s">
        <v>35</v>
      </c>
      <c r="C796" s="28" t="s">
        <v>30</v>
      </c>
      <c r="D796" s="28" t="s">
        <v>36</v>
      </c>
      <c r="E796" s="19">
        <v>3</v>
      </c>
      <c r="F796" s="28" t="s">
        <v>168</v>
      </c>
      <c r="G796" s="28" t="s">
        <v>8</v>
      </c>
      <c r="H796" s="26" t="s">
        <v>2</v>
      </c>
      <c r="I796" s="29">
        <v>30</v>
      </c>
      <c r="J796" s="35">
        <v>70</v>
      </c>
      <c r="K796" s="17">
        <f t="shared" si="14"/>
        <v>2100</v>
      </c>
      <c r="L796" s="14"/>
    </row>
    <row r="797" spans="1:12" s="20" customFormat="1" ht="26.4">
      <c r="A797" s="26">
        <v>69</v>
      </c>
      <c r="B797" s="27" t="s">
        <v>35</v>
      </c>
      <c r="C797" s="28" t="s">
        <v>30</v>
      </c>
      <c r="D797" s="28" t="s">
        <v>36</v>
      </c>
      <c r="E797" s="19">
        <v>3</v>
      </c>
      <c r="F797" s="28" t="s">
        <v>177</v>
      </c>
      <c r="G797" s="28" t="s">
        <v>8</v>
      </c>
      <c r="H797" s="26" t="s">
        <v>2</v>
      </c>
      <c r="I797" s="29">
        <v>6.3</v>
      </c>
      <c r="J797" s="35">
        <v>70</v>
      </c>
      <c r="K797" s="17">
        <f t="shared" ref="K797:K822" si="15">J797*I797</f>
        <v>441</v>
      </c>
      <c r="L797" s="14"/>
    </row>
    <row r="798" spans="1:12" s="20" customFormat="1">
      <c r="A798" s="26">
        <v>70</v>
      </c>
      <c r="B798" s="27" t="s">
        <v>29</v>
      </c>
      <c r="C798" s="28" t="s">
        <v>30</v>
      </c>
      <c r="D798" s="28" t="s">
        <v>36</v>
      </c>
      <c r="E798" s="19">
        <v>1</v>
      </c>
      <c r="F798" s="28" t="s">
        <v>80</v>
      </c>
      <c r="G798" s="28" t="s">
        <v>9</v>
      </c>
      <c r="H798" s="26" t="s">
        <v>2</v>
      </c>
      <c r="I798" s="29">
        <v>30</v>
      </c>
      <c r="J798" s="35">
        <v>715</v>
      </c>
      <c r="K798" s="17">
        <f t="shared" si="15"/>
        <v>21450</v>
      </c>
      <c r="L798" s="14"/>
    </row>
    <row r="799" spans="1:12" s="20" customFormat="1">
      <c r="A799" s="26">
        <v>71</v>
      </c>
      <c r="B799" s="27" t="s">
        <v>29</v>
      </c>
      <c r="C799" s="28" t="s">
        <v>30</v>
      </c>
      <c r="D799" s="28" t="s">
        <v>36</v>
      </c>
      <c r="E799" s="19">
        <v>1</v>
      </c>
      <c r="F799" s="28" t="s">
        <v>94</v>
      </c>
      <c r="G799" s="28" t="s">
        <v>9</v>
      </c>
      <c r="H799" s="26" t="s">
        <v>2</v>
      </c>
      <c r="I799" s="29">
        <v>6.3</v>
      </c>
      <c r="J799" s="35">
        <v>715</v>
      </c>
      <c r="K799" s="17">
        <f t="shared" si="15"/>
        <v>4504.5</v>
      </c>
      <c r="L799" s="14"/>
    </row>
    <row r="800" spans="1:12" s="20" customFormat="1" ht="26.4">
      <c r="A800" s="26">
        <v>72</v>
      </c>
      <c r="B800" s="27" t="s">
        <v>29</v>
      </c>
      <c r="C800" s="28" t="s">
        <v>30</v>
      </c>
      <c r="D800" s="28" t="s">
        <v>36</v>
      </c>
      <c r="E800" s="19">
        <v>1</v>
      </c>
      <c r="F800" s="28" t="s">
        <v>77</v>
      </c>
      <c r="G800" s="28" t="s">
        <v>9</v>
      </c>
      <c r="H800" s="26" t="s">
        <v>2</v>
      </c>
      <c r="I800" s="29">
        <v>6.2</v>
      </c>
      <c r="J800" s="35">
        <v>715</v>
      </c>
      <c r="K800" s="17">
        <f t="shared" si="15"/>
        <v>4433</v>
      </c>
      <c r="L800" s="14"/>
    </row>
    <row r="801" spans="1:12" s="20" customFormat="1" ht="26.4">
      <c r="A801" s="26">
        <v>73</v>
      </c>
      <c r="B801" s="27" t="s">
        <v>29</v>
      </c>
      <c r="C801" s="28" t="s">
        <v>30</v>
      </c>
      <c r="D801" s="28" t="s">
        <v>36</v>
      </c>
      <c r="E801" s="19">
        <v>1</v>
      </c>
      <c r="F801" s="28" t="s">
        <v>79</v>
      </c>
      <c r="G801" s="28" t="s">
        <v>10</v>
      </c>
      <c r="H801" s="26" t="s">
        <v>2</v>
      </c>
      <c r="I801" s="29">
        <v>5.5</v>
      </c>
      <c r="J801" s="35">
        <v>715</v>
      </c>
      <c r="K801" s="17">
        <f t="shared" si="15"/>
        <v>3932.5</v>
      </c>
      <c r="L801" s="14"/>
    </row>
    <row r="802" spans="1:12" s="20" customFormat="1" ht="26.4">
      <c r="A802" s="26">
        <v>74</v>
      </c>
      <c r="B802" s="27" t="s">
        <v>29</v>
      </c>
      <c r="C802" s="28" t="s">
        <v>30</v>
      </c>
      <c r="D802" s="28" t="s">
        <v>36</v>
      </c>
      <c r="E802" s="19">
        <v>2</v>
      </c>
      <c r="F802" s="28" t="s">
        <v>116</v>
      </c>
      <c r="G802" s="28" t="s">
        <v>10</v>
      </c>
      <c r="H802" s="26" t="s">
        <v>2</v>
      </c>
      <c r="I802" s="29">
        <v>30</v>
      </c>
      <c r="J802" s="35">
        <v>715</v>
      </c>
      <c r="K802" s="17">
        <f t="shared" si="15"/>
        <v>21450</v>
      </c>
      <c r="L802" s="14"/>
    </row>
    <row r="803" spans="1:12" s="20" customFormat="1">
      <c r="A803" s="26">
        <v>75</v>
      </c>
      <c r="B803" s="27" t="s">
        <v>29</v>
      </c>
      <c r="C803" s="28" t="s">
        <v>30</v>
      </c>
      <c r="D803" s="28" t="s">
        <v>36</v>
      </c>
      <c r="E803" s="19">
        <v>2</v>
      </c>
      <c r="F803" s="28" t="s">
        <v>125</v>
      </c>
      <c r="G803" s="28" t="s">
        <v>9</v>
      </c>
      <c r="H803" s="26" t="s">
        <v>2</v>
      </c>
      <c r="I803" s="29">
        <v>30</v>
      </c>
      <c r="J803" s="35">
        <v>715</v>
      </c>
      <c r="K803" s="17">
        <f t="shared" si="15"/>
        <v>21450</v>
      </c>
      <c r="L803" s="14"/>
    </row>
    <row r="804" spans="1:12" s="20" customFormat="1" ht="26.4">
      <c r="A804" s="26">
        <v>76</v>
      </c>
      <c r="B804" s="27" t="s">
        <v>29</v>
      </c>
      <c r="C804" s="28" t="s">
        <v>30</v>
      </c>
      <c r="D804" s="28" t="s">
        <v>36</v>
      </c>
      <c r="E804" s="19">
        <v>2</v>
      </c>
      <c r="F804" s="28" t="s">
        <v>141</v>
      </c>
      <c r="G804" s="28" t="s">
        <v>9</v>
      </c>
      <c r="H804" s="26" t="s">
        <v>2</v>
      </c>
      <c r="I804" s="29">
        <v>5.5</v>
      </c>
      <c r="J804" s="35">
        <v>715</v>
      </c>
      <c r="K804" s="17">
        <f t="shared" si="15"/>
        <v>3932.5</v>
      </c>
      <c r="L804" s="14"/>
    </row>
    <row r="805" spans="1:12" s="20" customFormat="1">
      <c r="A805" s="26">
        <v>77</v>
      </c>
      <c r="B805" s="27" t="s">
        <v>29</v>
      </c>
      <c r="C805" s="28" t="s">
        <v>30</v>
      </c>
      <c r="D805" s="28" t="s">
        <v>36</v>
      </c>
      <c r="E805" s="19">
        <v>3</v>
      </c>
      <c r="F805" s="28" t="s">
        <v>173</v>
      </c>
      <c r="G805" s="28" t="s">
        <v>9</v>
      </c>
      <c r="H805" s="26" t="s">
        <v>2</v>
      </c>
      <c r="I805" s="29">
        <v>30</v>
      </c>
      <c r="J805" s="35">
        <v>715</v>
      </c>
      <c r="K805" s="17">
        <f t="shared" si="15"/>
        <v>21450</v>
      </c>
      <c r="L805" s="14"/>
    </row>
    <row r="806" spans="1:12" s="20" customFormat="1">
      <c r="A806" s="26">
        <v>78</v>
      </c>
      <c r="B806" s="27" t="s">
        <v>29</v>
      </c>
      <c r="C806" s="28" t="s">
        <v>30</v>
      </c>
      <c r="D806" s="28" t="s">
        <v>36</v>
      </c>
      <c r="E806" s="19">
        <v>3</v>
      </c>
      <c r="F806" s="28" t="s">
        <v>168</v>
      </c>
      <c r="G806" s="28" t="s">
        <v>9</v>
      </c>
      <c r="H806" s="26" t="s">
        <v>2</v>
      </c>
      <c r="I806" s="29">
        <v>30</v>
      </c>
      <c r="J806" s="35">
        <v>715</v>
      </c>
      <c r="K806" s="17">
        <f t="shared" si="15"/>
        <v>21450</v>
      </c>
      <c r="L806" s="14"/>
    </row>
    <row r="807" spans="1:12" s="20" customFormat="1" ht="26.4">
      <c r="A807" s="26">
        <v>79</v>
      </c>
      <c r="B807" s="27" t="s">
        <v>29</v>
      </c>
      <c r="C807" s="28" t="s">
        <v>30</v>
      </c>
      <c r="D807" s="28" t="s">
        <v>36</v>
      </c>
      <c r="E807" s="19">
        <v>3</v>
      </c>
      <c r="F807" s="28" t="s">
        <v>177</v>
      </c>
      <c r="G807" s="28" t="s">
        <v>9</v>
      </c>
      <c r="H807" s="26" t="s">
        <v>2</v>
      </c>
      <c r="I807" s="29">
        <v>6.3</v>
      </c>
      <c r="J807" s="35">
        <v>715</v>
      </c>
      <c r="K807" s="17">
        <f t="shared" si="15"/>
        <v>4504.5</v>
      </c>
      <c r="L807" s="14"/>
    </row>
    <row r="808" spans="1:12" s="20" customFormat="1" ht="26.4">
      <c r="A808" s="26">
        <v>80</v>
      </c>
      <c r="B808" s="27" t="s">
        <v>29</v>
      </c>
      <c r="C808" s="28" t="s">
        <v>30</v>
      </c>
      <c r="D808" s="28" t="s">
        <v>31</v>
      </c>
      <c r="E808" s="19">
        <v>2</v>
      </c>
      <c r="F808" s="28" t="s">
        <v>104</v>
      </c>
      <c r="G808" s="28" t="s">
        <v>6</v>
      </c>
      <c r="H808" s="26" t="s">
        <v>2</v>
      </c>
      <c r="I808" s="29">
        <v>28</v>
      </c>
      <c r="J808" s="35">
        <v>1170</v>
      </c>
      <c r="K808" s="17">
        <f t="shared" si="15"/>
        <v>32760</v>
      </c>
      <c r="L808" s="14" t="s">
        <v>228</v>
      </c>
    </row>
    <row r="809" spans="1:12" s="20" customFormat="1" ht="26.4">
      <c r="A809" s="26">
        <v>81</v>
      </c>
      <c r="B809" s="27" t="s">
        <v>29</v>
      </c>
      <c r="C809" s="28" t="s">
        <v>30</v>
      </c>
      <c r="D809" s="28" t="s">
        <v>31</v>
      </c>
      <c r="E809" s="19">
        <v>3</v>
      </c>
      <c r="F809" s="28" t="s">
        <v>154</v>
      </c>
      <c r="G809" s="28" t="s">
        <v>6</v>
      </c>
      <c r="H809" s="26" t="s">
        <v>2</v>
      </c>
      <c r="I809" s="29">
        <v>45.5</v>
      </c>
      <c r="J809" s="35">
        <v>1170</v>
      </c>
      <c r="K809" s="17">
        <f t="shared" si="15"/>
        <v>53235</v>
      </c>
      <c r="L809" s="14" t="s">
        <v>228</v>
      </c>
    </row>
    <row r="810" spans="1:12" s="20" customFormat="1" ht="26.4">
      <c r="A810" s="26">
        <v>82</v>
      </c>
      <c r="B810" s="27" t="s">
        <v>29</v>
      </c>
      <c r="C810" s="28" t="s">
        <v>30</v>
      </c>
      <c r="D810" s="28" t="s">
        <v>31</v>
      </c>
      <c r="E810" s="19">
        <v>3</v>
      </c>
      <c r="F810" s="28" t="s">
        <v>155</v>
      </c>
      <c r="G810" s="28" t="s">
        <v>6</v>
      </c>
      <c r="H810" s="26" t="s">
        <v>2</v>
      </c>
      <c r="I810" s="29">
        <v>45.5</v>
      </c>
      <c r="J810" s="35">
        <v>1170</v>
      </c>
      <c r="K810" s="17">
        <f t="shared" si="15"/>
        <v>53235</v>
      </c>
      <c r="L810" s="14" t="s">
        <v>228</v>
      </c>
    </row>
    <row r="811" spans="1:12" s="20" customFormat="1" ht="26.4">
      <c r="A811" s="26">
        <v>83</v>
      </c>
      <c r="B811" s="27" t="s">
        <v>29</v>
      </c>
      <c r="C811" s="28" t="s">
        <v>30</v>
      </c>
      <c r="D811" s="28" t="s">
        <v>31</v>
      </c>
      <c r="E811" s="19">
        <v>3</v>
      </c>
      <c r="F811" s="28" t="s">
        <v>168</v>
      </c>
      <c r="G811" s="28" t="s">
        <v>6</v>
      </c>
      <c r="H811" s="26" t="s">
        <v>2</v>
      </c>
      <c r="I811" s="29">
        <v>47.8</v>
      </c>
      <c r="J811" s="35">
        <v>1170</v>
      </c>
      <c r="K811" s="17">
        <f>J811*I811</f>
        <v>55926</v>
      </c>
      <c r="L811" s="14" t="s">
        <v>228</v>
      </c>
    </row>
    <row r="812" spans="1:12" s="20" customFormat="1" ht="26.4">
      <c r="A812" s="26">
        <v>84</v>
      </c>
      <c r="B812" s="27" t="s">
        <v>29</v>
      </c>
      <c r="C812" s="28" t="s">
        <v>30</v>
      </c>
      <c r="D812" s="28" t="s">
        <v>31</v>
      </c>
      <c r="E812" s="19">
        <v>2</v>
      </c>
      <c r="F812" s="28" t="s">
        <v>100</v>
      </c>
      <c r="G812" s="28" t="s">
        <v>6</v>
      </c>
      <c r="H812" s="26" t="s">
        <v>2</v>
      </c>
      <c r="I812" s="29">
        <v>29.5</v>
      </c>
      <c r="J812" s="35">
        <v>1170</v>
      </c>
      <c r="K812" s="17">
        <f t="shared" si="15"/>
        <v>34515</v>
      </c>
      <c r="L812" s="14" t="s">
        <v>228</v>
      </c>
    </row>
    <row r="813" spans="1:12" s="20" customFormat="1" ht="26.4">
      <c r="A813" s="26">
        <v>85</v>
      </c>
      <c r="B813" s="27" t="s">
        <v>29</v>
      </c>
      <c r="C813" s="28" t="s">
        <v>30</v>
      </c>
      <c r="D813" s="28" t="s">
        <v>31</v>
      </c>
      <c r="E813" s="19">
        <v>2</v>
      </c>
      <c r="F813" s="28" t="s">
        <v>101</v>
      </c>
      <c r="G813" s="28" t="s">
        <v>6</v>
      </c>
      <c r="H813" s="26" t="s">
        <v>2</v>
      </c>
      <c r="I813" s="29">
        <v>32</v>
      </c>
      <c r="J813" s="35">
        <v>1170</v>
      </c>
      <c r="K813" s="17">
        <f t="shared" si="15"/>
        <v>37440</v>
      </c>
      <c r="L813" s="14" t="s">
        <v>228</v>
      </c>
    </row>
    <row r="814" spans="1:12" s="20" customFormat="1" ht="26.4">
      <c r="A814" s="26">
        <v>86</v>
      </c>
      <c r="B814" s="27" t="s">
        <v>29</v>
      </c>
      <c r="C814" s="28" t="s">
        <v>30</v>
      </c>
      <c r="D814" s="28" t="s">
        <v>31</v>
      </c>
      <c r="E814" s="19">
        <v>2</v>
      </c>
      <c r="F814" s="28" t="s">
        <v>107</v>
      </c>
      <c r="G814" s="28" t="s">
        <v>6</v>
      </c>
      <c r="H814" s="26" t="s">
        <v>2</v>
      </c>
      <c r="I814" s="29">
        <v>80.2</v>
      </c>
      <c r="J814" s="35">
        <v>1170</v>
      </c>
      <c r="K814" s="17">
        <f t="shared" si="15"/>
        <v>93834</v>
      </c>
      <c r="L814" s="14" t="s">
        <v>228</v>
      </c>
    </row>
    <row r="815" spans="1:12" s="20" customFormat="1" ht="15.6">
      <c r="A815" s="26">
        <v>87</v>
      </c>
      <c r="B815" s="27" t="s">
        <v>29</v>
      </c>
      <c r="C815" s="28" t="s">
        <v>30</v>
      </c>
      <c r="D815" s="28" t="s">
        <v>31</v>
      </c>
      <c r="E815" s="19">
        <v>1</v>
      </c>
      <c r="F815" s="28" t="s">
        <v>50</v>
      </c>
      <c r="G815" s="31" t="s">
        <v>199</v>
      </c>
      <c r="H815" s="26" t="s">
        <v>2</v>
      </c>
      <c r="I815" s="29">
        <v>4.7</v>
      </c>
      <c r="J815" s="35">
        <v>800</v>
      </c>
      <c r="K815" s="17">
        <f t="shared" si="15"/>
        <v>3760</v>
      </c>
      <c r="L815" s="14"/>
    </row>
    <row r="816" spans="1:12" s="20" customFormat="1" ht="15.6">
      <c r="A816" s="26">
        <v>88</v>
      </c>
      <c r="B816" s="27" t="s">
        <v>29</v>
      </c>
      <c r="C816" s="28" t="s">
        <v>30</v>
      </c>
      <c r="D816" s="28" t="s">
        <v>31</v>
      </c>
      <c r="E816" s="19">
        <v>1</v>
      </c>
      <c r="F816" s="28" t="s">
        <v>93</v>
      </c>
      <c r="G816" s="31" t="s">
        <v>199</v>
      </c>
      <c r="H816" s="26" t="s">
        <v>2</v>
      </c>
      <c r="I816" s="29">
        <v>2.5</v>
      </c>
      <c r="J816" s="35">
        <v>800</v>
      </c>
      <c r="K816" s="17">
        <f t="shared" si="15"/>
        <v>2000</v>
      </c>
      <c r="L816" s="14"/>
    </row>
    <row r="817" spans="1:12" s="20" customFormat="1" ht="15.6">
      <c r="A817" s="26">
        <v>89</v>
      </c>
      <c r="B817" s="27" t="s">
        <v>29</v>
      </c>
      <c r="C817" s="28" t="s">
        <v>30</v>
      </c>
      <c r="D817" s="28" t="s">
        <v>31</v>
      </c>
      <c r="E817" s="19">
        <v>1</v>
      </c>
      <c r="F817" s="28" t="s">
        <v>75</v>
      </c>
      <c r="G817" s="31" t="s">
        <v>199</v>
      </c>
      <c r="H817" s="26" t="s">
        <v>2</v>
      </c>
      <c r="I817" s="29">
        <v>2.5</v>
      </c>
      <c r="J817" s="35">
        <v>800</v>
      </c>
      <c r="K817" s="17">
        <f t="shared" si="15"/>
        <v>2000</v>
      </c>
      <c r="L817" s="14"/>
    </row>
    <row r="818" spans="1:12" s="20" customFormat="1" ht="15.6">
      <c r="A818" s="26">
        <v>90</v>
      </c>
      <c r="B818" s="27" t="s">
        <v>29</v>
      </c>
      <c r="C818" s="28" t="s">
        <v>30</v>
      </c>
      <c r="D818" s="28" t="s">
        <v>31</v>
      </c>
      <c r="E818" s="19">
        <v>2</v>
      </c>
      <c r="F818" s="28" t="s">
        <v>104</v>
      </c>
      <c r="G818" s="31" t="s">
        <v>199</v>
      </c>
      <c r="H818" s="26" t="s">
        <v>2</v>
      </c>
      <c r="I818" s="29">
        <v>2.2999999999999998</v>
      </c>
      <c r="J818" s="35">
        <v>800</v>
      </c>
      <c r="K818" s="17">
        <f t="shared" si="15"/>
        <v>1839.9999999999998</v>
      </c>
      <c r="L818" s="14"/>
    </row>
    <row r="819" spans="1:12" s="20" customFormat="1" ht="15.6">
      <c r="A819" s="26">
        <v>91</v>
      </c>
      <c r="B819" s="27" t="s">
        <v>29</v>
      </c>
      <c r="C819" s="28" t="s">
        <v>30</v>
      </c>
      <c r="D819" s="28" t="s">
        <v>31</v>
      </c>
      <c r="E819" s="39">
        <v>2</v>
      </c>
      <c r="F819" s="28" t="s">
        <v>95</v>
      </c>
      <c r="G819" s="31" t="s">
        <v>199</v>
      </c>
      <c r="H819" s="26" t="s">
        <v>2</v>
      </c>
      <c r="I819" s="29">
        <v>5</v>
      </c>
      <c r="J819" s="35">
        <v>800</v>
      </c>
      <c r="K819" s="17">
        <f t="shared" si="15"/>
        <v>4000</v>
      </c>
      <c r="L819" s="14"/>
    </row>
    <row r="820" spans="1:12" s="20" customFormat="1" ht="15.6">
      <c r="A820" s="26">
        <v>92</v>
      </c>
      <c r="B820" s="27" t="s">
        <v>29</v>
      </c>
      <c r="C820" s="28" t="s">
        <v>30</v>
      </c>
      <c r="D820" s="28" t="s">
        <v>31</v>
      </c>
      <c r="E820" s="39">
        <v>2</v>
      </c>
      <c r="F820" s="28" t="s">
        <v>143</v>
      </c>
      <c r="G820" s="31" t="s">
        <v>199</v>
      </c>
      <c r="H820" s="26" t="s">
        <v>2</v>
      </c>
      <c r="I820" s="29">
        <v>2.5</v>
      </c>
      <c r="J820" s="35">
        <v>800</v>
      </c>
      <c r="K820" s="17">
        <f t="shared" si="15"/>
        <v>2000</v>
      </c>
      <c r="L820" s="14"/>
    </row>
    <row r="821" spans="1:12" s="20" customFormat="1">
      <c r="A821" s="26">
        <v>93</v>
      </c>
      <c r="B821" s="27" t="s">
        <v>29</v>
      </c>
      <c r="C821" s="28" t="s">
        <v>30</v>
      </c>
      <c r="D821" s="28" t="s">
        <v>31</v>
      </c>
      <c r="E821" s="19"/>
      <c r="F821" s="28"/>
      <c r="G821" s="28" t="s">
        <v>186</v>
      </c>
      <c r="H821" s="26" t="s">
        <v>187</v>
      </c>
      <c r="I821" s="29">
        <v>114</v>
      </c>
      <c r="J821" s="35">
        <v>450</v>
      </c>
      <c r="K821" s="17">
        <f t="shared" si="15"/>
        <v>51300</v>
      </c>
      <c r="L821" s="14"/>
    </row>
    <row r="822" spans="1:12" s="20" customFormat="1">
      <c r="A822" s="26">
        <v>94</v>
      </c>
      <c r="B822" s="27" t="s">
        <v>29</v>
      </c>
      <c r="C822" s="28" t="s">
        <v>30</v>
      </c>
      <c r="D822" s="28" t="s">
        <v>31</v>
      </c>
      <c r="E822" s="19"/>
      <c r="F822" s="28"/>
      <c r="G822" s="28" t="s">
        <v>4</v>
      </c>
      <c r="H822" s="26" t="s">
        <v>204</v>
      </c>
      <c r="I822" s="29">
        <v>470</v>
      </c>
      <c r="J822" s="35">
        <v>50</v>
      </c>
      <c r="K822" s="17">
        <f t="shared" si="15"/>
        <v>23500</v>
      </c>
      <c r="L822" s="14"/>
    </row>
    <row r="823" spans="1:12" s="20" customFormat="1" ht="42.6" customHeight="1">
      <c r="A823" s="62" t="s">
        <v>32</v>
      </c>
      <c r="B823" s="90"/>
      <c r="C823" s="91"/>
      <c r="D823" s="91"/>
      <c r="E823" s="91"/>
      <c r="F823" s="91"/>
      <c r="G823" s="91"/>
      <c r="H823" s="91"/>
      <c r="I823" s="91"/>
      <c r="J823" s="92"/>
      <c r="K823" s="18">
        <f>SUM(K728:K822)</f>
        <v>1486784.5</v>
      </c>
      <c r="L823" s="30"/>
    </row>
    <row r="824" spans="1:12" s="20" customFormat="1"/>
    <row r="825" spans="1:12" s="20" customFormat="1"/>
    <row r="826" spans="1:12" s="20" customFormat="1"/>
    <row r="827" spans="1:12" s="20" customFormat="1"/>
    <row r="828" spans="1:12" s="20" customFormat="1" ht="15" thickBot="1">
      <c r="B828" s="60" t="s">
        <v>16</v>
      </c>
      <c r="C828" s="84" t="s">
        <v>207</v>
      </c>
      <c r="D828" s="84"/>
      <c r="E828" s="84"/>
      <c r="F828" s="84"/>
      <c r="G828" s="40"/>
      <c r="H828" s="81"/>
      <c r="I828" s="81"/>
      <c r="J828" s="40"/>
    </row>
    <row r="829" spans="1:12" s="20" customFormat="1">
      <c r="A829" s="40"/>
      <c r="B829" s="40"/>
      <c r="C829" s="80" t="s">
        <v>39</v>
      </c>
      <c r="D829" s="80"/>
      <c r="E829" s="80"/>
      <c r="F829" s="80"/>
      <c r="G829" s="40"/>
      <c r="H829" s="82">
        <v>46047</v>
      </c>
      <c r="I829" s="80"/>
      <c r="J829" s="40"/>
    </row>
    <row r="830" spans="1:12" s="20" customFormat="1" ht="15" thickBot="1">
      <c r="A830" s="40"/>
      <c r="B830" s="61" t="s">
        <v>41</v>
      </c>
      <c r="C830" s="84" t="s">
        <v>215</v>
      </c>
      <c r="D830" s="84"/>
      <c r="E830" s="84"/>
      <c r="F830" s="84"/>
      <c r="G830" s="40"/>
      <c r="H830" s="81"/>
      <c r="I830" s="81"/>
      <c r="J830" s="40"/>
    </row>
    <row r="831" spans="1:12" s="20" customFormat="1">
      <c r="A831" s="40"/>
      <c r="B831" s="40"/>
      <c r="C831" s="80" t="s">
        <v>39</v>
      </c>
      <c r="D831" s="80"/>
      <c r="E831" s="80"/>
      <c r="F831" s="80"/>
      <c r="G831" s="40"/>
      <c r="H831" s="82">
        <v>46047</v>
      </c>
      <c r="I831" s="80"/>
      <c r="J831" s="40"/>
    </row>
    <row r="832" spans="1:12" s="20" customFormat="1">
      <c r="A832" s="40"/>
      <c r="B832" s="40"/>
      <c r="C832" s="40"/>
      <c r="D832" s="40"/>
      <c r="E832" s="40"/>
      <c r="F832" s="40"/>
      <c r="G832" s="40"/>
      <c r="H832" s="83"/>
      <c r="I832" s="83"/>
      <c r="J832" s="40"/>
    </row>
    <row r="833" spans="1:10" s="20" customFormat="1" ht="15" thickBot="1">
      <c r="A833" s="40"/>
      <c r="B833" s="61" t="s">
        <v>208</v>
      </c>
      <c r="C833" s="84" t="s">
        <v>209</v>
      </c>
      <c r="D833" s="84"/>
      <c r="E833" s="84"/>
      <c r="F833" s="84"/>
      <c r="G833" s="40"/>
      <c r="H833" s="81"/>
      <c r="I833" s="81"/>
      <c r="J833" s="40"/>
    </row>
    <row r="834" spans="1:10" s="20" customFormat="1">
      <c r="A834" s="40"/>
      <c r="B834" s="40"/>
      <c r="C834" s="80" t="s">
        <v>39</v>
      </c>
      <c r="D834" s="80"/>
      <c r="E834" s="80"/>
      <c r="F834" s="80"/>
      <c r="G834" s="40"/>
      <c r="H834" s="82">
        <v>46047</v>
      </c>
      <c r="I834" s="80"/>
      <c r="J834" s="40"/>
    </row>
    <row r="835" spans="1:10" s="20" customForma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</row>
    <row r="836" spans="1:10" s="20" customFormat="1" ht="15" thickBot="1">
      <c r="A836" s="40"/>
      <c r="B836" s="61" t="s">
        <v>42</v>
      </c>
      <c r="C836" s="81"/>
      <c r="D836" s="81"/>
      <c r="E836" s="81"/>
      <c r="F836" s="81"/>
      <c r="G836" s="40"/>
      <c r="H836" s="81"/>
      <c r="I836" s="81"/>
      <c r="J836" s="40"/>
    </row>
    <row r="837" spans="1:10" s="20" customFormat="1">
      <c r="A837" s="40"/>
      <c r="B837" s="40"/>
      <c r="C837" s="80" t="s">
        <v>39</v>
      </c>
      <c r="D837" s="80"/>
      <c r="E837" s="80"/>
      <c r="F837" s="80"/>
      <c r="G837" s="40"/>
      <c r="H837" s="80" t="s">
        <v>40</v>
      </c>
      <c r="I837" s="80"/>
      <c r="J837" s="40"/>
    </row>
    <row r="838" spans="1:10" s="20" customForma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</row>
    <row r="839" spans="1:10" s="20" customFormat="1" ht="15" thickBot="1">
      <c r="A839" s="40"/>
      <c r="B839" s="60" t="s">
        <v>43</v>
      </c>
      <c r="C839" s="81"/>
      <c r="D839" s="81"/>
      <c r="E839" s="81"/>
      <c r="F839" s="81"/>
      <c r="G839" s="40"/>
      <c r="H839" s="81"/>
      <c r="I839" s="81"/>
      <c r="J839" s="40"/>
    </row>
    <row r="840" spans="1:10">
      <c r="A840" s="40"/>
    </row>
  </sheetData>
  <mergeCells count="151">
    <mergeCell ref="D5:F5"/>
    <mergeCell ref="D7:F7"/>
    <mergeCell ref="D9:F9"/>
    <mergeCell ref="B107:J107"/>
    <mergeCell ref="B35:J35"/>
    <mergeCell ref="B823:J823"/>
    <mergeCell ref="B692:J692"/>
    <mergeCell ref="B540:J540"/>
    <mergeCell ref="B402:J402"/>
    <mergeCell ref="B231:J231"/>
    <mergeCell ref="D569:F569"/>
    <mergeCell ref="D571:F571"/>
    <mergeCell ref="D573:F573"/>
    <mergeCell ref="D264:F264"/>
    <mergeCell ref="D266:F266"/>
    <mergeCell ref="C246:F246"/>
    <mergeCell ref="H246:I246"/>
    <mergeCell ref="C247:F247"/>
    <mergeCell ref="H247:I247"/>
    <mergeCell ref="C410:F410"/>
    <mergeCell ref="H410:I410"/>
    <mergeCell ref="H411:I411"/>
    <mergeCell ref="C412:F412"/>
    <mergeCell ref="H412:I412"/>
    <mergeCell ref="C413:F413"/>
    <mergeCell ref="H413:I413"/>
    <mergeCell ref="C415:F415"/>
    <mergeCell ref="H415:I415"/>
    <mergeCell ref="C416:F416"/>
    <mergeCell ref="H416:I416"/>
    <mergeCell ref="D432:F432"/>
    <mergeCell ref="D434:F434"/>
    <mergeCell ref="C119:F119"/>
    <mergeCell ref="H119:I119"/>
    <mergeCell ref="C120:F120"/>
    <mergeCell ref="C243:F243"/>
    <mergeCell ref="H243:I243"/>
    <mergeCell ref="C244:F244"/>
    <mergeCell ref="H244:I244"/>
    <mergeCell ref="D262:F262"/>
    <mergeCell ref="C240:F240"/>
    <mergeCell ref="H240:I240"/>
    <mergeCell ref="H239:I239"/>
    <mergeCell ref="C241:F241"/>
    <mergeCell ref="H241:I241"/>
    <mergeCell ref="H120:I120"/>
    <mergeCell ref="D130:F130"/>
    <mergeCell ref="D132:F132"/>
    <mergeCell ref="D134:F134"/>
    <mergeCell ref="C122:F122"/>
    <mergeCell ref="H122:I122"/>
    <mergeCell ref="C123:F123"/>
    <mergeCell ref="H123:I123"/>
    <mergeCell ref="C235:F235"/>
    <mergeCell ref="H235:I235"/>
    <mergeCell ref="D52:F52"/>
    <mergeCell ref="D54:F54"/>
    <mergeCell ref="D56:F56"/>
    <mergeCell ref="C117:F117"/>
    <mergeCell ref="H117:I117"/>
    <mergeCell ref="C111:F111"/>
    <mergeCell ref="H111:I111"/>
    <mergeCell ref="C112:F112"/>
    <mergeCell ref="H112:I112"/>
    <mergeCell ref="C113:F113"/>
    <mergeCell ref="H113:I113"/>
    <mergeCell ref="C114:F114"/>
    <mergeCell ref="H114:I114"/>
    <mergeCell ref="C116:F116"/>
    <mergeCell ref="H116:I116"/>
    <mergeCell ref="C236:F236"/>
    <mergeCell ref="C407:F407"/>
    <mergeCell ref="H407:I407"/>
    <mergeCell ref="C408:F408"/>
    <mergeCell ref="H408:I408"/>
    <mergeCell ref="C409:F409"/>
    <mergeCell ref="H409:I409"/>
    <mergeCell ref="H236:I236"/>
    <mergeCell ref="C237:F237"/>
    <mergeCell ref="H237:I237"/>
    <mergeCell ref="C238:F238"/>
    <mergeCell ref="H238:I238"/>
    <mergeCell ref="C418:F418"/>
    <mergeCell ref="H418:I418"/>
    <mergeCell ref="C419:F419"/>
    <mergeCell ref="H419:I419"/>
    <mergeCell ref="D430:F430"/>
    <mergeCell ref="C546:F546"/>
    <mergeCell ref="H546:I546"/>
    <mergeCell ref="C547:F547"/>
    <mergeCell ref="H547:I547"/>
    <mergeCell ref="C554:F554"/>
    <mergeCell ref="H554:I554"/>
    <mergeCell ref="C555:F555"/>
    <mergeCell ref="H555:I555"/>
    <mergeCell ref="C557:F557"/>
    <mergeCell ref="H557:I557"/>
    <mergeCell ref="C558:F558"/>
    <mergeCell ref="H558:I558"/>
    <mergeCell ref="C548:F548"/>
    <mergeCell ref="H548:I548"/>
    <mergeCell ref="C549:F549"/>
    <mergeCell ref="H549:I549"/>
    <mergeCell ref="H550:I550"/>
    <mergeCell ref="C551:F551"/>
    <mergeCell ref="H551:I551"/>
    <mergeCell ref="C552:F552"/>
    <mergeCell ref="H552:I552"/>
    <mergeCell ref="C697:F697"/>
    <mergeCell ref="H697:I697"/>
    <mergeCell ref="C698:F698"/>
    <mergeCell ref="H698:I698"/>
    <mergeCell ref="C699:F699"/>
    <mergeCell ref="H699:I699"/>
    <mergeCell ref="C700:F700"/>
    <mergeCell ref="H700:I700"/>
    <mergeCell ref="H701:I701"/>
    <mergeCell ref="C709:F709"/>
    <mergeCell ref="H709:I709"/>
    <mergeCell ref="C702:F702"/>
    <mergeCell ref="H702:I702"/>
    <mergeCell ref="C703:F703"/>
    <mergeCell ref="H703:I703"/>
    <mergeCell ref="C705:F705"/>
    <mergeCell ref="H705:I705"/>
    <mergeCell ref="C706:F706"/>
    <mergeCell ref="H706:I706"/>
    <mergeCell ref="C708:F708"/>
    <mergeCell ref="H708:I708"/>
    <mergeCell ref="D720:F720"/>
    <mergeCell ref="D722:F722"/>
    <mergeCell ref="D724:F724"/>
    <mergeCell ref="C828:F828"/>
    <mergeCell ref="H828:I828"/>
    <mergeCell ref="C829:F829"/>
    <mergeCell ref="H829:I829"/>
    <mergeCell ref="C830:F830"/>
    <mergeCell ref="H830:I830"/>
    <mergeCell ref="C837:F837"/>
    <mergeCell ref="H837:I837"/>
    <mergeCell ref="C839:F839"/>
    <mergeCell ref="H839:I839"/>
    <mergeCell ref="C831:F831"/>
    <mergeCell ref="H831:I831"/>
    <mergeCell ref="H832:I832"/>
    <mergeCell ref="C833:F833"/>
    <mergeCell ref="H833:I833"/>
    <mergeCell ref="C834:F834"/>
    <mergeCell ref="H834:I834"/>
    <mergeCell ref="C836:F836"/>
    <mergeCell ref="H836:I836"/>
  </mergeCells>
  <phoneticPr fontId="12" type="noConversion"/>
  <pageMargins left="0.25" right="0.25" top="0.75" bottom="0.75" header="0.3" footer="0.3"/>
  <pageSetup paperSize="9" fitToWidth="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28AB5AA-D0A2-4C7E-9873-376E71FD9A0C}">
          <x14:formula1>
            <xm:f>#REF!</xm:f>
          </x14:formula1>
          <xm:sqref>D52:F52 D130:F130 D430:F430 D569:F569</xm:sqref>
        </x14:dataValidation>
        <x14:dataValidation type="list" allowBlank="1" showInputMessage="1" showErrorMessage="1" xr:uid="{4871F75A-1E79-41A5-BD7C-06EAA103CD5C}">
          <x14:formula1>
            <xm:f>#REF!</xm:f>
          </x14:formula1>
          <xm:sqref>F60:F82 F84:F99 F138:F228 F361:F401 F438:F537 F577:F689 P174:P195 V178:V181 F101:F104</xm:sqref>
        </x14:dataValidation>
        <x14:dataValidation type="list" allowBlank="1" showInputMessage="1" showErrorMessage="1" xr:uid="{4884683D-AEF4-49F9-87C1-B6CB8AD9C82B}">
          <x14:formula1>
            <xm:f>#REF!</xm:f>
          </x14:formula1>
          <xm:sqref>G105:G106 G84:G99 G61:G82 G139:G200 G202:G228 G230 G532:G537 G539 G691 Q178:Q195 W178:W181 G363:G401 G672:G684</xm:sqref>
        </x14:dataValidation>
        <x14:dataValidation type="list" allowBlank="1" showInputMessage="1" showErrorMessage="1" xr:uid="{C743B56B-F63F-4E71-9AD9-D12B42B9ABF4}">
          <x14:formula1>
            <xm:f>#REF!</xm:f>
          </x14:formula1>
          <xm:sqref>G100 G60 G138 G438:G531 G577:G671 G685:G689</xm:sqref>
        </x14:dataValidation>
        <x14:dataValidation type="list" allowBlank="1" showInputMessage="1" showErrorMessage="1" xr:uid="{FB58905B-5853-4A02-8805-70F1B40D6B0E}">
          <x14:formula1>
            <xm:f>#REF!</xm:f>
          </x14:formula1>
          <xm:sqref>B577:B691 B138:B230 B438:B539 B363:B401 B60:B106</xm:sqref>
        </x14:dataValidation>
        <x14:dataValidation type="list" allowBlank="1" showInputMessage="1" showErrorMessage="1" xr:uid="{97066074-625F-473E-A868-D313F1A5478A}">
          <x14:formula1>
            <xm:f>#REF!</xm:f>
          </x14:formula1>
          <xm:sqref>C677:C691 C138:C230 C382:C383 C438:C530 C577:C669 C60:C106</xm:sqref>
        </x14:dataValidation>
        <x14:dataValidation type="list" allowBlank="1" showInputMessage="1" showErrorMessage="1" xr:uid="{54A577A5-2671-4ADF-82F6-030EA8DD389E}">
          <x14:formula1>
            <xm:f>#REF!</xm:f>
          </x14:formula1>
          <xm:sqref>D60:D106 D138:D230 D438:D539 D579 D363:D401 D581:D691</xm:sqref>
        </x14:dataValidation>
        <x14:dataValidation type="list" allowBlank="1" showInputMessage="1" showErrorMessage="1" xr:uid="{5CEF2CE8-F6CC-40E4-A646-8DBA54A910F0}">
          <x14:formula1>
            <xm:f>#REF!</xm:f>
          </x14:formula1>
          <xm:sqref>E60:E106 E138:E228 E438:E528 E531:E537 E539 E577:E667 E361:E401 E670:E690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Наряд заказы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2026-02-07T08:12:36Z</cp:lastPrinted>
  <dcterms:created xsi:type="dcterms:W3CDTF">2025-10-17T07:03:41Z</dcterms:created>
  <dcterms:modified xsi:type="dcterms:W3CDTF">2026-02-16T14:31:12Z</dcterms:modified>
</cp:coreProperties>
</file>